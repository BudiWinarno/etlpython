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35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90" i="1" l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</calcChain>
</file>

<file path=xl/sharedStrings.xml><?xml version="1.0" encoding="utf-8"?>
<sst xmlns="http://schemas.openxmlformats.org/spreadsheetml/2006/main" count="1724" uniqueCount="487">
  <si>
    <t>PT.ALBACAR MEKAR NUSANTARA</t>
  </si>
  <si>
    <t>Laporan Penjualan 2026</t>
  </si>
  <si>
    <t>Dari 01 Jul 2026 ke 31 Jul 2026</t>
  </si>
  <si>
    <t>Filter berdasarkan :Nama Pemasok Utama Barang</t>
  </si>
  <si>
    <t>Nama Pemasok Utama Barang</t>
  </si>
  <si>
    <t>Nama Penjual</t>
  </si>
  <si>
    <t>Tgl Faktur</t>
  </si>
  <si>
    <t>No. Faktur</t>
  </si>
  <si>
    <t>No. Pelanggan</t>
  </si>
  <si>
    <t>Nama Pelanggan</t>
  </si>
  <si>
    <t>Alamat 1 Pelanggan</t>
  </si>
  <si>
    <t>Kota Pelanggan</t>
  </si>
  <si>
    <t>Nama Tipe Pelanggan Pelanggan</t>
  </si>
  <si>
    <t>No. Barang</t>
  </si>
  <si>
    <t>Keterangan Barang</t>
  </si>
  <si>
    <t>Jul</t>
  </si>
  <si>
    <t>Inc ppn 11%</t>
  </si>
  <si>
    <t>Kuantitas</t>
  </si>
  <si>
    <t>Jumlah</t>
  </si>
  <si>
    <t>Harga satuan Barang</t>
  </si>
  <si>
    <t>Joenoes Ikamulya, PT.</t>
  </si>
  <si>
    <t xml:space="preserve">Arifin </t>
  </si>
  <si>
    <t>2607/03744/AMN</t>
  </si>
  <si>
    <t>IDI00055</t>
  </si>
  <si>
    <t>ABDUL KAHAR</t>
  </si>
  <si>
    <t>Zaitul Muna Cos 2 Idi</t>
  </si>
  <si>
    <t>Idi</t>
  </si>
  <si>
    <t>NPWP Cosmetik</t>
  </si>
  <si>
    <t>POR332290</t>
  </si>
  <si>
    <t>Porstex 500ml WL /12</t>
  </si>
  <si>
    <t>POR332390</t>
  </si>
  <si>
    <t>Porstex 1000ml WL /12</t>
  </si>
  <si>
    <t>POR332490</t>
  </si>
  <si>
    <t>Porstex 2000ml WL /6</t>
  </si>
  <si>
    <t>2607/03424/AMN</t>
  </si>
  <si>
    <t>LSM00092</t>
  </si>
  <si>
    <t>Tiara Jaya Makmur, UD.</t>
  </si>
  <si>
    <t>Jl. Samudera No. 132 Kp. Jawa</t>
  </si>
  <si>
    <t>Lhokseumawe</t>
  </si>
  <si>
    <t>Grosir</t>
  </si>
  <si>
    <t>2607/03016/AMN</t>
  </si>
  <si>
    <t>IDI00065</t>
  </si>
  <si>
    <t>ANDI SAPUTRA</t>
  </si>
  <si>
    <t>HN swalayan</t>
  </si>
  <si>
    <t>NPWP Market/MT</t>
  </si>
  <si>
    <t>DDR356191A</t>
  </si>
  <si>
    <t>Dee-Dee Shampoo 45ml Apple /72</t>
  </si>
  <si>
    <t>DDR356294</t>
  </si>
  <si>
    <t>Dee-Dee Shampoo 250ml Refill Strawberry /12</t>
  </si>
  <si>
    <t>DDR356494</t>
  </si>
  <si>
    <t>Dee-Dee Shampoo Ref.125ml Strawberry /24</t>
  </si>
  <si>
    <t>POR332280</t>
  </si>
  <si>
    <t>Porstex 500ml WB /12</t>
  </si>
  <si>
    <t>PSR563390</t>
  </si>
  <si>
    <t>Porstex Reguler Ocean Blue 700ml/12</t>
  </si>
  <si>
    <t>2607/02891/AMN</t>
  </si>
  <si>
    <t>LSM00023</t>
  </si>
  <si>
    <t>BASRI (UD.TIA JAYA)</t>
  </si>
  <si>
    <t>Cunda,Lhokseumawe</t>
  </si>
  <si>
    <t>LHOKSEUMAWE</t>
  </si>
  <si>
    <t>PKP Grosir</t>
  </si>
  <si>
    <t>PSR563290</t>
  </si>
  <si>
    <t>Porstex Reguler Ocean Blue 160ml Extra 40ml /12</t>
  </si>
  <si>
    <t>2607/02933/AMN</t>
  </si>
  <si>
    <t>PTL00060</t>
  </si>
  <si>
    <t>Moga Baru, P. Labu</t>
  </si>
  <si>
    <t>Jl. Perdagangan - Panton Labu</t>
  </si>
  <si>
    <t>Panton Labu</t>
  </si>
  <si>
    <t>Kelontong</t>
  </si>
  <si>
    <t>2607/02739/AMN</t>
  </si>
  <si>
    <t>TKN00024</t>
  </si>
  <si>
    <t>Tanjung Mulia</t>
  </si>
  <si>
    <t>Jl. Terminal Takengon</t>
  </si>
  <si>
    <t>TAKENGON</t>
  </si>
  <si>
    <t>POR332380</t>
  </si>
  <si>
    <t>Porstex 1000ml WB /12</t>
  </si>
  <si>
    <t>2607/02602/AMN</t>
  </si>
  <si>
    <t>BRU00014</t>
  </si>
  <si>
    <t>ICHSAN A RAHMAN (TOKO ARISMA)</t>
  </si>
  <si>
    <t>Jl. Jati No. 48 Jeumpa Bireun</t>
  </si>
  <si>
    <t>Bireuen</t>
  </si>
  <si>
    <t>NPWP Grosir</t>
  </si>
  <si>
    <t>2607/02646/AMN</t>
  </si>
  <si>
    <t>2607/02399/AMN</t>
  </si>
  <si>
    <t>PTL00039</t>
  </si>
  <si>
    <t>Cemerlang, P.Labu</t>
  </si>
  <si>
    <t>PANTON LABU</t>
  </si>
  <si>
    <t>2607/02189/AMN</t>
  </si>
  <si>
    <t>TKN00082</t>
  </si>
  <si>
    <t>HASBIYULLAH</t>
  </si>
  <si>
    <t>TRB Kampas, Jl Paya Ilang Takengon</t>
  </si>
  <si>
    <t>Takengon</t>
  </si>
  <si>
    <t>2607/01751/AMN</t>
  </si>
  <si>
    <t>LSM00069</t>
  </si>
  <si>
    <t>MARWATI</t>
  </si>
  <si>
    <t>Arifa Mart, lhokseumawe</t>
  </si>
  <si>
    <t>DDP356282</t>
  </si>
  <si>
    <t>Dee-Dee Shampoo 250ml Pump Grape /12</t>
  </si>
  <si>
    <t>DDP356283</t>
  </si>
  <si>
    <t>Dee-Dee Shampoo 250ml Pump Orange /12</t>
  </si>
  <si>
    <t>DDR356192A</t>
  </si>
  <si>
    <t>Dee-Dee Shampoo 45ml Grape /72</t>
  </si>
  <si>
    <t>DDR356194A</t>
  </si>
  <si>
    <t>Dee-Dee Shampoo 45ml Strawberry /72</t>
  </si>
  <si>
    <t>DDR356491</t>
  </si>
  <si>
    <t>Dee-Dee Shampoo Ref.125ml Apple /24</t>
  </si>
  <si>
    <t>DDR356492</t>
  </si>
  <si>
    <t>Dee-Dee Shampoo Ref.125ml Grape /24</t>
  </si>
  <si>
    <t>DPK442282A</t>
  </si>
  <si>
    <t>Dee-Dee ToothPaste 50gr Refill Grape /48</t>
  </si>
  <si>
    <t>DPK442284A</t>
  </si>
  <si>
    <t>Dee-Dee ToothPaste 50gr Refill Strawberry /48</t>
  </si>
  <si>
    <t>2607/01761/AMN</t>
  </si>
  <si>
    <t>TKN00071</t>
  </si>
  <si>
    <t>Diayu</t>
  </si>
  <si>
    <t>2607/01814/AMN</t>
  </si>
  <si>
    <t>BRN00005</t>
  </si>
  <si>
    <t>Asean Toko Obat</t>
  </si>
  <si>
    <t>Beureneun</t>
  </si>
  <si>
    <t>2607/01818/AMN</t>
  </si>
  <si>
    <t>TKN00012</t>
  </si>
  <si>
    <t>Serba Ada Swalayan,TKN</t>
  </si>
  <si>
    <t>POR332480</t>
  </si>
  <si>
    <t>Porstex 2000ml WB /6</t>
  </si>
  <si>
    <t>2607/01821/AMN</t>
  </si>
  <si>
    <t>TKN00090</t>
  </si>
  <si>
    <t>Mogana, P. Baru</t>
  </si>
  <si>
    <t>Jl. Pasar Ipres - Pondok Baru</t>
  </si>
  <si>
    <t>Pondok Baru</t>
  </si>
  <si>
    <t>2607/01576/AMN</t>
  </si>
  <si>
    <t>2607/01578/AMN</t>
  </si>
  <si>
    <t>2607/01601/AMN</t>
  </si>
  <si>
    <t>2607/01604/AMN</t>
  </si>
  <si>
    <t>2607/01314/AMN</t>
  </si>
  <si>
    <t>LSM00105</t>
  </si>
  <si>
    <t>Ar Rahman</t>
  </si>
  <si>
    <t>Jl. Listrik - Lhokseumawe</t>
  </si>
  <si>
    <t>2607/00776/AMN</t>
  </si>
  <si>
    <t>PLK00070</t>
  </si>
  <si>
    <t>ASNAWI</t>
  </si>
  <si>
    <t>Beringin Jaya Cosmetik, Perlak</t>
  </si>
  <si>
    <t>PERLAK</t>
  </si>
  <si>
    <t>2607/00543/AMN</t>
  </si>
  <si>
    <t>PLK00036</t>
  </si>
  <si>
    <t>Sinar Dunia,Perlak</t>
  </si>
  <si>
    <t>Perlak</t>
  </si>
  <si>
    <t>2607/00348/AMN</t>
  </si>
  <si>
    <t>KBI00006</t>
  </si>
  <si>
    <t>Rizki</t>
  </si>
  <si>
    <t>Kota Binjai</t>
  </si>
  <si>
    <t>2607/SR/0328/AMN</t>
  </si>
  <si>
    <t>LGS00140</t>
  </si>
  <si>
    <t>Fadli Jaya</t>
  </si>
  <si>
    <t>Jl. Rel Kereta Api, Langsa</t>
  </si>
  <si>
    <t>LANGSA</t>
  </si>
  <si>
    <t>DDP356284</t>
  </si>
  <si>
    <t>Dee-Dee Shampoo 250ml Pump Strawberry /12</t>
  </si>
  <si>
    <t>2607/SR/0359/AMN</t>
  </si>
  <si>
    <t>PLK00053</t>
  </si>
  <si>
    <t>BP Swalayan,Perlak</t>
  </si>
  <si>
    <t xml:space="preserve">Jl. Cut Mutia </t>
  </si>
  <si>
    <t>2607/SR/0246/AMN</t>
  </si>
  <si>
    <t>LGS00158</t>
  </si>
  <si>
    <t>MARDIANA</t>
  </si>
  <si>
    <t xml:space="preserve">Makmur Swalayan Langsa </t>
  </si>
  <si>
    <t>Langsa</t>
  </si>
  <si>
    <t>DDR356291</t>
  </si>
  <si>
    <t>Dee-Dee Shampoo 250ml Refill Apple /12</t>
  </si>
  <si>
    <t>2607/SR/0214/AMN</t>
  </si>
  <si>
    <t>LSM00093</t>
  </si>
  <si>
    <t>HUSEN KARYA UTAMA, PT.</t>
  </si>
  <si>
    <t xml:space="preserve">Sejahterah I </t>
  </si>
  <si>
    <t>PKP Market/MT</t>
  </si>
  <si>
    <t>DDR356293</t>
  </si>
  <si>
    <t>Dee-Dee Shampoo 250ml Refill Orange /12</t>
  </si>
  <si>
    <t>2607/00039/AMN</t>
  </si>
  <si>
    <t>BRN00025</t>
  </si>
  <si>
    <t>Sabena,Bernun</t>
  </si>
  <si>
    <t>Lorong UM, Bernun</t>
  </si>
  <si>
    <t>Beurenuen</t>
  </si>
  <si>
    <t>2607/SR/0008/AMN</t>
  </si>
  <si>
    <t>LGS00157</t>
  </si>
  <si>
    <t>Makmur Swalayan 2 , Jl. A. Yani - Depan Stadion</t>
  </si>
  <si>
    <t>DDR356292</t>
  </si>
  <si>
    <t>Dee-Dee Shampoo 250ml Refill Grape /12</t>
  </si>
  <si>
    <t>DDR356493</t>
  </si>
  <si>
    <t>Dee-Dee Shampoo Ref.125ml Orange /24</t>
  </si>
  <si>
    <t>2607/SR/0009/AMN</t>
  </si>
  <si>
    <t xml:space="preserve">Bagas  </t>
  </si>
  <si>
    <t>2607/03705/AMN</t>
  </si>
  <si>
    <t>LGS00112</t>
  </si>
  <si>
    <t>SANTHY KOERNIATHY (SAQINA)</t>
  </si>
  <si>
    <t>Saqinah Market,Langsa</t>
  </si>
  <si>
    <t>DDR356994</t>
  </si>
  <si>
    <t>Dee-Dee Shampoo Strawberry 200ml Pouch/24</t>
  </si>
  <si>
    <t>PSR563380</t>
  </si>
  <si>
    <t>Porstex Reguler Fresh Lilac 700ml/12</t>
  </si>
  <si>
    <t xml:space="preserve">Kantor Medan </t>
  </si>
  <si>
    <t>2607/02923/AMN</t>
  </si>
  <si>
    <t>MDN01206</t>
  </si>
  <si>
    <t>Pengangkutan</t>
  </si>
  <si>
    <t>Medan</t>
  </si>
  <si>
    <t>HSR222996</t>
  </si>
  <si>
    <t>Yuri Hand Soap Strawberry 375ml Pouch/24</t>
  </si>
  <si>
    <t>2607/01850/AMN</t>
  </si>
  <si>
    <t>2607/01851/AMN</t>
  </si>
  <si>
    <t>2607/01009/AMN</t>
  </si>
  <si>
    <t>KAR00003</t>
  </si>
  <si>
    <t>Karyawan</t>
  </si>
  <si>
    <t>Others</t>
  </si>
  <si>
    <t>2607/00580/AMN</t>
  </si>
  <si>
    <t>KSP00030</t>
  </si>
  <si>
    <t>Perdana (Asui)</t>
  </si>
  <si>
    <t>Jl. Pertempuran</t>
  </si>
  <si>
    <t>KUALA SIMPANG</t>
  </si>
  <si>
    <t>2607/00152/AMN</t>
  </si>
  <si>
    <t xml:space="preserve">Lilik </t>
  </si>
  <si>
    <t>2607/SR/0564/AMN</t>
  </si>
  <si>
    <t>DDP356281</t>
  </si>
  <si>
    <t>Dee-Dee Shampoo 250ml Pump Apple /12</t>
  </si>
  <si>
    <t xml:space="preserve">Lisa (BNA) </t>
  </si>
  <si>
    <t>2607/03798/AMN</t>
  </si>
  <si>
    <t>BNA00480</t>
  </si>
  <si>
    <t>Cut Nun Swalayan</t>
  </si>
  <si>
    <t>Jl. T. Iskandar Muda, Ulee Kareng</t>
  </si>
  <si>
    <t>Banda Aceh</t>
  </si>
  <si>
    <t>Swalayan</t>
  </si>
  <si>
    <t>DPK442283A</t>
  </si>
  <si>
    <t>Dee-Dee ToothPaste 50gr Refill Orange /48</t>
  </si>
  <si>
    <t>HSP222383</t>
  </si>
  <si>
    <t>Yuri Hand Soap 410ml Grape Pump/12</t>
  </si>
  <si>
    <t>HSP222384</t>
  </si>
  <si>
    <t>Yuri Hand Soap 410ml Lemon Pump/12</t>
  </si>
  <si>
    <t>HSP222385</t>
  </si>
  <si>
    <t>Yuri Hand Soap 410ml Orange Pump/12</t>
  </si>
  <si>
    <t>2607/03190/AMN</t>
  </si>
  <si>
    <t>BNA00861</t>
  </si>
  <si>
    <t>MUHAMMAD AMIN / TOKO BAHAGIA BARU</t>
  </si>
  <si>
    <t>Bahagia Baru, Tk. Jl. Pasar Lambaro - Banda Aceh</t>
  </si>
  <si>
    <t>PKP Kelontong</t>
  </si>
  <si>
    <t>HSP222381</t>
  </si>
  <si>
    <t>Yuri Hand Soap 410ml Apple Pump/12</t>
  </si>
  <si>
    <t>HSP222386</t>
  </si>
  <si>
    <t>Yuri Hand Soap 410ml Strawberry Pump/12</t>
  </si>
  <si>
    <t>HSR222991</t>
  </si>
  <si>
    <t>Yuri Hand Soap Apple 375ml Pouch/24</t>
  </si>
  <si>
    <t>HSR222993</t>
  </si>
  <si>
    <t>Yuri Hand Soap Grape 375ml Pouchl/24</t>
  </si>
  <si>
    <t>HSR222995</t>
  </si>
  <si>
    <t>Yuri Hand Soap Orange 375ml Pouch/24</t>
  </si>
  <si>
    <t>2607/03259/AMN</t>
  </si>
  <si>
    <t>SBG00020</t>
  </si>
  <si>
    <t>Anda Swl</t>
  </si>
  <si>
    <t>Jl.Yos Sudarso</t>
  </si>
  <si>
    <t>SABANG</t>
  </si>
  <si>
    <t>DPS442267</t>
  </si>
  <si>
    <t>Dee-Dee T.Brush + T.Paste Pak/24</t>
  </si>
  <si>
    <t>HSR222994</t>
  </si>
  <si>
    <t>Yuri Hand Soap Lemon 375ml Pouch/24</t>
  </si>
  <si>
    <t>2607/02909/AMN</t>
  </si>
  <si>
    <t>BNA00278</t>
  </si>
  <si>
    <t>Everland</t>
  </si>
  <si>
    <t>Jl. Diponeggoro Banda Aceh</t>
  </si>
  <si>
    <t>Cosmetik</t>
  </si>
  <si>
    <t>2607/02313/AMN</t>
  </si>
  <si>
    <t>ACB00036</t>
  </si>
  <si>
    <t>Adik Abang Swalayan</t>
  </si>
  <si>
    <t>Jl. Medan - Banda Aceh, Indrapuri - Aceh Besar</t>
  </si>
  <si>
    <t>Aceh Besar</t>
  </si>
  <si>
    <t>DBW640992</t>
  </si>
  <si>
    <t>Dee-Dee Body Wash 200ml Grape Refill/24</t>
  </si>
  <si>
    <t>DBW640994</t>
  </si>
  <si>
    <t>Dee-Dee Body Wash 200ml Stawberry Refill/24</t>
  </si>
  <si>
    <t>2607/02326/AMN</t>
  </si>
  <si>
    <t>BNA00746</t>
  </si>
  <si>
    <t>Poma Swalayan</t>
  </si>
  <si>
    <t>Jl. Mujahidin I Lr Bak Panah, Lambaro- BNA</t>
  </si>
  <si>
    <t>2607/02372/AMN</t>
  </si>
  <si>
    <t>BNA00176</t>
  </si>
  <si>
    <t>Mulia Jaya</t>
  </si>
  <si>
    <t>Jl. Diponegoro Banda Aceh</t>
  </si>
  <si>
    <t>2607/02244/AMN</t>
  </si>
  <si>
    <t>BNA00796</t>
  </si>
  <si>
    <t>Multi Jasa Cemara, PT.</t>
  </si>
  <si>
    <t>Jl. Dimurtala No 1 Simp. Lima (P. Pirak)</t>
  </si>
  <si>
    <t>PKP Others</t>
  </si>
  <si>
    <t>2607/02008/AMN</t>
  </si>
  <si>
    <t>BNA00259</t>
  </si>
  <si>
    <t>Emha Toko</t>
  </si>
  <si>
    <t>Jl. Blang Bintang Banda Aceh/Lamateuk</t>
  </si>
  <si>
    <t>2607/02096/AMN</t>
  </si>
  <si>
    <t>BNA00633</t>
  </si>
  <si>
    <t>Nadia Swl</t>
  </si>
  <si>
    <t>Jl. AMD Cot Mesjid</t>
  </si>
  <si>
    <t>Lokal Supermarket</t>
  </si>
  <si>
    <t>2607/01817/AMN</t>
  </si>
  <si>
    <t>BNA00540</t>
  </si>
  <si>
    <t>Sejahtera Utama, Tk.</t>
  </si>
  <si>
    <t>Jl. Khairil Anwar No 2A-B. Peunayong</t>
  </si>
  <si>
    <t>2607/01577/AMN</t>
  </si>
  <si>
    <t>ACB00022</t>
  </si>
  <si>
    <t>Fajar Cosmetik</t>
  </si>
  <si>
    <t>Jl. Tungkop Lamathe Desa Cucum</t>
  </si>
  <si>
    <t>2607/01579/AMN</t>
  </si>
  <si>
    <t>BNA00665</t>
  </si>
  <si>
    <t>Agus Bitai B.Aceh</t>
  </si>
  <si>
    <t>Jl.Tengkuh Bitai B.Aceh</t>
  </si>
  <si>
    <t>2607/01581/AMN</t>
  </si>
  <si>
    <t>BNA00784</t>
  </si>
  <si>
    <t>Nanggroe Tk, BNA</t>
  </si>
  <si>
    <t>Jl. Tgk. Chik Ditiro No 79</t>
  </si>
  <si>
    <t>2607/01585/AMN</t>
  </si>
  <si>
    <t>2607/01599/AMN</t>
  </si>
  <si>
    <t>BNA00300</t>
  </si>
  <si>
    <t>Usaha Rajin Toko</t>
  </si>
  <si>
    <t xml:space="preserve">Jl. Tchick Pante Kulu Pasr Aceh </t>
  </si>
  <si>
    <t>2607/01602/AMN</t>
  </si>
  <si>
    <t>2607/01603/AMN</t>
  </si>
  <si>
    <t>BNA00760</t>
  </si>
  <si>
    <t>Asiong Tk/ Alex, BNA</t>
  </si>
  <si>
    <t>Jl. Tandi No 11</t>
  </si>
  <si>
    <t>2607/01082/AMN</t>
  </si>
  <si>
    <t>2607/00199/AMN</t>
  </si>
  <si>
    <t>BNA00389</t>
  </si>
  <si>
    <t>Ramai, B.Aceh</t>
  </si>
  <si>
    <t>Jl. Diponegoro</t>
  </si>
  <si>
    <t>Toko Ritail</t>
  </si>
  <si>
    <t>2607/00213/AMN</t>
  </si>
  <si>
    <t>BNA00793</t>
  </si>
  <si>
    <t>Amelia Market, BNA</t>
  </si>
  <si>
    <t>Jl Punge Blang Cut</t>
  </si>
  <si>
    <t>2607/00218/AMN</t>
  </si>
  <si>
    <t>BNA00790</t>
  </si>
  <si>
    <t>Ricky Amanda</t>
  </si>
  <si>
    <t>Wedana Swl, Jl Wedana No 6-7 Lhong Raya</t>
  </si>
  <si>
    <t>2607/00040/AMN</t>
  </si>
  <si>
    <t>BNA00638</t>
  </si>
  <si>
    <t>Abrar, UD.</t>
  </si>
  <si>
    <t>Jl. Sultan Malikul Saleh, Lamlagang</t>
  </si>
  <si>
    <t xml:space="preserve">Muhammad FZ </t>
  </si>
  <si>
    <t>2607/03785/AMN</t>
  </si>
  <si>
    <t>PBR00008</t>
  </si>
  <si>
    <t>Langkah Baru Tk</t>
  </si>
  <si>
    <t>Jl.Listrik Pondok Baru</t>
  </si>
  <si>
    <t>PONDOK BARU</t>
  </si>
  <si>
    <t>2607/03840/AMN</t>
  </si>
  <si>
    <t>2607/03338/AMN</t>
  </si>
  <si>
    <t>BPD00019</t>
  </si>
  <si>
    <t>Sejahtera Swl B. pidie, Jl. Kesehatan No 3-5 Octat, Blang Pidie</t>
  </si>
  <si>
    <t>Blang Pidie</t>
  </si>
  <si>
    <t>2607/03255/AMN</t>
  </si>
  <si>
    <t>MLB00001</t>
  </si>
  <si>
    <t>Sultan Swalayan</t>
  </si>
  <si>
    <t>Jl. Nasional</t>
  </si>
  <si>
    <t>MEULABOH</t>
  </si>
  <si>
    <t>2607/03126/AMN</t>
  </si>
  <si>
    <t>SBS00011</t>
  </si>
  <si>
    <t>AL Fatih Swalayan</t>
  </si>
  <si>
    <t>Jl. Perangusan, Subulussalam</t>
  </si>
  <si>
    <t>Subulussalam</t>
  </si>
  <si>
    <t>Supermarket</t>
  </si>
  <si>
    <t>DDR356193A</t>
  </si>
  <si>
    <t>Dee-Dee Shampoo 45ml Orange /72</t>
  </si>
  <si>
    <t>2607/02842/AMN</t>
  </si>
  <si>
    <t>LSM00022</t>
  </si>
  <si>
    <t>Sumber Rezeki</t>
  </si>
  <si>
    <t>Jl. Stasiun Lhokseumawe</t>
  </si>
  <si>
    <t>POR332590</t>
  </si>
  <si>
    <t>Porstex 3,7 Liter WL/4</t>
  </si>
  <si>
    <t>2607/02246/AMN</t>
  </si>
  <si>
    <t>TTA00018</t>
  </si>
  <si>
    <t>Surya Baru, Kota Fajar</t>
  </si>
  <si>
    <t xml:space="preserve">Jjl. T. Cut Alli </t>
  </si>
  <si>
    <t>Kota Fajar</t>
  </si>
  <si>
    <t>2607/02257/AMN</t>
  </si>
  <si>
    <t>TTA00010</t>
  </si>
  <si>
    <t>Sedia</t>
  </si>
  <si>
    <t>Jl. Merdeka Tapak Tuan</t>
  </si>
  <si>
    <t>TAPAK TUAN</t>
  </si>
  <si>
    <t>2607/02025/AMN</t>
  </si>
  <si>
    <t>PBR00001</t>
  </si>
  <si>
    <t>Yusra Market</t>
  </si>
  <si>
    <t>2607/01903/AMN</t>
  </si>
  <si>
    <t>SGL00027</t>
  </si>
  <si>
    <t>Maya Baru</t>
  </si>
  <si>
    <t>Jl. Perdagangan Sigli</t>
  </si>
  <si>
    <t>SIGLI</t>
  </si>
  <si>
    <t>2607/01728/AMN</t>
  </si>
  <si>
    <t>MLB00080</t>
  </si>
  <si>
    <t>SUKSES MITRA PERKASA, CV.</t>
  </si>
  <si>
    <t>Jl. Nasional (Gedung Giat), Meulaboh</t>
  </si>
  <si>
    <t>Meulaboh</t>
  </si>
  <si>
    <t>2607/01771/AMN</t>
  </si>
  <si>
    <t>SGL00044</t>
  </si>
  <si>
    <t>Zakaria Rahmad, Sigli</t>
  </si>
  <si>
    <t>Jl. Pembelian No. 02 Sigli</t>
  </si>
  <si>
    <t>2607/01575/AMN</t>
  </si>
  <si>
    <t>BPD00018</t>
  </si>
  <si>
    <t>Ilham Indah</t>
  </si>
  <si>
    <t>Jl. Selamat Blang Pidie</t>
  </si>
  <si>
    <t>2607/01587/AMN</t>
  </si>
  <si>
    <t>2607/01600/AMN</t>
  </si>
  <si>
    <t>MLB00055</t>
  </si>
  <si>
    <t>MUSLIM</t>
  </si>
  <si>
    <t>UD. MS, Jln. Tgk Chik Ali Akbar No. 9</t>
  </si>
  <si>
    <t>2607/01605/AMN</t>
  </si>
  <si>
    <t>SGL00048</t>
  </si>
  <si>
    <t>Razakna</t>
  </si>
  <si>
    <t>Jl. Iskandar Muda No. 42</t>
  </si>
  <si>
    <t>2607/01348/AMN</t>
  </si>
  <si>
    <t>CLG00002</t>
  </si>
  <si>
    <t>Calang</t>
  </si>
  <si>
    <t>POR332580</t>
  </si>
  <si>
    <t>Porstex 3,7 Liter WB/4</t>
  </si>
  <si>
    <t>2607/01088/AMN</t>
  </si>
  <si>
    <t>2607/00921/AMN</t>
  </si>
  <si>
    <t>KSP00042</t>
  </si>
  <si>
    <t>Batrass,Toko</t>
  </si>
  <si>
    <t>Sp. ABC Tualang Cut</t>
  </si>
  <si>
    <t>Aceh Tamiang</t>
  </si>
  <si>
    <t>2607/00930/AMN</t>
  </si>
  <si>
    <t>PTL00035</t>
  </si>
  <si>
    <t>Rayon Baru</t>
  </si>
  <si>
    <t>Jl. Medan - Banda Aceh Panton Labu</t>
  </si>
  <si>
    <t>2607/00511/AMN</t>
  </si>
  <si>
    <t>LGS00086</t>
  </si>
  <si>
    <t>Kembang Sari</t>
  </si>
  <si>
    <t>2607/SR/0247/AMN</t>
  </si>
  <si>
    <t xml:space="preserve">Widia </t>
  </si>
  <si>
    <t>2607/03467/AMN</t>
  </si>
  <si>
    <t>MLB00056</t>
  </si>
  <si>
    <t>Suriatama Mahkota Kencana, PT.</t>
  </si>
  <si>
    <t>Psr Induk Meulabah, Jalan Nasional - MEULABOH</t>
  </si>
  <si>
    <t>2607/03491/AMN</t>
  </si>
  <si>
    <t>LSM00067</t>
  </si>
  <si>
    <t>Suzuya LSM, Jl. Samudera Baru No.01, Sp. Empat,  Banda Sakti,</t>
  </si>
  <si>
    <t>2607/03534/AMN</t>
  </si>
  <si>
    <t>BNA00781</t>
  </si>
  <si>
    <t>Jl. H Dimurthala (P. Pirak) Simp 5 No 1 K. Alam Banda Aceh</t>
  </si>
  <si>
    <t>2607/03558/AMN</t>
  </si>
  <si>
    <t>ACB00021</t>
  </si>
  <si>
    <t>INDOMARCO PRISMATAMA, PT</t>
  </si>
  <si>
    <t>Jl. Laksamana Malahayati Ds. Baet Kec. Baitussalam - Aceh Besar</t>
  </si>
  <si>
    <t>2607/03370/AMN</t>
  </si>
  <si>
    <t>2607/03379/AMN</t>
  </si>
  <si>
    <t>BNA00606</t>
  </si>
  <si>
    <t>JL.T.Umar Eks Terminal lama Setui</t>
  </si>
  <si>
    <t>2607/03416/AMN</t>
  </si>
  <si>
    <t>BRU00042</t>
  </si>
  <si>
    <t>Suriatama Mahkota Kencana, PT</t>
  </si>
  <si>
    <t>Suzuya Bireun</t>
  </si>
  <si>
    <t>2607/03421/AMN</t>
  </si>
  <si>
    <t>LGS00135</t>
  </si>
  <si>
    <t>2607/02867/AMN</t>
  </si>
  <si>
    <t>2607/02870/AMN</t>
  </si>
  <si>
    <t>2607/02418/AMN</t>
  </si>
  <si>
    <t>2607/02442/AMN</t>
  </si>
  <si>
    <t>2607/02463/AMN</t>
  </si>
  <si>
    <t>2607/02473/AMN</t>
  </si>
  <si>
    <t>2607/02509/AMN</t>
  </si>
  <si>
    <t>2607/02514/AMN</t>
  </si>
  <si>
    <t>2607/01909/AMN</t>
  </si>
  <si>
    <t>2607/01912/AMN</t>
  </si>
  <si>
    <t>2607/01509/AMN</t>
  </si>
  <si>
    <t>2607/01516/AMN</t>
  </si>
  <si>
    <t>2607/01545/AMN</t>
  </si>
  <si>
    <t>POR332270</t>
  </si>
  <si>
    <t>Porstex Kloset 500ml/12</t>
  </si>
  <si>
    <t>2607/01471/AMN</t>
  </si>
  <si>
    <t>2607/01480/AMN</t>
  </si>
  <si>
    <t>2607/01129/AMN</t>
  </si>
  <si>
    <t>2607/SR/0697/AMN</t>
  </si>
  <si>
    <t>2607/00808/AMN</t>
  </si>
  <si>
    <t>2607/00650/AMN</t>
  </si>
  <si>
    <t>2607/00668/AMN</t>
  </si>
  <si>
    <t>2607/00688/AMN</t>
  </si>
  <si>
    <t>2607/00704/AMN</t>
  </si>
  <si>
    <t>2607/00711/AMN</t>
  </si>
  <si>
    <t>2607/00729/AMN</t>
  </si>
  <si>
    <t>2607/00363/AMN</t>
  </si>
  <si>
    <t>2607/00053/AMN</t>
  </si>
  <si>
    <t>2607/00062/AMN</t>
  </si>
  <si>
    <t>2607/00077/AMN</t>
  </si>
  <si>
    <t>2607/00098/AMN</t>
  </si>
  <si>
    <t>2607/00123/AMN</t>
  </si>
  <si>
    <t>2607/00140/AMN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</si>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</sst>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</font>
    <font>
      <b/>
      <sz val="8"/>
      <color rgb="FF000080"/>
      <name val="Arial"/>
      <family val="2"/>
    </font>
    <font>
      <b/>
      <sz val="9"/>
      <color rgb="FF000080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64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/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" fontId="2" fillId="0" borderId="0">
      <alignment horizontal="center" vertical="top"/>
    </xf>
    <xf numFmtId="4" fontId="3" fillId="0" borderId="0">
      <alignment horizontal="center" vertical="top"/>
    </xf>
    <xf numFmtId="4" fontId="4" fillId="0" borderId="0">
      <alignment horizontal="center" vertical="top"/>
    </xf>
    <xf numFmtId="4" fontId="5" fillId="0" borderId="0">
      <alignment horizontal="right" vertical="top"/>
    </xf>
    <xf numFmtId="4" fontId="6" fillId="0" borderId="0">
      <alignment horizontal="center" vertical="center"/>
    </xf>
    <xf numFmtId="4" fontId="5" fillId="0" borderId="0">
      <alignment horizontal="left" vertical="top"/>
    </xf>
    <xf numFmtId="4" fontId="5" fillId="0" borderId="0">
      <alignment horizontal="left" vertical="top"/>
    </xf>
    <xf numFmtId="4" fontId="6" fillId="0" borderId="0">
      <alignment horizontal="right" vertical="center"/>
    </xf>
  </cellStyleXfs>
  <cellXfs count="107">
    <xf numFmtId="0" fontId="0" fillId="0" borderId="0" xfId="0"/>
    <xf numFmtId="4" fontId="2" fillId="0" borderId="0" xfId="2" quotePrefix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4" fontId="3" fillId="0" borderId="0" xfId="3" quotePrefix="1" applyAlignment="1">
      <alignment horizontal="center" vertical="top" wrapText="1"/>
    </xf>
    <xf numFmtId="4" fontId="4" fillId="0" borderId="0" xfId="4" quotePrefix="1" applyAlignment="1">
      <alignment horizontal="center" vertical="top" wrapText="1"/>
    </xf>
    <xf numFmtId="4" fontId="5" fillId="0" borderId="0" xfId="5" quotePrefix="1" applyAlignment="1">
      <alignment horizontal="right" vertical="top" wrapText="1"/>
    </xf>
    <xf numFmtId="4" fontId="6" fillId="2" borderId="1" xfId="6" quotePrefix="1" applyFill="1" applyBorder="1" applyAlignment="1">
      <alignment horizontal="center" vertical="center" wrapText="1"/>
    </xf>
    <xf numFmtId="14" fontId="6" fillId="2" borderId="2" xfId="6" quotePrefix="1" applyNumberFormat="1" applyFill="1" applyBorder="1" applyAlignment="1">
      <alignment horizontal="center" vertical="center" wrapText="1"/>
    </xf>
    <xf numFmtId="4" fontId="6" fillId="2" borderId="2" xfId="6" quotePrefix="1" applyFill="1" applyBorder="1" applyAlignment="1">
      <alignment horizontal="center" vertical="center" wrapText="1"/>
    </xf>
    <xf numFmtId="4" fontId="6" fillId="2" borderId="3" xfId="6" quotePrefix="1" applyFill="1" applyBorder="1" applyAlignment="1">
      <alignment horizontal="center" vertical="center" wrapText="1"/>
    </xf>
    <xf numFmtId="164" fontId="7" fillId="2" borderId="4" xfId="1" quotePrefix="1" applyNumberFormat="1" applyFont="1" applyFill="1" applyBorder="1" applyAlignment="1">
      <alignment horizontal="center" vertical="center" wrapText="1"/>
    </xf>
    <xf numFmtId="164" fontId="1" fillId="2" borderId="5" xfId="1" applyNumberFormat="1" applyFont="1" applyFill="1" applyBorder="1" applyAlignment="1">
      <alignment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wrapText="1"/>
    </xf>
    <xf numFmtId="14" fontId="0" fillId="2" borderId="7" xfId="0" applyNumberFormat="1" applyFill="1" applyBorder="1" applyAlignment="1">
      <alignment wrapText="1"/>
    </xf>
    <xf numFmtId="0" fontId="0" fillId="2" borderId="8" xfId="0" applyFill="1" applyBorder="1" applyAlignment="1">
      <alignment wrapText="1"/>
    </xf>
    <xf numFmtId="164" fontId="6" fillId="2" borderId="9" xfId="1" quotePrefix="1" applyNumberFormat="1" applyFont="1" applyFill="1" applyBorder="1" applyAlignment="1">
      <alignment horizontal="center" vertical="center" wrapText="1"/>
    </xf>
    <xf numFmtId="164" fontId="6" fillId="2" borderId="10" xfId="1" quotePrefix="1" applyNumberFormat="1" applyFont="1" applyFill="1" applyBorder="1" applyAlignment="1">
      <alignment horizontal="center" vertical="center" wrapText="1"/>
    </xf>
    <xf numFmtId="164" fontId="6" fillId="2" borderId="11" xfId="1" quotePrefix="1" applyNumberFormat="1" applyFont="1" applyFill="1" applyBorder="1" applyAlignment="1">
      <alignment horizontal="center" vertical="center" wrapText="1"/>
    </xf>
    <xf numFmtId="4" fontId="5" fillId="0" borderId="1" xfId="7" quotePrefix="1" applyBorder="1" applyAlignment="1">
      <alignment horizontal="left" vertical="top" wrapText="1"/>
    </xf>
    <xf numFmtId="14" fontId="5" fillId="0" borderId="1" xfId="8" applyNumberFormat="1" applyBorder="1" applyAlignment="1">
      <alignment horizontal="left" vertical="top" wrapText="1"/>
    </xf>
    <xf numFmtId="4" fontId="5" fillId="0" borderId="0" xfId="7" quotePrefix="1" applyAlignment="1">
      <alignment horizontal="left" vertical="top" wrapText="1"/>
    </xf>
    <xf numFmtId="4" fontId="5" fillId="0" borderId="10" xfId="7" quotePrefix="1" applyBorder="1" applyAlignment="1">
      <alignment horizontal="left" vertical="top" wrapText="1"/>
    </xf>
    <xf numFmtId="164" fontId="5" fillId="0" borderId="12" xfId="1" applyNumberFormat="1" applyFont="1" applyBorder="1" applyAlignment="1">
      <alignment horizontal="right" vertical="center" wrapText="1"/>
    </xf>
    <xf numFmtId="164" fontId="5" fillId="0" borderId="10" xfId="1" applyNumberFormat="1" applyFont="1" applyBorder="1" applyAlignment="1">
      <alignment horizontal="right" vertical="center" wrapText="1"/>
    </xf>
    <xf numFmtId="164" fontId="8" fillId="0" borderId="6" xfId="1" applyNumberFormat="1" applyFont="1" applyBorder="1" applyAlignment="1">
      <alignment wrapText="1"/>
    </xf>
    <xf numFmtId="0" fontId="0" fillId="0" borderId="13" xfId="0" applyBorder="1" applyAlignment="1">
      <alignment wrapText="1"/>
    </xf>
    <xf numFmtId="14" fontId="0" fillId="0" borderId="13" xfId="0" applyNumberFormat="1" applyBorder="1" applyAlignment="1">
      <alignment wrapText="1"/>
    </xf>
    <xf numFmtId="0" fontId="0" fillId="0" borderId="13" xfId="0" applyBorder="1" applyAlignment="1">
      <alignment horizontal="left" vertical="top" wrapText="1"/>
    </xf>
    <xf numFmtId="164" fontId="5" fillId="0" borderId="0" xfId="1" applyNumberFormat="1" applyFont="1" applyBorder="1" applyAlignment="1">
      <alignment horizontal="right" vertical="center" wrapText="1"/>
    </xf>
    <xf numFmtId="164" fontId="5" fillId="0" borderId="4" xfId="1" applyNumberFormat="1" applyFont="1" applyBorder="1" applyAlignment="1">
      <alignment horizontal="right" vertical="center" wrapText="1"/>
    </xf>
    <xf numFmtId="14" fontId="0" fillId="0" borderId="7" xfId="0" applyNumberForma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4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4" fontId="5" fillId="0" borderId="11" xfId="7" quotePrefix="1" applyBorder="1" applyAlignment="1">
      <alignment horizontal="left" vertical="top" wrapText="1"/>
    </xf>
    <xf numFmtId="164" fontId="5" fillId="0" borderId="11" xfId="1" applyNumberFormat="1" applyFont="1" applyBorder="1" applyAlignment="1">
      <alignment horizontal="right" vertical="center" wrapText="1"/>
    </xf>
    <xf numFmtId="14" fontId="5" fillId="0" borderId="10" xfId="8" applyNumberFormat="1" applyBorder="1" applyAlignment="1">
      <alignment horizontal="left" vertical="top" wrapText="1"/>
    </xf>
    <xf numFmtId="4" fontId="5" fillId="0" borderId="15" xfId="7" quotePrefix="1" applyBorder="1" applyAlignment="1">
      <alignment horizontal="left" vertical="top" wrapText="1"/>
    </xf>
    <xf numFmtId="164" fontId="5" fillId="0" borderId="15" xfId="1" applyNumberFormat="1" applyFont="1" applyBorder="1" applyAlignment="1">
      <alignment horizontal="right" vertical="center" wrapText="1"/>
    </xf>
    <xf numFmtId="4" fontId="5" fillId="0" borderId="12" xfId="7" quotePrefix="1" applyBorder="1" applyAlignment="1">
      <alignment horizontal="left" vertical="top" wrapText="1"/>
    </xf>
    <xf numFmtId="14" fontId="0" fillId="0" borderId="13" xfId="0" applyNumberFormat="1" applyBorder="1" applyAlignment="1">
      <alignment horizontal="left" vertical="top" wrapText="1"/>
    </xf>
    <xf numFmtId="164" fontId="5" fillId="0" borderId="16" xfId="1" applyNumberFormat="1" applyFont="1" applyBorder="1" applyAlignment="1">
      <alignment horizontal="right" vertical="center" wrapText="1"/>
    </xf>
    <xf numFmtId="4" fontId="5" fillId="0" borderId="17" xfId="7" quotePrefix="1" applyBorder="1" applyAlignment="1">
      <alignment horizontal="left" vertical="top" wrapText="1"/>
    </xf>
    <xf numFmtId="4" fontId="5" fillId="0" borderId="16" xfId="7" quotePrefix="1" applyBorder="1" applyAlignment="1">
      <alignment horizontal="left" vertical="top" wrapText="1"/>
    </xf>
    <xf numFmtId="14" fontId="0" fillId="0" borderId="7" xfId="0" applyNumberFormat="1" applyBorder="1" applyAlignment="1">
      <alignment horizontal="left" vertical="top" wrapText="1"/>
    </xf>
    <xf numFmtId="4" fontId="5" fillId="0" borderId="5" xfId="7" quotePrefix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center" wrapText="1"/>
    </xf>
    <xf numFmtId="4" fontId="5" fillId="0" borderId="18" xfId="7" quotePrefix="1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4" fontId="5" fillId="0" borderId="20" xfId="7" quotePrefix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4" fontId="5" fillId="0" borderId="18" xfId="7" quotePrefix="1" applyBorder="1" applyAlignment="1">
      <alignment horizontal="left" vertical="top" wrapText="1"/>
    </xf>
    <xf numFmtId="4" fontId="5" fillId="0" borderId="4" xfId="7" quotePrefix="1" applyBorder="1" applyAlignment="1">
      <alignment horizontal="left" vertical="top" wrapText="1"/>
    </xf>
    <xf numFmtId="4" fontId="5" fillId="0" borderId="21" xfId="7" quotePrefix="1" applyBorder="1" applyAlignment="1">
      <alignment horizontal="left" vertical="top" wrapText="1"/>
    </xf>
    <xf numFmtId="4" fontId="5" fillId="0" borderId="1" xfId="7" applyBorder="1" applyAlignment="1">
      <alignment horizontal="left" vertical="top" wrapText="1"/>
    </xf>
    <xf numFmtId="4" fontId="5" fillId="0" borderId="19" xfId="7" quotePrefix="1" applyBorder="1" applyAlignment="1">
      <alignment horizontal="left" vertical="top" wrapText="1"/>
    </xf>
    <xf numFmtId="4" fontId="5" fillId="0" borderId="8" xfId="7" quotePrefix="1" applyBorder="1" applyAlignment="1">
      <alignment horizontal="left" vertical="top" wrapText="1"/>
    </xf>
    <xf numFmtId="4" fontId="5" fillId="0" borderId="22" xfId="7" quotePrefix="1" applyBorder="1" applyAlignment="1">
      <alignment horizontal="left" vertical="top" wrapText="1"/>
    </xf>
    <xf numFmtId="164" fontId="5" fillId="0" borderId="22" xfId="1" applyNumberFormat="1" applyFont="1" applyBorder="1" applyAlignment="1">
      <alignment horizontal="right" vertical="center" wrapText="1"/>
    </xf>
    <xf numFmtId="14" fontId="5" fillId="0" borderId="7" xfId="8" applyNumberFormat="1" applyBorder="1" applyAlignment="1">
      <alignment horizontal="left" vertical="top" wrapText="1"/>
    </xf>
    <xf numFmtId="4" fontId="5" fillId="0" borderId="7" xfId="7" quotePrefix="1" applyBorder="1" applyAlignment="1">
      <alignment horizontal="left" vertical="top" wrapText="1"/>
    </xf>
    <xf numFmtId="4" fontId="5" fillId="0" borderId="23" xfId="7" quotePrefix="1" applyBorder="1" applyAlignment="1">
      <alignment horizontal="left" vertical="top" wrapText="1"/>
    </xf>
    <xf numFmtId="164" fontId="5" fillId="0" borderId="23" xfId="1" applyNumberFormat="1" applyFont="1" applyBorder="1" applyAlignment="1">
      <alignment horizontal="right" vertical="center" wrapText="1"/>
    </xf>
    <xf numFmtId="14" fontId="5" fillId="0" borderId="24" xfId="8" applyNumberFormat="1" applyBorder="1" applyAlignment="1">
      <alignment horizontal="left" vertical="top" wrapText="1"/>
    </xf>
    <xf numFmtId="4" fontId="5" fillId="0" borderId="25" xfId="7" quotePrefix="1" applyBorder="1" applyAlignment="1">
      <alignment horizontal="left" vertical="top" wrapText="1"/>
    </xf>
    <xf numFmtId="164" fontId="5" fillId="0" borderId="25" xfId="1" applyNumberFormat="1" applyFont="1" applyBorder="1" applyAlignment="1">
      <alignment horizontal="right" vertical="center" wrapText="1"/>
    </xf>
    <xf numFmtId="4" fontId="5" fillId="0" borderId="13" xfId="7" quotePrefix="1" applyBorder="1" applyAlignment="1">
      <alignment horizontal="left" vertical="top" wrapText="1"/>
    </xf>
    <xf numFmtId="164" fontId="5" fillId="0" borderId="26" xfId="1" applyNumberFormat="1" applyFont="1" applyBorder="1" applyAlignment="1">
      <alignment horizontal="right" vertical="center" wrapText="1"/>
    </xf>
    <xf numFmtId="4" fontId="5" fillId="0" borderId="26" xfId="7" quotePrefix="1" applyBorder="1" applyAlignment="1">
      <alignment horizontal="left" vertical="top" wrapText="1"/>
    </xf>
    <xf numFmtId="164" fontId="5" fillId="0" borderId="7" xfId="1" applyNumberFormat="1" applyFont="1" applyBorder="1" applyAlignment="1">
      <alignment horizontal="right" vertical="center" wrapText="1"/>
    </xf>
    <xf numFmtId="164" fontId="5" fillId="0" borderId="8" xfId="1" applyNumberFormat="1" applyFont="1" applyBorder="1" applyAlignment="1">
      <alignment horizontal="right" vertical="center" wrapText="1"/>
    </xf>
    <xf numFmtId="164" fontId="9" fillId="0" borderId="16" xfId="1" applyNumberFormat="1" applyFont="1" applyBorder="1" applyAlignment="1">
      <alignment horizontal="right" vertical="center" wrapText="1"/>
    </xf>
    <xf numFmtId="164" fontId="9" fillId="0" borderId="10" xfId="1" applyNumberFormat="1" applyFont="1" applyBorder="1" applyAlignment="1">
      <alignment horizontal="right" vertical="center" wrapText="1"/>
    </xf>
    <xf numFmtId="164" fontId="9" fillId="0" borderId="5" xfId="1" applyNumberFormat="1" applyFont="1" applyBorder="1" applyAlignment="1">
      <alignment horizontal="right" vertical="center" wrapText="1"/>
    </xf>
    <xf numFmtId="14" fontId="5" fillId="0" borderId="20" xfId="8" applyNumberFormat="1" applyBorder="1" applyAlignment="1">
      <alignment horizontal="left" vertical="top" wrapText="1"/>
    </xf>
    <xf numFmtId="4" fontId="5" fillId="0" borderId="16" xfId="7" applyBorder="1" applyAlignment="1">
      <alignment horizontal="left" vertical="top" wrapText="1"/>
    </xf>
    <xf numFmtId="14" fontId="5" fillId="0" borderId="17" xfId="8" applyNumberFormat="1" applyBorder="1" applyAlignment="1">
      <alignment horizontal="left" vertical="top" wrapText="1"/>
    </xf>
    <xf numFmtId="164" fontId="5" fillId="0" borderId="27" xfId="1" applyNumberFormat="1" applyFont="1" applyBorder="1" applyAlignment="1">
      <alignment horizontal="right" vertical="center" wrapText="1"/>
    </xf>
    <xf numFmtId="4" fontId="5" fillId="0" borderId="28" xfId="7" quotePrefix="1" applyBorder="1" applyAlignment="1">
      <alignment horizontal="left" vertical="top" wrapText="1"/>
    </xf>
    <xf numFmtId="164" fontId="5" fillId="0" borderId="29" xfId="1" applyNumberFormat="1" applyFont="1" applyBorder="1" applyAlignment="1">
      <alignment horizontal="right" vertical="center" wrapText="1"/>
    </xf>
    <xf numFmtId="4" fontId="5" fillId="0" borderId="27" xfId="7" quotePrefix="1" applyBorder="1" applyAlignment="1">
      <alignment horizontal="left" vertical="top" wrapText="1"/>
    </xf>
    <xf numFmtId="4" fontId="5" fillId="0" borderId="30" xfId="7" quotePrefix="1" applyBorder="1" applyAlignment="1">
      <alignment horizontal="left" vertical="top" wrapText="1"/>
    </xf>
    <xf numFmtId="14" fontId="5" fillId="0" borderId="22" xfId="8" applyNumberFormat="1" applyBorder="1" applyAlignment="1">
      <alignment horizontal="left" vertical="top" wrapText="1"/>
    </xf>
    <xf numFmtId="4" fontId="5" fillId="0" borderId="31" xfId="7" quotePrefix="1" applyBorder="1" applyAlignment="1">
      <alignment horizontal="left" vertical="top" wrapText="1"/>
    </xf>
    <xf numFmtId="164" fontId="5" fillId="0" borderId="31" xfId="1" applyNumberFormat="1" applyFont="1" applyBorder="1" applyAlignment="1">
      <alignment horizontal="right" vertical="center" wrapText="1"/>
    </xf>
    <xf numFmtId="4" fontId="5" fillId="0" borderId="1" xfId="7" quotePrefix="1" applyBorder="1" applyAlignment="1">
      <alignment horizontal="left" vertical="top" wrapText="1"/>
    </xf>
    <xf numFmtId="164" fontId="5" fillId="0" borderId="17" xfId="1" applyNumberFormat="1" applyFont="1" applyBorder="1" applyAlignment="1">
      <alignment horizontal="right" vertical="center" wrapText="1"/>
    </xf>
    <xf numFmtId="4" fontId="5" fillId="0" borderId="32" xfId="7" quotePrefix="1" applyBorder="1" applyAlignment="1">
      <alignment horizontal="left" vertical="top" wrapText="1"/>
    </xf>
    <xf numFmtId="14" fontId="5" fillId="0" borderId="18" xfId="8" applyNumberFormat="1" applyBorder="1" applyAlignment="1">
      <alignment horizontal="left" vertical="top" wrapText="1"/>
    </xf>
    <xf numFmtId="14" fontId="0" fillId="0" borderId="19" xfId="0" applyNumberFormat="1" applyBorder="1" applyAlignment="1">
      <alignment horizontal="left" vertical="top" wrapText="1"/>
    </xf>
    <xf numFmtId="4" fontId="5" fillId="0" borderId="32" xfId="7" quotePrefix="1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14" fontId="0" fillId="0" borderId="8" xfId="0" applyNumberFormat="1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4" fontId="5" fillId="0" borderId="2" xfId="7" quotePrefix="1" applyBorder="1" applyAlignment="1">
      <alignment horizontal="left" vertical="top" wrapText="1"/>
    </xf>
    <xf numFmtId="4" fontId="5" fillId="0" borderId="3" xfId="7" quotePrefix="1" applyBorder="1" applyAlignment="1">
      <alignment horizontal="left" vertical="top" wrapText="1"/>
    </xf>
    <xf numFmtId="4" fontId="5" fillId="0" borderId="9" xfId="7" quotePrefix="1" applyBorder="1" applyAlignment="1">
      <alignment horizontal="left" vertical="top" wrapText="1"/>
    </xf>
    <xf numFmtId="4" fontId="5" fillId="0" borderId="3" xfId="7" quotePrefix="1" applyBorder="1" applyAlignment="1">
      <alignment horizontal="left" vertical="top" wrapText="1"/>
    </xf>
    <xf numFmtId="4" fontId="6" fillId="0" borderId="4" xfId="9" quotePrefix="1" applyBorder="1" applyAlignment="1">
      <alignment horizontal="right" vertical="center" wrapText="1"/>
    </xf>
    <xf numFmtId="0" fontId="0" fillId="0" borderId="5" xfId="0" applyBorder="1" applyAlignment="1">
      <alignment wrapText="1"/>
    </xf>
    <xf numFmtId="0" fontId="0" fillId="0" borderId="17" xfId="0" applyBorder="1" applyAlignment="1">
      <alignment wrapText="1"/>
    </xf>
    <xf numFmtId="14" fontId="0" fillId="0" borderId="0" xfId="0" applyNumberFormat="1" applyAlignment="1">
      <alignment wrapText="1"/>
    </xf>
    <xf numFmtId="164" fontId="1" fillId="0" borderId="0" xfId="1" applyNumberFormat="1" applyFont="1" applyAlignment="1">
      <alignment wrapText="1"/>
    </xf>
  </cellXfs>
  <cellStyles count="10">
    <cellStyle name="Comma" xfId="1" builtinId="3"/>
    <cellStyle name="Normal" xfId="0" builtinId="0"/>
    <cellStyle name="S0" xfId="2"/>
    <cellStyle name="S1" xfId="3"/>
    <cellStyle name="S2" xfId="4"/>
    <cellStyle name="S3" xfId="5"/>
    <cellStyle name="S5" xfId="6"/>
    <cellStyle name="S6" xfId="7"/>
    <cellStyle name="S7" xfId="8"/>
    <cellStyle name="S8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0"/>
  <sheetViews>
    <sheetView tabSelected="1" workbookViewId="0">
      <selection sqref="A1:XFD1048576"/>
    </sheetView>
  </sheetViews>
  <sheetFormatPr defaultRowHeight="15" x14ac:dyDescent="0.25"/>
  <cols>
    <col min="1" max="1" width="13" style="3" customWidth="1"/>
    <col min="2" max="2" width="11" style="3" customWidth="1"/>
    <col min="3" max="3" width="9.28515625" style="105" customWidth="1"/>
    <col min="4" max="4" width="14.28515625" style="3" customWidth="1"/>
    <col min="5" max="5" width="11.5703125" style="3" customWidth="1"/>
    <col min="6" max="6" width="19.140625" style="3" customWidth="1"/>
    <col min="7" max="7" width="21.42578125" style="3" customWidth="1"/>
    <col min="8" max="8" width="10.28515625" style="3" customWidth="1"/>
    <col min="9" max="9" width="12.140625" style="3" customWidth="1"/>
    <col min="10" max="10" width="10.5703125" style="3" customWidth="1"/>
    <col min="11" max="11" width="37.140625" style="3" customWidth="1"/>
    <col min="12" max="12" width="8.28515625" style="106" customWidth="1"/>
    <col min="13" max="13" width="12" style="106" customWidth="1"/>
    <col min="14" max="14" width="11.140625" style="106" customWidth="1"/>
    <col min="15" max="15" width="13.28515625" style="3" customWidth="1"/>
    <col min="16" max="256" width="9.140625" style="3"/>
    <col min="257" max="257" width="13" style="3" customWidth="1"/>
    <col min="258" max="258" width="11" style="3" customWidth="1"/>
    <col min="259" max="259" width="9.28515625" style="3" customWidth="1"/>
    <col min="260" max="260" width="14.28515625" style="3" customWidth="1"/>
    <col min="261" max="261" width="11.5703125" style="3" customWidth="1"/>
    <col min="262" max="262" width="19.140625" style="3" customWidth="1"/>
    <col min="263" max="263" width="21.42578125" style="3" customWidth="1"/>
    <col min="264" max="264" width="10.28515625" style="3" customWidth="1"/>
    <col min="265" max="265" width="12.140625" style="3" customWidth="1"/>
    <col min="266" max="266" width="10.5703125" style="3" customWidth="1"/>
    <col min="267" max="267" width="37.140625" style="3" customWidth="1"/>
    <col min="268" max="268" width="8.28515625" style="3" customWidth="1"/>
    <col min="269" max="269" width="12" style="3" customWidth="1"/>
    <col min="270" max="270" width="11.140625" style="3" customWidth="1"/>
    <col min="271" max="271" width="13.28515625" style="3" customWidth="1"/>
    <col min="272" max="512" width="9.140625" style="3"/>
    <col min="513" max="513" width="13" style="3" customWidth="1"/>
    <col min="514" max="514" width="11" style="3" customWidth="1"/>
    <col min="515" max="515" width="9.28515625" style="3" customWidth="1"/>
    <col min="516" max="516" width="14.28515625" style="3" customWidth="1"/>
    <col min="517" max="517" width="11.5703125" style="3" customWidth="1"/>
    <col min="518" max="518" width="19.140625" style="3" customWidth="1"/>
    <col min="519" max="519" width="21.42578125" style="3" customWidth="1"/>
    <col min="520" max="520" width="10.28515625" style="3" customWidth="1"/>
    <col min="521" max="521" width="12.140625" style="3" customWidth="1"/>
    <col min="522" max="522" width="10.5703125" style="3" customWidth="1"/>
    <col min="523" max="523" width="37.140625" style="3" customWidth="1"/>
    <col min="524" max="524" width="8.28515625" style="3" customWidth="1"/>
    <col min="525" max="525" width="12" style="3" customWidth="1"/>
    <col min="526" max="526" width="11.140625" style="3" customWidth="1"/>
    <col min="527" max="527" width="13.28515625" style="3" customWidth="1"/>
    <col min="528" max="768" width="9.140625" style="3"/>
    <col min="769" max="769" width="13" style="3" customWidth="1"/>
    <col min="770" max="770" width="11" style="3" customWidth="1"/>
    <col min="771" max="771" width="9.28515625" style="3" customWidth="1"/>
    <col min="772" max="772" width="14.28515625" style="3" customWidth="1"/>
    <col min="773" max="773" width="11.5703125" style="3" customWidth="1"/>
    <col min="774" max="774" width="19.140625" style="3" customWidth="1"/>
    <col min="775" max="775" width="21.42578125" style="3" customWidth="1"/>
    <col min="776" max="776" width="10.28515625" style="3" customWidth="1"/>
    <col min="777" max="777" width="12.140625" style="3" customWidth="1"/>
    <col min="778" max="778" width="10.5703125" style="3" customWidth="1"/>
    <col min="779" max="779" width="37.140625" style="3" customWidth="1"/>
    <col min="780" max="780" width="8.28515625" style="3" customWidth="1"/>
    <col min="781" max="781" width="12" style="3" customWidth="1"/>
    <col min="782" max="782" width="11.140625" style="3" customWidth="1"/>
    <col min="783" max="783" width="13.28515625" style="3" customWidth="1"/>
    <col min="784" max="1024" width="9.140625" style="3"/>
    <col min="1025" max="1025" width="13" style="3" customWidth="1"/>
    <col min="1026" max="1026" width="11" style="3" customWidth="1"/>
    <col min="1027" max="1027" width="9.28515625" style="3" customWidth="1"/>
    <col min="1028" max="1028" width="14.28515625" style="3" customWidth="1"/>
    <col min="1029" max="1029" width="11.5703125" style="3" customWidth="1"/>
    <col min="1030" max="1030" width="19.140625" style="3" customWidth="1"/>
    <col min="1031" max="1031" width="21.42578125" style="3" customWidth="1"/>
    <col min="1032" max="1032" width="10.28515625" style="3" customWidth="1"/>
    <col min="1033" max="1033" width="12.140625" style="3" customWidth="1"/>
    <col min="1034" max="1034" width="10.5703125" style="3" customWidth="1"/>
    <col min="1035" max="1035" width="37.140625" style="3" customWidth="1"/>
    <col min="1036" max="1036" width="8.28515625" style="3" customWidth="1"/>
    <col min="1037" max="1037" width="12" style="3" customWidth="1"/>
    <col min="1038" max="1038" width="11.140625" style="3" customWidth="1"/>
    <col min="1039" max="1039" width="13.28515625" style="3" customWidth="1"/>
    <col min="1040" max="1280" width="9.140625" style="3"/>
    <col min="1281" max="1281" width="13" style="3" customWidth="1"/>
    <col min="1282" max="1282" width="11" style="3" customWidth="1"/>
    <col min="1283" max="1283" width="9.28515625" style="3" customWidth="1"/>
    <col min="1284" max="1284" width="14.28515625" style="3" customWidth="1"/>
    <col min="1285" max="1285" width="11.5703125" style="3" customWidth="1"/>
    <col min="1286" max="1286" width="19.140625" style="3" customWidth="1"/>
    <col min="1287" max="1287" width="21.42578125" style="3" customWidth="1"/>
    <col min="1288" max="1288" width="10.28515625" style="3" customWidth="1"/>
    <col min="1289" max="1289" width="12.140625" style="3" customWidth="1"/>
    <col min="1290" max="1290" width="10.5703125" style="3" customWidth="1"/>
    <col min="1291" max="1291" width="37.140625" style="3" customWidth="1"/>
    <col min="1292" max="1292" width="8.28515625" style="3" customWidth="1"/>
    <col min="1293" max="1293" width="12" style="3" customWidth="1"/>
    <col min="1294" max="1294" width="11.140625" style="3" customWidth="1"/>
    <col min="1295" max="1295" width="13.28515625" style="3" customWidth="1"/>
    <col min="1296" max="1536" width="9.140625" style="3"/>
    <col min="1537" max="1537" width="13" style="3" customWidth="1"/>
    <col min="1538" max="1538" width="11" style="3" customWidth="1"/>
    <col min="1539" max="1539" width="9.28515625" style="3" customWidth="1"/>
    <col min="1540" max="1540" width="14.28515625" style="3" customWidth="1"/>
    <col min="1541" max="1541" width="11.5703125" style="3" customWidth="1"/>
    <col min="1542" max="1542" width="19.140625" style="3" customWidth="1"/>
    <col min="1543" max="1543" width="21.42578125" style="3" customWidth="1"/>
    <col min="1544" max="1544" width="10.28515625" style="3" customWidth="1"/>
    <col min="1545" max="1545" width="12.140625" style="3" customWidth="1"/>
    <col min="1546" max="1546" width="10.5703125" style="3" customWidth="1"/>
    <col min="1547" max="1547" width="37.140625" style="3" customWidth="1"/>
    <col min="1548" max="1548" width="8.28515625" style="3" customWidth="1"/>
    <col min="1549" max="1549" width="12" style="3" customWidth="1"/>
    <col min="1550" max="1550" width="11.140625" style="3" customWidth="1"/>
    <col min="1551" max="1551" width="13.28515625" style="3" customWidth="1"/>
    <col min="1552" max="1792" width="9.140625" style="3"/>
    <col min="1793" max="1793" width="13" style="3" customWidth="1"/>
    <col min="1794" max="1794" width="11" style="3" customWidth="1"/>
    <col min="1795" max="1795" width="9.28515625" style="3" customWidth="1"/>
    <col min="1796" max="1796" width="14.28515625" style="3" customWidth="1"/>
    <col min="1797" max="1797" width="11.5703125" style="3" customWidth="1"/>
    <col min="1798" max="1798" width="19.140625" style="3" customWidth="1"/>
    <col min="1799" max="1799" width="21.42578125" style="3" customWidth="1"/>
    <col min="1800" max="1800" width="10.28515625" style="3" customWidth="1"/>
    <col min="1801" max="1801" width="12.140625" style="3" customWidth="1"/>
    <col min="1802" max="1802" width="10.5703125" style="3" customWidth="1"/>
    <col min="1803" max="1803" width="37.140625" style="3" customWidth="1"/>
    <col min="1804" max="1804" width="8.28515625" style="3" customWidth="1"/>
    <col min="1805" max="1805" width="12" style="3" customWidth="1"/>
    <col min="1806" max="1806" width="11.140625" style="3" customWidth="1"/>
    <col min="1807" max="1807" width="13.28515625" style="3" customWidth="1"/>
    <col min="1808" max="2048" width="9.140625" style="3"/>
    <col min="2049" max="2049" width="13" style="3" customWidth="1"/>
    <col min="2050" max="2050" width="11" style="3" customWidth="1"/>
    <col min="2051" max="2051" width="9.28515625" style="3" customWidth="1"/>
    <col min="2052" max="2052" width="14.28515625" style="3" customWidth="1"/>
    <col min="2053" max="2053" width="11.5703125" style="3" customWidth="1"/>
    <col min="2054" max="2054" width="19.140625" style="3" customWidth="1"/>
    <col min="2055" max="2055" width="21.42578125" style="3" customWidth="1"/>
    <col min="2056" max="2056" width="10.28515625" style="3" customWidth="1"/>
    <col min="2057" max="2057" width="12.140625" style="3" customWidth="1"/>
    <col min="2058" max="2058" width="10.5703125" style="3" customWidth="1"/>
    <col min="2059" max="2059" width="37.140625" style="3" customWidth="1"/>
    <col min="2060" max="2060" width="8.28515625" style="3" customWidth="1"/>
    <col min="2061" max="2061" width="12" style="3" customWidth="1"/>
    <col min="2062" max="2062" width="11.140625" style="3" customWidth="1"/>
    <col min="2063" max="2063" width="13.28515625" style="3" customWidth="1"/>
    <col min="2064" max="2304" width="9.140625" style="3"/>
    <col min="2305" max="2305" width="13" style="3" customWidth="1"/>
    <col min="2306" max="2306" width="11" style="3" customWidth="1"/>
    <col min="2307" max="2307" width="9.28515625" style="3" customWidth="1"/>
    <col min="2308" max="2308" width="14.28515625" style="3" customWidth="1"/>
    <col min="2309" max="2309" width="11.5703125" style="3" customWidth="1"/>
    <col min="2310" max="2310" width="19.140625" style="3" customWidth="1"/>
    <col min="2311" max="2311" width="21.42578125" style="3" customWidth="1"/>
    <col min="2312" max="2312" width="10.28515625" style="3" customWidth="1"/>
    <col min="2313" max="2313" width="12.140625" style="3" customWidth="1"/>
    <col min="2314" max="2314" width="10.5703125" style="3" customWidth="1"/>
    <col min="2315" max="2315" width="37.140625" style="3" customWidth="1"/>
    <col min="2316" max="2316" width="8.28515625" style="3" customWidth="1"/>
    <col min="2317" max="2317" width="12" style="3" customWidth="1"/>
    <col min="2318" max="2318" width="11.140625" style="3" customWidth="1"/>
    <col min="2319" max="2319" width="13.28515625" style="3" customWidth="1"/>
    <col min="2320" max="2560" width="9.140625" style="3"/>
    <col min="2561" max="2561" width="13" style="3" customWidth="1"/>
    <col min="2562" max="2562" width="11" style="3" customWidth="1"/>
    <col min="2563" max="2563" width="9.28515625" style="3" customWidth="1"/>
    <col min="2564" max="2564" width="14.28515625" style="3" customWidth="1"/>
    <col min="2565" max="2565" width="11.5703125" style="3" customWidth="1"/>
    <col min="2566" max="2566" width="19.140625" style="3" customWidth="1"/>
    <col min="2567" max="2567" width="21.42578125" style="3" customWidth="1"/>
    <col min="2568" max="2568" width="10.28515625" style="3" customWidth="1"/>
    <col min="2569" max="2569" width="12.140625" style="3" customWidth="1"/>
    <col min="2570" max="2570" width="10.5703125" style="3" customWidth="1"/>
    <col min="2571" max="2571" width="37.140625" style="3" customWidth="1"/>
    <col min="2572" max="2572" width="8.28515625" style="3" customWidth="1"/>
    <col min="2573" max="2573" width="12" style="3" customWidth="1"/>
    <col min="2574" max="2574" width="11.140625" style="3" customWidth="1"/>
    <col min="2575" max="2575" width="13.28515625" style="3" customWidth="1"/>
    <col min="2576" max="2816" width="9.140625" style="3"/>
    <col min="2817" max="2817" width="13" style="3" customWidth="1"/>
    <col min="2818" max="2818" width="11" style="3" customWidth="1"/>
    <col min="2819" max="2819" width="9.28515625" style="3" customWidth="1"/>
    <col min="2820" max="2820" width="14.28515625" style="3" customWidth="1"/>
    <col min="2821" max="2821" width="11.5703125" style="3" customWidth="1"/>
    <col min="2822" max="2822" width="19.140625" style="3" customWidth="1"/>
    <col min="2823" max="2823" width="21.42578125" style="3" customWidth="1"/>
    <col min="2824" max="2824" width="10.28515625" style="3" customWidth="1"/>
    <col min="2825" max="2825" width="12.140625" style="3" customWidth="1"/>
    <col min="2826" max="2826" width="10.5703125" style="3" customWidth="1"/>
    <col min="2827" max="2827" width="37.140625" style="3" customWidth="1"/>
    <col min="2828" max="2828" width="8.28515625" style="3" customWidth="1"/>
    <col min="2829" max="2829" width="12" style="3" customWidth="1"/>
    <col min="2830" max="2830" width="11.140625" style="3" customWidth="1"/>
    <col min="2831" max="2831" width="13.28515625" style="3" customWidth="1"/>
    <col min="2832" max="3072" width="9.140625" style="3"/>
    <col min="3073" max="3073" width="13" style="3" customWidth="1"/>
    <col min="3074" max="3074" width="11" style="3" customWidth="1"/>
    <col min="3075" max="3075" width="9.28515625" style="3" customWidth="1"/>
    <col min="3076" max="3076" width="14.28515625" style="3" customWidth="1"/>
    <col min="3077" max="3077" width="11.5703125" style="3" customWidth="1"/>
    <col min="3078" max="3078" width="19.140625" style="3" customWidth="1"/>
    <col min="3079" max="3079" width="21.42578125" style="3" customWidth="1"/>
    <col min="3080" max="3080" width="10.28515625" style="3" customWidth="1"/>
    <col min="3081" max="3081" width="12.140625" style="3" customWidth="1"/>
    <col min="3082" max="3082" width="10.5703125" style="3" customWidth="1"/>
    <col min="3083" max="3083" width="37.140625" style="3" customWidth="1"/>
    <col min="3084" max="3084" width="8.28515625" style="3" customWidth="1"/>
    <col min="3085" max="3085" width="12" style="3" customWidth="1"/>
    <col min="3086" max="3086" width="11.140625" style="3" customWidth="1"/>
    <col min="3087" max="3087" width="13.28515625" style="3" customWidth="1"/>
    <col min="3088" max="3328" width="9.140625" style="3"/>
    <col min="3329" max="3329" width="13" style="3" customWidth="1"/>
    <col min="3330" max="3330" width="11" style="3" customWidth="1"/>
    <col min="3331" max="3331" width="9.28515625" style="3" customWidth="1"/>
    <col min="3332" max="3332" width="14.28515625" style="3" customWidth="1"/>
    <col min="3333" max="3333" width="11.5703125" style="3" customWidth="1"/>
    <col min="3334" max="3334" width="19.140625" style="3" customWidth="1"/>
    <col min="3335" max="3335" width="21.42578125" style="3" customWidth="1"/>
    <col min="3336" max="3336" width="10.28515625" style="3" customWidth="1"/>
    <col min="3337" max="3337" width="12.140625" style="3" customWidth="1"/>
    <col min="3338" max="3338" width="10.5703125" style="3" customWidth="1"/>
    <col min="3339" max="3339" width="37.140625" style="3" customWidth="1"/>
    <col min="3340" max="3340" width="8.28515625" style="3" customWidth="1"/>
    <col min="3341" max="3341" width="12" style="3" customWidth="1"/>
    <col min="3342" max="3342" width="11.140625" style="3" customWidth="1"/>
    <col min="3343" max="3343" width="13.28515625" style="3" customWidth="1"/>
    <col min="3344" max="3584" width="9.140625" style="3"/>
    <col min="3585" max="3585" width="13" style="3" customWidth="1"/>
    <col min="3586" max="3586" width="11" style="3" customWidth="1"/>
    <col min="3587" max="3587" width="9.28515625" style="3" customWidth="1"/>
    <col min="3588" max="3588" width="14.28515625" style="3" customWidth="1"/>
    <col min="3589" max="3589" width="11.5703125" style="3" customWidth="1"/>
    <col min="3590" max="3590" width="19.140625" style="3" customWidth="1"/>
    <col min="3591" max="3591" width="21.42578125" style="3" customWidth="1"/>
    <col min="3592" max="3592" width="10.28515625" style="3" customWidth="1"/>
    <col min="3593" max="3593" width="12.140625" style="3" customWidth="1"/>
    <col min="3594" max="3594" width="10.5703125" style="3" customWidth="1"/>
    <col min="3595" max="3595" width="37.140625" style="3" customWidth="1"/>
    <col min="3596" max="3596" width="8.28515625" style="3" customWidth="1"/>
    <col min="3597" max="3597" width="12" style="3" customWidth="1"/>
    <col min="3598" max="3598" width="11.140625" style="3" customWidth="1"/>
    <col min="3599" max="3599" width="13.28515625" style="3" customWidth="1"/>
    <col min="3600" max="3840" width="9.140625" style="3"/>
    <col min="3841" max="3841" width="13" style="3" customWidth="1"/>
    <col min="3842" max="3842" width="11" style="3" customWidth="1"/>
    <col min="3843" max="3843" width="9.28515625" style="3" customWidth="1"/>
    <col min="3844" max="3844" width="14.28515625" style="3" customWidth="1"/>
    <col min="3845" max="3845" width="11.5703125" style="3" customWidth="1"/>
    <col min="3846" max="3846" width="19.140625" style="3" customWidth="1"/>
    <col min="3847" max="3847" width="21.42578125" style="3" customWidth="1"/>
    <col min="3848" max="3848" width="10.28515625" style="3" customWidth="1"/>
    <col min="3849" max="3849" width="12.140625" style="3" customWidth="1"/>
    <col min="3850" max="3850" width="10.5703125" style="3" customWidth="1"/>
    <col min="3851" max="3851" width="37.140625" style="3" customWidth="1"/>
    <col min="3852" max="3852" width="8.28515625" style="3" customWidth="1"/>
    <col min="3853" max="3853" width="12" style="3" customWidth="1"/>
    <col min="3854" max="3854" width="11.140625" style="3" customWidth="1"/>
    <col min="3855" max="3855" width="13.28515625" style="3" customWidth="1"/>
    <col min="3856" max="4096" width="9.140625" style="3"/>
    <col min="4097" max="4097" width="13" style="3" customWidth="1"/>
    <col min="4098" max="4098" width="11" style="3" customWidth="1"/>
    <col min="4099" max="4099" width="9.28515625" style="3" customWidth="1"/>
    <col min="4100" max="4100" width="14.28515625" style="3" customWidth="1"/>
    <col min="4101" max="4101" width="11.5703125" style="3" customWidth="1"/>
    <col min="4102" max="4102" width="19.140625" style="3" customWidth="1"/>
    <col min="4103" max="4103" width="21.42578125" style="3" customWidth="1"/>
    <col min="4104" max="4104" width="10.28515625" style="3" customWidth="1"/>
    <col min="4105" max="4105" width="12.140625" style="3" customWidth="1"/>
    <col min="4106" max="4106" width="10.5703125" style="3" customWidth="1"/>
    <col min="4107" max="4107" width="37.140625" style="3" customWidth="1"/>
    <col min="4108" max="4108" width="8.28515625" style="3" customWidth="1"/>
    <col min="4109" max="4109" width="12" style="3" customWidth="1"/>
    <col min="4110" max="4110" width="11.140625" style="3" customWidth="1"/>
    <col min="4111" max="4111" width="13.28515625" style="3" customWidth="1"/>
    <col min="4112" max="4352" width="9.140625" style="3"/>
    <col min="4353" max="4353" width="13" style="3" customWidth="1"/>
    <col min="4354" max="4354" width="11" style="3" customWidth="1"/>
    <col min="4355" max="4355" width="9.28515625" style="3" customWidth="1"/>
    <col min="4356" max="4356" width="14.28515625" style="3" customWidth="1"/>
    <col min="4357" max="4357" width="11.5703125" style="3" customWidth="1"/>
    <col min="4358" max="4358" width="19.140625" style="3" customWidth="1"/>
    <col min="4359" max="4359" width="21.42578125" style="3" customWidth="1"/>
    <col min="4360" max="4360" width="10.28515625" style="3" customWidth="1"/>
    <col min="4361" max="4361" width="12.140625" style="3" customWidth="1"/>
    <col min="4362" max="4362" width="10.5703125" style="3" customWidth="1"/>
    <col min="4363" max="4363" width="37.140625" style="3" customWidth="1"/>
    <col min="4364" max="4364" width="8.28515625" style="3" customWidth="1"/>
    <col min="4365" max="4365" width="12" style="3" customWidth="1"/>
    <col min="4366" max="4366" width="11.140625" style="3" customWidth="1"/>
    <col min="4367" max="4367" width="13.28515625" style="3" customWidth="1"/>
    <col min="4368" max="4608" width="9.140625" style="3"/>
    <col min="4609" max="4609" width="13" style="3" customWidth="1"/>
    <col min="4610" max="4610" width="11" style="3" customWidth="1"/>
    <col min="4611" max="4611" width="9.28515625" style="3" customWidth="1"/>
    <col min="4612" max="4612" width="14.28515625" style="3" customWidth="1"/>
    <col min="4613" max="4613" width="11.5703125" style="3" customWidth="1"/>
    <col min="4614" max="4614" width="19.140625" style="3" customWidth="1"/>
    <col min="4615" max="4615" width="21.42578125" style="3" customWidth="1"/>
    <col min="4616" max="4616" width="10.28515625" style="3" customWidth="1"/>
    <col min="4617" max="4617" width="12.140625" style="3" customWidth="1"/>
    <col min="4618" max="4618" width="10.5703125" style="3" customWidth="1"/>
    <col min="4619" max="4619" width="37.140625" style="3" customWidth="1"/>
    <col min="4620" max="4620" width="8.28515625" style="3" customWidth="1"/>
    <col min="4621" max="4621" width="12" style="3" customWidth="1"/>
    <col min="4622" max="4622" width="11.140625" style="3" customWidth="1"/>
    <col min="4623" max="4623" width="13.28515625" style="3" customWidth="1"/>
    <col min="4624" max="4864" width="9.140625" style="3"/>
    <col min="4865" max="4865" width="13" style="3" customWidth="1"/>
    <col min="4866" max="4866" width="11" style="3" customWidth="1"/>
    <col min="4867" max="4867" width="9.28515625" style="3" customWidth="1"/>
    <col min="4868" max="4868" width="14.28515625" style="3" customWidth="1"/>
    <col min="4869" max="4869" width="11.5703125" style="3" customWidth="1"/>
    <col min="4870" max="4870" width="19.140625" style="3" customWidth="1"/>
    <col min="4871" max="4871" width="21.42578125" style="3" customWidth="1"/>
    <col min="4872" max="4872" width="10.28515625" style="3" customWidth="1"/>
    <col min="4873" max="4873" width="12.140625" style="3" customWidth="1"/>
    <col min="4874" max="4874" width="10.5703125" style="3" customWidth="1"/>
    <col min="4875" max="4875" width="37.140625" style="3" customWidth="1"/>
    <col min="4876" max="4876" width="8.28515625" style="3" customWidth="1"/>
    <col min="4877" max="4877" width="12" style="3" customWidth="1"/>
    <col min="4878" max="4878" width="11.140625" style="3" customWidth="1"/>
    <col min="4879" max="4879" width="13.28515625" style="3" customWidth="1"/>
    <col min="4880" max="5120" width="9.140625" style="3"/>
    <col min="5121" max="5121" width="13" style="3" customWidth="1"/>
    <col min="5122" max="5122" width="11" style="3" customWidth="1"/>
    <col min="5123" max="5123" width="9.28515625" style="3" customWidth="1"/>
    <col min="5124" max="5124" width="14.28515625" style="3" customWidth="1"/>
    <col min="5125" max="5125" width="11.5703125" style="3" customWidth="1"/>
    <col min="5126" max="5126" width="19.140625" style="3" customWidth="1"/>
    <col min="5127" max="5127" width="21.42578125" style="3" customWidth="1"/>
    <col min="5128" max="5128" width="10.28515625" style="3" customWidth="1"/>
    <col min="5129" max="5129" width="12.140625" style="3" customWidth="1"/>
    <col min="5130" max="5130" width="10.5703125" style="3" customWidth="1"/>
    <col min="5131" max="5131" width="37.140625" style="3" customWidth="1"/>
    <col min="5132" max="5132" width="8.28515625" style="3" customWidth="1"/>
    <col min="5133" max="5133" width="12" style="3" customWidth="1"/>
    <col min="5134" max="5134" width="11.140625" style="3" customWidth="1"/>
    <col min="5135" max="5135" width="13.28515625" style="3" customWidth="1"/>
    <col min="5136" max="5376" width="9.140625" style="3"/>
    <col min="5377" max="5377" width="13" style="3" customWidth="1"/>
    <col min="5378" max="5378" width="11" style="3" customWidth="1"/>
    <col min="5379" max="5379" width="9.28515625" style="3" customWidth="1"/>
    <col min="5380" max="5380" width="14.28515625" style="3" customWidth="1"/>
    <col min="5381" max="5381" width="11.5703125" style="3" customWidth="1"/>
    <col min="5382" max="5382" width="19.140625" style="3" customWidth="1"/>
    <col min="5383" max="5383" width="21.42578125" style="3" customWidth="1"/>
    <col min="5384" max="5384" width="10.28515625" style="3" customWidth="1"/>
    <col min="5385" max="5385" width="12.140625" style="3" customWidth="1"/>
    <col min="5386" max="5386" width="10.5703125" style="3" customWidth="1"/>
    <col min="5387" max="5387" width="37.140625" style="3" customWidth="1"/>
    <col min="5388" max="5388" width="8.28515625" style="3" customWidth="1"/>
    <col min="5389" max="5389" width="12" style="3" customWidth="1"/>
    <col min="5390" max="5390" width="11.140625" style="3" customWidth="1"/>
    <col min="5391" max="5391" width="13.28515625" style="3" customWidth="1"/>
    <col min="5392" max="5632" width="9.140625" style="3"/>
    <col min="5633" max="5633" width="13" style="3" customWidth="1"/>
    <col min="5634" max="5634" width="11" style="3" customWidth="1"/>
    <col min="5635" max="5635" width="9.28515625" style="3" customWidth="1"/>
    <col min="5636" max="5636" width="14.28515625" style="3" customWidth="1"/>
    <col min="5637" max="5637" width="11.5703125" style="3" customWidth="1"/>
    <col min="5638" max="5638" width="19.140625" style="3" customWidth="1"/>
    <col min="5639" max="5639" width="21.42578125" style="3" customWidth="1"/>
    <col min="5640" max="5640" width="10.28515625" style="3" customWidth="1"/>
    <col min="5641" max="5641" width="12.140625" style="3" customWidth="1"/>
    <col min="5642" max="5642" width="10.5703125" style="3" customWidth="1"/>
    <col min="5643" max="5643" width="37.140625" style="3" customWidth="1"/>
    <col min="5644" max="5644" width="8.28515625" style="3" customWidth="1"/>
    <col min="5645" max="5645" width="12" style="3" customWidth="1"/>
    <col min="5646" max="5646" width="11.140625" style="3" customWidth="1"/>
    <col min="5647" max="5647" width="13.28515625" style="3" customWidth="1"/>
    <col min="5648" max="5888" width="9.140625" style="3"/>
    <col min="5889" max="5889" width="13" style="3" customWidth="1"/>
    <col min="5890" max="5890" width="11" style="3" customWidth="1"/>
    <col min="5891" max="5891" width="9.28515625" style="3" customWidth="1"/>
    <col min="5892" max="5892" width="14.28515625" style="3" customWidth="1"/>
    <col min="5893" max="5893" width="11.5703125" style="3" customWidth="1"/>
    <col min="5894" max="5894" width="19.140625" style="3" customWidth="1"/>
    <col min="5895" max="5895" width="21.42578125" style="3" customWidth="1"/>
    <col min="5896" max="5896" width="10.28515625" style="3" customWidth="1"/>
    <col min="5897" max="5897" width="12.140625" style="3" customWidth="1"/>
    <col min="5898" max="5898" width="10.5703125" style="3" customWidth="1"/>
    <col min="5899" max="5899" width="37.140625" style="3" customWidth="1"/>
    <col min="5900" max="5900" width="8.28515625" style="3" customWidth="1"/>
    <col min="5901" max="5901" width="12" style="3" customWidth="1"/>
    <col min="5902" max="5902" width="11.140625" style="3" customWidth="1"/>
    <col min="5903" max="5903" width="13.28515625" style="3" customWidth="1"/>
    <col min="5904" max="6144" width="9.140625" style="3"/>
    <col min="6145" max="6145" width="13" style="3" customWidth="1"/>
    <col min="6146" max="6146" width="11" style="3" customWidth="1"/>
    <col min="6147" max="6147" width="9.28515625" style="3" customWidth="1"/>
    <col min="6148" max="6148" width="14.28515625" style="3" customWidth="1"/>
    <col min="6149" max="6149" width="11.5703125" style="3" customWidth="1"/>
    <col min="6150" max="6150" width="19.140625" style="3" customWidth="1"/>
    <col min="6151" max="6151" width="21.42578125" style="3" customWidth="1"/>
    <col min="6152" max="6152" width="10.28515625" style="3" customWidth="1"/>
    <col min="6153" max="6153" width="12.140625" style="3" customWidth="1"/>
    <col min="6154" max="6154" width="10.5703125" style="3" customWidth="1"/>
    <col min="6155" max="6155" width="37.140625" style="3" customWidth="1"/>
    <col min="6156" max="6156" width="8.28515625" style="3" customWidth="1"/>
    <col min="6157" max="6157" width="12" style="3" customWidth="1"/>
    <col min="6158" max="6158" width="11.140625" style="3" customWidth="1"/>
    <col min="6159" max="6159" width="13.28515625" style="3" customWidth="1"/>
    <col min="6160" max="6400" width="9.140625" style="3"/>
    <col min="6401" max="6401" width="13" style="3" customWidth="1"/>
    <col min="6402" max="6402" width="11" style="3" customWidth="1"/>
    <col min="6403" max="6403" width="9.28515625" style="3" customWidth="1"/>
    <col min="6404" max="6404" width="14.28515625" style="3" customWidth="1"/>
    <col min="6405" max="6405" width="11.5703125" style="3" customWidth="1"/>
    <col min="6406" max="6406" width="19.140625" style="3" customWidth="1"/>
    <col min="6407" max="6407" width="21.42578125" style="3" customWidth="1"/>
    <col min="6408" max="6408" width="10.28515625" style="3" customWidth="1"/>
    <col min="6409" max="6409" width="12.140625" style="3" customWidth="1"/>
    <col min="6410" max="6410" width="10.5703125" style="3" customWidth="1"/>
    <col min="6411" max="6411" width="37.140625" style="3" customWidth="1"/>
    <col min="6412" max="6412" width="8.28515625" style="3" customWidth="1"/>
    <col min="6413" max="6413" width="12" style="3" customWidth="1"/>
    <col min="6414" max="6414" width="11.140625" style="3" customWidth="1"/>
    <col min="6415" max="6415" width="13.28515625" style="3" customWidth="1"/>
    <col min="6416" max="6656" width="9.140625" style="3"/>
    <col min="6657" max="6657" width="13" style="3" customWidth="1"/>
    <col min="6658" max="6658" width="11" style="3" customWidth="1"/>
    <col min="6659" max="6659" width="9.28515625" style="3" customWidth="1"/>
    <col min="6660" max="6660" width="14.28515625" style="3" customWidth="1"/>
    <col min="6661" max="6661" width="11.5703125" style="3" customWidth="1"/>
    <col min="6662" max="6662" width="19.140625" style="3" customWidth="1"/>
    <col min="6663" max="6663" width="21.42578125" style="3" customWidth="1"/>
    <col min="6664" max="6664" width="10.28515625" style="3" customWidth="1"/>
    <col min="6665" max="6665" width="12.140625" style="3" customWidth="1"/>
    <col min="6666" max="6666" width="10.5703125" style="3" customWidth="1"/>
    <col min="6667" max="6667" width="37.140625" style="3" customWidth="1"/>
    <col min="6668" max="6668" width="8.28515625" style="3" customWidth="1"/>
    <col min="6669" max="6669" width="12" style="3" customWidth="1"/>
    <col min="6670" max="6670" width="11.140625" style="3" customWidth="1"/>
    <col min="6671" max="6671" width="13.28515625" style="3" customWidth="1"/>
    <col min="6672" max="6912" width="9.140625" style="3"/>
    <col min="6913" max="6913" width="13" style="3" customWidth="1"/>
    <col min="6914" max="6914" width="11" style="3" customWidth="1"/>
    <col min="6915" max="6915" width="9.28515625" style="3" customWidth="1"/>
    <col min="6916" max="6916" width="14.28515625" style="3" customWidth="1"/>
    <col min="6917" max="6917" width="11.5703125" style="3" customWidth="1"/>
    <col min="6918" max="6918" width="19.140625" style="3" customWidth="1"/>
    <col min="6919" max="6919" width="21.42578125" style="3" customWidth="1"/>
    <col min="6920" max="6920" width="10.28515625" style="3" customWidth="1"/>
    <col min="6921" max="6921" width="12.140625" style="3" customWidth="1"/>
    <col min="6922" max="6922" width="10.5703125" style="3" customWidth="1"/>
    <col min="6923" max="6923" width="37.140625" style="3" customWidth="1"/>
    <col min="6924" max="6924" width="8.28515625" style="3" customWidth="1"/>
    <col min="6925" max="6925" width="12" style="3" customWidth="1"/>
    <col min="6926" max="6926" width="11.140625" style="3" customWidth="1"/>
    <col min="6927" max="6927" width="13.28515625" style="3" customWidth="1"/>
    <col min="6928" max="7168" width="9.140625" style="3"/>
    <col min="7169" max="7169" width="13" style="3" customWidth="1"/>
    <col min="7170" max="7170" width="11" style="3" customWidth="1"/>
    <col min="7171" max="7171" width="9.28515625" style="3" customWidth="1"/>
    <col min="7172" max="7172" width="14.28515625" style="3" customWidth="1"/>
    <col min="7173" max="7173" width="11.5703125" style="3" customWidth="1"/>
    <col min="7174" max="7174" width="19.140625" style="3" customWidth="1"/>
    <col min="7175" max="7175" width="21.42578125" style="3" customWidth="1"/>
    <col min="7176" max="7176" width="10.28515625" style="3" customWidth="1"/>
    <col min="7177" max="7177" width="12.140625" style="3" customWidth="1"/>
    <col min="7178" max="7178" width="10.5703125" style="3" customWidth="1"/>
    <col min="7179" max="7179" width="37.140625" style="3" customWidth="1"/>
    <col min="7180" max="7180" width="8.28515625" style="3" customWidth="1"/>
    <col min="7181" max="7181" width="12" style="3" customWidth="1"/>
    <col min="7182" max="7182" width="11.140625" style="3" customWidth="1"/>
    <col min="7183" max="7183" width="13.28515625" style="3" customWidth="1"/>
    <col min="7184" max="7424" width="9.140625" style="3"/>
    <col min="7425" max="7425" width="13" style="3" customWidth="1"/>
    <col min="7426" max="7426" width="11" style="3" customWidth="1"/>
    <col min="7427" max="7427" width="9.28515625" style="3" customWidth="1"/>
    <col min="7428" max="7428" width="14.28515625" style="3" customWidth="1"/>
    <col min="7429" max="7429" width="11.5703125" style="3" customWidth="1"/>
    <col min="7430" max="7430" width="19.140625" style="3" customWidth="1"/>
    <col min="7431" max="7431" width="21.42578125" style="3" customWidth="1"/>
    <col min="7432" max="7432" width="10.28515625" style="3" customWidth="1"/>
    <col min="7433" max="7433" width="12.140625" style="3" customWidth="1"/>
    <col min="7434" max="7434" width="10.5703125" style="3" customWidth="1"/>
    <col min="7435" max="7435" width="37.140625" style="3" customWidth="1"/>
    <col min="7436" max="7436" width="8.28515625" style="3" customWidth="1"/>
    <col min="7437" max="7437" width="12" style="3" customWidth="1"/>
    <col min="7438" max="7438" width="11.140625" style="3" customWidth="1"/>
    <col min="7439" max="7439" width="13.28515625" style="3" customWidth="1"/>
    <col min="7440" max="7680" width="9.140625" style="3"/>
    <col min="7681" max="7681" width="13" style="3" customWidth="1"/>
    <col min="7682" max="7682" width="11" style="3" customWidth="1"/>
    <col min="7683" max="7683" width="9.28515625" style="3" customWidth="1"/>
    <col min="7684" max="7684" width="14.28515625" style="3" customWidth="1"/>
    <col min="7685" max="7685" width="11.5703125" style="3" customWidth="1"/>
    <col min="7686" max="7686" width="19.140625" style="3" customWidth="1"/>
    <col min="7687" max="7687" width="21.42578125" style="3" customWidth="1"/>
    <col min="7688" max="7688" width="10.28515625" style="3" customWidth="1"/>
    <col min="7689" max="7689" width="12.140625" style="3" customWidth="1"/>
    <col min="7690" max="7690" width="10.5703125" style="3" customWidth="1"/>
    <col min="7691" max="7691" width="37.140625" style="3" customWidth="1"/>
    <col min="7692" max="7692" width="8.28515625" style="3" customWidth="1"/>
    <col min="7693" max="7693" width="12" style="3" customWidth="1"/>
    <col min="7694" max="7694" width="11.140625" style="3" customWidth="1"/>
    <col min="7695" max="7695" width="13.28515625" style="3" customWidth="1"/>
    <col min="7696" max="7936" width="9.140625" style="3"/>
    <col min="7937" max="7937" width="13" style="3" customWidth="1"/>
    <col min="7938" max="7938" width="11" style="3" customWidth="1"/>
    <col min="7939" max="7939" width="9.28515625" style="3" customWidth="1"/>
    <col min="7940" max="7940" width="14.28515625" style="3" customWidth="1"/>
    <col min="7941" max="7941" width="11.5703125" style="3" customWidth="1"/>
    <col min="7942" max="7942" width="19.140625" style="3" customWidth="1"/>
    <col min="7943" max="7943" width="21.42578125" style="3" customWidth="1"/>
    <col min="7944" max="7944" width="10.28515625" style="3" customWidth="1"/>
    <col min="7945" max="7945" width="12.140625" style="3" customWidth="1"/>
    <col min="7946" max="7946" width="10.5703125" style="3" customWidth="1"/>
    <col min="7947" max="7947" width="37.140625" style="3" customWidth="1"/>
    <col min="7948" max="7948" width="8.28515625" style="3" customWidth="1"/>
    <col min="7949" max="7949" width="12" style="3" customWidth="1"/>
    <col min="7950" max="7950" width="11.140625" style="3" customWidth="1"/>
    <col min="7951" max="7951" width="13.28515625" style="3" customWidth="1"/>
    <col min="7952" max="8192" width="9.140625" style="3"/>
    <col min="8193" max="8193" width="13" style="3" customWidth="1"/>
    <col min="8194" max="8194" width="11" style="3" customWidth="1"/>
    <col min="8195" max="8195" width="9.28515625" style="3" customWidth="1"/>
    <col min="8196" max="8196" width="14.28515625" style="3" customWidth="1"/>
    <col min="8197" max="8197" width="11.5703125" style="3" customWidth="1"/>
    <col min="8198" max="8198" width="19.140625" style="3" customWidth="1"/>
    <col min="8199" max="8199" width="21.42578125" style="3" customWidth="1"/>
    <col min="8200" max="8200" width="10.28515625" style="3" customWidth="1"/>
    <col min="8201" max="8201" width="12.140625" style="3" customWidth="1"/>
    <col min="8202" max="8202" width="10.5703125" style="3" customWidth="1"/>
    <col min="8203" max="8203" width="37.140625" style="3" customWidth="1"/>
    <col min="8204" max="8204" width="8.28515625" style="3" customWidth="1"/>
    <col min="8205" max="8205" width="12" style="3" customWidth="1"/>
    <col min="8206" max="8206" width="11.140625" style="3" customWidth="1"/>
    <col min="8207" max="8207" width="13.28515625" style="3" customWidth="1"/>
    <col min="8208" max="8448" width="9.140625" style="3"/>
    <col min="8449" max="8449" width="13" style="3" customWidth="1"/>
    <col min="8450" max="8450" width="11" style="3" customWidth="1"/>
    <col min="8451" max="8451" width="9.28515625" style="3" customWidth="1"/>
    <col min="8452" max="8452" width="14.28515625" style="3" customWidth="1"/>
    <col min="8453" max="8453" width="11.5703125" style="3" customWidth="1"/>
    <col min="8454" max="8454" width="19.140625" style="3" customWidth="1"/>
    <col min="8455" max="8455" width="21.42578125" style="3" customWidth="1"/>
    <col min="8456" max="8456" width="10.28515625" style="3" customWidth="1"/>
    <col min="8457" max="8457" width="12.140625" style="3" customWidth="1"/>
    <col min="8458" max="8458" width="10.5703125" style="3" customWidth="1"/>
    <col min="8459" max="8459" width="37.140625" style="3" customWidth="1"/>
    <col min="8460" max="8460" width="8.28515625" style="3" customWidth="1"/>
    <col min="8461" max="8461" width="12" style="3" customWidth="1"/>
    <col min="8462" max="8462" width="11.140625" style="3" customWidth="1"/>
    <col min="8463" max="8463" width="13.28515625" style="3" customWidth="1"/>
    <col min="8464" max="8704" width="9.140625" style="3"/>
    <col min="8705" max="8705" width="13" style="3" customWidth="1"/>
    <col min="8706" max="8706" width="11" style="3" customWidth="1"/>
    <col min="8707" max="8707" width="9.28515625" style="3" customWidth="1"/>
    <col min="8708" max="8708" width="14.28515625" style="3" customWidth="1"/>
    <col min="8709" max="8709" width="11.5703125" style="3" customWidth="1"/>
    <col min="8710" max="8710" width="19.140625" style="3" customWidth="1"/>
    <col min="8711" max="8711" width="21.42578125" style="3" customWidth="1"/>
    <col min="8712" max="8712" width="10.28515625" style="3" customWidth="1"/>
    <col min="8713" max="8713" width="12.140625" style="3" customWidth="1"/>
    <col min="8714" max="8714" width="10.5703125" style="3" customWidth="1"/>
    <col min="8715" max="8715" width="37.140625" style="3" customWidth="1"/>
    <col min="8716" max="8716" width="8.28515625" style="3" customWidth="1"/>
    <col min="8717" max="8717" width="12" style="3" customWidth="1"/>
    <col min="8718" max="8718" width="11.140625" style="3" customWidth="1"/>
    <col min="8719" max="8719" width="13.28515625" style="3" customWidth="1"/>
    <col min="8720" max="8960" width="9.140625" style="3"/>
    <col min="8961" max="8961" width="13" style="3" customWidth="1"/>
    <col min="8962" max="8962" width="11" style="3" customWidth="1"/>
    <col min="8963" max="8963" width="9.28515625" style="3" customWidth="1"/>
    <col min="8964" max="8964" width="14.28515625" style="3" customWidth="1"/>
    <col min="8965" max="8965" width="11.5703125" style="3" customWidth="1"/>
    <col min="8966" max="8966" width="19.140625" style="3" customWidth="1"/>
    <col min="8967" max="8967" width="21.42578125" style="3" customWidth="1"/>
    <col min="8968" max="8968" width="10.28515625" style="3" customWidth="1"/>
    <col min="8969" max="8969" width="12.140625" style="3" customWidth="1"/>
    <col min="8970" max="8970" width="10.5703125" style="3" customWidth="1"/>
    <col min="8971" max="8971" width="37.140625" style="3" customWidth="1"/>
    <col min="8972" max="8972" width="8.28515625" style="3" customWidth="1"/>
    <col min="8973" max="8973" width="12" style="3" customWidth="1"/>
    <col min="8974" max="8974" width="11.140625" style="3" customWidth="1"/>
    <col min="8975" max="8975" width="13.28515625" style="3" customWidth="1"/>
    <col min="8976" max="9216" width="9.140625" style="3"/>
    <col min="9217" max="9217" width="13" style="3" customWidth="1"/>
    <col min="9218" max="9218" width="11" style="3" customWidth="1"/>
    <col min="9219" max="9219" width="9.28515625" style="3" customWidth="1"/>
    <col min="9220" max="9220" width="14.28515625" style="3" customWidth="1"/>
    <col min="9221" max="9221" width="11.5703125" style="3" customWidth="1"/>
    <col min="9222" max="9222" width="19.140625" style="3" customWidth="1"/>
    <col min="9223" max="9223" width="21.42578125" style="3" customWidth="1"/>
    <col min="9224" max="9224" width="10.28515625" style="3" customWidth="1"/>
    <col min="9225" max="9225" width="12.140625" style="3" customWidth="1"/>
    <col min="9226" max="9226" width="10.5703125" style="3" customWidth="1"/>
    <col min="9227" max="9227" width="37.140625" style="3" customWidth="1"/>
    <col min="9228" max="9228" width="8.28515625" style="3" customWidth="1"/>
    <col min="9229" max="9229" width="12" style="3" customWidth="1"/>
    <col min="9230" max="9230" width="11.140625" style="3" customWidth="1"/>
    <col min="9231" max="9231" width="13.28515625" style="3" customWidth="1"/>
    <col min="9232" max="9472" width="9.140625" style="3"/>
    <col min="9473" max="9473" width="13" style="3" customWidth="1"/>
    <col min="9474" max="9474" width="11" style="3" customWidth="1"/>
    <col min="9475" max="9475" width="9.28515625" style="3" customWidth="1"/>
    <col min="9476" max="9476" width="14.28515625" style="3" customWidth="1"/>
    <col min="9477" max="9477" width="11.5703125" style="3" customWidth="1"/>
    <col min="9478" max="9478" width="19.140625" style="3" customWidth="1"/>
    <col min="9479" max="9479" width="21.42578125" style="3" customWidth="1"/>
    <col min="9480" max="9480" width="10.28515625" style="3" customWidth="1"/>
    <col min="9481" max="9481" width="12.140625" style="3" customWidth="1"/>
    <col min="9482" max="9482" width="10.5703125" style="3" customWidth="1"/>
    <col min="9483" max="9483" width="37.140625" style="3" customWidth="1"/>
    <col min="9484" max="9484" width="8.28515625" style="3" customWidth="1"/>
    <col min="9485" max="9485" width="12" style="3" customWidth="1"/>
    <col min="9486" max="9486" width="11.140625" style="3" customWidth="1"/>
    <col min="9487" max="9487" width="13.28515625" style="3" customWidth="1"/>
    <col min="9488" max="9728" width="9.140625" style="3"/>
    <col min="9729" max="9729" width="13" style="3" customWidth="1"/>
    <col min="9730" max="9730" width="11" style="3" customWidth="1"/>
    <col min="9731" max="9731" width="9.28515625" style="3" customWidth="1"/>
    <col min="9732" max="9732" width="14.28515625" style="3" customWidth="1"/>
    <col min="9733" max="9733" width="11.5703125" style="3" customWidth="1"/>
    <col min="9734" max="9734" width="19.140625" style="3" customWidth="1"/>
    <col min="9735" max="9735" width="21.42578125" style="3" customWidth="1"/>
    <col min="9736" max="9736" width="10.28515625" style="3" customWidth="1"/>
    <col min="9737" max="9737" width="12.140625" style="3" customWidth="1"/>
    <col min="9738" max="9738" width="10.5703125" style="3" customWidth="1"/>
    <col min="9739" max="9739" width="37.140625" style="3" customWidth="1"/>
    <col min="9740" max="9740" width="8.28515625" style="3" customWidth="1"/>
    <col min="9741" max="9741" width="12" style="3" customWidth="1"/>
    <col min="9742" max="9742" width="11.140625" style="3" customWidth="1"/>
    <col min="9743" max="9743" width="13.28515625" style="3" customWidth="1"/>
    <col min="9744" max="9984" width="9.140625" style="3"/>
    <col min="9985" max="9985" width="13" style="3" customWidth="1"/>
    <col min="9986" max="9986" width="11" style="3" customWidth="1"/>
    <col min="9987" max="9987" width="9.28515625" style="3" customWidth="1"/>
    <col min="9988" max="9988" width="14.28515625" style="3" customWidth="1"/>
    <col min="9989" max="9989" width="11.5703125" style="3" customWidth="1"/>
    <col min="9990" max="9990" width="19.140625" style="3" customWidth="1"/>
    <col min="9991" max="9991" width="21.42578125" style="3" customWidth="1"/>
    <col min="9992" max="9992" width="10.28515625" style="3" customWidth="1"/>
    <col min="9993" max="9993" width="12.140625" style="3" customWidth="1"/>
    <col min="9994" max="9994" width="10.5703125" style="3" customWidth="1"/>
    <col min="9995" max="9995" width="37.140625" style="3" customWidth="1"/>
    <col min="9996" max="9996" width="8.28515625" style="3" customWidth="1"/>
    <col min="9997" max="9997" width="12" style="3" customWidth="1"/>
    <col min="9998" max="9998" width="11.140625" style="3" customWidth="1"/>
    <col min="9999" max="9999" width="13.28515625" style="3" customWidth="1"/>
    <col min="10000" max="10240" width="9.140625" style="3"/>
    <col min="10241" max="10241" width="13" style="3" customWidth="1"/>
    <col min="10242" max="10242" width="11" style="3" customWidth="1"/>
    <col min="10243" max="10243" width="9.28515625" style="3" customWidth="1"/>
    <col min="10244" max="10244" width="14.28515625" style="3" customWidth="1"/>
    <col min="10245" max="10245" width="11.5703125" style="3" customWidth="1"/>
    <col min="10246" max="10246" width="19.140625" style="3" customWidth="1"/>
    <col min="10247" max="10247" width="21.42578125" style="3" customWidth="1"/>
    <col min="10248" max="10248" width="10.28515625" style="3" customWidth="1"/>
    <col min="10249" max="10249" width="12.140625" style="3" customWidth="1"/>
    <col min="10250" max="10250" width="10.5703125" style="3" customWidth="1"/>
    <col min="10251" max="10251" width="37.140625" style="3" customWidth="1"/>
    <col min="10252" max="10252" width="8.28515625" style="3" customWidth="1"/>
    <col min="10253" max="10253" width="12" style="3" customWidth="1"/>
    <col min="10254" max="10254" width="11.140625" style="3" customWidth="1"/>
    <col min="10255" max="10255" width="13.28515625" style="3" customWidth="1"/>
    <col min="10256" max="10496" width="9.140625" style="3"/>
    <col min="10497" max="10497" width="13" style="3" customWidth="1"/>
    <col min="10498" max="10498" width="11" style="3" customWidth="1"/>
    <col min="10499" max="10499" width="9.28515625" style="3" customWidth="1"/>
    <col min="10500" max="10500" width="14.28515625" style="3" customWidth="1"/>
    <col min="10501" max="10501" width="11.5703125" style="3" customWidth="1"/>
    <col min="10502" max="10502" width="19.140625" style="3" customWidth="1"/>
    <col min="10503" max="10503" width="21.42578125" style="3" customWidth="1"/>
    <col min="10504" max="10504" width="10.28515625" style="3" customWidth="1"/>
    <col min="10505" max="10505" width="12.140625" style="3" customWidth="1"/>
    <col min="10506" max="10506" width="10.5703125" style="3" customWidth="1"/>
    <col min="10507" max="10507" width="37.140625" style="3" customWidth="1"/>
    <col min="10508" max="10508" width="8.28515625" style="3" customWidth="1"/>
    <col min="10509" max="10509" width="12" style="3" customWidth="1"/>
    <col min="10510" max="10510" width="11.140625" style="3" customWidth="1"/>
    <col min="10511" max="10511" width="13.28515625" style="3" customWidth="1"/>
    <col min="10512" max="10752" width="9.140625" style="3"/>
    <col min="10753" max="10753" width="13" style="3" customWidth="1"/>
    <col min="10754" max="10754" width="11" style="3" customWidth="1"/>
    <col min="10755" max="10755" width="9.28515625" style="3" customWidth="1"/>
    <col min="10756" max="10756" width="14.28515625" style="3" customWidth="1"/>
    <col min="10757" max="10757" width="11.5703125" style="3" customWidth="1"/>
    <col min="10758" max="10758" width="19.140625" style="3" customWidth="1"/>
    <col min="10759" max="10759" width="21.42578125" style="3" customWidth="1"/>
    <col min="10760" max="10760" width="10.28515625" style="3" customWidth="1"/>
    <col min="10761" max="10761" width="12.140625" style="3" customWidth="1"/>
    <col min="10762" max="10762" width="10.5703125" style="3" customWidth="1"/>
    <col min="10763" max="10763" width="37.140625" style="3" customWidth="1"/>
    <col min="10764" max="10764" width="8.28515625" style="3" customWidth="1"/>
    <col min="10765" max="10765" width="12" style="3" customWidth="1"/>
    <col min="10766" max="10766" width="11.140625" style="3" customWidth="1"/>
    <col min="10767" max="10767" width="13.28515625" style="3" customWidth="1"/>
    <col min="10768" max="11008" width="9.140625" style="3"/>
    <col min="11009" max="11009" width="13" style="3" customWidth="1"/>
    <col min="11010" max="11010" width="11" style="3" customWidth="1"/>
    <col min="11011" max="11011" width="9.28515625" style="3" customWidth="1"/>
    <col min="11012" max="11012" width="14.28515625" style="3" customWidth="1"/>
    <col min="11013" max="11013" width="11.5703125" style="3" customWidth="1"/>
    <col min="11014" max="11014" width="19.140625" style="3" customWidth="1"/>
    <col min="11015" max="11015" width="21.42578125" style="3" customWidth="1"/>
    <col min="11016" max="11016" width="10.28515625" style="3" customWidth="1"/>
    <col min="11017" max="11017" width="12.140625" style="3" customWidth="1"/>
    <col min="11018" max="11018" width="10.5703125" style="3" customWidth="1"/>
    <col min="11019" max="11019" width="37.140625" style="3" customWidth="1"/>
    <col min="11020" max="11020" width="8.28515625" style="3" customWidth="1"/>
    <col min="11021" max="11021" width="12" style="3" customWidth="1"/>
    <col min="11022" max="11022" width="11.140625" style="3" customWidth="1"/>
    <col min="11023" max="11023" width="13.28515625" style="3" customWidth="1"/>
    <col min="11024" max="11264" width="9.140625" style="3"/>
    <col min="11265" max="11265" width="13" style="3" customWidth="1"/>
    <col min="11266" max="11266" width="11" style="3" customWidth="1"/>
    <col min="11267" max="11267" width="9.28515625" style="3" customWidth="1"/>
    <col min="11268" max="11268" width="14.28515625" style="3" customWidth="1"/>
    <col min="11269" max="11269" width="11.5703125" style="3" customWidth="1"/>
    <col min="11270" max="11270" width="19.140625" style="3" customWidth="1"/>
    <col min="11271" max="11271" width="21.42578125" style="3" customWidth="1"/>
    <col min="11272" max="11272" width="10.28515625" style="3" customWidth="1"/>
    <col min="11273" max="11273" width="12.140625" style="3" customWidth="1"/>
    <col min="11274" max="11274" width="10.5703125" style="3" customWidth="1"/>
    <col min="11275" max="11275" width="37.140625" style="3" customWidth="1"/>
    <col min="11276" max="11276" width="8.28515625" style="3" customWidth="1"/>
    <col min="11277" max="11277" width="12" style="3" customWidth="1"/>
    <col min="11278" max="11278" width="11.140625" style="3" customWidth="1"/>
    <col min="11279" max="11279" width="13.28515625" style="3" customWidth="1"/>
    <col min="11280" max="11520" width="9.140625" style="3"/>
    <col min="11521" max="11521" width="13" style="3" customWidth="1"/>
    <col min="11522" max="11522" width="11" style="3" customWidth="1"/>
    <col min="11523" max="11523" width="9.28515625" style="3" customWidth="1"/>
    <col min="11524" max="11524" width="14.28515625" style="3" customWidth="1"/>
    <col min="11525" max="11525" width="11.5703125" style="3" customWidth="1"/>
    <col min="11526" max="11526" width="19.140625" style="3" customWidth="1"/>
    <col min="11527" max="11527" width="21.42578125" style="3" customWidth="1"/>
    <col min="11528" max="11528" width="10.28515625" style="3" customWidth="1"/>
    <col min="11529" max="11529" width="12.140625" style="3" customWidth="1"/>
    <col min="11530" max="11530" width="10.5703125" style="3" customWidth="1"/>
    <col min="11531" max="11531" width="37.140625" style="3" customWidth="1"/>
    <col min="11532" max="11532" width="8.28515625" style="3" customWidth="1"/>
    <col min="11533" max="11533" width="12" style="3" customWidth="1"/>
    <col min="11534" max="11534" width="11.140625" style="3" customWidth="1"/>
    <col min="11535" max="11535" width="13.28515625" style="3" customWidth="1"/>
    <col min="11536" max="11776" width="9.140625" style="3"/>
    <col min="11777" max="11777" width="13" style="3" customWidth="1"/>
    <col min="11778" max="11778" width="11" style="3" customWidth="1"/>
    <col min="11779" max="11779" width="9.28515625" style="3" customWidth="1"/>
    <col min="11780" max="11780" width="14.28515625" style="3" customWidth="1"/>
    <col min="11781" max="11781" width="11.5703125" style="3" customWidth="1"/>
    <col min="11782" max="11782" width="19.140625" style="3" customWidth="1"/>
    <col min="11783" max="11783" width="21.42578125" style="3" customWidth="1"/>
    <col min="11784" max="11784" width="10.28515625" style="3" customWidth="1"/>
    <col min="11785" max="11785" width="12.140625" style="3" customWidth="1"/>
    <col min="11786" max="11786" width="10.5703125" style="3" customWidth="1"/>
    <col min="11787" max="11787" width="37.140625" style="3" customWidth="1"/>
    <col min="11788" max="11788" width="8.28515625" style="3" customWidth="1"/>
    <col min="11789" max="11789" width="12" style="3" customWidth="1"/>
    <col min="11790" max="11790" width="11.140625" style="3" customWidth="1"/>
    <col min="11791" max="11791" width="13.28515625" style="3" customWidth="1"/>
    <col min="11792" max="12032" width="9.140625" style="3"/>
    <col min="12033" max="12033" width="13" style="3" customWidth="1"/>
    <col min="12034" max="12034" width="11" style="3" customWidth="1"/>
    <col min="12035" max="12035" width="9.28515625" style="3" customWidth="1"/>
    <col min="12036" max="12036" width="14.28515625" style="3" customWidth="1"/>
    <col min="12037" max="12037" width="11.5703125" style="3" customWidth="1"/>
    <col min="12038" max="12038" width="19.140625" style="3" customWidth="1"/>
    <col min="12039" max="12039" width="21.42578125" style="3" customWidth="1"/>
    <col min="12040" max="12040" width="10.28515625" style="3" customWidth="1"/>
    <col min="12041" max="12041" width="12.140625" style="3" customWidth="1"/>
    <col min="12042" max="12042" width="10.5703125" style="3" customWidth="1"/>
    <col min="12043" max="12043" width="37.140625" style="3" customWidth="1"/>
    <col min="12044" max="12044" width="8.28515625" style="3" customWidth="1"/>
    <col min="12045" max="12045" width="12" style="3" customWidth="1"/>
    <col min="12046" max="12046" width="11.140625" style="3" customWidth="1"/>
    <col min="12047" max="12047" width="13.28515625" style="3" customWidth="1"/>
    <col min="12048" max="12288" width="9.140625" style="3"/>
    <col min="12289" max="12289" width="13" style="3" customWidth="1"/>
    <col min="12290" max="12290" width="11" style="3" customWidth="1"/>
    <col min="12291" max="12291" width="9.28515625" style="3" customWidth="1"/>
    <col min="12292" max="12292" width="14.28515625" style="3" customWidth="1"/>
    <col min="12293" max="12293" width="11.5703125" style="3" customWidth="1"/>
    <col min="12294" max="12294" width="19.140625" style="3" customWidth="1"/>
    <col min="12295" max="12295" width="21.42578125" style="3" customWidth="1"/>
    <col min="12296" max="12296" width="10.28515625" style="3" customWidth="1"/>
    <col min="12297" max="12297" width="12.140625" style="3" customWidth="1"/>
    <col min="12298" max="12298" width="10.5703125" style="3" customWidth="1"/>
    <col min="12299" max="12299" width="37.140625" style="3" customWidth="1"/>
    <col min="12300" max="12300" width="8.28515625" style="3" customWidth="1"/>
    <col min="12301" max="12301" width="12" style="3" customWidth="1"/>
    <col min="12302" max="12302" width="11.140625" style="3" customWidth="1"/>
    <col min="12303" max="12303" width="13.28515625" style="3" customWidth="1"/>
    <col min="12304" max="12544" width="9.140625" style="3"/>
    <col min="12545" max="12545" width="13" style="3" customWidth="1"/>
    <col min="12546" max="12546" width="11" style="3" customWidth="1"/>
    <col min="12547" max="12547" width="9.28515625" style="3" customWidth="1"/>
    <col min="12548" max="12548" width="14.28515625" style="3" customWidth="1"/>
    <col min="12549" max="12549" width="11.5703125" style="3" customWidth="1"/>
    <col min="12550" max="12550" width="19.140625" style="3" customWidth="1"/>
    <col min="12551" max="12551" width="21.42578125" style="3" customWidth="1"/>
    <col min="12552" max="12552" width="10.28515625" style="3" customWidth="1"/>
    <col min="12553" max="12553" width="12.140625" style="3" customWidth="1"/>
    <col min="12554" max="12554" width="10.5703125" style="3" customWidth="1"/>
    <col min="12555" max="12555" width="37.140625" style="3" customWidth="1"/>
    <col min="12556" max="12556" width="8.28515625" style="3" customWidth="1"/>
    <col min="12557" max="12557" width="12" style="3" customWidth="1"/>
    <col min="12558" max="12558" width="11.140625" style="3" customWidth="1"/>
    <col min="12559" max="12559" width="13.28515625" style="3" customWidth="1"/>
    <col min="12560" max="12800" width="9.140625" style="3"/>
    <col min="12801" max="12801" width="13" style="3" customWidth="1"/>
    <col min="12802" max="12802" width="11" style="3" customWidth="1"/>
    <col min="12803" max="12803" width="9.28515625" style="3" customWidth="1"/>
    <col min="12804" max="12804" width="14.28515625" style="3" customWidth="1"/>
    <col min="12805" max="12805" width="11.5703125" style="3" customWidth="1"/>
    <col min="12806" max="12806" width="19.140625" style="3" customWidth="1"/>
    <col min="12807" max="12807" width="21.42578125" style="3" customWidth="1"/>
    <col min="12808" max="12808" width="10.28515625" style="3" customWidth="1"/>
    <col min="12809" max="12809" width="12.140625" style="3" customWidth="1"/>
    <col min="12810" max="12810" width="10.5703125" style="3" customWidth="1"/>
    <col min="12811" max="12811" width="37.140625" style="3" customWidth="1"/>
    <col min="12812" max="12812" width="8.28515625" style="3" customWidth="1"/>
    <col min="12813" max="12813" width="12" style="3" customWidth="1"/>
    <col min="12814" max="12814" width="11.140625" style="3" customWidth="1"/>
    <col min="12815" max="12815" width="13.28515625" style="3" customWidth="1"/>
    <col min="12816" max="13056" width="9.140625" style="3"/>
    <col min="13057" max="13057" width="13" style="3" customWidth="1"/>
    <col min="13058" max="13058" width="11" style="3" customWidth="1"/>
    <col min="13059" max="13059" width="9.28515625" style="3" customWidth="1"/>
    <col min="13060" max="13060" width="14.28515625" style="3" customWidth="1"/>
    <col min="13061" max="13061" width="11.5703125" style="3" customWidth="1"/>
    <col min="13062" max="13062" width="19.140625" style="3" customWidth="1"/>
    <col min="13063" max="13063" width="21.42578125" style="3" customWidth="1"/>
    <col min="13064" max="13064" width="10.28515625" style="3" customWidth="1"/>
    <col min="13065" max="13065" width="12.140625" style="3" customWidth="1"/>
    <col min="13066" max="13066" width="10.5703125" style="3" customWidth="1"/>
    <col min="13067" max="13067" width="37.140625" style="3" customWidth="1"/>
    <col min="13068" max="13068" width="8.28515625" style="3" customWidth="1"/>
    <col min="13069" max="13069" width="12" style="3" customWidth="1"/>
    <col min="13070" max="13070" width="11.140625" style="3" customWidth="1"/>
    <col min="13071" max="13071" width="13.28515625" style="3" customWidth="1"/>
    <col min="13072" max="13312" width="9.140625" style="3"/>
    <col min="13313" max="13313" width="13" style="3" customWidth="1"/>
    <col min="13314" max="13314" width="11" style="3" customWidth="1"/>
    <col min="13315" max="13315" width="9.28515625" style="3" customWidth="1"/>
    <col min="13316" max="13316" width="14.28515625" style="3" customWidth="1"/>
    <col min="13317" max="13317" width="11.5703125" style="3" customWidth="1"/>
    <col min="13318" max="13318" width="19.140625" style="3" customWidth="1"/>
    <col min="13319" max="13319" width="21.42578125" style="3" customWidth="1"/>
    <col min="13320" max="13320" width="10.28515625" style="3" customWidth="1"/>
    <col min="13321" max="13321" width="12.140625" style="3" customWidth="1"/>
    <col min="13322" max="13322" width="10.5703125" style="3" customWidth="1"/>
    <col min="13323" max="13323" width="37.140625" style="3" customWidth="1"/>
    <col min="13324" max="13324" width="8.28515625" style="3" customWidth="1"/>
    <col min="13325" max="13325" width="12" style="3" customWidth="1"/>
    <col min="13326" max="13326" width="11.140625" style="3" customWidth="1"/>
    <col min="13327" max="13327" width="13.28515625" style="3" customWidth="1"/>
    <col min="13328" max="13568" width="9.140625" style="3"/>
    <col min="13569" max="13569" width="13" style="3" customWidth="1"/>
    <col min="13570" max="13570" width="11" style="3" customWidth="1"/>
    <col min="13571" max="13571" width="9.28515625" style="3" customWidth="1"/>
    <col min="13572" max="13572" width="14.28515625" style="3" customWidth="1"/>
    <col min="13573" max="13573" width="11.5703125" style="3" customWidth="1"/>
    <col min="13574" max="13574" width="19.140625" style="3" customWidth="1"/>
    <col min="13575" max="13575" width="21.42578125" style="3" customWidth="1"/>
    <col min="13576" max="13576" width="10.28515625" style="3" customWidth="1"/>
    <col min="13577" max="13577" width="12.140625" style="3" customWidth="1"/>
    <col min="13578" max="13578" width="10.5703125" style="3" customWidth="1"/>
    <col min="13579" max="13579" width="37.140625" style="3" customWidth="1"/>
    <col min="13580" max="13580" width="8.28515625" style="3" customWidth="1"/>
    <col min="13581" max="13581" width="12" style="3" customWidth="1"/>
    <col min="13582" max="13582" width="11.140625" style="3" customWidth="1"/>
    <col min="13583" max="13583" width="13.28515625" style="3" customWidth="1"/>
    <col min="13584" max="13824" width="9.140625" style="3"/>
    <col min="13825" max="13825" width="13" style="3" customWidth="1"/>
    <col min="13826" max="13826" width="11" style="3" customWidth="1"/>
    <col min="13827" max="13827" width="9.28515625" style="3" customWidth="1"/>
    <col min="13828" max="13828" width="14.28515625" style="3" customWidth="1"/>
    <col min="13829" max="13829" width="11.5703125" style="3" customWidth="1"/>
    <col min="13830" max="13830" width="19.140625" style="3" customWidth="1"/>
    <col min="13831" max="13831" width="21.42578125" style="3" customWidth="1"/>
    <col min="13832" max="13832" width="10.28515625" style="3" customWidth="1"/>
    <col min="13833" max="13833" width="12.140625" style="3" customWidth="1"/>
    <col min="13834" max="13834" width="10.5703125" style="3" customWidth="1"/>
    <col min="13835" max="13835" width="37.140625" style="3" customWidth="1"/>
    <col min="13836" max="13836" width="8.28515625" style="3" customWidth="1"/>
    <col min="13837" max="13837" width="12" style="3" customWidth="1"/>
    <col min="13838" max="13838" width="11.140625" style="3" customWidth="1"/>
    <col min="13839" max="13839" width="13.28515625" style="3" customWidth="1"/>
    <col min="13840" max="14080" width="9.140625" style="3"/>
    <col min="14081" max="14081" width="13" style="3" customWidth="1"/>
    <col min="14082" max="14082" width="11" style="3" customWidth="1"/>
    <col min="14083" max="14083" width="9.28515625" style="3" customWidth="1"/>
    <col min="14084" max="14084" width="14.28515625" style="3" customWidth="1"/>
    <col min="14085" max="14085" width="11.5703125" style="3" customWidth="1"/>
    <col min="14086" max="14086" width="19.140625" style="3" customWidth="1"/>
    <col min="14087" max="14087" width="21.42578125" style="3" customWidth="1"/>
    <col min="14088" max="14088" width="10.28515625" style="3" customWidth="1"/>
    <col min="14089" max="14089" width="12.140625" style="3" customWidth="1"/>
    <col min="14090" max="14090" width="10.5703125" style="3" customWidth="1"/>
    <col min="14091" max="14091" width="37.140625" style="3" customWidth="1"/>
    <col min="14092" max="14092" width="8.28515625" style="3" customWidth="1"/>
    <col min="14093" max="14093" width="12" style="3" customWidth="1"/>
    <col min="14094" max="14094" width="11.140625" style="3" customWidth="1"/>
    <col min="14095" max="14095" width="13.28515625" style="3" customWidth="1"/>
    <col min="14096" max="14336" width="9.140625" style="3"/>
    <col min="14337" max="14337" width="13" style="3" customWidth="1"/>
    <col min="14338" max="14338" width="11" style="3" customWidth="1"/>
    <col min="14339" max="14339" width="9.28515625" style="3" customWidth="1"/>
    <col min="14340" max="14340" width="14.28515625" style="3" customWidth="1"/>
    <col min="14341" max="14341" width="11.5703125" style="3" customWidth="1"/>
    <col min="14342" max="14342" width="19.140625" style="3" customWidth="1"/>
    <col min="14343" max="14343" width="21.42578125" style="3" customWidth="1"/>
    <col min="14344" max="14344" width="10.28515625" style="3" customWidth="1"/>
    <col min="14345" max="14345" width="12.140625" style="3" customWidth="1"/>
    <col min="14346" max="14346" width="10.5703125" style="3" customWidth="1"/>
    <col min="14347" max="14347" width="37.140625" style="3" customWidth="1"/>
    <col min="14348" max="14348" width="8.28515625" style="3" customWidth="1"/>
    <col min="14349" max="14349" width="12" style="3" customWidth="1"/>
    <col min="14350" max="14350" width="11.140625" style="3" customWidth="1"/>
    <col min="14351" max="14351" width="13.28515625" style="3" customWidth="1"/>
    <col min="14352" max="14592" width="9.140625" style="3"/>
    <col min="14593" max="14593" width="13" style="3" customWidth="1"/>
    <col min="14594" max="14594" width="11" style="3" customWidth="1"/>
    <col min="14595" max="14595" width="9.28515625" style="3" customWidth="1"/>
    <col min="14596" max="14596" width="14.28515625" style="3" customWidth="1"/>
    <col min="14597" max="14597" width="11.5703125" style="3" customWidth="1"/>
    <col min="14598" max="14598" width="19.140625" style="3" customWidth="1"/>
    <col min="14599" max="14599" width="21.42578125" style="3" customWidth="1"/>
    <col min="14600" max="14600" width="10.28515625" style="3" customWidth="1"/>
    <col min="14601" max="14601" width="12.140625" style="3" customWidth="1"/>
    <col min="14602" max="14602" width="10.5703125" style="3" customWidth="1"/>
    <col min="14603" max="14603" width="37.140625" style="3" customWidth="1"/>
    <col min="14604" max="14604" width="8.28515625" style="3" customWidth="1"/>
    <col min="14605" max="14605" width="12" style="3" customWidth="1"/>
    <col min="14606" max="14606" width="11.140625" style="3" customWidth="1"/>
    <col min="14607" max="14607" width="13.28515625" style="3" customWidth="1"/>
    <col min="14608" max="14848" width="9.140625" style="3"/>
    <col min="14849" max="14849" width="13" style="3" customWidth="1"/>
    <col min="14850" max="14850" width="11" style="3" customWidth="1"/>
    <col min="14851" max="14851" width="9.28515625" style="3" customWidth="1"/>
    <col min="14852" max="14852" width="14.28515625" style="3" customWidth="1"/>
    <col min="14853" max="14853" width="11.5703125" style="3" customWidth="1"/>
    <col min="14854" max="14854" width="19.140625" style="3" customWidth="1"/>
    <col min="14855" max="14855" width="21.42578125" style="3" customWidth="1"/>
    <col min="14856" max="14856" width="10.28515625" style="3" customWidth="1"/>
    <col min="14857" max="14857" width="12.140625" style="3" customWidth="1"/>
    <col min="14858" max="14858" width="10.5703125" style="3" customWidth="1"/>
    <col min="14859" max="14859" width="37.140625" style="3" customWidth="1"/>
    <col min="14860" max="14860" width="8.28515625" style="3" customWidth="1"/>
    <col min="14861" max="14861" width="12" style="3" customWidth="1"/>
    <col min="14862" max="14862" width="11.140625" style="3" customWidth="1"/>
    <col min="14863" max="14863" width="13.28515625" style="3" customWidth="1"/>
    <col min="14864" max="15104" width="9.140625" style="3"/>
    <col min="15105" max="15105" width="13" style="3" customWidth="1"/>
    <col min="15106" max="15106" width="11" style="3" customWidth="1"/>
    <col min="15107" max="15107" width="9.28515625" style="3" customWidth="1"/>
    <col min="15108" max="15108" width="14.28515625" style="3" customWidth="1"/>
    <col min="15109" max="15109" width="11.5703125" style="3" customWidth="1"/>
    <col min="15110" max="15110" width="19.140625" style="3" customWidth="1"/>
    <col min="15111" max="15111" width="21.42578125" style="3" customWidth="1"/>
    <col min="15112" max="15112" width="10.28515625" style="3" customWidth="1"/>
    <col min="15113" max="15113" width="12.140625" style="3" customWidth="1"/>
    <col min="15114" max="15114" width="10.5703125" style="3" customWidth="1"/>
    <col min="15115" max="15115" width="37.140625" style="3" customWidth="1"/>
    <col min="15116" max="15116" width="8.28515625" style="3" customWidth="1"/>
    <col min="15117" max="15117" width="12" style="3" customWidth="1"/>
    <col min="15118" max="15118" width="11.140625" style="3" customWidth="1"/>
    <col min="15119" max="15119" width="13.28515625" style="3" customWidth="1"/>
    <col min="15120" max="15360" width="9.140625" style="3"/>
    <col min="15361" max="15361" width="13" style="3" customWidth="1"/>
    <col min="15362" max="15362" width="11" style="3" customWidth="1"/>
    <col min="15363" max="15363" width="9.28515625" style="3" customWidth="1"/>
    <col min="15364" max="15364" width="14.28515625" style="3" customWidth="1"/>
    <col min="15365" max="15365" width="11.5703125" style="3" customWidth="1"/>
    <col min="15366" max="15366" width="19.140625" style="3" customWidth="1"/>
    <col min="15367" max="15367" width="21.42578125" style="3" customWidth="1"/>
    <col min="15368" max="15368" width="10.28515625" style="3" customWidth="1"/>
    <col min="15369" max="15369" width="12.140625" style="3" customWidth="1"/>
    <col min="15370" max="15370" width="10.5703125" style="3" customWidth="1"/>
    <col min="15371" max="15371" width="37.140625" style="3" customWidth="1"/>
    <col min="15372" max="15372" width="8.28515625" style="3" customWidth="1"/>
    <col min="15373" max="15373" width="12" style="3" customWidth="1"/>
    <col min="15374" max="15374" width="11.140625" style="3" customWidth="1"/>
    <col min="15375" max="15375" width="13.28515625" style="3" customWidth="1"/>
    <col min="15376" max="15616" width="9.140625" style="3"/>
    <col min="15617" max="15617" width="13" style="3" customWidth="1"/>
    <col min="15618" max="15618" width="11" style="3" customWidth="1"/>
    <col min="15619" max="15619" width="9.28515625" style="3" customWidth="1"/>
    <col min="15620" max="15620" width="14.28515625" style="3" customWidth="1"/>
    <col min="15621" max="15621" width="11.5703125" style="3" customWidth="1"/>
    <col min="15622" max="15622" width="19.140625" style="3" customWidth="1"/>
    <col min="15623" max="15623" width="21.42578125" style="3" customWidth="1"/>
    <col min="15624" max="15624" width="10.28515625" style="3" customWidth="1"/>
    <col min="15625" max="15625" width="12.140625" style="3" customWidth="1"/>
    <col min="15626" max="15626" width="10.5703125" style="3" customWidth="1"/>
    <col min="15627" max="15627" width="37.140625" style="3" customWidth="1"/>
    <col min="15628" max="15628" width="8.28515625" style="3" customWidth="1"/>
    <col min="15629" max="15629" width="12" style="3" customWidth="1"/>
    <col min="15630" max="15630" width="11.140625" style="3" customWidth="1"/>
    <col min="15631" max="15631" width="13.28515625" style="3" customWidth="1"/>
    <col min="15632" max="15872" width="9.140625" style="3"/>
    <col min="15873" max="15873" width="13" style="3" customWidth="1"/>
    <col min="15874" max="15874" width="11" style="3" customWidth="1"/>
    <col min="15875" max="15875" width="9.28515625" style="3" customWidth="1"/>
    <col min="15876" max="15876" width="14.28515625" style="3" customWidth="1"/>
    <col min="15877" max="15877" width="11.5703125" style="3" customWidth="1"/>
    <col min="15878" max="15878" width="19.140625" style="3" customWidth="1"/>
    <col min="15879" max="15879" width="21.42578125" style="3" customWidth="1"/>
    <col min="15880" max="15880" width="10.28515625" style="3" customWidth="1"/>
    <col min="15881" max="15881" width="12.140625" style="3" customWidth="1"/>
    <col min="15882" max="15882" width="10.5703125" style="3" customWidth="1"/>
    <col min="15883" max="15883" width="37.140625" style="3" customWidth="1"/>
    <col min="15884" max="15884" width="8.28515625" style="3" customWidth="1"/>
    <col min="15885" max="15885" width="12" style="3" customWidth="1"/>
    <col min="15886" max="15886" width="11.140625" style="3" customWidth="1"/>
    <col min="15887" max="15887" width="13.28515625" style="3" customWidth="1"/>
    <col min="15888" max="16128" width="9.140625" style="3"/>
    <col min="16129" max="16129" width="13" style="3" customWidth="1"/>
    <col min="16130" max="16130" width="11" style="3" customWidth="1"/>
    <col min="16131" max="16131" width="9.28515625" style="3" customWidth="1"/>
    <col min="16132" max="16132" width="14.28515625" style="3" customWidth="1"/>
    <col min="16133" max="16133" width="11.5703125" style="3" customWidth="1"/>
    <col min="16134" max="16134" width="19.140625" style="3" customWidth="1"/>
    <col min="16135" max="16135" width="21.42578125" style="3" customWidth="1"/>
    <col min="16136" max="16136" width="10.28515625" style="3" customWidth="1"/>
    <col min="16137" max="16137" width="12.140625" style="3" customWidth="1"/>
    <col min="16138" max="16138" width="10.5703125" style="3" customWidth="1"/>
    <col min="16139" max="16139" width="37.140625" style="3" customWidth="1"/>
    <col min="16140" max="16140" width="8.28515625" style="3" customWidth="1"/>
    <col min="16141" max="16141" width="12" style="3" customWidth="1"/>
    <col min="16142" max="16142" width="11.140625" style="3" customWidth="1"/>
    <col min="16143" max="16143" width="13.28515625" style="3" customWidth="1"/>
    <col min="16144" max="16384" width="9.140625" style="3"/>
  </cols>
  <sheetData>
    <row r="1" spans="1:1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x14ac:dyDescent="0.25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x14ac:dyDescent="0.25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x14ac:dyDescent="0.25">
      <c r="A5" s="7" t="s">
        <v>4</v>
      </c>
      <c r="B5" s="7" t="s">
        <v>5</v>
      </c>
      <c r="C5" s="8" t="s">
        <v>6</v>
      </c>
      <c r="D5" s="7" t="s">
        <v>7</v>
      </c>
      <c r="E5" s="9" t="s">
        <v>8</v>
      </c>
      <c r="F5" s="7" t="s">
        <v>9</v>
      </c>
      <c r="G5" s="9" t="s">
        <v>10</v>
      </c>
      <c r="H5" s="7" t="s">
        <v>11</v>
      </c>
      <c r="I5" s="9" t="s">
        <v>12</v>
      </c>
      <c r="J5" s="7" t="s">
        <v>13</v>
      </c>
      <c r="K5" s="10" t="s">
        <v>14</v>
      </c>
      <c r="L5" s="11" t="s">
        <v>15</v>
      </c>
      <c r="M5" s="12"/>
      <c r="N5" s="12"/>
      <c r="O5" s="13" t="s">
        <v>16</v>
      </c>
    </row>
    <row r="6" spans="1:15" ht="33.75" x14ac:dyDescent="0.25">
      <c r="A6" s="14"/>
      <c r="B6" s="14"/>
      <c r="C6" s="15"/>
      <c r="D6" s="14"/>
      <c r="E6" s="14"/>
      <c r="F6" s="14"/>
      <c r="G6" s="14"/>
      <c r="H6" s="14"/>
      <c r="I6" s="14"/>
      <c r="J6" s="14"/>
      <c r="K6" s="16"/>
      <c r="L6" s="17" t="s">
        <v>17</v>
      </c>
      <c r="M6" s="18" t="s">
        <v>18</v>
      </c>
      <c r="N6" s="19" t="s">
        <v>19</v>
      </c>
      <c r="O6" s="13"/>
    </row>
    <row r="7" spans="1:15" x14ac:dyDescent="0.25">
      <c r="A7" s="20" t="s">
        <v>20</v>
      </c>
      <c r="B7" s="20" t="s">
        <v>21</v>
      </c>
      <c r="C7" s="21">
        <v>46234</v>
      </c>
      <c r="D7" s="20" t="s">
        <v>22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  <c r="J7" s="22" t="s">
        <v>28</v>
      </c>
      <c r="K7" s="23" t="s">
        <v>29</v>
      </c>
      <c r="L7" s="24">
        <v>126</v>
      </c>
      <c r="M7" s="25">
        <v>1679328</v>
      </c>
      <c r="N7" s="24">
        <v>31702</v>
      </c>
      <c r="O7" s="26">
        <f t="shared" ref="O7:O70" si="0">M7*1.11</f>
        <v>1864054.08</v>
      </c>
    </row>
    <row r="8" spans="1:15" x14ac:dyDescent="0.25">
      <c r="A8" s="27"/>
      <c r="B8" s="27"/>
      <c r="C8" s="28"/>
      <c r="D8" s="27"/>
      <c r="E8" s="27"/>
      <c r="F8" s="27"/>
      <c r="G8" s="27"/>
      <c r="H8" s="29"/>
      <c r="I8" s="29"/>
      <c r="J8" s="23" t="s">
        <v>30</v>
      </c>
      <c r="K8" s="22" t="s">
        <v>31</v>
      </c>
      <c r="L8" s="25">
        <v>126</v>
      </c>
      <c r="M8" s="30">
        <v>2518992</v>
      </c>
      <c r="N8" s="31">
        <v>47552</v>
      </c>
      <c r="O8" s="26">
        <f t="shared" si="0"/>
        <v>2796081.12</v>
      </c>
    </row>
    <row r="9" spans="1:15" x14ac:dyDescent="0.25">
      <c r="A9" s="27"/>
      <c r="B9" s="27"/>
      <c r="C9" s="32"/>
      <c r="D9" s="33"/>
      <c r="E9" s="34"/>
      <c r="F9" s="33"/>
      <c r="G9" s="34"/>
      <c r="H9" s="35"/>
      <c r="I9" s="36"/>
      <c r="J9" s="37" t="s">
        <v>32</v>
      </c>
      <c r="K9" s="23" t="s">
        <v>33</v>
      </c>
      <c r="L9" s="38">
        <v>63</v>
      </c>
      <c r="M9" s="25">
        <v>2423031</v>
      </c>
      <c r="N9" s="38">
        <v>91482</v>
      </c>
      <c r="O9" s="26">
        <f t="shared" si="0"/>
        <v>2689564.41</v>
      </c>
    </row>
    <row r="10" spans="1:15" ht="22.5" x14ac:dyDescent="0.25">
      <c r="A10" s="27"/>
      <c r="B10" s="27"/>
      <c r="C10" s="39">
        <v>46233</v>
      </c>
      <c r="D10" s="40" t="s">
        <v>34</v>
      </c>
      <c r="E10" s="23" t="s">
        <v>35</v>
      </c>
      <c r="F10" s="40" t="s">
        <v>36</v>
      </c>
      <c r="G10" s="23" t="s">
        <v>37</v>
      </c>
      <c r="H10" s="40" t="s">
        <v>38</v>
      </c>
      <c r="I10" s="23" t="s">
        <v>39</v>
      </c>
      <c r="J10" s="40" t="s">
        <v>32</v>
      </c>
      <c r="K10" s="23" t="s">
        <v>33</v>
      </c>
      <c r="L10" s="41">
        <v>126</v>
      </c>
      <c r="M10" s="25">
        <v>4749140</v>
      </c>
      <c r="N10" s="41">
        <v>91482</v>
      </c>
      <c r="O10" s="26">
        <f t="shared" si="0"/>
        <v>5271545.4000000004</v>
      </c>
    </row>
    <row r="11" spans="1:15" x14ac:dyDescent="0.25">
      <c r="A11" s="27"/>
      <c r="B11" s="27"/>
      <c r="C11" s="21">
        <v>46231</v>
      </c>
      <c r="D11" s="20" t="s">
        <v>40</v>
      </c>
      <c r="E11" s="20" t="s">
        <v>41</v>
      </c>
      <c r="F11" s="20" t="s">
        <v>42</v>
      </c>
      <c r="G11" s="20" t="s">
        <v>43</v>
      </c>
      <c r="H11" s="20" t="s">
        <v>26</v>
      </c>
      <c r="I11" s="20" t="s">
        <v>44</v>
      </c>
      <c r="J11" s="42" t="s">
        <v>45</v>
      </c>
      <c r="K11" s="23" t="s">
        <v>46</v>
      </c>
      <c r="L11" s="24">
        <v>6</v>
      </c>
      <c r="M11" s="25">
        <v>15300</v>
      </c>
      <c r="N11" s="24">
        <v>2831</v>
      </c>
      <c r="O11" s="26">
        <f t="shared" si="0"/>
        <v>16983</v>
      </c>
    </row>
    <row r="12" spans="1:15" x14ac:dyDescent="0.25">
      <c r="A12" s="27"/>
      <c r="B12" s="27"/>
      <c r="C12" s="43"/>
      <c r="D12" s="29"/>
      <c r="E12" s="29"/>
      <c r="F12" s="29"/>
      <c r="G12" s="29"/>
      <c r="H12" s="29"/>
      <c r="I12" s="29"/>
      <c r="J12" s="23" t="s">
        <v>47</v>
      </c>
      <c r="K12" s="22" t="s">
        <v>48</v>
      </c>
      <c r="L12" s="25">
        <v>6</v>
      </c>
      <c r="M12" s="30">
        <v>99756</v>
      </c>
      <c r="N12" s="31">
        <v>18455</v>
      </c>
      <c r="O12" s="26">
        <f t="shared" si="0"/>
        <v>110729.16</v>
      </c>
    </row>
    <row r="13" spans="1:15" x14ac:dyDescent="0.25">
      <c r="A13" s="27"/>
      <c r="B13" s="27"/>
      <c r="C13" s="43"/>
      <c r="D13" s="29"/>
      <c r="E13" s="29"/>
      <c r="F13" s="29"/>
      <c r="G13" s="29"/>
      <c r="H13" s="29"/>
      <c r="I13" s="29"/>
      <c r="J13" s="22" t="s">
        <v>49</v>
      </c>
      <c r="K13" s="23" t="s">
        <v>50</v>
      </c>
      <c r="L13" s="30">
        <v>6</v>
      </c>
      <c r="M13" s="25">
        <v>48960</v>
      </c>
      <c r="N13" s="30">
        <v>9058</v>
      </c>
      <c r="O13" s="26">
        <f t="shared" si="0"/>
        <v>54345.600000000006</v>
      </c>
    </row>
    <row r="14" spans="1:15" x14ac:dyDescent="0.25">
      <c r="A14" s="27"/>
      <c r="B14" s="27"/>
      <c r="C14" s="43"/>
      <c r="D14" s="29"/>
      <c r="E14" s="29"/>
      <c r="F14" s="29"/>
      <c r="G14" s="29"/>
      <c r="H14" s="29"/>
      <c r="I14" s="29"/>
      <c r="J14" s="23" t="s">
        <v>51</v>
      </c>
      <c r="K14" s="22" t="s">
        <v>52</v>
      </c>
      <c r="L14" s="25">
        <v>12</v>
      </c>
      <c r="M14" s="30">
        <v>171360</v>
      </c>
      <c r="N14" s="31">
        <v>15851</v>
      </c>
      <c r="O14" s="26">
        <f t="shared" si="0"/>
        <v>190209.6</v>
      </c>
    </row>
    <row r="15" spans="1:15" x14ac:dyDescent="0.25">
      <c r="A15" s="27"/>
      <c r="B15" s="27"/>
      <c r="C15" s="43"/>
      <c r="D15" s="29"/>
      <c r="E15" s="29"/>
      <c r="F15" s="29"/>
      <c r="G15" s="29"/>
      <c r="H15" s="29"/>
      <c r="I15" s="29"/>
      <c r="J15" s="22" t="s">
        <v>28</v>
      </c>
      <c r="K15" s="23" t="s">
        <v>29</v>
      </c>
      <c r="L15" s="44">
        <v>12</v>
      </c>
      <c r="M15" s="25">
        <v>171360</v>
      </c>
      <c r="N15" s="44">
        <v>15851</v>
      </c>
      <c r="O15" s="26">
        <f t="shared" si="0"/>
        <v>190209.6</v>
      </c>
    </row>
    <row r="16" spans="1:15" x14ac:dyDescent="0.25">
      <c r="A16" s="27"/>
      <c r="B16" s="27"/>
      <c r="C16" s="43"/>
      <c r="D16" s="29"/>
      <c r="E16" s="29"/>
      <c r="F16" s="29"/>
      <c r="G16" s="29"/>
      <c r="H16" s="29"/>
      <c r="I16" s="29"/>
      <c r="J16" s="45" t="s">
        <v>30</v>
      </c>
      <c r="K16" s="46" t="s">
        <v>31</v>
      </c>
      <c r="L16" s="25">
        <v>12</v>
      </c>
      <c r="M16" s="44">
        <v>257040</v>
      </c>
      <c r="N16" s="31">
        <v>23776</v>
      </c>
      <c r="O16" s="26">
        <f t="shared" si="0"/>
        <v>285314.40000000002</v>
      </c>
    </row>
    <row r="17" spans="1:15" x14ac:dyDescent="0.25">
      <c r="A17" s="27"/>
      <c r="B17" s="27"/>
      <c r="C17" s="47"/>
      <c r="D17" s="36"/>
      <c r="E17" s="36"/>
      <c r="F17" s="36"/>
      <c r="G17" s="36"/>
      <c r="H17" s="36"/>
      <c r="I17" s="36"/>
      <c r="J17" s="48" t="s">
        <v>53</v>
      </c>
      <c r="K17" s="23" t="s">
        <v>54</v>
      </c>
      <c r="L17" s="49">
        <v>12</v>
      </c>
      <c r="M17" s="25">
        <v>184824</v>
      </c>
      <c r="N17" s="49">
        <v>17096</v>
      </c>
      <c r="O17" s="26">
        <f t="shared" si="0"/>
        <v>205154.64</v>
      </c>
    </row>
    <row r="18" spans="1:15" x14ac:dyDescent="0.25">
      <c r="A18" s="27"/>
      <c r="B18" s="27"/>
      <c r="C18" s="21">
        <v>46230</v>
      </c>
      <c r="D18" s="20" t="s">
        <v>55</v>
      </c>
      <c r="E18" s="20" t="s">
        <v>56</v>
      </c>
      <c r="F18" s="20" t="s">
        <v>57</v>
      </c>
      <c r="G18" s="20" t="s">
        <v>58</v>
      </c>
      <c r="H18" s="20" t="s">
        <v>59</v>
      </c>
      <c r="I18" s="20" t="s">
        <v>60</v>
      </c>
      <c r="J18" s="46" t="s">
        <v>30</v>
      </c>
      <c r="K18" s="23" t="s">
        <v>31</v>
      </c>
      <c r="L18" s="44">
        <v>3024</v>
      </c>
      <c r="M18" s="25">
        <v>59246693</v>
      </c>
      <c r="N18" s="44">
        <v>47552</v>
      </c>
      <c r="O18" s="26">
        <f t="shared" si="0"/>
        <v>65763829.230000004</v>
      </c>
    </row>
    <row r="19" spans="1:15" x14ac:dyDescent="0.25">
      <c r="A19" s="27"/>
      <c r="B19" s="27"/>
      <c r="C19" s="43"/>
      <c r="D19" s="29"/>
      <c r="E19" s="29"/>
      <c r="F19" s="29"/>
      <c r="G19" s="29"/>
      <c r="H19" s="29"/>
      <c r="I19" s="29"/>
      <c r="J19" s="23" t="s">
        <v>32</v>
      </c>
      <c r="K19" s="46" t="s">
        <v>33</v>
      </c>
      <c r="L19" s="25">
        <v>504</v>
      </c>
      <c r="M19" s="44">
        <v>18996559</v>
      </c>
      <c r="N19" s="31">
        <v>91482</v>
      </c>
      <c r="O19" s="26">
        <f t="shared" si="0"/>
        <v>21086180.490000002</v>
      </c>
    </row>
    <row r="20" spans="1:15" x14ac:dyDescent="0.25">
      <c r="A20" s="27"/>
      <c r="B20" s="27"/>
      <c r="C20" s="43"/>
      <c r="D20" s="36"/>
      <c r="E20" s="36"/>
      <c r="F20" s="36"/>
      <c r="G20" s="36"/>
      <c r="H20" s="36"/>
      <c r="I20" s="36"/>
      <c r="J20" s="46" t="s">
        <v>61</v>
      </c>
      <c r="K20" s="23" t="s">
        <v>62</v>
      </c>
      <c r="L20" s="44">
        <v>252</v>
      </c>
      <c r="M20" s="25">
        <v>916913</v>
      </c>
      <c r="N20" s="44">
        <v>8831</v>
      </c>
      <c r="O20" s="26">
        <f t="shared" si="0"/>
        <v>1017773.43</v>
      </c>
    </row>
    <row r="21" spans="1:15" x14ac:dyDescent="0.25">
      <c r="A21" s="27"/>
      <c r="B21" s="27"/>
      <c r="C21" s="43"/>
      <c r="D21" s="20" t="s">
        <v>63</v>
      </c>
      <c r="E21" s="20" t="s">
        <v>64</v>
      </c>
      <c r="F21" s="20" t="s">
        <v>65</v>
      </c>
      <c r="G21" s="20" t="s">
        <v>66</v>
      </c>
      <c r="H21" s="20" t="s">
        <v>67</v>
      </c>
      <c r="I21" s="50" t="s">
        <v>68</v>
      </c>
      <c r="J21" s="23" t="s">
        <v>28</v>
      </c>
      <c r="K21" s="46" t="s">
        <v>29</v>
      </c>
      <c r="L21" s="25">
        <v>252</v>
      </c>
      <c r="M21" s="44">
        <v>3358656</v>
      </c>
      <c r="N21" s="31">
        <v>31702</v>
      </c>
      <c r="O21" s="26">
        <f t="shared" si="0"/>
        <v>3728108.16</v>
      </c>
    </row>
    <row r="22" spans="1:15" x14ac:dyDescent="0.25">
      <c r="A22" s="27"/>
      <c r="B22" s="27"/>
      <c r="C22" s="43"/>
      <c r="D22" s="29"/>
      <c r="E22" s="29"/>
      <c r="F22" s="29"/>
      <c r="G22" s="29"/>
      <c r="H22" s="29"/>
      <c r="I22" s="51"/>
      <c r="J22" s="52" t="s">
        <v>30</v>
      </c>
      <c r="K22" s="23" t="s">
        <v>31</v>
      </c>
      <c r="L22" s="44">
        <v>252</v>
      </c>
      <c r="M22" s="25">
        <v>5037984</v>
      </c>
      <c r="N22" s="44">
        <v>47552</v>
      </c>
      <c r="O22" s="26">
        <f t="shared" si="0"/>
        <v>5592162.2400000002</v>
      </c>
    </row>
    <row r="23" spans="1:15" x14ac:dyDescent="0.25">
      <c r="A23" s="27"/>
      <c r="B23" s="27"/>
      <c r="C23" s="47"/>
      <c r="D23" s="36"/>
      <c r="E23" s="36"/>
      <c r="F23" s="36"/>
      <c r="G23" s="36"/>
      <c r="H23" s="36"/>
      <c r="I23" s="53"/>
      <c r="J23" s="23" t="s">
        <v>61</v>
      </c>
      <c r="K23" s="46" t="s">
        <v>62</v>
      </c>
      <c r="L23" s="25">
        <v>252</v>
      </c>
      <c r="M23" s="44">
        <v>935626</v>
      </c>
      <c r="N23" s="31">
        <v>8831</v>
      </c>
      <c r="O23" s="26">
        <f t="shared" si="0"/>
        <v>1038544.8600000001</v>
      </c>
    </row>
    <row r="24" spans="1:15" x14ac:dyDescent="0.25">
      <c r="A24" s="27"/>
      <c r="B24" s="27"/>
      <c r="C24" s="21">
        <v>46228</v>
      </c>
      <c r="D24" s="20" t="s">
        <v>69</v>
      </c>
      <c r="E24" s="20" t="s">
        <v>70</v>
      </c>
      <c r="F24" s="20" t="s">
        <v>71</v>
      </c>
      <c r="G24" s="20" t="s">
        <v>72</v>
      </c>
      <c r="H24" s="20" t="s">
        <v>73</v>
      </c>
      <c r="I24" s="20" t="s">
        <v>68</v>
      </c>
      <c r="J24" s="23" t="s">
        <v>51</v>
      </c>
      <c r="K24" s="46" t="s">
        <v>52</v>
      </c>
      <c r="L24" s="25">
        <v>12</v>
      </c>
      <c r="M24" s="44">
        <v>171360</v>
      </c>
      <c r="N24" s="31">
        <v>15851</v>
      </c>
      <c r="O24" s="26">
        <f t="shared" si="0"/>
        <v>190209.6</v>
      </c>
    </row>
    <row r="25" spans="1:15" x14ac:dyDescent="0.25">
      <c r="A25" s="27"/>
      <c r="B25" s="27"/>
      <c r="C25" s="43"/>
      <c r="D25" s="29"/>
      <c r="E25" s="29"/>
      <c r="F25" s="29"/>
      <c r="G25" s="29"/>
      <c r="H25" s="29"/>
      <c r="I25" s="29"/>
      <c r="J25" s="54" t="s">
        <v>28</v>
      </c>
      <c r="K25" s="23" t="s">
        <v>29</v>
      </c>
      <c r="L25" s="44">
        <v>12</v>
      </c>
      <c r="M25" s="25">
        <v>171360</v>
      </c>
      <c r="N25" s="44">
        <v>15851</v>
      </c>
      <c r="O25" s="26">
        <f t="shared" si="0"/>
        <v>190209.6</v>
      </c>
    </row>
    <row r="26" spans="1:15" x14ac:dyDescent="0.25">
      <c r="A26" s="27"/>
      <c r="B26" s="27"/>
      <c r="C26" s="43"/>
      <c r="D26" s="29"/>
      <c r="E26" s="29"/>
      <c r="F26" s="29"/>
      <c r="G26" s="29"/>
      <c r="H26" s="29"/>
      <c r="I26" s="29"/>
      <c r="J26" s="23" t="s">
        <v>74</v>
      </c>
      <c r="K26" s="46" t="s">
        <v>75</v>
      </c>
      <c r="L26" s="25">
        <v>12</v>
      </c>
      <c r="M26" s="44">
        <v>257040</v>
      </c>
      <c r="N26" s="31">
        <v>23776</v>
      </c>
      <c r="O26" s="26">
        <f t="shared" si="0"/>
        <v>285314.40000000002</v>
      </c>
    </row>
    <row r="27" spans="1:15" x14ac:dyDescent="0.25">
      <c r="A27" s="27"/>
      <c r="B27" s="27"/>
      <c r="C27" s="47"/>
      <c r="D27" s="36"/>
      <c r="E27" s="36"/>
      <c r="F27" s="36"/>
      <c r="G27" s="36"/>
      <c r="H27" s="36"/>
      <c r="I27" s="36"/>
      <c r="J27" s="55" t="s">
        <v>30</v>
      </c>
      <c r="K27" s="23" t="s">
        <v>31</v>
      </c>
      <c r="L27" s="49">
        <v>12</v>
      </c>
      <c r="M27" s="25">
        <v>257040</v>
      </c>
      <c r="N27" s="49">
        <v>23776</v>
      </c>
      <c r="O27" s="26">
        <f t="shared" si="0"/>
        <v>285314.40000000002</v>
      </c>
    </row>
    <row r="28" spans="1:15" x14ac:dyDescent="0.25">
      <c r="A28" s="27"/>
      <c r="B28" s="27"/>
      <c r="C28" s="21">
        <v>46227</v>
      </c>
      <c r="D28" s="20" t="s">
        <v>76</v>
      </c>
      <c r="E28" s="20" t="s">
        <v>77</v>
      </c>
      <c r="F28" s="20" t="s">
        <v>78</v>
      </c>
      <c r="G28" s="20" t="s">
        <v>79</v>
      </c>
      <c r="H28" s="20" t="s">
        <v>80</v>
      </c>
      <c r="I28" s="20" t="s">
        <v>81</v>
      </c>
      <c r="J28" s="46" t="s">
        <v>28</v>
      </c>
      <c r="K28" s="23" t="s">
        <v>29</v>
      </c>
      <c r="L28" s="44">
        <v>252</v>
      </c>
      <c r="M28" s="25">
        <v>3358656</v>
      </c>
      <c r="N28" s="44">
        <v>47552</v>
      </c>
      <c r="O28" s="26">
        <f t="shared" si="0"/>
        <v>3728108.16</v>
      </c>
    </row>
    <row r="29" spans="1:15" x14ac:dyDescent="0.25">
      <c r="A29" s="27"/>
      <c r="B29" s="27"/>
      <c r="C29" s="43"/>
      <c r="D29" s="29"/>
      <c r="E29" s="29"/>
      <c r="F29" s="29"/>
      <c r="G29" s="29"/>
      <c r="H29" s="29"/>
      <c r="I29" s="29"/>
      <c r="J29" s="23" t="s">
        <v>30</v>
      </c>
      <c r="K29" s="46" t="s">
        <v>31</v>
      </c>
      <c r="L29" s="25">
        <v>252</v>
      </c>
      <c r="M29" s="44">
        <v>5037984</v>
      </c>
      <c r="N29" s="31">
        <v>71329</v>
      </c>
      <c r="O29" s="26">
        <f t="shared" si="0"/>
        <v>5592162.2400000002</v>
      </c>
    </row>
    <row r="30" spans="1:15" x14ac:dyDescent="0.25">
      <c r="A30" s="27"/>
      <c r="B30" s="27"/>
      <c r="C30" s="43"/>
      <c r="D30" s="36"/>
      <c r="E30" s="36"/>
      <c r="F30" s="36"/>
      <c r="G30" s="36"/>
      <c r="H30" s="36"/>
      <c r="I30" s="36"/>
      <c r="J30" s="46" t="s">
        <v>32</v>
      </c>
      <c r="K30" s="23" t="s">
        <v>33</v>
      </c>
      <c r="L30" s="44">
        <v>12</v>
      </c>
      <c r="M30" s="25">
        <v>484606</v>
      </c>
      <c r="N30" s="44">
        <v>45741</v>
      </c>
      <c r="O30" s="26">
        <f t="shared" si="0"/>
        <v>537912.66</v>
      </c>
    </row>
    <row r="31" spans="1:15" x14ac:dyDescent="0.25">
      <c r="A31" s="27"/>
      <c r="B31" s="27"/>
      <c r="C31" s="43"/>
      <c r="D31" s="20" t="s">
        <v>82</v>
      </c>
      <c r="E31" s="20" t="s">
        <v>35</v>
      </c>
      <c r="F31" s="20" t="s">
        <v>36</v>
      </c>
      <c r="G31" s="20" t="s">
        <v>37</v>
      </c>
      <c r="H31" s="20" t="s">
        <v>38</v>
      </c>
      <c r="I31" s="20" t="s">
        <v>39</v>
      </c>
      <c r="J31" s="23" t="s">
        <v>28</v>
      </c>
      <c r="K31" s="46" t="s">
        <v>29</v>
      </c>
      <c r="L31" s="25">
        <v>504</v>
      </c>
      <c r="M31" s="44">
        <v>6582966</v>
      </c>
      <c r="N31" s="31">
        <v>31702</v>
      </c>
      <c r="O31" s="26">
        <f t="shared" si="0"/>
        <v>7307092.2600000007</v>
      </c>
    </row>
    <row r="32" spans="1:15" x14ac:dyDescent="0.25">
      <c r="A32" s="27"/>
      <c r="B32" s="27"/>
      <c r="C32" s="47"/>
      <c r="D32" s="36"/>
      <c r="E32" s="36"/>
      <c r="F32" s="36"/>
      <c r="G32" s="36"/>
      <c r="H32" s="36"/>
      <c r="I32" s="36"/>
      <c r="J32" s="54" t="s">
        <v>32</v>
      </c>
      <c r="K32" s="23" t="s">
        <v>33</v>
      </c>
      <c r="L32" s="44">
        <v>126</v>
      </c>
      <c r="M32" s="25">
        <v>4749140</v>
      </c>
      <c r="N32" s="49">
        <v>91482</v>
      </c>
      <c r="O32" s="26">
        <f t="shared" si="0"/>
        <v>5271545.4000000004</v>
      </c>
    </row>
    <row r="33" spans="1:15" x14ac:dyDescent="0.25">
      <c r="A33" s="27"/>
      <c r="B33" s="27"/>
      <c r="C33" s="21">
        <v>46226</v>
      </c>
      <c r="D33" s="20" t="s">
        <v>83</v>
      </c>
      <c r="E33" s="20" t="s">
        <v>84</v>
      </c>
      <c r="F33" s="20" t="s">
        <v>85</v>
      </c>
      <c r="G33" s="20" t="s">
        <v>67</v>
      </c>
      <c r="H33" s="20" t="s">
        <v>86</v>
      </c>
      <c r="I33" s="20" t="s">
        <v>68</v>
      </c>
      <c r="J33" s="46" t="s">
        <v>28</v>
      </c>
      <c r="K33" s="23" t="s">
        <v>29</v>
      </c>
      <c r="L33" s="44">
        <v>60</v>
      </c>
      <c r="M33" s="25">
        <v>839664</v>
      </c>
      <c r="N33" s="44">
        <v>15851</v>
      </c>
      <c r="O33" s="26">
        <f t="shared" si="0"/>
        <v>932027.04</v>
      </c>
    </row>
    <row r="34" spans="1:15" x14ac:dyDescent="0.25">
      <c r="A34" s="27"/>
      <c r="B34" s="27"/>
      <c r="C34" s="43"/>
      <c r="D34" s="29"/>
      <c r="E34" s="29"/>
      <c r="F34" s="29"/>
      <c r="G34" s="29"/>
      <c r="H34" s="29"/>
      <c r="I34" s="29"/>
      <c r="J34" s="23" t="s">
        <v>30</v>
      </c>
      <c r="K34" s="22" t="s">
        <v>31</v>
      </c>
      <c r="L34" s="25">
        <v>60</v>
      </c>
      <c r="M34" s="30">
        <v>1259496</v>
      </c>
      <c r="N34" s="31">
        <v>23776</v>
      </c>
      <c r="O34" s="26">
        <f t="shared" si="0"/>
        <v>1398040.56</v>
      </c>
    </row>
    <row r="35" spans="1:15" x14ac:dyDescent="0.25">
      <c r="A35" s="27"/>
      <c r="B35" s="27"/>
      <c r="C35" s="47"/>
      <c r="D35" s="36"/>
      <c r="E35" s="36"/>
      <c r="F35" s="36"/>
      <c r="G35" s="36"/>
      <c r="H35" s="36"/>
      <c r="I35" s="36"/>
      <c r="J35" s="37" t="s">
        <v>32</v>
      </c>
      <c r="K35" s="23" t="s">
        <v>33</v>
      </c>
      <c r="L35" s="38">
        <v>60</v>
      </c>
      <c r="M35" s="25">
        <v>2423031</v>
      </c>
      <c r="N35" s="38">
        <v>45741</v>
      </c>
      <c r="O35" s="26">
        <f t="shared" si="0"/>
        <v>2689564.41</v>
      </c>
    </row>
    <row r="36" spans="1:15" ht="22.5" x14ac:dyDescent="0.25">
      <c r="A36" s="27"/>
      <c r="B36" s="27"/>
      <c r="C36" s="39">
        <v>46225</v>
      </c>
      <c r="D36" s="48" t="s">
        <v>87</v>
      </c>
      <c r="E36" s="23" t="s">
        <v>88</v>
      </c>
      <c r="F36" s="48" t="s">
        <v>89</v>
      </c>
      <c r="G36" s="23" t="s">
        <v>90</v>
      </c>
      <c r="H36" s="48" t="s">
        <v>91</v>
      </c>
      <c r="I36" s="23" t="s">
        <v>27</v>
      </c>
      <c r="J36" s="48" t="s">
        <v>30</v>
      </c>
      <c r="K36" s="23" t="s">
        <v>31</v>
      </c>
      <c r="L36" s="49">
        <v>60</v>
      </c>
      <c r="M36" s="25">
        <v>1285200</v>
      </c>
      <c r="N36" s="49">
        <v>23776</v>
      </c>
      <c r="O36" s="26">
        <f t="shared" si="0"/>
        <v>1426572.0000000002</v>
      </c>
    </row>
    <row r="37" spans="1:15" x14ac:dyDescent="0.25">
      <c r="A37" s="27"/>
      <c r="B37" s="27"/>
      <c r="C37" s="21">
        <v>46221</v>
      </c>
      <c r="D37" s="20" t="s">
        <v>92</v>
      </c>
      <c r="E37" s="20" t="s">
        <v>93</v>
      </c>
      <c r="F37" s="20" t="s">
        <v>94</v>
      </c>
      <c r="G37" s="20" t="s">
        <v>95</v>
      </c>
      <c r="H37" s="20" t="s">
        <v>59</v>
      </c>
      <c r="I37" s="20" t="s">
        <v>44</v>
      </c>
      <c r="J37" s="46" t="s">
        <v>96</v>
      </c>
      <c r="K37" s="23" t="s">
        <v>97</v>
      </c>
      <c r="L37" s="44">
        <v>3</v>
      </c>
      <c r="M37" s="25">
        <v>65178</v>
      </c>
      <c r="N37" s="44">
        <v>24116</v>
      </c>
      <c r="O37" s="26">
        <f t="shared" si="0"/>
        <v>72347.58</v>
      </c>
    </row>
    <row r="38" spans="1:15" x14ac:dyDescent="0.25">
      <c r="A38" s="27"/>
      <c r="B38" s="27"/>
      <c r="C38" s="43"/>
      <c r="D38" s="29"/>
      <c r="E38" s="29"/>
      <c r="F38" s="29"/>
      <c r="G38" s="29"/>
      <c r="H38" s="29"/>
      <c r="I38" s="29"/>
      <c r="J38" s="23" t="s">
        <v>98</v>
      </c>
      <c r="K38" s="22" t="s">
        <v>99</v>
      </c>
      <c r="L38" s="25">
        <v>3</v>
      </c>
      <c r="M38" s="30">
        <v>65178</v>
      </c>
      <c r="N38" s="31">
        <v>24116</v>
      </c>
      <c r="O38" s="26">
        <f t="shared" si="0"/>
        <v>72347.58</v>
      </c>
    </row>
    <row r="39" spans="1:15" x14ac:dyDescent="0.25">
      <c r="A39" s="27"/>
      <c r="B39" s="27"/>
      <c r="C39" s="43"/>
      <c r="D39" s="29"/>
      <c r="E39" s="29"/>
      <c r="F39" s="29"/>
      <c r="G39" s="29"/>
      <c r="H39" s="29"/>
      <c r="I39" s="29"/>
      <c r="J39" s="22" t="s">
        <v>100</v>
      </c>
      <c r="K39" s="23" t="s">
        <v>101</v>
      </c>
      <c r="L39" s="30">
        <v>6</v>
      </c>
      <c r="M39" s="25">
        <v>15300</v>
      </c>
      <c r="N39" s="30">
        <v>2831</v>
      </c>
      <c r="O39" s="26">
        <f t="shared" si="0"/>
        <v>16983</v>
      </c>
    </row>
    <row r="40" spans="1:15" x14ac:dyDescent="0.25">
      <c r="A40" s="27"/>
      <c r="B40" s="27"/>
      <c r="C40" s="43"/>
      <c r="D40" s="29"/>
      <c r="E40" s="29"/>
      <c r="F40" s="29"/>
      <c r="G40" s="29"/>
      <c r="H40" s="29"/>
      <c r="I40" s="29"/>
      <c r="J40" s="23" t="s">
        <v>102</v>
      </c>
      <c r="K40" s="22" t="s">
        <v>103</v>
      </c>
      <c r="L40" s="25">
        <v>6</v>
      </c>
      <c r="M40" s="30">
        <v>15300</v>
      </c>
      <c r="N40" s="31">
        <v>2831</v>
      </c>
      <c r="O40" s="26">
        <f t="shared" si="0"/>
        <v>16983</v>
      </c>
    </row>
    <row r="41" spans="1:15" x14ac:dyDescent="0.25">
      <c r="A41" s="27"/>
      <c r="B41" s="27"/>
      <c r="C41" s="43"/>
      <c r="D41" s="29"/>
      <c r="E41" s="29"/>
      <c r="F41" s="29"/>
      <c r="G41" s="29"/>
      <c r="H41" s="29"/>
      <c r="I41" s="29"/>
      <c r="J41" s="22" t="s">
        <v>104</v>
      </c>
      <c r="K41" s="23" t="s">
        <v>105</v>
      </c>
      <c r="L41" s="30">
        <v>3</v>
      </c>
      <c r="M41" s="25">
        <v>24480</v>
      </c>
      <c r="N41" s="30">
        <v>9058</v>
      </c>
      <c r="O41" s="26">
        <f t="shared" si="0"/>
        <v>27172.800000000003</v>
      </c>
    </row>
    <row r="42" spans="1:15" x14ac:dyDescent="0.25">
      <c r="A42" s="27"/>
      <c r="B42" s="27"/>
      <c r="C42" s="43"/>
      <c r="D42" s="29"/>
      <c r="E42" s="29"/>
      <c r="F42" s="29"/>
      <c r="G42" s="29"/>
      <c r="H42" s="29"/>
      <c r="I42" s="29"/>
      <c r="J42" s="23" t="s">
        <v>106</v>
      </c>
      <c r="K42" s="22" t="s">
        <v>107</v>
      </c>
      <c r="L42" s="25">
        <v>3</v>
      </c>
      <c r="M42" s="30">
        <v>24480</v>
      </c>
      <c r="N42" s="31">
        <v>9058</v>
      </c>
      <c r="O42" s="26">
        <f t="shared" si="0"/>
        <v>27172.800000000003</v>
      </c>
    </row>
    <row r="43" spans="1:15" x14ac:dyDescent="0.25">
      <c r="A43" s="27"/>
      <c r="B43" s="27"/>
      <c r="C43" s="43"/>
      <c r="D43" s="29"/>
      <c r="E43" s="29"/>
      <c r="F43" s="29"/>
      <c r="G43" s="29"/>
      <c r="H43" s="29"/>
      <c r="I43" s="29"/>
      <c r="J43" s="22" t="s">
        <v>49</v>
      </c>
      <c r="K43" s="23" t="s">
        <v>50</v>
      </c>
      <c r="L43" s="30">
        <v>3</v>
      </c>
      <c r="M43" s="25">
        <v>24480</v>
      </c>
      <c r="N43" s="30">
        <v>9058</v>
      </c>
      <c r="O43" s="26">
        <f t="shared" si="0"/>
        <v>27172.800000000003</v>
      </c>
    </row>
    <row r="44" spans="1:15" x14ac:dyDescent="0.25">
      <c r="A44" s="27"/>
      <c r="B44" s="27"/>
      <c r="C44" s="43"/>
      <c r="D44" s="29"/>
      <c r="E44" s="29"/>
      <c r="F44" s="29"/>
      <c r="G44" s="29"/>
      <c r="H44" s="29"/>
      <c r="I44" s="29"/>
      <c r="J44" s="45" t="s">
        <v>108</v>
      </c>
      <c r="K44" s="22" t="s">
        <v>109</v>
      </c>
      <c r="L44" s="25">
        <v>11</v>
      </c>
      <c r="M44" s="30">
        <v>69564</v>
      </c>
      <c r="N44" s="31">
        <v>7020</v>
      </c>
      <c r="O44" s="26">
        <f t="shared" si="0"/>
        <v>77216.040000000008</v>
      </c>
    </row>
    <row r="45" spans="1:15" x14ac:dyDescent="0.25">
      <c r="A45" s="27"/>
      <c r="B45" s="27"/>
      <c r="C45" s="43"/>
      <c r="D45" s="36"/>
      <c r="E45" s="36"/>
      <c r="F45" s="36"/>
      <c r="G45" s="36"/>
      <c r="H45" s="36"/>
      <c r="I45" s="36"/>
      <c r="J45" s="22" t="s">
        <v>110</v>
      </c>
      <c r="K45" s="23" t="s">
        <v>111</v>
      </c>
      <c r="L45" s="30">
        <v>12</v>
      </c>
      <c r="M45" s="25">
        <v>75888</v>
      </c>
      <c r="N45" s="30">
        <v>7020</v>
      </c>
      <c r="O45" s="26">
        <f t="shared" si="0"/>
        <v>84235.680000000008</v>
      </c>
    </row>
    <row r="46" spans="1:15" x14ac:dyDescent="0.25">
      <c r="A46" s="27"/>
      <c r="B46" s="27"/>
      <c r="C46" s="43"/>
      <c r="D46" s="20" t="s">
        <v>112</v>
      </c>
      <c r="E46" s="20" t="s">
        <v>113</v>
      </c>
      <c r="F46" s="20" t="s">
        <v>114</v>
      </c>
      <c r="G46" s="20" t="s">
        <v>91</v>
      </c>
      <c r="H46" s="20" t="s">
        <v>73</v>
      </c>
      <c r="I46" s="50" t="s">
        <v>39</v>
      </c>
      <c r="J46" s="23" t="s">
        <v>28</v>
      </c>
      <c r="K46" s="22" t="s">
        <v>29</v>
      </c>
      <c r="L46" s="25">
        <v>12</v>
      </c>
      <c r="M46" s="30">
        <v>171360</v>
      </c>
      <c r="N46" s="31">
        <v>15851</v>
      </c>
      <c r="O46" s="26">
        <f t="shared" si="0"/>
        <v>190209.6</v>
      </c>
    </row>
    <row r="47" spans="1:15" x14ac:dyDescent="0.25">
      <c r="A47" s="27"/>
      <c r="B47" s="27"/>
      <c r="C47" s="43"/>
      <c r="D47" s="29"/>
      <c r="E47" s="29"/>
      <c r="F47" s="29"/>
      <c r="G47" s="29"/>
      <c r="H47" s="29"/>
      <c r="I47" s="51"/>
      <c r="J47" s="56" t="s">
        <v>30</v>
      </c>
      <c r="K47" s="23" t="s">
        <v>31</v>
      </c>
      <c r="L47" s="30">
        <v>12</v>
      </c>
      <c r="M47" s="25">
        <v>257040</v>
      </c>
      <c r="N47" s="30">
        <v>23776</v>
      </c>
      <c r="O47" s="26">
        <f t="shared" si="0"/>
        <v>285314.40000000002</v>
      </c>
    </row>
    <row r="48" spans="1:15" x14ac:dyDescent="0.25">
      <c r="A48" s="27"/>
      <c r="B48" s="27"/>
      <c r="C48" s="43"/>
      <c r="D48" s="36"/>
      <c r="E48" s="36"/>
      <c r="F48" s="36"/>
      <c r="G48" s="36"/>
      <c r="H48" s="36"/>
      <c r="I48" s="53"/>
      <c r="J48" s="23" t="s">
        <v>53</v>
      </c>
      <c r="K48" s="22" t="s">
        <v>54</v>
      </c>
      <c r="L48" s="25">
        <v>12</v>
      </c>
      <c r="M48" s="30">
        <v>184824</v>
      </c>
      <c r="N48" s="31">
        <v>17096</v>
      </c>
      <c r="O48" s="26">
        <f t="shared" si="0"/>
        <v>205154.64</v>
      </c>
    </row>
    <row r="49" spans="1:15" x14ac:dyDescent="0.25">
      <c r="A49" s="27"/>
      <c r="B49" s="27"/>
      <c r="C49" s="43"/>
      <c r="D49" s="20" t="s">
        <v>115</v>
      </c>
      <c r="E49" s="20" t="s">
        <v>116</v>
      </c>
      <c r="F49" s="20" t="s">
        <v>117</v>
      </c>
      <c r="G49" s="57"/>
      <c r="H49" s="20" t="s">
        <v>118</v>
      </c>
      <c r="I49" s="20" t="s">
        <v>68</v>
      </c>
      <c r="J49" s="22" t="s">
        <v>28</v>
      </c>
      <c r="K49" s="23" t="s">
        <v>29</v>
      </c>
      <c r="L49" s="30">
        <v>36</v>
      </c>
      <c r="M49" s="25">
        <v>503798</v>
      </c>
      <c r="N49" s="30">
        <v>15851</v>
      </c>
      <c r="O49" s="26">
        <f t="shared" si="0"/>
        <v>559215.78</v>
      </c>
    </row>
    <row r="50" spans="1:15" x14ac:dyDescent="0.25">
      <c r="A50" s="27"/>
      <c r="B50" s="27"/>
      <c r="C50" s="43"/>
      <c r="D50" s="29"/>
      <c r="E50" s="29"/>
      <c r="F50" s="29"/>
      <c r="G50" s="29"/>
      <c r="H50" s="29"/>
      <c r="I50" s="29"/>
      <c r="J50" s="23" t="s">
        <v>30</v>
      </c>
      <c r="K50" s="22" t="s">
        <v>31</v>
      </c>
      <c r="L50" s="25">
        <v>60</v>
      </c>
      <c r="M50" s="30">
        <v>1259496</v>
      </c>
      <c r="N50" s="31">
        <v>23776</v>
      </c>
      <c r="O50" s="26">
        <f t="shared" si="0"/>
        <v>1398040.56</v>
      </c>
    </row>
    <row r="51" spans="1:15" x14ac:dyDescent="0.25">
      <c r="A51" s="27"/>
      <c r="B51" s="27"/>
      <c r="C51" s="43"/>
      <c r="D51" s="36"/>
      <c r="E51" s="36"/>
      <c r="F51" s="36"/>
      <c r="G51" s="36"/>
      <c r="H51" s="36"/>
      <c r="I51" s="36"/>
      <c r="J51" s="22" t="s">
        <v>32</v>
      </c>
      <c r="K51" s="23" t="s">
        <v>33</v>
      </c>
      <c r="L51" s="30">
        <v>180</v>
      </c>
      <c r="M51" s="25">
        <v>7269092</v>
      </c>
      <c r="N51" s="30">
        <v>45741</v>
      </c>
      <c r="O51" s="26">
        <f t="shared" si="0"/>
        <v>8068692.120000001</v>
      </c>
    </row>
    <row r="52" spans="1:15" x14ac:dyDescent="0.25">
      <c r="A52" s="27"/>
      <c r="B52" s="27"/>
      <c r="C52" s="43"/>
      <c r="D52" s="20" t="s">
        <v>119</v>
      </c>
      <c r="E52" s="20" t="s">
        <v>120</v>
      </c>
      <c r="F52" s="20" t="s">
        <v>121</v>
      </c>
      <c r="G52" s="20" t="s">
        <v>72</v>
      </c>
      <c r="H52" s="20" t="s">
        <v>73</v>
      </c>
      <c r="I52" s="20" t="s">
        <v>68</v>
      </c>
      <c r="J52" s="23" t="s">
        <v>51</v>
      </c>
      <c r="K52" s="22" t="s">
        <v>52</v>
      </c>
      <c r="L52" s="25">
        <v>12</v>
      </c>
      <c r="M52" s="30">
        <v>171360</v>
      </c>
      <c r="N52" s="31">
        <v>15851</v>
      </c>
      <c r="O52" s="26">
        <f t="shared" si="0"/>
        <v>190209.6</v>
      </c>
    </row>
    <row r="53" spans="1:15" x14ac:dyDescent="0.25">
      <c r="A53" s="27"/>
      <c r="B53" s="27"/>
      <c r="C53" s="43"/>
      <c r="D53" s="29"/>
      <c r="E53" s="29"/>
      <c r="F53" s="29"/>
      <c r="G53" s="29"/>
      <c r="H53" s="29"/>
      <c r="I53" s="29"/>
      <c r="J53" s="58" t="s">
        <v>28</v>
      </c>
      <c r="K53" s="23" t="s">
        <v>29</v>
      </c>
      <c r="L53" s="30">
        <v>12</v>
      </c>
      <c r="M53" s="25">
        <v>171360</v>
      </c>
      <c r="N53" s="30">
        <v>15851</v>
      </c>
      <c r="O53" s="26">
        <f t="shared" si="0"/>
        <v>190209.6</v>
      </c>
    </row>
    <row r="54" spans="1:15" x14ac:dyDescent="0.25">
      <c r="A54" s="27"/>
      <c r="B54" s="27"/>
      <c r="C54" s="43"/>
      <c r="D54" s="29"/>
      <c r="E54" s="29"/>
      <c r="F54" s="29"/>
      <c r="G54" s="29"/>
      <c r="H54" s="29"/>
      <c r="I54" s="29"/>
      <c r="J54" s="23" t="s">
        <v>30</v>
      </c>
      <c r="K54" s="22" t="s">
        <v>31</v>
      </c>
      <c r="L54" s="25">
        <v>12</v>
      </c>
      <c r="M54" s="30">
        <v>257040</v>
      </c>
      <c r="N54" s="31">
        <v>23776</v>
      </c>
      <c r="O54" s="26">
        <f t="shared" si="0"/>
        <v>285314.40000000002</v>
      </c>
    </row>
    <row r="55" spans="1:15" x14ac:dyDescent="0.25">
      <c r="A55" s="27"/>
      <c r="B55" s="27"/>
      <c r="C55" s="43"/>
      <c r="D55" s="29"/>
      <c r="E55" s="29"/>
      <c r="F55" s="29"/>
      <c r="G55" s="29"/>
      <c r="H55" s="29"/>
      <c r="I55" s="29"/>
      <c r="J55" s="58" t="s">
        <v>122</v>
      </c>
      <c r="K55" s="23" t="s">
        <v>123</v>
      </c>
      <c r="L55" s="30">
        <v>6</v>
      </c>
      <c r="M55" s="25">
        <v>247248</v>
      </c>
      <c r="N55" s="30">
        <v>45741</v>
      </c>
      <c r="O55" s="26">
        <f t="shared" si="0"/>
        <v>274445.28000000003</v>
      </c>
    </row>
    <row r="56" spans="1:15" x14ac:dyDescent="0.25">
      <c r="A56" s="27"/>
      <c r="B56" s="27"/>
      <c r="C56" s="43"/>
      <c r="D56" s="29"/>
      <c r="E56" s="29"/>
      <c r="F56" s="29"/>
      <c r="G56" s="29"/>
      <c r="H56" s="29"/>
      <c r="I56" s="29"/>
      <c r="J56" s="23" t="s">
        <v>32</v>
      </c>
      <c r="K56" s="22" t="s">
        <v>33</v>
      </c>
      <c r="L56" s="25">
        <v>6</v>
      </c>
      <c r="M56" s="30">
        <v>247248</v>
      </c>
      <c r="N56" s="31">
        <v>45741</v>
      </c>
      <c r="O56" s="26">
        <f t="shared" si="0"/>
        <v>274445.28000000003</v>
      </c>
    </row>
    <row r="57" spans="1:15" x14ac:dyDescent="0.25">
      <c r="A57" s="27"/>
      <c r="B57" s="27"/>
      <c r="C57" s="43"/>
      <c r="D57" s="36"/>
      <c r="E57" s="36"/>
      <c r="F57" s="36"/>
      <c r="G57" s="36"/>
      <c r="H57" s="36"/>
      <c r="I57" s="36"/>
      <c r="J57" s="58" t="s">
        <v>53</v>
      </c>
      <c r="K57" s="23" t="s">
        <v>54</v>
      </c>
      <c r="L57" s="30">
        <v>12</v>
      </c>
      <c r="M57" s="25">
        <v>184824</v>
      </c>
      <c r="N57" s="30">
        <v>17096</v>
      </c>
      <c r="O57" s="26">
        <f t="shared" si="0"/>
        <v>205154.64</v>
      </c>
    </row>
    <row r="58" spans="1:15" x14ac:dyDescent="0.25">
      <c r="A58" s="27"/>
      <c r="B58" s="27"/>
      <c r="C58" s="43"/>
      <c r="D58" s="20" t="s">
        <v>124</v>
      </c>
      <c r="E58" s="20" t="s">
        <v>125</v>
      </c>
      <c r="F58" s="20" t="s">
        <v>126</v>
      </c>
      <c r="G58" s="20" t="s">
        <v>127</v>
      </c>
      <c r="H58" s="20" t="s">
        <v>128</v>
      </c>
      <c r="I58" s="20" t="s">
        <v>68</v>
      </c>
      <c r="J58" s="23" t="s">
        <v>30</v>
      </c>
      <c r="K58" s="22" t="s">
        <v>31</v>
      </c>
      <c r="L58" s="25">
        <v>145</v>
      </c>
      <c r="M58" s="30">
        <v>3084480</v>
      </c>
      <c r="N58" s="31">
        <v>47552</v>
      </c>
      <c r="O58" s="26">
        <f t="shared" si="0"/>
        <v>3423772.8000000003</v>
      </c>
    </row>
    <row r="59" spans="1:15" x14ac:dyDescent="0.25">
      <c r="A59" s="27"/>
      <c r="B59" s="27"/>
      <c r="C59" s="47"/>
      <c r="D59" s="36"/>
      <c r="E59" s="36"/>
      <c r="F59" s="36"/>
      <c r="G59" s="36"/>
      <c r="H59" s="36"/>
      <c r="I59" s="36"/>
      <c r="J59" s="59" t="s">
        <v>61</v>
      </c>
      <c r="K59" s="23" t="s">
        <v>62</v>
      </c>
      <c r="L59" s="38">
        <v>144</v>
      </c>
      <c r="M59" s="25">
        <v>572832</v>
      </c>
      <c r="N59" s="38">
        <v>4416</v>
      </c>
      <c r="O59" s="26">
        <f t="shared" si="0"/>
        <v>635843.52</v>
      </c>
    </row>
    <row r="60" spans="1:15" ht="22.5" x14ac:dyDescent="0.25">
      <c r="A60" s="27"/>
      <c r="B60" s="27"/>
      <c r="C60" s="21">
        <v>46220</v>
      </c>
      <c r="D60" s="22" t="s">
        <v>129</v>
      </c>
      <c r="E60" s="23" t="s">
        <v>35</v>
      </c>
      <c r="F60" s="22" t="s">
        <v>36</v>
      </c>
      <c r="G60" s="23" t="s">
        <v>37</v>
      </c>
      <c r="H60" s="22" t="s">
        <v>38</v>
      </c>
      <c r="I60" s="23" t="s">
        <v>39</v>
      </c>
      <c r="J60" s="46" t="s">
        <v>30</v>
      </c>
      <c r="K60" s="23" t="s">
        <v>31</v>
      </c>
      <c r="L60" s="44">
        <v>13</v>
      </c>
      <c r="M60" s="25">
        <v>0</v>
      </c>
      <c r="N60" s="44">
        <v>23776</v>
      </c>
      <c r="O60" s="26">
        <f t="shared" si="0"/>
        <v>0</v>
      </c>
    </row>
    <row r="61" spans="1:15" ht="22.5" x14ac:dyDescent="0.25">
      <c r="A61" s="27"/>
      <c r="B61" s="27"/>
      <c r="C61" s="43"/>
      <c r="D61" s="23" t="s">
        <v>130</v>
      </c>
      <c r="E61" s="22" t="s">
        <v>56</v>
      </c>
      <c r="F61" s="23" t="s">
        <v>57</v>
      </c>
      <c r="G61" s="22" t="s">
        <v>58</v>
      </c>
      <c r="H61" s="23" t="s">
        <v>59</v>
      </c>
      <c r="I61" s="22" t="s">
        <v>60</v>
      </c>
      <c r="J61" s="23" t="s">
        <v>30</v>
      </c>
      <c r="K61" s="22" t="s">
        <v>31</v>
      </c>
      <c r="L61" s="25">
        <v>682</v>
      </c>
      <c r="M61" s="30">
        <v>0</v>
      </c>
      <c r="N61" s="31">
        <v>23776</v>
      </c>
      <c r="O61" s="26">
        <f t="shared" si="0"/>
        <v>0</v>
      </c>
    </row>
    <row r="62" spans="1:15" ht="22.5" x14ac:dyDescent="0.25">
      <c r="A62" s="27"/>
      <c r="B62" s="27"/>
      <c r="C62" s="43"/>
      <c r="D62" s="22" t="s">
        <v>131</v>
      </c>
      <c r="E62" s="23" t="s">
        <v>35</v>
      </c>
      <c r="F62" s="22" t="s">
        <v>36</v>
      </c>
      <c r="G62" s="23" t="s">
        <v>37</v>
      </c>
      <c r="H62" s="22" t="s">
        <v>38</v>
      </c>
      <c r="I62" s="23" t="s">
        <v>39</v>
      </c>
      <c r="J62" s="22" t="s">
        <v>30</v>
      </c>
      <c r="K62" s="23" t="s">
        <v>31</v>
      </c>
      <c r="L62" s="30">
        <v>24</v>
      </c>
      <c r="M62" s="25">
        <v>0</v>
      </c>
      <c r="N62" s="30">
        <v>23776</v>
      </c>
      <c r="O62" s="26">
        <f t="shared" si="0"/>
        <v>0</v>
      </c>
    </row>
    <row r="63" spans="1:15" ht="22.5" x14ac:dyDescent="0.25">
      <c r="A63" s="27"/>
      <c r="B63" s="27"/>
      <c r="C63" s="47"/>
      <c r="D63" s="23" t="s">
        <v>132</v>
      </c>
      <c r="E63" s="60" t="s">
        <v>77</v>
      </c>
      <c r="F63" s="23" t="s">
        <v>78</v>
      </c>
      <c r="G63" s="60" t="s">
        <v>79</v>
      </c>
      <c r="H63" s="23" t="s">
        <v>80</v>
      </c>
      <c r="I63" s="60" t="s">
        <v>81</v>
      </c>
      <c r="J63" s="23" t="s">
        <v>30</v>
      </c>
      <c r="K63" s="60" t="s">
        <v>31</v>
      </c>
      <c r="L63" s="25">
        <v>14</v>
      </c>
      <c r="M63" s="61">
        <v>0</v>
      </c>
      <c r="N63" s="31">
        <v>23776</v>
      </c>
      <c r="O63" s="26">
        <f t="shared" si="0"/>
        <v>0</v>
      </c>
    </row>
    <row r="64" spans="1:15" ht="22.5" x14ac:dyDescent="0.25">
      <c r="A64" s="27"/>
      <c r="B64" s="27"/>
      <c r="C64" s="62">
        <v>46218</v>
      </c>
      <c r="D64" s="63" t="s">
        <v>133</v>
      </c>
      <c r="E64" s="64" t="s">
        <v>134</v>
      </c>
      <c r="F64" s="23" t="s">
        <v>135</v>
      </c>
      <c r="G64" s="64" t="s">
        <v>136</v>
      </c>
      <c r="H64" s="23" t="s">
        <v>38</v>
      </c>
      <c r="I64" s="64" t="s">
        <v>68</v>
      </c>
      <c r="J64" s="23" t="s">
        <v>30</v>
      </c>
      <c r="K64" s="64" t="s">
        <v>31</v>
      </c>
      <c r="L64" s="25">
        <v>504</v>
      </c>
      <c r="M64" s="65">
        <v>10075968</v>
      </c>
      <c r="N64" s="31">
        <v>47552</v>
      </c>
      <c r="O64" s="26">
        <f t="shared" si="0"/>
        <v>11184324.48</v>
      </c>
    </row>
    <row r="65" spans="1:15" ht="22.5" x14ac:dyDescent="0.25">
      <c r="A65" s="27"/>
      <c r="B65" s="27"/>
      <c r="C65" s="66">
        <v>46213</v>
      </c>
      <c r="D65" s="23" t="s">
        <v>137</v>
      </c>
      <c r="E65" s="64" t="s">
        <v>138</v>
      </c>
      <c r="F65" s="23" t="s">
        <v>139</v>
      </c>
      <c r="G65" s="64" t="s">
        <v>140</v>
      </c>
      <c r="H65" s="23" t="s">
        <v>141</v>
      </c>
      <c r="I65" s="64" t="s">
        <v>27</v>
      </c>
      <c r="J65" s="23" t="s">
        <v>30</v>
      </c>
      <c r="K65" s="64" t="s">
        <v>31</v>
      </c>
      <c r="L65" s="25">
        <v>12</v>
      </c>
      <c r="M65" s="65">
        <v>257040</v>
      </c>
      <c r="N65" s="31">
        <v>23776</v>
      </c>
      <c r="O65" s="26">
        <f t="shared" si="0"/>
        <v>285314.40000000002</v>
      </c>
    </row>
    <row r="66" spans="1:15" x14ac:dyDescent="0.25">
      <c r="A66" s="27"/>
      <c r="B66" s="27"/>
      <c r="C66" s="21">
        <v>46211</v>
      </c>
      <c r="D66" s="20" t="s">
        <v>142</v>
      </c>
      <c r="E66" s="20" t="s">
        <v>143</v>
      </c>
      <c r="F66" s="20" t="s">
        <v>144</v>
      </c>
      <c r="G66" s="20" t="s">
        <v>145</v>
      </c>
      <c r="H66" s="20" t="s">
        <v>141</v>
      </c>
      <c r="I66" s="20" t="s">
        <v>68</v>
      </c>
      <c r="J66" s="23" t="s">
        <v>100</v>
      </c>
      <c r="K66" s="67" t="s">
        <v>101</v>
      </c>
      <c r="L66" s="25">
        <v>12</v>
      </c>
      <c r="M66" s="68">
        <v>30600</v>
      </c>
      <c r="N66" s="31">
        <v>2831</v>
      </c>
      <c r="O66" s="26">
        <f t="shared" si="0"/>
        <v>33966</v>
      </c>
    </row>
    <row r="67" spans="1:15" x14ac:dyDescent="0.25">
      <c r="A67" s="27"/>
      <c r="B67" s="27"/>
      <c r="C67" s="43"/>
      <c r="D67" s="29"/>
      <c r="E67" s="29"/>
      <c r="F67" s="29"/>
      <c r="G67" s="29"/>
      <c r="H67" s="29"/>
      <c r="I67" s="29"/>
      <c r="J67" s="69" t="s">
        <v>102</v>
      </c>
      <c r="K67" s="23" t="s">
        <v>103</v>
      </c>
      <c r="L67" s="70">
        <v>12</v>
      </c>
      <c r="M67" s="25">
        <v>30600</v>
      </c>
      <c r="N67" s="30">
        <v>2831</v>
      </c>
      <c r="O67" s="26">
        <f t="shared" si="0"/>
        <v>33966</v>
      </c>
    </row>
    <row r="68" spans="1:15" x14ac:dyDescent="0.25">
      <c r="A68" s="27"/>
      <c r="B68" s="27"/>
      <c r="C68" s="43"/>
      <c r="D68" s="29"/>
      <c r="E68" s="29"/>
      <c r="F68" s="29"/>
      <c r="G68" s="29"/>
      <c r="H68" s="29"/>
      <c r="I68" s="29"/>
      <c r="J68" s="23" t="s">
        <v>104</v>
      </c>
      <c r="K68" s="71" t="s">
        <v>105</v>
      </c>
      <c r="L68" s="25">
        <v>6</v>
      </c>
      <c r="M68" s="70">
        <v>48960</v>
      </c>
      <c r="N68" s="31">
        <v>9058</v>
      </c>
      <c r="O68" s="26">
        <f t="shared" si="0"/>
        <v>54345.600000000006</v>
      </c>
    </row>
    <row r="69" spans="1:15" x14ac:dyDescent="0.25">
      <c r="A69" s="27"/>
      <c r="B69" s="27"/>
      <c r="C69" s="43"/>
      <c r="D69" s="29"/>
      <c r="E69" s="29"/>
      <c r="F69" s="29"/>
      <c r="G69" s="29"/>
      <c r="H69" s="29"/>
      <c r="I69" s="29"/>
      <c r="J69" s="69" t="s">
        <v>106</v>
      </c>
      <c r="K69" s="23" t="s">
        <v>107</v>
      </c>
      <c r="L69" s="70">
        <v>6</v>
      </c>
      <c r="M69" s="25">
        <v>48960</v>
      </c>
      <c r="N69" s="30">
        <v>9058</v>
      </c>
      <c r="O69" s="26">
        <f t="shared" si="0"/>
        <v>54345.600000000006</v>
      </c>
    </row>
    <row r="70" spans="1:15" x14ac:dyDescent="0.25">
      <c r="A70" s="27"/>
      <c r="B70" s="27"/>
      <c r="C70" s="43"/>
      <c r="D70" s="29"/>
      <c r="E70" s="29"/>
      <c r="F70" s="29"/>
      <c r="G70" s="29"/>
      <c r="H70" s="29"/>
      <c r="I70" s="29"/>
      <c r="J70" s="23" t="s">
        <v>49</v>
      </c>
      <c r="K70" s="71" t="s">
        <v>50</v>
      </c>
      <c r="L70" s="25">
        <v>6</v>
      </c>
      <c r="M70" s="70">
        <v>48960</v>
      </c>
      <c r="N70" s="31">
        <v>9058</v>
      </c>
      <c r="O70" s="26">
        <f t="shared" si="0"/>
        <v>54345.600000000006</v>
      </c>
    </row>
    <row r="71" spans="1:15" x14ac:dyDescent="0.25">
      <c r="A71" s="27"/>
      <c r="B71" s="27"/>
      <c r="C71" s="43"/>
      <c r="D71" s="29"/>
      <c r="E71" s="29"/>
      <c r="F71" s="29"/>
      <c r="G71" s="29"/>
      <c r="H71" s="29"/>
      <c r="I71" s="29"/>
      <c r="J71" s="69" t="s">
        <v>74</v>
      </c>
      <c r="K71" s="23" t="s">
        <v>75</v>
      </c>
      <c r="L71" s="70">
        <v>12</v>
      </c>
      <c r="M71" s="25">
        <v>257040</v>
      </c>
      <c r="N71" s="30">
        <v>23776</v>
      </c>
      <c r="O71" s="26">
        <f t="shared" ref="O71:O134" si="1">M71*1.11</f>
        <v>285314.40000000002</v>
      </c>
    </row>
    <row r="72" spans="1:15" x14ac:dyDescent="0.25">
      <c r="A72" s="27"/>
      <c r="B72" s="27"/>
      <c r="C72" s="47"/>
      <c r="D72" s="36"/>
      <c r="E72" s="36"/>
      <c r="F72" s="36"/>
      <c r="G72" s="36"/>
      <c r="H72" s="36"/>
      <c r="I72" s="36"/>
      <c r="J72" s="23" t="s">
        <v>30</v>
      </c>
      <c r="K72" s="71" t="s">
        <v>31</v>
      </c>
      <c r="L72" s="25">
        <v>12</v>
      </c>
      <c r="M72" s="70">
        <v>257040</v>
      </c>
      <c r="N72" s="31">
        <v>23776</v>
      </c>
      <c r="O72" s="26">
        <f t="shared" si="1"/>
        <v>285314.40000000002</v>
      </c>
    </row>
    <row r="73" spans="1:15" x14ac:dyDescent="0.25">
      <c r="A73" s="27"/>
      <c r="B73" s="27"/>
      <c r="C73" s="21">
        <v>46210</v>
      </c>
      <c r="D73" s="23" t="s">
        <v>146</v>
      </c>
      <c r="E73" s="46" t="s">
        <v>147</v>
      </c>
      <c r="F73" s="63" t="s">
        <v>148</v>
      </c>
      <c r="G73" s="46" t="s">
        <v>149</v>
      </c>
      <c r="H73" s="63" t="s">
        <v>149</v>
      </c>
      <c r="I73" s="46" t="s">
        <v>68</v>
      </c>
      <c r="J73" s="63" t="s">
        <v>53</v>
      </c>
      <c r="K73" s="46" t="s">
        <v>54</v>
      </c>
      <c r="L73" s="72">
        <v>60</v>
      </c>
      <c r="M73" s="44">
        <v>924120</v>
      </c>
      <c r="N73" s="73">
        <v>17096</v>
      </c>
      <c r="O73" s="26">
        <f t="shared" si="1"/>
        <v>1025773.2000000001</v>
      </c>
    </row>
    <row r="74" spans="1:15" x14ac:dyDescent="0.25">
      <c r="A74" s="27"/>
      <c r="B74" s="27"/>
      <c r="C74" s="43"/>
      <c r="D74" s="20" t="s">
        <v>150</v>
      </c>
      <c r="E74" s="20" t="s">
        <v>151</v>
      </c>
      <c r="F74" s="20" t="s">
        <v>152</v>
      </c>
      <c r="G74" s="20" t="s">
        <v>153</v>
      </c>
      <c r="H74" s="20" t="s">
        <v>154</v>
      </c>
      <c r="I74" s="20" t="s">
        <v>68</v>
      </c>
      <c r="J74" s="46" t="s">
        <v>98</v>
      </c>
      <c r="K74" s="23" t="s">
        <v>99</v>
      </c>
      <c r="L74" s="74">
        <v>-1</v>
      </c>
      <c r="M74" s="75">
        <v>-17884</v>
      </c>
      <c r="N74" s="44">
        <v>24116</v>
      </c>
      <c r="O74" s="26">
        <f t="shared" si="1"/>
        <v>-19851.240000000002</v>
      </c>
    </row>
    <row r="75" spans="1:15" x14ac:dyDescent="0.25">
      <c r="A75" s="27"/>
      <c r="B75" s="27"/>
      <c r="C75" s="43"/>
      <c r="D75" s="36"/>
      <c r="E75" s="36"/>
      <c r="F75" s="36"/>
      <c r="G75" s="36"/>
      <c r="H75" s="36"/>
      <c r="I75" s="36"/>
      <c r="J75" s="23" t="s">
        <v>155</v>
      </c>
      <c r="K75" s="46" t="s">
        <v>156</v>
      </c>
      <c r="L75" s="75">
        <v>-1</v>
      </c>
      <c r="M75" s="74">
        <v>-17884</v>
      </c>
      <c r="N75" s="31">
        <v>24116</v>
      </c>
      <c r="O75" s="26">
        <f t="shared" si="1"/>
        <v>-19851.240000000002</v>
      </c>
    </row>
    <row r="76" spans="1:15" ht="22.5" x14ac:dyDescent="0.25">
      <c r="A76" s="27"/>
      <c r="B76" s="27"/>
      <c r="C76" s="47"/>
      <c r="D76" s="55" t="s">
        <v>157</v>
      </c>
      <c r="E76" s="23" t="s">
        <v>158</v>
      </c>
      <c r="F76" s="48" t="s">
        <v>159</v>
      </c>
      <c r="G76" s="23" t="s">
        <v>160</v>
      </c>
      <c r="H76" s="48" t="s">
        <v>141</v>
      </c>
      <c r="I76" s="23" t="s">
        <v>68</v>
      </c>
      <c r="J76" s="48" t="s">
        <v>47</v>
      </c>
      <c r="K76" s="23" t="s">
        <v>48</v>
      </c>
      <c r="L76" s="76">
        <v>-1</v>
      </c>
      <c r="M76" s="75">
        <v>-12982</v>
      </c>
      <c r="N76" s="49">
        <v>18455</v>
      </c>
      <c r="O76" s="26">
        <f t="shared" si="1"/>
        <v>-14410.02</v>
      </c>
    </row>
    <row r="77" spans="1:15" ht="22.5" x14ac:dyDescent="0.25">
      <c r="A77" s="27"/>
      <c r="B77" s="27"/>
      <c r="C77" s="39">
        <v>46209</v>
      </c>
      <c r="D77" s="48" t="s">
        <v>161</v>
      </c>
      <c r="E77" s="23" t="s">
        <v>162</v>
      </c>
      <c r="F77" s="48" t="s">
        <v>163</v>
      </c>
      <c r="G77" s="23" t="s">
        <v>164</v>
      </c>
      <c r="H77" s="48" t="s">
        <v>165</v>
      </c>
      <c r="I77" s="23" t="s">
        <v>44</v>
      </c>
      <c r="J77" s="48" t="s">
        <v>166</v>
      </c>
      <c r="K77" s="23" t="s">
        <v>167</v>
      </c>
      <c r="L77" s="76">
        <v>-3</v>
      </c>
      <c r="M77" s="75">
        <v>-43757</v>
      </c>
      <c r="N77" s="49">
        <v>18455</v>
      </c>
      <c r="O77" s="26">
        <f t="shared" si="1"/>
        <v>-48570.270000000004</v>
      </c>
    </row>
    <row r="78" spans="1:15" x14ac:dyDescent="0.25">
      <c r="A78" s="27"/>
      <c r="B78" s="27"/>
      <c r="C78" s="21">
        <v>46207</v>
      </c>
      <c r="D78" s="20" t="s">
        <v>168</v>
      </c>
      <c r="E78" s="20" t="s">
        <v>169</v>
      </c>
      <c r="F78" s="20" t="s">
        <v>170</v>
      </c>
      <c r="G78" s="20" t="s">
        <v>171</v>
      </c>
      <c r="H78" s="20" t="s">
        <v>59</v>
      </c>
      <c r="I78" s="20" t="s">
        <v>172</v>
      </c>
      <c r="J78" s="46" t="s">
        <v>166</v>
      </c>
      <c r="K78" s="23" t="s">
        <v>167</v>
      </c>
      <c r="L78" s="74">
        <v>-4</v>
      </c>
      <c r="M78" s="75">
        <v>-58342</v>
      </c>
      <c r="N78" s="44">
        <v>18455</v>
      </c>
      <c r="O78" s="26">
        <f t="shared" si="1"/>
        <v>-64759.62</v>
      </c>
    </row>
    <row r="79" spans="1:15" x14ac:dyDescent="0.25">
      <c r="A79" s="27"/>
      <c r="B79" s="27"/>
      <c r="C79" s="47"/>
      <c r="D79" s="36"/>
      <c r="E79" s="36"/>
      <c r="F79" s="36"/>
      <c r="G79" s="36"/>
      <c r="H79" s="36"/>
      <c r="I79" s="36"/>
      <c r="J79" s="23" t="s">
        <v>173</v>
      </c>
      <c r="K79" s="46" t="s">
        <v>174</v>
      </c>
      <c r="L79" s="75">
        <v>-1</v>
      </c>
      <c r="M79" s="74">
        <v>-14586</v>
      </c>
      <c r="N79" s="31">
        <v>18455</v>
      </c>
      <c r="O79" s="26">
        <f t="shared" si="1"/>
        <v>-16190.460000000001</v>
      </c>
    </row>
    <row r="80" spans="1:15" x14ac:dyDescent="0.25">
      <c r="A80" s="27"/>
      <c r="B80" s="27"/>
      <c r="C80" s="21">
        <v>46206</v>
      </c>
      <c r="D80" s="20" t="s">
        <v>175</v>
      </c>
      <c r="E80" s="20" t="s">
        <v>176</v>
      </c>
      <c r="F80" s="20" t="s">
        <v>177</v>
      </c>
      <c r="G80" s="20" t="s">
        <v>178</v>
      </c>
      <c r="H80" s="20" t="s">
        <v>179</v>
      </c>
      <c r="I80" s="20" t="s">
        <v>68</v>
      </c>
      <c r="J80" s="23" t="s">
        <v>28</v>
      </c>
      <c r="K80" s="46" t="s">
        <v>29</v>
      </c>
      <c r="L80" s="25">
        <v>252</v>
      </c>
      <c r="M80" s="44">
        <v>3358656</v>
      </c>
      <c r="N80" s="31">
        <v>31702</v>
      </c>
      <c r="O80" s="26">
        <f t="shared" si="1"/>
        <v>3728108.16</v>
      </c>
    </row>
    <row r="81" spans="1:15" x14ac:dyDescent="0.25">
      <c r="A81" s="27"/>
      <c r="B81" s="27"/>
      <c r="C81" s="47"/>
      <c r="D81" s="36"/>
      <c r="E81" s="36"/>
      <c r="F81" s="36"/>
      <c r="G81" s="36"/>
      <c r="H81" s="36"/>
      <c r="I81" s="36"/>
      <c r="J81" s="55" t="s">
        <v>30</v>
      </c>
      <c r="K81" s="23" t="s">
        <v>31</v>
      </c>
      <c r="L81" s="49">
        <v>504</v>
      </c>
      <c r="M81" s="25">
        <v>10075968</v>
      </c>
      <c r="N81" s="49">
        <v>47552</v>
      </c>
      <c r="O81" s="26">
        <f t="shared" si="1"/>
        <v>11184324.48</v>
      </c>
    </row>
    <row r="82" spans="1:15" x14ac:dyDescent="0.25">
      <c r="A82" s="27"/>
      <c r="B82" s="27"/>
      <c r="C82" s="21">
        <v>46204</v>
      </c>
      <c r="D82" s="20" t="s">
        <v>180</v>
      </c>
      <c r="E82" s="20" t="s">
        <v>181</v>
      </c>
      <c r="F82" s="20" t="s">
        <v>163</v>
      </c>
      <c r="G82" s="20" t="s">
        <v>182</v>
      </c>
      <c r="H82" s="20" t="s">
        <v>165</v>
      </c>
      <c r="I82" s="20" t="s">
        <v>44</v>
      </c>
      <c r="J82" s="46" t="s">
        <v>183</v>
      </c>
      <c r="K82" s="23" t="s">
        <v>184</v>
      </c>
      <c r="L82" s="74">
        <v>-1</v>
      </c>
      <c r="M82" s="75">
        <v>-14586</v>
      </c>
      <c r="N82" s="44">
        <v>18455</v>
      </c>
      <c r="O82" s="26">
        <f t="shared" si="1"/>
        <v>-16190.460000000001</v>
      </c>
    </row>
    <row r="83" spans="1:15" x14ac:dyDescent="0.25">
      <c r="A83" s="27"/>
      <c r="B83" s="27"/>
      <c r="C83" s="43"/>
      <c r="D83" s="29"/>
      <c r="E83" s="29"/>
      <c r="F83" s="29"/>
      <c r="G83" s="29"/>
      <c r="H83" s="29"/>
      <c r="I83" s="29"/>
      <c r="J83" s="23" t="s">
        <v>173</v>
      </c>
      <c r="K83" s="46" t="s">
        <v>174</v>
      </c>
      <c r="L83" s="75">
        <v>-3</v>
      </c>
      <c r="M83" s="74">
        <v>-43757</v>
      </c>
      <c r="N83" s="31">
        <v>18455</v>
      </c>
      <c r="O83" s="26">
        <f t="shared" si="1"/>
        <v>-48570.270000000004</v>
      </c>
    </row>
    <row r="84" spans="1:15" x14ac:dyDescent="0.25">
      <c r="A84" s="27"/>
      <c r="B84" s="27"/>
      <c r="C84" s="43"/>
      <c r="D84" s="36"/>
      <c r="E84" s="36"/>
      <c r="F84" s="36"/>
      <c r="G84" s="36"/>
      <c r="H84" s="36"/>
      <c r="I84" s="36"/>
      <c r="J84" s="46" t="s">
        <v>185</v>
      </c>
      <c r="K84" s="23" t="s">
        <v>186</v>
      </c>
      <c r="L84" s="74">
        <v>-2</v>
      </c>
      <c r="M84" s="75">
        <v>-14892</v>
      </c>
      <c r="N84" s="44">
        <v>9058</v>
      </c>
      <c r="O84" s="26">
        <f t="shared" si="1"/>
        <v>-16530.120000000003</v>
      </c>
    </row>
    <row r="85" spans="1:15" ht="22.5" x14ac:dyDescent="0.25">
      <c r="A85" s="27"/>
      <c r="B85" s="34"/>
      <c r="C85" s="47"/>
      <c r="D85" s="23" t="s">
        <v>187</v>
      </c>
      <c r="E85" s="46" t="s">
        <v>181</v>
      </c>
      <c r="F85" s="23" t="s">
        <v>163</v>
      </c>
      <c r="G85" s="46" t="s">
        <v>182</v>
      </c>
      <c r="H85" s="23" t="s">
        <v>165</v>
      </c>
      <c r="I85" s="46" t="s">
        <v>44</v>
      </c>
      <c r="J85" s="23" t="s">
        <v>108</v>
      </c>
      <c r="K85" s="46" t="s">
        <v>109</v>
      </c>
      <c r="L85" s="75">
        <v>-1</v>
      </c>
      <c r="M85" s="74">
        <v>-5712</v>
      </c>
      <c r="N85" s="31">
        <v>7020</v>
      </c>
      <c r="O85" s="26">
        <f t="shared" si="1"/>
        <v>-6340.3200000000006</v>
      </c>
    </row>
    <row r="86" spans="1:15" x14ac:dyDescent="0.25">
      <c r="A86" s="27"/>
      <c r="B86" s="20" t="s">
        <v>188</v>
      </c>
      <c r="C86" s="21">
        <v>46234</v>
      </c>
      <c r="D86" s="20" t="s">
        <v>189</v>
      </c>
      <c r="E86" s="20" t="s">
        <v>190</v>
      </c>
      <c r="F86" s="20" t="s">
        <v>191</v>
      </c>
      <c r="G86" s="20" t="s">
        <v>192</v>
      </c>
      <c r="H86" s="20" t="s">
        <v>154</v>
      </c>
      <c r="I86" s="20" t="s">
        <v>44</v>
      </c>
      <c r="J86" s="46" t="s">
        <v>193</v>
      </c>
      <c r="K86" s="23" t="s">
        <v>194</v>
      </c>
      <c r="L86" s="44">
        <v>12</v>
      </c>
      <c r="M86" s="25">
        <v>129548</v>
      </c>
      <c r="N86" s="44">
        <v>12228</v>
      </c>
      <c r="O86" s="26">
        <f t="shared" si="1"/>
        <v>143798.28</v>
      </c>
    </row>
    <row r="87" spans="1:15" x14ac:dyDescent="0.25">
      <c r="A87" s="27"/>
      <c r="B87" s="29"/>
      <c r="C87" s="43"/>
      <c r="D87" s="29"/>
      <c r="E87" s="29"/>
      <c r="F87" s="29"/>
      <c r="G87" s="29"/>
      <c r="H87" s="29"/>
      <c r="I87" s="29"/>
      <c r="J87" s="23" t="s">
        <v>51</v>
      </c>
      <c r="K87" s="46" t="s">
        <v>52</v>
      </c>
      <c r="L87" s="25">
        <v>24</v>
      </c>
      <c r="M87" s="44">
        <v>335866</v>
      </c>
      <c r="N87" s="31">
        <v>15851</v>
      </c>
      <c r="O87" s="26">
        <f t="shared" si="1"/>
        <v>372811.26</v>
      </c>
    </row>
    <row r="88" spans="1:15" x14ac:dyDescent="0.25">
      <c r="A88" s="27"/>
      <c r="B88" s="29"/>
      <c r="C88" s="43"/>
      <c r="D88" s="29"/>
      <c r="E88" s="29"/>
      <c r="F88" s="29"/>
      <c r="G88" s="29"/>
      <c r="H88" s="29"/>
      <c r="I88" s="29"/>
      <c r="J88" s="46" t="s">
        <v>28</v>
      </c>
      <c r="K88" s="23" t="s">
        <v>29</v>
      </c>
      <c r="L88" s="44">
        <v>36</v>
      </c>
      <c r="M88" s="25">
        <v>503798</v>
      </c>
      <c r="N88" s="44">
        <v>15851</v>
      </c>
      <c r="O88" s="26">
        <f t="shared" si="1"/>
        <v>559215.78</v>
      </c>
    </row>
    <row r="89" spans="1:15" x14ac:dyDescent="0.25">
      <c r="A89" s="27"/>
      <c r="B89" s="29"/>
      <c r="C89" s="43"/>
      <c r="D89" s="29"/>
      <c r="E89" s="29"/>
      <c r="F89" s="29"/>
      <c r="G89" s="29"/>
      <c r="H89" s="29"/>
      <c r="I89" s="29"/>
      <c r="J89" s="45" t="s">
        <v>74</v>
      </c>
      <c r="K89" s="46" t="s">
        <v>75</v>
      </c>
      <c r="L89" s="25">
        <v>60</v>
      </c>
      <c r="M89" s="44">
        <v>1259496</v>
      </c>
      <c r="N89" s="31">
        <v>23776</v>
      </c>
      <c r="O89" s="26">
        <f t="shared" si="1"/>
        <v>1398040.56</v>
      </c>
    </row>
    <row r="90" spans="1:15" x14ac:dyDescent="0.25">
      <c r="A90" s="27"/>
      <c r="B90" s="29"/>
      <c r="C90" s="43"/>
      <c r="D90" s="29"/>
      <c r="E90" s="29"/>
      <c r="F90" s="29"/>
      <c r="G90" s="29"/>
      <c r="H90" s="29"/>
      <c r="I90" s="29"/>
      <c r="J90" s="46" t="s">
        <v>30</v>
      </c>
      <c r="K90" s="23" t="s">
        <v>31</v>
      </c>
      <c r="L90" s="44">
        <v>60</v>
      </c>
      <c r="M90" s="25">
        <v>1259496</v>
      </c>
      <c r="N90" s="44">
        <v>23776</v>
      </c>
      <c r="O90" s="26">
        <f t="shared" si="1"/>
        <v>1398040.56</v>
      </c>
    </row>
    <row r="91" spans="1:15" x14ac:dyDescent="0.25">
      <c r="A91" s="27"/>
      <c r="B91" s="29"/>
      <c r="C91" s="43"/>
      <c r="D91" s="29"/>
      <c r="E91" s="29"/>
      <c r="F91" s="29"/>
      <c r="G91" s="29"/>
      <c r="H91" s="29"/>
      <c r="I91" s="29"/>
      <c r="J91" s="45" t="s">
        <v>122</v>
      </c>
      <c r="K91" s="46" t="s">
        <v>123</v>
      </c>
      <c r="L91" s="25">
        <v>18</v>
      </c>
      <c r="M91" s="44">
        <v>726909</v>
      </c>
      <c r="N91" s="31">
        <v>45741</v>
      </c>
      <c r="O91" s="26">
        <f t="shared" si="1"/>
        <v>806868.99000000011</v>
      </c>
    </row>
    <row r="92" spans="1:15" x14ac:dyDescent="0.25">
      <c r="A92" s="27"/>
      <c r="B92" s="29"/>
      <c r="C92" s="43"/>
      <c r="D92" s="29"/>
      <c r="E92" s="29"/>
      <c r="F92" s="29"/>
      <c r="G92" s="29"/>
      <c r="H92" s="29"/>
      <c r="I92" s="29"/>
      <c r="J92" s="46" t="s">
        <v>195</v>
      </c>
      <c r="K92" s="23" t="s">
        <v>196</v>
      </c>
      <c r="L92" s="44">
        <v>60</v>
      </c>
      <c r="M92" s="25">
        <v>905638</v>
      </c>
      <c r="N92" s="44">
        <v>17096</v>
      </c>
      <c r="O92" s="26">
        <f t="shared" si="1"/>
        <v>1005258.18</v>
      </c>
    </row>
    <row r="93" spans="1:15" x14ac:dyDescent="0.25">
      <c r="A93" s="27"/>
      <c r="B93" s="36"/>
      <c r="C93" s="47"/>
      <c r="D93" s="36"/>
      <c r="E93" s="36"/>
      <c r="F93" s="36"/>
      <c r="G93" s="36"/>
      <c r="H93" s="36"/>
      <c r="I93" s="36"/>
      <c r="J93" s="45" t="s">
        <v>53</v>
      </c>
      <c r="K93" s="46" t="s">
        <v>54</v>
      </c>
      <c r="L93" s="25">
        <v>60</v>
      </c>
      <c r="M93" s="44">
        <v>905638</v>
      </c>
      <c r="N93" s="31">
        <v>17096</v>
      </c>
      <c r="O93" s="26">
        <f t="shared" si="1"/>
        <v>1005258.18</v>
      </c>
    </row>
    <row r="94" spans="1:15" x14ac:dyDescent="0.25">
      <c r="A94" s="27"/>
      <c r="B94" s="50" t="s">
        <v>197</v>
      </c>
      <c r="C94" s="39">
        <v>46230</v>
      </c>
      <c r="D94" s="48" t="s">
        <v>198</v>
      </c>
      <c r="E94" s="23" t="s">
        <v>199</v>
      </c>
      <c r="F94" s="48" t="s">
        <v>200</v>
      </c>
      <c r="G94" s="23" t="s">
        <v>201</v>
      </c>
      <c r="H94" s="48" t="s">
        <v>201</v>
      </c>
      <c r="I94" s="23" t="s">
        <v>68</v>
      </c>
      <c r="J94" s="48" t="s">
        <v>202</v>
      </c>
      <c r="K94" s="23" t="s">
        <v>203</v>
      </c>
      <c r="L94" s="49">
        <v>1</v>
      </c>
      <c r="M94" s="25">
        <v>17748</v>
      </c>
      <c r="N94" s="49">
        <v>19700</v>
      </c>
      <c r="O94" s="26">
        <f t="shared" si="1"/>
        <v>19700.280000000002</v>
      </c>
    </row>
    <row r="95" spans="1:15" x14ac:dyDescent="0.25">
      <c r="A95" s="27"/>
      <c r="B95" s="51"/>
      <c r="C95" s="21">
        <v>46221</v>
      </c>
      <c r="D95" s="46" t="s">
        <v>204</v>
      </c>
      <c r="E95" s="23" t="s">
        <v>199</v>
      </c>
      <c r="F95" s="46" t="s">
        <v>200</v>
      </c>
      <c r="G95" s="23" t="s">
        <v>201</v>
      </c>
      <c r="H95" s="46" t="s">
        <v>201</v>
      </c>
      <c r="I95" s="23" t="s">
        <v>68</v>
      </c>
      <c r="J95" s="46" t="s">
        <v>32</v>
      </c>
      <c r="K95" s="23" t="s">
        <v>33</v>
      </c>
      <c r="L95" s="44">
        <v>1</v>
      </c>
      <c r="M95" s="25">
        <v>41209</v>
      </c>
      <c r="N95" s="44">
        <v>45741</v>
      </c>
      <c r="O95" s="26">
        <f t="shared" si="1"/>
        <v>45741.990000000005</v>
      </c>
    </row>
    <row r="96" spans="1:15" x14ac:dyDescent="0.25">
      <c r="A96" s="27"/>
      <c r="B96" s="51"/>
      <c r="C96" s="47"/>
      <c r="D96" s="23" t="s">
        <v>205</v>
      </c>
      <c r="E96" s="48" t="s">
        <v>199</v>
      </c>
      <c r="F96" s="23" t="s">
        <v>200</v>
      </c>
      <c r="G96" s="48" t="s">
        <v>201</v>
      </c>
      <c r="H96" s="23" t="s">
        <v>201</v>
      </c>
      <c r="I96" s="48" t="s">
        <v>68</v>
      </c>
      <c r="J96" s="23" t="s">
        <v>30</v>
      </c>
      <c r="K96" s="48" t="s">
        <v>31</v>
      </c>
      <c r="L96" s="25">
        <v>1</v>
      </c>
      <c r="M96" s="44">
        <v>21420</v>
      </c>
      <c r="N96" s="31">
        <v>23776</v>
      </c>
      <c r="O96" s="26">
        <f t="shared" si="1"/>
        <v>23776.2</v>
      </c>
    </row>
    <row r="97" spans="1:15" x14ac:dyDescent="0.25">
      <c r="A97" s="27"/>
      <c r="B97" s="51"/>
      <c r="C97" s="77">
        <v>46216</v>
      </c>
      <c r="D97" s="23" t="s">
        <v>206</v>
      </c>
      <c r="E97" s="46" t="s">
        <v>207</v>
      </c>
      <c r="F97" s="23" t="s">
        <v>208</v>
      </c>
      <c r="G97" s="78"/>
      <c r="H97" s="23" t="s">
        <v>201</v>
      </c>
      <c r="I97" s="46" t="s">
        <v>209</v>
      </c>
      <c r="J97" s="23" t="s">
        <v>202</v>
      </c>
      <c r="K97" s="46" t="s">
        <v>203</v>
      </c>
      <c r="L97" s="25">
        <v>1</v>
      </c>
      <c r="M97" s="49">
        <v>17748</v>
      </c>
      <c r="N97" s="31">
        <v>19700</v>
      </c>
      <c r="O97" s="26">
        <f t="shared" si="1"/>
        <v>19700.280000000002</v>
      </c>
    </row>
    <row r="98" spans="1:15" x14ac:dyDescent="0.25">
      <c r="A98" s="27"/>
      <c r="B98" s="51"/>
      <c r="C98" s="21">
        <v>46211</v>
      </c>
      <c r="D98" s="20" t="s">
        <v>210</v>
      </c>
      <c r="E98" s="20" t="s">
        <v>211</v>
      </c>
      <c r="F98" s="20" t="s">
        <v>212</v>
      </c>
      <c r="G98" s="20" t="s">
        <v>213</v>
      </c>
      <c r="H98" s="20" t="s">
        <v>214</v>
      </c>
      <c r="I98" s="20" t="s">
        <v>68</v>
      </c>
      <c r="J98" s="23" t="s">
        <v>51</v>
      </c>
      <c r="K98" s="46" t="s">
        <v>52</v>
      </c>
      <c r="L98" s="25">
        <v>3</v>
      </c>
      <c r="M98" s="44">
        <v>41983</v>
      </c>
      <c r="N98" s="31">
        <v>15851</v>
      </c>
      <c r="O98" s="26">
        <f t="shared" si="1"/>
        <v>46601.130000000005</v>
      </c>
    </row>
    <row r="99" spans="1:15" x14ac:dyDescent="0.25">
      <c r="A99" s="27"/>
      <c r="B99" s="51"/>
      <c r="C99" s="43"/>
      <c r="D99" s="29"/>
      <c r="E99" s="29"/>
      <c r="F99" s="29"/>
      <c r="G99" s="29"/>
      <c r="H99" s="29"/>
      <c r="I99" s="29"/>
      <c r="J99" s="54" t="s">
        <v>28</v>
      </c>
      <c r="K99" s="23" t="s">
        <v>29</v>
      </c>
      <c r="L99" s="44">
        <v>6</v>
      </c>
      <c r="M99" s="25">
        <v>83967</v>
      </c>
      <c r="N99" s="44">
        <v>15851</v>
      </c>
      <c r="O99" s="26">
        <f t="shared" si="1"/>
        <v>93203.37000000001</v>
      </c>
    </row>
    <row r="100" spans="1:15" x14ac:dyDescent="0.25">
      <c r="A100" s="27"/>
      <c r="B100" s="51"/>
      <c r="C100" s="43"/>
      <c r="D100" s="29"/>
      <c r="E100" s="29"/>
      <c r="F100" s="29"/>
      <c r="G100" s="29"/>
      <c r="H100" s="29"/>
      <c r="I100" s="29"/>
      <c r="J100" s="23" t="s">
        <v>74</v>
      </c>
      <c r="K100" s="46" t="s">
        <v>75</v>
      </c>
      <c r="L100" s="25">
        <v>3</v>
      </c>
      <c r="M100" s="44">
        <v>62975</v>
      </c>
      <c r="N100" s="31">
        <v>23776</v>
      </c>
      <c r="O100" s="26">
        <f t="shared" si="1"/>
        <v>69902.25</v>
      </c>
    </row>
    <row r="101" spans="1:15" x14ac:dyDescent="0.25">
      <c r="A101" s="27"/>
      <c r="B101" s="51"/>
      <c r="C101" s="43"/>
      <c r="D101" s="29"/>
      <c r="E101" s="29"/>
      <c r="F101" s="29"/>
      <c r="G101" s="29"/>
      <c r="H101" s="29"/>
      <c r="I101" s="29"/>
      <c r="J101" s="54" t="s">
        <v>30</v>
      </c>
      <c r="K101" s="23" t="s">
        <v>31</v>
      </c>
      <c r="L101" s="44">
        <v>6</v>
      </c>
      <c r="M101" s="25">
        <v>125950</v>
      </c>
      <c r="N101" s="44">
        <v>23776</v>
      </c>
      <c r="O101" s="26">
        <f t="shared" si="1"/>
        <v>139804.5</v>
      </c>
    </row>
    <row r="102" spans="1:15" x14ac:dyDescent="0.25">
      <c r="A102" s="27"/>
      <c r="B102" s="51"/>
      <c r="C102" s="47"/>
      <c r="D102" s="36"/>
      <c r="E102" s="36"/>
      <c r="F102" s="36"/>
      <c r="G102" s="36"/>
      <c r="H102" s="36"/>
      <c r="I102" s="36"/>
      <c r="J102" s="23" t="s">
        <v>32</v>
      </c>
      <c r="K102" s="48" t="s">
        <v>33</v>
      </c>
      <c r="L102" s="25">
        <v>3</v>
      </c>
      <c r="M102" s="49">
        <v>121152</v>
      </c>
      <c r="N102" s="31">
        <v>45741</v>
      </c>
      <c r="O102" s="26">
        <f t="shared" si="1"/>
        <v>134478.72</v>
      </c>
    </row>
    <row r="103" spans="1:15" x14ac:dyDescent="0.25">
      <c r="A103" s="27"/>
      <c r="B103" s="51"/>
      <c r="C103" s="21">
        <v>46206</v>
      </c>
      <c r="D103" s="20" t="s">
        <v>215</v>
      </c>
      <c r="E103" s="20" t="s">
        <v>199</v>
      </c>
      <c r="F103" s="20" t="s">
        <v>200</v>
      </c>
      <c r="G103" s="20" t="s">
        <v>201</v>
      </c>
      <c r="H103" s="20" t="s">
        <v>201</v>
      </c>
      <c r="I103" s="20" t="s">
        <v>68</v>
      </c>
      <c r="J103" s="23" t="s">
        <v>30</v>
      </c>
      <c r="K103" s="46" t="s">
        <v>31</v>
      </c>
      <c r="L103" s="25">
        <v>1</v>
      </c>
      <c r="M103" s="44">
        <v>21420</v>
      </c>
      <c r="N103" s="31">
        <v>23776</v>
      </c>
      <c r="O103" s="26">
        <f t="shared" si="1"/>
        <v>23776.2</v>
      </c>
    </row>
    <row r="104" spans="1:15" x14ac:dyDescent="0.25">
      <c r="A104" s="27"/>
      <c r="B104" s="53"/>
      <c r="C104" s="47"/>
      <c r="D104" s="36"/>
      <c r="E104" s="36"/>
      <c r="F104" s="36"/>
      <c r="G104" s="36"/>
      <c r="H104" s="36"/>
      <c r="I104" s="36"/>
      <c r="J104" s="54" t="s">
        <v>32</v>
      </c>
      <c r="K104" s="23" t="s">
        <v>33</v>
      </c>
      <c r="L104" s="44">
        <v>1</v>
      </c>
      <c r="M104" s="25">
        <v>41208</v>
      </c>
      <c r="N104" s="44">
        <v>45741</v>
      </c>
      <c r="O104" s="26">
        <f t="shared" si="1"/>
        <v>45740.880000000005</v>
      </c>
    </row>
    <row r="105" spans="1:15" x14ac:dyDescent="0.25">
      <c r="A105" s="27"/>
      <c r="B105" s="20" t="s">
        <v>216</v>
      </c>
      <c r="C105" s="21">
        <v>46213</v>
      </c>
      <c r="D105" s="20" t="s">
        <v>217</v>
      </c>
      <c r="E105" s="20" t="s">
        <v>56</v>
      </c>
      <c r="F105" s="20" t="s">
        <v>57</v>
      </c>
      <c r="G105" s="20" t="s">
        <v>58</v>
      </c>
      <c r="H105" s="20" t="s">
        <v>59</v>
      </c>
      <c r="I105" s="20" t="s">
        <v>60</v>
      </c>
      <c r="J105" s="23" t="s">
        <v>218</v>
      </c>
      <c r="K105" s="46" t="s">
        <v>219</v>
      </c>
      <c r="L105" s="75">
        <v>-4</v>
      </c>
      <c r="M105" s="74">
        <v>-77193</v>
      </c>
      <c r="N105" s="31">
        <v>24116</v>
      </c>
      <c r="O105" s="26">
        <f t="shared" si="1"/>
        <v>-85684.23000000001</v>
      </c>
    </row>
    <row r="106" spans="1:15" x14ac:dyDescent="0.25">
      <c r="A106" s="27"/>
      <c r="B106" s="36"/>
      <c r="C106" s="47"/>
      <c r="D106" s="36"/>
      <c r="E106" s="36"/>
      <c r="F106" s="36"/>
      <c r="G106" s="36"/>
      <c r="H106" s="36"/>
      <c r="I106" s="36"/>
      <c r="J106" s="54" t="s">
        <v>166</v>
      </c>
      <c r="K106" s="23" t="s">
        <v>167</v>
      </c>
      <c r="L106" s="74">
        <v>-1</v>
      </c>
      <c r="M106" s="75">
        <v>-14008</v>
      </c>
      <c r="N106" s="44">
        <v>18455</v>
      </c>
      <c r="O106" s="26">
        <f t="shared" si="1"/>
        <v>-15548.880000000001</v>
      </c>
    </row>
    <row r="107" spans="1:15" x14ac:dyDescent="0.25">
      <c r="A107" s="27"/>
      <c r="B107" s="20" t="s">
        <v>220</v>
      </c>
      <c r="C107" s="21">
        <v>46234</v>
      </c>
      <c r="D107" s="20" t="s">
        <v>221</v>
      </c>
      <c r="E107" s="20" t="s">
        <v>222</v>
      </c>
      <c r="F107" s="20" t="s">
        <v>223</v>
      </c>
      <c r="G107" s="20" t="s">
        <v>224</v>
      </c>
      <c r="H107" s="20" t="s">
        <v>225</v>
      </c>
      <c r="I107" s="20" t="s">
        <v>226</v>
      </c>
      <c r="J107" s="23" t="s">
        <v>108</v>
      </c>
      <c r="K107" s="46" t="s">
        <v>109</v>
      </c>
      <c r="L107" s="25">
        <v>12</v>
      </c>
      <c r="M107" s="44">
        <v>74370</v>
      </c>
      <c r="N107" s="31">
        <v>7020</v>
      </c>
      <c r="O107" s="26">
        <f t="shared" si="1"/>
        <v>82550.700000000012</v>
      </c>
    </row>
    <row r="108" spans="1:15" x14ac:dyDescent="0.25">
      <c r="A108" s="27"/>
      <c r="B108" s="29"/>
      <c r="C108" s="43"/>
      <c r="D108" s="29"/>
      <c r="E108" s="29"/>
      <c r="F108" s="29"/>
      <c r="G108" s="29"/>
      <c r="H108" s="29"/>
      <c r="I108" s="29"/>
      <c r="J108" s="54" t="s">
        <v>227</v>
      </c>
      <c r="K108" s="23" t="s">
        <v>228</v>
      </c>
      <c r="L108" s="44">
        <v>12</v>
      </c>
      <c r="M108" s="25">
        <v>74370</v>
      </c>
      <c r="N108" s="44">
        <v>7020</v>
      </c>
      <c r="O108" s="26">
        <f t="shared" si="1"/>
        <v>82550.700000000012</v>
      </c>
    </row>
    <row r="109" spans="1:15" x14ac:dyDescent="0.25">
      <c r="A109" s="27"/>
      <c r="B109" s="29"/>
      <c r="C109" s="43"/>
      <c r="D109" s="29"/>
      <c r="E109" s="29"/>
      <c r="F109" s="29"/>
      <c r="G109" s="29"/>
      <c r="H109" s="29"/>
      <c r="I109" s="29"/>
      <c r="J109" s="23" t="s">
        <v>110</v>
      </c>
      <c r="K109" s="46" t="s">
        <v>111</v>
      </c>
      <c r="L109" s="25">
        <v>12</v>
      </c>
      <c r="M109" s="44">
        <v>74370</v>
      </c>
      <c r="N109" s="31">
        <v>7020</v>
      </c>
      <c r="O109" s="26">
        <f t="shared" si="1"/>
        <v>82550.700000000012</v>
      </c>
    </row>
    <row r="110" spans="1:15" x14ac:dyDescent="0.25">
      <c r="A110" s="27"/>
      <c r="B110" s="29"/>
      <c r="C110" s="43"/>
      <c r="D110" s="29"/>
      <c r="E110" s="29"/>
      <c r="F110" s="29"/>
      <c r="G110" s="29"/>
      <c r="H110" s="29"/>
      <c r="I110" s="29"/>
      <c r="J110" s="54" t="s">
        <v>229</v>
      </c>
      <c r="K110" s="23" t="s">
        <v>230</v>
      </c>
      <c r="L110" s="44">
        <v>12</v>
      </c>
      <c r="M110" s="25">
        <v>345462</v>
      </c>
      <c r="N110" s="44">
        <v>32607</v>
      </c>
      <c r="O110" s="26">
        <f t="shared" si="1"/>
        <v>383462.82</v>
      </c>
    </row>
    <row r="111" spans="1:15" x14ac:dyDescent="0.25">
      <c r="A111" s="27"/>
      <c r="B111" s="29"/>
      <c r="C111" s="43"/>
      <c r="D111" s="29"/>
      <c r="E111" s="29"/>
      <c r="F111" s="29"/>
      <c r="G111" s="29"/>
      <c r="H111" s="29"/>
      <c r="I111" s="29"/>
      <c r="J111" s="23" t="s">
        <v>231</v>
      </c>
      <c r="K111" s="46" t="s">
        <v>232</v>
      </c>
      <c r="L111" s="25">
        <v>12</v>
      </c>
      <c r="M111" s="44">
        <v>345462</v>
      </c>
      <c r="N111" s="31">
        <v>32607</v>
      </c>
      <c r="O111" s="26">
        <f t="shared" si="1"/>
        <v>383462.82</v>
      </c>
    </row>
    <row r="112" spans="1:15" x14ac:dyDescent="0.25">
      <c r="A112" s="27"/>
      <c r="B112" s="29"/>
      <c r="C112" s="43"/>
      <c r="D112" s="29"/>
      <c r="E112" s="29"/>
      <c r="F112" s="29"/>
      <c r="G112" s="29"/>
      <c r="H112" s="29"/>
      <c r="I112" s="29"/>
      <c r="J112" s="54" t="s">
        <v>233</v>
      </c>
      <c r="K112" s="23" t="s">
        <v>234</v>
      </c>
      <c r="L112" s="44">
        <v>12</v>
      </c>
      <c r="M112" s="25">
        <v>345462</v>
      </c>
      <c r="N112" s="44">
        <v>32607</v>
      </c>
      <c r="O112" s="26">
        <f t="shared" si="1"/>
        <v>383462.82</v>
      </c>
    </row>
    <row r="113" spans="1:15" x14ac:dyDescent="0.25">
      <c r="A113" s="27"/>
      <c r="B113" s="29"/>
      <c r="C113" s="43"/>
      <c r="D113" s="29"/>
      <c r="E113" s="29"/>
      <c r="F113" s="29"/>
      <c r="G113" s="29"/>
      <c r="H113" s="29"/>
      <c r="I113" s="29"/>
      <c r="J113" s="23" t="s">
        <v>51</v>
      </c>
      <c r="K113" s="46" t="s">
        <v>52</v>
      </c>
      <c r="L113" s="25">
        <v>120</v>
      </c>
      <c r="M113" s="44">
        <v>1679328</v>
      </c>
      <c r="N113" s="31">
        <v>15851</v>
      </c>
      <c r="O113" s="26">
        <f t="shared" si="1"/>
        <v>1864054.08</v>
      </c>
    </row>
    <row r="114" spans="1:15" x14ac:dyDescent="0.25">
      <c r="A114" s="27"/>
      <c r="B114" s="29"/>
      <c r="C114" s="43"/>
      <c r="D114" s="29"/>
      <c r="E114" s="29"/>
      <c r="F114" s="29"/>
      <c r="G114" s="29"/>
      <c r="H114" s="29"/>
      <c r="I114" s="29"/>
      <c r="J114" s="54" t="s">
        <v>74</v>
      </c>
      <c r="K114" s="23" t="s">
        <v>75</v>
      </c>
      <c r="L114" s="44">
        <v>120</v>
      </c>
      <c r="M114" s="25">
        <v>2518992</v>
      </c>
      <c r="N114" s="44">
        <v>23776</v>
      </c>
      <c r="O114" s="26">
        <f t="shared" si="1"/>
        <v>2796081.12</v>
      </c>
    </row>
    <row r="115" spans="1:15" x14ac:dyDescent="0.25">
      <c r="A115" s="27"/>
      <c r="B115" s="29"/>
      <c r="C115" s="43"/>
      <c r="D115" s="29"/>
      <c r="E115" s="29"/>
      <c r="F115" s="29"/>
      <c r="G115" s="29"/>
      <c r="H115" s="29"/>
      <c r="I115" s="29"/>
      <c r="J115" s="23" t="s">
        <v>61</v>
      </c>
      <c r="K115" s="46" t="s">
        <v>62</v>
      </c>
      <c r="L115" s="25">
        <v>60</v>
      </c>
      <c r="M115" s="44">
        <v>233906</v>
      </c>
      <c r="N115" s="31">
        <v>4416</v>
      </c>
      <c r="O115" s="26">
        <f t="shared" si="1"/>
        <v>259635.66000000003</v>
      </c>
    </row>
    <row r="116" spans="1:15" x14ac:dyDescent="0.25">
      <c r="A116" s="27"/>
      <c r="B116" s="29"/>
      <c r="C116" s="47"/>
      <c r="D116" s="36"/>
      <c r="E116" s="36"/>
      <c r="F116" s="36"/>
      <c r="G116" s="36"/>
      <c r="H116" s="36"/>
      <c r="I116" s="36"/>
      <c r="J116" s="54" t="s">
        <v>195</v>
      </c>
      <c r="K116" s="23" t="s">
        <v>196</v>
      </c>
      <c r="L116" s="44">
        <v>120</v>
      </c>
      <c r="M116" s="25">
        <v>1811275</v>
      </c>
      <c r="N116" s="44">
        <v>17096</v>
      </c>
      <c r="O116" s="26">
        <f t="shared" si="1"/>
        <v>2010515.2500000002</v>
      </c>
    </row>
    <row r="117" spans="1:15" x14ac:dyDescent="0.25">
      <c r="A117" s="27"/>
      <c r="B117" s="29"/>
      <c r="C117" s="21">
        <v>46232</v>
      </c>
      <c r="D117" s="20" t="s">
        <v>235</v>
      </c>
      <c r="E117" s="20" t="s">
        <v>236</v>
      </c>
      <c r="F117" s="20" t="s">
        <v>237</v>
      </c>
      <c r="G117" s="20" t="s">
        <v>238</v>
      </c>
      <c r="H117" s="20" t="s">
        <v>225</v>
      </c>
      <c r="I117" s="20" t="s">
        <v>239</v>
      </c>
      <c r="J117" s="46" t="s">
        <v>240</v>
      </c>
      <c r="K117" s="23" t="s">
        <v>241</v>
      </c>
      <c r="L117" s="44">
        <v>24</v>
      </c>
      <c r="M117" s="25">
        <v>690924</v>
      </c>
      <c r="N117" s="44">
        <v>32607</v>
      </c>
      <c r="O117" s="26">
        <f t="shared" si="1"/>
        <v>766925.64</v>
      </c>
    </row>
    <row r="118" spans="1:15" x14ac:dyDescent="0.25">
      <c r="A118" s="27"/>
      <c r="B118" s="29"/>
      <c r="C118" s="43"/>
      <c r="D118" s="29"/>
      <c r="E118" s="29"/>
      <c r="F118" s="29"/>
      <c r="G118" s="29"/>
      <c r="H118" s="29"/>
      <c r="I118" s="29"/>
      <c r="J118" s="45" t="s">
        <v>229</v>
      </c>
      <c r="K118" s="22" t="s">
        <v>230</v>
      </c>
      <c r="L118" s="25">
        <v>24</v>
      </c>
      <c r="M118" s="30">
        <v>690924</v>
      </c>
      <c r="N118" s="31">
        <v>32607</v>
      </c>
      <c r="O118" s="26">
        <f t="shared" si="1"/>
        <v>766925.64</v>
      </c>
    </row>
    <row r="119" spans="1:15" x14ac:dyDescent="0.25">
      <c r="A119" s="27"/>
      <c r="B119" s="29"/>
      <c r="C119" s="43"/>
      <c r="D119" s="29"/>
      <c r="E119" s="29"/>
      <c r="F119" s="29"/>
      <c r="G119" s="29"/>
      <c r="H119" s="29"/>
      <c r="I119" s="29"/>
      <c r="J119" s="22" t="s">
        <v>231</v>
      </c>
      <c r="K119" s="23" t="s">
        <v>232</v>
      </c>
      <c r="L119" s="30">
        <v>24</v>
      </c>
      <c r="M119" s="25">
        <v>690924</v>
      </c>
      <c r="N119" s="30">
        <v>32607</v>
      </c>
      <c r="O119" s="26">
        <f t="shared" si="1"/>
        <v>766925.64</v>
      </c>
    </row>
    <row r="120" spans="1:15" x14ac:dyDescent="0.25">
      <c r="A120" s="27"/>
      <c r="B120" s="29"/>
      <c r="C120" s="43"/>
      <c r="D120" s="29"/>
      <c r="E120" s="29"/>
      <c r="F120" s="29"/>
      <c r="G120" s="29"/>
      <c r="H120" s="29"/>
      <c r="I120" s="29"/>
      <c r="J120" s="45" t="s">
        <v>233</v>
      </c>
      <c r="K120" s="22" t="s">
        <v>234</v>
      </c>
      <c r="L120" s="25">
        <v>24</v>
      </c>
      <c r="M120" s="30">
        <v>690924</v>
      </c>
      <c r="N120" s="31">
        <v>32607</v>
      </c>
      <c r="O120" s="26">
        <f t="shared" si="1"/>
        <v>766925.64</v>
      </c>
    </row>
    <row r="121" spans="1:15" x14ac:dyDescent="0.25">
      <c r="A121" s="27"/>
      <c r="B121" s="29"/>
      <c r="C121" s="43"/>
      <c r="D121" s="29"/>
      <c r="E121" s="29"/>
      <c r="F121" s="29"/>
      <c r="G121" s="29"/>
      <c r="H121" s="29"/>
      <c r="I121" s="29"/>
      <c r="J121" s="22" t="s">
        <v>242</v>
      </c>
      <c r="K121" s="23" t="s">
        <v>243</v>
      </c>
      <c r="L121" s="30">
        <v>24</v>
      </c>
      <c r="M121" s="25">
        <v>690924</v>
      </c>
      <c r="N121" s="30">
        <v>32607</v>
      </c>
      <c r="O121" s="26">
        <f t="shared" si="1"/>
        <v>766925.64</v>
      </c>
    </row>
    <row r="122" spans="1:15" x14ac:dyDescent="0.25">
      <c r="A122" s="27"/>
      <c r="B122" s="29"/>
      <c r="C122" s="43"/>
      <c r="D122" s="29"/>
      <c r="E122" s="29"/>
      <c r="F122" s="29"/>
      <c r="G122" s="29"/>
      <c r="H122" s="29"/>
      <c r="I122" s="29"/>
      <c r="J122" s="45" t="s">
        <v>244</v>
      </c>
      <c r="K122" s="22" t="s">
        <v>245</v>
      </c>
      <c r="L122" s="25">
        <v>48</v>
      </c>
      <c r="M122" s="30">
        <v>834866</v>
      </c>
      <c r="N122" s="31">
        <v>19700</v>
      </c>
      <c r="O122" s="26">
        <f t="shared" si="1"/>
        <v>926701.26000000013</v>
      </c>
    </row>
    <row r="123" spans="1:15" x14ac:dyDescent="0.25">
      <c r="A123" s="27"/>
      <c r="B123" s="29"/>
      <c r="C123" s="43"/>
      <c r="D123" s="29"/>
      <c r="E123" s="29"/>
      <c r="F123" s="29"/>
      <c r="G123" s="29"/>
      <c r="H123" s="29"/>
      <c r="I123" s="29"/>
      <c r="J123" s="22" t="s">
        <v>246</v>
      </c>
      <c r="K123" s="23" t="s">
        <v>247</v>
      </c>
      <c r="L123" s="30">
        <v>48</v>
      </c>
      <c r="M123" s="25">
        <v>834866</v>
      </c>
      <c r="N123" s="30">
        <v>19700</v>
      </c>
      <c r="O123" s="26">
        <f t="shared" si="1"/>
        <v>926701.26000000013</v>
      </c>
    </row>
    <row r="124" spans="1:15" x14ac:dyDescent="0.25">
      <c r="A124" s="27"/>
      <c r="B124" s="29"/>
      <c r="C124" s="43"/>
      <c r="D124" s="29"/>
      <c r="E124" s="29"/>
      <c r="F124" s="29"/>
      <c r="G124" s="29"/>
      <c r="H124" s="29"/>
      <c r="I124" s="29"/>
      <c r="J124" s="45" t="s">
        <v>248</v>
      </c>
      <c r="K124" s="22" t="s">
        <v>249</v>
      </c>
      <c r="L124" s="25">
        <v>48</v>
      </c>
      <c r="M124" s="30">
        <v>834866</v>
      </c>
      <c r="N124" s="31">
        <v>19700</v>
      </c>
      <c r="O124" s="26">
        <f t="shared" si="1"/>
        <v>926701.26000000013</v>
      </c>
    </row>
    <row r="125" spans="1:15" x14ac:dyDescent="0.25">
      <c r="A125" s="27"/>
      <c r="B125" s="29"/>
      <c r="C125" s="43"/>
      <c r="D125" s="29"/>
      <c r="E125" s="29"/>
      <c r="F125" s="29"/>
      <c r="G125" s="29"/>
      <c r="H125" s="29"/>
      <c r="I125" s="29"/>
      <c r="J125" s="22" t="s">
        <v>202</v>
      </c>
      <c r="K125" s="23" t="s">
        <v>203</v>
      </c>
      <c r="L125" s="30">
        <v>48</v>
      </c>
      <c r="M125" s="25">
        <v>834866</v>
      </c>
      <c r="N125" s="30">
        <v>19700</v>
      </c>
      <c r="O125" s="26">
        <f t="shared" si="1"/>
        <v>926701.26000000013</v>
      </c>
    </row>
    <row r="126" spans="1:15" x14ac:dyDescent="0.25">
      <c r="A126" s="27"/>
      <c r="B126" s="29"/>
      <c r="C126" s="43"/>
      <c r="D126" s="29"/>
      <c r="E126" s="29"/>
      <c r="F126" s="29"/>
      <c r="G126" s="29"/>
      <c r="H126" s="29"/>
      <c r="I126" s="29"/>
      <c r="J126" s="45" t="s">
        <v>28</v>
      </c>
      <c r="K126" s="22" t="s">
        <v>29</v>
      </c>
      <c r="L126" s="25">
        <v>24</v>
      </c>
      <c r="M126" s="30">
        <v>335866</v>
      </c>
      <c r="N126" s="31">
        <v>15851</v>
      </c>
      <c r="O126" s="26">
        <f t="shared" si="1"/>
        <v>372811.26</v>
      </c>
    </row>
    <row r="127" spans="1:15" x14ac:dyDescent="0.25">
      <c r="A127" s="27"/>
      <c r="B127" s="29"/>
      <c r="C127" s="43"/>
      <c r="D127" s="29"/>
      <c r="E127" s="29"/>
      <c r="F127" s="29"/>
      <c r="G127" s="29"/>
      <c r="H127" s="29"/>
      <c r="I127" s="29"/>
      <c r="J127" s="22" t="s">
        <v>74</v>
      </c>
      <c r="K127" s="23" t="s">
        <v>75</v>
      </c>
      <c r="L127" s="30">
        <v>24</v>
      </c>
      <c r="M127" s="25">
        <v>503798</v>
      </c>
      <c r="N127" s="30">
        <v>23776</v>
      </c>
      <c r="O127" s="26">
        <f t="shared" si="1"/>
        <v>559215.78</v>
      </c>
    </row>
    <row r="128" spans="1:15" x14ac:dyDescent="0.25">
      <c r="A128" s="27"/>
      <c r="B128" s="29"/>
      <c r="C128" s="43"/>
      <c r="D128" s="29"/>
      <c r="E128" s="29"/>
      <c r="F128" s="29"/>
      <c r="G128" s="29"/>
      <c r="H128" s="29"/>
      <c r="I128" s="29"/>
      <c r="J128" s="45" t="s">
        <v>30</v>
      </c>
      <c r="K128" s="22" t="s">
        <v>31</v>
      </c>
      <c r="L128" s="25">
        <v>24</v>
      </c>
      <c r="M128" s="30">
        <v>503798</v>
      </c>
      <c r="N128" s="31">
        <v>23776</v>
      </c>
      <c r="O128" s="26">
        <f t="shared" si="1"/>
        <v>559215.78</v>
      </c>
    </row>
    <row r="129" spans="1:15" x14ac:dyDescent="0.25">
      <c r="A129" s="27"/>
      <c r="B129" s="29"/>
      <c r="C129" s="43"/>
      <c r="D129" s="36"/>
      <c r="E129" s="36"/>
      <c r="F129" s="36"/>
      <c r="G129" s="36"/>
      <c r="H129" s="36"/>
      <c r="I129" s="36"/>
      <c r="J129" s="22" t="s">
        <v>61</v>
      </c>
      <c r="K129" s="23" t="s">
        <v>62</v>
      </c>
      <c r="L129" s="30">
        <v>24</v>
      </c>
      <c r="M129" s="25">
        <v>93563</v>
      </c>
      <c r="N129" s="30">
        <v>4416</v>
      </c>
      <c r="O129" s="26">
        <f t="shared" si="1"/>
        <v>103854.93000000001</v>
      </c>
    </row>
    <row r="130" spans="1:15" x14ac:dyDescent="0.25">
      <c r="A130" s="27"/>
      <c r="B130" s="29"/>
      <c r="C130" s="43"/>
      <c r="D130" s="20" t="s">
        <v>250</v>
      </c>
      <c r="E130" s="20" t="s">
        <v>251</v>
      </c>
      <c r="F130" s="20" t="s">
        <v>252</v>
      </c>
      <c r="G130" s="20" t="s">
        <v>253</v>
      </c>
      <c r="H130" s="20" t="s">
        <v>254</v>
      </c>
      <c r="I130" s="20" t="s">
        <v>226</v>
      </c>
      <c r="J130" s="23" t="s">
        <v>108</v>
      </c>
      <c r="K130" s="22" t="s">
        <v>109</v>
      </c>
      <c r="L130" s="25">
        <v>24</v>
      </c>
      <c r="M130" s="30">
        <v>148740</v>
      </c>
      <c r="N130" s="31">
        <v>7020</v>
      </c>
      <c r="O130" s="26">
        <f t="shared" si="1"/>
        <v>165101.40000000002</v>
      </c>
    </row>
    <row r="131" spans="1:15" x14ac:dyDescent="0.25">
      <c r="A131" s="27"/>
      <c r="B131" s="29"/>
      <c r="C131" s="43"/>
      <c r="D131" s="29"/>
      <c r="E131" s="29"/>
      <c r="F131" s="29"/>
      <c r="G131" s="29"/>
      <c r="H131" s="29"/>
      <c r="I131" s="29"/>
      <c r="J131" s="58" t="s">
        <v>227</v>
      </c>
      <c r="K131" s="23" t="s">
        <v>228</v>
      </c>
      <c r="L131" s="30">
        <v>24</v>
      </c>
      <c r="M131" s="25">
        <v>148740</v>
      </c>
      <c r="N131" s="30">
        <v>7020</v>
      </c>
      <c r="O131" s="26">
        <f t="shared" si="1"/>
        <v>165101.40000000002</v>
      </c>
    </row>
    <row r="132" spans="1:15" x14ac:dyDescent="0.25">
      <c r="A132" s="27"/>
      <c r="B132" s="29"/>
      <c r="C132" s="43"/>
      <c r="D132" s="29"/>
      <c r="E132" s="29"/>
      <c r="F132" s="29"/>
      <c r="G132" s="29"/>
      <c r="H132" s="29"/>
      <c r="I132" s="29"/>
      <c r="J132" s="23" t="s">
        <v>110</v>
      </c>
      <c r="K132" s="22" t="s">
        <v>111</v>
      </c>
      <c r="L132" s="25">
        <v>24</v>
      </c>
      <c r="M132" s="30">
        <v>148740</v>
      </c>
      <c r="N132" s="31">
        <v>7020</v>
      </c>
      <c r="O132" s="26">
        <f t="shared" si="1"/>
        <v>165101.40000000002</v>
      </c>
    </row>
    <row r="133" spans="1:15" x14ac:dyDescent="0.25">
      <c r="A133" s="27"/>
      <c r="B133" s="29"/>
      <c r="C133" s="43"/>
      <c r="D133" s="29"/>
      <c r="E133" s="29"/>
      <c r="F133" s="29"/>
      <c r="G133" s="29"/>
      <c r="H133" s="29"/>
      <c r="I133" s="29"/>
      <c r="J133" s="58" t="s">
        <v>255</v>
      </c>
      <c r="K133" s="23" t="s">
        <v>256</v>
      </c>
      <c r="L133" s="30">
        <v>12</v>
      </c>
      <c r="M133" s="25">
        <v>141543</v>
      </c>
      <c r="N133" s="30">
        <v>13360</v>
      </c>
      <c r="O133" s="26">
        <f t="shared" si="1"/>
        <v>157112.73000000001</v>
      </c>
    </row>
    <row r="134" spans="1:15" x14ac:dyDescent="0.25">
      <c r="A134" s="27"/>
      <c r="B134" s="29"/>
      <c r="C134" s="43"/>
      <c r="D134" s="29"/>
      <c r="E134" s="29"/>
      <c r="F134" s="29"/>
      <c r="G134" s="29"/>
      <c r="H134" s="29"/>
      <c r="I134" s="29"/>
      <c r="J134" s="23" t="s">
        <v>240</v>
      </c>
      <c r="K134" s="22" t="s">
        <v>241</v>
      </c>
      <c r="L134" s="25">
        <v>12</v>
      </c>
      <c r="M134" s="30">
        <v>345462</v>
      </c>
      <c r="N134" s="31">
        <v>32607</v>
      </c>
      <c r="O134" s="26">
        <f t="shared" si="1"/>
        <v>383462.82</v>
      </c>
    </row>
    <row r="135" spans="1:15" x14ac:dyDescent="0.25">
      <c r="A135" s="27"/>
      <c r="B135" s="29"/>
      <c r="C135" s="43"/>
      <c r="D135" s="29"/>
      <c r="E135" s="29"/>
      <c r="F135" s="29"/>
      <c r="G135" s="29"/>
      <c r="H135" s="29"/>
      <c r="I135" s="29"/>
      <c r="J135" s="58" t="s">
        <v>229</v>
      </c>
      <c r="K135" s="23" t="s">
        <v>230</v>
      </c>
      <c r="L135" s="30">
        <v>12</v>
      </c>
      <c r="M135" s="25">
        <v>345462</v>
      </c>
      <c r="N135" s="30">
        <v>32607</v>
      </c>
      <c r="O135" s="26">
        <f t="shared" ref="O135:O198" si="2">M135*1.11</f>
        <v>383462.82</v>
      </c>
    </row>
    <row r="136" spans="1:15" x14ac:dyDescent="0.25">
      <c r="A136" s="27"/>
      <c r="B136" s="29"/>
      <c r="C136" s="43"/>
      <c r="D136" s="29"/>
      <c r="E136" s="29"/>
      <c r="F136" s="29"/>
      <c r="G136" s="29"/>
      <c r="H136" s="29"/>
      <c r="I136" s="29"/>
      <c r="J136" s="23" t="s">
        <v>231</v>
      </c>
      <c r="K136" s="22" t="s">
        <v>232</v>
      </c>
      <c r="L136" s="25">
        <v>12</v>
      </c>
      <c r="M136" s="30">
        <v>345462</v>
      </c>
      <c r="N136" s="31">
        <v>32607</v>
      </c>
      <c r="O136" s="26">
        <f t="shared" si="2"/>
        <v>383462.82</v>
      </c>
    </row>
    <row r="137" spans="1:15" x14ac:dyDescent="0.25">
      <c r="A137" s="27"/>
      <c r="B137" s="29"/>
      <c r="C137" s="43"/>
      <c r="D137" s="29"/>
      <c r="E137" s="29"/>
      <c r="F137" s="29"/>
      <c r="G137" s="29"/>
      <c r="H137" s="29"/>
      <c r="I137" s="29"/>
      <c r="J137" s="58" t="s">
        <v>233</v>
      </c>
      <c r="K137" s="23" t="s">
        <v>234</v>
      </c>
      <c r="L137" s="30">
        <v>12</v>
      </c>
      <c r="M137" s="25">
        <v>345462</v>
      </c>
      <c r="N137" s="30">
        <v>32607</v>
      </c>
      <c r="O137" s="26">
        <f t="shared" si="2"/>
        <v>383462.82</v>
      </c>
    </row>
    <row r="138" spans="1:15" x14ac:dyDescent="0.25">
      <c r="A138" s="27"/>
      <c r="B138" s="29"/>
      <c r="C138" s="43"/>
      <c r="D138" s="29"/>
      <c r="E138" s="29"/>
      <c r="F138" s="29"/>
      <c r="G138" s="29"/>
      <c r="H138" s="29"/>
      <c r="I138" s="29"/>
      <c r="J138" s="23" t="s">
        <v>242</v>
      </c>
      <c r="K138" s="22" t="s">
        <v>243</v>
      </c>
      <c r="L138" s="25">
        <v>16</v>
      </c>
      <c r="M138" s="30">
        <v>460616</v>
      </c>
      <c r="N138" s="31">
        <v>32607</v>
      </c>
      <c r="O138" s="26">
        <f t="shared" si="2"/>
        <v>511283.76000000007</v>
      </c>
    </row>
    <row r="139" spans="1:15" x14ac:dyDescent="0.25">
      <c r="A139" s="27"/>
      <c r="B139" s="29"/>
      <c r="C139" s="43"/>
      <c r="D139" s="29"/>
      <c r="E139" s="29"/>
      <c r="F139" s="29"/>
      <c r="G139" s="29"/>
      <c r="H139" s="29"/>
      <c r="I139" s="29"/>
      <c r="J139" s="58" t="s">
        <v>244</v>
      </c>
      <c r="K139" s="23" t="s">
        <v>245</v>
      </c>
      <c r="L139" s="30">
        <v>24</v>
      </c>
      <c r="M139" s="25">
        <v>417433</v>
      </c>
      <c r="N139" s="30">
        <v>19700</v>
      </c>
      <c r="O139" s="26">
        <f t="shared" si="2"/>
        <v>463350.63000000006</v>
      </c>
    </row>
    <row r="140" spans="1:15" x14ac:dyDescent="0.25">
      <c r="A140" s="27"/>
      <c r="B140" s="29"/>
      <c r="C140" s="43"/>
      <c r="D140" s="29"/>
      <c r="E140" s="29"/>
      <c r="F140" s="29"/>
      <c r="G140" s="29"/>
      <c r="H140" s="29"/>
      <c r="I140" s="29"/>
      <c r="J140" s="23" t="s">
        <v>246</v>
      </c>
      <c r="K140" s="22" t="s">
        <v>247</v>
      </c>
      <c r="L140" s="25">
        <v>24</v>
      </c>
      <c r="M140" s="30">
        <v>417433</v>
      </c>
      <c r="N140" s="31">
        <v>19700</v>
      </c>
      <c r="O140" s="26">
        <f t="shared" si="2"/>
        <v>463350.63000000006</v>
      </c>
    </row>
    <row r="141" spans="1:15" x14ac:dyDescent="0.25">
      <c r="A141" s="27"/>
      <c r="B141" s="29"/>
      <c r="C141" s="43"/>
      <c r="D141" s="29"/>
      <c r="E141" s="29"/>
      <c r="F141" s="29"/>
      <c r="G141" s="29"/>
      <c r="H141" s="29"/>
      <c r="I141" s="29"/>
      <c r="J141" s="58" t="s">
        <v>257</v>
      </c>
      <c r="K141" s="23" t="s">
        <v>258</v>
      </c>
      <c r="L141" s="30">
        <v>24</v>
      </c>
      <c r="M141" s="25">
        <v>417433</v>
      </c>
      <c r="N141" s="30">
        <v>19700</v>
      </c>
      <c r="O141" s="26">
        <f t="shared" si="2"/>
        <v>463350.63000000006</v>
      </c>
    </row>
    <row r="142" spans="1:15" x14ac:dyDescent="0.25">
      <c r="A142" s="27"/>
      <c r="B142" s="29"/>
      <c r="C142" s="43"/>
      <c r="D142" s="29"/>
      <c r="E142" s="29"/>
      <c r="F142" s="29"/>
      <c r="G142" s="29"/>
      <c r="H142" s="29"/>
      <c r="I142" s="29"/>
      <c r="J142" s="23" t="s">
        <v>248</v>
      </c>
      <c r="K142" s="22" t="s">
        <v>249</v>
      </c>
      <c r="L142" s="25">
        <v>24</v>
      </c>
      <c r="M142" s="30">
        <v>417433</v>
      </c>
      <c r="N142" s="31">
        <v>19700</v>
      </c>
      <c r="O142" s="26">
        <f t="shared" si="2"/>
        <v>463350.63000000006</v>
      </c>
    </row>
    <row r="143" spans="1:15" x14ac:dyDescent="0.25">
      <c r="A143" s="27"/>
      <c r="B143" s="29"/>
      <c r="C143" s="47"/>
      <c r="D143" s="36"/>
      <c r="E143" s="36"/>
      <c r="F143" s="36"/>
      <c r="G143" s="36"/>
      <c r="H143" s="36"/>
      <c r="I143" s="36"/>
      <c r="J143" s="59" t="s">
        <v>202</v>
      </c>
      <c r="K143" s="23" t="s">
        <v>203</v>
      </c>
      <c r="L143" s="38">
        <v>24</v>
      </c>
      <c r="M143" s="25">
        <v>417433</v>
      </c>
      <c r="N143" s="38">
        <v>19700</v>
      </c>
      <c r="O143" s="26">
        <f t="shared" si="2"/>
        <v>463350.63000000006</v>
      </c>
    </row>
    <row r="144" spans="1:15" x14ac:dyDescent="0.25">
      <c r="A144" s="27"/>
      <c r="B144" s="29"/>
      <c r="C144" s="79">
        <v>46230</v>
      </c>
      <c r="D144" s="37" t="s">
        <v>259</v>
      </c>
      <c r="E144" s="23" t="s">
        <v>260</v>
      </c>
      <c r="F144" s="22" t="s">
        <v>261</v>
      </c>
      <c r="G144" s="23" t="s">
        <v>262</v>
      </c>
      <c r="H144" s="22" t="s">
        <v>225</v>
      </c>
      <c r="I144" s="23" t="s">
        <v>263</v>
      </c>
      <c r="J144" s="42" t="s">
        <v>28</v>
      </c>
      <c r="K144" s="23" t="s">
        <v>29</v>
      </c>
      <c r="L144" s="24">
        <v>504</v>
      </c>
      <c r="M144" s="25">
        <v>6582966</v>
      </c>
      <c r="N144" s="24">
        <v>31702</v>
      </c>
      <c r="O144" s="26">
        <f t="shared" si="2"/>
        <v>7307092.2600000007</v>
      </c>
    </row>
    <row r="145" spans="1:15" x14ac:dyDescent="0.25">
      <c r="A145" s="27"/>
      <c r="B145" s="29"/>
      <c r="C145" s="21">
        <v>46226</v>
      </c>
      <c r="D145" s="20" t="s">
        <v>264</v>
      </c>
      <c r="E145" s="20" t="s">
        <v>265</v>
      </c>
      <c r="F145" s="20" t="s">
        <v>266</v>
      </c>
      <c r="G145" s="20" t="s">
        <v>267</v>
      </c>
      <c r="H145" s="20" t="s">
        <v>268</v>
      </c>
      <c r="I145" s="20" t="s">
        <v>226</v>
      </c>
      <c r="J145" s="46" t="s">
        <v>269</v>
      </c>
      <c r="K145" s="63" t="s">
        <v>270</v>
      </c>
      <c r="L145" s="44">
        <v>3</v>
      </c>
      <c r="M145" s="72">
        <v>33048</v>
      </c>
      <c r="N145" s="44">
        <v>12228</v>
      </c>
      <c r="O145" s="26">
        <f t="shared" si="2"/>
        <v>36683.280000000006</v>
      </c>
    </row>
    <row r="146" spans="1:15" x14ac:dyDescent="0.25">
      <c r="A146" s="27"/>
      <c r="B146" s="29"/>
      <c r="C146" s="43"/>
      <c r="D146" s="29"/>
      <c r="E146" s="29"/>
      <c r="F146" s="29"/>
      <c r="G146" s="29"/>
      <c r="H146" s="29"/>
      <c r="I146" s="29"/>
      <c r="J146" s="23" t="s">
        <v>271</v>
      </c>
      <c r="K146" s="22" t="s">
        <v>272</v>
      </c>
      <c r="L146" s="25">
        <v>3</v>
      </c>
      <c r="M146" s="30">
        <v>33048</v>
      </c>
      <c r="N146" s="31">
        <v>12228</v>
      </c>
      <c r="O146" s="26">
        <f t="shared" si="2"/>
        <v>36683.280000000006</v>
      </c>
    </row>
    <row r="147" spans="1:15" x14ac:dyDescent="0.25">
      <c r="A147" s="27"/>
      <c r="B147" s="29"/>
      <c r="C147" s="43"/>
      <c r="D147" s="29"/>
      <c r="E147" s="29"/>
      <c r="F147" s="29"/>
      <c r="G147" s="29"/>
      <c r="H147" s="29"/>
      <c r="I147" s="29"/>
      <c r="J147" s="22" t="s">
        <v>96</v>
      </c>
      <c r="K147" s="23" t="s">
        <v>97</v>
      </c>
      <c r="L147" s="30">
        <v>3</v>
      </c>
      <c r="M147" s="25">
        <v>65178</v>
      </c>
      <c r="N147" s="30">
        <v>24116</v>
      </c>
      <c r="O147" s="26">
        <f t="shared" si="2"/>
        <v>72347.58</v>
      </c>
    </row>
    <row r="148" spans="1:15" x14ac:dyDescent="0.25">
      <c r="A148" s="27"/>
      <c r="B148" s="29"/>
      <c r="C148" s="43"/>
      <c r="D148" s="29"/>
      <c r="E148" s="29"/>
      <c r="F148" s="29"/>
      <c r="G148" s="29"/>
      <c r="H148" s="29"/>
      <c r="I148" s="29"/>
      <c r="J148" s="23" t="s">
        <v>98</v>
      </c>
      <c r="K148" s="22" t="s">
        <v>99</v>
      </c>
      <c r="L148" s="25">
        <v>3</v>
      </c>
      <c r="M148" s="30">
        <v>65178</v>
      </c>
      <c r="N148" s="31">
        <v>24116</v>
      </c>
      <c r="O148" s="26">
        <f t="shared" si="2"/>
        <v>72347.58</v>
      </c>
    </row>
    <row r="149" spans="1:15" x14ac:dyDescent="0.25">
      <c r="A149" s="27"/>
      <c r="B149" s="29"/>
      <c r="C149" s="43"/>
      <c r="D149" s="29"/>
      <c r="E149" s="29"/>
      <c r="F149" s="29"/>
      <c r="G149" s="29"/>
      <c r="H149" s="29"/>
      <c r="I149" s="29"/>
      <c r="J149" s="22" t="s">
        <v>155</v>
      </c>
      <c r="K149" s="23" t="s">
        <v>156</v>
      </c>
      <c r="L149" s="30">
        <v>3</v>
      </c>
      <c r="M149" s="25">
        <v>65178</v>
      </c>
      <c r="N149" s="30">
        <v>24116</v>
      </c>
      <c r="O149" s="26">
        <f t="shared" si="2"/>
        <v>72347.58</v>
      </c>
    </row>
    <row r="150" spans="1:15" x14ac:dyDescent="0.25">
      <c r="A150" s="27"/>
      <c r="B150" s="29"/>
      <c r="C150" s="43"/>
      <c r="D150" s="29"/>
      <c r="E150" s="29"/>
      <c r="F150" s="29"/>
      <c r="G150" s="29"/>
      <c r="H150" s="29"/>
      <c r="I150" s="29"/>
      <c r="J150" s="23" t="s">
        <v>227</v>
      </c>
      <c r="K150" s="22" t="s">
        <v>228</v>
      </c>
      <c r="L150" s="25">
        <v>4</v>
      </c>
      <c r="M150" s="30">
        <v>25296</v>
      </c>
      <c r="N150" s="31">
        <v>7020</v>
      </c>
      <c r="O150" s="26">
        <f t="shared" si="2"/>
        <v>28078.560000000001</v>
      </c>
    </row>
    <row r="151" spans="1:15" x14ac:dyDescent="0.25">
      <c r="A151" s="27"/>
      <c r="B151" s="29"/>
      <c r="C151" s="43"/>
      <c r="D151" s="29"/>
      <c r="E151" s="29"/>
      <c r="F151" s="29"/>
      <c r="G151" s="29"/>
      <c r="H151" s="29"/>
      <c r="I151" s="29"/>
      <c r="J151" s="22" t="s">
        <v>110</v>
      </c>
      <c r="K151" s="23" t="s">
        <v>111</v>
      </c>
      <c r="L151" s="30">
        <v>4</v>
      </c>
      <c r="M151" s="25">
        <v>25296</v>
      </c>
      <c r="N151" s="30">
        <v>7020</v>
      </c>
      <c r="O151" s="26">
        <f t="shared" si="2"/>
        <v>28078.560000000001</v>
      </c>
    </row>
    <row r="152" spans="1:15" x14ac:dyDescent="0.25">
      <c r="A152" s="27"/>
      <c r="B152" s="29"/>
      <c r="C152" s="43"/>
      <c r="D152" s="36"/>
      <c r="E152" s="36"/>
      <c r="F152" s="36"/>
      <c r="G152" s="36"/>
      <c r="H152" s="36"/>
      <c r="I152" s="36"/>
      <c r="J152" s="23" t="s">
        <v>255</v>
      </c>
      <c r="K152" s="22" t="s">
        <v>256</v>
      </c>
      <c r="L152" s="25">
        <v>12</v>
      </c>
      <c r="M152" s="30">
        <v>144432</v>
      </c>
      <c r="N152" s="31">
        <v>13360</v>
      </c>
      <c r="O152" s="26">
        <f t="shared" si="2"/>
        <v>160319.52000000002</v>
      </c>
    </row>
    <row r="153" spans="1:15" x14ac:dyDescent="0.25">
      <c r="A153" s="27"/>
      <c r="B153" s="29"/>
      <c r="C153" s="43"/>
      <c r="D153" s="20" t="s">
        <v>273</v>
      </c>
      <c r="E153" s="20" t="s">
        <v>274</v>
      </c>
      <c r="F153" s="20" t="s">
        <v>275</v>
      </c>
      <c r="G153" s="20" t="s">
        <v>276</v>
      </c>
      <c r="H153" s="20" t="s">
        <v>225</v>
      </c>
      <c r="I153" s="20" t="s">
        <v>263</v>
      </c>
      <c r="J153" s="22" t="s">
        <v>240</v>
      </c>
      <c r="K153" s="23" t="s">
        <v>241</v>
      </c>
      <c r="L153" s="30">
        <v>6</v>
      </c>
      <c r="M153" s="25">
        <v>172731</v>
      </c>
      <c r="N153" s="30">
        <v>32607</v>
      </c>
      <c r="O153" s="26">
        <f t="shared" si="2"/>
        <v>191731.41</v>
      </c>
    </row>
    <row r="154" spans="1:15" x14ac:dyDescent="0.25">
      <c r="A154" s="27"/>
      <c r="B154" s="29"/>
      <c r="C154" s="43"/>
      <c r="D154" s="29"/>
      <c r="E154" s="29"/>
      <c r="F154" s="29"/>
      <c r="G154" s="29"/>
      <c r="H154" s="29"/>
      <c r="I154" s="29"/>
      <c r="J154" s="23" t="s">
        <v>229</v>
      </c>
      <c r="K154" s="22" t="s">
        <v>230</v>
      </c>
      <c r="L154" s="25">
        <v>6</v>
      </c>
      <c r="M154" s="30">
        <v>172731</v>
      </c>
      <c r="N154" s="31">
        <v>32607</v>
      </c>
      <c r="O154" s="26">
        <f t="shared" si="2"/>
        <v>191731.41</v>
      </c>
    </row>
    <row r="155" spans="1:15" x14ac:dyDescent="0.25">
      <c r="A155" s="27"/>
      <c r="B155" s="29"/>
      <c r="C155" s="43"/>
      <c r="D155" s="29"/>
      <c r="E155" s="29"/>
      <c r="F155" s="29"/>
      <c r="G155" s="29"/>
      <c r="H155" s="29"/>
      <c r="I155" s="29"/>
      <c r="J155" s="22" t="s">
        <v>233</v>
      </c>
      <c r="K155" s="23" t="s">
        <v>234</v>
      </c>
      <c r="L155" s="30">
        <v>6</v>
      </c>
      <c r="M155" s="25">
        <v>172731</v>
      </c>
      <c r="N155" s="30">
        <v>32607</v>
      </c>
      <c r="O155" s="26">
        <f t="shared" si="2"/>
        <v>191731.41</v>
      </c>
    </row>
    <row r="156" spans="1:15" x14ac:dyDescent="0.25">
      <c r="A156" s="27"/>
      <c r="B156" s="29"/>
      <c r="C156" s="43"/>
      <c r="D156" s="29"/>
      <c r="E156" s="29"/>
      <c r="F156" s="29"/>
      <c r="G156" s="29"/>
      <c r="H156" s="29"/>
      <c r="I156" s="29"/>
      <c r="J156" s="23" t="s">
        <v>242</v>
      </c>
      <c r="K156" s="22" t="s">
        <v>243</v>
      </c>
      <c r="L156" s="25">
        <v>6</v>
      </c>
      <c r="M156" s="30">
        <v>172731</v>
      </c>
      <c r="N156" s="31">
        <v>32607</v>
      </c>
      <c r="O156" s="26">
        <f t="shared" si="2"/>
        <v>191731.41</v>
      </c>
    </row>
    <row r="157" spans="1:15" x14ac:dyDescent="0.25">
      <c r="A157" s="27"/>
      <c r="B157" s="29"/>
      <c r="C157" s="43"/>
      <c r="D157" s="29"/>
      <c r="E157" s="29"/>
      <c r="F157" s="29"/>
      <c r="G157" s="29"/>
      <c r="H157" s="29"/>
      <c r="I157" s="29"/>
      <c r="J157" s="22" t="s">
        <v>244</v>
      </c>
      <c r="K157" s="23" t="s">
        <v>245</v>
      </c>
      <c r="L157" s="30">
        <v>6</v>
      </c>
      <c r="M157" s="80">
        <v>104358</v>
      </c>
      <c r="N157" s="30">
        <v>19700</v>
      </c>
      <c r="O157" s="26">
        <f t="shared" si="2"/>
        <v>115837.38</v>
      </c>
    </row>
    <row r="158" spans="1:15" x14ac:dyDescent="0.25">
      <c r="A158" s="27"/>
      <c r="B158" s="29"/>
      <c r="C158" s="43"/>
      <c r="D158" s="29"/>
      <c r="E158" s="29"/>
      <c r="F158" s="29"/>
      <c r="G158" s="29"/>
      <c r="H158" s="29"/>
      <c r="I158" s="29"/>
      <c r="J158" s="81" t="s">
        <v>246</v>
      </c>
      <c r="K158" s="22" t="s">
        <v>247</v>
      </c>
      <c r="L158" s="80">
        <v>6</v>
      </c>
      <c r="M158" s="24">
        <v>104358</v>
      </c>
      <c r="N158" s="82">
        <v>19700</v>
      </c>
      <c r="O158" s="26">
        <f t="shared" si="2"/>
        <v>115837.38</v>
      </c>
    </row>
    <row r="159" spans="1:15" x14ac:dyDescent="0.25">
      <c r="A159" s="27"/>
      <c r="B159" s="29"/>
      <c r="C159" s="43"/>
      <c r="D159" s="29"/>
      <c r="E159" s="29"/>
      <c r="F159" s="29"/>
      <c r="G159" s="29"/>
      <c r="H159" s="29"/>
      <c r="I159" s="29"/>
      <c r="J159" s="42" t="s">
        <v>257</v>
      </c>
      <c r="K159" s="83" t="s">
        <v>258</v>
      </c>
      <c r="L159" s="24">
        <v>6</v>
      </c>
      <c r="M159" s="80">
        <v>104358</v>
      </c>
      <c r="N159" s="24">
        <v>19700</v>
      </c>
      <c r="O159" s="26">
        <f t="shared" si="2"/>
        <v>115837.38</v>
      </c>
    </row>
    <row r="160" spans="1:15" x14ac:dyDescent="0.25">
      <c r="A160" s="27"/>
      <c r="B160" s="29"/>
      <c r="C160" s="43"/>
      <c r="D160" s="29"/>
      <c r="E160" s="29"/>
      <c r="F160" s="29"/>
      <c r="G160" s="29"/>
      <c r="H160" s="29"/>
      <c r="I160" s="29"/>
      <c r="J160" s="81" t="s">
        <v>248</v>
      </c>
      <c r="K160" s="42" t="s">
        <v>249</v>
      </c>
      <c r="L160" s="80">
        <v>6</v>
      </c>
      <c r="M160" s="24">
        <v>104358</v>
      </c>
      <c r="N160" s="82">
        <v>19700</v>
      </c>
      <c r="O160" s="26">
        <f t="shared" si="2"/>
        <v>115837.38</v>
      </c>
    </row>
    <row r="161" spans="1:15" x14ac:dyDescent="0.25">
      <c r="A161" s="27"/>
      <c r="B161" s="29"/>
      <c r="C161" s="43"/>
      <c r="D161" s="29"/>
      <c r="E161" s="29"/>
      <c r="F161" s="29"/>
      <c r="G161" s="29"/>
      <c r="H161" s="29"/>
      <c r="I161" s="29"/>
      <c r="J161" s="42" t="s">
        <v>202</v>
      </c>
      <c r="K161" s="83" t="s">
        <v>203</v>
      </c>
      <c r="L161" s="24">
        <v>7</v>
      </c>
      <c r="M161" s="80">
        <v>121751</v>
      </c>
      <c r="N161" s="24">
        <v>19700</v>
      </c>
      <c r="O161" s="26">
        <f t="shared" si="2"/>
        <v>135143.61000000002</v>
      </c>
    </row>
    <row r="162" spans="1:15" x14ac:dyDescent="0.25">
      <c r="A162" s="27"/>
      <c r="B162" s="29"/>
      <c r="C162" s="43"/>
      <c r="D162" s="29"/>
      <c r="E162" s="29"/>
      <c r="F162" s="29"/>
      <c r="G162" s="29"/>
      <c r="H162" s="29"/>
      <c r="I162" s="29"/>
      <c r="J162" s="81" t="s">
        <v>51</v>
      </c>
      <c r="K162" s="42" t="s">
        <v>52</v>
      </c>
      <c r="L162" s="80">
        <v>24</v>
      </c>
      <c r="M162" s="24">
        <v>335866</v>
      </c>
      <c r="N162" s="82">
        <v>15851</v>
      </c>
      <c r="O162" s="26">
        <f t="shared" si="2"/>
        <v>372811.26</v>
      </c>
    </row>
    <row r="163" spans="1:15" x14ac:dyDescent="0.25">
      <c r="A163" s="27"/>
      <c r="B163" s="29"/>
      <c r="C163" s="43"/>
      <c r="D163" s="29"/>
      <c r="E163" s="29"/>
      <c r="F163" s="29"/>
      <c r="G163" s="29"/>
      <c r="H163" s="29"/>
      <c r="I163" s="29"/>
      <c r="J163" s="42" t="s">
        <v>28</v>
      </c>
      <c r="K163" s="83" t="s">
        <v>29</v>
      </c>
      <c r="L163" s="24">
        <v>24</v>
      </c>
      <c r="M163" s="80">
        <v>335866</v>
      </c>
      <c r="N163" s="24">
        <v>15851</v>
      </c>
      <c r="O163" s="26">
        <f t="shared" si="2"/>
        <v>372811.26</v>
      </c>
    </row>
    <row r="164" spans="1:15" x14ac:dyDescent="0.25">
      <c r="A164" s="27"/>
      <c r="B164" s="29"/>
      <c r="C164" s="43"/>
      <c r="D164" s="29"/>
      <c r="E164" s="29"/>
      <c r="F164" s="29"/>
      <c r="G164" s="29"/>
      <c r="H164" s="29"/>
      <c r="I164" s="29"/>
      <c r="J164" s="81" t="s">
        <v>74</v>
      </c>
      <c r="K164" s="42" t="s">
        <v>75</v>
      </c>
      <c r="L164" s="80">
        <v>24</v>
      </c>
      <c r="M164" s="24">
        <v>503798</v>
      </c>
      <c r="N164" s="82">
        <v>23776</v>
      </c>
      <c r="O164" s="26">
        <f t="shared" si="2"/>
        <v>559215.78</v>
      </c>
    </row>
    <row r="165" spans="1:15" x14ac:dyDescent="0.25">
      <c r="A165" s="27"/>
      <c r="B165" s="29"/>
      <c r="C165" s="43"/>
      <c r="D165" s="29"/>
      <c r="E165" s="29"/>
      <c r="F165" s="29"/>
      <c r="G165" s="29"/>
      <c r="H165" s="29"/>
      <c r="I165" s="29"/>
      <c r="J165" s="42" t="s">
        <v>30</v>
      </c>
      <c r="K165" s="83" t="s">
        <v>31</v>
      </c>
      <c r="L165" s="24">
        <v>36</v>
      </c>
      <c r="M165" s="80">
        <v>755698</v>
      </c>
      <c r="N165" s="24">
        <v>23776</v>
      </c>
      <c r="O165" s="26">
        <f t="shared" si="2"/>
        <v>838824.78</v>
      </c>
    </row>
    <row r="166" spans="1:15" x14ac:dyDescent="0.25">
      <c r="A166" s="27"/>
      <c r="B166" s="29"/>
      <c r="C166" s="43"/>
      <c r="D166" s="29"/>
      <c r="E166" s="29"/>
      <c r="F166" s="29"/>
      <c r="G166" s="29"/>
      <c r="H166" s="29"/>
      <c r="I166" s="29"/>
      <c r="J166" s="81" t="s">
        <v>122</v>
      </c>
      <c r="K166" s="42" t="s">
        <v>123</v>
      </c>
      <c r="L166" s="80">
        <v>6</v>
      </c>
      <c r="M166" s="24">
        <v>242303</v>
      </c>
      <c r="N166" s="82">
        <v>45741</v>
      </c>
      <c r="O166" s="26">
        <f t="shared" si="2"/>
        <v>268956.33</v>
      </c>
    </row>
    <row r="167" spans="1:15" x14ac:dyDescent="0.25">
      <c r="A167" s="27"/>
      <c r="B167" s="29"/>
      <c r="C167" s="43"/>
      <c r="D167" s="29"/>
      <c r="E167" s="29"/>
      <c r="F167" s="29"/>
      <c r="G167" s="29"/>
      <c r="H167" s="29"/>
      <c r="I167" s="29"/>
      <c r="J167" s="42" t="s">
        <v>32</v>
      </c>
      <c r="K167" s="83" t="s">
        <v>33</v>
      </c>
      <c r="L167" s="24">
        <v>12</v>
      </c>
      <c r="M167" s="80">
        <v>484606</v>
      </c>
      <c r="N167" s="24">
        <v>45741</v>
      </c>
      <c r="O167" s="26">
        <f t="shared" si="2"/>
        <v>537912.66</v>
      </c>
    </row>
    <row r="168" spans="1:15" x14ac:dyDescent="0.25">
      <c r="A168" s="27"/>
      <c r="B168" s="29"/>
      <c r="C168" s="43"/>
      <c r="D168" s="29"/>
      <c r="E168" s="29"/>
      <c r="F168" s="29"/>
      <c r="G168" s="29"/>
      <c r="H168" s="29"/>
      <c r="I168" s="29"/>
      <c r="J168" s="81" t="s">
        <v>61</v>
      </c>
      <c r="K168" s="42" t="s">
        <v>62</v>
      </c>
      <c r="L168" s="80">
        <v>24</v>
      </c>
      <c r="M168" s="24">
        <v>93563</v>
      </c>
      <c r="N168" s="82">
        <v>4416</v>
      </c>
      <c r="O168" s="26">
        <f t="shared" si="2"/>
        <v>103854.93000000001</v>
      </c>
    </row>
    <row r="169" spans="1:15" x14ac:dyDescent="0.25">
      <c r="A169" s="27"/>
      <c r="B169" s="29"/>
      <c r="C169" s="43"/>
      <c r="D169" s="36"/>
      <c r="E169" s="36"/>
      <c r="F169" s="36"/>
      <c r="G169" s="36"/>
      <c r="H169" s="36"/>
      <c r="I169" s="36"/>
      <c r="J169" s="42" t="s">
        <v>53</v>
      </c>
      <c r="K169" s="83" t="s">
        <v>54</v>
      </c>
      <c r="L169" s="24">
        <v>24</v>
      </c>
      <c r="M169" s="80">
        <v>362255</v>
      </c>
      <c r="N169" s="24">
        <v>17096</v>
      </c>
      <c r="O169" s="26">
        <f t="shared" si="2"/>
        <v>402103.05000000005</v>
      </c>
    </row>
    <row r="170" spans="1:15" x14ac:dyDescent="0.25">
      <c r="A170" s="27"/>
      <c r="B170" s="29"/>
      <c r="C170" s="43"/>
      <c r="D170" s="20" t="s">
        <v>277</v>
      </c>
      <c r="E170" s="20" t="s">
        <v>278</v>
      </c>
      <c r="F170" s="20" t="s">
        <v>279</v>
      </c>
      <c r="G170" s="20" t="s">
        <v>280</v>
      </c>
      <c r="H170" s="20" t="s">
        <v>225</v>
      </c>
      <c r="I170" s="50" t="s">
        <v>68</v>
      </c>
      <c r="J170" s="83" t="s">
        <v>240</v>
      </c>
      <c r="K170" s="42" t="s">
        <v>241</v>
      </c>
      <c r="L170" s="80">
        <v>42</v>
      </c>
      <c r="M170" s="24">
        <v>1128508</v>
      </c>
      <c r="N170" s="82">
        <v>65215</v>
      </c>
      <c r="O170" s="26">
        <f t="shared" si="2"/>
        <v>1252643.8800000001</v>
      </c>
    </row>
    <row r="171" spans="1:15" x14ac:dyDescent="0.25">
      <c r="A171" s="27"/>
      <c r="B171" s="29"/>
      <c r="C171" s="43"/>
      <c r="D171" s="29"/>
      <c r="E171" s="29"/>
      <c r="F171" s="29"/>
      <c r="G171" s="29"/>
      <c r="H171" s="29"/>
      <c r="I171" s="51"/>
      <c r="J171" s="84" t="s">
        <v>233</v>
      </c>
      <c r="K171" s="83" t="s">
        <v>234</v>
      </c>
      <c r="L171" s="24">
        <v>42</v>
      </c>
      <c r="M171" s="80">
        <v>1128508</v>
      </c>
      <c r="N171" s="24">
        <v>65215</v>
      </c>
      <c r="O171" s="26">
        <f t="shared" si="2"/>
        <v>1252643.8800000001</v>
      </c>
    </row>
    <row r="172" spans="1:15" x14ac:dyDescent="0.25">
      <c r="A172" s="27"/>
      <c r="B172" s="29"/>
      <c r="C172" s="43"/>
      <c r="D172" s="29"/>
      <c r="E172" s="29"/>
      <c r="F172" s="29"/>
      <c r="G172" s="29"/>
      <c r="H172" s="29"/>
      <c r="I172" s="51"/>
      <c r="J172" s="23" t="s">
        <v>242</v>
      </c>
      <c r="K172" s="42" t="s">
        <v>243</v>
      </c>
      <c r="L172" s="25">
        <v>42</v>
      </c>
      <c r="M172" s="24">
        <v>1128508</v>
      </c>
      <c r="N172" s="31">
        <v>65215</v>
      </c>
      <c r="O172" s="26">
        <f t="shared" si="2"/>
        <v>1252643.8800000001</v>
      </c>
    </row>
    <row r="173" spans="1:15" x14ac:dyDescent="0.25">
      <c r="A173" s="27"/>
      <c r="B173" s="29"/>
      <c r="C173" s="43"/>
      <c r="D173" s="29"/>
      <c r="E173" s="29"/>
      <c r="F173" s="29"/>
      <c r="G173" s="29"/>
      <c r="H173" s="29"/>
      <c r="I173" s="51"/>
      <c r="J173" s="58" t="s">
        <v>28</v>
      </c>
      <c r="K173" s="23" t="s">
        <v>29</v>
      </c>
      <c r="L173" s="30">
        <v>504</v>
      </c>
      <c r="M173" s="25">
        <v>6582966</v>
      </c>
      <c r="N173" s="30">
        <v>31702</v>
      </c>
      <c r="O173" s="26">
        <f t="shared" si="2"/>
        <v>7307092.2600000007</v>
      </c>
    </row>
    <row r="174" spans="1:15" x14ac:dyDescent="0.25">
      <c r="A174" s="27"/>
      <c r="B174" s="29"/>
      <c r="C174" s="43"/>
      <c r="D174" s="29"/>
      <c r="E174" s="29"/>
      <c r="F174" s="29"/>
      <c r="G174" s="29"/>
      <c r="H174" s="29"/>
      <c r="I174" s="51"/>
      <c r="J174" s="23" t="s">
        <v>30</v>
      </c>
      <c r="K174" s="22" t="s">
        <v>31</v>
      </c>
      <c r="L174" s="25">
        <v>504</v>
      </c>
      <c r="M174" s="30">
        <v>9874449</v>
      </c>
      <c r="N174" s="31">
        <v>47552</v>
      </c>
      <c r="O174" s="26">
        <f t="shared" si="2"/>
        <v>10960638.390000001</v>
      </c>
    </row>
    <row r="175" spans="1:15" x14ac:dyDescent="0.25">
      <c r="A175" s="27"/>
      <c r="B175" s="29"/>
      <c r="C175" s="47"/>
      <c r="D175" s="35"/>
      <c r="E175" s="36"/>
      <c r="F175" s="35"/>
      <c r="G175" s="36"/>
      <c r="H175" s="35"/>
      <c r="I175" s="53"/>
      <c r="J175" s="59" t="s">
        <v>32</v>
      </c>
      <c r="K175" s="23" t="s">
        <v>33</v>
      </c>
      <c r="L175" s="38">
        <v>252</v>
      </c>
      <c r="M175" s="25">
        <v>9498279</v>
      </c>
      <c r="N175" s="38">
        <v>91482</v>
      </c>
      <c r="O175" s="26">
        <f t="shared" si="2"/>
        <v>10543089.690000001</v>
      </c>
    </row>
    <row r="176" spans="1:15" ht="22.5" x14ac:dyDescent="0.25">
      <c r="A176" s="27"/>
      <c r="B176" s="29"/>
      <c r="C176" s="85">
        <v>46225</v>
      </c>
      <c r="D176" s="40" t="s">
        <v>281</v>
      </c>
      <c r="E176" s="23" t="s">
        <v>282</v>
      </c>
      <c r="F176" s="40" t="s">
        <v>283</v>
      </c>
      <c r="G176" s="23" t="s">
        <v>284</v>
      </c>
      <c r="H176" s="40" t="s">
        <v>225</v>
      </c>
      <c r="I176" s="23" t="s">
        <v>285</v>
      </c>
      <c r="J176" s="40" t="s">
        <v>30</v>
      </c>
      <c r="K176" s="23" t="s">
        <v>31</v>
      </c>
      <c r="L176" s="41">
        <v>120</v>
      </c>
      <c r="M176" s="25">
        <v>2570400</v>
      </c>
      <c r="N176" s="41">
        <v>23776</v>
      </c>
      <c r="O176" s="26">
        <f t="shared" si="2"/>
        <v>2853144.0000000005</v>
      </c>
    </row>
    <row r="177" spans="1:15" x14ac:dyDescent="0.25">
      <c r="A177" s="27"/>
      <c r="B177" s="29"/>
      <c r="C177" s="21">
        <v>46224</v>
      </c>
      <c r="D177" s="20" t="s">
        <v>286</v>
      </c>
      <c r="E177" s="20" t="s">
        <v>287</v>
      </c>
      <c r="F177" s="20" t="s">
        <v>288</v>
      </c>
      <c r="G177" s="20" t="s">
        <v>289</v>
      </c>
      <c r="H177" s="20" t="s">
        <v>225</v>
      </c>
      <c r="I177" s="20" t="s">
        <v>68</v>
      </c>
      <c r="J177" s="42" t="s">
        <v>96</v>
      </c>
      <c r="K177" s="23" t="s">
        <v>97</v>
      </c>
      <c r="L177" s="24">
        <v>6</v>
      </c>
      <c r="M177" s="25">
        <v>127749</v>
      </c>
      <c r="N177" s="24">
        <v>24116</v>
      </c>
      <c r="O177" s="26">
        <f t="shared" si="2"/>
        <v>141801.39000000001</v>
      </c>
    </row>
    <row r="178" spans="1:15" x14ac:dyDescent="0.25">
      <c r="A178" s="27"/>
      <c r="B178" s="29"/>
      <c r="C178" s="43"/>
      <c r="D178" s="29"/>
      <c r="E178" s="29"/>
      <c r="F178" s="29"/>
      <c r="G178" s="29"/>
      <c r="H178" s="29"/>
      <c r="I178" s="29"/>
      <c r="J178" s="23" t="s">
        <v>98</v>
      </c>
      <c r="K178" s="22" t="s">
        <v>99</v>
      </c>
      <c r="L178" s="25">
        <v>6</v>
      </c>
      <c r="M178" s="30">
        <v>127749</v>
      </c>
      <c r="N178" s="31">
        <v>24116</v>
      </c>
      <c r="O178" s="26">
        <f t="shared" si="2"/>
        <v>141801.39000000001</v>
      </c>
    </row>
    <row r="179" spans="1:15" x14ac:dyDescent="0.25">
      <c r="A179" s="27"/>
      <c r="B179" s="29"/>
      <c r="C179" s="43"/>
      <c r="D179" s="29"/>
      <c r="E179" s="29"/>
      <c r="F179" s="29"/>
      <c r="G179" s="29"/>
      <c r="H179" s="29"/>
      <c r="I179" s="29"/>
      <c r="J179" s="22" t="s">
        <v>155</v>
      </c>
      <c r="K179" s="23" t="s">
        <v>156</v>
      </c>
      <c r="L179" s="30">
        <v>6</v>
      </c>
      <c r="M179" s="25">
        <v>127749</v>
      </c>
      <c r="N179" s="30">
        <v>24116</v>
      </c>
      <c r="O179" s="26">
        <f t="shared" si="2"/>
        <v>141801.39000000001</v>
      </c>
    </row>
    <row r="180" spans="1:15" x14ac:dyDescent="0.25">
      <c r="A180" s="27"/>
      <c r="B180" s="29"/>
      <c r="C180" s="43"/>
      <c r="D180" s="29"/>
      <c r="E180" s="29"/>
      <c r="F180" s="29"/>
      <c r="G180" s="29"/>
      <c r="H180" s="29"/>
      <c r="I180" s="29"/>
      <c r="J180" s="23" t="s">
        <v>49</v>
      </c>
      <c r="K180" s="22" t="s">
        <v>50</v>
      </c>
      <c r="L180" s="25">
        <v>12</v>
      </c>
      <c r="M180" s="30">
        <v>95962</v>
      </c>
      <c r="N180" s="31">
        <v>9058</v>
      </c>
      <c r="O180" s="26">
        <f t="shared" si="2"/>
        <v>106517.82</v>
      </c>
    </row>
    <row r="181" spans="1:15" x14ac:dyDescent="0.25">
      <c r="A181" s="27"/>
      <c r="B181" s="29"/>
      <c r="C181" s="43"/>
      <c r="D181" s="29"/>
      <c r="E181" s="29"/>
      <c r="F181" s="29"/>
      <c r="G181" s="29"/>
      <c r="H181" s="29"/>
      <c r="I181" s="29"/>
      <c r="J181" s="22" t="s">
        <v>108</v>
      </c>
      <c r="K181" s="23" t="s">
        <v>109</v>
      </c>
      <c r="L181" s="30">
        <v>24</v>
      </c>
      <c r="M181" s="25">
        <v>148740</v>
      </c>
      <c r="N181" s="30">
        <v>7020</v>
      </c>
      <c r="O181" s="26">
        <f t="shared" si="2"/>
        <v>165101.40000000002</v>
      </c>
    </row>
    <row r="182" spans="1:15" x14ac:dyDescent="0.25">
      <c r="A182" s="27"/>
      <c r="B182" s="29"/>
      <c r="C182" s="43"/>
      <c r="D182" s="29"/>
      <c r="E182" s="29"/>
      <c r="F182" s="29"/>
      <c r="G182" s="29"/>
      <c r="H182" s="29"/>
      <c r="I182" s="29"/>
      <c r="J182" s="23" t="s">
        <v>255</v>
      </c>
      <c r="K182" s="22" t="s">
        <v>256</v>
      </c>
      <c r="L182" s="25">
        <v>24</v>
      </c>
      <c r="M182" s="30">
        <v>283087</v>
      </c>
      <c r="N182" s="31">
        <v>13360</v>
      </c>
      <c r="O182" s="26">
        <f t="shared" si="2"/>
        <v>314226.57</v>
      </c>
    </row>
    <row r="183" spans="1:15" x14ac:dyDescent="0.25">
      <c r="A183" s="27"/>
      <c r="B183" s="29"/>
      <c r="C183" s="43"/>
      <c r="D183" s="29"/>
      <c r="E183" s="29"/>
      <c r="F183" s="29"/>
      <c r="G183" s="29"/>
      <c r="H183" s="29"/>
      <c r="I183" s="29"/>
      <c r="J183" s="22" t="s">
        <v>246</v>
      </c>
      <c r="K183" s="23" t="s">
        <v>247</v>
      </c>
      <c r="L183" s="30">
        <v>12</v>
      </c>
      <c r="M183" s="25">
        <v>208717</v>
      </c>
      <c r="N183" s="30">
        <v>19700</v>
      </c>
      <c r="O183" s="26">
        <f t="shared" si="2"/>
        <v>231675.87000000002</v>
      </c>
    </row>
    <row r="184" spans="1:15" x14ac:dyDescent="0.25">
      <c r="A184" s="27"/>
      <c r="B184" s="29"/>
      <c r="C184" s="43"/>
      <c r="D184" s="29"/>
      <c r="E184" s="29"/>
      <c r="F184" s="29"/>
      <c r="G184" s="29"/>
      <c r="H184" s="29"/>
      <c r="I184" s="29"/>
      <c r="J184" s="23" t="s">
        <v>248</v>
      </c>
      <c r="K184" s="22" t="s">
        <v>249</v>
      </c>
      <c r="L184" s="25">
        <v>12</v>
      </c>
      <c r="M184" s="30">
        <v>208717</v>
      </c>
      <c r="N184" s="31">
        <v>19700</v>
      </c>
      <c r="O184" s="26">
        <f t="shared" si="2"/>
        <v>231675.87000000002</v>
      </c>
    </row>
    <row r="185" spans="1:15" x14ac:dyDescent="0.25">
      <c r="A185" s="27"/>
      <c r="B185" s="29"/>
      <c r="C185" s="43"/>
      <c r="D185" s="29"/>
      <c r="E185" s="29"/>
      <c r="F185" s="29"/>
      <c r="G185" s="29"/>
      <c r="H185" s="29"/>
      <c r="I185" s="29"/>
      <c r="J185" s="22" t="s">
        <v>202</v>
      </c>
      <c r="K185" s="23" t="s">
        <v>203</v>
      </c>
      <c r="L185" s="30">
        <v>12</v>
      </c>
      <c r="M185" s="25">
        <v>208717</v>
      </c>
      <c r="N185" s="30">
        <v>19700</v>
      </c>
      <c r="O185" s="26">
        <f t="shared" si="2"/>
        <v>231675.87000000002</v>
      </c>
    </row>
    <row r="186" spans="1:15" x14ac:dyDescent="0.25">
      <c r="A186" s="27"/>
      <c r="B186" s="29"/>
      <c r="C186" s="43"/>
      <c r="D186" s="29"/>
      <c r="E186" s="29"/>
      <c r="F186" s="29"/>
      <c r="G186" s="29"/>
      <c r="H186" s="29"/>
      <c r="I186" s="29"/>
      <c r="J186" s="45" t="s">
        <v>51</v>
      </c>
      <c r="K186" s="22" t="s">
        <v>52</v>
      </c>
      <c r="L186" s="25">
        <v>60</v>
      </c>
      <c r="M186" s="30">
        <v>839664</v>
      </c>
      <c r="N186" s="31">
        <v>15851</v>
      </c>
      <c r="O186" s="26">
        <f t="shared" si="2"/>
        <v>932027.04</v>
      </c>
    </row>
    <row r="187" spans="1:15" x14ac:dyDescent="0.25">
      <c r="A187" s="27"/>
      <c r="B187" s="29"/>
      <c r="C187" s="43"/>
      <c r="D187" s="29"/>
      <c r="E187" s="29"/>
      <c r="F187" s="29"/>
      <c r="G187" s="29"/>
      <c r="H187" s="29"/>
      <c r="I187" s="29"/>
      <c r="J187" s="22" t="s">
        <v>74</v>
      </c>
      <c r="K187" s="23" t="s">
        <v>75</v>
      </c>
      <c r="L187" s="30">
        <v>60</v>
      </c>
      <c r="M187" s="25">
        <v>1259496</v>
      </c>
      <c r="N187" s="30">
        <v>23776</v>
      </c>
      <c r="O187" s="26">
        <f t="shared" si="2"/>
        <v>1398040.56</v>
      </c>
    </row>
    <row r="188" spans="1:15" x14ac:dyDescent="0.25">
      <c r="A188" s="27"/>
      <c r="B188" s="29"/>
      <c r="C188" s="43"/>
      <c r="D188" s="29"/>
      <c r="E188" s="29"/>
      <c r="F188" s="29"/>
      <c r="G188" s="29"/>
      <c r="H188" s="29"/>
      <c r="I188" s="29"/>
      <c r="J188" s="45" t="s">
        <v>122</v>
      </c>
      <c r="K188" s="22" t="s">
        <v>123</v>
      </c>
      <c r="L188" s="25">
        <v>30</v>
      </c>
      <c r="M188" s="30">
        <v>1211515</v>
      </c>
      <c r="N188" s="31">
        <v>45741</v>
      </c>
      <c r="O188" s="26">
        <f t="shared" si="2"/>
        <v>1344781.6500000001</v>
      </c>
    </row>
    <row r="189" spans="1:15" x14ac:dyDescent="0.25">
      <c r="A189" s="27"/>
      <c r="B189" s="29"/>
      <c r="C189" s="43"/>
      <c r="D189" s="36"/>
      <c r="E189" s="36"/>
      <c r="F189" s="36"/>
      <c r="G189" s="36"/>
      <c r="H189" s="36"/>
      <c r="I189" s="36"/>
      <c r="J189" s="22" t="s">
        <v>53</v>
      </c>
      <c r="K189" s="23" t="s">
        <v>54</v>
      </c>
      <c r="L189" s="30">
        <v>60</v>
      </c>
      <c r="M189" s="25">
        <v>905638</v>
      </c>
      <c r="N189" s="30">
        <v>17096</v>
      </c>
      <c r="O189" s="26">
        <f t="shared" si="2"/>
        <v>1005258.18</v>
      </c>
    </row>
    <row r="190" spans="1:15" x14ac:dyDescent="0.25">
      <c r="A190" s="27"/>
      <c r="B190" s="29"/>
      <c r="C190" s="43"/>
      <c r="D190" s="20" t="s">
        <v>290</v>
      </c>
      <c r="E190" s="20" t="s">
        <v>291</v>
      </c>
      <c r="F190" s="20" t="s">
        <v>292</v>
      </c>
      <c r="G190" s="20" t="s">
        <v>293</v>
      </c>
      <c r="H190" s="20" t="s">
        <v>225</v>
      </c>
      <c r="I190" s="50" t="s">
        <v>294</v>
      </c>
      <c r="J190" s="23" t="s">
        <v>240</v>
      </c>
      <c r="K190" s="22" t="s">
        <v>241</v>
      </c>
      <c r="L190" s="25">
        <v>24</v>
      </c>
      <c r="M190" s="30">
        <v>690924</v>
      </c>
      <c r="N190" s="31">
        <v>32607</v>
      </c>
      <c r="O190" s="26">
        <f t="shared" si="2"/>
        <v>766925.64</v>
      </c>
    </row>
    <row r="191" spans="1:15" x14ac:dyDescent="0.25">
      <c r="A191" s="27"/>
      <c r="B191" s="29"/>
      <c r="C191" s="43"/>
      <c r="D191" s="29"/>
      <c r="E191" s="29"/>
      <c r="F191" s="29"/>
      <c r="G191" s="29"/>
      <c r="H191" s="29"/>
      <c r="I191" s="51"/>
      <c r="J191" s="56" t="s">
        <v>229</v>
      </c>
      <c r="K191" s="23" t="s">
        <v>230</v>
      </c>
      <c r="L191" s="30">
        <v>24</v>
      </c>
      <c r="M191" s="25">
        <v>690924</v>
      </c>
      <c r="N191" s="30">
        <v>32607</v>
      </c>
      <c r="O191" s="26">
        <f t="shared" si="2"/>
        <v>766925.64</v>
      </c>
    </row>
    <row r="192" spans="1:15" x14ac:dyDescent="0.25">
      <c r="A192" s="27"/>
      <c r="B192" s="29"/>
      <c r="C192" s="43"/>
      <c r="D192" s="29"/>
      <c r="E192" s="29"/>
      <c r="F192" s="29"/>
      <c r="G192" s="29"/>
      <c r="H192" s="29"/>
      <c r="I192" s="51"/>
      <c r="J192" s="23" t="s">
        <v>231</v>
      </c>
      <c r="K192" s="22" t="s">
        <v>232</v>
      </c>
      <c r="L192" s="25">
        <v>24</v>
      </c>
      <c r="M192" s="30">
        <v>690924</v>
      </c>
      <c r="N192" s="31">
        <v>32607</v>
      </c>
      <c r="O192" s="26">
        <f t="shared" si="2"/>
        <v>766925.64</v>
      </c>
    </row>
    <row r="193" spans="1:15" x14ac:dyDescent="0.25">
      <c r="A193" s="27"/>
      <c r="B193" s="29"/>
      <c r="C193" s="43"/>
      <c r="D193" s="29"/>
      <c r="E193" s="29"/>
      <c r="F193" s="29"/>
      <c r="G193" s="29"/>
      <c r="H193" s="29"/>
      <c r="I193" s="51"/>
      <c r="J193" s="56" t="s">
        <v>233</v>
      </c>
      <c r="K193" s="23" t="s">
        <v>234</v>
      </c>
      <c r="L193" s="30">
        <v>24</v>
      </c>
      <c r="M193" s="25">
        <v>690924</v>
      </c>
      <c r="N193" s="30">
        <v>32607</v>
      </c>
      <c r="O193" s="26">
        <f t="shared" si="2"/>
        <v>766925.64</v>
      </c>
    </row>
    <row r="194" spans="1:15" x14ac:dyDescent="0.25">
      <c r="A194" s="27"/>
      <c r="B194" s="29"/>
      <c r="C194" s="43"/>
      <c r="D194" s="29"/>
      <c r="E194" s="29"/>
      <c r="F194" s="29"/>
      <c r="G194" s="29"/>
      <c r="H194" s="29"/>
      <c r="I194" s="51"/>
      <c r="J194" s="23" t="s">
        <v>242</v>
      </c>
      <c r="K194" s="22" t="s">
        <v>243</v>
      </c>
      <c r="L194" s="25">
        <v>24</v>
      </c>
      <c r="M194" s="30">
        <v>690924</v>
      </c>
      <c r="N194" s="31">
        <v>32607</v>
      </c>
      <c r="O194" s="26">
        <f t="shared" si="2"/>
        <v>766925.64</v>
      </c>
    </row>
    <row r="195" spans="1:15" x14ac:dyDescent="0.25">
      <c r="A195" s="27"/>
      <c r="B195" s="29"/>
      <c r="C195" s="43"/>
      <c r="D195" s="29"/>
      <c r="E195" s="29"/>
      <c r="F195" s="29"/>
      <c r="G195" s="29"/>
      <c r="H195" s="29"/>
      <c r="I195" s="51"/>
      <c r="J195" s="56" t="s">
        <v>28</v>
      </c>
      <c r="K195" s="23" t="s">
        <v>29</v>
      </c>
      <c r="L195" s="30">
        <v>240</v>
      </c>
      <c r="M195" s="25">
        <v>3358656</v>
      </c>
      <c r="N195" s="30">
        <v>15851</v>
      </c>
      <c r="O195" s="26">
        <f t="shared" si="2"/>
        <v>3728108.16</v>
      </c>
    </row>
    <row r="196" spans="1:15" x14ac:dyDescent="0.25">
      <c r="A196" s="27"/>
      <c r="B196" s="29"/>
      <c r="C196" s="43"/>
      <c r="D196" s="29"/>
      <c r="E196" s="29"/>
      <c r="F196" s="29"/>
      <c r="G196" s="29"/>
      <c r="H196" s="29"/>
      <c r="I196" s="51"/>
      <c r="J196" s="23" t="s">
        <v>30</v>
      </c>
      <c r="K196" s="22" t="s">
        <v>31</v>
      </c>
      <c r="L196" s="25">
        <v>240</v>
      </c>
      <c r="M196" s="30">
        <v>5037984</v>
      </c>
      <c r="N196" s="31">
        <v>23776</v>
      </c>
      <c r="O196" s="26">
        <f t="shared" si="2"/>
        <v>5592162.2400000002</v>
      </c>
    </row>
    <row r="197" spans="1:15" x14ac:dyDescent="0.25">
      <c r="A197" s="27"/>
      <c r="B197" s="29"/>
      <c r="C197" s="43"/>
      <c r="D197" s="29"/>
      <c r="E197" s="29"/>
      <c r="F197" s="29"/>
      <c r="G197" s="29"/>
      <c r="H197" s="29"/>
      <c r="I197" s="51"/>
      <c r="J197" s="56" t="s">
        <v>122</v>
      </c>
      <c r="K197" s="23" t="s">
        <v>123</v>
      </c>
      <c r="L197" s="30">
        <v>30</v>
      </c>
      <c r="M197" s="25">
        <v>1211515</v>
      </c>
      <c r="N197" s="30">
        <v>45741</v>
      </c>
      <c r="O197" s="26">
        <f t="shared" si="2"/>
        <v>1344781.6500000001</v>
      </c>
    </row>
    <row r="198" spans="1:15" x14ac:dyDescent="0.25">
      <c r="A198" s="27"/>
      <c r="B198" s="29"/>
      <c r="C198" s="43"/>
      <c r="D198" s="29"/>
      <c r="E198" s="29"/>
      <c r="F198" s="29"/>
      <c r="G198" s="29"/>
      <c r="H198" s="29"/>
      <c r="I198" s="51"/>
      <c r="J198" s="23" t="s">
        <v>32</v>
      </c>
      <c r="K198" s="22" t="s">
        <v>33</v>
      </c>
      <c r="L198" s="25">
        <v>60</v>
      </c>
      <c r="M198" s="30">
        <v>2423030</v>
      </c>
      <c r="N198" s="31">
        <v>45741</v>
      </c>
      <c r="O198" s="26">
        <f t="shared" si="2"/>
        <v>2689563.3000000003</v>
      </c>
    </row>
    <row r="199" spans="1:15" x14ac:dyDescent="0.25">
      <c r="A199" s="27"/>
      <c r="B199" s="29"/>
      <c r="C199" s="47"/>
      <c r="D199" s="36"/>
      <c r="E199" s="36"/>
      <c r="F199" s="36"/>
      <c r="G199" s="36"/>
      <c r="H199" s="36"/>
      <c r="I199" s="53"/>
      <c r="J199" s="56" t="s">
        <v>53</v>
      </c>
      <c r="K199" s="23" t="s">
        <v>54</v>
      </c>
      <c r="L199" s="38">
        <v>60</v>
      </c>
      <c r="M199" s="25">
        <v>905638</v>
      </c>
      <c r="N199" s="38">
        <v>17096</v>
      </c>
      <c r="O199" s="26">
        <f t="shared" ref="O199:O262" si="3">M199*1.11</f>
        <v>1005258.18</v>
      </c>
    </row>
    <row r="200" spans="1:15" x14ac:dyDescent="0.25">
      <c r="A200" s="27"/>
      <c r="B200" s="29"/>
      <c r="C200" s="21">
        <v>46221</v>
      </c>
      <c r="D200" s="20" t="s">
        <v>295</v>
      </c>
      <c r="E200" s="20" t="s">
        <v>296</v>
      </c>
      <c r="F200" s="20" t="s">
        <v>297</v>
      </c>
      <c r="G200" s="20" t="s">
        <v>298</v>
      </c>
      <c r="H200" s="20" t="s">
        <v>225</v>
      </c>
      <c r="I200" s="20" t="s">
        <v>68</v>
      </c>
      <c r="J200" s="46" t="s">
        <v>229</v>
      </c>
      <c r="K200" s="23" t="s">
        <v>230</v>
      </c>
      <c r="L200" s="44">
        <v>13</v>
      </c>
      <c r="M200" s="25">
        <v>345462</v>
      </c>
      <c r="N200" s="44">
        <v>65215</v>
      </c>
      <c r="O200" s="26">
        <f t="shared" si="3"/>
        <v>383462.82</v>
      </c>
    </row>
    <row r="201" spans="1:15" x14ac:dyDescent="0.25">
      <c r="A201" s="27"/>
      <c r="B201" s="29"/>
      <c r="C201" s="43"/>
      <c r="D201" s="29"/>
      <c r="E201" s="29"/>
      <c r="F201" s="29"/>
      <c r="G201" s="29"/>
      <c r="H201" s="29"/>
      <c r="I201" s="29"/>
      <c r="J201" s="23" t="s">
        <v>242</v>
      </c>
      <c r="K201" s="22" t="s">
        <v>243</v>
      </c>
      <c r="L201" s="25">
        <v>12</v>
      </c>
      <c r="M201" s="30">
        <v>345462</v>
      </c>
      <c r="N201" s="31">
        <v>32607</v>
      </c>
      <c r="O201" s="26">
        <f t="shared" si="3"/>
        <v>383462.82</v>
      </c>
    </row>
    <row r="202" spans="1:15" x14ac:dyDescent="0.25">
      <c r="A202" s="27"/>
      <c r="B202" s="29"/>
      <c r="C202" s="43"/>
      <c r="D202" s="29"/>
      <c r="E202" s="29"/>
      <c r="F202" s="29"/>
      <c r="G202" s="29"/>
      <c r="H202" s="29"/>
      <c r="I202" s="29"/>
      <c r="J202" s="22" t="s">
        <v>28</v>
      </c>
      <c r="K202" s="23" t="s">
        <v>29</v>
      </c>
      <c r="L202" s="30">
        <v>63</v>
      </c>
      <c r="M202" s="25">
        <v>839664</v>
      </c>
      <c r="N202" s="30">
        <v>31702</v>
      </c>
      <c r="O202" s="26">
        <f t="shared" si="3"/>
        <v>932027.04</v>
      </c>
    </row>
    <row r="203" spans="1:15" x14ac:dyDescent="0.25">
      <c r="A203" s="27"/>
      <c r="B203" s="29"/>
      <c r="C203" s="43"/>
      <c r="D203" s="29"/>
      <c r="E203" s="29"/>
      <c r="F203" s="29"/>
      <c r="G203" s="29"/>
      <c r="H203" s="29"/>
      <c r="I203" s="29"/>
      <c r="J203" s="23" t="s">
        <v>30</v>
      </c>
      <c r="K203" s="22" t="s">
        <v>31</v>
      </c>
      <c r="L203" s="25">
        <v>252</v>
      </c>
      <c r="M203" s="30">
        <v>5037984</v>
      </c>
      <c r="N203" s="31">
        <v>47552</v>
      </c>
      <c r="O203" s="26">
        <f t="shared" si="3"/>
        <v>5592162.2400000002</v>
      </c>
    </row>
    <row r="204" spans="1:15" x14ac:dyDescent="0.25">
      <c r="A204" s="27"/>
      <c r="B204" s="29"/>
      <c r="C204" s="47"/>
      <c r="D204" s="36"/>
      <c r="E204" s="36"/>
      <c r="F204" s="36"/>
      <c r="G204" s="36"/>
      <c r="H204" s="36"/>
      <c r="I204" s="36"/>
      <c r="J204" s="37" t="s">
        <v>32</v>
      </c>
      <c r="K204" s="23" t="s">
        <v>33</v>
      </c>
      <c r="L204" s="38">
        <v>33</v>
      </c>
      <c r="M204" s="25">
        <v>1211515</v>
      </c>
      <c r="N204" s="38">
        <v>91482</v>
      </c>
      <c r="O204" s="26">
        <f t="shared" si="3"/>
        <v>1344781.6500000001</v>
      </c>
    </row>
    <row r="205" spans="1:15" ht="22.5" x14ac:dyDescent="0.25">
      <c r="A205" s="27"/>
      <c r="B205" s="29"/>
      <c r="C205" s="21">
        <v>46220</v>
      </c>
      <c r="D205" s="46" t="s">
        <v>299</v>
      </c>
      <c r="E205" s="23" t="s">
        <v>300</v>
      </c>
      <c r="F205" s="46" t="s">
        <v>301</v>
      </c>
      <c r="G205" s="23" t="s">
        <v>302</v>
      </c>
      <c r="H205" s="46" t="s">
        <v>268</v>
      </c>
      <c r="I205" s="23" t="s">
        <v>39</v>
      </c>
      <c r="J205" s="46" t="s">
        <v>30</v>
      </c>
      <c r="K205" s="23" t="s">
        <v>31</v>
      </c>
      <c r="L205" s="44">
        <v>22</v>
      </c>
      <c r="M205" s="25">
        <v>0</v>
      </c>
      <c r="N205" s="44">
        <v>23776</v>
      </c>
      <c r="O205" s="26">
        <f t="shared" si="3"/>
        <v>0</v>
      </c>
    </row>
    <row r="206" spans="1:15" x14ac:dyDescent="0.25">
      <c r="A206" s="27"/>
      <c r="B206" s="29"/>
      <c r="C206" s="43"/>
      <c r="D206" s="23" t="s">
        <v>303</v>
      </c>
      <c r="E206" s="22" t="s">
        <v>304</v>
      </c>
      <c r="F206" s="23" t="s">
        <v>305</v>
      </c>
      <c r="G206" s="22" t="s">
        <v>306</v>
      </c>
      <c r="H206" s="23" t="s">
        <v>225</v>
      </c>
      <c r="I206" s="22" t="s">
        <v>68</v>
      </c>
      <c r="J206" s="23" t="s">
        <v>30</v>
      </c>
      <c r="K206" s="22" t="s">
        <v>31</v>
      </c>
      <c r="L206" s="25">
        <v>538</v>
      </c>
      <c r="M206" s="30">
        <v>0</v>
      </c>
      <c r="N206" s="31">
        <v>23776</v>
      </c>
      <c r="O206" s="26">
        <f t="shared" si="3"/>
        <v>0</v>
      </c>
    </row>
    <row r="207" spans="1:15" x14ac:dyDescent="0.25">
      <c r="A207" s="27"/>
      <c r="B207" s="29"/>
      <c r="C207" s="43"/>
      <c r="D207" s="22" t="s">
        <v>307</v>
      </c>
      <c r="E207" s="23" t="s">
        <v>308</v>
      </c>
      <c r="F207" s="22" t="s">
        <v>309</v>
      </c>
      <c r="G207" s="23" t="s">
        <v>310</v>
      </c>
      <c r="H207" s="22" t="s">
        <v>225</v>
      </c>
      <c r="I207" s="23" t="s">
        <v>68</v>
      </c>
      <c r="J207" s="22" t="s">
        <v>30</v>
      </c>
      <c r="K207" s="23" t="s">
        <v>31</v>
      </c>
      <c r="L207" s="30">
        <v>490</v>
      </c>
      <c r="M207" s="25">
        <v>0</v>
      </c>
      <c r="N207" s="30">
        <v>23776</v>
      </c>
      <c r="O207" s="26">
        <f t="shared" si="3"/>
        <v>0</v>
      </c>
    </row>
    <row r="208" spans="1:15" x14ac:dyDescent="0.25">
      <c r="A208" s="27"/>
      <c r="B208" s="29"/>
      <c r="C208" s="43"/>
      <c r="D208" s="23" t="s">
        <v>311</v>
      </c>
      <c r="E208" s="22" t="s">
        <v>278</v>
      </c>
      <c r="F208" s="23" t="s">
        <v>279</v>
      </c>
      <c r="G208" s="22" t="s">
        <v>280</v>
      </c>
      <c r="H208" s="23" t="s">
        <v>225</v>
      </c>
      <c r="I208" s="22" t="s">
        <v>68</v>
      </c>
      <c r="J208" s="23" t="s">
        <v>30</v>
      </c>
      <c r="K208" s="22" t="s">
        <v>31</v>
      </c>
      <c r="L208" s="25">
        <v>80</v>
      </c>
      <c r="M208" s="30">
        <v>0</v>
      </c>
      <c r="N208" s="31">
        <v>23776</v>
      </c>
      <c r="O208" s="26">
        <f t="shared" si="3"/>
        <v>0</v>
      </c>
    </row>
    <row r="209" spans="1:15" ht="22.5" x14ac:dyDescent="0.25">
      <c r="A209" s="27"/>
      <c r="B209" s="29"/>
      <c r="C209" s="43"/>
      <c r="D209" s="22" t="s">
        <v>312</v>
      </c>
      <c r="E209" s="23" t="s">
        <v>313</v>
      </c>
      <c r="F209" s="22" t="s">
        <v>314</v>
      </c>
      <c r="G209" s="23" t="s">
        <v>315</v>
      </c>
      <c r="H209" s="22" t="s">
        <v>225</v>
      </c>
      <c r="I209" s="23" t="s">
        <v>68</v>
      </c>
      <c r="J209" s="22" t="s">
        <v>30</v>
      </c>
      <c r="K209" s="23" t="s">
        <v>31</v>
      </c>
      <c r="L209" s="30">
        <v>12</v>
      </c>
      <c r="M209" s="25">
        <v>0</v>
      </c>
      <c r="N209" s="30">
        <v>23776</v>
      </c>
      <c r="O209" s="26">
        <f t="shared" si="3"/>
        <v>0</v>
      </c>
    </row>
    <row r="210" spans="1:15" ht="22.5" x14ac:dyDescent="0.25">
      <c r="A210" s="27"/>
      <c r="B210" s="29"/>
      <c r="C210" s="43"/>
      <c r="D210" s="45" t="s">
        <v>316</v>
      </c>
      <c r="E210" s="22" t="s">
        <v>300</v>
      </c>
      <c r="F210" s="23" t="s">
        <v>301</v>
      </c>
      <c r="G210" s="22" t="s">
        <v>302</v>
      </c>
      <c r="H210" s="23" t="s">
        <v>268</v>
      </c>
      <c r="I210" s="22" t="s">
        <v>39</v>
      </c>
      <c r="J210" s="23" t="s">
        <v>30</v>
      </c>
      <c r="K210" s="22" t="s">
        <v>31</v>
      </c>
      <c r="L210" s="25">
        <v>45</v>
      </c>
      <c r="M210" s="30">
        <v>0</v>
      </c>
      <c r="N210" s="31">
        <v>23776</v>
      </c>
      <c r="O210" s="26">
        <f t="shared" si="3"/>
        <v>0</v>
      </c>
    </row>
    <row r="211" spans="1:15" x14ac:dyDescent="0.25">
      <c r="A211" s="27"/>
      <c r="B211" s="29"/>
      <c r="C211" s="47"/>
      <c r="D211" s="37" t="s">
        <v>317</v>
      </c>
      <c r="E211" s="23" t="s">
        <v>318</v>
      </c>
      <c r="F211" s="37" t="s">
        <v>319</v>
      </c>
      <c r="G211" s="23" t="s">
        <v>320</v>
      </c>
      <c r="H211" s="37" t="s">
        <v>225</v>
      </c>
      <c r="I211" s="23" t="s">
        <v>263</v>
      </c>
      <c r="J211" s="37" t="s">
        <v>30</v>
      </c>
      <c r="K211" s="23" t="s">
        <v>31</v>
      </c>
      <c r="L211" s="38">
        <v>46</v>
      </c>
      <c r="M211" s="25">
        <v>0</v>
      </c>
      <c r="N211" s="38">
        <v>23776</v>
      </c>
      <c r="O211" s="26">
        <f t="shared" si="3"/>
        <v>0</v>
      </c>
    </row>
    <row r="212" spans="1:15" x14ac:dyDescent="0.25">
      <c r="A212" s="27"/>
      <c r="B212" s="29"/>
      <c r="C212" s="85">
        <v>46217</v>
      </c>
      <c r="D212" s="40" t="s">
        <v>321</v>
      </c>
      <c r="E212" s="23" t="s">
        <v>304</v>
      </c>
      <c r="F212" s="40" t="s">
        <v>305</v>
      </c>
      <c r="G212" s="23" t="s">
        <v>306</v>
      </c>
      <c r="H212" s="40" t="s">
        <v>225</v>
      </c>
      <c r="I212" s="23" t="s">
        <v>68</v>
      </c>
      <c r="J212" s="40" t="s">
        <v>28</v>
      </c>
      <c r="K212" s="23" t="s">
        <v>29</v>
      </c>
      <c r="L212" s="41">
        <v>2520</v>
      </c>
      <c r="M212" s="25">
        <v>32914829</v>
      </c>
      <c r="N212" s="41">
        <v>31702</v>
      </c>
      <c r="O212" s="26">
        <f t="shared" si="3"/>
        <v>36535460.190000005</v>
      </c>
    </row>
    <row r="213" spans="1:15" x14ac:dyDescent="0.25">
      <c r="A213" s="27"/>
      <c r="B213" s="29"/>
      <c r="C213" s="21">
        <v>46207</v>
      </c>
      <c r="D213" s="20" t="s">
        <v>322</v>
      </c>
      <c r="E213" s="20" t="s">
        <v>323</v>
      </c>
      <c r="F213" s="20" t="s">
        <v>324</v>
      </c>
      <c r="G213" s="20" t="s">
        <v>325</v>
      </c>
      <c r="H213" s="20" t="s">
        <v>225</v>
      </c>
      <c r="I213" s="20" t="s">
        <v>326</v>
      </c>
      <c r="J213" s="42" t="s">
        <v>28</v>
      </c>
      <c r="K213" s="23" t="s">
        <v>29</v>
      </c>
      <c r="L213" s="24">
        <v>36</v>
      </c>
      <c r="M213" s="25">
        <v>503798</v>
      </c>
      <c r="N213" s="24">
        <v>15851</v>
      </c>
      <c r="O213" s="26">
        <f t="shared" si="3"/>
        <v>559215.78</v>
      </c>
    </row>
    <row r="214" spans="1:15" x14ac:dyDescent="0.25">
      <c r="A214" s="27"/>
      <c r="B214" s="29"/>
      <c r="C214" s="43"/>
      <c r="D214" s="29"/>
      <c r="E214" s="29"/>
      <c r="F214" s="29"/>
      <c r="G214" s="29"/>
      <c r="H214" s="29"/>
      <c r="I214" s="29"/>
      <c r="J214" s="23" t="s">
        <v>30</v>
      </c>
      <c r="K214" s="22" t="s">
        <v>31</v>
      </c>
      <c r="L214" s="25">
        <v>108</v>
      </c>
      <c r="M214" s="30">
        <v>2267093</v>
      </c>
      <c r="N214" s="31">
        <v>23776</v>
      </c>
      <c r="O214" s="26">
        <f t="shared" si="3"/>
        <v>2516473.2300000004</v>
      </c>
    </row>
    <row r="215" spans="1:15" x14ac:dyDescent="0.25">
      <c r="A215" s="27"/>
      <c r="B215" s="29"/>
      <c r="C215" s="43"/>
      <c r="D215" s="36"/>
      <c r="E215" s="36"/>
      <c r="F215" s="36"/>
      <c r="G215" s="36"/>
      <c r="H215" s="36"/>
      <c r="I215" s="36"/>
      <c r="J215" s="22" t="s">
        <v>32</v>
      </c>
      <c r="K215" s="23" t="s">
        <v>33</v>
      </c>
      <c r="L215" s="30">
        <v>48</v>
      </c>
      <c r="M215" s="25">
        <v>1938425</v>
      </c>
      <c r="N215" s="30">
        <v>45741</v>
      </c>
      <c r="O215" s="26">
        <f t="shared" si="3"/>
        <v>2151651.75</v>
      </c>
    </row>
    <row r="216" spans="1:15" x14ac:dyDescent="0.25">
      <c r="A216" s="27"/>
      <c r="B216" s="29"/>
      <c r="C216" s="43"/>
      <c r="D216" s="20" t="s">
        <v>327</v>
      </c>
      <c r="E216" s="20" t="s">
        <v>328</v>
      </c>
      <c r="F216" s="20" t="s">
        <v>329</v>
      </c>
      <c r="G216" s="20" t="s">
        <v>330</v>
      </c>
      <c r="H216" s="20" t="s">
        <v>225</v>
      </c>
      <c r="I216" s="50" t="s">
        <v>294</v>
      </c>
      <c r="J216" s="23" t="s">
        <v>240</v>
      </c>
      <c r="K216" s="22" t="s">
        <v>241</v>
      </c>
      <c r="L216" s="25">
        <v>12</v>
      </c>
      <c r="M216" s="30">
        <v>352512</v>
      </c>
      <c r="N216" s="31">
        <v>32607</v>
      </c>
      <c r="O216" s="26">
        <f t="shared" si="3"/>
        <v>391288.32000000001</v>
      </c>
    </row>
    <row r="217" spans="1:15" x14ac:dyDescent="0.25">
      <c r="A217" s="27"/>
      <c r="B217" s="29"/>
      <c r="C217" s="43"/>
      <c r="D217" s="29"/>
      <c r="E217" s="29"/>
      <c r="F217" s="29"/>
      <c r="G217" s="29"/>
      <c r="H217" s="29"/>
      <c r="I217" s="51"/>
      <c r="J217" s="56" t="s">
        <v>242</v>
      </c>
      <c r="K217" s="23" t="s">
        <v>243</v>
      </c>
      <c r="L217" s="30">
        <v>12</v>
      </c>
      <c r="M217" s="25">
        <v>352512</v>
      </c>
      <c r="N217" s="30">
        <v>32607</v>
      </c>
      <c r="O217" s="26">
        <f t="shared" si="3"/>
        <v>391288.32000000001</v>
      </c>
    </row>
    <row r="218" spans="1:15" x14ac:dyDescent="0.25">
      <c r="A218" s="27"/>
      <c r="B218" s="29"/>
      <c r="C218" s="43"/>
      <c r="D218" s="29"/>
      <c r="E218" s="29"/>
      <c r="F218" s="29"/>
      <c r="G218" s="29"/>
      <c r="H218" s="29"/>
      <c r="I218" s="51"/>
      <c r="J218" s="23" t="s">
        <v>246</v>
      </c>
      <c r="K218" s="22" t="s">
        <v>247</v>
      </c>
      <c r="L218" s="25">
        <v>24</v>
      </c>
      <c r="M218" s="30">
        <v>425952</v>
      </c>
      <c r="N218" s="31">
        <v>19700</v>
      </c>
      <c r="O218" s="26">
        <f t="shared" si="3"/>
        <v>472806.72000000003</v>
      </c>
    </row>
    <row r="219" spans="1:15" x14ac:dyDescent="0.25">
      <c r="A219" s="27"/>
      <c r="B219" s="29"/>
      <c r="C219" s="43"/>
      <c r="D219" s="29"/>
      <c r="E219" s="29"/>
      <c r="F219" s="29"/>
      <c r="G219" s="29"/>
      <c r="H219" s="29"/>
      <c r="I219" s="51"/>
      <c r="J219" s="56" t="s">
        <v>257</v>
      </c>
      <c r="K219" s="23" t="s">
        <v>258</v>
      </c>
      <c r="L219" s="30">
        <v>24</v>
      </c>
      <c r="M219" s="25">
        <v>425952</v>
      </c>
      <c r="N219" s="30">
        <v>19700</v>
      </c>
      <c r="O219" s="26">
        <f t="shared" si="3"/>
        <v>472806.72000000003</v>
      </c>
    </row>
    <row r="220" spans="1:15" x14ac:dyDescent="0.25">
      <c r="A220" s="27"/>
      <c r="B220" s="29"/>
      <c r="C220" s="43"/>
      <c r="D220" s="29"/>
      <c r="E220" s="29"/>
      <c r="F220" s="29"/>
      <c r="G220" s="29"/>
      <c r="H220" s="29"/>
      <c r="I220" s="51"/>
      <c r="J220" s="23" t="s">
        <v>248</v>
      </c>
      <c r="K220" s="22" t="s">
        <v>249</v>
      </c>
      <c r="L220" s="25">
        <v>24</v>
      </c>
      <c r="M220" s="30">
        <v>425952</v>
      </c>
      <c r="N220" s="31">
        <v>19700</v>
      </c>
      <c r="O220" s="26">
        <f t="shared" si="3"/>
        <v>472806.72000000003</v>
      </c>
    </row>
    <row r="221" spans="1:15" x14ac:dyDescent="0.25">
      <c r="A221" s="27"/>
      <c r="B221" s="29"/>
      <c r="C221" s="43"/>
      <c r="D221" s="29"/>
      <c r="E221" s="29"/>
      <c r="F221" s="29"/>
      <c r="G221" s="29"/>
      <c r="H221" s="29"/>
      <c r="I221" s="51"/>
      <c r="J221" s="56" t="s">
        <v>202</v>
      </c>
      <c r="K221" s="23" t="s">
        <v>203</v>
      </c>
      <c r="L221" s="30">
        <v>24</v>
      </c>
      <c r="M221" s="25">
        <v>425952</v>
      </c>
      <c r="N221" s="30">
        <v>19700</v>
      </c>
      <c r="O221" s="26">
        <f t="shared" si="3"/>
        <v>472806.72000000003</v>
      </c>
    </row>
    <row r="222" spans="1:15" x14ac:dyDescent="0.25">
      <c r="A222" s="27"/>
      <c r="B222" s="29"/>
      <c r="C222" s="43"/>
      <c r="D222" s="36"/>
      <c r="E222" s="36"/>
      <c r="F222" s="36"/>
      <c r="G222" s="36"/>
      <c r="H222" s="36"/>
      <c r="I222" s="53"/>
      <c r="J222" s="23" t="s">
        <v>53</v>
      </c>
      <c r="K222" s="22" t="s">
        <v>54</v>
      </c>
      <c r="L222" s="25">
        <v>60</v>
      </c>
      <c r="M222" s="30">
        <v>924120</v>
      </c>
      <c r="N222" s="31">
        <v>17096</v>
      </c>
      <c r="O222" s="26">
        <f t="shared" si="3"/>
        <v>1025773.2000000001</v>
      </c>
    </row>
    <row r="223" spans="1:15" x14ac:dyDescent="0.25">
      <c r="A223" s="27"/>
      <c r="B223" s="29"/>
      <c r="C223" s="43"/>
      <c r="D223" s="20" t="s">
        <v>331</v>
      </c>
      <c r="E223" s="20" t="s">
        <v>332</v>
      </c>
      <c r="F223" s="20" t="s">
        <v>333</v>
      </c>
      <c r="G223" s="20" t="s">
        <v>334</v>
      </c>
      <c r="H223" s="20" t="s">
        <v>225</v>
      </c>
      <c r="I223" s="20" t="s">
        <v>172</v>
      </c>
      <c r="J223" s="22" t="s">
        <v>240</v>
      </c>
      <c r="K223" s="23" t="s">
        <v>241</v>
      </c>
      <c r="L223" s="30">
        <v>12</v>
      </c>
      <c r="M223" s="25">
        <v>345462</v>
      </c>
      <c r="N223" s="30">
        <v>32607</v>
      </c>
      <c r="O223" s="26">
        <f t="shared" si="3"/>
        <v>383462.82</v>
      </c>
    </row>
    <row r="224" spans="1:15" x14ac:dyDescent="0.25">
      <c r="A224" s="27"/>
      <c r="B224" s="29"/>
      <c r="C224" s="43"/>
      <c r="D224" s="29"/>
      <c r="E224" s="29"/>
      <c r="F224" s="29"/>
      <c r="G224" s="29"/>
      <c r="H224" s="29"/>
      <c r="I224" s="29"/>
      <c r="J224" s="23" t="s">
        <v>233</v>
      </c>
      <c r="K224" s="22" t="s">
        <v>234</v>
      </c>
      <c r="L224" s="25">
        <v>12</v>
      </c>
      <c r="M224" s="30">
        <v>345462</v>
      </c>
      <c r="N224" s="31">
        <v>32607</v>
      </c>
      <c r="O224" s="26">
        <f t="shared" si="3"/>
        <v>383462.82</v>
      </c>
    </row>
    <row r="225" spans="1:15" x14ac:dyDescent="0.25">
      <c r="A225" s="27"/>
      <c r="B225" s="29"/>
      <c r="C225" s="43"/>
      <c r="D225" s="29"/>
      <c r="E225" s="29"/>
      <c r="F225" s="29"/>
      <c r="G225" s="29"/>
      <c r="H225" s="29"/>
      <c r="I225" s="29"/>
      <c r="J225" s="22" t="s">
        <v>242</v>
      </c>
      <c r="K225" s="23" t="s">
        <v>243</v>
      </c>
      <c r="L225" s="30">
        <v>12</v>
      </c>
      <c r="M225" s="25">
        <v>345462</v>
      </c>
      <c r="N225" s="30">
        <v>32607</v>
      </c>
      <c r="O225" s="26">
        <f t="shared" si="3"/>
        <v>383462.82</v>
      </c>
    </row>
    <row r="226" spans="1:15" x14ac:dyDescent="0.25">
      <c r="A226" s="27"/>
      <c r="B226" s="29"/>
      <c r="C226" s="43"/>
      <c r="D226" s="29"/>
      <c r="E226" s="29"/>
      <c r="F226" s="29"/>
      <c r="G226" s="29"/>
      <c r="H226" s="29"/>
      <c r="I226" s="29"/>
      <c r="J226" s="23" t="s">
        <v>246</v>
      </c>
      <c r="K226" s="22" t="s">
        <v>247</v>
      </c>
      <c r="L226" s="25">
        <v>24</v>
      </c>
      <c r="M226" s="30">
        <v>417433</v>
      </c>
      <c r="N226" s="31">
        <v>19700</v>
      </c>
      <c r="O226" s="26">
        <f t="shared" si="3"/>
        <v>463350.63000000006</v>
      </c>
    </row>
    <row r="227" spans="1:15" x14ac:dyDescent="0.25">
      <c r="A227" s="27"/>
      <c r="B227" s="29"/>
      <c r="C227" s="43"/>
      <c r="D227" s="29"/>
      <c r="E227" s="29"/>
      <c r="F227" s="29"/>
      <c r="G227" s="29"/>
      <c r="H227" s="29"/>
      <c r="I227" s="29"/>
      <c r="J227" s="22" t="s">
        <v>257</v>
      </c>
      <c r="K227" s="23" t="s">
        <v>258</v>
      </c>
      <c r="L227" s="30">
        <v>24</v>
      </c>
      <c r="M227" s="25">
        <v>417433</v>
      </c>
      <c r="N227" s="30">
        <v>19700</v>
      </c>
      <c r="O227" s="26">
        <f t="shared" si="3"/>
        <v>463350.63000000006</v>
      </c>
    </row>
    <row r="228" spans="1:15" x14ac:dyDescent="0.25">
      <c r="A228" s="27"/>
      <c r="B228" s="29"/>
      <c r="C228" s="43"/>
      <c r="D228" s="29"/>
      <c r="E228" s="29"/>
      <c r="F228" s="29"/>
      <c r="G228" s="29"/>
      <c r="H228" s="29"/>
      <c r="I228" s="29"/>
      <c r="J228" s="45" t="s">
        <v>248</v>
      </c>
      <c r="K228" s="22" t="s">
        <v>249</v>
      </c>
      <c r="L228" s="25">
        <v>24</v>
      </c>
      <c r="M228" s="30">
        <v>417433</v>
      </c>
      <c r="N228" s="31">
        <v>19700</v>
      </c>
      <c r="O228" s="26">
        <f t="shared" si="3"/>
        <v>463350.63000000006</v>
      </c>
    </row>
    <row r="229" spans="1:15" x14ac:dyDescent="0.25">
      <c r="A229" s="27"/>
      <c r="B229" s="29"/>
      <c r="C229" s="43"/>
      <c r="D229" s="29"/>
      <c r="E229" s="29"/>
      <c r="F229" s="29"/>
      <c r="G229" s="29"/>
      <c r="H229" s="29"/>
      <c r="I229" s="29"/>
      <c r="J229" s="22" t="s">
        <v>202</v>
      </c>
      <c r="K229" s="23" t="s">
        <v>203</v>
      </c>
      <c r="L229" s="30">
        <v>24</v>
      </c>
      <c r="M229" s="25">
        <v>417433</v>
      </c>
      <c r="N229" s="30">
        <v>19700</v>
      </c>
      <c r="O229" s="26">
        <f t="shared" si="3"/>
        <v>463350.63000000006</v>
      </c>
    </row>
    <row r="230" spans="1:15" x14ac:dyDescent="0.25">
      <c r="A230" s="27"/>
      <c r="B230" s="29"/>
      <c r="C230" s="43"/>
      <c r="D230" s="29"/>
      <c r="E230" s="29"/>
      <c r="F230" s="29"/>
      <c r="G230" s="29"/>
      <c r="H230" s="29"/>
      <c r="I230" s="29"/>
      <c r="J230" s="45" t="s">
        <v>28</v>
      </c>
      <c r="K230" s="22" t="s">
        <v>29</v>
      </c>
      <c r="L230" s="25">
        <v>60</v>
      </c>
      <c r="M230" s="30">
        <v>839664</v>
      </c>
      <c r="N230" s="31">
        <v>15851</v>
      </c>
      <c r="O230" s="26">
        <f t="shared" si="3"/>
        <v>932027.04</v>
      </c>
    </row>
    <row r="231" spans="1:15" x14ac:dyDescent="0.25">
      <c r="A231" s="27"/>
      <c r="B231" s="29"/>
      <c r="C231" s="43"/>
      <c r="D231" s="29"/>
      <c r="E231" s="29"/>
      <c r="F231" s="29"/>
      <c r="G231" s="29"/>
      <c r="H231" s="29"/>
      <c r="I231" s="29"/>
      <c r="J231" s="22" t="s">
        <v>30</v>
      </c>
      <c r="K231" s="23" t="s">
        <v>31</v>
      </c>
      <c r="L231" s="30">
        <v>60</v>
      </c>
      <c r="M231" s="25">
        <v>1259496</v>
      </c>
      <c r="N231" s="30">
        <v>23776</v>
      </c>
      <c r="O231" s="26">
        <f t="shared" si="3"/>
        <v>1398040.56</v>
      </c>
    </row>
    <row r="232" spans="1:15" x14ac:dyDescent="0.25">
      <c r="A232" s="27"/>
      <c r="B232" s="29"/>
      <c r="C232" s="43"/>
      <c r="D232" s="29"/>
      <c r="E232" s="29"/>
      <c r="F232" s="29"/>
      <c r="G232" s="29"/>
      <c r="H232" s="29"/>
      <c r="I232" s="29"/>
      <c r="J232" s="45" t="s">
        <v>32</v>
      </c>
      <c r="K232" s="22" t="s">
        <v>33</v>
      </c>
      <c r="L232" s="25">
        <v>30</v>
      </c>
      <c r="M232" s="30">
        <v>1211515</v>
      </c>
      <c r="N232" s="31">
        <v>45741</v>
      </c>
      <c r="O232" s="26">
        <f t="shared" si="3"/>
        <v>1344781.6500000001</v>
      </c>
    </row>
    <row r="233" spans="1:15" x14ac:dyDescent="0.25">
      <c r="A233" s="27"/>
      <c r="B233" s="29"/>
      <c r="C233" s="47"/>
      <c r="D233" s="36"/>
      <c r="E233" s="36"/>
      <c r="F233" s="36"/>
      <c r="G233" s="36"/>
      <c r="H233" s="36"/>
      <c r="I233" s="36"/>
      <c r="J233" s="37" t="s">
        <v>53</v>
      </c>
      <c r="K233" s="23" t="s">
        <v>54</v>
      </c>
      <c r="L233" s="38">
        <v>60</v>
      </c>
      <c r="M233" s="25">
        <v>905638</v>
      </c>
      <c r="N233" s="38">
        <v>17096</v>
      </c>
      <c r="O233" s="26">
        <f t="shared" si="3"/>
        <v>1005258.18</v>
      </c>
    </row>
    <row r="234" spans="1:15" x14ac:dyDescent="0.25">
      <c r="A234" s="27"/>
      <c r="B234" s="29"/>
      <c r="C234" s="21">
        <v>46206</v>
      </c>
      <c r="D234" s="20" t="s">
        <v>335</v>
      </c>
      <c r="E234" s="20" t="s">
        <v>336</v>
      </c>
      <c r="F234" s="20" t="s">
        <v>337</v>
      </c>
      <c r="G234" s="20" t="s">
        <v>338</v>
      </c>
      <c r="H234" s="20" t="s">
        <v>225</v>
      </c>
      <c r="I234" s="20" t="s">
        <v>68</v>
      </c>
      <c r="J234" s="46" t="s">
        <v>28</v>
      </c>
      <c r="K234" s="23" t="s">
        <v>29</v>
      </c>
      <c r="L234" s="44">
        <v>756</v>
      </c>
      <c r="M234" s="25">
        <v>10075968</v>
      </c>
      <c r="N234" s="44">
        <v>31702</v>
      </c>
      <c r="O234" s="26">
        <f t="shared" si="3"/>
        <v>11184324.48</v>
      </c>
    </row>
    <row r="235" spans="1:15" x14ac:dyDescent="0.25">
      <c r="A235" s="27"/>
      <c r="B235" s="36"/>
      <c r="C235" s="47"/>
      <c r="D235" s="36"/>
      <c r="E235" s="36"/>
      <c r="F235" s="36"/>
      <c r="G235" s="36"/>
      <c r="H235" s="36"/>
      <c r="I235" s="36"/>
      <c r="J235" s="23" t="s">
        <v>30</v>
      </c>
      <c r="K235" s="22" t="s">
        <v>31</v>
      </c>
      <c r="L235" s="25">
        <v>504</v>
      </c>
      <c r="M235" s="30">
        <v>10075968</v>
      </c>
      <c r="N235" s="31">
        <v>47552</v>
      </c>
      <c r="O235" s="26">
        <f t="shared" si="3"/>
        <v>11184324.48</v>
      </c>
    </row>
    <row r="236" spans="1:15" x14ac:dyDescent="0.25">
      <c r="A236" s="27"/>
      <c r="B236" s="20" t="s">
        <v>339</v>
      </c>
      <c r="C236" s="21">
        <v>46234</v>
      </c>
      <c r="D236" s="20" t="s">
        <v>340</v>
      </c>
      <c r="E236" s="20" t="s">
        <v>341</v>
      </c>
      <c r="F236" s="20" t="s">
        <v>342</v>
      </c>
      <c r="G236" s="20" t="s">
        <v>343</v>
      </c>
      <c r="H236" s="20" t="s">
        <v>344</v>
      </c>
      <c r="I236" s="20" t="s">
        <v>68</v>
      </c>
      <c r="J236" s="22" t="s">
        <v>185</v>
      </c>
      <c r="K236" s="23" t="s">
        <v>186</v>
      </c>
      <c r="L236" s="30">
        <v>12</v>
      </c>
      <c r="M236" s="25">
        <v>97920</v>
      </c>
      <c r="N236" s="30">
        <v>9058</v>
      </c>
      <c r="O236" s="26">
        <f t="shared" si="3"/>
        <v>108691.20000000001</v>
      </c>
    </row>
    <row r="237" spans="1:15" x14ac:dyDescent="0.25">
      <c r="A237" s="27"/>
      <c r="B237" s="29"/>
      <c r="C237" s="43"/>
      <c r="D237" s="29"/>
      <c r="E237" s="29"/>
      <c r="F237" s="29"/>
      <c r="G237" s="29"/>
      <c r="H237" s="29"/>
      <c r="I237" s="29"/>
      <c r="J237" s="23" t="s">
        <v>240</v>
      </c>
      <c r="K237" s="22" t="s">
        <v>241</v>
      </c>
      <c r="L237" s="25">
        <v>12</v>
      </c>
      <c r="M237" s="30">
        <v>352512</v>
      </c>
      <c r="N237" s="31">
        <v>32607</v>
      </c>
      <c r="O237" s="26">
        <f t="shared" si="3"/>
        <v>391288.32000000001</v>
      </c>
    </row>
    <row r="238" spans="1:15" x14ac:dyDescent="0.25">
      <c r="A238" s="27"/>
      <c r="B238" s="29"/>
      <c r="C238" s="43"/>
      <c r="D238" s="29"/>
      <c r="E238" s="29"/>
      <c r="F238" s="29"/>
      <c r="G238" s="29"/>
      <c r="H238" s="29"/>
      <c r="I238" s="29"/>
      <c r="J238" s="22" t="s">
        <v>229</v>
      </c>
      <c r="K238" s="23" t="s">
        <v>230</v>
      </c>
      <c r="L238" s="30">
        <v>12</v>
      </c>
      <c r="M238" s="25">
        <v>352512</v>
      </c>
      <c r="N238" s="30">
        <v>32607</v>
      </c>
      <c r="O238" s="26">
        <f t="shared" si="3"/>
        <v>391288.32000000001</v>
      </c>
    </row>
    <row r="239" spans="1:15" x14ac:dyDescent="0.25">
      <c r="A239" s="27"/>
      <c r="B239" s="29"/>
      <c r="C239" s="43"/>
      <c r="D239" s="29"/>
      <c r="E239" s="29"/>
      <c r="F239" s="29"/>
      <c r="G239" s="29"/>
      <c r="H239" s="29"/>
      <c r="I239" s="29"/>
      <c r="J239" s="45" t="s">
        <v>231</v>
      </c>
      <c r="K239" s="22" t="s">
        <v>232</v>
      </c>
      <c r="L239" s="25">
        <v>12</v>
      </c>
      <c r="M239" s="44">
        <v>352512</v>
      </c>
      <c r="N239" s="31">
        <v>32607</v>
      </c>
      <c r="O239" s="26">
        <f t="shared" si="3"/>
        <v>391288.32000000001</v>
      </c>
    </row>
    <row r="240" spans="1:15" x14ac:dyDescent="0.25">
      <c r="A240" s="27"/>
      <c r="B240" s="29"/>
      <c r="C240" s="43"/>
      <c r="D240" s="29"/>
      <c r="E240" s="29"/>
      <c r="F240" s="29"/>
      <c r="G240" s="29"/>
      <c r="H240" s="29"/>
      <c r="I240" s="29"/>
      <c r="J240" s="46" t="s">
        <v>233</v>
      </c>
      <c r="K240" s="23" t="s">
        <v>234</v>
      </c>
      <c r="L240" s="44">
        <v>12</v>
      </c>
      <c r="M240" s="25">
        <v>352512</v>
      </c>
      <c r="N240" s="44">
        <v>32607</v>
      </c>
      <c r="O240" s="26">
        <f t="shared" si="3"/>
        <v>391288.32000000001</v>
      </c>
    </row>
    <row r="241" spans="1:15" x14ac:dyDescent="0.25">
      <c r="A241" s="27"/>
      <c r="B241" s="29"/>
      <c r="C241" s="43"/>
      <c r="D241" s="36"/>
      <c r="E241" s="36"/>
      <c r="F241" s="36"/>
      <c r="G241" s="36"/>
      <c r="H241" s="36"/>
      <c r="I241" s="36"/>
      <c r="J241" s="45" t="s">
        <v>242</v>
      </c>
      <c r="K241" s="46" t="s">
        <v>243</v>
      </c>
      <c r="L241" s="25">
        <v>12</v>
      </c>
      <c r="M241" s="44">
        <v>352512</v>
      </c>
      <c r="N241" s="31">
        <v>32607</v>
      </c>
      <c r="O241" s="26">
        <f t="shared" si="3"/>
        <v>391288.32000000001</v>
      </c>
    </row>
    <row r="242" spans="1:15" x14ac:dyDescent="0.25">
      <c r="A242" s="27"/>
      <c r="B242" s="29"/>
      <c r="C242" s="43"/>
      <c r="D242" s="20" t="s">
        <v>345</v>
      </c>
      <c r="E242" s="20" t="s">
        <v>169</v>
      </c>
      <c r="F242" s="20" t="s">
        <v>170</v>
      </c>
      <c r="G242" s="20" t="s">
        <v>171</v>
      </c>
      <c r="H242" s="20" t="s">
        <v>59</v>
      </c>
      <c r="I242" s="20" t="s">
        <v>172</v>
      </c>
      <c r="J242" s="46" t="s">
        <v>32</v>
      </c>
      <c r="K242" s="23" t="s">
        <v>33</v>
      </c>
      <c r="L242" s="44">
        <v>60</v>
      </c>
      <c r="M242" s="25">
        <v>2423031</v>
      </c>
      <c r="N242" s="44">
        <v>45741</v>
      </c>
      <c r="O242" s="26">
        <f t="shared" si="3"/>
        <v>2689564.41</v>
      </c>
    </row>
    <row r="243" spans="1:15" x14ac:dyDescent="0.25">
      <c r="A243" s="27"/>
      <c r="B243" s="29"/>
      <c r="C243" s="47"/>
      <c r="D243" s="36"/>
      <c r="E243" s="36"/>
      <c r="F243" s="36"/>
      <c r="G243" s="36"/>
      <c r="H243" s="36"/>
      <c r="I243" s="36"/>
      <c r="J243" s="23" t="s">
        <v>53</v>
      </c>
      <c r="K243" s="48" t="s">
        <v>54</v>
      </c>
      <c r="L243" s="25">
        <v>180</v>
      </c>
      <c r="M243" s="49">
        <v>2716913</v>
      </c>
      <c r="N243" s="31">
        <v>17096</v>
      </c>
      <c r="O243" s="26">
        <f t="shared" si="3"/>
        <v>3015773.43</v>
      </c>
    </row>
    <row r="244" spans="1:15" x14ac:dyDescent="0.25">
      <c r="A244" s="27"/>
      <c r="B244" s="29"/>
      <c r="C244" s="21">
        <v>46233</v>
      </c>
      <c r="D244" s="20" t="s">
        <v>346</v>
      </c>
      <c r="E244" s="20" t="s">
        <v>347</v>
      </c>
      <c r="F244" s="20" t="s">
        <v>170</v>
      </c>
      <c r="G244" s="20" t="s">
        <v>348</v>
      </c>
      <c r="H244" s="20" t="s">
        <v>349</v>
      </c>
      <c r="I244" s="20" t="s">
        <v>172</v>
      </c>
      <c r="J244" s="23" t="s">
        <v>155</v>
      </c>
      <c r="K244" s="46" t="s">
        <v>156</v>
      </c>
      <c r="L244" s="25">
        <v>12</v>
      </c>
      <c r="M244" s="44">
        <v>260712</v>
      </c>
      <c r="N244" s="31">
        <v>24116</v>
      </c>
      <c r="O244" s="26">
        <f t="shared" si="3"/>
        <v>289390.32</v>
      </c>
    </row>
    <row r="245" spans="1:15" x14ac:dyDescent="0.25">
      <c r="A245" s="27"/>
      <c r="B245" s="29"/>
      <c r="C245" s="43"/>
      <c r="D245" s="29"/>
      <c r="E245" s="29"/>
      <c r="F245" s="29"/>
      <c r="G245" s="29"/>
      <c r="H245" s="29"/>
      <c r="I245" s="29"/>
      <c r="J245" s="54" t="s">
        <v>166</v>
      </c>
      <c r="K245" s="23" t="s">
        <v>167</v>
      </c>
      <c r="L245" s="44">
        <v>12</v>
      </c>
      <c r="M245" s="25">
        <v>199512</v>
      </c>
      <c r="N245" s="44">
        <v>18455</v>
      </c>
      <c r="O245" s="26">
        <f t="shared" si="3"/>
        <v>221458.32</v>
      </c>
    </row>
    <row r="246" spans="1:15" x14ac:dyDescent="0.25">
      <c r="A246" s="27"/>
      <c r="B246" s="29"/>
      <c r="C246" s="43"/>
      <c r="D246" s="29"/>
      <c r="E246" s="29"/>
      <c r="F246" s="29"/>
      <c r="G246" s="29"/>
      <c r="H246" s="29"/>
      <c r="I246" s="29"/>
      <c r="J246" s="23" t="s">
        <v>183</v>
      </c>
      <c r="K246" s="46" t="s">
        <v>184</v>
      </c>
      <c r="L246" s="25">
        <v>12</v>
      </c>
      <c r="M246" s="44">
        <v>199512</v>
      </c>
      <c r="N246" s="31">
        <v>18455</v>
      </c>
      <c r="O246" s="26">
        <f t="shared" si="3"/>
        <v>221458.32</v>
      </c>
    </row>
    <row r="247" spans="1:15" x14ac:dyDescent="0.25">
      <c r="A247" s="27"/>
      <c r="B247" s="29"/>
      <c r="C247" s="43"/>
      <c r="D247" s="29"/>
      <c r="E247" s="29"/>
      <c r="F247" s="29"/>
      <c r="G247" s="29"/>
      <c r="H247" s="29"/>
      <c r="I247" s="29"/>
      <c r="J247" s="54" t="s">
        <v>173</v>
      </c>
      <c r="K247" s="23" t="s">
        <v>174</v>
      </c>
      <c r="L247" s="44">
        <v>6</v>
      </c>
      <c r="M247" s="25">
        <v>99756</v>
      </c>
      <c r="N247" s="44">
        <v>18455</v>
      </c>
      <c r="O247" s="26">
        <f t="shared" si="3"/>
        <v>110729.16</v>
      </c>
    </row>
    <row r="248" spans="1:15" x14ac:dyDescent="0.25">
      <c r="A248" s="27"/>
      <c r="B248" s="29"/>
      <c r="C248" s="43"/>
      <c r="D248" s="29"/>
      <c r="E248" s="29"/>
      <c r="F248" s="29"/>
      <c r="G248" s="29"/>
      <c r="H248" s="29"/>
      <c r="I248" s="29"/>
      <c r="J248" s="23" t="s">
        <v>240</v>
      </c>
      <c r="K248" s="46" t="s">
        <v>241</v>
      </c>
      <c r="L248" s="25">
        <v>12</v>
      </c>
      <c r="M248" s="44">
        <v>352512</v>
      </c>
      <c r="N248" s="31">
        <v>32607</v>
      </c>
      <c r="O248" s="26">
        <f t="shared" si="3"/>
        <v>391288.32000000001</v>
      </c>
    </row>
    <row r="249" spans="1:15" x14ac:dyDescent="0.25">
      <c r="A249" s="27"/>
      <c r="B249" s="29"/>
      <c r="C249" s="43"/>
      <c r="D249" s="29"/>
      <c r="E249" s="29"/>
      <c r="F249" s="29"/>
      <c r="G249" s="29"/>
      <c r="H249" s="29"/>
      <c r="I249" s="29"/>
      <c r="J249" s="54" t="s">
        <v>229</v>
      </c>
      <c r="K249" s="23" t="s">
        <v>230</v>
      </c>
      <c r="L249" s="44">
        <v>12</v>
      </c>
      <c r="M249" s="25">
        <v>352512</v>
      </c>
      <c r="N249" s="44">
        <v>32607</v>
      </c>
      <c r="O249" s="26">
        <f t="shared" si="3"/>
        <v>391288.32000000001</v>
      </c>
    </row>
    <row r="250" spans="1:15" x14ac:dyDescent="0.25">
      <c r="A250" s="27"/>
      <c r="B250" s="29"/>
      <c r="C250" s="43"/>
      <c r="D250" s="29"/>
      <c r="E250" s="29"/>
      <c r="F250" s="29"/>
      <c r="G250" s="29"/>
      <c r="H250" s="29"/>
      <c r="I250" s="29"/>
      <c r="J250" s="23" t="s">
        <v>231</v>
      </c>
      <c r="K250" s="86" t="s">
        <v>232</v>
      </c>
      <c r="L250" s="25">
        <v>12</v>
      </c>
      <c r="M250" s="87">
        <v>352512</v>
      </c>
      <c r="N250" s="31">
        <v>32607</v>
      </c>
      <c r="O250" s="26">
        <f t="shared" si="3"/>
        <v>391288.32000000001</v>
      </c>
    </row>
    <row r="251" spans="1:15" x14ac:dyDescent="0.25">
      <c r="A251" s="27"/>
      <c r="B251" s="29"/>
      <c r="C251" s="43"/>
      <c r="D251" s="29"/>
      <c r="E251" s="29"/>
      <c r="F251" s="29"/>
      <c r="G251" s="29"/>
      <c r="H251" s="29"/>
      <c r="I251" s="29"/>
      <c r="J251" s="88" t="s">
        <v>233</v>
      </c>
      <c r="K251" s="23" t="s">
        <v>234</v>
      </c>
      <c r="L251" s="87">
        <v>12</v>
      </c>
      <c r="M251" s="25">
        <v>352512</v>
      </c>
      <c r="N251" s="44">
        <v>32607</v>
      </c>
      <c r="O251" s="26">
        <f t="shared" si="3"/>
        <v>391288.32000000001</v>
      </c>
    </row>
    <row r="252" spans="1:15" x14ac:dyDescent="0.25">
      <c r="A252" s="27"/>
      <c r="B252" s="29"/>
      <c r="C252" s="47"/>
      <c r="D252" s="36"/>
      <c r="E252" s="36"/>
      <c r="F252" s="36"/>
      <c r="G252" s="36"/>
      <c r="H252" s="36"/>
      <c r="I252" s="36"/>
      <c r="J252" s="23" t="s">
        <v>242</v>
      </c>
      <c r="K252" s="45" t="s">
        <v>243</v>
      </c>
      <c r="L252" s="25">
        <v>12</v>
      </c>
      <c r="M252" s="89">
        <v>352512</v>
      </c>
      <c r="N252" s="31">
        <v>32607</v>
      </c>
      <c r="O252" s="26">
        <f t="shared" si="3"/>
        <v>391288.32000000001</v>
      </c>
    </row>
    <row r="253" spans="1:15" x14ac:dyDescent="0.25">
      <c r="A253" s="27"/>
      <c r="B253" s="29"/>
      <c r="C253" s="21">
        <v>46232</v>
      </c>
      <c r="D253" s="20" t="s">
        <v>350</v>
      </c>
      <c r="E253" s="20" t="s">
        <v>351</v>
      </c>
      <c r="F253" s="20" t="s">
        <v>352</v>
      </c>
      <c r="G253" s="20" t="s">
        <v>353</v>
      </c>
      <c r="H253" s="20" t="s">
        <v>354</v>
      </c>
      <c r="I253" s="20" t="s">
        <v>226</v>
      </c>
      <c r="J253" s="23" t="s">
        <v>240</v>
      </c>
      <c r="K253" s="86" t="s">
        <v>241</v>
      </c>
      <c r="L253" s="25">
        <v>12</v>
      </c>
      <c r="M253" s="87">
        <v>352512</v>
      </c>
      <c r="N253" s="31">
        <v>32607</v>
      </c>
      <c r="O253" s="26">
        <f t="shared" si="3"/>
        <v>391288.32000000001</v>
      </c>
    </row>
    <row r="254" spans="1:15" x14ac:dyDescent="0.25">
      <c r="A254" s="27"/>
      <c r="B254" s="29"/>
      <c r="C254" s="43"/>
      <c r="D254" s="29"/>
      <c r="E254" s="29"/>
      <c r="F254" s="29"/>
      <c r="G254" s="29"/>
      <c r="H254" s="29"/>
      <c r="I254" s="29"/>
      <c r="J254" s="88" t="s">
        <v>229</v>
      </c>
      <c r="K254" s="23" t="s">
        <v>230</v>
      </c>
      <c r="L254" s="87">
        <v>12</v>
      </c>
      <c r="M254" s="25">
        <v>352512</v>
      </c>
      <c r="N254" s="44">
        <v>32607</v>
      </c>
      <c r="O254" s="26">
        <f t="shared" si="3"/>
        <v>391288.32000000001</v>
      </c>
    </row>
    <row r="255" spans="1:15" x14ac:dyDescent="0.25">
      <c r="A255" s="27"/>
      <c r="B255" s="29"/>
      <c r="C255" s="43"/>
      <c r="D255" s="29"/>
      <c r="E255" s="29"/>
      <c r="F255" s="29"/>
      <c r="G255" s="29"/>
      <c r="H255" s="29"/>
      <c r="I255" s="29"/>
      <c r="J255" s="23" t="s">
        <v>231</v>
      </c>
      <c r="K255" s="86" t="s">
        <v>232</v>
      </c>
      <c r="L255" s="25">
        <v>12</v>
      </c>
      <c r="M255" s="87">
        <v>352512</v>
      </c>
      <c r="N255" s="31">
        <v>32607</v>
      </c>
      <c r="O255" s="26">
        <f t="shared" si="3"/>
        <v>391288.32000000001</v>
      </c>
    </row>
    <row r="256" spans="1:15" x14ac:dyDescent="0.25">
      <c r="A256" s="27"/>
      <c r="B256" s="29"/>
      <c r="C256" s="43"/>
      <c r="D256" s="29"/>
      <c r="E256" s="29"/>
      <c r="F256" s="29"/>
      <c r="G256" s="29"/>
      <c r="H256" s="29"/>
      <c r="I256" s="29"/>
      <c r="J256" s="88" t="s">
        <v>233</v>
      </c>
      <c r="K256" s="23" t="s">
        <v>234</v>
      </c>
      <c r="L256" s="87">
        <v>12</v>
      </c>
      <c r="M256" s="25">
        <v>352512</v>
      </c>
      <c r="N256" s="44">
        <v>32607</v>
      </c>
      <c r="O256" s="26">
        <f t="shared" si="3"/>
        <v>391288.32000000001</v>
      </c>
    </row>
    <row r="257" spans="1:15" x14ac:dyDescent="0.25">
      <c r="A257" s="27"/>
      <c r="B257" s="29"/>
      <c r="C257" s="47"/>
      <c r="D257" s="36"/>
      <c r="E257" s="36"/>
      <c r="F257" s="36"/>
      <c r="G257" s="36"/>
      <c r="H257" s="36"/>
      <c r="I257" s="36"/>
      <c r="J257" s="23" t="s">
        <v>242</v>
      </c>
      <c r="K257" s="45" t="s">
        <v>243</v>
      </c>
      <c r="L257" s="25">
        <v>12</v>
      </c>
      <c r="M257" s="89">
        <v>352512</v>
      </c>
      <c r="N257" s="31">
        <v>32607</v>
      </c>
      <c r="O257" s="26">
        <f t="shared" si="3"/>
        <v>391288.32000000001</v>
      </c>
    </row>
    <row r="258" spans="1:15" x14ac:dyDescent="0.25">
      <c r="A258" s="27"/>
      <c r="B258" s="29"/>
      <c r="C258" s="21">
        <v>46231</v>
      </c>
      <c r="D258" s="20" t="s">
        <v>355</v>
      </c>
      <c r="E258" s="20" t="s">
        <v>356</v>
      </c>
      <c r="F258" s="20" t="s">
        <v>357</v>
      </c>
      <c r="G258" s="20" t="s">
        <v>358</v>
      </c>
      <c r="H258" s="20" t="s">
        <v>359</v>
      </c>
      <c r="I258" s="20" t="s">
        <v>360</v>
      </c>
      <c r="J258" s="23" t="s">
        <v>361</v>
      </c>
      <c r="K258" s="86" t="s">
        <v>362</v>
      </c>
      <c r="L258" s="25">
        <v>3</v>
      </c>
      <c r="M258" s="87">
        <v>7650</v>
      </c>
      <c r="N258" s="31">
        <v>2831</v>
      </c>
      <c r="O258" s="26">
        <f t="shared" si="3"/>
        <v>8491.5</v>
      </c>
    </row>
    <row r="259" spans="1:15" x14ac:dyDescent="0.25">
      <c r="A259" s="27"/>
      <c r="B259" s="29"/>
      <c r="C259" s="43"/>
      <c r="D259" s="29"/>
      <c r="E259" s="29"/>
      <c r="F259" s="29"/>
      <c r="G259" s="29"/>
      <c r="H259" s="29"/>
      <c r="I259" s="29"/>
      <c r="J259" s="88" t="s">
        <v>104</v>
      </c>
      <c r="K259" s="23" t="s">
        <v>105</v>
      </c>
      <c r="L259" s="87">
        <v>6</v>
      </c>
      <c r="M259" s="25">
        <v>48960</v>
      </c>
      <c r="N259" s="44">
        <v>9058</v>
      </c>
      <c r="O259" s="26">
        <f t="shared" si="3"/>
        <v>54345.600000000006</v>
      </c>
    </row>
    <row r="260" spans="1:15" x14ac:dyDescent="0.25">
      <c r="A260" s="27"/>
      <c r="B260" s="29"/>
      <c r="C260" s="43"/>
      <c r="D260" s="29"/>
      <c r="E260" s="29"/>
      <c r="F260" s="29"/>
      <c r="G260" s="29"/>
      <c r="H260" s="29"/>
      <c r="I260" s="29"/>
      <c r="J260" s="23" t="s">
        <v>122</v>
      </c>
      <c r="K260" s="86" t="s">
        <v>123</v>
      </c>
      <c r="L260" s="25">
        <v>12</v>
      </c>
      <c r="M260" s="87">
        <v>494496</v>
      </c>
      <c r="N260" s="31">
        <v>45741</v>
      </c>
      <c r="O260" s="26">
        <f t="shared" si="3"/>
        <v>548890.56000000006</v>
      </c>
    </row>
    <row r="261" spans="1:15" x14ac:dyDescent="0.25">
      <c r="A261" s="27"/>
      <c r="B261" s="29"/>
      <c r="C261" s="43"/>
      <c r="D261" s="29"/>
      <c r="E261" s="29"/>
      <c r="F261" s="29"/>
      <c r="G261" s="29"/>
      <c r="H261" s="29"/>
      <c r="I261" s="29"/>
      <c r="J261" s="88" t="s">
        <v>32</v>
      </c>
      <c r="K261" s="23" t="s">
        <v>33</v>
      </c>
      <c r="L261" s="87">
        <v>24</v>
      </c>
      <c r="M261" s="25">
        <v>988992</v>
      </c>
      <c r="N261" s="44">
        <v>45741</v>
      </c>
      <c r="O261" s="26">
        <f t="shared" si="3"/>
        <v>1097781.1200000001</v>
      </c>
    </row>
    <row r="262" spans="1:15" x14ac:dyDescent="0.25">
      <c r="A262" s="27"/>
      <c r="B262" s="29"/>
      <c r="C262" s="47"/>
      <c r="D262" s="36"/>
      <c r="E262" s="36"/>
      <c r="F262" s="36"/>
      <c r="G262" s="36"/>
      <c r="H262" s="36"/>
      <c r="I262" s="36"/>
      <c r="J262" s="23" t="s">
        <v>195</v>
      </c>
      <c r="K262" s="86" t="s">
        <v>196</v>
      </c>
      <c r="L262" s="25">
        <v>48</v>
      </c>
      <c r="M262" s="87">
        <v>739296</v>
      </c>
      <c r="N262" s="31">
        <v>17096</v>
      </c>
      <c r="O262" s="26">
        <f t="shared" si="3"/>
        <v>820618.56</v>
      </c>
    </row>
    <row r="263" spans="1:15" x14ac:dyDescent="0.25">
      <c r="A263" s="27"/>
      <c r="B263" s="29"/>
      <c r="C263" s="21">
        <v>46230</v>
      </c>
      <c r="D263" s="20" t="s">
        <v>363</v>
      </c>
      <c r="E263" s="20" t="s">
        <v>364</v>
      </c>
      <c r="F263" s="20" t="s">
        <v>365</v>
      </c>
      <c r="G263" s="20" t="s">
        <v>366</v>
      </c>
      <c r="H263" s="20" t="s">
        <v>59</v>
      </c>
      <c r="I263" s="20" t="s">
        <v>68</v>
      </c>
      <c r="J263" s="23" t="s">
        <v>96</v>
      </c>
      <c r="K263" s="86" t="s">
        <v>97</v>
      </c>
      <c r="L263" s="25">
        <v>12</v>
      </c>
      <c r="M263" s="87">
        <v>255498</v>
      </c>
      <c r="N263" s="31">
        <v>24116</v>
      </c>
      <c r="O263" s="26">
        <f t="shared" ref="O263:O326" si="4">M263*1.11</f>
        <v>283602.78000000003</v>
      </c>
    </row>
    <row r="264" spans="1:15" x14ac:dyDescent="0.25">
      <c r="A264" s="27"/>
      <c r="B264" s="29"/>
      <c r="C264" s="43"/>
      <c r="D264" s="29"/>
      <c r="E264" s="29"/>
      <c r="F264" s="29"/>
      <c r="G264" s="29"/>
      <c r="H264" s="29"/>
      <c r="I264" s="29"/>
      <c r="J264" s="69" t="s">
        <v>155</v>
      </c>
      <c r="K264" s="23" t="s">
        <v>156</v>
      </c>
      <c r="L264" s="70">
        <v>12</v>
      </c>
      <c r="M264" s="25">
        <v>255498</v>
      </c>
      <c r="N264" s="30">
        <v>24116</v>
      </c>
      <c r="O264" s="26">
        <f t="shared" si="4"/>
        <v>283602.78000000003</v>
      </c>
    </row>
    <row r="265" spans="1:15" x14ac:dyDescent="0.25">
      <c r="A265" s="27"/>
      <c r="B265" s="29"/>
      <c r="C265" s="43"/>
      <c r="D265" s="29"/>
      <c r="E265" s="29"/>
      <c r="F265" s="29"/>
      <c r="G265" s="29"/>
      <c r="H265" s="29"/>
      <c r="I265" s="29"/>
      <c r="J265" s="23" t="s">
        <v>45</v>
      </c>
      <c r="K265" s="71" t="s">
        <v>46</v>
      </c>
      <c r="L265" s="25">
        <v>36</v>
      </c>
      <c r="M265" s="70">
        <v>89964</v>
      </c>
      <c r="N265" s="31">
        <v>2831</v>
      </c>
      <c r="O265" s="26">
        <f t="shared" si="4"/>
        <v>99860.040000000008</v>
      </c>
    </row>
    <row r="266" spans="1:15" x14ac:dyDescent="0.25">
      <c r="A266" s="27"/>
      <c r="B266" s="29"/>
      <c r="C266" s="43"/>
      <c r="D266" s="29"/>
      <c r="E266" s="29"/>
      <c r="F266" s="29"/>
      <c r="G266" s="29"/>
      <c r="H266" s="29"/>
      <c r="I266" s="29"/>
      <c r="J266" s="69" t="s">
        <v>100</v>
      </c>
      <c r="K266" s="23" t="s">
        <v>101</v>
      </c>
      <c r="L266" s="70">
        <v>36</v>
      </c>
      <c r="M266" s="25">
        <v>89964</v>
      </c>
      <c r="N266" s="30">
        <v>2831</v>
      </c>
      <c r="O266" s="26">
        <f t="shared" si="4"/>
        <v>99860.040000000008</v>
      </c>
    </row>
    <row r="267" spans="1:15" x14ac:dyDescent="0.25">
      <c r="A267" s="27"/>
      <c r="B267" s="29"/>
      <c r="C267" s="43"/>
      <c r="D267" s="29"/>
      <c r="E267" s="29"/>
      <c r="F267" s="29"/>
      <c r="G267" s="29"/>
      <c r="H267" s="29"/>
      <c r="I267" s="29"/>
      <c r="J267" s="23" t="s">
        <v>361</v>
      </c>
      <c r="K267" s="71" t="s">
        <v>362</v>
      </c>
      <c r="L267" s="25">
        <v>36</v>
      </c>
      <c r="M267" s="70">
        <v>89964</v>
      </c>
      <c r="N267" s="31">
        <v>2831</v>
      </c>
      <c r="O267" s="26">
        <f t="shared" si="4"/>
        <v>99860.040000000008</v>
      </c>
    </row>
    <row r="268" spans="1:15" x14ac:dyDescent="0.25">
      <c r="A268" s="27"/>
      <c r="B268" s="29"/>
      <c r="C268" s="43"/>
      <c r="D268" s="29"/>
      <c r="E268" s="29"/>
      <c r="F268" s="29"/>
      <c r="G268" s="29"/>
      <c r="H268" s="29"/>
      <c r="I268" s="29"/>
      <c r="J268" s="69" t="s">
        <v>102</v>
      </c>
      <c r="K268" s="23" t="s">
        <v>103</v>
      </c>
      <c r="L268" s="70">
        <v>36</v>
      </c>
      <c r="M268" s="25">
        <v>89964</v>
      </c>
      <c r="N268" s="30">
        <v>2831</v>
      </c>
      <c r="O268" s="26">
        <f t="shared" si="4"/>
        <v>99860.040000000008</v>
      </c>
    </row>
    <row r="269" spans="1:15" x14ac:dyDescent="0.25">
      <c r="A269" s="27"/>
      <c r="B269" s="29"/>
      <c r="C269" s="43"/>
      <c r="D269" s="29"/>
      <c r="E269" s="29"/>
      <c r="F269" s="29"/>
      <c r="G269" s="29"/>
      <c r="H269" s="29"/>
      <c r="I269" s="29"/>
      <c r="J269" s="23" t="s">
        <v>183</v>
      </c>
      <c r="K269" s="71" t="s">
        <v>184</v>
      </c>
      <c r="L269" s="25">
        <v>12</v>
      </c>
      <c r="M269" s="70">
        <v>195522</v>
      </c>
      <c r="N269" s="31">
        <v>18455</v>
      </c>
      <c r="O269" s="26">
        <f t="shared" si="4"/>
        <v>217029.42</v>
      </c>
    </row>
    <row r="270" spans="1:15" x14ac:dyDescent="0.25">
      <c r="A270" s="27"/>
      <c r="B270" s="29"/>
      <c r="C270" s="43"/>
      <c r="D270" s="29"/>
      <c r="E270" s="29"/>
      <c r="F270" s="29"/>
      <c r="G270" s="29"/>
      <c r="H270" s="29"/>
      <c r="I270" s="29"/>
      <c r="J270" s="69" t="s">
        <v>173</v>
      </c>
      <c r="K270" s="23" t="s">
        <v>174</v>
      </c>
      <c r="L270" s="70">
        <v>12</v>
      </c>
      <c r="M270" s="25">
        <v>195522</v>
      </c>
      <c r="N270" s="30">
        <v>18455</v>
      </c>
      <c r="O270" s="26">
        <f t="shared" si="4"/>
        <v>217029.42</v>
      </c>
    </row>
    <row r="271" spans="1:15" x14ac:dyDescent="0.25">
      <c r="A271" s="27"/>
      <c r="B271" s="29"/>
      <c r="C271" s="43"/>
      <c r="D271" s="29"/>
      <c r="E271" s="29"/>
      <c r="F271" s="29"/>
      <c r="G271" s="29"/>
      <c r="H271" s="29"/>
      <c r="I271" s="29"/>
      <c r="J271" s="23" t="s">
        <v>47</v>
      </c>
      <c r="K271" s="71" t="s">
        <v>48</v>
      </c>
      <c r="L271" s="25">
        <v>12</v>
      </c>
      <c r="M271" s="70">
        <v>195522</v>
      </c>
      <c r="N271" s="31">
        <v>18455</v>
      </c>
      <c r="O271" s="26">
        <f t="shared" si="4"/>
        <v>217029.42</v>
      </c>
    </row>
    <row r="272" spans="1:15" x14ac:dyDescent="0.25">
      <c r="A272" s="27"/>
      <c r="B272" s="29"/>
      <c r="C272" s="43"/>
      <c r="D272" s="29"/>
      <c r="E272" s="29"/>
      <c r="F272" s="29"/>
      <c r="G272" s="29"/>
      <c r="H272" s="29"/>
      <c r="I272" s="29"/>
      <c r="J272" s="69" t="s">
        <v>104</v>
      </c>
      <c r="K272" s="23" t="s">
        <v>105</v>
      </c>
      <c r="L272" s="70">
        <v>24</v>
      </c>
      <c r="M272" s="25">
        <v>191923</v>
      </c>
      <c r="N272" s="30">
        <v>9058</v>
      </c>
      <c r="O272" s="26">
        <f t="shared" si="4"/>
        <v>213034.53000000003</v>
      </c>
    </row>
    <row r="273" spans="1:15" x14ac:dyDescent="0.25">
      <c r="A273" s="27"/>
      <c r="B273" s="29"/>
      <c r="C273" s="43"/>
      <c r="D273" s="29"/>
      <c r="E273" s="29"/>
      <c r="F273" s="29"/>
      <c r="G273" s="29"/>
      <c r="H273" s="29"/>
      <c r="I273" s="29"/>
      <c r="J273" s="23" t="s">
        <v>106</v>
      </c>
      <c r="K273" s="71" t="s">
        <v>107</v>
      </c>
      <c r="L273" s="25">
        <v>24</v>
      </c>
      <c r="M273" s="70">
        <v>191923</v>
      </c>
      <c r="N273" s="31">
        <v>9058</v>
      </c>
      <c r="O273" s="26">
        <f t="shared" si="4"/>
        <v>213034.53000000003</v>
      </c>
    </row>
    <row r="274" spans="1:15" x14ac:dyDescent="0.25">
      <c r="A274" s="27"/>
      <c r="B274" s="29"/>
      <c r="C274" s="43"/>
      <c r="D274" s="29"/>
      <c r="E274" s="29"/>
      <c r="F274" s="29"/>
      <c r="G274" s="29"/>
      <c r="H274" s="29"/>
      <c r="I274" s="29"/>
      <c r="J274" s="69" t="s">
        <v>49</v>
      </c>
      <c r="K274" s="23" t="s">
        <v>50</v>
      </c>
      <c r="L274" s="70">
        <v>24</v>
      </c>
      <c r="M274" s="25">
        <v>191923</v>
      </c>
      <c r="N274" s="30">
        <v>9058</v>
      </c>
      <c r="O274" s="26">
        <f t="shared" si="4"/>
        <v>213034.53000000003</v>
      </c>
    </row>
    <row r="275" spans="1:15" x14ac:dyDescent="0.25">
      <c r="A275" s="27"/>
      <c r="B275" s="29"/>
      <c r="C275" s="43"/>
      <c r="D275" s="29"/>
      <c r="E275" s="29"/>
      <c r="F275" s="29"/>
      <c r="G275" s="29"/>
      <c r="H275" s="29"/>
      <c r="I275" s="29"/>
      <c r="J275" s="23" t="s">
        <v>51</v>
      </c>
      <c r="K275" s="71" t="s">
        <v>52</v>
      </c>
      <c r="L275" s="25">
        <v>60</v>
      </c>
      <c r="M275" s="70">
        <v>839664</v>
      </c>
      <c r="N275" s="31">
        <v>15851</v>
      </c>
      <c r="O275" s="26">
        <f t="shared" si="4"/>
        <v>932027.04</v>
      </c>
    </row>
    <row r="276" spans="1:15" x14ac:dyDescent="0.25">
      <c r="A276" s="27"/>
      <c r="B276" s="29"/>
      <c r="C276" s="43"/>
      <c r="D276" s="29"/>
      <c r="E276" s="29"/>
      <c r="F276" s="29"/>
      <c r="G276" s="29"/>
      <c r="H276" s="29"/>
      <c r="I276" s="29"/>
      <c r="J276" s="58" t="s">
        <v>28</v>
      </c>
      <c r="K276" s="23" t="s">
        <v>29</v>
      </c>
      <c r="L276" s="30">
        <v>360</v>
      </c>
      <c r="M276" s="25">
        <v>5037984</v>
      </c>
      <c r="N276" s="30">
        <v>15851</v>
      </c>
      <c r="O276" s="26">
        <f t="shared" si="4"/>
        <v>5592162.2400000002</v>
      </c>
    </row>
    <row r="277" spans="1:15" x14ac:dyDescent="0.25">
      <c r="A277" s="27"/>
      <c r="B277" s="29"/>
      <c r="C277" s="43"/>
      <c r="D277" s="29"/>
      <c r="E277" s="29"/>
      <c r="F277" s="29"/>
      <c r="G277" s="29"/>
      <c r="H277" s="29"/>
      <c r="I277" s="29"/>
      <c r="J277" s="23" t="s">
        <v>74</v>
      </c>
      <c r="K277" s="22" t="s">
        <v>75</v>
      </c>
      <c r="L277" s="25">
        <v>60</v>
      </c>
      <c r="M277" s="30">
        <v>1259496</v>
      </c>
      <c r="N277" s="31">
        <v>23776</v>
      </c>
      <c r="O277" s="26">
        <f t="shared" si="4"/>
        <v>1398040.56</v>
      </c>
    </row>
    <row r="278" spans="1:15" x14ac:dyDescent="0.25">
      <c r="A278" s="27"/>
      <c r="B278" s="29"/>
      <c r="C278" s="43"/>
      <c r="D278" s="29"/>
      <c r="E278" s="29"/>
      <c r="F278" s="29"/>
      <c r="G278" s="29"/>
      <c r="H278" s="29"/>
      <c r="I278" s="29"/>
      <c r="J278" s="58" t="s">
        <v>30</v>
      </c>
      <c r="K278" s="23" t="s">
        <v>31</v>
      </c>
      <c r="L278" s="30">
        <v>395</v>
      </c>
      <c r="M278" s="25">
        <v>7556976</v>
      </c>
      <c r="N278" s="30">
        <v>47552</v>
      </c>
      <c r="O278" s="26">
        <f t="shared" si="4"/>
        <v>8388243.3600000003</v>
      </c>
    </row>
    <row r="279" spans="1:15" x14ac:dyDescent="0.25">
      <c r="A279" s="27"/>
      <c r="B279" s="29"/>
      <c r="C279" s="43"/>
      <c r="D279" s="29"/>
      <c r="E279" s="29"/>
      <c r="F279" s="29"/>
      <c r="G279" s="29"/>
      <c r="H279" s="29"/>
      <c r="I279" s="29"/>
      <c r="J279" s="23" t="s">
        <v>122</v>
      </c>
      <c r="K279" s="22" t="s">
        <v>123</v>
      </c>
      <c r="L279" s="25">
        <v>30</v>
      </c>
      <c r="M279" s="30">
        <v>1211515</v>
      </c>
      <c r="N279" s="31">
        <v>45741</v>
      </c>
      <c r="O279" s="26">
        <f t="shared" si="4"/>
        <v>1344781.6500000001</v>
      </c>
    </row>
    <row r="280" spans="1:15" x14ac:dyDescent="0.25">
      <c r="A280" s="27"/>
      <c r="B280" s="29"/>
      <c r="C280" s="43"/>
      <c r="D280" s="29"/>
      <c r="E280" s="29"/>
      <c r="F280" s="29"/>
      <c r="G280" s="29"/>
      <c r="H280" s="29"/>
      <c r="I280" s="29"/>
      <c r="J280" s="58" t="s">
        <v>32</v>
      </c>
      <c r="K280" s="23" t="s">
        <v>33</v>
      </c>
      <c r="L280" s="30">
        <v>300</v>
      </c>
      <c r="M280" s="25">
        <v>12115152</v>
      </c>
      <c r="N280" s="30">
        <v>45741</v>
      </c>
      <c r="O280" s="26">
        <f t="shared" si="4"/>
        <v>13447818.720000001</v>
      </c>
    </row>
    <row r="281" spans="1:15" x14ac:dyDescent="0.25">
      <c r="A281" s="27"/>
      <c r="B281" s="29"/>
      <c r="C281" s="43"/>
      <c r="D281" s="29"/>
      <c r="E281" s="29"/>
      <c r="F281" s="29"/>
      <c r="G281" s="29"/>
      <c r="H281" s="29"/>
      <c r="I281" s="29"/>
      <c r="J281" s="23" t="s">
        <v>367</v>
      </c>
      <c r="K281" s="22" t="s">
        <v>368</v>
      </c>
      <c r="L281" s="25">
        <v>40</v>
      </c>
      <c r="M281" s="30">
        <v>2866853</v>
      </c>
      <c r="N281" s="31">
        <v>81179</v>
      </c>
      <c r="O281" s="26">
        <f t="shared" si="4"/>
        <v>3182206.83</v>
      </c>
    </row>
    <row r="282" spans="1:15" x14ac:dyDescent="0.25">
      <c r="A282" s="27"/>
      <c r="B282" s="29"/>
      <c r="C282" s="43"/>
      <c r="D282" s="29"/>
      <c r="E282" s="29"/>
      <c r="F282" s="29"/>
      <c r="G282" s="29"/>
      <c r="H282" s="29"/>
      <c r="I282" s="29"/>
      <c r="J282" s="58" t="s">
        <v>61</v>
      </c>
      <c r="K282" s="23" t="s">
        <v>62</v>
      </c>
      <c r="L282" s="30">
        <v>420</v>
      </c>
      <c r="M282" s="25">
        <v>1637345</v>
      </c>
      <c r="N282" s="30">
        <v>4416</v>
      </c>
      <c r="O282" s="26">
        <f t="shared" si="4"/>
        <v>1817452.9500000002</v>
      </c>
    </row>
    <row r="283" spans="1:15" x14ac:dyDescent="0.25">
      <c r="A283" s="27"/>
      <c r="B283" s="29"/>
      <c r="C283" s="43"/>
      <c r="D283" s="29"/>
      <c r="E283" s="29"/>
      <c r="F283" s="29"/>
      <c r="G283" s="29"/>
      <c r="H283" s="29"/>
      <c r="I283" s="29"/>
      <c r="J283" s="23" t="s">
        <v>195</v>
      </c>
      <c r="K283" s="22" t="s">
        <v>196</v>
      </c>
      <c r="L283" s="25">
        <v>60</v>
      </c>
      <c r="M283" s="30">
        <v>905638</v>
      </c>
      <c r="N283" s="31">
        <v>17096</v>
      </c>
      <c r="O283" s="26">
        <f t="shared" si="4"/>
        <v>1005258.18</v>
      </c>
    </row>
    <row r="284" spans="1:15" x14ac:dyDescent="0.25">
      <c r="A284" s="27"/>
      <c r="B284" s="29"/>
      <c r="C284" s="47"/>
      <c r="D284" s="36"/>
      <c r="E284" s="36"/>
      <c r="F284" s="36"/>
      <c r="G284" s="36"/>
      <c r="H284" s="36"/>
      <c r="I284" s="36"/>
      <c r="J284" s="59" t="s">
        <v>53</v>
      </c>
      <c r="K284" s="23" t="s">
        <v>54</v>
      </c>
      <c r="L284" s="38">
        <v>180</v>
      </c>
      <c r="M284" s="25">
        <v>2716913</v>
      </c>
      <c r="N284" s="38">
        <v>17096</v>
      </c>
      <c r="O284" s="26">
        <f t="shared" si="4"/>
        <v>3015773.43</v>
      </c>
    </row>
    <row r="285" spans="1:15" x14ac:dyDescent="0.25">
      <c r="A285" s="27"/>
      <c r="B285" s="29"/>
      <c r="C285" s="21">
        <v>46225</v>
      </c>
      <c r="D285" s="22" t="s">
        <v>369</v>
      </c>
      <c r="E285" s="23" t="s">
        <v>370</v>
      </c>
      <c r="F285" s="22" t="s">
        <v>371</v>
      </c>
      <c r="G285" s="23" t="s">
        <v>372</v>
      </c>
      <c r="H285" s="22" t="s">
        <v>373</v>
      </c>
      <c r="I285" s="23" t="s">
        <v>68</v>
      </c>
      <c r="J285" s="42" t="s">
        <v>32</v>
      </c>
      <c r="K285" s="23" t="s">
        <v>33</v>
      </c>
      <c r="L285" s="24">
        <v>18</v>
      </c>
      <c r="M285" s="25">
        <v>741745</v>
      </c>
      <c r="N285" s="24">
        <v>45741</v>
      </c>
      <c r="O285" s="26">
        <f t="shared" si="4"/>
        <v>823336.95000000007</v>
      </c>
    </row>
    <row r="286" spans="1:15" x14ac:dyDescent="0.25">
      <c r="A286" s="27"/>
      <c r="B286" s="29"/>
      <c r="C286" s="43"/>
      <c r="D286" s="20" t="s">
        <v>374</v>
      </c>
      <c r="E286" s="20" t="s">
        <v>375</v>
      </c>
      <c r="F286" s="20" t="s">
        <v>376</v>
      </c>
      <c r="G286" s="20" t="s">
        <v>377</v>
      </c>
      <c r="H286" s="20" t="s">
        <v>378</v>
      </c>
      <c r="I286" s="20" t="s">
        <v>68</v>
      </c>
      <c r="J286" s="23" t="s">
        <v>202</v>
      </c>
      <c r="K286" s="22" t="s">
        <v>203</v>
      </c>
      <c r="L286" s="25">
        <v>12</v>
      </c>
      <c r="M286" s="30">
        <v>212976</v>
      </c>
      <c r="N286" s="31">
        <v>19700</v>
      </c>
      <c r="O286" s="26">
        <f t="shared" si="4"/>
        <v>236403.36000000002</v>
      </c>
    </row>
    <row r="287" spans="1:15" x14ac:dyDescent="0.25">
      <c r="A287" s="27"/>
      <c r="B287" s="29"/>
      <c r="C287" s="43"/>
      <c r="D287" s="29"/>
      <c r="E287" s="29"/>
      <c r="F287" s="29"/>
      <c r="G287" s="29"/>
      <c r="H287" s="29"/>
      <c r="I287" s="29"/>
      <c r="J287" s="58" t="s">
        <v>28</v>
      </c>
      <c r="K287" s="23" t="s">
        <v>29</v>
      </c>
      <c r="L287" s="30">
        <v>12</v>
      </c>
      <c r="M287" s="25">
        <v>171360</v>
      </c>
      <c r="N287" s="30">
        <v>15851</v>
      </c>
      <c r="O287" s="26">
        <f t="shared" si="4"/>
        <v>190209.6</v>
      </c>
    </row>
    <row r="288" spans="1:15" x14ac:dyDescent="0.25">
      <c r="A288" s="27"/>
      <c r="B288" s="29"/>
      <c r="C288" s="43"/>
      <c r="D288" s="29"/>
      <c r="E288" s="29"/>
      <c r="F288" s="29"/>
      <c r="G288" s="29"/>
      <c r="H288" s="29"/>
      <c r="I288" s="29"/>
      <c r="J288" s="23" t="s">
        <v>30</v>
      </c>
      <c r="K288" s="22" t="s">
        <v>31</v>
      </c>
      <c r="L288" s="25">
        <v>48</v>
      </c>
      <c r="M288" s="30">
        <v>1028160</v>
      </c>
      <c r="N288" s="31">
        <v>23776</v>
      </c>
      <c r="O288" s="26">
        <f t="shared" si="4"/>
        <v>1141257.6000000001</v>
      </c>
    </row>
    <row r="289" spans="1:15" x14ac:dyDescent="0.25">
      <c r="A289" s="27"/>
      <c r="B289" s="29"/>
      <c r="C289" s="47"/>
      <c r="D289" s="36"/>
      <c r="E289" s="36"/>
      <c r="F289" s="36"/>
      <c r="G289" s="36"/>
      <c r="H289" s="36"/>
      <c r="I289" s="36"/>
      <c r="J289" s="58" t="s">
        <v>32</v>
      </c>
      <c r="K289" s="23" t="s">
        <v>33</v>
      </c>
      <c r="L289" s="30">
        <v>12</v>
      </c>
      <c r="M289" s="25">
        <v>494496</v>
      </c>
      <c r="N289" s="49">
        <v>45741</v>
      </c>
      <c r="O289" s="26">
        <f t="shared" si="4"/>
        <v>548890.56000000006</v>
      </c>
    </row>
    <row r="290" spans="1:15" x14ac:dyDescent="0.25">
      <c r="A290" s="27"/>
      <c r="B290" s="29"/>
      <c r="C290" s="21">
        <v>46224</v>
      </c>
      <c r="D290" s="20" t="s">
        <v>379</v>
      </c>
      <c r="E290" s="20" t="s">
        <v>380</v>
      </c>
      <c r="F290" s="20" t="s">
        <v>381</v>
      </c>
      <c r="G290" s="20" t="s">
        <v>128</v>
      </c>
      <c r="H290" s="20" t="s">
        <v>344</v>
      </c>
      <c r="I290" s="20" t="s">
        <v>226</v>
      </c>
      <c r="J290" s="46" t="s">
        <v>96</v>
      </c>
      <c r="K290" s="23" t="s">
        <v>97</v>
      </c>
      <c r="L290" s="44">
        <v>6</v>
      </c>
      <c r="M290" s="25">
        <v>130356</v>
      </c>
      <c r="N290" s="44">
        <v>24116</v>
      </c>
      <c r="O290" s="26">
        <f t="shared" si="4"/>
        <v>144695.16</v>
      </c>
    </row>
    <row r="291" spans="1:15" x14ac:dyDescent="0.25">
      <c r="A291" s="27"/>
      <c r="B291" s="29"/>
      <c r="C291" s="43"/>
      <c r="D291" s="29"/>
      <c r="E291" s="29"/>
      <c r="F291" s="29"/>
      <c r="G291" s="29"/>
      <c r="H291" s="29"/>
      <c r="I291" s="29"/>
      <c r="J291" s="23" t="s">
        <v>155</v>
      </c>
      <c r="K291" s="46" t="s">
        <v>156</v>
      </c>
      <c r="L291" s="25">
        <v>6</v>
      </c>
      <c r="M291" s="44">
        <v>130356</v>
      </c>
      <c r="N291" s="31">
        <v>24116</v>
      </c>
      <c r="O291" s="26">
        <f t="shared" si="4"/>
        <v>144695.16</v>
      </c>
    </row>
    <row r="292" spans="1:15" x14ac:dyDescent="0.25">
      <c r="A292" s="27"/>
      <c r="B292" s="29"/>
      <c r="C292" s="43"/>
      <c r="D292" s="29"/>
      <c r="E292" s="29"/>
      <c r="F292" s="29"/>
      <c r="G292" s="29"/>
      <c r="H292" s="29"/>
      <c r="I292" s="29"/>
      <c r="J292" s="46" t="s">
        <v>108</v>
      </c>
      <c r="K292" s="23" t="s">
        <v>109</v>
      </c>
      <c r="L292" s="44">
        <v>24</v>
      </c>
      <c r="M292" s="25">
        <v>151776</v>
      </c>
      <c r="N292" s="44">
        <v>7020</v>
      </c>
      <c r="O292" s="26">
        <f t="shared" si="4"/>
        <v>168471.36000000002</v>
      </c>
    </row>
    <row r="293" spans="1:15" x14ac:dyDescent="0.25">
      <c r="A293" s="27"/>
      <c r="B293" s="29"/>
      <c r="C293" s="43"/>
      <c r="D293" s="29"/>
      <c r="E293" s="29"/>
      <c r="F293" s="29"/>
      <c r="G293" s="29"/>
      <c r="H293" s="29"/>
      <c r="I293" s="29"/>
      <c r="J293" s="23" t="s">
        <v>227</v>
      </c>
      <c r="K293" s="46" t="s">
        <v>228</v>
      </c>
      <c r="L293" s="25">
        <v>24</v>
      </c>
      <c r="M293" s="44">
        <v>151776</v>
      </c>
      <c r="N293" s="31">
        <v>7020</v>
      </c>
      <c r="O293" s="26">
        <f t="shared" si="4"/>
        <v>168471.36000000002</v>
      </c>
    </row>
    <row r="294" spans="1:15" x14ac:dyDescent="0.25">
      <c r="A294" s="27"/>
      <c r="B294" s="29"/>
      <c r="C294" s="43"/>
      <c r="D294" s="29"/>
      <c r="E294" s="29"/>
      <c r="F294" s="29"/>
      <c r="G294" s="29"/>
      <c r="H294" s="29"/>
      <c r="I294" s="29"/>
      <c r="J294" s="46" t="s">
        <v>28</v>
      </c>
      <c r="K294" s="23" t="s">
        <v>29</v>
      </c>
      <c r="L294" s="44">
        <v>12</v>
      </c>
      <c r="M294" s="25">
        <v>171360</v>
      </c>
      <c r="N294" s="44">
        <v>15851</v>
      </c>
      <c r="O294" s="26">
        <f t="shared" si="4"/>
        <v>190209.6</v>
      </c>
    </row>
    <row r="295" spans="1:15" x14ac:dyDescent="0.25">
      <c r="A295" s="27"/>
      <c r="B295" s="29"/>
      <c r="C295" s="43"/>
      <c r="D295" s="29"/>
      <c r="E295" s="29"/>
      <c r="F295" s="29"/>
      <c r="G295" s="29"/>
      <c r="H295" s="29"/>
      <c r="I295" s="29"/>
      <c r="J295" s="23" t="s">
        <v>61</v>
      </c>
      <c r="K295" s="46" t="s">
        <v>62</v>
      </c>
      <c r="L295" s="25">
        <v>24</v>
      </c>
      <c r="M295" s="44">
        <v>95472</v>
      </c>
      <c r="N295" s="31">
        <v>4416</v>
      </c>
      <c r="O295" s="26">
        <f t="shared" si="4"/>
        <v>105973.92000000001</v>
      </c>
    </row>
    <row r="296" spans="1:15" x14ac:dyDescent="0.25">
      <c r="A296" s="27"/>
      <c r="B296" s="29"/>
      <c r="C296" s="47"/>
      <c r="D296" s="36"/>
      <c r="E296" s="36"/>
      <c r="F296" s="36"/>
      <c r="G296" s="36"/>
      <c r="H296" s="36"/>
      <c r="I296" s="36"/>
      <c r="J296" s="48" t="s">
        <v>53</v>
      </c>
      <c r="K296" s="23" t="s">
        <v>54</v>
      </c>
      <c r="L296" s="49">
        <v>12</v>
      </c>
      <c r="M296" s="25">
        <v>184824</v>
      </c>
      <c r="N296" s="49">
        <v>17096</v>
      </c>
      <c r="O296" s="26">
        <f t="shared" si="4"/>
        <v>205154.64</v>
      </c>
    </row>
    <row r="297" spans="1:15" x14ac:dyDescent="0.25">
      <c r="A297" s="27"/>
      <c r="B297" s="29"/>
      <c r="C297" s="21">
        <v>46223</v>
      </c>
      <c r="D297" s="20" t="s">
        <v>382</v>
      </c>
      <c r="E297" s="20" t="s">
        <v>383</v>
      </c>
      <c r="F297" s="20" t="s">
        <v>384</v>
      </c>
      <c r="G297" s="20" t="s">
        <v>385</v>
      </c>
      <c r="H297" s="20" t="s">
        <v>386</v>
      </c>
      <c r="I297" s="20" t="s">
        <v>68</v>
      </c>
      <c r="J297" s="46" t="s">
        <v>244</v>
      </c>
      <c r="K297" s="23" t="s">
        <v>245</v>
      </c>
      <c r="L297" s="44">
        <v>72</v>
      </c>
      <c r="M297" s="25">
        <v>1252299</v>
      </c>
      <c r="N297" s="44">
        <v>19700</v>
      </c>
      <c r="O297" s="26">
        <f t="shared" si="4"/>
        <v>1390051.8900000001</v>
      </c>
    </row>
    <row r="298" spans="1:15" x14ac:dyDescent="0.25">
      <c r="A298" s="27"/>
      <c r="B298" s="29"/>
      <c r="C298" s="43"/>
      <c r="D298" s="29"/>
      <c r="E298" s="29"/>
      <c r="F298" s="29"/>
      <c r="G298" s="29"/>
      <c r="H298" s="29"/>
      <c r="I298" s="29"/>
      <c r="J298" s="23" t="s">
        <v>246</v>
      </c>
      <c r="K298" s="46" t="s">
        <v>247</v>
      </c>
      <c r="L298" s="25">
        <v>72</v>
      </c>
      <c r="M298" s="44">
        <v>1252299</v>
      </c>
      <c r="N298" s="31">
        <v>19700</v>
      </c>
      <c r="O298" s="26">
        <f t="shared" si="4"/>
        <v>1390051.8900000001</v>
      </c>
    </row>
    <row r="299" spans="1:15" x14ac:dyDescent="0.25">
      <c r="A299" s="27"/>
      <c r="B299" s="29"/>
      <c r="C299" s="43"/>
      <c r="D299" s="29"/>
      <c r="E299" s="29"/>
      <c r="F299" s="29"/>
      <c r="G299" s="29"/>
      <c r="H299" s="29"/>
      <c r="I299" s="29"/>
      <c r="J299" s="46" t="s">
        <v>248</v>
      </c>
      <c r="K299" s="23" t="s">
        <v>249</v>
      </c>
      <c r="L299" s="44">
        <v>72</v>
      </c>
      <c r="M299" s="25">
        <v>1252299</v>
      </c>
      <c r="N299" s="44">
        <v>19700</v>
      </c>
      <c r="O299" s="26">
        <f t="shared" si="4"/>
        <v>1390051.8900000001</v>
      </c>
    </row>
    <row r="300" spans="1:15" x14ac:dyDescent="0.25">
      <c r="A300" s="27"/>
      <c r="B300" s="29"/>
      <c r="C300" s="47"/>
      <c r="D300" s="36"/>
      <c r="E300" s="36"/>
      <c r="F300" s="36"/>
      <c r="G300" s="36"/>
      <c r="H300" s="36"/>
      <c r="I300" s="36"/>
      <c r="J300" s="45" t="s">
        <v>202</v>
      </c>
      <c r="K300" s="46" t="s">
        <v>203</v>
      </c>
      <c r="L300" s="25">
        <v>72</v>
      </c>
      <c r="M300" s="44">
        <v>1252299</v>
      </c>
      <c r="N300" s="31">
        <v>19700</v>
      </c>
      <c r="O300" s="26">
        <f t="shared" si="4"/>
        <v>1390051.8900000001</v>
      </c>
    </row>
    <row r="301" spans="1:15" ht="22.5" x14ac:dyDescent="0.25">
      <c r="A301" s="27"/>
      <c r="B301" s="29"/>
      <c r="C301" s="21">
        <v>46221</v>
      </c>
      <c r="D301" s="23" t="s">
        <v>387</v>
      </c>
      <c r="E301" s="46" t="s">
        <v>388</v>
      </c>
      <c r="F301" s="23" t="s">
        <v>389</v>
      </c>
      <c r="G301" s="46" t="s">
        <v>390</v>
      </c>
      <c r="H301" s="23" t="s">
        <v>391</v>
      </c>
      <c r="I301" s="46" t="s">
        <v>81</v>
      </c>
      <c r="J301" s="23" t="s">
        <v>30</v>
      </c>
      <c r="K301" s="46" t="s">
        <v>31</v>
      </c>
      <c r="L301" s="25">
        <v>36</v>
      </c>
      <c r="M301" s="44">
        <v>771120</v>
      </c>
      <c r="N301" s="31">
        <v>23776</v>
      </c>
      <c r="O301" s="26">
        <f t="shared" si="4"/>
        <v>855943.20000000007</v>
      </c>
    </row>
    <row r="302" spans="1:15" x14ac:dyDescent="0.25">
      <c r="A302" s="27"/>
      <c r="B302" s="29"/>
      <c r="C302" s="43"/>
      <c r="D302" s="20" t="s">
        <v>392</v>
      </c>
      <c r="E302" s="20" t="s">
        <v>393</v>
      </c>
      <c r="F302" s="20" t="s">
        <v>394</v>
      </c>
      <c r="G302" s="20" t="s">
        <v>395</v>
      </c>
      <c r="H302" s="20" t="s">
        <v>386</v>
      </c>
      <c r="I302" s="20" t="s">
        <v>68</v>
      </c>
      <c r="J302" s="46" t="s">
        <v>28</v>
      </c>
      <c r="K302" s="23" t="s">
        <v>29</v>
      </c>
      <c r="L302" s="44">
        <v>120</v>
      </c>
      <c r="M302" s="25">
        <v>1679328</v>
      </c>
      <c r="N302" s="44">
        <v>15851</v>
      </c>
      <c r="O302" s="26">
        <f t="shared" si="4"/>
        <v>1864054.08</v>
      </c>
    </row>
    <row r="303" spans="1:15" x14ac:dyDescent="0.25">
      <c r="A303" s="27"/>
      <c r="B303" s="29"/>
      <c r="C303" s="43"/>
      <c r="D303" s="29"/>
      <c r="E303" s="29"/>
      <c r="F303" s="29"/>
      <c r="G303" s="29"/>
      <c r="H303" s="29"/>
      <c r="I303" s="29"/>
      <c r="J303" s="23" t="s">
        <v>30</v>
      </c>
      <c r="K303" s="46" t="s">
        <v>31</v>
      </c>
      <c r="L303" s="25">
        <v>120</v>
      </c>
      <c r="M303" s="44">
        <v>2518992</v>
      </c>
      <c r="N303" s="31">
        <v>23776</v>
      </c>
      <c r="O303" s="26">
        <f t="shared" si="4"/>
        <v>2796081.12</v>
      </c>
    </row>
    <row r="304" spans="1:15" x14ac:dyDescent="0.25">
      <c r="A304" s="27"/>
      <c r="B304" s="29"/>
      <c r="C304" s="47"/>
      <c r="D304" s="36"/>
      <c r="E304" s="36"/>
      <c r="F304" s="36"/>
      <c r="G304" s="36"/>
      <c r="H304" s="36"/>
      <c r="I304" s="36"/>
      <c r="J304" s="48" t="s">
        <v>32</v>
      </c>
      <c r="K304" s="23" t="s">
        <v>33</v>
      </c>
      <c r="L304" s="49">
        <v>30</v>
      </c>
      <c r="M304" s="25">
        <v>1211515</v>
      </c>
      <c r="N304" s="49">
        <v>45741</v>
      </c>
      <c r="O304" s="26">
        <f t="shared" si="4"/>
        <v>1344781.6500000001</v>
      </c>
    </row>
    <row r="305" spans="1:15" x14ac:dyDescent="0.25">
      <c r="A305" s="27"/>
      <c r="B305" s="29"/>
      <c r="C305" s="21">
        <v>46220</v>
      </c>
      <c r="D305" s="46" t="s">
        <v>396</v>
      </c>
      <c r="E305" s="23" t="s">
        <v>397</v>
      </c>
      <c r="F305" s="46" t="s">
        <v>398</v>
      </c>
      <c r="G305" s="23" t="s">
        <v>399</v>
      </c>
      <c r="H305" s="46" t="s">
        <v>349</v>
      </c>
      <c r="I305" s="23" t="s">
        <v>68</v>
      </c>
      <c r="J305" s="46" t="s">
        <v>30</v>
      </c>
      <c r="K305" s="23" t="s">
        <v>31</v>
      </c>
      <c r="L305" s="44">
        <v>10</v>
      </c>
      <c r="M305" s="25">
        <v>0</v>
      </c>
      <c r="N305" s="44">
        <v>23776</v>
      </c>
      <c r="O305" s="26">
        <f t="shared" si="4"/>
        <v>0</v>
      </c>
    </row>
    <row r="306" spans="1:15" x14ac:dyDescent="0.25">
      <c r="A306" s="27"/>
      <c r="B306" s="29"/>
      <c r="C306" s="43"/>
      <c r="D306" s="23" t="s">
        <v>400</v>
      </c>
      <c r="E306" s="46" t="s">
        <v>397</v>
      </c>
      <c r="F306" s="23" t="s">
        <v>398</v>
      </c>
      <c r="G306" s="46" t="s">
        <v>399</v>
      </c>
      <c r="H306" s="23" t="s">
        <v>349</v>
      </c>
      <c r="I306" s="46" t="s">
        <v>68</v>
      </c>
      <c r="J306" s="23" t="s">
        <v>30</v>
      </c>
      <c r="K306" s="46" t="s">
        <v>31</v>
      </c>
      <c r="L306" s="25">
        <v>48</v>
      </c>
      <c r="M306" s="44">
        <v>0</v>
      </c>
      <c r="N306" s="31">
        <v>23776</v>
      </c>
      <c r="O306" s="26">
        <f t="shared" si="4"/>
        <v>0</v>
      </c>
    </row>
    <row r="307" spans="1:15" ht="22.5" x14ac:dyDescent="0.25">
      <c r="A307" s="27"/>
      <c r="B307" s="29"/>
      <c r="C307" s="43"/>
      <c r="D307" s="46" t="s">
        <v>401</v>
      </c>
      <c r="E307" s="23" t="s">
        <v>402</v>
      </c>
      <c r="F307" s="46" t="s">
        <v>403</v>
      </c>
      <c r="G307" s="23" t="s">
        <v>404</v>
      </c>
      <c r="H307" s="46" t="s">
        <v>354</v>
      </c>
      <c r="I307" s="23" t="s">
        <v>285</v>
      </c>
      <c r="J307" s="46" t="s">
        <v>30</v>
      </c>
      <c r="K307" s="23" t="s">
        <v>31</v>
      </c>
      <c r="L307" s="44">
        <v>29</v>
      </c>
      <c r="M307" s="25">
        <v>608757</v>
      </c>
      <c r="N307" s="44">
        <v>23776</v>
      </c>
      <c r="O307" s="26">
        <f t="shared" si="4"/>
        <v>675720.27</v>
      </c>
    </row>
    <row r="308" spans="1:15" x14ac:dyDescent="0.25">
      <c r="A308" s="27"/>
      <c r="B308" s="29"/>
      <c r="C308" s="47"/>
      <c r="D308" s="23" t="s">
        <v>405</v>
      </c>
      <c r="E308" s="86" t="s">
        <v>406</v>
      </c>
      <c r="F308" s="23" t="s">
        <v>407</v>
      </c>
      <c r="G308" s="86" t="s">
        <v>408</v>
      </c>
      <c r="H308" s="23" t="s">
        <v>386</v>
      </c>
      <c r="I308" s="86" t="s">
        <v>68</v>
      </c>
      <c r="J308" s="23" t="s">
        <v>30</v>
      </c>
      <c r="K308" s="86" t="s">
        <v>31</v>
      </c>
      <c r="L308" s="25">
        <v>26</v>
      </c>
      <c r="M308" s="89">
        <v>0</v>
      </c>
      <c r="N308" s="31">
        <v>23776</v>
      </c>
      <c r="O308" s="26">
        <f t="shared" si="4"/>
        <v>0</v>
      </c>
    </row>
    <row r="309" spans="1:15" x14ac:dyDescent="0.25">
      <c r="A309" s="27"/>
      <c r="B309" s="29"/>
      <c r="C309" s="21">
        <v>46218</v>
      </c>
      <c r="D309" s="20" t="s">
        <v>409</v>
      </c>
      <c r="E309" s="20" t="s">
        <v>410</v>
      </c>
      <c r="F309" s="20" t="s">
        <v>352</v>
      </c>
      <c r="G309" s="20" t="s">
        <v>411</v>
      </c>
      <c r="H309" s="20" t="s">
        <v>411</v>
      </c>
      <c r="I309" s="20" t="s">
        <v>68</v>
      </c>
      <c r="J309" s="23" t="s">
        <v>51</v>
      </c>
      <c r="K309" s="86" t="s">
        <v>52</v>
      </c>
      <c r="L309" s="25">
        <v>60</v>
      </c>
      <c r="M309" s="87">
        <v>839664</v>
      </c>
      <c r="N309" s="31">
        <v>15851</v>
      </c>
      <c r="O309" s="26">
        <f t="shared" si="4"/>
        <v>932027.04</v>
      </c>
    </row>
    <row r="310" spans="1:15" x14ac:dyDescent="0.25">
      <c r="A310" s="27"/>
      <c r="B310" s="29"/>
      <c r="C310" s="43"/>
      <c r="D310" s="29"/>
      <c r="E310" s="29"/>
      <c r="F310" s="29"/>
      <c r="G310" s="29"/>
      <c r="H310" s="29"/>
      <c r="I310" s="29"/>
      <c r="J310" s="88" t="s">
        <v>30</v>
      </c>
      <c r="K310" s="23" t="s">
        <v>31</v>
      </c>
      <c r="L310" s="87">
        <v>120</v>
      </c>
      <c r="M310" s="25">
        <v>2518992</v>
      </c>
      <c r="N310" s="44">
        <v>23776</v>
      </c>
      <c r="O310" s="26">
        <f t="shared" si="4"/>
        <v>2796081.12</v>
      </c>
    </row>
    <row r="311" spans="1:15" x14ac:dyDescent="0.25">
      <c r="A311" s="27"/>
      <c r="B311" s="29"/>
      <c r="C311" s="43"/>
      <c r="D311" s="29"/>
      <c r="E311" s="29"/>
      <c r="F311" s="29"/>
      <c r="G311" s="29"/>
      <c r="H311" s="29"/>
      <c r="I311" s="29"/>
      <c r="J311" s="23" t="s">
        <v>122</v>
      </c>
      <c r="K311" s="86" t="s">
        <v>123</v>
      </c>
      <c r="L311" s="25">
        <v>30</v>
      </c>
      <c r="M311" s="87">
        <v>1211515</v>
      </c>
      <c r="N311" s="31">
        <v>45741</v>
      </c>
      <c r="O311" s="26">
        <f t="shared" si="4"/>
        <v>1344781.6500000001</v>
      </c>
    </row>
    <row r="312" spans="1:15" x14ac:dyDescent="0.25">
      <c r="A312" s="27"/>
      <c r="B312" s="29"/>
      <c r="C312" s="43"/>
      <c r="D312" s="29"/>
      <c r="E312" s="29"/>
      <c r="F312" s="29"/>
      <c r="G312" s="29"/>
      <c r="H312" s="29"/>
      <c r="I312" s="29"/>
      <c r="J312" s="88" t="s">
        <v>32</v>
      </c>
      <c r="K312" s="23" t="s">
        <v>33</v>
      </c>
      <c r="L312" s="87">
        <v>60</v>
      </c>
      <c r="M312" s="25">
        <v>2423031</v>
      </c>
      <c r="N312" s="44">
        <v>45741</v>
      </c>
      <c r="O312" s="26">
        <f t="shared" si="4"/>
        <v>2689564.41</v>
      </c>
    </row>
    <row r="313" spans="1:15" x14ac:dyDescent="0.25">
      <c r="A313" s="27"/>
      <c r="B313" s="29"/>
      <c r="C313" s="43"/>
      <c r="D313" s="29"/>
      <c r="E313" s="29"/>
      <c r="F313" s="29"/>
      <c r="G313" s="29"/>
      <c r="H313" s="29"/>
      <c r="I313" s="29"/>
      <c r="J313" s="23" t="s">
        <v>412</v>
      </c>
      <c r="K313" s="86" t="s">
        <v>413</v>
      </c>
      <c r="L313" s="25">
        <v>8</v>
      </c>
      <c r="M313" s="87">
        <v>573371</v>
      </c>
      <c r="N313" s="31">
        <v>81179</v>
      </c>
      <c r="O313" s="26">
        <f t="shared" si="4"/>
        <v>636441.81000000006</v>
      </c>
    </row>
    <row r="314" spans="1:15" x14ac:dyDescent="0.25">
      <c r="A314" s="27"/>
      <c r="B314" s="29"/>
      <c r="C314" s="43"/>
      <c r="D314" s="29"/>
      <c r="E314" s="29"/>
      <c r="F314" s="29"/>
      <c r="G314" s="29"/>
      <c r="H314" s="29"/>
      <c r="I314" s="29"/>
      <c r="J314" s="88" t="s">
        <v>367</v>
      </c>
      <c r="K314" s="23" t="s">
        <v>368</v>
      </c>
      <c r="L314" s="87">
        <v>20</v>
      </c>
      <c r="M314" s="25">
        <v>1433427</v>
      </c>
      <c r="N314" s="44">
        <v>81179</v>
      </c>
      <c r="O314" s="26">
        <f t="shared" si="4"/>
        <v>1591103.9700000002</v>
      </c>
    </row>
    <row r="315" spans="1:15" x14ac:dyDescent="0.25">
      <c r="A315" s="27"/>
      <c r="B315" s="29"/>
      <c r="C315" s="47"/>
      <c r="D315" s="36"/>
      <c r="E315" s="36"/>
      <c r="F315" s="36"/>
      <c r="G315" s="36"/>
      <c r="H315" s="36"/>
      <c r="I315" s="36"/>
      <c r="J315" s="23" t="s">
        <v>53</v>
      </c>
      <c r="K315" s="45" t="s">
        <v>54</v>
      </c>
      <c r="L315" s="25">
        <v>24</v>
      </c>
      <c r="M315" s="89">
        <v>362255</v>
      </c>
      <c r="N315" s="31">
        <v>17096</v>
      </c>
      <c r="O315" s="26">
        <f t="shared" si="4"/>
        <v>402103.05000000005</v>
      </c>
    </row>
    <row r="316" spans="1:15" x14ac:dyDescent="0.25">
      <c r="A316" s="27"/>
      <c r="B316" s="29"/>
      <c r="C316" s="21">
        <v>46217</v>
      </c>
      <c r="D316" s="20" t="s">
        <v>414</v>
      </c>
      <c r="E316" s="20" t="s">
        <v>364</v>
      </c>
      <c r="F316" s="20" t="s">
        <v>365</v>
      </c>
      <c r="G316" s="20" t="s">
        <v>366</v>
      </c>
      <c r="H316" s="20" t="s">
        <v>59</v>
      </c>
      <c r="I316" s="20" t="s">
        <v>68</v>
      </c>
      <c r="J316" s="23" t="s">
        <v>28</v>
      </c>
      <c r="K316" s="86" t="s">
        <v>29</v>
      </c>
      <c r="L316" s="25">
        <v>96</v>
      </c>
      <c r="M316" s="87">
        <v>1343463</v>
      </c>
      <c r="N316" s="31">
        <v>15851</v>
      </c>
      <c r="O316" s="26">
        <f t="shared" si="4"/>
        <v>1491243.9300000002</v>
      </c>
    </row>
    <row r="317" spans="1:15" x14ac:dyDescent="0.25">
      <c r="A317" s="27"/>
      <c r="B317" s="29"/>
      <c r="C317" s="43"/>
      <c r="D317" s="29"/>
      <c r="E317" s="29"/>
      <c r="F317" s="29"/>
      <c r="G317" s="29"/>
      <c r="H317" s="29"/>
      <c r="I317" s="29"/>
      <c r="J317" s="88" t="s">
        <v>30</v>
      </c>
      <c r="K317" s="23" t="s">
        <v>31</v>
      </c>
      <c r="L317" s="87">
        <v>180</v>
      </c>
      <c r="M317" s="25">
        <v>3778488</v>
      </c>
      <c r="N317" s="44">
        <v>23776</v>
      </c>
      <c r="O317" s="26">
        <f t="shared" si="4"/>
        <v>4194121.68</v>
      </c>
    </row>
    <row r="318" spans="1:15" x14ac:dyDescent="0.25">
      <c r="A318" s="27"/>
      <c r="B318" s="29"/>
      <c r="C318" s="47"/>
      <c r="D318" s="36"/>
      <c r="E318" s="36"/>
      <c r="F318" s="36"/>
      <c r="G318" s="36"/>
      <c r="H318" s="36"/>
      <c r="I318" s="36"/>
      <c r="J318" s="23" t="s">
        <v>32</v>
      </c>
      <c r="K318" s="86" t="s">
        <v>33</v>
      </c>
      <c r="L318" s="25">
        <v>60</v>
      </c>
      <c r="M318" s="87">
        <v>2423031</v>
      </c>
      <c r="N318" s="31">
        <v>45741</v>
      </c>
      <c r="O318" s="26">
        <f t="shared" si="4"/>
        <v>2689564.41</v>
      </c>
    </row>
    <row r="319" spans="1:15" x14ac:dyDescent="0.25">
      <c r="A319" s="27"/>
      <c r="B319" s="29"/>
      <c r="C319" s="21">
        <v>46214</v>
      </c>
      <c r="D319" s="20" t="s">
        <v>415</v>
      </c>
      <c r="E319" s="20" t="s">
        <v>416</v>
      </c>
      <c r="F319" s="20" t="s">
        <v>417</v>
      </c>
      <c r="G319" s="20" t="s">
        <v>418</v>
      </c>
      <c r="H319" s="20" t="s">
        <v>419</v>
      </c>
      <c r="I319" s="20" t="s">
        <v>263</v>
      </c>
      <c r="J319" s="23" t="s">
        <v>229</v>
      </c>
      <c r="K319" s="86" t="s">
        <v>230</v>
      </c>
      <c r="L319" s="25">
        <v>6</v>
      </c>
      <c r="M319" s="87">
        <v>176256</v>
      </c>
      <c r="N319" s="31">
        <v>32607</v>
      </c>
      <c r="O319" s="26">
        <f t="shared" si="4"/>
        <v>195644.16</v>
      </c>
    </row>
    <row r="320" spans="1:15" x14ac:dyDescent="0.25">
      <c r="A320" s="27"/>
      <c r="B320" s="29"/>
      <c r="C320" s="43"/>
      <c r="D320" s="29"/>
      <c r="E320" s="29"/>
      <c r="F320" s="29"/>
      <c r="G320" s="29"/>
      <c r="H320" s="29"/>
      <c r="I320" s="29"/>
      <c r="J320" s="88" t="s">
        <v>231</v>
      </c>
      <c r="K320" s="23" t="s">
        <v>232</v>
      </c>
      <c r="L320" s="87">
        <v>5</v>
      </c>
      <c r="M320" s="25">
        <v>146880</v>
      </c>
      <c r="N320" s="44">
        <v>32607</v>
      </c>
      <c r="O320" s="26">
        <f t="shared" si="4"/>
        <v>163036.80000000002</v>
      </c>
    </row>
    <row r="321" spans="1:15" x14ac:dyDescent="0.25">
      <c r="A321" s="27"/>
      <c r="B321" s="29"/>
      <c r="C321" s="43"/>
      <c r="D321" s="29"/>
      <c r="E321" s="29"/>
      <c r="F321" s="29"/>
      <c r="G321" s="29"/>
      <c r="H321" s="29"/>
      <c r="I321" s="29"/>
      <c r="J321" s="23" t="s">
        <v>233</v>
      </c>
      <c r="K321" s="86" t="s">
        <v>234</v>
      </c>
      <c r="L321" s="25">
        <v>6</v>
      </c>
      <c r="M321" s="87">
        <v>176256</v>
      </c>
      <c r="N321" s="31">
        <v>32607</v>
      </c>
      <c r="O321" s="26">
        <f t="shared" si="4"/>
        <v>195644.16</v>
      </c>
    </row>
    <row r="322" spans="1:15" x14ac:dyDescent="0.25">
      <c r="A322" s="27"/>
      <c r="B322" s="29"/>
      <c r="C322" s="43"/>
      <c r="D322" s="29"/>
      <c r="E322" s="29"/>
      <c r="F322" s="29"/>
      <c r="G322" s="29"/>
      <c r="H322" s="29"/>
      <c r="I322" s="29"/>
      <c r="J322" s="88" t="s">
        <v>242</v>
      </c>
      <c r="K322" s="23" t="s">
        <v>243</v>
      </c>
      <c r="L322" s="87">
        <v>6</v>
      </c>
      <c r="M322" s="25">
        <v>176256</v>
      </c>
      <c r="N322" s="44">
        <v>32607</v>
      </c>
      <c r="O322" s="26">
        <f t="shared" si="4"/>
        <v>195644.16</v>
      </c>
    </row>
    <row r="323" spans="1:15" x14ac:dyDescent="0.25">
      <c r="A323" s="27"/>
      <c r="B323" s="29"/>
      <c r="C323" s="43"/>
      <c r="D323" s="29"/>
      <c r="E323" s="29"/>
      <c r="F323" s="29"/>
      <c r="G323" s="29"/>
      <c r="H323" s="29"/>
      <c r="I323" s="29"/>
      <c r="J323" s="23" t="s">
        <v>246</v>
      </c>
      <c r="K323" s="86" t="s">
        <v>247</v>
      </c>
      <c r="L323" s="25">
        <v>6</v>
      </c>
      <c r="M323" s="87">
        <v>106488</v>
      </c>
      <c r="N323" s="31">
        <v>19700</v>
      </c>
      <c r="O323" s="26">
        <f t="shared" si="4"/>
        <v>118201.68000000001</v>
      </c>
    </row>
    <row r="324" spans="1:15" x14ac:dyDescent="0.25">
      <c r="A324" s="27"/>
      <c r="B324" s="29"/>
      <c r="C324" s="43"/>
      <c r="D324" s="29"/>
      <c r="E324" s="29"/>
      <c r="F324" s="29"/>
      <c r="G324" s="29"/>
      <c r="H324" s="29"/>
      <c r="I324" s="29"/>
      <c r="J324" s="88" t="s">
        <v>257</v>
      </c>
      <c r="K324" s="23" t="s">
        <v>258</v>
      </c>
      <c r="L324" s="87">
        <v>6</v>
      </c>
      <c r="M324" s="25">
        <v>106488</v>
      </c>
      <c r="N324" s="44">
        <v>19700</v>
      </c>
      <c r="O324" s="26">
        <f t="shared" si="4"/>
        <v>118201.68000000001</v>
      </c>
    </row>
    <row r="325" spans="1:15" x14ac:dyDescent="0.25">
      <c r="A325" s="27"/>
      <c r="B325" s="29"/>
      <c r="C325" s="43"/>
      <c r="D325" s="29"/>
      <c r="E325" s="29"/>
      <c r="F325" s="29"/>
      <c r="G325" s="29"/>
      <c r="H325" s="29"/>
      <c r="I325" s="29"/>
      <c r="J325" s="23" t="s">
        <v>248</v>
      </c>
      <c r="K325" s="86" t="s">
        <v>249</v>
      </c>
      <c r="L325" s="25">
        <v>6</v>
      </c>
      <c r="M325" s="87">
        <v>106488</v>
      </c>
      <c r="N325" s="31">
        <v>19700</v>
      </c>
      <c r="O325" s="26">
        <f t="shared" si="4"/>
        <v>118201.68000000001</v>
      </c>
    </row>
    <row r="326" spans="1:15" x14ac:dyDescent="0.25">
      <c r="A326" s="27"/>
      <c r="B326" s="29"/>
      <c r="C326" s="43"/>
      <c r="D326" s="36"/>
      <c r="E326" s="36"/>
      <c r="F326" s="36"/>
      <c r="G326" s="36"/>
      <c r="H326" s="36"/>
      <c r="I326" s="36"/>
      <c r="J326" s="88" t="s">
        <v>202</v>
      </c>
      <c r="K326" s="23" t="s">
        <v>203</v>
      </c>
      <c r="L326" s="87">
        <v>6</v>
      </c>
      <c r="M326" s="25">
        <v>106488</v>
      </c>
      <c r="N326" s="44">
        <v>19700</v>
      </c>
      <c r="O326" s="26">
        <f t="shared" si="4"/>
        <v>118201.68000000001</v>
      </c>
    </row>
    <row r="327" spans="1:15" x14ac:dyDescent="0.25">
      <c r="A327" s="27"/>
      <c r="B327" s="29"/>
      <c r="C327" s="43"/>
      <c r="D327" s="20" t="s">
        <v>420</v>
      </c>
      <c r="E327" s="20" t="s">
        <v>421</v>
      </c>
      <c r="F327" s="20" t="s">
        <v>422</v>
      </c>
      <c r="G327" s="20" t="s">
        <v>423</v>
      </c>
      <c r="H327" s="20" t="s">
        <v>86</v>
      </c>
      <c r="I327" s="20" t="s">
        <v>68</v>
      </c>
      <c r="J327" s="23" t="s">
        <v>28</v>
      </c>
      <c r="K327" s="86" t="s">
        <v>29</v>
      </c>
      <c r="L327" s="25">
        <v>12</v>
      </c>
      <c r="M327" s="87">
        <v>171360</v>
      </c>
      <c r="N327" s="31">
        <v>15851</v>
      </c>
      <c r="O327" s="26">
        <f t="shared" ref="O327:O390" si="5">M327*1.11</f>
        <v>190209.6</v>
      </c>
    </row>
    <row r="328" spans="1:15" x14ac:dyDescent="0.25">
      <c r="A328" s="27"/>
      <c r="B328" s="29"/>
      <c r="C328" s="43"/>
      <c r="D328" s="29"/>
      <c r="E328" s="29"/>
      <c r="F328" s="29"/>
      <c r="G328" s="29"/>
      <c r="H328" s="29"/>
      <c r="I328" s="29"/>
      <c r="J328" s="88" t="s">
        <v>30</v>
      </c>
      <c r="K328" s="23" t="s">
        <v>31</v>
      </c>
      <c r="L328" s="87">
        <v>12</v>
      </c>
      <c r="M328" s="25">
        <v>257040</v>
      </c>
      <c r="N328" s="44">
        <v>23776</v>
      </c>
      <c r="O328" s="26">
        <f t="shared" si="5"/>
        <v>285314.40000000002</v>
      </c>
    </row>
    <row r="329" spans="1:15" x14ac:dyDescent="0.25">
      <c r="A329" s="27"/>
      <c r="B329" s="29"/>
      <c r="C329" s="43"/>
      <c r="D329" s="29"/>
      <c r="E329" s="29"/>
      <c r="F329" s="29"/>
      <c r="G329" s="29"/>
      <c r="H329" s="29"/>
      <c r="I329" s="29"/>
      <c r="J329" s="23" t="s">
        <v>32</v>
      </c>
      <c r="K329" s="86" t="s">
        <v>33</v>
      </c>
      <c r="L329" s="25">
        <v>12</v>
      </c>
      <c r="M329" s="87">
        <v>494496</v>
      </c>
      <c r="N329" s="31">
        <v>45741</v>
      </c>
      <c r="O329" s="26">
        <f t="shared" si="5"/>
        <v>548890.56000000006</v>
      </c>
    </row>
    <row r="330" spans="1:15" x14ac:dyDescent="0.25">
      <c r="A330" s="27"/>
      <c r="B330" s="29"/>
      <c r="C330" s="43"/>
      <c r="D330" s="29"/>
      <c r="E330" s="29"/>
      <c r="F330" s="29"/>
      <c r="G330" s="29"/>
      <c r="H330" s="29"/>
      <c r="I330" s="29"/>
      <c r="J330" s="88" t="s">
        <v>61</v>
      </c>
      <c r="K330" s="23" t="s">
        <v>62</v>
      </c>
      <c r="L330" s="44">
        <v>12</v>
      </c>
      <c r="M330" s="25">
        <v>47736</v>
      </c>
      <c r="N330" s="44">
        <v>4416</v>
      </c>
      <c r="O330" s="26">
        <f t="shared" si="5"/>
        <v>52986.960000000006</v>
      </c>
    </row>
    <row r="331" spans="1:15" x14ac:dyDescent="0.25">
      <c r="A331" s="27"/>
      <c r="B331" s="29"/>
      <c r="C331" s="47"/>
      <c r="D331" s="36"/>
      <c r="E331" s="36"/>
      <c r="F331" s="36"/>
      <c r="G331" s="36"/>
      <c r="H331" s="36"/>
      <c r="I331" s="36"/>
      <c r="J331" s="23" t="s">
        <v>53</v>
      </c>
      <c r="K331" s="48" t="s">
        <v>54</v>
      </c>
      <c r="L331" s="25">
        <v>12</v>
      </c>
      <c r="M331" s="38">
        <v>184824</v>
      </c>
      <c r="N331" s="31">
        <v>17096</v>
      </c>
      <c r="O331" s="26">
        <f t="shared" si="5"/>
        <v>205154.64</v>
      </c>
    </row>
    <row r="332" spans="1:15" x14ac:dyDescent="0.25">
      <c r="A332" s="27"/>
      <c r="B332" s="29"/>
      <c r="C332" s="21">
        <v>46211</v>
      </c>
      <c r="D332" s="20" t="s">
        <v>424</v>
      </c>
      <c r="E332" s="20" t="s">
        <v>425</v>
      </c>
      <c r="F332" s="20" t="s">
        <v>426</v>
      </c>
      <c r="G332" s="57"/>
      <c r="H332" s="20" t="s">
        <v>154</v>
      </c>
      <c r="I332" s="20" t="s">
        <v>68</v>
      </c>
      <c r="J332" s="23" t="s">
        <v>183</v>
      </c>
      <c r="K332" s="46" t="s">
        <v>184</v>
      </c>
      <c r="L332" s="25">
        <v>3</v>
      </c>
      <c r="M332" s="44">
        <v>49878</v>
      </c>
      <c r="N332" s="31">
        <v>18455</v>
      </c>
      <c r="O332" s="26">
        <f t="shared" si="5"/>
        <v>55364.58</v>
      </c>
    </row>
    <row r="333" spans="1:15" x14ac:dyDescent="0.25">
      <c r="A333" s="27"/>
      <c r="B333" s="29"/>
      <c r="C333" s="43"/>
      <c r="D333" s="29"/>
      <c r="E333" s="29"/>
      <c r="F333" s="29"/>
      <c r="G333" s="29"/>
      <c r="H333" s="29"/>
      <c r="I333" s="29"/>
      <c r="J333" s="58" t="s">
        <v>173</v>
      </c>
      <c r="K333" s="23" t="s">
        <v>174</v>
      </c>
      <c r="L333" s="30">
        <v>3</v>
      </c>
      <c r="M333" s="25">
        <v>49878</v>
      </c>
      <c r="N333" s="30">
        <v>18455</v>
      </c>
      <c r="O333" s="26">
        <f t="shared" si="5"/>
        <v>55364.58</v>
      </c>
    </row>
    <row r="334" spans="1:15" x14ac:dyDescent="0.25">
      <c r="A334" s="27"/>
      <c r="B334" s="29"/>
      <c r="C334" s="43"/>
      <c r="D334" s="29"/>
      <c r="E334" s="29"/>
      <c r="F334" s="29"/>
      <c r="G334" s="29"/>
      <c r="H334" s="29"/>
      <c r="I334" s="29"/>
      <c r="J334" s="23" t="s">
        <v>106</v>
      </c>
      <c r="K334" s="22" t="s">
        <v>107</v>
      </c>
      <c r="L334" s="25">
        <v>3</v>
      </c>
      <c r="M334" s="30">
        <v>24480</v>
      </c>
      <c r="N334" s="31">
        <v>9058</v>
      </c>
      <c r="O334" s="26">
        <f t="shared" si="5"/>
        <v>27172.800000000003</v>
      </c>
    </row>
    <row r="335" spans="1:15" x14ac:dyDescent="0.25">
      <c r="A335" s="27"/>
      <c r="B335" s="29"/>
      <c r="C335" s="47"/>
      <c r="D335" s="36"/>
      <c r="E335" s="36"/>
      <c r="F335" s="36"/>
      <c r="G335" s="36"/>
      <c r="H335" s="36"/>
      <c r="I335" s="36"/>
      <c r="J335" s="59" t="s">
        <v>49</v>
      </c>
      <c r="K335" s="23" t="s">
        <v>50</v>
      </c>
      <c r="L335" s="38">
        <v>3</v>
      </c>
      <c r="M335" s="25">
        <v>24480</v>
      </c>
      <c r="N335" s="38">
        <v>9058</v>
      </c>
      <c r="O335" s="26">
        <f t="shared" si="5"/>
        <v>27172.800000000003</v>
      </c>
    </row>
    <row r="336" spans="1:15" ht="22.5" x14ac:dyDescent="0.25">
      <c r="A336" s="27"/>
      <c r="B336" s="36"/>
      <c r="C336" s="39">
        <v>46209</v>
      </c>
      <c r="D336" s="22" t="s">
        <v>427</v>
      </c>
      <c r="E336" s="23" t="s">
        <v>162</v>
      </c>
      <c r="F336" s="22" t="s">
        <v>163</v>
      </c>
      <c r="G336" s="23" t="s">
        <v>164</v>
      </c>
      <c r="H336" s="22" t="s">
        <v>165</v>
      </c>
      <c r="I336" s="23" t="s">
        <v>44</v>
      </c>
      <c r="J336" s="46" t="s">
        <v>202</v>
      </c>
      <c r="K336" s="23" t="s">
        <v>203</v>
      </c>
      <c r="L336" s="74">
        <v>-1</v>
      </c>
      <c r="M336" s="75">
        <v>-16095</v>
      </c>
      <c r="N336" s="44">
        <v>19700</v>
      </c>
      <c r="O336" s="26">
        <f t="shared" si="5"/>
        <v>-17865.45</v>
      </c>
    </row>
    <row r="337" spans="1:15" x14ac:dyDescent="0.25">
      <c r="A337" s="27"/>
      <c r="B337" s="20" t="s">
        <v>428</v>
      </c>
      <c r="C337" s="21">
        <v>46234</v>
      </c>
      <c r="D337" s="20" t="s">
        <v>429</v>
      </c>
      <c r="E337" s="20" t="s">
        <v>430</v>
      </c>
      <c r="F337" s="20" t="s">
        <v>431</v>
      </c>
      <c r="G337" s="20" t="s">
        <v>432</v>
      </c>
      <c r="H337" s="20" t="s">
        <v>391</v>
      </c>
      <c r="I337" s="20" t="s">
        <v>172</v>
      </c>
      <c r="J337" s="23" t="s">
        <v>257</v>
      </c>
      <c r="K337" s="22" t="s">
        <v>258</v>
      </c>
      <c r="L337" s="25">
        <v>12</v>
      </c>
      <c r="M337" s="30">
        <v>202536</v>
      </c>
      <c r="N337" s="31">
        <v>19700</v>
      </c>
      <c r="O337" s="26">
        <f t="shared" si="5"/>
        <v>224814.96000000002</v>
      </c>
    </row>
    <row r="338" spans="1:15" x14ac:dyDescent="0.25">
      <c r="A338" s="27"/>
      <c r="B338" s="29"/>
      <c r="C338" s="43"/>
      <c r="D338" s="29"/>
      <c r="E338" s="29"/>
      <c r="F338" s="29"/>
      <c r="G338" s="29"/>
      <c r="H338" s="29"/>
      <c r="I338" s="29"/>
      <c r="J338" s="58" t="s">
        <v>248</v>
      </c>
      <c r="K338" s="23" t="s">
        <v>249</v>
      </c>
      <c r="L338" s="30">
        <v>12</v>
      </c>
      <c r="M338" s="25">
        <v>202536</v>
      </c>
      <c r="N338" s="30">
        <v>19700</v>
      </c>
      <c r="O338" s="26">
        <f t="shared" si="5"/>
        <v>224814.96000000002</v>
      </c>
    </row>
    <row r="339" spans="1:15" x14ac:dyDescent="0.25">
      <c r="A339" s="27"/>
      <c r="B339" s="29"/>
      <c r="C339" s="43"/>
      <c r="D339" s="36"/>
      <c r="E339" s="36"/>
      <c r="F339" s="36"/>
      <c r="G339" s="36"/>
      <c r="H339" s="36"/>
      <c r="I339" s="36"/>
      <c r="J339" s="23" t="s">
        <v>195</v>
      </c>
      <c r="K339" s="22" t="s">
        <v>196</v>
      </c>
      <c r="L339" s="25">
        <v>24</v>
      </c>
      <c r="M339" s="30">
        <v>351528</v>
      </c>
      <c r="N339" s="31">
        <v>17096</v>
      </c>
      <c r="O339" s="26">
        <f t="shared" si="5"/>
        <v>390196.08</v>
      </c>
    </row>
    <row r="340" spans="1:15" x14ac:dyDescent="0.25">
      <c r="A340" s="27"/>
      <c r="B340" s="29"/>
      <c r="C340" s="43"/>
      <c r="D340" s="20" t="s">
        <v>433</v>
      </c>
      <c r="E340" s="20" t="s">
        <v>434</v>
      </c>
      <c r="F340" s="20" t="s">
        <v>431</v>
      </c>
      <c r="G340" s="20" t="s">
        <v>435</v>
      </c>
      <c r="H340" s="20" t="s">
        <v>38</v>
      </c>
      <c r="I340" s="20" t="s">
        <v>172</v>
      </c>
      <c r="J340" s="22" t="s">
        <v>202</v>
      </c>
      <c r="K340" s="23" t="s">
        <v>203</v>
      </c>
      <c r="L340" s="30">
        <v>12</v>
      </c>
      <c r="M340" s="25">
        <v>202536</v>
      </c>
      <c r="N340" s="30">
        <v>19700</v>
      </c>
      <c r="O340" s="26">
        <f t="shared" si="5"/>
        <v>224814.96000000002</v>
      </c>
    </row>
    <row r="341" spans="1:15" x14ac:dyDescent="0.25">
      <c r="A341" s="27"/>
      <c r="B341" s="29"/>
      <c r="C341" s="43"/>
      <c r="D341" s="29"/>
      <c r="E341" s="29"/>
      <c r="F341" s="29"/>
      <c r="G341" s="29"/>
      <c r="H341" s="29"/>
      <c r="I341" s="29"/>
      <c r="J341" s="23" t="s">
        <v>30</v>
      </c>
      <c r="K341" s="22" t="s">
        <v>31</v>
      </c>
      <c r="L341" s="25">
        <v>72</v>
      </c>
      <c r="M341" s="30">
        <v>1319976</v>
      </c>
      <c r="N341" s="31">
        <v>23776</v>
      </c>
      <c r="O341" s="26">
        <f t="shared" si="5"/>
        <v>1465173.36</v>
      </c>
    </row>
    <row r="342" spans="1:15" x14ac:dyDescent="0.25">
      <c r="A342" s="27"/>
      <c r="B342" s="29"/>
      <c r="C342" s="43"/>
      <c r="D342" s="36"/>
      <c r="E342" s="36"/>
      <c r="F342" s="36"/>
      <c r="G342" s="36"/>
      <c r="H342" s="36"/>
      <c r="I342" s="36"/>
      <c r="J342" s="22" t="s">
        <v>195</v>
      </c>
      <c r="K342" s="23" t="s">
        <v>196</v>
      </c>
      <c r="L342" s="30">
        <v>24</v>
      </c>
      <c r="M342" s="25">
        <v>351528</v>
      </c>
      <c r="N342" s="30">
        <v>17096</v>
      </c>
      <c r="O342" s="26">
        <f t="shared" si="5"/>
        <v>390196.08</v>
      </c>
    </row>
    <row r="343" spans="1:15" x14ac:dyDescent="0.25">
      <c r="A343" s="27"/>
      <c r="B343" s="29"/>
      <c r="C343" s="43"/>
      <c r="D343" s="20" t="s">
        <v>436</v>
      </c>
      <c r="E343" s="20" t="s">
        <v>437</v>
      </c>
      <c r="F343" s="20" t="s">
        <v>431</v>
      </c>
      <c r="G343" s="20" t="s">
        <v>438</v>
      </c>
      <c r="H343" s="20" t="s">
        <v>225</v>
      </c>
      <c r="I343" s="20" t="s">
        <v>172</v>
      </c>
      <c r="J343" s="23" t="s">
        <v>28</v>
      </c>
      <c r="K343" s="22" t="s">
        <v>29</v>
      </c>
      <c r="L343" s="25">
        <v>36</v>
      </c>
      <c r="M343" s="30">
        <v>488880</v>
      </c>
      <c r="N343" s="31">
        <v>15851</v>
      </c>
      <c r="O343" s="26">
        <f t="shared" si="5"/>
        <v>542656.80000000005</v>
      </c>
    </row>
    <row r="344" spans="1:15" x14ac:dyDescent="0.25">
      <c r="A344" s="27"/>
      <c r="B344" s="29"/>
      <c r="C344" s="43"/>
      <c r="D344" s="29"/>
      <c r="E344" s="29"/>
      <c r="F344" s="29"/>
      <c r="G344" s="29"/>
      <c r="H344" s="29"/>
      <c r="I344" s="29"/>
      <c r="J344" s="58" t="s">
        <v>74</v>
      </c>
      <c r="K344" s="23" t="s">
        <v>75</v>
      </c>
      <c r="L344" s="30">
        <v>48</v>
      </c>
      <c r="M344" s="25">
        <v>879984</v>
      </c>
      <c r="N344" s="30">
        <v>23776</v>
      </c>
      <c r="O344" s="26">
        <f t="shared" si="5"/>
        <v>976782.24000000011</v>
      </c>
    </row>
    <row r="345" spans="1:15" x14ac:dyDescent="0.25">
      <c r="A345" s="27"/>
      <c r="B345" s="29"/>
      <c r="C345" s="43"/>
      <c r="D345" s="29"/>
      <c r="E345" s="29"/>
      <c r="F345" s="29"/>
      <c r="G345" s="29"/>
      <c r="H345" s="29"/>
      <c r="I345" s="29"/>
      <c r="J345" s="23" t="s">
        <v>122</v>
      </c>
      <c r="K345" s="22" t="s">
        <v>123</v>
      </c>
      <c r="L345" s="25">
        <v>12</v>
      </c>
      <c r="M345" s="30">
        <v>470256</v>
      </c>
      <c r="N345" s="31">
        <v>45741</v>
      </c>
      <c r="O345" s="26">
        <f t="shared" si="5"/>
        <v>521984.16000000003</v>
      </c>
    </row>
    <row r="346" spans="1:15" x14ac:dyDescent="0.25">
      <c r="A346" s="27"/>
      <c r="B346" s="29"/>
      <c r="C346" s="43"/>
      <c r="D346" s="29"/>
      <c r="E346" s="29"/>
      <c r="F346" s="29"/>
      <c r="G346" s="29"/>
      <c r="H346" s="29"/>
      <c r="I346" s="29"/>
      <c r="J346" s="58" t="s">
        <v>32</v>
      </c>
      <c r="K346" s="23" t="s">
        <v>33</v>
      </c>
      <c r="L346" s="30">
        <v>12</v>
      </c>
      <c r="M346" s="25">
        <v>470256</v>
      </c>
      <c r="N346" s="30">
        <v>45741</v>
      </c>
      <c r="O346" s="26">
        <f t="shared" si="5"/>
        <v>521984.16000000003</v>
      </c>
    </row>
    <row r="347" spans="1:15" x14ac:dyDescent="0.25">
      <c r="A347" s="27"/>
      <c r="B347" s="29"/>
      <c r="C347" s="43"/>
      <c r="D347" s="29"/>
      <c r="E347" s="29"/>
      <c r="F347" s="29"/>
      <c r="G347" s="29"/>
      <c r="H347" s="29"/>
      <c r="I347" s="29"/>
      <c r="J347" s="23" t="s">
        <v>195</v>
      </c>
      <c r="K347" s="22" t="s">
        <v>196</v>
      </c>
      <c r="L347" s="25">
        <v>120</v>
      </c>
      <c r="M347" s="30">
        <v>1757640</v>
      </c>
      <c r="N347" s="31">
        <v>17096</v>
      </c>
      <c r="O347" s="26">
        <f t="shared" si="5"/>
        <v>1950980.4000000001</v>
      </c>
    </row>
    <row r="348" spans="1:15" x14ac:dyDescent="0.25">
      <c r="A348" s="27"/>
      <c r="B348" s="29"/>
      <c r="C348" s="43"/>
      <c r="D348" s="36"/>
      <c r="E348" s="35"/>
      <c r="F348" s="36"/>
      <c r="G348" s="35"/>
      <c r="H348" s="36"/>
      <c r="I348" s="35"/>
      <c r="J348" s="58" t="s">
        <v>53</v>
      </c>
      <c r="K348" s="23" t="s">
        <v>54</v>
      </c>
      <c r="L348" s="30">
        <v>180</v>
      </c>
      <c r="M348" s="25">
        <v>2636460</v>
      </c>
      <c r="N348" s="30">
        <v>17096</v>
      </c>
      <c r="O348" s="26">
        <f t="shared" si="5"/>
        <v>2926470.6</v>
      </c>
    </row>
    <row r="349" spans="1:15" ht="33.75" x14ac:dyDescent="0.25">
      <c r="A349" s="27"/>
      <c r="B349" s="29"/>
      <c r="C349" s="47"/>
      <c r="D349" s="23" t="s">
        <v>439</v>
      </c>
      <c r="E349" s="42" t="s">
        <v>440</v>
      </c>
      <c r="F349" s="23" t="s">
        <v>441</v>
      </c>
      <c r="G349" s="42" t="s">
        <v>442</v>
      </c>
      <c r="H349" s="23" t="s">
        <v>268</v>
      </c>
      <c r="I349" s="42" t="s">
        <v>172</v>
      </c>
      <c r="J349" s="23" t="s">
        <v>30</v>
      </c>
      <c r="K349" s="22" t="s">
        <v>31</v>
      </c>
      <c r="L349" s="25">
        <v>384</v>
      </c>
      <c r="M349" s="30">
        <v>7567863</v>
      </c>
      <c r="N349" s="31">
        <v>23776</v>
      </c>
      <c r="O349" s="26">
        <f t="shared" si="5"/>
        <v>8400327.9300000016</v>
      </c>
    </row>
    <row r="350" spans="1:15" x14ac:dyDescent="0.25">
      <c r="A350" s="27"/>
      <c r="B350" s="29"/>
      <c r="C350" s="21">
        <v>46233</v>
      </c>
      <c r="D350" s="20" t="s">
        <v>443</v>
      </c>
      <c r="E350" s="20" t="s">
        <v>437</v>
      </c>
      <c r="F350" s="20" t="s">
        <v>431</v>
      </c>
      <c r="G350" s="20" t="s">
        <v>438</v>
      </c>
      <c r="H350" s="20" t="s">
        <v>225</v>
      </c>
      <c r="I350" s="50" t="s">
        <v>172</v>
      </c>
      <c r="J350" s="63" t="s">
        <v>240</v>
      </c>
      <c r="K350" s="86" t="s">
        <v>241</v>
      </c>
      <c r="L350" s="72">
        <v>12</v>
      </c>
      <c r="M350" s="87">
        <v>335232</v>
      </c>
      <c r="N350" s="73">
        <v>32607</v>
      </c>
      <c r="O350" s="26">
        <f t="shared" si="5"/>
        <v>372107.52000000002</v>
      </c>
    </row>
    <row r="351" spans="1:15" x14ac:dyDescent="0.25">
      <c r="A351" s="27"/>
      <c r="B351" s="29"/>
      <c r="C351" s="43"/>
      <c r="D351" s="29"/>
      <c r="E351" s="29"/>
      <c r="F351" s="29"/>
      <c r="G351" s="29"/>
      <c r="H351" s="29"/>
      <c r="I351" s="51"/>
      <c r="J351" s="90" t="s">
        <v>246</v>
      </c>
      <c r="K351" s="23" t="s">
        <v>247</v>
      </c>
      <c r="L351" s="87">
        <v>24</v>
      </c>
      <c r="M351" s="25">
        <v>405072</v>
      </c>
      <c r="N351" s="44">
        <v>19700</v>
      </c>
      <c r="O351" s="26">
        <f t="shared" si="5"/>
        <v>449629.92000000004</v>
      </c>
    </row>
    <row r="352" spans="1:15" x14ac:dyDescent="0.25">
      <c r="A352" s="27"/>
      <c r="B352" s="29"/>
      <c r="C352" s="43"/>
      <c r="D352" s="29"/>
      <c r="E352" s="29"/>
      <c r="F352" s="29"/>
      <c r="G352" s="29"/>
      <c r="H352" s="29"/>
      <c r="I352" s="51"/>
      <c r="J352" s="23" t="s">
        <v>32</v>
      </c>
      <c r="K352" s="86" t="s">
        <v>33</v>
      </c>
      <c r="L352" s="25">
        <v>42</v>
      </c>
      <c r="M352" s="87">
        <v>1645896</v>
      </c>
      <c r="N352" s="31">
        <v>45741</v>
      </c>
      <c r="O352" s="26">
        <f t="shared" si="5"/>
        <v>1826944.56</v>
      </c>
    </row>
    <row r="353" spans="1:15" x14ac:dyDescent="0.25">
      <c r="A353" s="27"/>
      <c r="B353" s="29"/>
      <c r="C353" s="43"/>
      <c r="D353" s="36"/>
      <c r="E353" s="36"/>
      <c r="F353" s="36"/>
      <c r="G353" s="36"/>
      <c r="H353" s="36"/>
      <c r="I353" s="53"/>
      <c r="J353" s="90" t="s">
        <v>367</v>
      </c>
      <c r="K353" s="23" t="s">
        <v>368</v>
      </c>
      <c r="L353" s="87">
        <v>8</v>
      </c>
      <c r="M353" s="25">
        <v>556392</v>
      </c>
      <c r="N353" s="44">
        <v>81179</v>
      </c>
      <c r="O353" s="26">
        <f t="shared" si="5"/>
        <v>617595.12000000011</v>
      </c>
    </row>
    <row r="354" spans="1:15" x14ac:dyDescent="0.25">
      <c r="A354" s="27"/>
      <c r="B354" s="29"/>
      <c r="C354" s="43"/>
      <c r="D354" s="20" t="s">
        <v>444</v>
      </c>
      <c r="E354" s="20" t="s">
        <v>445</v>
      </c>
      <c r="F354" s="20" t="s">
        <v>431</v>
      </c>
      <c r="G354" s="20" t="s">
        <v>446</v>
      </c>
      <c r="H354" s="20" t="s">
        <v>225</v>
      </c>
      <c r="I354" s="50" t="s">
        <v>172</v>
      </c>
      <c r="J354" s="23" t="s">
        <v>246</v>
      </c>
      <c r="K354" s="86" t="s">
        <v>247</v>
      </c>
      <c r="L354" s="25">
        <v>72</v>
      </c>
      <c r="M354" s="87">
        <v>1215216</v>
      </c>
      <c r="N354" s="31">
        <v>19700</v>
      </c>
      <c r="O354" s="26">
        <f t="shared" si="5"/>
        <v>1348889.76</v>
      </c>
    </row>
    <row r="355" spans="1:15" x14ac:dyDescent="0.25">
      <c r="A355" s="27"/>
      <c r="B355" s="29"/>
      <c r="C355" s="43"/>
      <c r="D355" s="29"/>
      <c r="E355" s="29"/>
      <c r="F355" s="29"/>
      <c r="G355" s="29"/>
      <c r="H355" s="29"/>
      <c r="I355" s="51"/>
      <c r="J355" s="90" t="s">
        <v>257</v>
      </c>
      <c r="K355" s="23" t="s">
        <v>258</v>
      </c>
      <c r="L355" s="87">
        <v>60</v>
      </c>
      <c r="M355" s="25">
        <v>1012680</v>
      </c>
      <c r="N355" s="44">
        <v>19700</v>
      </c>
      <c r="O355" s="26">
        <f t="shared" si="5"/>
        <v>1124074.8</v>
      </c>
    </row>
    <row r="356" spans="1:15" x14ac:dyDescent="0.25">
      <c r="A356" s="27"/>
      <c r="B356" s="29"/>
      <c r="C356" s="43"/>
      <c r="D356" s="29"/>
      <c r="E356" s="29"/>
      <c r="F356" s="29"/>
      <c r="G356" s="29"/>
      <c r="H356" s="29"/>
      <c r="I356" s="51"/>
      <c r="J356" s="23" t="s">
        <v>248</v>
      </c>
      <c r="K356" s="86" t="s">
        <v>249</v>
      </c>
      <c r="L356" s="25">
        <v>72</v>
      </c>
      <c r="M356" s="87">
        <v>1215216</v>
      </c>
      <c r="N356" s="31">
        <v>19700</v>
      </c>
      <c r="O356" s="26">
        <f t="shared" si="5"/>
        <v>1348889.76</v>
      </c>
    </row>
    <row r="357" spans="1:15" x14ac:dyDescent="0.25">
      <c r="A357" s="27"/>
      <c r="B357" s="29"/>
      <c r="C357" s="43"/>
      <c r="D357" s="29"/>
      <c r="E357" s="29"/>
      <c r="F357" s="29"/>
      <c r="G357" s="29"/>
      <c r="H357" s="29"/>
      <c r="I357" s="51"/>
      <c r="J357" s="90" t="s">
        <v>202</v>
      </c>
      <c r="K357" s="23" t="s">
        <v>203</v>
      </c>
      <c r="L357" s="87">
        <v>84</v>
      </c>
      <c r="M357" s="25">
        <v>1417752</v>
      </c>
      <c r="N357" s="44">
        <v>19700</v>
      </c>
      <c r="O357" s="26">
        <f t="shared" si="5"/>
        <v>1573704.7200000002</v>
      </c>
    </row>
    <row r="358" spans="1:15" x14ac:dyDescent="0.25">
      <c r="A358" s="27"/>
      <c r="B358" s="29"/>
      <c r="C358" s="43"/>
      <c r="D358" s="29"/>
      <c r="E358" s="29"/>
      <c r="F358" s="29"/>
      <c r="G358" s="29"/>
      <c r="H358" s="29"/>
      <c r="I358" s="51"/>
      <c r="J358" s="23" t="s">
        <v>30</v>
      </c>
      <c r="K358" s="86" t="s">
        <v>31</v>
      </c>
      <c r="L358" s="25">
        <v>36</v>
      </c>
      <c r="M358" s="87">
        <v>659988</v>
      </c>
      <c r="N358" s="31">
        <v>23776</v>
      </c>
      <c r="O358" s="26">
        <f t="shared" si="5"/>
        <v>732586.68</v>
      </c>
    </row>
    <row r="359" spans="1:15" x14ac:dyDescent="0.25">
      <c r="A359" s="27"/>
      <c r="B359" s="29"/>
      <c r="C359" s="43"/>
      <c r="D359" s="29"/>
      <c r="E359" s="29"/>
      <c r="F359" s="29"/>
      <c r="G359" s="29"/>
      <c r="H359" s="29"/>
      <c r="I359" s="51"/>
      <c r="J359" s="90" t="s">
        <v>32</v>
      </c>
      <c r="K359" s="23" t="s">
        <v>33</v>
      </c>
      <c r="L359" s="87">
        <v>60</v>
      </c>
      <c r="M359" s="25">
        <v>2351280</v>
      </c>
      <c r="N359" s="44">
        <v>45741</v>
      </c>
      <c r="O359" s="26">
        <f t="shared" si="5"/>
        <v>2609920.8000000003</v>
      </c>
    </row>
    <row r="360" spans="1:15" x14ac:dyDescent="0.25">
      <c r="A360" s="27"/>
      <c r="B360" s="29"/>
      <c r="C360" s="43"/>
      <c r="D360" s="29"/>
      <c r="E360" s="29"/>
      <c r="F360" s="29"/>
      <c r="G360" s="29"/>
      <c r="H360" s="29"/>
      <c r="I360" s="51"/>
      <c r="J360" s="23" t="s">
        <v>412</v>
      </c>
      <c r="K360" s="86" t="s">
        <v>413</v>
      </c>
      <c r="L360" s="25">
        <v>40</v>
      </c>
      <c r="M360" s="87">
        <v>2781960</v>
      </c>
      <c r="N360" s="31">
        <v>81179</v>
      </c>
      <c r="O360" s="26">
        <f t="shared" si="5"/>
        <v>3087975.6</v>
      </c>
    </row>
    <row r="361" spans="1:15" x14ac:dyDescent="0.25">
      <c r="A361" s="27"/>
      <c r="B361" s="29"/>
      <c r="C361" s="43"/>
      <c r="D361" s="36"/>
      <c r="E361" s="36"/>
      <c r="F361" s="36"/>
      <c r="G361" s="36"/>
      <c r="H361" s="36"/>
      <c r="I361" s="53"/>
      <c r="J361" s="90" t="s">
        <v>367</v>
      </c>
      <c r="K361" s="23" t="s">
        <v>368</v>
      </c>
      <c r="L361" s="87">
        <v>16</v>
      </c>
      <c r="M361" s="25">
        <v>1112784</v>
      </c>
      <c r="N361" s="44">
        <v>81179</v>
      </c>
      <c r="O361" s="26">
        <f t="shared" si="5"/>
        <v>1235190.2400000002</v>
      </c>
    </row>
    <row r="362" spans="1:15" x14ac:dyDescent="0.25">
      <c r="A362" s="27"/>
      <c r="B362" s="29"/>
      <c r="C362" s="43"/>
      <c r="D362" s="20" t="s">
        <v>447</v>
      </c>
      <c r="E362" s="20" t="s">
        <v>448</v>
      </c>
      <c r="F362" s="20" t="s">
        <v>449</v>
      </c>
      <c r="G362" s="20" t="s">
        <v>450</v>
      </c>
      <c r="H362" s="20" t="s">
        <v>80</v>
      </c>
      <c r="I362" s="20" t="s">
        <v>172</v>
      </c>
      <c r="J362" s="23" t="s">
        <v>242</v>
      </c>
      <c r="K362" s="46" t="s">
        <v>243</v>
      </c>
      <c r="L362" s="25">
        <v>12</v>
      </c>
      <c r="M362" s="44">
        <v>335232</v>
      </c>
      <c r="N362" s="31">
        <v>32607</v>
      </c>
      <c r="O362" s="26">
        <f t="shared" si="5"/>
        <v>372107.52000000002</v>
      </c>
    </row>
    <row r="363" spans="1:15" x14ac:dyDescent="0.25">
      <c r="A363" s="27"/>
      <c r="B363" s="29"/>
      <c r="C363" s="43"/>
      <c r="D363" s="29"/>
      <c r="E363" s="29"/>
      <c r="F363" s="29"/>
      <c r="G363" s="29"/>
      <c r="H363" s="29"/>
      <c r="I363" s="29"/>
      <c r="J363" s="54" t="s">
        <v>257</v>
      </c>
      <c r="K363" s="23" t="s">
        <v>258</v>
      </c>
      <c r="L363" s="44">
        <v>12</v>
      </c>
      <c r="M363" s="25">
        <v>202536</v>
      </c>
      <c r="N363" s="44">
        <v>19700</v>
      </c>
      <c r="O363" s="26">
        <f t="shared" si="5"/>
        <v>224814.96000000002</v>
      </c>
    </row>
    <row r="364" spans="1:15" x14ac:dyDescent="0.25">
      <c r="A364" s="27"/>
      <c r="B364" s="29"/>
      <c r="C364" s="43"/>
      <c r="D364" s="29"/>
      <c r="E364" s="29"/>
      <c r="F364" s="29"/>
      <c r="G364" s="29"/>
      <c r="H364" s="29"/>
      <c r="I364" s="29"/>
      <c r="J364" s="23" t="s">
        <v>51</v>
      </c>
      <c r="K364" s="46" t="s">
        <v>52</v>
      </c>
      <c r="L364" s="25">
        <v>12</v>
      </c>
      <c r="M364" s="44">
        <v>162960</v>
      </c>
      <c r="N364" s="31">
        <v>15851</v>
      </c>
      <c r="O364" s="26">
        <f t="shared" si="5"/>
        <v>180885.6</v>
      </c>
    </row>
    <row r="365" spans="1:15" x14ac:dyDescent="0.25">
      <c r="A365" s="27"/>
      <c r="B365" s="29"/>
      <c r="C365" s="43"/>
      <c r="D365" s="29"/>
      <c r="E365" s="29"/>
      <c r="F365" s="29"/>
      <c r="G365" s="29"/>
      <c r="H365" s="29"/>
      <c r="I365" s="29"/>
      <c r="J365" s="54" t="s">
        <v>122</v>
      </c>
      <c r="K365" s="23" t="s">
        <v>123</v>
      </c>
      <c r="L365" s="44">
        <v>6</v>
      </c>
      <c r="M365" s="25">
        <v>235128</v>
      </c>
      <c r="N365" s="44">
        <v>45741</v>
      </c>
      <c r="O365" s="26">
        <f t="shared" si="5"/>
        <v>260992.08000000002</v>
      </c>
    </row>
    <row r="366" spans="1:15" x14ac:dyDescent="0.25">
      <c r="A366" s="27"/>
      <c r="B366" s="29"/>
      <c r="C366" s="43"/>
      <c r="D366" s="36"/>
      <c r="E366" s="36"/>
      <c r="F366" s="36"/>
      <c r="G366" s="36"/>
      <c r="H366" s="36"/>
      <c r="I366" s="36"/>
      <c r="J366" s="23" t="s">
        <v>367</v>
      </c>
      <c r="K366" s="46" t="s">
        <v>368</v>
      </c>
      <c r="L366" s="25">
        <v>4</v>
      </c>
      <c r="M366" s="44">
        <v>278196</v>
      </c>
      <c r="N366" s="31">
        <v>81179</v>
      </c>
      <c r="O366" s="26">
        <f t="shared" si="5"/>
        <v>308797.56000000006</v>
      </c>
    </row>
    <row r="367" spans="1:15" x14ac:dyDescent="0.25">
      <c r="A367" s="27"/>
      <c r="B367" s="29"/>
      <c r="C367" s="43"/>
      <c r="D367" s="20" t="s">
        <v>451</v>
      </c>
      <c r="E367" s="20" t="s">
        <v>452</v>
      </c>
      <c r="F367" s="20" t="s">
        <v>431</v>
      </c>
      <c r="G367" s="20" t="s">
        <v>165</v>
      </c>
      <c r="H367" s="20" t="s">
        <v>165</v>
      </c>
      <c r="I367" s="20" t="s">
        <v>172</v>
      </c>
      <c r="J367" s="46" t="s">
        <v>28</v>
      </c>
      <c r="K367" s="23" t="s">
        <v>29</v>
      </c>
      <c r="L367" s="44">
        <v>24</v>
      </c>
      <c r="M367" s="25">
        <v>325920</v>
      </c>
      <c r="N367" s="44">
        <v>15851</v>
      </c>
      <c r="O367" s="26">
        <f t="shared" si="5"/>
        <v>361771.2</v>
      </c>
    </row>
    <row r="368" spans="1:15" x14ac:dyDescent="0.25">
      <c r="A368" s="27"/>
      <c r="B368" s="29"/>
      <c r="C368" s="47"/>
      <c r="D368" s="36"/>
      <c r="E368" s="36"/>
      <c r="F368" s="36"/>
      <c r="G368" s="36"/>
      <c r="H368" s="36"/>
      <c r="I368" s="36"/>
      <c r="J368" s="23" t="s">
        <v>74</v>
      </c>
      <c r="K368" s="48" t="s">
        <v>75</v>
      </c>
      <c r="L368" s="25">
        <v>12</v>
      </c>
      <c r="M368" s="49">
        <v>219996</v>
      </c>
      <c r="N368" s="31">
        <v>23776</v>
      </c>
      <c r="O368" s="26">
        <f t="shared" si="5"/>
        <v>244195.56000000003</v>
      </c>
    </row>
    <row r="369" spans="1:15" x14ac:dyDescent="0.25">
      <c r="A369" s="27"/>
      <c r="B369" s="29"/>
      <c r="C369" s="21">
        <v>46230</v>
      </c>
      <c r="D369" s="20" t="s">
        <v>453</v>
      </c>
      <c r="E369" s="20" t="s">
        <v>440</v>
      </c>
      <c r="F369" s="20" t="s">
        <v>441</v>
      </c>
      <c r="G369" s="20" t="s">
        <v>442</v>
      </c>
      <c r="H369" s="20" t="s">
        <v>268</v>
      </c>
      <c r="I369" s="20" t="s">
        <v>172</v>
      </c>
      <c r="J369" s="23" t="s">
        <v>30</v>
      </c>
      <c r="K369" s="46" t="s">
        <v>31</v>
      </c>
      <c r="L369" s="25">
        <v>24</v>
      </c>
      <c r="M369" s="44">
        <v>472991</v>
      </c>
      <c r="N369" s="31">
        <v>23776</v>
      </c>
      <c r="O369" s="26">
        <f t="shared" si="5"/>
        <v>525020.01</v>
      </c>
    </row>
    <row r="370" spans="1:15" x14ac:dyDescent="0.25">
      <c r="A370" s="27"/>
      <c r="B370" s="29"/>
      <c r="C370" s="43"/>
      <c r="D370" s="36"/>
      <c r="E370" s="36"/>
      <c r="F370" s="36"/>
      <c r="G370" s="36"/>
      <c r="H370" s="36"/>
      <c r="I370" s="36"/>
      <c r="J370" s="54" t="s">
        <v>53</v>
      </c>
      <c r="K370" s="23" t="s">
        <v>54</v>
      </c>
      <c r="L370" s="44">
        <v>108</v>
      </c>
      <c r="M370" s="25">
        <v>1530465</v>
      </c>
      <c r="N370" s="44">
        <v>17096</v>
      </c>
      <c r="O370" s="26">
        <f t="shared" si="5"/>
        <v>1698816.1500000001</v>
      </c>
    </row>
    <row r="371" spans="1:15" ht="33.75" x14ac:dyDescent="0.25">
      <c r="A371" s="27"/>
      <c r="B371" s="29"/>
      <c r="C371" s="47"/>
      <c r="D371" s="23" t="s">
        <v>454</v>
      </c>
      <c r="E371" s="48" t="s">
        <v>440</v>
      </c>
      <c r="F371" s="23" t="s">
        <v>441</v>
      </c>
      <c r="G371" s="48" t="s">
        <v>442</v>
      </c>
      <c r="H371" s="23" t="s">
        <v>268</v>
      </c>
      <c r="I371" s="48" t="s">
        <v>172</v>
      </c>
      <c r="J371" s="23" t="s">
        <v>30</v>
      </c>
      <c r="K371" s="48" t="s">
        <v>31</v>
      </c>
      <c r="L371" s="25">
        <v>444</v>
      </c>
      <c r="M371" s="49">
        <v>8750341</v>
      </c>
      <c r="N371" s="31">
        <v>23776</v>
      </c>
      <c r="O371" s="26">
        <f t="shared" si="5"/>
        <v>9712878.5100000016</v>
      </c>
    </row>
    <row r="372" spans="1:15" x14ac:dyDescent="0.25">
      <c r="A372" s="27"/>
      <c r="B372" s="29"/>
      <c r="C372" s="91">
        <v>46226</v>
      </c>
      <c r="D372" s="20" t="s">
        <v>455</v>
      </c>
      <c r="E372" s="20" t="s">
        <v>445</v>
      </c>
      <c r="F372" s="20" t="s">
        <v>431</v>
      </c>
      <c r="G372" s="20" t="s">
        <v>446</v>
      </c>
      <c r="H372" s="20" t="s">
        <v>225</v>
      </c>
      <c r="I372" s="50" t="s">
        <v>172</v>
      </c>
      <c r="J372" s="23" t="s">
        <v>240</v>
      </c>
      <c r="K372" s="46" t="s">
        <v>241</v>
      </c>
      <c r="L372" s="25">
        <v>24</v>
      </c>
      <c r="M372" s="44">
        <v>670464</v>
      </c>
      <c r="N372" s="31">
        <v>32607</v>
      </c>
      <c r="O372" s="26">
        <f t="shared" si="5"/>
        <v>744215.04000000004</v>
      </c>
    </row>
    <row r="373" spans="1:15" x14ac:dyDescent="0.25">
      <c r="A373" s="27"/>
      <c r="B373" s="29"/>
      <c r="C373" s="92"/>
      <c r="D373" s="29"/>
      <c r="E373" s="29"/>
      <c r="F373" s="29"/>
      <c r="G373" s="29"/>
      <c r="H373" s="29"/>
      <c r="I373" s="51"/>
      <c r="J373" s="56" t="s">
        <v>233</v>
      </c>
      <c r="K373" s="23" t="s">
        <v>234</v>
      </c>
      <c r="L373" s="30">
        <v>24</v>
      </c>
      <c r="M373" s="25">
        <v>670464</v>
      </c>
      <c r="N373" s="30">
        <v>32607</v>
      </c>
      <c r="O373" s="26">
        <f t="shared" si="5"/>
        <v>744215.04000000004</v>
      </c>
    </row>
    <row r="374" spans="1:15" x14ac:dyDescent="0.25">
      <c r="A374" s="27"/>
      <c r="B374" s="29"/>
      <c r="C374" s="92"/>
      <c r="D374" s="29"/>
      <c r="E374" s="29"/>
      <c r="F374" s="29"/>
      <c r="G374" s="29"/>
      <c r="H374" s="29"/>
      <c r="I374" s="51"/>
      <c r="J374" s="23" t="s">
        <v>244</v>
      </c>
      <c r="K374" s="22" t="s">
        <v>245</v>
      </c>
      <c r="L374" s="25">
        <v>72</v>
      </c>
      <c r="M374" s="30">
        <v>1215216</v>
      </c>
      <c r="N374" s="31">
        <v>19700</v>
      </c>
      <c r="O374" s="26">
        <f t="shared" si="5"/>
        <v>1348889.76</v>
      </c>
    </row>
    <row r="375" spans="1:15" x14ac:dyDescent="0.25">
      <c r="A375" s="27"/>
      <c r="B375" s="29"/>
      <c r="C375" s="92"/>
      <c r="D375" s="29"/>
      <c r="E375" s="29"/>
      <c r="F375" s="29"/>
      <c r="G375" s="29"/>
      <c r="H375" s="29"/>
      <c r="I375" s="51"/>
      <c r="J375" s="56" t="s">
        <v>51</v>
      </c>
      <c r="K375" s="23" t="s">
        <v>52</v>
      </c>
      <c r="L375" s="30">
        <v>36</v>
      </c>
      <c r="M375" s="25">
        <v>488880</v>
      </c>
      <c r="N375" s="30">
        <v>15851</v>
      </c>
      <c r="O375" s="26">
        <f t="shared" si="5"/>
        <v>542656.80000000005</v>
      </c>
    </row>
    <row r="376" spans="1:15" x14ac:dyDescent="0.25">
      <c r="A376" s="27"/>
      <c r="B376" s="29"/>
      <c r="C376" s="92"/>
      <c r="D376" s="29"/>
      <c r="E376" s="29"/>
      <c r="F376" s="29"/>
      <c r="G376" s="29"/>
      <c r="H376" s="29"/>
      <c r="I376" s="51"/>
      <c r="J376" s="23" t="s">
        <v>28</v>
      </c>
      <c r="K376" s="22" t="s">
        <v>29</v>
      </c>
      <c r="L376" s="25">
        <v>108</v>
      </c>
      <c r="M376" s="30">
        <v>1466640</v>
      </c>
      <c r="N376" s="31">
        <v>15851</v>
      </c>
      <c r="O376" s="26">
        <f t="shared" si="5"/>
        <v>1627970.4000000001</v>
      </c>
    </row>
    <row r="377" spans="1:15" x14ac:dyDescent="0.25">
      <c r="A377" s="27"/>
      <c r="B377" s="29"/>
      <c r="C377" s="92"/>
      <c r="D377" s="29"/>
      <c r="E377" s="29"/>
      <c r="F377" s="29"/>
      <c r="G377" s="29"/>
      <c r="H377" s="29"/>
      <c r="I377" s="51"/>
      <c r="J377" s="56" t="s">
        <v>30</v>
      </c>
      <c r="K377" s="23" t="s">
        <v>31</v>
      </c>
      <c r="L377" s="30">
        <v>204</v>
      </c>
      <c r="M377" s="25">
        <v>3739932</v>
      </c>
      <c r="N377" s="30">
        <v>23776</v>
      </c>
      <c r="O377" s="26">
        <f t="shared" si="5"/>
        <v>4151324.5200000005</v>
      </c>
    </row>
    <row r="378" spans="1:15" x14ac:dyDescent="0.25">
      <c r="A378" s="27"/>
      <c r="B378" s="29"/>
      <c r="C378" s="92"/>
      <c r="D378" s="36"/>
      <c r="E378" s="36"/>
      <c r="F378" s="36"/>
      <c r="G378" s="36"/>
      <c r="H378" s="36"/>
      <c r="I378" s="53"/>
      <c r="J378" s="23" t="s">
        <v>122</v>
      </c>
      <c r="K378" s="22" t="s">
        <v>123</v>
      </c>
      <c r="L378" s="25">
        <v>24</v>
      </c>
      <c r="M378" s="30">
        <v>940512</v>
      </c>
      <c r="N378" s="31">
        <v>45741</v>
      </c>
      <c r="O378" s="26">
        <f t="shared" si="5"/>
        <v>1043968.3200000001</v>
      </c>
    </row>
    <row r="379" spans="1:15" x14ac:dyDescent="0.25">
      <c r="A379" s="27"/>
      <c r="B379" s="29"/>
      <c r="C379" s="92"/>
      <c r="D379" s="93" t="s">
        <v>456</v>
      </c>
      <c r="E379" s="20" t="s">
        <v>434</v>
      </c>
      <c r="F379" s="20" t="s">
        <v>431</v>
      </c>
      <c r="G379" s="20" t="s">
        <v>435</v>
      </c>
      <c r="H379" s="20" t="s">
        <v>38</v>
      </c>
      <c r="I379" s="20" t="s">
        <v>172</v>
      </c>
      <c r="J379" s="22" t="s">
        <v>244</v>
      </c>
      <c r="K379" s="23" t="s">
        <v>245</v>
      </c>
      <c r="L379" s="30">
        <v>24</v>
      </c>
      <c r="M379" s="25">
        <v>405072</v>
      </c>
      <c r="N379" s="30">
        <v>19700</v>
      </c>
      <c r="O379" s="26">
        <f t="shared" si="5"/>
        <v>449629.92000000004</v>
      </c>
    </row>
    <row r="380" spans="1:15" x14ac:dyDescent="0.25">
      <c r="A380" s="27"/>
      <c r="B380" s="29"/>
      <c r="C380" s="92"/>
      <c r="D380" s="94"/>
      <c r="E380" s="29"/>
      <c r="F380" s="29"/>
      <c r="G380" s="29"/>
      <c r="H380" s="29"/>
      <c r="I380" s="29"/>
      <c r="J380" s="23" t="s">
        <v>248</v>
      </c>
      <c r="K380" s="22" t="s">
        <v>249</v>
      </c>
      <c r="L380" s="25">
        <v>12</v>
      </c>
      <c r="M380" s="30">
        <v>202536</v>
      </c>
      <c r="N380" s="31">
        <v>19700</v>
      </c>
      <c r="O380" s="26">
        <f t="shared" si="5"/>
        <v>224814.96000000002</v>
      </c>
    </row>
    <row r="381" spans="1:15" x14ac:dyDescent="0.25">
      <c r="A381" s="27"/>
      <c r="B381" s="29"/>
      <c r="C381" s="92"/>
      <c r="D381" s="94"/>
      <c r="E381" s="29"/>
      <c r="F381" s="29"/>
      <c r="G381" s="29"/>
      <c r="H381" s="29"/>
      <c r="I381" s="29"/>
      <c r="J381" s="22" t="s">
        <v>202</v>
      </c>
      <c r="K381" s="23" t="s">
        <v>203</v>
      </c>
      <c r="L381" s="30">
        <v>12</v>
      </c>
      <c r="M381" s="25">
        <v>202536</v>
      </c>
      <c r="N381" s="30">
        <v>19700</v>
      </c>
      <c r="O381" s="26">
        <f t="shared" si="5"/>
        <v>224814.96000000002</v>
      </c>
    </row>
    <row r="382" spans="1:15" x14ac:dyDescent="0.25">
      <c r="A382" s="27"/>
      <c r="B382" s="29"/>
      <c r="C382" s="92"/>
      <c r="D382" s="94"/>
      <c r="E382" s="29"/>
      <c r="F382" s="29"/>
      <c r="G382" s="29"/>
      <c r="H382" s="29"/>
      <c r="I382" s="29"/>
      <c r="J382" s="23" t="s">
        <v>28</v>
      </c>
      <c r="K382" s="22" t="s">
        <v>29</v>
      </c>
      <c r="L382" s="25">
        <v>36</v>
      </c>
      <c r="M382" s="30">
        <v>488880</v>
      </c>
      <c r="N382" s="31">
        <v>15851</v>
      </c>
      <c r="O382" s="26">
        <f t="shared" si="5"/>
        <v>542656.80000000005</v>
      </c>
    </row>
    <row r="383" spans="1:15" x14ac:dyDescent="0.25">
      <c r="A383" s="27"/>
      <c r="B383" s="29"/>
      <c r="C383" s="92"/>
      <c r="D383" s="95"/>
      <c r="E383" s="36"/>
      <c r="F383" s="36"/>
      <c r="G383" s="36"/>
      <c r="H383" s="36"/>
      <c r="I383" s="36"/>
      <c r="J383" s="22" t="s">
        <v>367</v>
      </c>
      <c r="K383" s="23" t="s">
        <v>368</v>
      </c>
      <c r="L383" s="30">
        <v>4</v>
      </c>
      <c r="M383" s="25">
        <v>278196</v>
      </c>
      <c r="N383" s="30">
        <v>81179</v>
      </c>
      <c r="O383" s="26">
        <f t="shared" si="5"/>
        <v>308797.56000000006</v>
      </c>
    </row>
    <row r="384" spans="1:15" ht="22.5" x14ac:dyDescent="0.25">
      <c r="A384" s="27"/>
      <c r="B384" s="29"/>
      <c r="C384" s="92"/>
      <c r="D384" s="23" t="s">
        <v>457</v>
      </c>
      <c r="E384" s="22" t="s">
        <v>448</v>
      </c>
      <c r="F384" s="23" t="s">
        <v>449</v>
      </c>
      <c r="G384" s="22" t="s">
        <v>450</v>
      </c>
      <c r="H384" s="23" t="s">
        <v>80</v>
      </c>
      <c r="I384" s="22" t="s">
        <v>172</v>
      </c>
      <c r="J384" s="23" t="s">
        <v>30</v>
      </c>
      <c r="K384" s="22" t="s">
        <v>31</v>
      </c>
      <c r="L384" s="25">
        <v>24</v>
      </c>
      <c r="M384" s="30">
        <v>439992</v>
      </c>
      <c r="N384" s="31">
        <v>23776</v>
      </c>
      <c r="O384" s="26">
        <f t="shared" si="5"/>
        <v>488391.12000000005</v>
      </c>
    </row>
    <row r="385" spans="1:15" x14ac:dyDescent="0.25">
      <c r="A385" s="27"/>
      <c r="B385" s="29"/>
      <c r="C385" s="92"/>
      <c r="D385" s="20" t="s">
        <v>458</v>
      </c>
      <c r="E385" s="20" t="s">
        <v>430</v>
      </c>
      <c r="F385" s="20" t="s">
        <v>431</v>
      </c>
      <c r="G385" s="20" t="s">
        <v>432</v>
      </c>
      <c r="H385" s="20" t="s">
        <v>391</v>
      </c>
      <c r="I385" s="20" t="s">
        <v>172</v>
      </c>
      <c r="J385" s="22" t="s">
        <v>240</v>
      </c>
      <c r="K385" s="23" t="s">
        <v>241</v>
      </c>
      <c r="L385" s="30">
        <v>12</v>
      </c>
      <c r="M385" s="25">
        <v>335232</v>
      </c>
      <c r="N385" s="30">
        <v>32607</v>
      </c>
      <c r="O385" s="26">
        <f t="shared" si="5"/>
        <v>372107.52000000002</v>
      </c>
    </row>
    <row r="386" spans="1:15" x14ac:dyDescent="0.25">
      <c r="A386" s="27"/>
      <c r="B386" s="29"/>
      <c r="C386" s="92"/>
      <c r="D386" s="29"/>
      <c r="E386" s="29"/>
      <c r="F386" s="29"/>
      <c r="G386" s="29"/>
      <c r="H386" s="29"/>
      <c r="I386" s="29"/>
      <c r="J386" s="23" t="s">
        <v>242</v>
      </c>
      <c r="K386" s="22" t="s">
        <v>243</v>
      </c>
      <c r="L386" s="25">
        <v>12</v>
      </c>
      <c r="M386" s="30">
        <v>335232</v>
      </c>
      <c r="N386" s="31">
        <v>32607</v>
      </c>
      <c r="O386" s="26">
        <f t="shared" si="5"/>
        <v>372107.52000000002</v>
      </c>
    </row>
    <row r="387" spans="1:15" x14ac:dyDescent="0.25">
      <c r="A387" s="27"/>
      <c r="B387" s="29"/>
      <c r="C387" s="92"/>
      <c r="D387" s="29"/>
      <c r="E387" s="29"/>
      <c r="F387" s="29"/>
      <c r="G387" s="29"/>
      <c r="H387" s="29"/>
      <c r="I387" s="29"/>
      <c r="J387" s="22" t="s">
        <v>244</v>
      </c>
      <c r="K387" s="23" t="s">
        <v>245</v>
      </c>
      <c r="L387" s="30">
        <v>24</v>
      </c>
      <c r="M387" s="25">
        <v>405072</v>
      </c>
      <c r="N387" s="30">
        <v>19700</v>
      </c>
      <c r="O387" s="26">
        <f t="shared" si="5"/>
        <v>449629.92000000004</v>
      </c>
    </row>
    <row r="388" spans="1:15" x14ac:dyDescent="0.25">
      <c r="A388" s="27"/>
      <c r="B388" s="29"/>
      <c r="C388" s="92"/>
      <c r="D388" s="29"/>
      <c r="E388" s="29"/>
      <c r="F388" s="29"/>
      <c r="G388" s="29"/>
      <c r="H388" s="29"/>
      <c r="I388" s="29"/>
      <c r="J388" s="23" t="s">
        <v>246</v>
      </c>
      <c r="K388" s="22" t="s">
        <v>247</v>
      </c>
      <c r="L388" s="25">
        <v>24</v>
      </c>
      <c r="M388" s="30">
        <v>405072</v>
      </c>
      <c r="N388" s="31">
        <v>19700</v>
      </c>
      <c r="O388" s="26">
        <f t="shared" si="5"/>
        <v>449629.92000000004</v>
      </c>
    </row>
    <row r="389" spans="1:15" x14ac:dyDescent="0.25">
      <c r="A389" s="27"/>
      <c r="B389" s="29"/>
      <c r="C389" s="92"/>
      <c r="D389" s="29"/>
      <c r="E389" s="29"/>
      <c r="F389" s="29"/>
      <c r="G389" s="29"/>
      <c r="H389" s="29"/>
      <c r="I389" s="29"/>
      <c r="J389" s="22" t="s">
        <v>51</v>
      </c>
      <c r="K389" s="23" t="s">
        <v>52</v>
      </c>
      <c r="L389" s="30">
        <v>36</v>
      </c>
      <c r="M389" s="25">
        <v>488880</v>
      </c>
      <c r="N389" s="30">
        <v>15851</v>
      </c>
      <c r="O389" s="26">
        <f t="shared" si="5"/>
        <v>542656.80000000005</v>
      </c>
    </row>
    <row r="390" spans="1:15" x14ac:dyDescent="0.25">
      <c r="A390" s="27"/>
      <c r="B390" s="29"/>
      <c r="C390" s="92"/>
      <c r="D390" s="29"/>
      <c r="E390" s="29"/>
      <c r="F390" s="29"/>
      <c r="G390" s="29"/>
      <c r="H390" s="29"/>
      <c r="I390" s="29"/>
      <c r="J390" s="23" t="s">
        <v>28</v>
      </c>
      <c r="K390" s="22" t="s">
        <v>29</v>
      </c>
      <c r="L390" s="25">
        <v>60</v>
      </c>
      <c r="M390" s="30">
        <v>814800</v>
      </c>
      <c r="N390" s="31">
        <v>15851</v>
      </c>
      <c r="O390" s="26">
        <f t="shared" si="5"/>
        <v>904428.00000000012</v>
      </c>
    </row>
    <row r="391" spans="1:15" x14ac:dyDescent="0.25">
      <c r="A391" s="27"/>
      <c r="B391" s="29"/>
      <c r="C391" s="92"/>
      <c r="D391" s="29"/>
      <c r="E391" s="29"/>
      <c r="F391" s="29"/>
      <c r="G391" s="29"/>
      <c r="H391" s="29"/>
      <c r="I391" s="29"/>
      <c r="J391" s="22" t="s">
        <v>74</v>
      </c>
      <c r="K391" s="23" t="s">
        <v>75</v>
      </c>
      <c r="L391" s="30">
        <v>36</v>
      </c>
      <c r="M391" s="25">
        <v>659988</v>
      </c>
      <c r="N391" s="30">
        <v>23776</v>
      </c>
      <c r="O391" s="26">
        <f t="shared" ref="O391:O454" si="6">M391*1.11</f>
        <v>732586.68</v>
      </c>
    </row>
    <row r="392" spans="1:15" x14ac:dyDescent="0.25">
      <c r="A392" s="27"/>
      <c r="B392" s="29"/>
      <c r="C392" s="92"/>
      <c r="D392" s="29"/>
      <c r="E392" s="29"/>
      <c r="F392" s="29"/>
      <c r="G392" s="29"/>
      <c r="H392" s="29"/>
      <c r="I392" s="29"/>
      <c r="J392" s="23" t="s">
        <v>30</v>
      </c>
      <c r="K392" s="22" t="s">
        <v>31</v>
      </c>
      <c r="L392" s="25">
        <v>72</v>
      </c>
      <c r="M392" s="30">
        <v>1319976</v>
      </c>
      <c r="N392" s="31">
        <v>23776</v>
      </c>
      <c r="O392" s="26">
        <f t="shared" si="6"/>
        <v>1465173.36</v>
      </c>
    </row>
    <row r="393" spans="1:15" x14ac:dyDescent="0.25">
      <c r="A393" s="27"/>
      <c r="B393" s="29"/>
      <c r="C393" s="92"/>
      <c r="D393" s="29"/>
      <c r="E393" s="29"/>
      <c r="F393" s="29"/>
      <c r="G393" s="29"/>
      <c r="H393" s="29"/>
      <c r="I393" s="29"/>
      <c r="J393" s="22" t="s">
        <v>122</v>
      </c>
      <c r="K393" s="23" t="s">
        <v>123</v>
      </c>
      <c r="L393" s="30">
        <v>12</v>
      </c>
      <c r="M393" s="25">
        <v>470256</v>
      </c>
      <c r="N393" s="30">
        <v>45741</v>
      </c>
      <c r="O393" s="26">
        <f t="shared" si="6"/>
        <v>521984.16000000003</v>
      </c>
    </row>
    <row r="394" spans="1:15" x14ac:dyDescent="0.25">
      <c r="A394" s="27"/>
      <c r="B394" s="29"/>
      <c r="C394" s="92"/>
      <c r="D394" s="29"/>
      <c r="E394" s="29"/>
      <c r="F394" s="29"/>
      <c r="G394" s="29"/>
      <c r="H394" s="29"/>
      <c r="I394" s="29"/>
      <c r="J394" s="23" t="s">
        <v>32</v>
      </c>
      <c r="K394" s="22" t="s">
        <v>33</v>
      </c>
      <c r="L394" s="25">
        <v>30</v>
      </c>
      <c r="M394" s="30">
        <v>1175640</v>
      </c>
      <c r="N394" s="31">
        <v>45741</v>
      </c>
      <c r="O394" s="26">
        <f t="shared" si="6"/>
        <v>1304960.4000000001</v>
      </c>
    </row>
    <row r="395" spans="1:15" x14ac:dyDescent="0.25">
      <c r="A395" s="27"/>
      <c r="B395" s="29"/>
      <c r="C395" s="92"/>
      <c r="D395" s="36"/>
      <c r="E395" s="36"/>
      <c r="F395" s="36"/>
      <c r="G395" s="36"/>
      <c r="H395" s="36"/>
      <c r="I395" s="36"/>
      <c r="J395" s="22" t="s">
        <v>367</v>
      </c>
      <c r="K395" s="23" t="s">
        <v>368</v>
      </c>
      <c r="L395" s="30">
        <v>12</v>
      </c>
      <c r="M395" s="25">
        <v>834588</v>
      </c>
      <c r="N395" s="30">
        <v>81179</v>
      </c>
      <c r="O395" s="26">
        <f t="shared" si="6"/>
        <v>926392.68</v>
      </c>
    </row>
    <row r="396" spans="1:15" x14ac:dyDescent="0.25">
      <c r="A396" s="27"/>
      <c r="B396" s="29"/>
      <c r="C396" s="92"/>
      <c r="D396" s="20" t="s">
        <v>459</v>
      </c>
      <c r="E396" s="20" t="s">
        <v>452</v>
      </c>
      <c r="F396" s="20" t="s">
        <v>431</v>
      </c>
      <c r="G396" s="20" t="s">
        <v>165</v>
      </c>
      <c r="H396" s="20" t="s">
        <v>165</v>
      </c>
      <c r="I396" s="20" t="s">
        <v>172</v>
      </c>
      <c r="J396" s="23" t="s">
        <v>248</v>
      </c>
      <c r="K396" s="22" t="s">
        <v>249</v>
      </c>
      <c r="L396" s="25">
        <v>12</v>
      </c>
      <c r="M396" s="30">
        <v>202536</v>
      </c>
      <c r="N396" s="31">
        <v>19700</v>
      </c>
      <c r="O396" s="26">
        <f t="shared" si="6"/>
        <v>224814.96000000002</v>
      </c>
    </row>
    <row r="397" spans="1:15" x14ac:dyDescent="0.25">
      <c r="A397" s="27"/>
      <c r="B397" s="29"/>
      <c r="C397" s="92"/>
      <c r="D397" s="29"/>
      <c r="E397" s="29"/>
      <c r="F397" s="29"/>
      <c r="G397" s="29"/>
      <c r="H397" s="29"/>
      <c r="I397" s="29"/>
      <c r="J397" s="54" t="s">
        <v>51</v>
      </c>
      <c r="K397" s="23" t="s">
        <v>52</v>
      </c>
      <c r="L397" s="44">
        <v>12</v>
      </c>
      <c r="M397" s="25">
        <v>162960</v>
      </c>
      <c r="N397" s="44">
        <v>15851</v>
      </c>
      <c r="O397" s="26">
        <f t="shared" si="6"/>
        <v>180885.6</v>
      </c>
    </row>
    <row r="398" spans="1:15" x14ac:dyDescent="0.25">
      <c r="A398" s="27"/>
      <c r="B398" s="29"/>
      <c r="C398" s="92"/>
      <c r="D398" s="29"/>
      <c r="E398" s="29"/>
      <c r="F398" s="29"/>
      <c r="G398" s="29"/>
      <c r="H398" s="29"/>
      <c r="I398" s="29"/>
      <c r="J398" s="23" t="s">
        <v>30</v>
      </c>
      <c r="K398" s="46" t="s">
        <v>31</v>
      </c>
      <c r="L398" s="25">
        <v>12</v>
      </c>
      <c r="M398" s="44">
        <v>219996</v>
      </c>
      <c r="N398" s="31">
        <v>23776</v>
      </c>
      <c r="O398" s="26">
        <f t="shared" si="6"/>
        <v>244195.56000000003</v>
      </c>
    </row>
    <row r="399" spans="1:15" x14ac:dyDescent="0.25">
      <c r="A399" s="27"/>
      <c r="B399" s="29"/>
      <c r="C399" s="92"/>
      <c r="D399" s="29"/>
      <c r="E399" s="29"/>
      <c r="F399" s="29"/>
      <c r="G399" s="29"/>
      <c r="H399" s="29"/>
      <c r="I399" s="29"/>
      <c r="J399" s="54" t="s">
        <v>32</v>
      </c>
      <c r="K399" s="23" t="s">
        <v>33</v>
      </c>
      <c r="L399" s="44">
        <v>6</v>
      </c>
      <c r="M399" s="25">
        <v>235128</v>
      </c>
      <c r="N399" s="44">
        <v>45741</v>
      </c>
      <c r="O399" s="26">
        <f t="shared" si="6"/>
        <v>260992.08000000002</v>
      </c>
    </row>
    <row r="400" spans="1:15" x14ac:dyDescent="0.25">
      <c r="A400" s="27"/>
      <c r="B400" s="29"/>
      <c r="C400" s="92"/>
      <c r="D400" s="36"/>
      <c r="E400" s="36"/>
      <c r="F400" s="36"/>
      <c r="G400" s="36"/>
      <c r="H400" s="36"/>
      <c r="I400" s="36"/>
      <c r="J400" s="23" t="s">
        <v>367</v>
      </c>
      <c r="K400" s="46" t="s">
        <v>368</v>
      </c>
      <c r="L400" s="25">
        <v>4</v>
      </c>
      <c r="M400" s="44">
        <v>278196</v>
      </c>
      <c r="N400" s="31">
        <v>81179</v>
      </c>
      <c r="O400" s="26">
        <f t="shared" si="6"/>
        <v>308797.56000000006</v>
      </c>
    </row>
    <row r="401" spans="1:15" x14ac:dyDescent="0.25">
      <c r="A401" s="27"/>
      <c r="B401" s="29"/>
      <c r="C401" s="92"/>
      <c r="D401" s="20" t="s">
        <v>460</v>
      </c>
      <c r="E401" s="20" t="s">
        <v>437</v>
      </c>
      <c r="F401" s="20" t="s">
        <v>431</v>
      </c>
      <c r="G401" s="20" t="s">
        <v>438</v>
      </c>
      <c r="H401" s="20" t="s">
        <v>225</v>
      </c>
      <c r="I401" s="20" t="s">
        <v>172</v>
      </c>
      <c r="J401" s="46" t="s">
        <v>240</v>
      </c>
      <c r="K401" s="23" t="s">
        <v>241</v>
      </c>
      <c r="L401" s="44">
        <v>12</v>
      </c>
      <c r="M401" s="25">
        <v>335232</v>
      </c>
      <c r="N401" s="44">
        <v>32607</v>
      </c>
      <c r="O401" s="26">
        <f t="shared" si="6"/>
        <v>372107.52000000002</v>
      </c>
    </row>
    <row r="402" spans="1:15" x14ac:dyDescent="0.25">
      <c r="A402" s="27"/>
      <c r="B402" s="29"/>
      <c r="C402" s="92"/>
      <c r="D402" s="29"/>
      <c r="E402" s="29"/>
      <c r="F402" s="29"/>
      <c r="G402" s="29"/>
      <c r="H402" s="29"/>
      <c r="I402" s="29"/>
      <c r="J402" s="23" t="s">
        <v>244</v>
      </c>
      <c r="K402" s="46" t="s">
        <v>245</v>
      </c>
      <c r="L402" s="25">
        <v>48</v>
      </c>
      <c r="M402" s="44">
        <v>810144</v>
      </c>
      <c r="N402" s="31">
        <v>19700</v>
      </c>
      <c r="O402" s="26">
        <f t="shared" si="6"/>
        <v>899259.84000000008</v>
      </c>
    </row>
    <row r="403" spans="1:15" x14ac:dyDescent="0.25">
      <c r="A403" s="27"/>
      <c r="B403" s="29"/>
      <c r="C403" s="92"/>
      <c r="D403" s="29"/>
      <c r="E403" s="29"/>
      <c r="F403" s="29"/>
      <c r="G403" s="29"/>
      <c r="H403" s="29"/>
      <c r="I403" s="29"/>
      <c r="J403" s="46" t="s">
        <v>28</v>
      </c>
      <c r="K403" s="23" t="s">
        <v>29</v>
      </c>
      <c r="L403" s="44">
        <v>60</v>
      </c>
      <c r="M403" s="25">
        <v>814800</v>
      </c>
      <c r="N403" s="44">
        <v>15851</v>
      </c>
      <c r="O403" s="26">
        <f t="shared" si="6"/>
        <v>904428.00000000012</v>
      </c>
    </row>
    <row r="404" spans="1:15" x14ac:dyDescent="0.25">
      <c r="A404" s="27"/>
      <c r="B404" s="29"/>
      <c r="C404" s="96"/>
      <c r="D404" s="36"/>
      <c r="E404" s="36"/>
      <c r="F404" s="36"/>
      <c r="G404" s="36"/>
      <c r="H404" s="36"/>
      <c r="I404" s="36"/>
      <c r="J404" s="23" t="s">
        <v>30</v>
      </c>
      <c r="K404" s="46" t="s">
        <v>31</v>
      </c>
      <c r="L404" s="25">
        <v>108</v>
      </c>
      <c r="M404" s="44">
        <v>1979964</v>
      </c>
      <c r="N404" s="31">
        <v>23776</v>
      </c>
      <c r="O404" s="26">
        <f t="shared" si="6"/>
        <v>2197760.04</v>
      </c>
    </row>
    <row r="405" spans="1:15" ht="33.75" x14ac:dyDescent="0.25">
      <c r="A405" s="27"/>
      <c r="B405" s="29"/>
      <c r="C405" s="21">
        <v>46223</v>
      </c>
      <c r="D405" s="23" t="s">
        <v>461</v>
      </c>
      <c r="E405" s="46" t="s">
        <v>440</v>
      </c>
      <c r="F405" s="23" t="s">
        <v>441</v>
      </c>
      <c r="G405" s="46" t="s">
        <v>442</v>
      </c>
      <c r="H405" s="23" t="s">
        <v>268</v>
      </c>
      <c r="I405" s="46" t="s">
        <v>172</v>
      </c>
      <c r="J405" s="23" t="s">
        <v>30</v>
      </c>
      <c r="K405" s="46" t="s">
        <v>31</v>
      </c>
      <c r="L405" s="25">
        <v>360</v>
      </c>
      <c r="M405" s="44">
        <v>7094872</v>
      </c>
      <c r="N405" s="31">
        <v>23776</v>
      </c>
      <c r="O405" s="26">
        <f t="shared" si="6"/>
        <v>7875307.9200000009</v>
      </c>
    </row>
    <row r="406" spans="1:15" ht="33.75" x14ac:dyDescent="0.25">
      <c r="A406" s="27"/>
      <c r="B406" s="29"/>
      <c r="C406" s="47"/>
      <c r="D406" s="55" t="s">
        <v>462</v>
      </c>
      <c r="E406" s="23" t="s">
        <v>440</v>
      </c>
      <c r="F406" s="48" t="s">
        <v>441</v>
      </c>
      <c r="G406" s="23" t="s">
        <v>442</v>
      </c>
      <c r="H406" s="48" t="s">
        <v>268</v>
      </c>
      <c r="I406" s="23" t="s">
        <v>172</v>
      </c>
      <c r="J406" s="48" t="s">
        <v>53</v>
      </c>
      <c r="K406" s="23" t="s">
        <v>54</v>
      </c>
      <c r="L406" s="49">
        <v>84</v>
      </c>
      <c r="M406" s="25">
        <v>1190362</v>
      </c>
      <c r="N406" s="49">
        <v>17096</v>
      </c>
      <c r="O406" s="26">
        <f t="shared" si="6"/>
        <v>1321301.82</v>
      </c>
    </row>
    <row r="407" spans="1:15" x14ac:dyDescent="0.25">
      <c r="A407" s="27"/>
      <c r="B407" s="29"/>
      <c r="C407" s="21">
        <v>46220</v>
      </c>
      <c r="D407" s="20" t="s">
        <v>463</v>
      </c>
      <c r="E407" s="20" t="s">
        <v>434</v>
      </c>
      <c r="F407" s="20" t="s">
        <v>431</v>
      </c>
      <c r="G407" s="20" t="s">
        <v>435</v>
      </c>
      <c r="H407" s="20" t="s">
        <v>38</v>
      </c>
      <c r="I407" s="20" t="s">
        <v>172</v>
      </c>
      <c r="J407" s="46" t="s">
        <v>202</v>
      </c>
      <c r="K407" s="23" t="s">
        <v>203</v>
      </c>
      <c r="L407" s="44">
        <v>12</v>
      </c>
      <c r="M407" s="25">
        <v>202536</v>
      </c>
      <c r="N407" s="44">
        <v>19700</v>
      </c>
      <c r="O407" s="26">
        <f t="shared" si="6"/>
        <v>224814.96000000002</v>
      </c>
    </row>
    <row r="408" spans="1:15" x14ac:dyDescent="0.25">
      <c r="A408" s="27"/>
      <c r="B408" s="29"/>
      <c r="C408" s="43"/>
      <c r="D408" s="29"/>
      <c r="E408" s="29"/>
      <c r="F408" s="29"/>
      <c r="G408" s="29"/>
      <c r="H408" s="29"/>
      <c r="I408" s="29"/>
      <c r="J408" s="23" t="s">
        <v>51</v>
      </c>
      <c r="K408" s="22" t="s">
        <v>52</v>
      </c>
      <c r="L408" s="25">
        <v>12</v>
      </c>
      <c r="M408" s="30">
        <v>162960</v>
      </c>
      <c r="N408" s="31">
        <v>15851</v>
      </c>
      <c r="O408" s="26">
        <f t="shared" si="6"/>
        <v>180885.6</v>
      </c>
    </row>
    <row r="409" spans="1:15" x14ac:dyDescent="0.25">
      <c r="A409" s="27"/>
      <c r="B409" s="29"/>
      <c r="C409" s="43"/>
      <c r="D409" s="29"/>
      <c r="E409" s="29"/>
      <c r="F409" s="29"/>
      <c r="G409" s="29"/>
      <c r="H409" s="29"/>
      <c r="I409" s="29"/>
      <c r="J409" s="22" t="s">
        <v>30</v>
      </c>
      <c r="K409" s="23" t="s">
        <v>31</v>
      </c>
      <c r="L409" s="30">
        <v>60</v>
      </c>
      <c r="M409" s="25">
        <v>1099980</v>
      </c>
      <c r="N409" s="30">
        <v>23776</v>
      </c>
      <c r="O409" s="26">
        <f t="shared" si="6"/>
        <v>1220977.8</v>
      </c>
    </row>
    <row r="410" spans="1:15" x14ac:dyDescent="0.25">
      <c r="A410" s="27"/>
      <c r="B410" s="29"/>
      <c r="C410" s="43"/>
      <c r="D410" s="29"/>
      <c r="E410" s="29"/>
      <c r="F410" s="29"/>
      <c r="G410" s="29"/>
      <c r="H410" s="29"/>
      <c r="I410" s="29"/>
      <c r="J410" s="23" t="s">
        <v>32</v>
      </c>
      <c r="K410" s="22" t="s">
        <v>33</v>
      </c>
      <c r="L410" s="25">
        <v>12</v>
      </c>
      <c r="M410" s="30">
        <v>470256</v>
      </c>
      <c r="N410" s="31">
        <v>45741</v>
      </c>
      <c r="O410" s="26">
        <f t="shared" si="6"/>
        <v>521984.16000000003</v>
      </c>
    </row>
    <row r="411" spans="1:15" x14ac:dyDescent="0.25">
      <c r="A411" s="27"/>
      <c r="B411" s="29"/>
      <c r="C411" s="43"/>
      <c r="D411" s="36"/>
      <c r="E411" s="36"/>
      <c r="F411" s="36"/>
      <c r="G411" s="36"/>
      <c r="H411" s="36"/>
      <c r="I411" s="36"/>
      <c r="J411" s="22" t="s">
        <v>412</v>
      </c>
      <c r="K411" s="23" t="s">
        <v>413</v>
      </c>
      <c r="L411" s="30">
        <v>4</v>
      </c>
      <c r="M411" s="25">
        <v>278196</v>
      </c>
      <c r="N411" s="30">
        <v>81179</v>
      </c>
      <c r="O411" s="26">
        <f t="shared" si="6"/>
        <v>308797.56000000006</v>
      </c>
    </row>
    <row r="412" spans="1:15" x14ac:dyDescent="0.25">
      <c r="A412" s="27"/>
      <c r="B412" s="29"/>
      <c r="C412" s="43"/>
      <c r="D412" s="20" t="s">
        <v>464</v>
      </c>
      <c r="E412" s="20" t="s">
        <v>437</v>
      </c>
      <c r="F412" s="20" t="s">
        <v>431</v>
      </c>
      <c r="G412" s="20" t="s">
        <v>438</v>
      </c>
      <c r="H412" s="20" t="s">
        <v>225</v>
      </c>
      <c r="I412" s="20" t="s">
        <v>172</v>
      </c>
      <c r="J412" s="23" t="s">
        <v>246</v>
      </c>
      <c r="K412" s="22" t="s">
        <v>247</v>
      </c>
      <c r="L412" s="25">
        <v>24</v>
      </c>
      <c r="M412" s="30">
        <v>405072</v>
      </c>
      <c r="N412" s="31">
        <v>19700</v>
      </c>
      <c r="O412" s="26">
        <f t="shared" si="6"/>
        <v>449629.92000000004</v>
      </c>
    </row>
    <row r="413" spans="1:15" x14ac:dyDescent="0.25">
      <c r="A413" s="27"/>
      <c r="B413" s="29"/>
      <c r="C413" s="43"/>
      <c r="D413" s="29"/>
      <c r="E413" s="29"/>
      <c r="F413" s="29"/>
      <c r="G413" s="29"/>
      <c r="H413" s="29"/>
      <c r="I413" s="29"/>
      <c r="J413" s="58" t="s">
        <v>32</v>
      </c>
      <c r="K413" s="23" t="s">
        <v>33</v>
      </c>
      <c r="L413" s="30">
        <v>36</v>
      </c>
      <c r="M413" s="25">
        <v>1410768</v>
      </c>
      <c r="N413" s="30">
        <v>45741</v>
      </c>
      <c r="O413" s="26">
        <f t="shared" si="6"/>
        <v>1565952.4800000002</v>
      </c>
    </row>
    <row r="414" spans="1:15" x14ac:dyDescent="0.25">
      <c r="A414" s="27"/>
      <c r="B414" s="29"/>
      <c r="C414" s="43"/>
      <c r="D414" s="36"/>
      <c r="E414" s="36"/>
      <c r="F414" s="36"/>
      <c r="G414" s="36"/>
      <c r="H414" s="36"/>
      <c r="I414" s="36"/>
      <c r="J414" s="23" t="s">
        <v>412</v>
      </c>
      <c r="K414" s="22" t="s">
        <v>413</v>
      </c>
      <c r="L414" s="25">
        <v>12</v>
      </c>
      <c r="M414" s="30">
        <v>834588</v>
      </c>
      <c r="N414" s="31">
        <v>81179</v>
      </c>
      <c r="O414" s="26">
        <f t="shared" si="6"/>
        <v>926392.68</v>
      </c>
    </row>
    <row r="415" spans="1:15" x14ac:dyDescent="0.25">
      <c r="A415" s="27"/>
      <c r="B415" s="29"/>
      <c r="C415" s="43"/>
      <c r="D415" s="20" t="s">
        <v>465</v>
      </c>
      <c r="E415" s="20" t="s">
        <v>445</v>
      </c>
      <c r="F415" s="20" t="s">
        <v>431</v>
      </c>
      <c r="G415" s="20" t="s">
        <v>446</v>
      </c>
      <c r="H415" s="20" t="s">
        <v>225</v>
      </c>
      <c r="I415" s="20" t="s">
        <v>172</v>
      </c>
      <c r="J415" s="22" t="s">
        <v>466</v>
      </c>
      <c r="K415" s="23" t="s">
        <v>467</v>
      </c>
      <c r="L415" s="30">
        <v>24</v>
      </c>
      <c r="M415" s="25">
        <v>426024</v>
      </c>
      <c r="N415" s="30">
        <v>20719</v>
      </c>
      <c r="O415" s="26">
        <f t="shared" si="6"/>
        <v>472886.64</v>
      </c>
    </row>
    <row r="416" spans="1:15" x14ac:dyDescent="0.25">
      <c r="A416" s="27"/>
      <c r="B416" s="29"/>
      <c r="C416" s="47"/>
      <c r="D416" s="36"/>
      <c r="E416" s="36"/>
      <c r="F416" s="36"/>
      <c r="G416" s="36"/>
      <c r="H416" s="36"/>
      <c r="I416" s="36"/>
      <c r="J416" s="23" t="s">
        <v>367</v>
      </c>
      <c r="K416" s="37" t="s">
        <v>368</v>
      </c>
      <c r="L416" s="25">
        <v>8</v>
      </c>
      <c r="M416" s="38">
        <v>556392</v>
      </c>
      <c r="N416" s="31">
        <v>81179</v>
      </c>
      <c r="O416" s="26">
        <f t="shared" si="6"/>
        <v>617595.12000000011</v>
      </c>
    </row>
    <row r="417" spans="1:15" x14ac:dyDescent="0.25">
      <c r="A417" s="27"/>
      <c r="B417" s="29"/>
      <c r="C417" s="21">
        <v>46219</v>
      </c>
      <c r="D417" s="20" t="s">
        <v>468</v>
      </c>
      <c r="E417" s="20" t="s">
        <v>448</v>
      </c>
      <c r="F417" s="20" t="s">
        <v>449</v>
      </c>
      <c r="G417" s="20" t="s">
        <v>450</v>
      </c>
      <c r="H417" s="20" t="s">
        <v>80</v>
      </c>
      <c r="I417" s="50" t="s">
        <v>172</v>
      </c>
      <c r="J417" s="23" t="s">
        <v>32</v>
      </c>
      <c r="K417" s="42" t="s">
        <v>33</v>
      </c>
      <c r="L417" s="25">
        <v>6</v>
      </c>
      <c r="M417" s="24">
        <v>235128</v>
      </c>
      <c r="N417" s="31">
        <v>45741</v>
      </c>
      <c r="O417" s="26">
        <f t="shared" si="6"/>
        <v>260992.08000000002</v>
      </c>
    </row>
    <row r="418" spans="1:15" x14ac:dyDescent="0.25">
      <c r="A418" s="27"/>
      <c r="B418" s="29"/>
      <c r="C418" s="43"/>
      <c r="D418" s="36"/>
      <c r="E418" s="35"/>
      <c r="F418" s="36"/>
      <c r="G418" s="35"/>
      <c r="H418" s="36"/>
      <c r="I418" s="97"/>
      <c r="J418" s="56" t="s">
        <v>367</v>
      </c>
      <c r="K418" s="23" t="s">
        <v>368</v>
      </c>
      <c r="L418" s="30">
        <v>4</v>
      </c>
      <c r="M418" s="25">
        <v>278196</v>
      </c>
      <c r="N418" s="30">
        <v>81179</v>
      </c>
      <c r="O418" s="26">
        <f t="shared" si="6"/>
        <v>308797.56000000006</v>
      </c>
    </row>
    <row r="419" spans="1:15" x14ac:dyDescent="0.25">
      <c r="A419" s="27"/>
      <c r="B419" s="29"/>
      <c r="C419" s="43"/>
      <c r="D419" s="20" t="s">
        <v>469</v>
      </c>
      <c r="E419" s="98" t="s">
        <v>430</v>
      </c>
      <c r="F419" s="20" t="s">
        <v>431</v>
      </c>
      <c r="G419" s="98" t="s">
        <v>432</v>
      </c>
      <c r="H419" s="20" t="s">
        <v>391</v>
      </c>
      <c r="I419" s="99" t="s">
        <v>172</v>
      </c>
      <c r="J419" s="23" t="s">
        <v>466</v>
      </c>
      <c r="K419" s="22" t="s">
        <v>467</v>
      </c>
      <c r="L419" s="25">
        <v>12</v>
      </c>
      <c r="M419" s="30">
        <v>213012</v>
      </c>
      <c r="N419" s="31">
        <v>20719</v>
      </c>
      <c r="O419" s="26">
        <f t="shared" si="6"/>
        <v>236443.32</v>
      </c>
    </row>
    <row r="420" spans="1:15" x14ac:dyDescent="0.25">
      <c r="A420" s="27"/>
      <c r="B420" s="29"/>
      <c r="C420" s="47"/>
      <c r="D420" s="36"/>
      <c r="E420" s="36"/>
      <c r="F420" s="36"/>
      <c r="G420" s="36"/>
      <c r="H420" s="36"/>
      <c r="I420" s="53"/>
      <c r="J420" s="100" t="s">
        <v>30</v>
      </c>
      <c r="K420" s="23" t="s">
        <v>31</v>
      </c>
      <c r="L420" s="38">
        <v>36</v>
      </c>
      <c r="M420" s="25">
        <v>659988</v>
      </c>
      <c r="N420" s="38">
        <v>23776</v>
      </c>
      <c r="O420" s="26">
        <f t="shared" si="6"/>
        <v>732586.68</v>
      </c>
    </row>
    <row r="421" spans="1:15" ht="33.75" x14ac:dyDescent="0.25">
      <c r="A421" s="27"/>
      <c r="B421" s="29"/>
      <c r="C421" s="79">
        <v>46217</v>
      </c>
      <c r="D421" s="22" t="s">
        <v>470</v>
      </c>
      <c r="E421" s="23" t="s">
        <v>440</v>
      </c>
      <c r="F421" s="22" t="s">
        <v>441</v>
      </c>
      <c r="G421" s="23" t="s">
        <v>442</v>
      </c>
      <c r="H421" s="22" t="s">
        <v>268</v>
      </c>
      <c r="I421" s="23" t="s">
        <v>172</v>
      </c>
      <c r="J421" s="42" t="s">
        <v>53</v>
      </c>
      <c r="K421" s="23" t="s">
        <v>54</v>
      </c>
      <c r="L421" s="24">
        <v>48</v>
      </c>
      <c r="M421" s="25">
        <v>680207</v>
      </c>
      <c r="N421" s="24">
        <v>17096</v>
      </c>
      <c r="O421" s="26">
        <f t="shared" si="6"/>
        <v>755029.77</v>
      </c>
    </row>
    <row r="422" spans="1:15" ht="22.5" x14ac:dyDescent="0.25">
      <c r="A422" s="27"/>
      <c r="B422" s="29"/>
      <c r="C422" s="79">
        <v>46214</v>
      </c>
      <c r="D422" s="48" t="s">
        <v>471</v>
      </c>
      <c r="E422" s="23" t="s">
        <v>445</v>
      </c>
      <c r="F422" s="48" t="s">
        <v>431</v>
      </c>
      <c r="G422" s="23" t="s">
        <v>446</v>
      </c>
      <c r="H422" s="48" t="s">
        <v>225</v>
      </c>
      <c r="I422" s="23" t="s">
        <v>172</v>
      </c>
      <c r="J422" s="48" t="s">
        <v>122</v>
      </c>
      <c r="K422" s="23" t="s">
        <v>123</v>
      </c>
      <c r="L422" s="76">
        <v>-1</v>
      </c>
      <c r="M422" s="75">
        <v>-36279</v>
      </c>
      <c r="N422" s="49">
        <v>45741</v>
      </c>
      <c r="O422" s="26">
        <f t="shared" si="6"/>
        <v>-40269.69</v>
      </c>
    </row>
    <row r="423" spans="1:15" ht="33.75" x14ac:dyDescent="0.25">
      <c r="A423" s="27"/>
      <c r="B423" s="29"/>
      <c r="C423" s="85">
        <v>46213</v>
      </c>
      <c r="D423" s="48" t="s">
        <v>472</v>
      </c>
      <c r="E423" s="63" t="s">
        <v>440</v>
      </c>
      <c r="F423" s="48" t="s">
        <v>441</v>
      </c>
      <c r="G423" s="63" t="s">
        <v>442</v>
      </c>
      <c r="H423" s="48" t="s">
        <v>268</v>
      </c>
      <c r="I423" s="63" t="s">
        <v>172</v>
      </c>
      <c r="J423" s="48" t="s">
        <v>30</v>
      </c>
      <c r="K423" s="63" t="s">
        <v>31</v>
      </c>
      <c r="L423" s="49">
        <v>804</v>
      </c>
      <c r="M423" s="72">
        <v>15845212</v>
      </c>
      <c r="N423" s="49">
        <v>23776</v>
      </c>
      <c r="O423" s="26">
        <f t="shared" si="6"/>
        <v>17588185.32</v>
      </c>
    </row>
    <row r="424" spans="1:15" ht="33.75" x14ac:dyDescent="0.25">
      <c r="A424" s="27"/>
      <c r="B424" s="29"/>
      <c r="C424" s="21">
        <v>46212</v>
      </c>
      <c r="D424" s="46" t="s">
        <v>473</v>
      </c>
      <c r="E424" s="23" t="s">
        <v>437</v>
      </c>
      <c r="F424" s="46" t="s">
        <v>431</v>
      </c>
      <c r="G424" s="23" t="s">
        <v>438</v>
      </c>
      <c r="H424" s="46" t="s">
        <v>225</v>
      </c>
      <c r="I424" s="23" t="s">
        <v>172</v>
      </c>
      <c r="J424" s="46" t="s">
        <v>195</v>
      </c>
      <c r="K424" s="23" t="s">
        <v>196</v>
      </c>
      <c r="L424" s="44">
        <v>60</v>
      </c>
      <c r="M424" s="25">
        <v>878820</v>
      </c>
      <c r="N424" s="44">
        <v>17096</v>
      </c>
      <c r="O424" s="26">
        <f t="shared" si="6"/>
        <v>975490.20000000007</v>
      </c>
    </row>
    <row r="425" spans="1:15" x14ac:dyDescent="0.25">
      <c r="A425" s="27"/>
      <c r="B425" s="29"/>
      <c r="C425" s="43"/>
      <c r="D425" s="20" t="s">
        <v>474</v>
      </c>
      <c r="E425" s="20" t="s">
        <v>434</v>
      </c>
      <c r="F425" s="20" t="s">
        <v>431</v>
      </c>
      <c r="G425" s="20" t="s">
        <v>435</v>
      </c>
      <c r="H425" s="20" t="s">
        <v>38</v>
      </c>
      <c r="I425" s="50" t="s">
        <v>172</v>
      </c>
      <c r="J425" s="23" t="s">
        <v>466</v>
      </c>
      <c r="K425" s="22" t="s">
        <v>467</v>
      </c>
      <c r="L425" s="25">
        <v>24</v>
      </c>
      <c r="M425" s="30">
        <v>426024</v>
      </c>
      <c r="N425" s="31">
        <v>20719</v>
      </c>
      <c r="O425" s="26">
        <f t="shared" si="6"/>
        <v>472886.64</v>
      </c>
    </row>
    <row r="426" spans="1:15" x14ac:dyDescent="0.25">
      <c r="A426" s="27"/>
      <c r="B426" s="29"/>
      <c r="C426" s="43"/>
      <c r="D426" s="29"/>
      <c r="E426" s="29"/>
      <c r="F426" s="29"/>
      <c r="G426" s="29"/>
      <c r="H426" s="29"/>
      <c r="I426" s="51"/>
      <c r="J426" s="56" t="s">
        <v>51</v>
      </c>
      <c r="K426" s="23" t="s">
        <v>52</v>
      </c>
      <c r="L426" s="30">
        <v>12</v>
      </c>
      <c r="M426" s="25">
        <v>162960</v>
      </c>
      <c r="N426" s="30">
        <v>15851</v>
      </c>
      <c r="O426" s="26">
        <f t="shared" si="6"/>
        <v>180885.6</v>
      </c>
    </row>
    <row r="427" spans="1:15" x14ac:dyDescent="0.25">
      <c r="A427" s="27"/>
      <c r="B427" s="29"/>
      <c r="C427" s="43"/>
      <c r="D427" s="29"/>
      <c r="E427" s="29"/>
      <c r="F427" s="29"/>
      <c r="G427" s="29"/>
      <c r="H427" s="29"/>
      <c r="I427" s="51"/>
      <c r="J427" s="23" t="s">
        <v>28</v>
      </c>
      <c r="K427" s="22" t="s">
        <v>29</v>
      </c>
      <c r="L427" s="25">
        <v>48</v>
      </c>
      <c r="M427" s="30">
        <v>651840</v>
      </c>
      <c r="N427" s="31">
        <v>15851</v>
      </c>
      <c r="O427" s="26">
        <f t="shared" si="6"/>
        <v>723542.4</v>
      </c>
    </row>
    <row r="428" spans="1:15" x14ac:dyDescent="0.25">
      <c r="A428" s="27"/>
      <c r="B428" s="29"/>
      <c r="C428" s="43"/>
      <c r="D428" s="29"/>
      <c r="E428" s="29"/>
      <c r="F428" s="29"/>
      <c r="G428" s="29"/>
      <c r="H428" s="29"/>
      <c r="I428" s="51"/>
      <c r="J428" s="56" t="s">
        <v>74</v>
      </c>
      <c r="K428" s="23" t="s">
        <v>75</v>
      </c>
      <c r="L428" s="30">
        <v>24</v>
      </c>
      <c r="M428" s="25">
        <v>439992</v>
      </c>
      <c r="N428" s="30">
        <v>23776</v>
      </c>
      <c r="O428" s="26">
        <f t="shared" si="6"/>
        <v>488391.12000000005</v>
      </c>
    </row>
    <row r="429" spans="1:15" x14ac:dyDescent="0.25">
      <c r="A429" s="27"/>
      <c r="B429" s="29"/>
      <c r="C429" s="43"/>
      <c r="D429" s="29"/>
      <c r="E429" s="29"/>
      <c r="F429" s="29"/>
      <c r="G429" s="29"/>
      <c r="H429" s="29"/>
      <c r="I429" s="51"/>
      <c r="J429" s="23" t="s">
        <v>30</v>
      </c>
      <c r="K429" s="22" t="s">
        <v>31</v>
      </c>
      <c r="L429" s="25">
        <v>48</v>
      </c>
      <c r="M429" s="30">
        <v>879984</v>
      </c>
      <c r="N429" s="31">
        <v>23776</v>
      </c>
      <c r="O429" s="26">
        <f t="shared" si="6"/>
        <v>976782.24000000011</v>
      </c>
    </row>
    <row r="430" spans="1:15" x14ac:dyDescent="0.25">
      <c r="A430" s="27"/>
      <c r="B430" s="29"/>
      <c r="C430" s="43"/>
      <c r="D430" s="29"/>
      <c r="E430" s="29"/>
      <c r="F430" s="29"/>
      <c r="G430" s="29"/>
      <c r="H430" s="29"/>
      <c r="I430" s="51"/>
      <c r="J430" s="56" t="s">
        <v>122</v>
      </c>
      <c r="K430" s="23" t="s">
        <v>123</v>
      </c>
      <c r="L430" s="30">
        <v>6</v>
      </c>
      <c r="M430" s="25">
        <v>235128</v>
      </c>
      <c r="N430" s="30">
        <v>45741</v>
      </c>
      <c r="O430" s="26">
        <f t="shared" si="6"/>
        <v>260992.08000000002</v>
      </c>
    </row>
    <row r="431" spans="1:15" x14ac:dyDescent="0.25">
      <c r="A431" s="27"/>
      <c r="B431" s="29"/>
      <c r="C431" s="43"/>
      <c r="D431" s="29"/>
      <c r="E431" s="29"/>
      <c r="F431" s="29"/>
      <c r="G431" s="29"/>
      <c r="H431" s="29"/>
      <c r="I431" s="51"/>
      <c r="J431" s="23" t="s">
        <v>32</v>
      </c>
      <c r="K431" s="22" t="s">
        <v>33</v>
      </c>
      <c r="L431" s="25">
        <v>18</v>
      </c>
      <c r="M431" s="30">
        <v>705384</v>
      </c>
      <c r="N431" s="31">
        <v>45741</v>
      </c>
      <c r="O431" s="26">
        <f t="shared" si="6"/>
        <v>782976.24000000011</v>
      </c>
    </row>
    <row r="432" spans="1:15" x14ac:dyDescent="0.25">
      <c r="A432" s="27"/>
      <c r="B432" s="29"/>
      <c r="C432" s="43"/>
      <c r="D432" s="29"/>
      <c r="E432" s="29"/>
      <c r="F432" s="29"/>
      <c r="G432" s="29"/>
      <c r="H432" s="29"/>
      <c r="I432" s="51"/>
      <c r="J432" s="56" t="s">
        <v>367</v>
      </c>
      <c r="K432" s="23" t="s">
        <v>368</v>
      </c>
      <c r="L432" s="30">
        <v>8</v>
      </c>
      <c r="M432" s="25">
        <v>556392</v>
      </c>
      <c r="N432" s="30">
        <v>81179</v>
      </c>
      <c r="O432" s="26">
        <f t="shared" si="6"/>
        <v>617595.12000000011</v>
      </c>
    </row>
    <row r="433" spans="1:15" x14ac:dyDescent="0.25">
      <c r="A433" s="27"/>
      <c r="B433" s="29"/>
      <c r="C433" s="43"/>
      <c r="D433" s="36"/>
      <c r="E433" s="36"/>
      <c r="F433" s="36"/>
      <c r="G433" s="36"/>
      <c r="H433" s="36"/>
      <c r="I433" s="53"/>
      <c r="J433" s="23" t="s">
        <v>195</v>
      </c>
      <c r="K433" s="22" t="s">
        <v>196</v>
      </c>
      <c r="L433" s="25">
        <v>60</v>
      </c>
      <c r="M433" s="30">
        <v>878820</v>
      </c>
      <c r="N433" s="31">
        <v>17096</v>
      </c>
      <c r="O433" s="26">
        <f t="shared" si="6"/>
        <v>975490.20000000007</v>
      </c>
    </row>
    <row r="434" spans="1:15" x14ac:dyDescent="0.25">
      <c r="A434" s="27"/>
      <c r="B434" s="29"/>
      <c r="C434" s="43"/>
      <c r="D434" s="20" t="s">
        <v>475</v>
      </c>
      <c r="E434" s="20" t="s">
        <v>448</v>
      </c>
      <c r="F434" s="20" t="s">
        <v>449</v>
      </c>
      <c r="G434" s="20" t="s">
        <v>450</v>
      </c>
      <c r="H434" s="20" t="s">
        <v>80</v>
      </c>
      <c r="I434" s="20" t="s">
        <v>172</v>
      </c>
      <c r="J434" s="22" t="s">
        <v>240</v>
      </c>
      <c r="K434" s="83" t="s">
        <v>241</v>
      </c>
      <c r="L434" s="30">
        <v>12</v>
      </c>
      <c r="M434" s="80">
        <v>335232</v>
      </c>
      <c r="N434" s="30">
        <v>32607</v>
      </c>
      <c r="O434" s="26">
        <f t="shared" si="6"/>
        <v>372107.52000000002</v>
      </c>
    </row>
    <row r="435" spans="1:15" x14ac:dyDescent="0.25">
      <c r="A435" s="27"/>
      <c r="B435" s="29"/>
      <c r="C435" s="43"/>
      <c r="D435" s="29"/>
      <c r="E435" s="29"/>
      <c r="F435" s="29"/>
      <c r="G435" s="29"/>
      <c r="H435" s="29"/>
      <c r="I435" s="29"/>
      <c r="J435" s="83" t="s">
        <v>242</v>
      </c>
      <c r="K435" s="42" t="s">
        <v>243</v>
      </c>
      <c r="L435" s="80">
        <v>12</v>
      </c>
      <c r="M435" s="24">
        <v>335232</v>
      </c>
      <c r="N435" s="82">
        <v>32607</v>
      </c>
      <c r="O435" s="26">
        <f t="shared" si="6"/>
        <v>372107.52000000002</v>
      </c>
    </row>
    <row r="436" spans="1:15" x14ac:dyDescent="0.25">
      <c r="A436" s="27"/>
      <c r="B436" s="29"/>
      <c r="C436" s="43"/>
      <c r="D436" s="29"/>
      <c r="E436" s="29"/>
      <c r="F436" s="29"/>
      <c r="G436" s="29"/>
      <c r="H436" s="29"/>
      <c r="I436" s="29"/>
      <c r="J436" s="42" t="s">
        <v>202</v>
      </c>
      <c r="K436" s="83" t="s">
        <v>203</v>
      </c>
      <c r="L436" s="24">
        <v>12</v>
      </c>
      <c r="M436" s="80">
        <v>202536</v>
      </c>
      <c r="N436" s="24">
        <v>19700</v>
      </c>
      <c r="O436" s="26">
        <f t="shared" si="6"/>
        <v>224814.96000000002</v>
      </c>
    </row>
    <row r="437" spans="1:15" x14ac:dyDescent="0.25">
      <c r="A437" s="27"/>
      <c r="B437" s="29"/>
      <c r="C437" s="43"/>
      <c r="D437" s="29"/>
      <c r="E437" s="29"/>
      <c r="F437" s="29"/>
      <c r="G437" s="29"/>
      <c r="H437" s="29"/>
      <c r="I437" s="29"/>
      <c r="J437" s="83" t="s">
        <v>466</v>
      </c>
      <c r="K437" s="42" t="s">
        <v>467</v>
      </c>
      <c r="L437" s="80">
        <v>12</v>
      </c>
      <c r="M437" s="24">
        <v>213012</v>
      </c>
      <c r="N437" s="82">
        <v>20719</v>
      </c>
      <c r="O437" s="26">
        <f t="shared" si="6"/>
        <v>236443.32</v>
      </c>
    </row>
    <row r="438" spans="1:15" x14ac:dyDescent="0.25">
      <c r="A438" s="27"/>
      <c r="B438" s="29"/>
      <c r="C438" s="43"/>
      <c r="D438" s="29"/>
      <c r="E438" s="29"/>
      <c r="F438" s="29"/>
      <c r="G438" s="29"/>
      <c r="H438" s="29"/>
      <c r="I438" s="29"/>
      <c r="J438" s="42" t="s">
        <v>28</v>
      </c>
      <c r="K438" s="83" t="s">
        <v>29</v>
      </c>
      <c r="L438" s="24">
        <v>36</v>
      </c>
      <c r="M438" s="80">
        <v>488880</v>
      </c>
      <c r="N438" s="24">
        <v>15851</v>
      </c>
      <c r="O438" s="26">
        <f t="shared" si="6"/>
        <v>542656.80000000005</v>
      </c>
    </row>
    <row r="439" spans="1:15" x14ac:dyDescent="0.25">
      <c r="A439" s="27"/>
      <c r="B439" s="29"/>
      <c r="C439" s="43"/>
      <c r="D439" s="29"/>
      <c r="E439" s="29"/>
      <c r="F439" s="29"/>
      <c r="G439" s="29"/>
      <c r="H439" s="29"/>
      <c r="I439" s="29"/>
      <c r="J439" s="83" t="s">
        <v>74</v>
      </c>
      <c r="K439" s="42" t="s">
        <v>75</v>
      </c>
      <c r="L439" s="80">
        <v>12</v>
      </c>
      <c r="M439" s="24">
        <v>219996</v>
      </c>
      <c r="N439" s="82">
        <v>23776</v>
      </c>
      <c r="O439" s="26">
        <f t="shared" si="6"/>
        <v>244195.56000000003</v>
      </c>
    </row>
    <row r="440" spans="1:15" x14ac:dyDescent="0.25">
      <c r="A440" s="27"/>
      <c r="B440" s="29"/>
      <c r="C440" s="43"/>
      <c r="D440" s="36"/>
      <c r="E440" s="35"/>
      <c r="F440" s="36"/>
      <c r="G440" s="35"/>
      <c r="H440" s="36"/>
      <c r="I440" s="35"/>
      <c r="J440" s="42" t="s">
        <v>412</v>
      </c>
      <c r="K440" s="83" t="s">
        <v>413</v>
      </c>
      <c r="L440" s="24">
        <v>4</v>
      </c>
      <c r="M440" s="80">
        <v>278196</v>
      </c>
      <c r="N440" s="24">
        <v>81179</v>
      </c>
      <c r="O440" s="26">
        <f t="shared" si="6"/>
        <v>308797.56000000006</v>
      </c>
    </row>
    <row r="441" spans="1:15" x14ac:dyDescent="0.25">
      <c r="A441" s="27"/>
      <c r="B441" s="29"/>
      <c r="C441" s="43"/>
      <c r="D441" s="20" t="s">
        <v>476</v>
      </c>
      <c r="E441" s="98" t="s">
        <v>452</v>
      </c>
      <c r="F441" s="20" t="s">
        <v>431</v>
      </c>
      <c r="G441" s="98" t="s">
        <v>165</v>
      </c>
      <c r="H441" s="20" t="s">
        <v>165</v>
      </c>
      <c r="I441" s="99" t="s">
        <v>172</v>
      </c>
      <c r="J441" s="83" t="s">
        <v>202</v>
      </c>
      <c r="K441" s="42" t="s">
        <v>203</v>
      </c>
      <c r="L441" s="80">
        <v>12</v>
      </c>
      <c r="M441" s="24">
        <v>202536</v>
      </c>
      <c r="N441" s="82">
        <v>19700</v>
      </c>
      <c r="O441" s="26">
        <f t="shared" si="6"/>
        <v>224814.96000000002</v>
      </c>
    </row>
    <row r="442" spans="1:15" x14ac:dyDescent="0.25">
      <c r="A442" s="27"/>
      <c r="B442" s="29"/>
      <c r="C442" s="43"/>
      <c r="D442" s="29"/>
      <c r="E442" s="29"/>
      <c r="F442" s="29"/>
      <c r="G442" s="29"/>
      <c r="H442" s="29"/>
      <c r="I442" s="51"/>
      <c r="J442" s="84" t="s">
        <v>51</v>
      </c>
      <c r="K442" s="83" t="s">
        <v>52</v>
      </c>
      <c r="L442" s="24">
        <v>12</v>
      </c>
      <c r="M442" s="80">
        <v>162960</v>
      </c>
      <c r="N442" s="24">
        <v>15851</v>
      </c>
      <c r="O442" s="26">
        <f t="shared" si="6"/>
        <v>180885.6</v>
      </c>
    </row>
    <row r="443" spans="1:15" x14ac:dyDescent="0.25">
      <c r="A443" s="27"/>
      <c r="B443" s="29"/>
      <c r="C443" s="43"/>
      <c r="D443" s="29"/>
      <c r="E443" s="29"/>
      <c r="F443" s="29"/>
      <c r="G443" s="29"/>
      <c r="H443" s="29"/>
      <c r="I443" s="51"/>
      <c r="J443" s="83" t="s">
        <v>30</v>
      </c>
      <c r="K443" s="42" t="s">
        <v>31</v>
      </c>
      <c r="L443" s="80">
        <v>12</v>
      </c>
      <c r="M443" s="24">
        <v>219996</v>
      </c>
      <c r="N443" s="82">
        <v>23776</v>
      </c>
      <c r="O443" s="26">
        <f t="shared" si="6"/>
        <v>244195.56000000003</v>
      </c>
    </row>
    <row r="444" spans="1:15" x14ac:dyDescent="0.25">
      <c r="A444" s="27"/>
      <c r="B444" s="29"/>
      <c r="C444" s="43"/>
      <c r="D444" s="29"/>
      <c r="E444" s="29"/>
      <c r="F444" s="29"/>
      <c r="G444" s="29"/>
      <c r="H444" s="29"/>
      <c r="I444" s="51"/>
      <c r="J444" s="101" t="s">
        <v>32</v>
      </c>
      <c r="K444" s="83" t="s">
        <v>33</v>
      </c>
      <c r="L444" s="24">
        <v>6</v>
      </c>
      <c r="M444" s="25">
        <v>235128</v>
      </c>
      <c r="N444" s="24">
        <v>45741</v>
      </c>
      <c r="O444" s="26">
        <f t="shared" si="6"/>
        <v>260992.08000000002</v>
      </c>
    </row>
    <row r="445" spans="1:15" x14ac:dyDescent="0.25">
      <c r="A445" s="27"/>
      <c r="B445" s="29"/>
      <c r="C445" s="43"/>
      <c r="D445" s="35"/>
      <c r="E445" s="36"/>
      <c r="F445" s="35"/>
      <c r="G445" s="36"/>
      <c r="H445" s="35"/>
      <c r="I445" s="53"/>
      <c r="J445" s="23" t="s">
        <v>367</v>
      </c>
      <c r="K445" s="42" t="s">
        <v>368</v>
      </c>
      <c r="L445" s="25">
        <v>4</v>
      </c>
      <c r="M445" s="30">
        <v>278196</v>
      </c>
      <c r="N445" s="31">
        <v>81179</v>
      </c>
      <c r="O445" s="26">
        <f t="shared" si="6"/>
        <v>308797.56000000006</v>
      </c>
    </row>
    <row r="446" spans="1:15" x14ac:dyDescent="0.25">
      <c r="A446" s="27"/>
      <c r="B446" s="29"/>
      <c r="C446" s="43"/>
      <c r="D446" s="98" t="s">
        <v>477</v>
      </c>
      <c r="E446" s="20" t="s">
        <v>430</v>
      </c>
      <c r="F446" s="98" t="s">
        <v>431</v>
      </c>
      <c r="G446" s="20" t="s">
        <v>432</v>
      </c>
      <c r="H446" s="98" t="s">
        <v>391</v>
      </c>
      <c r="I446" s="20" t="s">
        <v>172</v>
      </c>
      <c r="J446" s="22" t="s">
        <v>240</v>
      </c>
      <c r="K446" s="23" t="s">
        <v>241</v>
      </c>
      <c r="L446" s="30">
        <v>12</v>
      </c>
      <c r="M446" s="25">
        <v>335232</v>
      </c>
      <c r="N446" s="30">
        <v>32607</v>
      </c>
      <c r="O446" s="26">
        <f t="shared" si="6"/>
        <v>372107.52000000002</v>
      </c>
    </row>
    <row r="447" spans="1:15" x14ac:dyDescent="0.25">
      <c r="A447" s="27"/>
      <c r="B447" s="29"/>
      <c r="C447" s="43"/>
      <c r="D447" s="35"/>
      <c r="E447" s="36"/>
      <c r="F447" s="35"/>
      <c r="G447" s="36"/>
      <c r="H447" s="35"/>
      <c r="I447" s="36"/>
      <c r="J447" s="23" t="s">
        <v>202</v>
      </c>
      <c r="K447" s="22" t="s">
        <v>203</v>
      </c>
      <c r="L447" s="25">
        <v>12</v>
      </c>
      <c r="M447" s="30">
        <v>202536</v>
      </c>
      <c r="N447" s="31">
        <v>19700</v>
      </c>
      <c r="O447" s="26">
        <f t="shared" si="6"/>
        <v>224814.96000000002</v>
      </c>
    </row>
    <row r="448" spans="1:15" x14ac:dyDescent="0.25">
      <c r="A448" s="27"/>
      <c r="B448" s="29"/>
      <c r="C448" s="43"/>
      <c r="D448" s="98" t="s">
        <v>478</v>
      </c>
      <c r="E448" s="20" t="s">
        <v>445</v>
      </c>
      <c r="F448" s="98" t="s">
        <v>431</v>
      </c>
      <c r="G448" s="20" t="s">
        <v>446</v>
      </c>
      <c r="H448" s="98" t="s">
        <v>225</v>
      </c>
      <c r="I448" s="20" t="s">
        <v>172</v>
      </c>
      <c r="J448" s="22" t="s">
        <v>246</v>
      </c>
      <c r="K448" s="23" t="s">
        <v>247</v>
      </c>
      <c r="L448" s="30">
        <v>48</v>
      </c>
      <c r="M448" s="25">
        <v>810144</v>
      </c>
      <c r="N448" s="30">
        <v>19700</v>
      </c>
      <c r="O448" s="26">
        <f t="shared" si="6"/>
        <v>899259.84000000008</v>
      </c>
    </row>
    <row r="449" spans="1:15" x14ac:dyDescent="0.25">
      <c r="A449" s="27"/>
      <c r="B449" s="29"/>
      <c r="C449" s="43"/>
      <c r="D449" s="29"/>
      <c r="E449" s="29"/>
      <c r="F449" s="29"/>
      <c r="G449" s="29"/>
      <c r="H449" s="29"/>
      <c r="I449" s="29"/>
      <c r="J449" s="23" t="s">
        <v>74</v>
      </c>
      <c r="K449" s="22" t="s">
        <v>75</v>
      </c>
      <c r="L449" s="25">
        <v>36</v>
      </c>
      <c r="M449" s="30">
        <v>659988</v>
      </c>
      <c r="N449" s="31">
        <v>23776</v>
      </c>
      <c r="O449" s="26">
        <f t="shared" si="6"/>
        <v>732586.68</v>
      </c>
    </row>
    <row r="450" spans="1:15" x14ac:dyDescent="0.25">
      <c r="A450" s="27"/>
      <c r="B450" s="29"/>
      <c r="C450" s="47"/>
      <c r="D450" s="35"/>
      <c r="E450" s="36"/>
      <c r="F450" s="35"/>
      <c r="G450" s="36"/>
      <c r="H450" s="36"/>
      <c r="I450" s="36"/>
      <c r="J450" s="22" t="s">
        <v>122</v>
      </c>
      <c r="K450" s="23" t="s">
        <v>123</v>
      </c>
      <c r="L450" s="30">
        <v>24</v>
      </c>
      <c r="M450" s="25">
        <v>940512</v>
      </c>
      <c r="N450" s="30">
        <v>45741</v>
      </c>
      <c r="O450" s="26">
        <f t="shared" si="6"/>
        <v>1043968.3200000001</v>
      </c>
    </row>
    <row r="451" spans="1:15" x14ac:dyDescent="0.25">
      <c r="A451" s="27"/>
      <c r="B451" s="29"/>
      <c r="C451" s="21">
        <v>46210</v>
      </c>
      <c r="D451" s="98" t="s">
        <v>479</v>
      </c>
      <c r="E451" s="20" t="s">
        <v>430</v>
      </c>
      <c r="F451" s="98" t="s">
        <v>431</v>
      </c>
      <c r="G451" s="20" t="s">
        <v>432</v>
      </c>
      <c r="H451" s="20" t="s">
        <v>391</v>
      </c>
      <c r="I451" s="20" t="s">
        <v>172</v>
      </c>
      <c r="J451" s="46" t="s">
        <v>242</v>
      </c>
      <c r="K451" s="63" t="s">
        <v>243</v>
      </c>
      <c r="L451" s="44">
        <v>12</v>
      </c>
      <c r="M451" s="72">
        <v>335232</v>
      </c>
      <c r="N451" s="44">
        <v>32607</v>
      </c>
      <c r="O451" s="26">
        <f t="shared" si="6"/>
        <v>372107.52000000002</v>
      </c>
    </row>
    <row r="452" spans="1:15" x14ac:dyDescent="0.25">
      <c r="A452" s="27"/>
      <c r="B452" s="29"/>
      <c r="C452" s="43"/>
      <c r="D452" s="29"/>
      <c r="E452" s="29"/>
      <c r="F452" s="29"/>
      <c r="G452" s="29"/>
      <c r="H452" s="29"/>
      <c r="I452" s="29"/>
      <c r="J452" s="45" t="s">
        <v>246</v>
      </c>
      <c r="K452" s="46" t="s">
        <v>247</v>
      </c>
      <c r="L452" s="25">
        <v>24</v>
      </c>
      <c r="M452" s="44">
        <v>405072</v>
      </c>
      <c r="N452" s="31">
        <v>19700</v>
      </c>
      <c r="O452" s="26">
        <f t="shared" si="6"/>
        <v>449629.92000000004</v>
      </c>
    </row>
    <row r="453" spans="1:15" x14ac:dyDescent="0.25">
      <c r="A453" s="27"/>
      <c r="B453" s="29"/>
      <c r="C453" s="43"/>
      <c r="D453" s="29"/>
      <c r="E453" s="29"/>
      <c r="F453" s="29"/>
      <c r="G453" s="29"/>
      <c r="H453" s="29"/>
      <c r="I453" s="29"/>
      <c r="J453" s="46" t="s">
        <v>51</v>
      </c>
      <c r="K453" s="23" t="s">
        <v>52</v>
      </c>
      <c r="L453" s="44">
        <v>36</v>
      </c>
      <c r="M453" s="25">
        <v>488880</v>
      </c>
      <c r="N453" s="44">
        <v>15851</v>
      </c>
      <c r="O453" s="26">
        <f t="shared" si="6"/>
        <v>542656.80000000005</v>
      </c>
    </row>
    <row r="454" spans="1:15" x14ac:dyDescent="0.25">
      <c r="A454" s="27"/>
      <c r="B454" s="29"/>
      <c r="C454" s="43"/>
      <c r="D454" s="29"/>
      <c r="E454" s="29"/>
      <c r="F454" s="29"/>
      <c r="G454" s="29"/>
      <c r="H454" s="29"/>
      <c r="I454" s="29"/>
      <c r="J454" s="45" t="s">
        <v>28</v>
      </c>
      <c r="K454" s="46" t="s">
        <v>29</v>
      </c>
      <c r="L454" s="25">
        <v>60</v>
      </c>
      <c r="M454" s="44">
        <v>814800</v>
      </c>
      <c r="N454" s="31">
        <v>15851</v>
      </c>
      <c r="O454" s="26">
        <f t="shared" si="6"/>
        <v>904428.00000000012</v>
      </c>
    </row>
    <row r="455" spans="1:15" x14ac:dyDescent="0.25">
      <c r="A455" s="27"/>
      <c r="B455" s="29"/>
      <c r="C455" s="43"/>
      <c r="D455" s="29"/>
      <c r="E455" s="29"/>
      <c r="F455" s="29"/>
      <c r="G455" s="29"/>
      <c r="H455" s="29"/>
      <c r="I455" s="29"/>
      <c r="J455" s="46" t="s">
        <v>74</v>
      </c>
      <c r="K455" s="23" t="s">
        <v>75</v>
      </c>
      <c r="L455" s="44">
        <v>72</v>
      </c>
      <c r="M455" s="25">
        <v>1319976</v>
      </c>
      <c r="N455" s="44">
        <v>23776</v>
      </c>
      <c r="O455" s="26">
        <f t="shared" ref="O455:O490" si="7">M455*1.11</f>
        <v>1465173.36</v>
      </c>
    </row>
    <row r="456" spans="1:15" x14ac:dyDescent="0.25">
      <c r="A456" s="27"/>
      <c r="B456" s="29"/>
      <c r="C456" s="43"/>
      <c r="D456" s="29"/>
      <c r="E456" s="29"/>
      <c r="F456" s="29"/>
      <c r="G456" s="29"/>
      <c r="H456" s="29"/>
      <c r="I456" s="29"/>
      <c r="J456" s="45" t="s">
        <v>30</v>
      </c>
      <c r="K456" s="46" t="s">
        <v>31</v>
      </c>
      <c r="L456" s="25">
        <v>72</v>
      </c>
      <c r="M456" s="44">
        <v>1319976</v>
      </c>
      <c r="N456" s="31">
        <v>23776</v>
      </c>
      <c r="O456" s="26">
        <f t="shared" si="7"/>
        <v>1465173.36</v>
      </c>
    </row>
    <row r="457" spans="1:15" x14ac:dyDescent="0.25">
      <c r="A457" s="27"/>
      <c r="B457" s="29"/>
      <c r="C457" s="43"/>
      <c r="D457" s="29"/>
      <c r="E457" s="29"/>
      <c r="F457" s="29"/>
      <c r="G457" s="29"/>
      <c r="H457" s="29"/>
      <c r="I457" s="29"/>
      <c r="J457" s="46" t="s">
        <v>122</v>
      </c>
      <c r="K457" s="23" t="s">
        <v>123</v>
      </c>
      <c r="L457" s="44">
        <v>12</v>
      </c>
      <c r="M457" s="25">
        <v>470256</v>
      </c>
      <c r="N457" s="44">
        <v>45741</v>
      </c>
      <c r="O457" s="26">
        <f t="shared" si="7"/>
        <v>521984.16000000003</v>
      </c>
    </row>
    <row r="458" spans="1:15" x14ac:dyDescent="0.25">
      <c r="A458" s="27"/>
      <c r="B458" s="29"/>
      <c r="C458" s="43"/>
      <c r="D458" s="29"/>
      <c r="E458" s="29"/>
      <c r="F458" s="29"/>
      <c r="G458" s="29"/>
      <c r="H458" s="29"/>
      <c r="I458" s="29"/>
      <c r="J458" s="45" t="s">
        <v>32</v>
      </c>
      <c r="K458" s="46" t="s">
        <v>33</v>
      </c>
      <c r="L458" s="25">
        <v>42</v>
      </c>
      <c r="M458" s="44">
        <v>1645896</v>
      </c>
      <c r="N458" s="31">
        <v>45741</v>
      </c>
      <c r="O458" s="26">
        <f t="shared" si="7"/>
        <v>1826944.56</v>
      </c>
    </row>
    <row r="459" spans="1:15" x14ac:dyDescent="0.25">
      <c r="A459" s="27"/>
      <c r="B459" s="29"/>
      <c r="C459" s="43"/>
      <c r="D459" s="29"/>
      <c r="E459" s="29"/>
      <c r="F459" s="29"/>
      <c r="G459" s="29"/>
      <c r="H459" s="29"/>
      <c r="I459" s="29"/>
      <c r="J459" s="46" t="s">
        <v>412</v>
      </c>
      <c r="K459" s="23" t="s">
        <v>413</v>
      </c>
      <c r="L459" s="44">
        <v>8</v>
      </c>
      <c r="M459" s="25">
        <v>556392</v>
      </c>
      <c r="N459" s="44">
        <v>81179</v>
      </c>
      <c r="O459" s="26">
        <f t="shared" si="7"/>
        <v>617595.12000000011</v>
      </c>
    </row>
    <row r="460" spans="1:15" x14ac:dyDescent="0.25">
      <c r="A460" s="27"/>
      <c r="B460" s="29"/>
      <c r="C460" s="43"/>
      <c r="D460" s="29"/>
      <c r="E460" s="29"/>
      <c r="F460" s="29"/>
      <c r="G460" s="29"/>
      <c r="H460" s="29"/>
      <c r="I460" s="29"/>
      <c r="J460" s="45" t="s">
        <v>367</v>
      </c>
      <c r="K460" s="46" t="s">
        <v>368</v>
      </c>
      <c r="L460" s="25">
        <v>20</v>
      </c>
      <c r="M460" s="44">
        <v>1390980</v>
      </c>
      <c r="N460" s="31">
        <v>81179</v>
      </c>
      <c r="O460" s="26">
        <f t="shared" si="7"/>
        <v>1543987.8</v>
      </c>
    </row>
    <row r="461" spans="1:15" x14ac:dyDescent="0.25">
      <c r="A461" s="27"/>
      <c r="B461" s="29"/>
      <c r="C461" s="47"/>
      <c r="D461" s="36"/>
      <c r="E461" s="36"/>
      <c r="F461" s="36"/>
      <c r="G461" s="36"/>
      <c r="H461" s="36"/>
      <c r="I461" s="36"/>
      <c r="J461" s="46" t="s">
        <v>195</v>
      </c>
      <c r="K461" s="23" t="s">
        <v>196</v>
      </c>
      <c r="L461" s="44">
        <v>36</v>
      </c>
      <c r="M461" s="25">
        <v>527292</v>
      </c>
      <c r="N461" s="44">
        <v>17096</v>
      </c>
      <c r="O461" s="26">
        <f t="shared" si="7"/>
        <v>585294.12</v>
      </c>
    </row>
    <row r="462" spans="1:15" x14ac:dyDescent="0.25">
      <c r="A462" s="27"/>
      <c r="B462" s="29"/>
      <c r="C462" s="21">
        <v>46206</v>
      </c>
      <c r="D462" s="20" t="s">
        <v>480</v>
      </c>
      <c r="E462" s="20" t="s">
        <v>434</v>
      </c>
      <c r="F462" s="20" t="s">
        <v>431</v>
      </c>
      <c r="G462" s="20" t="s">
        <v>435</v>
      </c>
      <c r="H462" s="20" t="s">
        <v>38</v>
      </c>
      <c r="I462" s="20" t="s">
        <v>172</v>
      </c>
      <c r="J462" s="46" t="s">
        <v>242</v>
      </c>
      <c r="K462" s="23" t="s">
        <v>243</v>
      </c>
      <c r="L462" s="44">
        <v>12</v>
      </c>
      <c r="M462" s="25">
        <v>335232</v>
      </c>
      <c r="N462" s="44">
        <v>32607</v>
      </c>
      <c r="O462" s="26">
        <f t="shared" si="7"/>
        <v>372107.52000000002</v>
      </c>
    </row>
    <row r="463" spans="1:15" x14ac:dyDescent="0.25">
      <c r="A463" s="27"/>
      <c r="B463" s="29"/>
      <c r="C463" s="43"/>
      <c r="D463" s="29"/>
      <c r="E463" s="29"/>
      <c r="F463" s="29"/>
      <c r="G463" s="29"/>
      <c r="H463" s="29"/>
      <c r="I463" s="29"/>
      <c r="J463" s="45" t="s">
        <v>28</v>
      </c>
      <c r="K463" s="22" t="s">
        <v>29</v>
      </c>
      <c r="L463" s="25">
        <v>48</v>
      </c>
      <c r="M463" s="30">
        <v>651840</v>
      </c>
      <c r="N463" s="31">
        <v>15851</v>
      </c>
      <c r="O463" s="26">
        <f t="shared" si="7"/>
        <v>723542.4</v>
      </c>
    </row>
    <row r="464" spans="1:15" x14ac:dyDescent="0.25">
      <c r="A464" s="27"/>
      <c r="B464" s="29"/>
      <c r="C464" s="43"/>
      <c r="D464" s="29"/>
      <c r="E464" s="29"/>
      <c r="F464" s="29"/>
      <c r="G464" s="29"/>
      <c r="H464" s="29"/>
      <c r="I464" s="29"/>
      <c r="J464" s="22" t="s">
        <v>74</v>
      </c>
      <c r="K464" s="23" t="s">
        <v>75</v>
      </c>
      <c r="L464" s="30">
        <v>36</v>
      </c>
      <c r="M464" s="25">
        <v>733320</v>
      </c>
      <c r="N464" s="30">
        <v>23776</v>
      </c>
      <c r="O464" s="26">
        <f t="shared" si="7"/>
        <v>813985.20000000007</v>
      </c>
    </row>
    <row r="465" spans="1:15" x14ac:dyDescent="0.25">
      <c r="A465" s="27"/>
      <c r="B465" s="29"/>
      <c r="C465" s="43"/>
      <c r="D465" s="29"/>
      <c r="E465" s="29"/>
      <c r="F465" s="29"/>
      <c r="G465" s="29"/>
      <c r="H465" s="29"/>
      <c r="I465" s="29"/>
      <c r="J465" s="45" t="s">
        <v>30</v>
      </c>
      <c r="K465" s="22" t="s">
        <v>31</v>
      </c>
      <c r="L465" s="25">
        <v>36</v>
      </c>
      <c r="M465" s="30">
        <v>733320</v>
      </c>
      <c r="N465" s="31">
        <v>23776</v>
      </c>
      <c r="O465" s="26">
        <f t="shared" si="7"/>
        <v>813985.20000000007</v>
      </c>
    </row>
    <row r="466" spans="1:15" x14ac:dyDescent="0.25">
      <c r="A466" s="27"/>
      <c r="B466" s="29"/>
      <c r="C466" s="43"/>
      <c r="D466" s="36"/>
      <c r="E466" s="36"/>
      <c r="F466" s="36"/>
      <c r="G466" s="36"/>
      <c r="H466" s="36"/>
      <c r="I466" s="36"/>
      <c r="J466" s="22" t="s">
        <v>122</v>
      </c>
      <c r="K466" s="23" t="s">
        <v>123</v>
      </c>
      <c r="L466" s="30">
        <v>6</v>
      </c>
      <c r="M466" s="25">
        <v>235128</v>
      </c>
      <c r="N466" s="30">
        <v>45741</v>
      </c>
      <c r="O466" s="26">
        <f t="shared" si="7"/>
        <v>260992.08000000002</v>
      </c>
    </row>
    <row r="467" spans="1:15" x14ac:dyDescent="0.25">
      <c r="A467" s="27"/>
      <c r="B467" s="29"/>
      <c r="C467" s="43"/>
      <c r="D467" s="20" t="s">
        <v>481</v>
      </c>
      <c r="E467" s="20" t="s">
        <v>448</v>
      </c>
      <c r="F467" s="20" t="s">
        <v>449</v>
      </c>
      <c r="G467" s="20" t="s">
        <v>450</v>
      </c>
      <c r="H467" s="20" t="s">
        <v>80</v>
      </c>
      <c r="I467" s="50" t="s">
        <v>172</v>
      </c>
      <c r="J467" s="23" t="s">
        <v>51</v>
      </c>
      <c r="K467" s="22" t="s">
        <v>52</v>
      </c>
      <c r="L467" s="25">
        <v>12</v>
      </c>
      <c r="M467" s="30">
        <v>162960</v>
      </c>
      <c r="N467" s="31">
        <v>15851</v>
      </c>
      <c r="O467" s="26">
        <f t="shared" si="7"/>
        <v>180885.6</v>
      </c>
    </row>
    <row r="468" spans="1:15" x14ac:dyDescent="0.25">
      <c r="A468" s="27"/>
      <c r="B468" s="29"/>
      <c r="C468" s="43"/>
      <c r="D468" s="29"/>
      <c r="E468" s="29"/>
      <c r="F468" s="29"/>
      <c r="G468" s="29"/>
      <c r="H468" s="29"/>
      <c r="I468" s="51"/>
      <c r="J468" s="56" t="s">
        <v>28</v>
      </c>
      <c r="K468" s="23" t="s">
        <v>29</v>
      </c>
      <c r="L468" s="30">
        <v>24</v>
      </c>
      <c r="M468" s="25">
        <v>325920</v>
      </c>
      <c r="N468" s="30">
        <v>15851</v>
      </c>
      <c r="O468" s="26">
        <f t="shared" si="7"/>
        <v>361771.2</v>
      </c>
    </row>
    <row r="469" spans="1:15" x14ac:dyDescent="0.25">
      <c r="A469" s="27"/>
      <c r="B469" s="29"/>
      <c r="C469" s="43"/>
      <c r="D469" s="29"/>
      <c r="E469" s="29"/>
      <c r="F469" s="29"/>
      <c r="G469" s="29"/>
      <c r="H469" s="29"/>
      <c r="I469" s="51"/>
      <c r="J469" s="23" t="s">
        <v>74</v>
      </c>
      <c r="K469" s="22" t="s">
        <v>75</v>
      </c>
      <c r="L469" s="25">
        <v>12</v>
      </c>
      <c r="M469" s="30">
        <v>244440</v>
      </c>
      <c r="N469" s="31">
        <v>23776</v>
      </c>
      <c r="O469" s="26">
        <f t="shared" si="7"/>
        <v>271328.40000000002</v>
      </c>
    </row>
    <row r="470" spans="1:15" x14ac:dyDescent="0.25">
      <c r="A470" s="27"/>
      <c r="B470" s="29"/>
      <c r="C470" s="43"/>
      <c r="D470" s="29"/>
      <c r="E470" s="29"/>
      <c r="F470" s="29"/>
      <c r="G470" s="29"/>
      <c r="H470" s="29"/>
      <c r="I470" s="51"/>
      <c r="J470" s="56" t="s">
        <v>30</v>
      </c>
      <c r="K470" s="23" t="s">
        <v>31</v>
      </c>
      <c r="L470" s="30">
        <v>48</v>
      </c>
      <c r="M470" s="25">
        <v>977760</v>
      </c>
      <c r="N470" s="30">
        <v>23776</v>
      </c>
      <c r="O470" s="26">
        <f t="shared" si="7"/>
        <v>1085313.6000000001</v>
      </c>
    </row>
    <row r="471" spans="1:15" x14ac:dyDescent="0.25">
      <c r="A471" s="27"/>
      <c r="B471" s="29"/>
      <c r="C471" s="43"/>
      <c r="D471" s="29"/>
      <c r="E471" s="29"/>
      <c r="F471" s="29"/>
      <c r="G471" s="29"/>
      <c r="H471" s="29"/>
      <c r="I471" s="51"/>
      <c r="J471" s="23" t="s">
        <v>122</v>
      </c>
      <c r="K471" s="22" t="s">
        <v>123</v>
      </c>
      <c r="L471" s="25">
        <v>6</v>
      </c>
      <c r="M471" s="30">
        <v>235128</v>
      </c>
      <c r="N471" s="31">
        <v>45741</v>
      </c>
      <c r="O471" s="26">
        <f t="shared" si="7"/>
        <v>260992.08000000002</v>
      </c>
    </row>
    <row r="472" spans="1:15" x14ac:dyDescent="0.25">
      <c r="A472" s="27"/>
      <c r="B472" s="29"/>
      <c r="C472" s="43"/>
      <c r="D472" s="29"/>
      <c r="E472" s="29"/>
      <c r="F472" s="29"/>
      <c r="G472" s="29"/>
      <c r="H472" s="29"/>
      <c r="I472" s="51"/>
      <c r="J472" s="56" t="s">
        <v>32</v>
      </c>
      <c r="K472" s="23" t="s">
        <v>33</v>
      </c>
      <c r="L472" s="30">
        <v>12</v>
      </c>
      <c r="M472" s="25">
        <v>470256</v>
      </c>
      <c r="N472" s="30">
        <v>45741</v>
      </c>
      <c r="O472" s="26">
        <f t="shared" si="7"/>
        <v>521984.16000000003</v>
      </c>
    </row>
    <row r="473" spans="1:15" x14ac:dyDescent="0.25">
      <c r="A473" s="27"/>
      <c r="B473" s="29"/>
      <c r="C473" s="43"/>
      <c r="D473" s="36"/>
      <c r="E473" s="36"/>
      <c r="F473" s="36"/>
      <c r="G473" s="36"/>
      <c r="H473" s="36"/>
      <c r="I473" s="53"/>
      <c r="J473" s="23" t="s">
        <v>367</v>
      </c>
      <c r="K473" s="22" t="s">
        <v>368</v>
      </c>
      <c r="L473" s="25">
        <v>4</v>
      </c>
      <c r="M473" s="30">
        <v>278196</v>
      </c>
      <c r="N473" s="31">
        <v>81179</v>
      </c>
      <c r="O473" s="26">
        <f t="shared" si="7"/>
        <v>308797.56000000006</v>
      </c>
    </row>
    <row r="474" spans="1:15" x14ac:dyDescent="0.25">
      <c r="A474" s="27"/>
      <c r="B474" s="29"/>
      <c r="C474" s="43"/>
      <c r="D474" s="20" t="s">
        <v>482</v>
      </c>
      <c r="E474" s="20" t="s">
        <v>437</v>
      </c>
      <c r="F474" s="20" t="s">
        <v>431</v>
      </c>
      <c r="G474" s="20" t="s">
        <v>438</v>
      </c>
      <c r="H474" s="20" t="s">
        <v>225</v>
      </c>
      <c r="I474" s="20" t="s">
        <v>172</v>
      </c>
      <c r="J474" s="22" t="s">
        <v>240</v>
      </c>
      <c r="K474" s="23" t="s">
        <v>241</v>
      </c>
      <c r="L474" s="30">
        <v>12</v>
      </c>
      <c r="M474" s="25">
        <v>335232</v>
      </c>
      <c r="N474" s="30">
        <v>32607</v>
      </c>
      <c r="O474" s="26">
        <f t="shared" si="7"/>
        <v>372107.52000000002</v>
      </c>
    </row>
    <row r="475" spans="1:15" x14ac:dyDescent="0.25">
      <c r="A475" s="27"/>
      <c r="B475" s="29"/>
      <c r="C475" s="43"/>
      <c r="D475" s="29"/>
      <c r="E475" s="29"/>
      <c r="F475" s="29"/>
      <c r="G475" s="29"/>
      <c r="H475" s="29"/>
      <c r="I475" s="29"/>
      <c r="J475" s="23" t="s">
        <v>246</v>
      </c>
      <c r="K475" s="22" t="s">
        <v>247</v>
      </c>
      <c r="L475" s="25">
        <v>24</v>
      </c>
      <c r="M475" s="30">
        <v>405072</v>
      </c>
      <c r="N475" s="31">
        <v>19700</v>
      </c>
      <c r="O475" s="26">
        <f t="shared" si="7"/>
        <v>449629.92000000004</v>
      </c>
    </row>
    <row r="476" spans="1:15" x14ac:dyDescent="0.25">
      <c r="A476" s="27"/>
      <c r="B476" s="29"/>
      <c r="C476" s="43"/>
      <c r="D476" s="29"/>
      <c r="E476" s="29"/>
      <c r="F476" s="29"/>
      <c r="G476" s="29"/>
      <c r="H476" s="29"/>
      <c r="I476" s="29"/>
      <c r="J476" s="22" t="s">
        <v>257</v>
      </c>
      <c r="K476" s="23" t="s">
        <v>258</v>
      </c>
      <c r="L476" s="30">
        <v>24</v>
      </c>
      <c r="M476" s="25">
        <v>405072</v>
      </c>
      <c r="N476" s="30">
        <v>19700</v>
      </c>
      <c r="O476" s="26">
        <f t="shared" si="7"/>
        <v>449629.92000000004</v>
      </c>
    </row>
    <row r="477" spans="1:15" x14ac:dyDescent="0.25">
      <c r="A477" s="27"/>
      <c r="B477" s="29"/>
      <c r="C477" s="43"/>
      <c r="D477" s="29"/>
      <c r="E477" s="29"/>
      <c r="F477" s="29"/>
      <c r="G477" s="29"/>
      <c r="H477" s="29"/>
      <c r="I477" s="29"/>
      <c r="J477" s="23" t="s">
        <v>248</v>
      </c>
      <c r="K477" s="22" t="s">
        <v>249</v>
      </c>
      <c r="L477" s="25">
        <v>12</v>
      </c>
      <c r="M477" s="30">
        <v>202536</v>
      </c>
      <c r="N477" s="31">
        <v>19700</v>
      </c>
      <c r="O477" s="26">
        <f t="shared" si="7"/>
        <v>224814.96000000002</v>
      </c>
    </row>
    <row r="478" spans="1:15" x14ac:dyDescent="0.25">
      <c r="A478" s="27"/>
      <c r="B478" s="29"/>
      <c r="C478" s="43"/>
      <c r="D478" s="29"/>
      <c r="E478" s="29"/>
      <c r="F478" s="29"/>
      <c r="G478" s="29"/>
      <c r="H478" s="29"/>
      <c r="I478" s="29"/>
      <c r="J478" s="22" t="s">
        <v>202</v>
      </c>
      <c r="K478" s="23" t="s">
        <v>203</v>
      </c>
      <c r="L478" s="30">
        <v>36</v>
      </c>
      <c r="M478" s="25">
        <v>607608</v>
      </c>
      <c r="N478" s="30">
        <v>19700</v>
      </c>
      <c r="O478" s="26">
        <f t="shared" si="7"/>
        <v>674444.88</v>
      </c>
    </row>
    <row r="479" spans="1:15" x14ac:dyDescent="0.25">
      <c r="A479" s="27"/>
      <c r="B479" s="29"/>
      <c r="C479" s="43"/>
      <c r="D479" s="35"/>
      <c r="E479" s="36"/>
      <c r="F479" s="35"/>
      <c r="G479" s="36"/>
      <c r="H479" s="35"/>
      <c r="I479" s="36"/>
      <c r="J479" s="23" t="s">
        <v>28</v>
      </c>
      <c r="K479" s="22" t="s">
        <v>29</v>
      </c>
      <c r="L479" s="25">
        <v>48</v>
      </c>
      <c r="M479" s="30">
        <v>651840</v>
      </c>
      <c r="N479" s="31">
        <v>15851</v>
      </c>
      <c r="O479" s="26">
        <f t="shared" si="7"/>
        <v>723542.4</v>
      </c>
    </row>
    <row r="480" spans="1:15" x14ac:dyDescent="0.25">
      <c r="A480" s="27"/>
      <c r="B480" s="29"/>
      <c r="C480" s="43"/>
      <c r="D480" s="98" t="s">
        <v>483</v>
      </c>
      <c r="E480" s="20" t="s">
        <v>452</v>
      </c>
      <c r="F480" s="98" t="s">
        <v>431</v>
      </c>
      <c r="G480" s="20" t="s">
        <v>165</v>
      </c>
      <c r="H480" s="98" t="s">
        <v>165</v>
      </c>
      <c r="I480" s="20" t="s">
        <v>172</v>
      </c>
      <c r="J480" s="22" t="s">
        <v>28</v>
      </c>
      <c r="K480" s="23" t="s">
        <v>29</v>
      </c>
      <c r="L480" s="30">
        <v>12</v>
      </c>
      <c r="M480" s="25">
        <v>162960</v>
      </c>
      <c r="N480" s="30">
        <v>15851</v>
      </c>
      <c r="O480" s="26">
        <f t="shared" si="7"/>
        <v>180885.6</v>
      </c>
    </row>
    <row r="481" spans="1:15" x14ac:dyDescent="0.25">
      <c r="A481" s="27"/>
      <c r="B481" s="29"/>
      <c r="C481" s="43"/>
      <c r="D481" s="35"/>
      <c r="E481" s="36"/>
      <c r="F481" s="35"/>
      <c r="G481" s="34"/>
      <c r="H481" s="34"/>
      <c r="I481" s="34"/>
      <c r="J481" s="23" t="s">
        <v>30</v>
      </c>
      <c r="K481" s="22" t="s">
        <v>31</v>
      </c>
      <c r="L481" s="25">
        <v>12</v>
      </c>
      <c r="M481" s="30">
        <v>244440</v>
      </c>
      <c r="N481" s="31">
        <v>23776</v>
      </c>
      <c r="O481" s="26">
        <f t="shared" si="7"/>
        <v>271328.40000000002</v>
      </c>
    </row>
    <row r="482" spans="1:15" x14ac:dyDescent="0.25">
      <c r="A482" s="27"/>
      <c r="B482" s="29"/>
      <c r="C482" s="43"/>
      <c r="D482" s="98" t="s">
        <v>484</v>
      </c>
      <c r="E482" s="20" t="s">
        <v>445</v>
      </c>
      <c r="F482" s="98" t="s">
        <v>431</v>
      </c>
      <c r="G482" s="20" t="s">
        <v>446</v>
      </c>
      <c r="H482" s="20" t="s">
        <v>225</v>
      </c>
      <c r="I482" s="20" t="s">
        <v>172</v>
      </c>
      <c r="J482" s="22" t="s">
        <v>257</v>
      </c>
      <c r="K482" s="23" t="s">
        <v>258</v>
      </c>
      <c r="L482" s="30">
        <v>36</v>
      </c>
      <c r="M482" s="25">
        <v>607608</v>
      </c>
      <c r="N482" s="30">
        <v>19700</v>
      </c>
      <c r="O482" s="26">
        <f t="shared" si="7"/>
        <v>674444.88</v>
      </c>
    </row>
    <row r="483" spans="1:15" x14ac:dyDescent="0.25">
      <c r="A483" s="27"/>
      <c r="B483" s="29"/>
      <c r="C483" s="43"/>
      <c r="D483" s="27"/>
      <c r="E483" s="27"/>
      <c r="F483" s="27"/>
      <c r="G483" s="27"/>
      <c r="H483" s="27"/>
      <c r="I483" s="27"/>
      <c r="J483" s="23" t="s">
        <v>202</v>
      </c>
      <c r="K483" s="46" t="s">
        <v>203</v>
      </c>
      <c r="L483" s="25">
        <v>36</v>
      </c>
      <c r="M483" s="44">
        <v>607608</v>
      </c>
      <c r="N483" s="31">
        <v>19700</v>
      </c>
      <c r="O483" s="26">
        <f t="shared" si="7"/>
        <v>674444.88</v>
      </c>
    </row>
    <row r="484" spans="1:15" x14ac:dyDescent="0.25">
      <c r="A484" s="27"/>
      <c r="B484" s="29"/>
      <c r="C484" s="43"/>
      <c r="D484" s="27"/>
      <c r="E484" s="27"/>
      <c r="F484" s="27"/>
      <c r="G484" s="27"/>
      <c r="H484" s="27"/>
      <c r="I484" s="27"/>
      <c r="J484" s="46" t="s">
        <v>28</v>
      </c>
      <c r="K484" s="23" t="s">
        <v>29</v>
      </c>
      <c r="L484" s="44">
        <v>84</v>
      </c>
      <c r="M484" s="25">
        <v>1140720</v>
      </c>
      <c r="N484" s="44">
        <v>15851</v>
      </c>
      <c r="O484" s="26">
        <f t="shared" si="7"/>
        <v>1266199.2000000002</v>
      </c>
    </row>
    <row r="485" spans="1:15" x14ac:dyDescent="0.25">
      <c r="A485" s="27"/>
      <c r="B485" s="29"/>
      <c r="C485" s="43"/>
      <c r="D485" s="34"/>
      <c r="E485" s="34"/>
      <c r="F485" s="34"/>
      <c r="G485" s="34"/>
      <c r="H485" s="34"/>
      <c r="I485" s="34"/>
      <c r="J485" s="23" t="s">
        <v>412</v>
      </c>
      <c r="K485" s="46" t="s">
        <v>413</v>
      </c>
      <c r="L485" s="25">
        <v>16</v>
      </c>
      <c r="M485" s="44">
        <v>1112784</v>
      </c>
      <c r="N485" s="31">
        <v>81179</v>
      </c>
      <c r="O485" s="26">
        <f t="shared" si="7"/>
        <v>1235190.2400000002</v>
      </c>
    </row>
    <row r="486" spans="1:15" x14ac:dyDescent="0.25">
      <c r="A486" s="27"/>
      <c r="B486" s="29"/>
      <c r="C486" s="43"/>
      <c r="D486" s="20" t="s">
        <v>485</v>
      </c>
      <c r="E486" s="20" t="s">
        <v>430</v>
      </c>
      <c r="F486" s="20" t="s">
        <v>431</v>
      </c>
      <c r="G486" s="20" t="s">
        <v>432</v>
      </c>
      <c r="H486" s="20" t="s">
        <v>391</v>
      </c>
      <c r="I486" s="20" t="s">
        <v>172</v>
      </c>
      <c r="J486" s="46" t="s">
        <v>246</v>
      </c>
      <c r="K486" s="23" t="s">
        <v>247</v>
      </c>
      <c r="L486" s="44">
        <v>24</v>
      </c>
      <c r="M486" s="25">
        <v>405072</v>
      </c>
      <c r="N486" s="44">
        <v>19700</v>
      </c>
      <c r="O486" s="26">
        <f t="shared" si="7"/>
        <v>449629.92000000004</v>
      </c>
    </row>
    <row r="487" spans="1:15" x14ac:dyDescent="0.25">
      <c r="A487" s="27"/>
      <c r="B487" s="29"/>
      <c r="C487" s="43"/>
      <c r="D487" s="27"/>
      <c r="E487" s="27"/>
      <c r="F487" s="27"/>
      <c r="G487" s="27"/>
      <c r="H487" s="27"/>
      <c r="I487" s="27"/>
      <c r="J487" s="23" t="s">
        <v>28</v>
      </c>
      <c r="K487" s="46" t="s">
        <v>29</v>
      </c>
      <c r="L487" s="25">
        <v>24</v>
      </c>
      <c r="M487" s="44">
        <v>325920</v>
      </c>
      <c r="N487" s="31">
        <v>15851</v>
      </c>
      <c r="O487" s="26">
        <f t="shared" si="7"/>
        <v>361771.2</v>
      </c>
    </row>
    <row r="488" spans="1:15" x14ac:dyDescent="0.25">
      <c r="A488" s="27"/>
      <c r="B488" s="29"/>
      <c r="C488" s="43"/>
      <c r="D488" s="27"/>
      <c r="E488" s="27"/>
      <c r="F488" s="27"/>
      <c r="G488" s="27"/>
      <c r="H488" s="27"/>
      <c r="I488" s="27"/>
      <c r="J488" s="46" t="s">
        <v>30</v>
      </c>
      <c r="K488" s="23" t="s">
        <v>31</v>
      </c>
      <c r="L488" s="44">
        <v>108</v>
      </c>
      <c r="M488" s="25">
        <v>2199961</v>
      </c>
      <c r="N488" s="44">
        <v>23776</v>
      </c>
      <c r="O488" s="26">
        <f t="shared" si="7"/>
        <v>2441956.7100000004</v>
      </c>
    </row>
    <row r="489" spans="1:15" x14ac:dyDescent="0.25">
      <c r="A489" s="27"/>
      <c r="B489" s="36"/>
      <c r="C489" s="47"/>
      <c r="D489" s="34"/>
      <c r="E489" s="34"/>
      <c r="F489" s="34"/>
      <c r="G489" s="34"/>
      <c r="H489" s="34"/>
      <c r="I489" s="34"/>
      <c r="J489" s="23" t="s">
        <v>32</v>
      </c>
      <c r="K489" s="48" t="s">
        <v>33</v>
      </c>
      <c r="L489" s="25">
        <v>12</v>
      </c>
      <c r="M489" s="49">
        <v>470256</v>
      </c>
      <c r="N489" s="31">
        <v>45741</v>
      </c>
      <c r="O489" s="26">
        <f t="shared" si="7"/>
        <v>521984.16000000003</v>
      </c>
    </row>
    <row r="490" spans="1:15" x14ac:dyDescent="0.25">
      <c r="A490" s="34"/>
      <c r="B490" s="102" t="s">
        <v>486</v>
      </c>
      <c r="C490" s="103"/>
      <c r="D490" s="103"/>
      <c r="E490" s="103"/>
      <c r="F490" s="103"/>
      <c r="G490" s="103"/>
      <c r="H490" s="103"/>
      <c r="I490" s="103"/>
      <c r="J490" s="103"/>
      <c r="K490" s="104"/>
      <c r="L490" s="25">
        <v>31363</v>
      </c>
      <c r="M490" s="44">
        <v>558465651</v>
      </c>
      <c r="N490" s="31">
        <v>13398115</v>
      </c>
      <c r="O490" s="26">
        <f t="shared" si="7"/>
        <v>619896872.61000001</v>
      </c>
    </row>
  </sheetData>
  <mergeCells count="556">
    <mergeCell ref="B490:K490"/>
    <mergeCell ref="D486:D489"/>
    <mergeCell ref="E486:E489"/>
    <mergeCell ref="F486:F489"/>
    <mergeCell ref="G486:G489"/>
    <mergeCell ref="H486:H489"/>
    <mergeCell ref="I486:I489"/>
    <mergeCell ref="D482:D485"/>
    <mergeCell ref="E482:E485"/>
    <mergeCell ref="F482:F485"/>
    <mergeCell ref="G482:G485"/>
    <mergeCell ref="H482:H485"/>
    <mergeCell ref="I482:I485"/>
    <mergeCell ref="D480:D481"/>
    <mergeCell ref="E480:E481"/>
    <mergeCell ref="F480:F481"/>
    <mergeCell ref="G480:G481"/>
    <mergeCell ref="H480:H481"/>
    <mergeCell ref="I480:I481"/>
    <mergeCell ref="F467:F473"/>
    <mergeCell ref="G467:G473"/>
    <mergeCell ref="H467:H473"/>
    <mergeCell ref="I467:I473"/>
    <mergeCell ref="D474:D479"/>
    <mergeCell ref="E474:E479"/>
    <mergeCell ref="F474:F479"/>
    <mergeCell ref="G474:G479"/>
    <mergeCell ref="H474:H479"/>
    <mergeCell ref="I474:I479"/>
    <mergeCell ref="I451:I461"/>
    <mergeCell ref="C462:C489"/>
    <mergeCell ref="D462:D466"/>
    <mergeCell ref="E462:E466"/>
    <mergeCell ref="F462:F466"/>
    <mergeCell ref="G462:G466"/>
    <mergeCell ref="H462:H466"/>
    <mergeCell ref="I462:I466"/>
    <mergeCell ref="D467:D473"/>
    <mergeCell ref="E467:E473"/>
    <mergeCell ref="C451:C461"/>
    <mergeCell ref="D451:D461"/>
    <mergeCell ref="E451:E461"/>
    <mergeCell ref="F451:F461"/>
    <mergeCell ref="G451:G461"/>
    <mergeCell ref="H451:H461"/>
    <mergeCell ref="D448:D450"/>
    <mergeCell ref="E448:E450"/>
    <mergeCell ref="F448:F450"/>
    <mergeCell ref="G448:G450"/>
    <mergeCell ref="H448:H450"/>
    <mergeCell ref="I448:I450"/>
    <mergeCell ref="D446:D447"/>
    <mergeCell ref="E446:E447"/>
    <mergeCell ref="F446:F447"/>
    <mergeCell ref="G446:G447"/>
    <mergeCell ref="H446:H447"/>
    <mergeCell ref="I446:I447"/>
    <mergeCell ref="D441:D445"/>
    <mergeCell ref="E441:E445"/>
    <mergeCell ref="F441:F445"/>
    <mergeCell ref="G441:G445"/>
    <mergeCell ref="H441:H445"/>
    <mergeCell ref="I441:I445"/>
    <mergeCell ref="H425:H433"/>
    <mergeCell ref="I425:I433"/>
    <mergeCell ref="D434:D440"/>
    <mergeCell ref="E434:E440"/>
    <mergeCell ref="F434:F440"/>
    <mergeCell ref="G434:G440"/>
    <mergeCell ref="H434:H440"/>
    <mergeCell ref="I434:I440"/>
    <mergeCell ref="E419:E420"/>
    <mergeCell ref="F419:F420"/>
    <mergeCell ref="G419:G420"/>
    <mergeCell ref="H419:H420"/>
    <mergeCell ref="I419:I420"/>
    <mergeCell ref="C424:C450"/>
    <mergeCell ref="D425:D433"/>
    <mergeCell ref="E425:E433"/>
    <mergeCell ref="F425:F433"/>
    <mergeCell ref="G425:G433"/>
    <mergeCell ref="H415:H416"/>
    <mergeCell ref="I415:I416"/>
    <mergeCell ref="C417:C420"/>
    <mergeCell ref="D417:D418"/>
    <mergeCell ref="E417:E418"/>
    <mergeCell ref="F417:F418"/>
    <mergeCell ref="G417:G418"/>
    <mergeCell ref="H417:H418"/>
    <mergeCell ref="I417:I418"/>
    <mergeCell ref="D419:D420"/>
    <mergeCell ref="H407:H411"/>
    <mergeCell ref="I407:I411"/>
    <mergeCell ref="D412:D414"/>
    <mergeCell ref="E412:E414"/>
    <mergeCell ref="F412:F414"/>
    <mergeCell ref="G412:G414"/>
    <mergeCell ref="H412:H414"/>
    <mergeCell ref="I412:I414"/>
    <mergeCell ref="C405:C406"/>
    <mergeCell ref="C407:C416"/>
    <mergeCell ref="D407:D411"/>
    <mergeCell ref="E407:E411"/>
    <mergeCell ref="F407:F411"/>
    <mergeCell ref="G407:G411"/>
    <mergeCell ref="D415:D416"/>
    <mergeCell ref="E415:E416"/>
    <mergeCell ref="F415:F416"/>
    <mergeCell ref="G415:G416"/>
    <mergeCell ref="D401:D404"/>
    <mergeCell ref="E401:E404"/>
    <mergeCell ref="F401:F404"/>
    <mergeCell ref="G401:G404"/>
    <mergeCell ref="H401:H404"/>
    <mergeCell ref="I401:I404"/>
    <mergeCell ref="D396:D400"/>
    <mergeCell ref="E396:E400"/>
    <mergeCell ref="F396:F400"/>
    <mergeCell ref="G396:G400"/>
    <mergeCell ref="H396:H400"/>
    <mergeCell ref="I396:I400"/>
    <mergeCell ref="F379:F383"/>
    <mergeCell ref="G379:G383"/>
    <mergeCell ref="H379:H383"/>
    <mergeCell ref="I379:I383"/>
    <mergeCell ref="D385:D395"/>
    <mergeCell ref="E385:E395"/>
    <mergeCell ref="F385:F395"/>
    <mergeCell ref="G385:G395"/>
    <mergeCell ref="H385:H395"/>
    <mergeCell ref="I385:I395"/>
    <mergeCell ref="I369:I370"/>
    <mergeCell ref="C372:C404"/>
    <mergeCell ref="D372:D378"/>
    <mergeCell ref="E372:E378"/>
    <mergeCell ref="F372:F378"/>
    <mergeCell ref="G372:G378"/>
    <mergeCell ref="H372:H378"/>
    <mergeCell ref="I372:I378"/>
    <mergeCell ref="D379:D383"/>
    <mergeCell ref="E379:E383"/>
    <mergeCell ref="C369:C371"/>
    <mergeCell ref="D369:D370"/>
    <mergeCell ref="E369:E370"/>
    <mergeCell ref="F369:F370"/>
    <mergeCell ref="G369:G370"/>
    <mergeCell ref="H369:H370"/>
    <mergeCell ref="D367:D368"/>
    <mergeCell ref="E367:E368"/>
    <mergeCell ref="F367:F368"/>
    <mergeCell ref="G367:G368"/>
    <mergeCell ref="H367:H368"/>
    <mergeCell ref="I367:I368"/>
    <mergeCell ref="F354:F361"/>
    <mergeCell ref="G354:G361"/>
    <mergeCell ref="H354:H361"/>
    <mergeCell ref="I354:I361"/>
    <mergeCell ref="D362:D366"/>
    <mergeCell ref="E362:E366"/>
    <mergeCell ref="F362:F366"/>
    <mergeCell ref="G362:G366"/>
    <mergeCell ref="H362:H366"/>
    <mergeCell ref="I362:I366"/>
    <mergeCell ref="I343:I348"/>
    <mergeCell ref="C350:C368"/>
    <mergeCell ref="D350:D353"/>
    <mergeCell ref="E350:E353"/>
    <mergeCell ref="F350:F353"/>
    <mergeCell ref="G350:G353"/>
    <mergeCell ref="H350:H353"/>
    <mergeCell ref="I350:I353"/>
    <mergeCell ref="D354:D361"/>
    <mergeCell ref="E354:E361"/>
    <mergeCell ref="E340:E342"/>
    <mergeCell ref="F340:F342"/>
    <mergeCell ref="G340:G342"/>
    <mergeCell ref="H340:H342"/>
    <mergeCell ref="I340:I342"/>
    <mergeCell ref="D343:D348"/>
    <mergeCell ref="E343:E348"/>
    <mergeCell ref="F343:F348"/>
    <mergeCell ref="G343:G348"/>
    <mergeCell ref="H343:H348"/>
    <mergeCell ref="I332:I335"/>
    <mergeCell ref="B337:B489"/>
    <mergeCell ref="C337:C349"/>
    <mergeCell ref="D337:D339"/>
    <mergeCell ref="E337:E339"/>
    <mergeCell ref="F337:F339"/>
    <mergeCell ref="G337:G339"/>
    <mergeCell ref="H337:H339"/>
    <mergeCell ref="I337:I339"/>
    <mergeCell ref="D340:D342"/>
    <mergeCell ref="C332:C335"/>
    <mergeCell ref="D332:D335"/>
    <mergeCell ref="E332:E335"/>
    <mergeCell ref="F332:F335"/>
    <mergeCell ref="G332:G335"/>
    <mergeCell ref="H332:H335"/>
    <mergeCell ref="I319:I326"/>
    <mergeCell ref="D327:D331"/>
    <mergeCell ref="E327:E331"/>
    <mergeCell ref="F327:F331"/>
    <mergeCell ref="G327:G331"/>
    <mergeCell ref="H327:H331"/>
    <mergeCell ref="I327:I331"/>
    <mergeCell ref="C319:C331"/>
    <mergeCell ref="D319:D326"/>
    <mergeCell ref="E319:E326"/>
    <mergeCell ref="F319:F326"/>
    <mergeCell ref="G319:G326"/>
    <mergeCell ref="H319:H326"/>
    <mergeCell ref="H309:H315"/>
    <mergeCell ref="I309:I315"/>
    <mergeCell ref="C316:C318"/>
    <mergeCell ref="D316:D318"/>
    <mergeCell ref="E316:E318"/>
    <mergeCell ref="F316:F318"/>
    <mergeCell ref="G316:G318"/>
    <mergeCell ref="H316:H318"/>
    <mergeCell ref="I316:I318"/>
    <mergeCell ref="C305:C308"/>
    <mergeCell ref="C309:C315"/>
    <mergeCell ref="D309:D315"/>
    <mergeCell ref="E309:E315"/>
    <mergeCell ref="F309:F315"/>
    <mergeCell ref="G309:G315"/>
    <mergeCell ref="I297:I300"/>
    <mergeCell ref="C301:C304"/>
    <mergeCell ref="D302:D304"/>
    <mergeCell ref="E302:E304"/>
    <mergeCell ref="F302:F304"/>
    <mergeCell ref="G302:G304"/>
    <mergeCell ref="H302:H304"/>
    <mergeCell ref="I302:I304"/>
    <mergeCell ref="C297:C300"/>
    <mergeCell ref="D297:D300"/>
    <mergeCell ref="E297:E300"/>
    <mergeCell ref="F297:F300"/>
    <mergeCell ref="G297:G300"/>
    <mergeCell ref="H297:H300"/>
    <mergeCell ref="I286:I289"/>
    <mergeCell ref="C290:C296"/>
    <mergeCell ref="D290:D296"/>
    <mergeCell ref="E290:E296"/>
    <mergeCell ref="F290:F296"/>
    <mergeCell ref="G290:G296"/>
    <mergeCell ref="H290:H296"/>
    <mergeCell ref="I290:I296"/>
    <mergeCell ref="C285:C289"/>
    <mergeCell ref="D286:D289"/>
    <mergeCell ref="E286:E289"/>
    <mergeCell ref="F286:F289"/>
    <mergeCell ref="G286:G289"/>
    <mergeCell ref="H286:H289"/>
    <mergeCell ref="I258:I262"/>
    <mergeCell ref="C263:C284"/>
    <mergeCell ref="D263:D284"/>
    <mergeCell ref="E263:E284"/>
    <mergeCell ref="F263:F284"/>
    <mergeCell ref="G263:G284"/>
    <mergeCell ref="H263:H284"/>
    <mergeCell ref="I263:I284"/>
    <mergeCell ref="C258:C262"/>
    <mergeCell ref="D258:D262"/>
    <mergeCell ref="E258:E262"/>
    <mergeCell ref="F258:F262"/>
    <mergeCell ref="G258:G262"/>
    <mergeCell ref="H258:H262"/>
    <mergeCell ref="H244:H252"/>
    <mergeCell ref="I244:I252"/>
    <mergeCell ref="C253:C257"/>
    <mergeCell ref="D253:D257"/>
    <mergeCell ref="E253:E257"/>
    <mergeCell ref="F253:F257"/>
    <mergeCell ref="G253:G257"/>
    <mergeCell ref="H253:H257"/>
    <mergeCell ref="I253:I257"/>
    <mergeCell ref="E242:E243"/>
    <mergeCell ref="F242:F243"/>
    <mergeCell ref="G242:G243"/>
    <mergeCell ref="H242:H243"/>
    <mergeCell ref="I242:I243"/>
    <mergeCell ref="C244:C252"/>
    <mergeCell ref="D244:D252"/>
    <mergeCell ref="E244:E252"/>
    <mergeCell ref="F244:F252"/>
    <mergeCell ref="G244:G252"/>
    <mergeCell ref="I234:I235"/>
    <mergeCell ref="B236:B336"/>
    <mergeCell ref="C236:C243"/>
    <mergeCell ref="D236:D241"/>
    <mergeCell ref="E236:E241"/>
    <mergeCell ref="F236:F241"/>
    <mergeCell ref="G236:G241"/>
    <mergeCell ref="H236:H241"/>
    <mergeCell ref="I236:I241"/>
    <mergeCell ref="D242:D243"/>
    <mergeCell ref="C234:C235"/>
    <mergeCell ref="D234:D235"/>
    <mergeCell ref="E234:E235"/>
    <mergeCell ref="F234:F235"/>
    <mergeCell ref="G234:G235"/>
    <mergeCell ref="H234:H235"/>
    <mergeCell ref="D223:D233"/>
    <mergeCell ref="E223:E233"/>
    <mergeCell ref="F223:F233"/>
    <mergeCell ref="G223:G233"/>
    <mergeCell ref="H223:H233"/>
    <mergeCell ref="I223:I233"/>
    <mergeCell ref="D216:D222"/>
    <mergeCell ref="E216:E222"/>
    <mergeCell ref="F216:F222"/>
    <mergeCell ref="G216:G222"/>
    <mergeCell ref="H216:H222"/>
    <mergeCell ref="I216:I222"/>
    <mergeCell ref="H200:H204"/>
    <mergeCell ref="I200:I204"/>
    <mergeCell ref="C205:C211"/>
    <mergeCell ref="C213:C233"/>
    <mergeCell ref="D213:D215"/>
    <mergeCell ref="E213:E215"/>
    <mergeCell ref="F213:F215"/>
    <mergeCell ref="G213:G215"/>
    <mergeCell ref="H213:H215"/>
    <mergeCell ref="I213:I215"/>
    <mergeCell ref="E190:E199"/>
    <mergeCell ref="F190:F199"/>
    <mergeCell ref="G190:G199"/>
    <mergeCell ref="H190:H199"/>
    <mergeCell ref="I190:I199"/>
    <mergeCell ref="C200:C204"/>
    <mergeCell ref="D200:D204"/>
    <mergeCell ref="E200:E204"/>
    <mergeCell ref="F200:F204"/>
    <mergeCell ref="G200:G204"/>
    <mergeCell ref="H170:H175"/>
    <mergeCell ref="I170:I175"/>
    <mergeCell ref="C177:C199"/>
    <mergeCell ref="D177:D189"/>
    <mergeCell ref="E177:E189"/>
    <mergeCell ref="F177:F189"/>
    <mergeCell ref="G177:G189"/>
    <mergeCell ref="H177:H189"/>
    <mergeCell ref="I177:I189"/>
    <mergeCell ref="D190:D199"/>
    <mergeCell ref="I145:I152"/>
    <mergeCell ref="D153:D169"/>
    <mergeCell ref="E153:E169"/>
    <mergeCell ref="F153:F169"/>
    <mergeCell ref="G153:G169"/>
    <mergeCell ref="H153:H169"/>
    <mergeCell ref="I153:I169"/>
    <mergeCell ref="C145:C175"/>
    <mergeCell ref="D145:D152"/>
    <mergeCell ref="E145:E152"/>
    <mergeCell ref="F145:F152"/>
    <mergeCell ref="G145:G152"/>
    <mergeCell ref="H145:H152"/>
    <mergeCell ref="D170:D175"/>
    <mergeCell ref="E170:E175"/>
    <mergeCell ref="F170:F175"/>
    <mergeCell ref="G170:G175"/>
    <mergeCell ref="I117:I129"/>
    <mergeCell ref="D130:D143"/>
    <mergeCell ref="E130:E143"/>
    <mergeCell ref="F130:F143"/>
    <mergeCell ref="G130:G143"/>
    <mergeCell ref="H130:H143"/>
    <mergeCell ref="I130:I143"/>
    <mergeCell ref="C117:C143"/>
    <mergeCell ref="D117:D129"/>
    <mergeCell ref="E117:E129"/>
    <mergeCell ref="F117:F129"/>
    <mergeCell ref="G117:G129"/>
    <mergeCell ref="H117:H129"/>
    <mergeCell ref="H105:H106"/>
    <mergeCell ref="I105:I106"/>
    <mergeCell ref="B107:B235"/>
    <mergeCell ref="C107:C116"/>
    <mergeCell ref="D107:D116"/>
    <mergeCell ref="E107:E116"/>
    <mergeCell ref="F107:F116"/>
    <mergeCell ref="G107:G116"/>
    <mergeCell ref="H107:H116"/>
    <mergeCell ref="I107:I116"/>
    <mergeCell ref="B105:B106"/>
    <mergeCell ref="C105:C106"/>
    <mergeCell ref="D105:D106"/>
    <mergeCell ref="E105:E106"/>
    <mergeCell ref="F105:F106"/>
    <mergeCell ref="G105:G106"/>
    <mergeCell ref="G98:G102"/>
    <mergeCell ref="H98:H102"/>
    <mergeCell ref="I98:I102"/>
    <mergeCell ref="C103:C104"/>
    <mergeCell ref="D103:D104"/>
    <mergeCell ref="E103:E104"/>
    <mergeCell ref="F103:F104"/>
    <mergeCell ref="G103:G104"/>
    <mergeCell ref="H103:H104"/>
    <mergeCell ref="I103:I104"/>
    <mergeCell ref="B94:B104"/>
    <mergeCell ref="C95:C96"/>
    <mergeCell ref="C98:C102"/>
    <mergeCell ref="D98:D102"/>
    <mergeCell ref="E98:E102"/>
    <mergeCell ref="F98:F102"/>
    <mergeCell ref="I82:I84"/>
    <mergeCell ref="B86:B93"/>
    <mergeCell ref="C86:C93"/>
    <mergeCell ref="D86:D93"/>
    <mergeCell ref="E86:E93"/>
    <mergeCell ref="F86:F93"/>
    <mergeCell ref="G86:G93"/>
    <mergeCell ref="H86:H93"/>
    <mergeCell ref="I86:I93"/>
    <mergeCell ref="C82:C85"/>
    <mergeCell ref="D82:D84"/>
    <mergeCell ref="E82:E84"/>
    <mergeCell ref="F82:F84"/>
    <mergeCell ref="G82:G84"/>
    <mergeCell ref="H82:H84"/>
    <mergeCell ref="I78:I79"/>
    <mergeCell ref="C80:C81"/>
    <mergeCell ref="D80:D81"/>
    <mergeCell ref="E80:E81"/>
    <mergeCell ref="F80:F81"/>
    <mergeCell ref="G80:G81"/>
    <mergeCell ref="H80:H81"/>
    <mergeCell ref="I80:I81"/>
    <mergeCell ref="C78:C79"/>
    <mergeCell ref="D78:D79"/>
    <mergeCell ref="E78:E79"/>
    <mergeCell ref="F78:F79"/>
    <mergeCell ref="G78:G79"/>
    <mergeCell ref="H78:H79"/>
    <mergeCell ref="H66:H72"/>
    <mergeCell ref="I66:I72"/>
    <mergeCell ref="C73:C76"/>
    <mergeCell ref="D74:D75"/>
    <mergeCell ref="E74:E75"/>
    <mergeCell ref="F74:F75"/>
    <mergeCell ref="G74:G75"/>
    <mergeCell ref="H74:H75"/>
    <mergeCell ref="I74:I75"/>
    <mergeCell ref="C60:C63"/>
    <mergeCell ref="C66:C72"/>
    <mergeCell ref="D66:D72"/>
    <mergeCell ref="E66:E72"/>
    <mergeCell ref="F66:F72"/>
    <mergeCell ref="G66:G72"/>
    <mergeCell ref="D58:D59"/>
    <mergeCell ref="E58:E59"/>
    <mergeCell ref="F58:F59"/>
    <mergeCell ref="G58:G59"/>
    <mergeCell ref="H58:H59"/>
    <mergeCell ref="I58:I59"/>
    <mergeCell ref="D52:D57"/>
    <mergeCell ref="E52:E57"/>
    <mergeCell ref="F52:F57"/>
    <mergeCell ref="G52:G57"/>
    <mergeCell ref="H52:H57"/>
    <mergeCell ref="I52:I57"/>
    <mergeCell ref="F46:F48"/>
    <mergeCell ref="G46:G48"/>
    <mergeCell ref="H46:H48"/>
    <mergeCell ref="I46:I48"/>
    <mergeCell ref="D49:D51"/>
    <mergeCell ref="E49:E51"/>
    <mergeCell ref="F49:F51"/>
    <mergeCell ref="G49:G51"/>
    <mergeCell ref="H49:H51"/>
    <mergeCell ref="I49:I51"/>
    <mergeCell ref="I33:I35"/>
    <mergeCell ref="C37:C59"/>
    <mergeCell ref="D37:D45"/>
    <mergeCell ref="E37:E45"/>
    <mergeCell ref="F37:F45"/>
    <mergeCell ref="G37:G45"/>
    <mergeCell ref="H37:H45"/>
    <mergeCell ref="I37:I45"/>
    <mergeCell ref="D46:D48"/>
    <mergeCell ref="E46:E48"/>
    <mergeCell ref="F31:F32"/>
    <mergeCell ref="G31:G32"/>
    <mergeCell ref="H31:H32"/>
    <mergeCell ref="I31:I32"/>
    <mergeCell ref="C33:C35"/>
    <mergeCell ref="D33:D35"/>
    <mergeCell ref="E33:E35"/>
    <mergeCell ref="F33:F35"/>
    <mergeCell ref="G33:G35"/>
    <mergeCell ref="H33:H35"/>
    <mergeCell ref="I24:I27"/>
    <mergeCell ref="C28:C32"/>
    <mergeCell ref="D28:D30"/>
    <mergeCell ref="E28:E30"/>
    <mergeCell ref="F28:F30"/>
    <mergeCell ref="G28:G30"/>
    <mergeCell ref="H28:H30"/>
    <mergeCell ref="I28:I30"/>
    <mergeCell ref="D31:D32"/>
    <mergeCell ref="E31:E32"/>
    <mergeCell ref="F21:F23"/>
    <mergeCell ref="G21:G23"/>
    <mergeCell ref="H21:H23"/>
    <mergeCell ref="I21:I23"/>
    <mergeCell ref="C24:C27"/>
    <mergeCell ref="D24:D27"/>
    <mergeCell ref="E24:E27"/>
    <mergeCell ref="F24:F27"/>
    <mergeCell ref="G24:G27"/>
    <mergeCell ref="H24:H27"/>
    <mergeCell ref="I11:I17"/>
    <mergeCell ref="C18:C23"/>
    <mergeCell ref="D18:D20"/>
    <mergeCell ref="E18:E20"/>
    <mergeCell ref="F18:F20"/>
    <mergeCell ref="G18:G20"/>
    <mergeCell ref="H18:H20"/>
    <mergeCell ref="I18:I20"/>
    <mergeCell ref="D21:D23"/>
    <mergeCell ref="E21:E23"/>
    <mergeCell ref="C11:C17"/>
    <mergeCell ref="D11:D17"/>
    <mergeCell ref="E11:E17"/>
    <mergeCell ref="F11:F17"/>
    <mergeCell ref="G11:G17"/>
    <mergeCell ref="H11:H17"/>
    <mergeCell ref="O5:O6"/>
    <mergeCell ref="A7:A490"/>
    <mergeCell ref="B7:B85"/>
    <mergeCell ref="C7:C9"/>
    <mergeCell ref="D7:D9"/>
    <mergeCell ref="E7:E9"/>
    <mergeCell ref="F7:F9"/>
    <mergeCell ref="G7:G9"/>
    <mergeCell ref="H7:H9"/>
    <mergeCell ref="I7:I9"/>
    <mergeCell ref="G5:G6"/>
    <mergeCell ref="H5:H6"/>
    <mergeCell ref="I5:I6"/>
    <mergeCell ref="J5:J6"/>
    <mergeCell ref="K5:K6"/>
    <mergeCell ref="L5:N5"/>
    <mergeCell ref="A1:N1"/>
    <mergeCell ref="A2:N2"/>
    <mergeCell ref="A3:N3"/>
    <mergeCell ref="A4:N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2026-08-18T04:30:50Z</dcterms:created>
  <dcterms:modified xsi:type="dcterms:W3CDTF">2026-08-18T04:31:23Z</dcterms:modified>
</cp:coreProperties>
</file>