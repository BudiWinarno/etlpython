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3\LK-000046 (belum mapping)\Juli\"/>
    </mc:Choice>
  </mc:AlternateContent>
  <bookViews>
    <workbookView xWindow="0" yWindow="0" windowWidth="28800" windowHeight="12315"/>
  </bookViews>
  <sheets>
    <sheet name="Sheet1" sheetId="1" r:id="rId1"/>
  </sheets>
  <externalReferences>
    <externalReference r:id="rId2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N2298" i="1" l="1"/>
  <c r="AG2298" i="1"/>
  <c r="AH2298" i="1" s="1"/>
  <c r="AN2297" i="1"/>
  <c r="AG2297" i="1"/>
  <c r="AH2297" i="1" s="1"/>
  <c r="AN2296" i="1"/>
  <c r="AG2296" i="1"/>
  <c r="AH2296" i="1" s="1"/>
  <c r="AN2295" i="1"/>
  <c r="AG2295" i="1"/>
  <c r="AH2295" i="1" s="1"/>
  <c r="AN2294" i="1"/>
  <c r="AG2294" i="1"/>
  <c r="AH2294" i="1" s="1"/>
  <c r="AN2293" i="1"/>
  <c r="AG2293" i="1"/>
  <c r="AH2293" i="1" s="1"/>
  <c r="AN2292" i="1"/>
  <c r="AG2292" i="1"/>
  <c r="AH2292" i="1" s="1"/>
  <c r="AN2291" i="1"/>
  <c r="AH2291" i="1"/>
  <c r="AG2291" i="1"/>
  <c r="AN2290" i="1"/>
  <c r="AG2290" i="1"/>
  <c r="AH2290" i="1" s="1"/>
  <c r="AN2289" i="1"/>
  <c r="AG2289" i="1"/>
  <c r="AH2289" i="1" s="1"/>
  <c r="AN2288" i="1"/>
  <c r="AG2288" i="1"/>
  <c r="AH2288" i="1" s="1"/>
  <c r="AN2287" i="1"/>
  <c r="AH2287" i="1"/>
  <c r="AG2287" i="1"/>
  <c r="AN2286" i="1"/>
  <c r="AG2286" i="1"/>
  <c r="AH2286" i="1" s="1"/>
  <c r="AN2285" i="1"/>
  <c r="AG2285" i="1"/>
  <c r="AH2285" i="1" s="1"/>
  <c r="AN2284" i="1"/>
  <c r="AH2284" i="1"/>
  <c r="AG2284" i="1"/>
  <c r="AN2283" i="1"/>
  <c r="AG2283" i="1"/>
  <c r="AH2283" i="1" s="1"/>
  <c r="AN2282" i="1"/>
  <c r="AG2282" i="1"/>
  <c r="AH2282" i="1" s="1"/>
  <c r="AN2281" i="1"/>
  <c r="AG2281" i="1"/>
  <c r="AH2281" i="1" s="1"/>
  <c r="AN2280" i="1"/>
  <c r="AH2280" i="1"/>
  <c r="AG2280" i="1"/>
  <c r="AN2279" i="1"/>
  <c r="AH2279" i="1"/>
  <c r="AG2279" i="1"/>
  <c r="AN2278" i="1"/>
  <c r="AG2278" i="1"/>
  <c r="AH2278" i="1" s="1"/>
  <c r="AN2277" i="1"/>
  <c r="AG2277" i="1"/>
  <c r="AH2277" i="1" s="1"/>
  <c r="AN2276" i="1"/>
  <c r="AG2276" i="1"/>
  <c r="AH2276" i="1" s="1"/>
  <c r="AN2275" i="1"/>
  <c r="AG2275" i="1"/>
  <c r="AH2275" i="1" s="1"/>
  <c r="AN2274" i="1"/>
  <c r="AG2274" i="1"/>
  <c r="AH2274" i="1" s="1"/>
  <c r="AN2273" i="1"/>
  <c r="AG2273" i="1"/>
  <c r="AH2273" i="1" s="1"/>
  <c r="AN2272" i="1"/>
  <c r="AH2272" i="1"/>
  <c r="AG2272" i="1"/>
  <c r="AN2271" i="1"/>
  <c r="AG2271" i="1"/>
  <c r="AH2271" i="1" s="1"/>
  <c r="AN2270" i="1"/>
  <c r="AG2270" i="1"/>
  <c r="AH2270" i="1" s="1"/>
  <c r="AN2269" i="1"/>
  <c r="AG2269" i="1"/>
  <c r="AH2269" i="1" s="1"/>
  <c r="AN2268" i="1"/>
  <c r="AH2268" i="1"/>
  <c r="AG2268" i="1"/>
  <c r="AN2267" i="1"/>
  <c r="AH2267" i="1"/>
  <c r="AG2267" i="1"/>
  <c r="AN2266" i="1"/>
  <c r="AG2266" i="1"/>
  <c r="AH2266" i="1" s="1"/>
  <c r="AN2265" i="1"/>
  <c r="AG2265" i="1"/>
  <c r="AH2265" i="1" s="1"/>
  <c r="AN2264" i="1"/>
  <c r="AH2264" i="1"/>
  <c r="AG2264" i="1"/>
  <c r="AN2263" i="1"/>
  <c r="AG2263" i="1"/>
  <c r="AH2263" i="1" s="1"/>
  <c r="AN2262" i="1"/>
  <c r="AG2262" i="1"/>
  <c r="AH2262" i="1" s="1"/>
  <c r="AN2261" i="1"/>
  <c r="AG2261" i="1"/>
  <c r="AH2261" i="1" s="1"/>
  <c r="AN2260" i="1"/>
  <c r="AH2260" i="1"/>
  <c r="AG2260" i="1"/>
  <c r="AN2259" i="1"/>
  <c r="AG2259" i="1"/>
  <c r="AH2259" i="1" s="1"/>
  <c r="AN2258" i="1"/>
  <c r="AG2258" i="1"/>
  <c r="AH2258" i="1" s="1"/>
  <c r="AN2257" i="1"/>
  <c r="AG2257" i="1"/>
  <c r="AH2257" i="1" s="1"/>
  <c r="AN2256" i="1"/>
  <c r="AH2256" i="1"/>
  <c r="AG2256" i="1"/>
  <c r="AN2255" i="1"/>
  <c r="AG2255" i="1"/>
  <c r="AH2255" i="1" s="1"/>
  <c r="AN2254" i="1"/>
  <c r="AG2254" i="1"/>
  <c r="AH2254" i="1" s="1"/>
  <c r="AN2253" i="1"/>
  <c r="AG2253" i="1"/>
  <c r="AH2253" i="1" s="1"/>
  <c r="AN2252" i="1"/>
  <c r="AG2252" i="1"/>
  <c r="AH2252" i="1" s="1"/>
  <c r="AN2251" i="1"/>
  <c r="AG2251" i="1"/>
  <c r="AH2251" i="1" s="1"/>
  <c r="AN2250" i="1"/>
  <c r="AH2250" i="1"/>
  <c r="AG2250" i="1"/>
  <c r="AN2249" i="1"/>
  <c r="AG2249" i="1"/>
  <c r="AH2249" i="1" s="1"/>
  <c r="AN2248" i="1"/>
  <c r="AG2248" i="1"/>
  <c r="AH2248" i="1" s="1"/>
  <c r="AN2247" i="1"/>
  <c r="AH2247" i="1"/>
  <c r="AG2247" i="1"/>
  <c r="AN2246" i="1"/>
  <c r="AG2246" i="1"/>
  <c r="AH2246" i="1" s="1"/>
  <c r="AN2245" i="1"/>
  <c r="AG2245" i="1"/>
  <c r="AH2245" i="1" s="1"/>
  <c r="AN2244" i="1"/>
  <c r="AH2244" i="1"/>
  <c r="AG2244" i="1"/>
  <c r="AN2243" i="1"/>
  <c r="AG2243" i="1"/>
  <c r="AH2243" i="1" s="1"/>
  <c r="AN2242" i="1"/>
  <c r="AH2242" i="1"/>
  <c r="AG2242" i="1"/>
  <c r="AN2241" i="1"/>
  <c r="AG2241" i="1"/>
  <c r="AH2241" i="1" s="1"/>
  <c r="AN2240" i="1"/>
  <c r="AG2240" i="1"/>
  <c r="AH2240" i="1" s="1"/>
  <c r="AN2239" i="1"/>
  <c r="AG2239" i="1"/>
  <c r="AH2239" i="1" s="1"/>
  <c r="AN2238" i="1"/>
  <c r="AG2238" i="1"/>
  <c r="AH2238" i="1" s="1"/>
  <c r="AN2237" i="1"/>
  <c r="AG2237" i="1"/>
  <c r="AH2237" i="1" s="1"/>
  <c r="AN2236" i="1"/>
  <c r="AH2236" i="1"/>
  <c r="AG2236" i="1"/>
  <c r="AN2235" i="1"/>
  <c r="AG2235" i="1"/>
  <c r="AH2235" i="1" s="1"/>
  <c r="AN2234" i="1"/>
  <c r="AH2234" i="1"/>
  <c r="AG2234" i="1"/>
  <c r="AN2233" i="1"/>
  <c r="AG2233" i="1"/>
  <c r="AH2233" i="1" s="1"/>
  <c r="AN2232" i="1"/>
  <c r="AG2232" i="1"/>
  <c r="AH2232" i="1" s="1"/>
  <c r="AN2231" i="1"/>
  <c r="AH2231" i="1"/>
  <c r="AG2231" i="1"/>
  <c r="AN2230" i="1"/>
  <c r="AG2230" i="1"/>
  <c r="AH2230" i="1" s="1"/>
  <c r="AN2229" i="1"/>
  <c r="AG2229" i="1"/>
  <c r="AH2229" i="1" s="1"/>
  <c r="AN2228" i="1"/>
  <c r="AH2228" i="1"/>
  <c r="AG2228" i="1"/>
  <c r="AN2227" i="1"/>
  <c r="AG2227" i="1"/>
  <c r="AH2227" i="1" s="1"/>
  <c r="AN2226" i="1"/>
  <c r="AG2226" i="1"/>
  <c r="AH2226" i="1" s="1"/>
  <c r="AN2225" i="1"/>
  <c r="AG2225" i="1"/>
  <c r="AH2225" i="1" s="1"/>
  <c r="AN2224" i="1"/>
  <c r="AG2224" i="1"/>
  <c r="AH2224" i="1" s="1"/>
  <c r="AN2223" i="1"/>
  <c r="AH2223" i="1"/>
  <c r="AG2223" i="1"/>
  <c r="AN2222" i="1"/>
  <c r="AG2222" i="1"/>
  <c r="AH2222" i="1" s="1"/>
  <c r="AN2221" i="1"/>
  <c r="AG2221" i="1"/>
  <c r="AH2221" i="1" s="1"/>
  <c r="AN2220" i="1"/>
  <c r="AH2220" i="1"/>
  <c r="AG2220" i="1"/>
  <c r="AN2219" i="1"/>
  <c r="AG2219" i="1"/>
  <c r="AH2219" i="1" s="1"/>
  <c r="AN2218" i="1"/>
  <c r="AH2218" i="1"/>
  <c r="AG2218" i="1"/>
  <c r="AN2217" i="1"/>
  <c r="AG2217" i="1"/>
  <c r="AH2217" i="1" s="1"/>
  <c r="AN2216" i="1"/>
  <c r="AG2216" i="1"/>
  <c r="AH2216" i="1" s="1"/>
  <c r="AN2215" i="1"/>
  <c r="AH2215" i="1"/>
  <c r="AG2215" i="1"/>
  <c r="AN2214" i="1"/>
  <c r="AG2214" i="1"/>
  <c r="AH2214" i="1" s="1"/>
  <c r="AN2213" i="1"/>
  <c r="AG2213" i="1"/>
  <c r="AH2213" i="1" s="1"/>
  <c r="AN2212" i="1"/>
  <c r="AH2212" i="1"/>
  <c r="AG2212" i="1"/>
  <c r="AN2211" i="1"/>
  <c r="AG2211" i="1"/>
  <c r="AH2211" i="1" s="1"/>
  <c r="AN2210" i="1"/>
  <c r="AH2210" i="1"/>
  <c r="AG2210" i="1"/>
  <c r="AN2209" i="1"/>
  <c r="AG2209" i="1"/>
  <c r="AH2209" i="1" s="1"/>
  <c r="AN2208" i="1"/>
  <c r="AG2208" i="1"/>
  <c r="AH2208" i="1" s="1"/>
  <c r="AN2207" i="1"/>
  <c r="AH2207" i="1"/>
  <c r="AG2207" i="1"/>
  <c r="AN2206" i="1"/>
  <c r="AG2206" i="1"/>
  <c r="AH2206" i="1" s="1"/>
  <c r="AN2205" i="1"/>
  <c r="AG2205" i="1"/>
  <c r="AH2205" i="1" s="1"/>
  <c r="AN2204" i="1"/>
  <c r="AG2204" i="1"/>
  <c r="AH2204" i="1" s="1"/>
  <c r="AN2203" i="1"/>
  <c r="AG2203" i="1"/>
  <c r="AH2203" i="1" s="1"/>
  <c r="AN2202" i="1"/>
  <c r="AH2202" i="1"/>
  <c r="AG2202" i="1"/>
  <c r="AN2201" i="1"/>
  <c r="AG2201" i="1"/>
  <c r="AH2201" i="1" s="1"/>
  <c r="AN2200" i="1"/>
  <c r="AG2200" i="1"/>
  <c r="AH2200" i="1" s="1"/>
  <c r="AN2199" i="1"/>
  <c r="AH2199" i="1"/>
  <c r="AG2199" i="1"/>
  <c r="AN2198" i="1"/>
  <c r="AG2198" i="1"/>
  <c r="AH2198" i="1" s="1"/>
  <c r="AN2197" i="1"/>
  <c r="AG2197" i="1"/>
  <c r="AH2197" i="1" s="1"/>
  <c r="AN2196" i="1"/>
  <c r="AH2196" i="1"/>
  <c r="AG2196" i="1"/>
  <c r="AN2195" i="1"/>
  <c r="AG2195" i="1"/>
  <c r="AH2195" i="1" s="1"/>
  <c r="AN2194" i="1"/>
  <c r="AH2194" i="1"/>
  <c r="AG2194" i="1"/>
  <c r="AN2193" i="1"/>
  <c r="AG2193" i="1"/>
  <c r="AH2193" i="1" s="1"/>
  <c r="AN2192" i="1"/>
  <c r="AG2192" i="1"/>
  <c r="AH2192" i="1" s="1"/>
  <c r="AN2191" i="1"/>
  <c r="AG2191" i="1"/>
  <c r="AH2191" i="1" s="1"/>
  <c r="AN2190" i="1"/>
  <c r="AG2190" i="1"/>
  <c r="AH2190" i="1" s="1"/>
  <c r="AN2189" i="1"/>
  <c r="AG2189" i="1"/>
  <c r="AH2189" i="1" s="1"/>
  <c r="AN2188" i="1"/>
  <c r="AH2188" i="1"/>
  <c r="AG2188" i="1"/>
  <c r="AN2187" i="1"/>
  <c r="AG2187" i="1"/>
  <c r="AH2187" i="1" s="1"/>
  <c r="AN2186" i="1"/>
  <c r="AH2186" i="1"/>
  <c r="AG2186" i="1"/>
  <c r="AN2185" i="1"/>
  <c r="AG2185" i="1"/>
  <c r="AH2185" i="1" s="1"/>
  <c r="AN2184" i="1"/>
  <c r="AG2184" i="1"/>
  <c r="AH2184" i="1" s="1"/>
  <c r="AN2183" i="1"/>
  <c r="AH2183" i="1"/>
  <c r="AG2183" i="1"/>
  <c r="AN2182" i="1"/>
  <c r="AG2182" i="1"/>
  <c r="AH2182" i="1" s="1"/>
  <c r="AN2181" i="1"/>
  <c r="AG2181" i="1"/>
  <c r="AH2181" i="1" s="1"/>
  <c r="AN2180" i="1"/>
  <c r="AH2180" i="1"/>
  <c r="AG2180" i="1"/>
  <c r="AN2179" i="1"/>
  <c r="AG2179" i="1"/>
  <c r="AH2179" i="1" s="1"/>
  <c r="AN2178" i="1"/>
  <c r="AG2178" i="1"/>
  <c r="AH2178" i="1" s="1"/>
  <c r="AN2177" i="1"/>
  <c r="AG2177" i="1"/>
  <c r="AH2177" i="1" s="1"/>
  <c r="AN2176" i="1"/>
  <c r="AG2176" i="1"/>
  <c r="AH2176" i="1" s="1"/>
  <c r="AN2175" i="1"/>
  <c r="AH2175" i="1"/>
  <c r="AG2175" i="1"/>
  <c r="AN2174" i="1"/>
  <c r="AG2174" i="1"/>
  <c r="AH2174" i="1" s="1"/>
  <c r="AN2173" i="1"/>
  <c r="AG2173" i="1"/>
  <c r="AH2173" i="1" s="1"/>
  <c r="AN2172" i="1"/>
  <c r="AH2172" i="1"/>
  <c r="AG2172" i="1"/>
  <c r="AN2171" i="1"/>
  <c r="AG2171" i="1"/>
  <c r="AH2171" i="1" s="1"/>
  <c r="AN2170" i="1"/>
  <c r="AH2170" i="1"/>
  <c r="AG2170" i="1"/>
  <c r="AN2169" i="1"/>
  <c r="AG2169" i="1"/>
  <c r="AH2169" i="1" s="1"/>
  <c r="AN2168" i="1"/>
  <c r="AG2168" i="1"/>
  <c r="AH2168" i="1" s="1"/>
  <c r="AN2167" i="1"/>
  <c r="AH2167" i="1"/>
  <c r="AG2167" i="1"/>
  <c r="AN2166" i="1"/>
  <c r="AG2166" i="1"/>
  <c r="AH2166" i="1" s="1"/>
  <c r="AN2165" i="1"/>
  <c r="AG2165" i="1"/>
  <c r="AH2165" i="1" s="1"/>
  <c r="AN2164" i="1"/>
  <c r="AH2164" i="1"/>
  <c r="AG2164" i="1"/>
  <c r="AN2163" i="1"/>
  <c r="AG2163" i="1"/>
  <c r="AH2163" i="1" s="1"/>
  <c r="AN2162" i="1"/>
  <c r="AH2162" i="1"/>
  <c r="AG2162" i="1"/>
  <c r="AN2161" i="1"/>
  <c r="AG2161" i="1"/>
  <c r="AH2161" i="1" s="1"/>
  <c r="AN2160" i="1"/>
  <c r="AG2160" i="1"/>
  <c r="AH2160" i="1" s="1"/>
  <c r="AN2159" i="1"/>
  <c r="AH2159" i="1"/>
  <c r="AG2159" i="1"/>
  <c r="AN2158" i="1"/>
  <c r="AG2158" i="1"/>
  <c r="AH2158" i="1" s="1"/>
  <c r="AN2157" i="1"/>
  <c r="AG2157" i="1"/>
  <c r="AH2157" i="1" s="1"/>
  <c r="AN2156" i="1"/>
  <c r="AG2156" i="1"/>
  <c r="AH2156" i="1" s="1"/>
  <c r="AN2155" i="1"/>
  <c r="AG2155" i="1"/>
  <c r="AH2155" i="1" s="1"/>
  <c r="AN2154" i="1"/>
  <c r="AH2154" i="1"/>
  <c r="AG2154" i="1"/>
  <c r="AN2153" i="1"/>
  <c r="AG2153" i="1"/>
  <c r="AH2153" i="1" s="1"/>
  <c r="AN2152" i="1"/>
  <c r="AG2152" i="1"/>
  <c r="AH2152" i="1" s="1"/>
  <c r="AN2151" i="1"/>
  <c r="AH2151" i="1"/>
  <c r="AG2151" i="1"/>
  <c r="AN2150" i="1"/>
  <c r="AG2150" i="1"/>
  <c r="AH2150" i="1" s="1"/>
  <c r="AN2149" i="1"/>
  <c r="AG2149" i="1"/>
  <c r="AH2149" i="1" s="1"/>
  <c r="AN2148" i="1"/>
  <c r="AH2148" i="1"/>
  <c r="AG2148" i="1"/>
  <c r="AN2147" i="1"/>
  <c r="AG2147" i="1"/>
  <c r="AH2147" i="1" s="1"/>
  <c r="AN2146" i="1"/>
  <c r="AH2146" i="1"/>
  <c r="AG2146" i="1"/>
  <c r="AN2145" i="1"/>
  <c r="AG2145" i="1"/>
  <c r="AH2145" i="1" s="1"/>
  <c r="AN2144" i="1"/>
  <c r="AG2144" i="1"/>
  <c r="AH2144" i="1" s="1"/>
  <c r="AN2143" i="1"/>
  <c r="AG2143" i="1"/>
  <c r="AH2143" i="1" s="1"/>
  <c r="AN2142" i="1"/>
  <c r="AG2142" i="1"/>
  <c r="AH2142" i="1" s="1"/>
  <c r="AN2141" i="1"/>
  <c r="AG2141" i="1"/>
  <c r="AH2141" i="1" s="1"/>
  <c r="AN2140" i="1"/>
  <c r="AH2140" i="1"/>
  <c r="AG2140" i="1"/>
  <c r="AN2139" i="1"/>
  <c r="AG2139" i="1"/>
  <c r="AH2139" i="1" s="1"/>
  <c r="AN2138" i="1"/>
  <c r="AH2138" i="1"/>
  <c r="AG2138" i="1"/>
  <c r="AN2137" i="1"/>
  <c r="AG2137" i="1"/>
  <c r="AH2137" i="1" s="1"/>
  <c r="AN2136" i="1"/>
  <c r="AG2136" i="1"/>
  <c r="AH2136" i="1" s="1"/>
  <c r="AN2135" i="1"/>
  <c r="AH2135" i="1"/>
  <c r="AG2135" i="1"/>
  <c r="AN2134" i="1"/>
  <c r="AG2134" i="1"/>
  <c r="AH2134" i="1" s="1"/>
  <c r="AN2133" i="1"/>
  <c r="AG2133" i="1"/>
  <c r="AH2133" i="1" s="1"/>
  <c r="AN2132" i="1"/>
  <c r="AH2132" i="1"/>
  <c r="AG2132" i="1"/>
  <c r="AN2131" i="1"/>
  <c r="AG2131" i="1"/>
  <c r="AH2131" i="1" s="1"/>
  <c r="AN2130" i="1"/>
  <c r="AG2130" i="1"/>
  <c r="AH2130" i="1" s="1"/>
  <c r="AN2129" i="1"/>
  <c r="AG2129" i="1"/>
  <c r="AH2129" i="1" s="1"/>
  <c r="AN2128" i="1"/>
  <c r="AG2128" i="1"/>
  <c r="AH2128" i="1" s="1"/>
  <c r="AN2127" i="1"/>
  <c r="AH2127" i="1"/>
  <c r="AG2127" i="1"/>
  <c r="AN2126" i="1"/>
  <c r="AG2126" i="1"/>
  <c r="AH2126" i="1" s="1"/>
  <c r="AN2125" i="1"/>
  <c r="AG2125" i="1"/>
  <c r="AH2125" i="1" s="1"/>
  <c r="AN2124" i="1"/>
  <c r="AH2124" i="1"/>
  <c r="AG2124" i="1"/>
  <c r="AN2123" i="1"/>
  <c r="AG2123" i="1"/>
  <c r="AH2123" i="1" s="1"/>
  <c r="AN2122" i="1"/>
  <c r="AH2122" i="1"/>
  <c r="AG2122" i="1"/>
  <c r="AN2121" i="1"/>
  <c r="AG2121" i="1"/>
  <c r="AH2121" i="1" s="1"/>
  <c r="AN2120" i="1"/>
  <c r="AG2120" i="1"/>
  <c r="AH2120" i="1" s="1"/>
  <c r="AN2119" i="1"/>
  <c r="AH2119" i="1"/>
  <c r="AG2119" i="1"/>
  <c r="AN2118" i="1"/>
  <c r="AG2118" i="1"/>
  <c r="AH2118" i="1" s="1"/>
  <c r="AN2117" i="1"/>
  <c r="AG2117" i="1"/>
  <c r="AH2117" i="1" s="1"/>
  <c r="AN2116" i="1"/>
  <c r="AH2116" i="1"/>
  <c r="AG2116" i="1"/>
  <c r="AN2115" i="1"/>
  <c r="AG2115" i="1"/>
  <c r="AH2115" i="1" s="1"/>
  <c r="AN2114" i="1"/>
  <c r="AH2114" i="1"/>
  <c r="AG2114" i="1"/>
  <c r="AN2113" i="1"/>
  <c r="AG2113" i="1"/>
  <c r="AH2113" i="1" s="1"/>
  <c r="AN2112" i="1"/>
  <c r="AG2112" i="1"/>
  <c r="AH2112" i="1" s="1"/>
  <c r="AN2111" i="1"/>
  <c r="AH2111" i="1"/>
  <c r="AG2111" i="1"/>
  <c r="AN2110" i="1"/>
  <c r="AG2110" i="1"/>
  <c r="AH2110" i="1" s="1"/>
  <c r="AN2109" i="1"/>
  <c r="AG2109" i="1"/>
  <c r="AH2109" i="1" s="1"/>
  <c r="AN2108" i="1"/>
  <c r="AG2108" i="1"/>
  <c r="AH2108" i="1" s="1"/>
  <c r="AN2107" i="1"/>
  <c r="AG2107" i="1"/>
  <c r="AH2107" i="1" s="1"/>
  <c r="AN2106" i="1"/>
  <c r="AH2106" i="1"/>
  <c r="AG2106" i="1"/>
  <c r="AN2105" i="1"/>
  <c r="AG2105" i="1"/>
  <c r="AH2105" i="1" s="1"/>
  <c r="AN2104" i="1"/>
  <c r="AG2104" i="1"/>
  <c r="AH2104" i="1" s="1"/>
  <c r="AN2103" i="1"/>
  <c r="AH2103" i="1"/>
  <c r="AG2103" i="1"/>
  <c r="AN2102" i="1"/>
  <c r="AG2102" i="1"/>
  <c r="AH2102" i="1" s="1"/>
  <c r="AN2101" i="1"/>
  <c r="AG2101" i="1"/>
  <c r="AH2101" i="1" s="1"/>
  <c r="AN2100" i="1"/>
  <c r="AH2100" i="1"/>
  <c r="AG2100" i="1"/>
  <c r="AN2099" i="1"/>
  <c r="AG2099" i="1"/>
  <c r="AH2099" i="1" s="1"/>
  <c r="AN2098" i="1"/>
  <c r="AH2098" i="1"/>
  <c r="AG2098" i="1"/>
  <c r="AN2097" i="1"/>
  <c r="AG2097" i="1"/>
  <c r="AH2097" i="1" s="1"/>
  <c r="AN2096" i="1"/>
  <c r="AG2096" i="1"/>
  <c r="AH2096" i="1" s="1"/>
  <c r="AN2095" i="1"/>
  <c r="AG2095" i="1"/>
  <c r="AH2095" i="1" s="1"/>
  <c r="AN2094" i="1"/>
  <c r="AG2094" i="1"/>
  <c r="AH2094" i="1" s="1"/>
  <c r="AN2093" i="1"/>
  <c r="AG2093" i="1"/>
  <c r="AH2093" i="1" s="1"/>
  <c r="AN2092" i="1"/>
  <c r="AH2092" i="1"/>
  <c r="AG2092" i="1"/>
  <c r="AN2091" i="1"/>
  <c r="AG2091" i="1"/>
  <c r="AH2091" i="1" s="1"/>
  <c r="AN2090" i="1"/>
  <c r="AH2090" i="1"/>
  <c r="AG2090" i="1"/>
  <c r="AN2089" i="1"/>
  <c r="AG2089" i="1"/>
  <c r="AH2089" i="1" s="1"/>
  <c r="AN2088" i="1"/>
  <c r="AG2088" i="1"/>
  <c r="AH2088" i="1" s="1"/>
  <c r="AN2087" i="1"/>
  <c r="AH2087" i="1"/>
  <c r="AG2087" i="1"/>
  <c r="AN2086" i="1"/>
  <c r="AH2086" i="1"/>
  <c r="AG2086" i="1"/>
  <c r="AN2085" i="1"/>
  <c r="AG2085" i="1"/>
  <c r="AH2085" i="1" s="1"/>
  <c r="AN2084" i="1"/>
  <c r="AH2084" i="1"/>
  <c r="AG2084" i="1"/>
  <c r="AN2083" i="1"/>
  <c r="AG2083" i="1"/>
  <c r="AH2083" i="1" s="1"/>
  <c r="AN2082" i="1"/>
  <c r="AG2082" i="1"/>
  <c r="AH2082" i="1" s="1"/>
  <c r="AN2081" i="1"/>
  <c r="AG2081" i="1"/>
  <c r="AH2081" i="1" s="1"/>
  <c r="AN2080" i="1"/>
  <c r="AG2080" i="1"/>
  <c r="AH2080" i="1" s="1"/>
  <c r="AN2079" i="1"/>
  <c r="AH2079" i="1"/>
  <c r="AG2079" i="1"/>
  <c r="AN2078" i="1"/>
  <c r="AG2078" i="1"/>
  <c r="AH2078" i="1" s="1"/>
  <c r="AN2077" i="1"/>
  <c r="AG2077" i="1"/>
  <c r="AH2077" i="1" s="1"/>
  <c r="AN2076" i="1"/>
  <c r="AH2076" i="1"/>
  <c r="AG2076" i="1"/>
  <c r="AN2075" i="1"/>
  <c r="AG2075" i="1"/>
  <c r="AH2075" i="1" s="1"/>
  <c r="AN2074" i="1"/>
  <c r="AH2074" i="1"/>
  <c r="AG2074" i="1"/>
  <c r="AN2073" i="1"/>
  <c r="AG2073" i="1"/>
  <c r="AH2073" i="1" s="1"/>
  <c r="AN2072" i="1"/>
  <c r="AG2072" i="1"/>
  <c r="AH2072" i="1" s="1"/>
  <c r="AN2071" i="1"/>
  <c r="AH2071" i="1"/>
  <c r="AG2071" i="1"/>
  <c r="AN2070" i="1"/>
  <c r="AG2070" i="1"/>
  <c r="AH2070" i="1" s="1"/>
  <c r="AN2069" i="1"/>
  <c r="AG2069" i="1"/>
  <c r="AH2069" i="1" s="1"/>
  <c r="AN2068" i="1"/>
  <c r="AH2068" i="1"/>
  <c r="AG2068" i="1"/>
  <c r="AN2067" i="1"/>
  <c r="AG2067" i="1"/>
  <c r="AH2067" i="1" s="1"/>
  <c r="AN2066" i="1"/>
  <c r="AH2066" i="1"/>
  <c r="AG2066" i="1"/>
  <c r="AN2065" i="1"/>
  <c r="AG2065" i="1"/>
  <c r="AH2065" i="1" s="1"/>
  <c r="AN2064" i="1"/>
  <c r="AG2064" i="1"/>
  <c r="AH2064" i="1" s="1"/>
  <c r="AN2063" i="1"/>
  <c r="AH2063" i="1"/>
  <c r="AG2063" i="1"/>
  <c r="AN2062" i="1"/>
  <c r="AG2062" i="1"/>
  <c r="AH2062" i="1" s="1"/>
  <c r="AN2061" i="1"/>
  <c r="AG2061" i="1"/>
  <c r="AH2061" i="1" s="1"/>
  <c r="AN2060" i="1"/>
  <c r="AG2060" i="1"/>
  <c r="AH2060" i="1" s="1"/>
  <c r="AN2059" i="1"/>
  <c r="AG2059" i="1"/>
  <c r="AH2059" i="1" s="1"/>
  <c r="AN2058" i="1"/>
  <c r="AH2058" i="1"/>
  <c r="AG2058" i="1"/>
  <c r="AN2057" i="1"/>
  <c r="AG2057" i="1"/>
  <c r="AH2057" i="1" s="1"/>
  <c r="AN2056" i="1"/>
  <c r="AG2056" i="1"/>
  <c r="AH2056" i="1" s="1"/>
  <c r="AN2055" i="1"/>
  <c r="AH2055" i="1"/>
  <c r="AG2055" i="1"/>
  <c r="AN2054" i="1"/>
  <c r="AG2054" i="1"/>
  <c r="AH2054" i="1" s="1"/>
  <c r="AN2053" i="1"/>
  <c r="AG2053" i="1"/>
  <c r="AH2053" i="1" s="1"/>
  <c r="AN2052" i="1"/>
  <c r="AH2052" i="1"/>
  <c r="AG2052" i="1"/>
  <c r="AN2051" i="1"/>
  <c r="AG2051" i="1"/>
  <c r="AH2051" i="1" s="1"/>
  <c r="AN2050" i="1"/>
  <c r="AH2050" i="1"/>
  <c r="AG2050" i="1"/>
  <c r="AN2049" i="1"/>
  <c r="AG2049" i="1"/>
  <c r="AH2049" i="1" s="1"/>
  <c r="AN2048" i="1"/>
  <c r="AG2048" i="1"/>
  <c r="AH2048" i="1" s="1"/>
  <c r="AN2047" i="1"/>
  <c r="AG2047" i="1"/>
  <c r="AH2047" i="1" s="1"/>
  <c r="AN2046" i="1"/>
  <c r="AG2046" i="1"/>
  <c r="AH2046" i="1" s="1"/>
  <c r="AN2045" i="1"/>
  <c r="AG2045" i="1"/>
  <c r="AH2045" i="1" s="1"/>
  <c r="AN2044" i="1"/>
  <c r="AH2044" i="1"/>
  <c r="AG2044" i="1"/>
  <c r="AN2043" i="1"/>
  <c r="AG2043" i="1"/>
  <c r="AH2043" i="1" s="1"/>
  <c r="AN2042" i="1"/>
  <c r="AH2042" i="1"/>
  <c r="AG2042" i="1"/>
  <c r="AN2041" i="1"/>
  <c r="AG2041" i="1"/>
  <c r="AH2041" i="1" s="1"/>
  <c r="AN2040" i="1"/>
  <c r="AG2040" i="1"/>
  <c r="AH2040" i="1" s="1"/>
  <c r="AN2039" i="1"/>
  <c r="AH2039" i="1"/>
  <c r="AG2039" i="1"/>
  <c r="AN2038" i="1"/>
  <c r="AG2038" i="1"/>
  <c r="AH2038" i="1" s="1"/>
  <c r="AN2037" i="1"/>
  <c r="AG2037" i="1"/>
  <c r="AH2037" i="1" s="1"/>
  <c r="AN2036" i="1"/>
  <c r="AH2036" i="1"/>
  <c r="AG2036" i="1"/>
  <c r="AN2035" i="1"/>
  <c r="AG2035" i="1"/>
  <c r="AH2035" i="1" s="1"/>
  <c r="AN2034" i="1"/>
  <c r="AG2034" i="1"/>
  <c r="AH2034" i="1" s="1"/>
  <c r="AN2033" i="1"/>
  <c r="AG2033" i="1"/>
  <c r="AH2033" i="1" s="1"/>
  <c r="AN2032" i="1"/>
  <c r="AG2032" i="1"/>
  <c r="AH2032" i="1" s="1"/>
  <c r="AN2031" i="1"/>
  <c r="AH2031" i="1"/>
  <c r="AG2031" i="1"/>
  <c r="AN2030" i="1"/>
  <c r="AG2030" i="1"/>
  <c r="AH2030" i="1" s="1"/>
  <c r="AN2029" i="1"/>
  <c r="AG2029" i="1"/>
  <c r="AH2029" i="1" s="1"/>
  <c r="AN2028" i="1"/>
  <c r="AH2028" i="1"/>
  <c r="AG2028" i="1"/>
  <c r="AN2027" i="1"/>
  <c r="AG2027" i="1"/>
  <c r="AH2027" i="1" s="1"/>
  <c r="AN2026" i="1"/>
  <c r="AH2026" i="1"/>
  <c r="AG2026" i="1"/>
  <c r="AN2025" i="1"/>
  <c r="AG2025" i="1"/>
  <c r="AH2025" i="1" s="1"/>
  <c r="AN2024" i="1"/>
  <c r="AG2024" i="1"/>
  <c r="AH2024" i="1" s="1"/>
  <c r="AN2023" i="1"/>
  <c r="AH2023" i="1"/>
  <c r="AG2023" i="1"/>
  <c r="AN2022" i="1"/>
  <c r="AG2022" i="1"/>
  <c r="AH2022" i="1" s="1"/>
  <c r="AN2021" i="1"/>
  <c r="AG2021" i="1"/>
  <c r="AH2021" i="1" s="1"/>
  <c r="AN2020" i="1"/>
  <c r="AH2020" i="1"/>
  <c r="AG2020" i="1"/>
  <c r="AN2019" i="1"/>
  <c r="AG2019" i="1"/>
  <c r="AH2019" i="1" s="1"/>
  <c r="AN2018" i="1"/>
  <c r="AH2018" i="1"/>
  <c r="AG2018" i="1"/>
  <c r="AN2017" i="1"/>
  <c r="AG2017" i="1"/>
  <c r="AH2017" i="1" s="1"/>
  <c r="AN2016" i="1"/>
  <c r="AG2016" i="1"/>
  <c r="AH2016" i="1" s="1"/>
  <c r="AN2015" i="1"/>
  <c r="AH2015" i="1"/>
  <c r="AG2015" i="1"/>
  <c r="AN2014" i="1"/>
  <c r="AG2014" i="1"/>
  <c r="AH2014" i="1" s="1"/>
  <c r="AN2013" i="1"/>
  <c r="AG2013" i="1"/>
  <c r="AH2013" i="1" s="1"/>
  <c r="AN2012" i="1"/>
  <c r="AG2012" i="1"/>
  <c r="AH2012" i="1" s="1"/>
  <c r="AN2011" i="1"/>
  <c r="AG2011" i="1"/>
  <c r="AH2011" i="1" s="1"/>
  <c r="AN2010" i="1"/>
  <c r="AH2010" i="1"/>
  <c r="AG2010" i="1"/>
  <c r="AN2009" i="1"/>
  <c r="AG2009" i="1"/>
  <c r="AH2009" i="1" s="1"/>
  <c r="AN2008" i="1"/>
  <c r="AG2008" i="1"/>
  <c r="AH2008" i="1" s="1"/>
  <c r="AN2007" i="1"/>
  <c r="AH2007" i="1"/>
  <c r="AG2007" i="1"/>
  <c r="AN2006" i="1"/>
  <c r="AG2006" i="1"/>
  <c r="AH2006" i="1" s="1"/>
  <c r="AN2005" i="1"/>
  <c r="AG2005" i="1"/>
  <c r="AH2005" i="1" s="1"/>
  <c r="AN2004" i="1"/>
  <c r="AH2004" i="1"/>
  <c r="AG2004" i="1"/>
  <c r="AN2003" i="1"/>
  <c r="AG2003" i="1"/>
  <c r="AH2003" i="1" s="1"/>
  <c r="AN2002" i="1"/>
  <c r="AH2002" i="1"/>
  <c r="AG2002" i="1"/>
  <c r="AN2001" i="1"/>
  <c r="AG2001" i="1"/>
  <c r="AH2001" i="1" s="1"/>
  <c r="AN2000" i="1"/>
  <c r="AG2000" i="1"/>
  <c r="AH2000" i="1" s="1"/>
  <c r="AN1999" i="1"/>
  <c r="AG1999" i="1"/>
  <c r="AH1999" i="1" s="1"/>
  <c r="AN1998" i="1"/>
  <c r="AG1998" i="1"/>
  <c r="AH1998" i="1" s="1"/>
  <c r="AN1997" i="1"/>
  <c r="AG1997" i="1"/>
  <c r="AH1997" i="1" s="1"/>
  <c r="AN1996" i="1"/>
  <c r="AH1996" i="1"/>
  <c r="AG1996" i="1"/>
  <c r="AN1995" i="1"/>
  <c r="AG1995" i="1"/>
  <c r="AH1995" i="1" s="1"/>
  <c r="AN1994" i="1"/>
  <c r="AH1994" i="1"/>
  <c r="AG1994" i="1"/>
  <c r="AN1993" i="1"/>
  <c r="AG1993" i="1"/>
  <c r="AH1993" i="1" s="1"/>
  <c r="AN1992" i="1"/>
  <c r="AG1992" i="1"/>
  <c r="AH1992" i="1" s="1"/>
  <c r="AN1991" i="1"/>
  <c r="AH1991" i="1"/>
  <c r="AG1991" i="1"/>
  <c r="AN1990" i="1"/>
  <c r="AG1990" i="1"/>
  <c r="AH1990" i="1" s="1"/>
  <c r="AN1989" i="1"/>
  <c r="AG1989" i="1"/>
  <c r="AH1989" i="1" s="1"/>
  <c r="AN1988" i="1"/>
  <c r="AH1988" i="1"/>
  <c r="AG1988" i="1"/>
  <c r="AN1987" i="1"/>
  <c r="AG1987" i="1"/>
  <c r="AH1987" i="1" s="1"/>
  <c r="AN1986" i="1"/>
  <c r="AG1986" i="1"/>
  <c r="AH1986" i="1" s="1"/>
  <c r="AN1985" i="1"/>
  <c r="AG1985" i="1"/>
  <c r="AH1985" i="1" s="1"/>
  <c r="AN1984" i="1"/>
  <c r="AH1984" i="1"/>
  <c r="AG1984" i="1"/>
  <c r="AN1983" i="1"/>
  <c r="AH1983" i="1"/>
  <c r="AG1983" i="1"/>
  <c r="AN1982" i="1"/>
  <c r="AG1982" i="1"/>
  <c r="AH1982" i="1" s="1"/>
  <c r="AN1981" i="1"/>
  <c r="AG1981" i="1"/>
  <c r="AH1981" i="1" s="1"/>
  <c r="AN1980" i="1"/>
  <c r="AH1980" i="1"/>
  <c r="AG1980" i="1"/>
  <c r="AN1979" i="1"/>
  <c r="AG1979" i="1"/>
  <c r="AH1979" i="1" s="1"/>
  <c r="AN1978" i="1"/>
  <c r="AH1978" i="1"/>
  <c r="AG1978" i="1"/>
  <c r="AN1977" i="1"/>
  <c r="AG1977" i="1"/>
  <c r="AH1977" i="1" s="1"/>
  <c r="AN1976" i="1"/>
  <c r="AG1976" i="1"/>
  <c r="AH1976" i="1" s="1"/>
  <c r="AN1975" i="1"/>
  <c r="AH1975" i="1"/>
  <c r="AG1975" i="1"/>
  <c r="AN1974" i="1"/>
  <c r="AG1974" i="1"/>
  <c r="AH1974" i="1" s="1"/>
  <c r="AN1973" i="1"/>
  <c r="AG1973" i="1"/>
  <c r="AH1973" i="1" s="1"/>
  <c r="AN1972" i="1"/>
  <c r="AH1972" i="1"/>
  <c r="AG1972" i="1"/>
  <c r="AN1971" i="1"/>
  <c r="AH1971" i="1"/>
  <c r="AG1971" i="1"/>
  <c r="AN1970" i="1"/>
  <c r="AH1970" i="1"/>
  <c r="AG1970" i="1"/>
  <c r="AN1969" i="1"/>
  <c r="AG1969" i="1"/>
  <c r="AH1969" i="1" s="1"/>
  <c r="AN1968" i="1"/>
  <c r="AG1968" i="1"/>
  <c r="AH1968" i="1" s="1"/>
  <c r="AN1967" i="1"/>
  <c r="AH1967" i="1"/>
  <c r="AG1967" i="1"/>
  <c r="AN1966" i="1"/>
  <c r="AG1966" i="1"/>
  <c r="AH1966" i="1" s="1"/>
  <c r="AN1965" i="1"/>
  <c r="AG1965" i="1"/>
  <c r="AH1965" i="1" s="1"/>
  <c r="AN1964" i="1"/>
  <c r="AG1964" i="1"/>
  <c r="AH1964" i="1" s="1"/>
  <c r="AN1963" i="1"/>
  <c r="AG1963" i="1"/>
  <c r="AH1963" i="1" s="1"/>
  <c r="AN1962" i="1"/>
  <c r="AH1962" i="1"/>
  <c r="AG1962" i="1"/>
  <c r="AN1961" i="1"/>
  <c r="AG1961" i="1"/>
  <c r="AH1961" i="1" s="1"/>
  <c r="AN1960" i="1"/>
  <c r="AG1960" i="1"/>
  <c r="AH1960" i="1" s="1"/>
  <c r="AN1959" i="1"/>
  <c r="AH1959" i="1"/>
  <c r="AG1959" i="1"/>
  <c r="AN1958" i="1"/>
  <c r="AH1958" i="1"/>
  <c r="AG1958" i="1"/>
  <c r="AN1957" i="1"/>
  <c r="AH1957" i="1"/>
  <c r="AG1957" i="1"/>
  <c r="AN1956" i="1"/>
  <c r="AG1956" i="1"/>
  <c r="AH1956" i="1" s="1"/>
  <c r="AN1955" i="1"/>
  <c r="AG1955" i="1"/>
  <c r="AH1955" i="1" s="1"/>
  <c r="AN1954" i="1"/>
  <c r="AG1954" i="1"/>
  <c r="AH1954" i="1" s="1"/>
  <c r="AN1953" i="1"/>
  <c r="AH1953" i="1"/>
  <c r="AG1953" i="1"/>
  <c r="AN1952" i="1"/>
  <c r="AG1952" i="1"/>
  <c r="AH1952" i="1" s="1"/>
  <c r="AN1951" i="1"/>
  <c r="AG1951" i="1"/>
  <c r="AH1951" i="1" s="1"/>
  <c r="AN1950" i="1"/>
  <c r="AG1950" i="1"/>
  <c r="AH1950" i="1" s="1"/>
  <c r="AN1949" i="1"/>
  <c r="AH1949" i="1"/>
  <c r="AG1949" i="1"/>
  <c r="AN1948" i="1"/>
  <c r="AG1948" i="1"/>
  <c r="AH1948" i="1" s="1"/>
  <c r="AN1947" i="1"/>
  <c r="AG1947" i="1"/>
  <c r="AH1947" i="1" s="1"/>
  <c r="AN1946" i="1"/>
  <c r="AG1946" i="1"/>
  <c r="AH1946" i="1" s="1"/>
  <c r="AN1945" i="1"/>
  <c r="AH1945" i="1"/>
  <c r="AG1945" i="1"/>
  <c r="AN1944" i="1"/>
  <c r="AG1944" i="1"/>
  <c r="AH1944" i="1" s="1"/>
  <c r="AN1943" i="1"/>
  <c r="AG1943" i="1"/>
  <c r="AH1943" i="1" s="1"/>
  <c r="AN1942" i="1"/>
  <c r="AG1942" i="1"/>
  <c r="AH1942" i="1" s="1"/>
  <c r="AN1941" i="1"/>
  <c r="AH1941" i="1"/>
  <c r="AG1941" i="1"/>
  <c r="AN1940" i="1"/>
  <c r="AG1940" i="1"/>
  <c r="AH1940" i="1" s="1"/>
  <c r="AN1939" i="1"/>
  <c r="AG1939" i="1"/>
  <c r="AH1939" i="1" s="1"/>
  <c r="AN1938" i="1"/>
  <c r="AG1938" i="1"/>
  <c r="AH1938" i="1" s="1"/>
  <c r="AN1937" i="1"/>
  <c r="AG1937" i="1"/>
  <c r="AH1937" i="1" s="1"/>
  <c r="AN1936" i="1"/>
  <c r="AG1936" i="1"/>
  <c r="AH1936" i="1" s="1"/>
  <c r="AN1935" i="1"/>
  <c r="AH1935" i="1"/>
  <c r="AG1935" i="1"/>
  <c r="AN1934" i="1"/>
  <c r="AG1934" i="1"/>
  <c r="AH1934" i="1" s="1"/>
  <c r="AN1933" i="1"/>
  <c r="AH1933" i="1"/>
  <c r="AG1933" i="1"/>
  <c r="AN1932" i="1"/>
  <c r="AG1932" i="1"/>
  <c r="AH1932" i="1" s="1"/>
  <c r="AN1931" i="1"/>
  <c r="AG1931" i="1"/>
  <c r="AH1931" i="1" s="1"/>
  <c r="AN1930" i="1"/>
  <c r="AG1930" i="1"/>
  <c r="AH1930" i="1" s="1"/>
  <c r="AN1929" i="1"/>
  <c r="AH1929" i="1"/>
  <c r="AG1929" i="1"/>
  <c r="AN1928" i="1"/>
  <c r="AG1928" i="1"/>
  <c r="AH1928" i="1" s="1"/>
  <c r="AN1927" i="1"/>
  <c r="AH1927" i="1"/>
  <c r="AG1927" i="1"/>
  <c r="AN1926" i="1"/>
  <c r="AG1926" i="1"/>
  <c r="AH1926" i="1" s="1"/>
  <c r="AN1925" i="1"/>
  <c r="AG1925" i="1"/>
  <c r="AH1925" i="1" s="1"/>
  <c r="AN1924" i="1"/>
  <c r="AG1924" i="1"/>
  <c r="AH1924" i="1" s="1"/>
  <c r="AN1923" i="1"/>
  <c r="AG1923" i="1"/>
  <c r="AH1923" i="1" s="1"/>
  <c r="AN1922" i="1"/>
  <c r="AG1922" i="1"/>
  <c r="AH1922" i="1" s="1"/>
  <c r="AN1921" i="1"/>
  <c r="AH1921" i="1"/>
  <c r="AG1921" i="1"/>
  <c r="AN1920" i="1"/>
  <c r="AG1920" i="1"/>
  <c r="AH1920" i="1" s="1"/>
  <c r="AN1919" i="1"/>
  <c r="AG1919" i="1"/>
  <c r="AH1919" i="1" s="1"/>
  <c r="AN1918" i="1"/>
  <c r="AG1918" i="1"/>
  <c r="AH1918" i="1" s="1"/>
  <c r="AN1917" i="1"/>
  <c r="AH1917" i="1"/>
  <c r="AG1917" i="1"/>
  <c r="AN1916" i="1"/>
  <c r="AG1916" i="1"/>
  <c r="AH1916" i="1" s="1"/>
  <c r="AN1915" i="1"/>
  <c r="AG1915" i="1"/>
  <c r="AH1915" i="1" s="1"/>
  <c r="AN1914" i="1"/>
  <c r="AG1914" i="1"/>
  <c r="AH1914" i="1" s="1"/>
  <c r="AN1913" i="1"/>
  <c r="AG1913" i="1"/>
  <c r="AH1913" i="1" s="1"/>
  <c r="AN1912" i="1"/>
  <c r="AG1912" i="1"/>
  <c r="AH1912" i="1" s="1"/>
  <c r="AN1911" i="1"/>
  <c r="AH1911" i="1"/>
  <c r="AG1911" i="1"/>
  <c r="AN1910" i="1"/>
  <c r="AG1910" i="1"/>
  <c r="AH1910" i="1" s="1"/>
  <c r="AN1909" i="1"/>
  <c r="AH1909" i="1"/>
  <c r="AG1909" i="1"/>
  <c r="AN1908" i="1"/>
  <c r="AG1908" i="1"/>
  <c r="AH1908" i="1" s="1"/>
  <c r="AN1907" i="1"/>
  <c r="AG1907" i="1"/>
  <c r="AH1907" i="1" s="1"/>
  <c r="AN1906" i="1"/>
  <c r="AG1906" i="1"/>
  <c r="AH1906" i="1" s="1"/>
  <c r="AN1905" i="1"/>
  <c r="AH1905" i="1"/>
  <c r="AG1905" i="1"/>
  <c r="AN1904" i="1"/>
  <c r="AG1904" i="1"/>
  <c r="AH1904" i="1" s="1"/>
  <c r="AN1903" i="1"/>
  <c r="AH1903" i="1"/>
  <c r="AG1903" i="1"/>
  <c r="AN1902" i="1"/>
  <c r="AG1902" i="1"/>
  <c r="AH1902" i="1" s="1"/>
  <c r="AN1901" i="1"/>
  <c r="AG1901" i="1"/>
  <c r="AH1901" i="1" s="1"/>
  <c r="AN1900" i="1"/>
  <c r="AG1900" i="1"/>
  <c r="AH1900" i="1" s="1"/>
  <c r="AN1899" i="1"/>
  <c r="AG1899" i="1"/>
  <c r="AH1899" i="1" s="1"/>
  <c r="AN1898" i="1"/>
  <c r="AG1898" i="1"/>
  <c r="AH1898" i="1" s="1"/>
  <c r="AN1897" i="1"/>
  <c r="AH1897" i="1"/>
  <c r="AG1897" i="1"/>
  <c r="AN1896" i="1"/>
  <c r="AG1896" i="1"/>
  <c r="AH1896" i="1" s="1"/>
  <c r="AN1895" i="1"/>
  <c r="AG1895" i="1"/>
  <c r="AH1895" i="1" s="1"/>
  <c r="AN1894" i="1"/>
  <c r="AG1894" i="1"/>
  <c r="AH1894" i="1" s="1"/>
  <c r="AN1893" i="1"/>
  <c r="AH1893" i="1"/>
  <c r="AG1893" i="1"/>
  <c r="AN1892" i="1"/>
  <c r="AG1892" i="1"/>
  <c r="AH1892" i="1" s="1"/>
  <c r="AN1891" i="1"/>
  <c r="AG1891" i="1"/>
  <c r="AH1891" i="1" s="1"/>
  <c r="AN1890" i="1"/>
  <c r="AG1890" i="1"/>
  <c r="AH1890" i="1" s="1"/>
  <c r="AN1889" i="1"/>
  <c r="AG1889" i="1"/>
  <c r="AH1889" i="1" s="1"/>
  <c r="AN1888" i="1"/>
  <c r="AG1888" i="1"/>
  <c r="AH1888" i="1" s="1"/>
  <c r="AN1887" i="1"/>
  <c r="AH1887" i="1"/>
  <c r="AG1887" i="1"/>
  <c r="AN1886" i="1"/>
  <c r="AG1886" i="1"/>
  <c r="AH1886" i="1" s="1"/>
  <c r="AN1885" i="1"/>
  <c r="AH1885" i="1"/>
  <c r="AG1885" i="1"/>
  <c r="AN1884" i="1"/>
  <c r="AG1884" i="1"/>
  <c r="AH1884" i="1" s="1"/>
  <c r="AN1883" i="1"/>
  <c r="AG1883" i="1"/>
  <c r="AH1883" i="1" s="1"/>
  <c r="AN1882" i="1"/>
  <c r="AG1882" i="1"/>
  <c r="AH1882" i="1" s="1"/>
  <c r="AN1881" i="1"/>
  <c r="AH1881" i="1"/>
  <c r="AG1881" i="1"/>
  <c r="AN1880" i="1"/>
  <c r="AG1880" i="1"/>
  <c r="AH1880" i="1" s="1"/>
  <c r="AN1879" i="1"/>
  <c r="AH1879" i="1"/>
  <c r="AG1879" i="1"/>
  <c r="AN1878" i="1"/>
  <c r="AG1878" i="1"/>
  <c r="AH1878" i="1" s="1"/>
  <c r="AN1877" i="1"/>
  <c r="AG1877" i="1"/>
  <c r="AH1877" i="1" s="1"/>
  <c r="AN1876" i="1"/>
  <c r="AG1876" i="1"/>
  <c r="AH1876" i="1" s="1"/>
  <c r="AN1875" i="1"/>
  <c r="AG1875" i="1"/>
  <c r="AH1875" i="1" s="1"/>
  <c r="AN1874" i="1"/>
  <c r="AG1874" i="1"/>
  <c r="AH1874" i="1" s="1"/>
  <c r="AN1873" i="1"/>
  <c r="AH1873" i="1"/>
  <c r="AG1873" i="1"/>
  <c r="AN1872" i="1"/>
  <c r="AG1872" i="1"/>
  <c r="AH1872" i="1" s="1"/>
  <c r="AN1871" i="1"/>
  <c r="AG1871" i="1"/>
  <c r="AH1871" i="1" s="1"/>
  <c r="AN1870" i="1"/>
  <c r="AG1870" i="1"/>
  <c r="AH1870" i="1" s="1"/>
  <c r="AN1869" i="1"/>
  <c r="AH1869" i="1"/>
  <c r="AG1869" i="1"/>
  <c r="AN1868" i="1"/>
  <c r="AG1868" i="1"/>
  <c r="AH1868" i="1" s="1"/>
  <c r="AN1867" i="1"/>
  <c r="AG1867" i="1"/>
  <c r="AH1867" i="1" s="1"/>
  <c r="AN1866" i="1"/>
  <c r="AG1866" i="1"/>
  <c r="AH1866" i="1" s="1"/>
  <c r="AN1865" i="1"/>
  <c r="AG1865" i="1"/>
  <c r="AH1865" i="1" s="1"/>
  <c r="AN1864" i="1"/>
  <c r="AG1864" i="1"/>
  <c r="AH1864" i="1" s="1"/>
  <c r="AN1863" i="1"/>
  <c r="AH1863" i="1"/>
  <c r="AG1863" i="1"/>
  <c r="AN1862" i="1"/>
  <c r="AG1862" i="1"/>
  <c r="AH1862" i="1" s="1"/>
  <c r="AN1861" i="1"/>
  <c r="AH1861" i="1"/>
  <c r="AG1861" i="1"/>
  <c r="AN1860" i="1"/>
  <c r="AG1860" i="1"/>
  <c r="AH1860" i="1" s="1"/>
  <c r="AN1859" i="1"/>
  <c r="AG1859" i="1"/>
  <c r="AH1859" i="1" s="1"/>
  <c r="AN1858" i="1"/>
  <c r="AG1858" i="1"/>
  <c r="AH1858" i="1" s="1"/>
  <c r="AN1857" i="1"/>
  <c r="AH1857" i="1"/>
  <c r="AG1857" i="1"/>
  <c r="AN1856" i="1"/>
  <c r="AG1856" i="1"/>
  <c r="AH1856" i="1" s="1"/>
  <c r="AN1855" i="1"/>
  <c r="AG1855" i="1"/>
  <c r="AH1855" i="1" s="1"/>
  <c r="AN1854" i="1"/>
  <c r="AG1854" i="1"/>
  <c r="AH1854" i="1" s="1"/>
  <c r="AN1853" i="1"/>
  <c r="AG1853" i="1"/>
  <c r="AH1853" i="1" s="1"/>
  <c r="AN1852" i="1"/>
  <c r="AG1852" i="1"/>
  <c r="AH1852" i="1" s="1"/>
  <c r="AN1851" i="1"/>
  <c r="AG1851" i="1"/>
  <c r="AH1851" i="1" s="1"/>
  <c r="AN1850" i="1"/>
  <c r="AG1850" i="1"/>
  <c r="AH1850" i="1" s="1"/>
  <c r="AN1849" i="1"/>
  <c r="AH1849" i="1"/>
  <c r="AG1849" i="1"/>
  <c r="AN1848" i="1"/>
  <c r="AG1848" i="1"/>
  <c r="AH1848" i="1" s="1"/>
  <c r="AN1847" i="1"/>
  <c r="AG1847" i="1"/>
  <c r="AH1847" i="1" s="1"/>
  <c r="AN1846" i="1"/>
  <c r="AG1846" i="1"/>
  <c r="AH1846" i="1" s="1"/>
  <c r="AN1845" i="1"/>
  <c r="AH1845" i="1"/>
  <c r="AG1845" i="1"/>
  <c r="AN1844" i="1"/>
  <c r="AG1844" i="1"/>
  <c r="AH1844" i="1" s="1"/>
  <c r="AN1843" i="1"/>
  <c r="AG1843" i="1"/>
  <c r="AH1843" i="1" s="1"/>
  <c r="AN1842" i="1"/>
  <c r="AG1842" i="1"/>
  <c r="AH1842" i="1" s="1"/>
  <c r="AN1841" i="1"/>
  <c r="AG1841" i="1"/>
  <c r="AH1841" i="1" s="1"/>
  <c r="AN1840" i="1"/>
  <c r="AG1840" i="1"/>
  <c r="AH1840" i="1" s="1"/>
  <c r="AN1839" i="1"/>
  <c r="AH1839" i="1"/>
  <c r="AG1839" i="1"/>
  <c r="AN1838" i="1"/>
  <c r="AG1838" i="1"/>
  <c r="AH1838" i="1" s="1"/>
  <c r="AN1837" i="1"/>
  <c r="AH1837" i="1"/>
  <c r="AG1837" i="1"/>
  <c r="AN1836" i="1"/>
  <c r="AG1836" i="1"/>
  <c r="AH1836" i="1" s="1"/>
  <c r="AN1835" i="1"/>
  <c r="AG1835" i="1"/>
  <c r="AH1835" i="1" s="1"/>
  <c r="AN1834" i="1"/>
  <c r="AG1834" i="1"/>
  <c r="AH1834" i="1" s="1"/>
  <c r="AN1833" i="1"/>
  <c r="AH1833" i="1"/>
  <c r="AG1833" i="1"/>
  <c r="AN1832" i="1"/>
  <c r="AG1832" i="1"/>
  <c r="AH1832" i="1" s="1"/>
  <c r="AN1831" i="1"/>
  <c r="AH1831" i="1"/>
  <c r="AG1831" i="1"/>
  <c r="AN1830" i="1"/>
  <c r="AG1830" i="1"/>
  <c r="AH1830" i="1" s="1"/>
  <c r="AN1829" i="1"/>
  <c r="AG1829" i="1"/>
  <c r="AH1829" i="1" s="1"/>
  <c r="AN1828" i="1"/>
  <c r="AG1828" i="1"/>
  <c r="AH1828" i="1" s="1"/>
  <c r="AN1827" i="1"/>
  <c r="AH1827" i="1"/>
  <c r="AG1827" i="1"/>
  <c r="AN1826" i="1"/>
  <c r="AG1826" i="1"/>
  <c r="AH1826" i="1" s="1"/>
  <c r="AN1825" i="1"/>
  <c r="AH1825" i="1"/>
  <c r="AG1825" i="1"/>
  <c r="AN1824" i="1"/>
  <c r="AG1824" i="1"/>
  <c r="AH1824" i="1" s="1"/>
  <c r="AN1823" i="1"/>
  <c r="AG1823" i="1"/>
  <c r="AH1823" i="1" s="1"/>
  <c r="AN1822" i="1"/>
  <c r="AG1822" i="1"/>
  <c r="AH1822" i="1" s="1"/>
  <c r="AN1821" i="1"/>
  <c r="AH1821" i="1"/>
  <c r="AG1821" i="1"/>
  <c r="AN1820" i="1"/>
  <c r="AG1820" i="1"/>
  <c r="AH1820" i="1" s="1"/>
  <c r="AN1819" i="1"/>
  <c r="AG1819" i="1"/>
  <c r="AH1819" i="1" s="1"/>
  <c r="AN1818" i="1"/>
  <c r="AG1818" i="1"/>
  <c r="AH1818" i="1" s="1"/>
  <c r="AN1817" i="1"/>
  <c r="AG1817" i="1"/>
  <c r="AH1817" i="1" s="1"/>
  <c r="AN1816" i="1"/>
  <c r="AG1816" i="1"/>
  <c r="AH1816" i="1" s="1"/>
  <c r="AN1815" i="1"/>
  <c r="AH1815" i="1"/>
  <c r="AG1815" i="1"/>
  <c r="AN1814" i="1"/>
  <c r="AG1814" i="1"/>
  <c r="AH1814" i="1" s="1"/>
  <c r="AN1813" i="1"/>
  <c r="AH1813" i="1"/>
  <c r="AG1813" i="1"/>
  <c r="AN1812" i="1"/>
  <c r="AG1812" i="1"/>
  <c r="AH1812" i="1" s="1"/>
  <c r="AN1811" i="1"/>
  <c r="AG1811" i="1"/>
  <c r="AH1811" i="1" s="1"/>
  <c r="AN1810" i="1"/>
  <c r="AG1810" i="1"/>
  <c r="AH1810" i="1" s="1"/>
  <c r="AN1809" i="1"/>
  <c r="AH1809" i="1"/>
  <c r="AG1809" i="1"/>
  <c r="AN1808" i="1"/>
  <c r="AG1808" i="1"/>
  <c r="AH1808" i="1" s="1"/>
  <c r="AN1807" i="1"/>
  <c r="AH1807" i="1"/>
  <c r="AG1807" i="1"/>
  <c r="AN1806" i="1"/>
  <c r="AG1806" i="1"/>
  <c r="AH1806" i="1" s="1"/>
  <c r="AN1805" i="1"/>
  <c r="AG1805" i="1"/>
  <c r="AH1805" i="1" s="1"/>
  <c r="AN1804" i="1"/>
  <c r="AG1804" i="1"/>
  <c r="AH1804" i="1" s="1"/>
  <c r="AN1803" i="1"/>
  <c r="AH1803" i="1"/>
  <c r="AG1803" i="1"/>
  <c r="AN1802" i="1"/>
  <c r="AG1802" i="1"/>
  <c r="AH1802" i="1" s="1"/>
  <c r="AN1801" i="1"/>
  <c r="AH1801" i="1"/>
  <c r="AG1801" i="1"/>
  <c r="AN1800" i="1"/>
  <c r="AG1800" i="1"/>
  <c r="AH1800" i="1" s="1"/>
  <c r="AN1799" i="1"/>
  <c r="AG1799" i="1"/>
  <c r="AH1799" i="1" s="1"/>
  <c r="AN1798" i="1"/>
  <c r="AG1798" i="1"/>
  <c r="AH1798" i="1" s="1"/>
  <c r="AN1797" i="1"/>
  <c r="AH1797" i="1"/>
  <c r="AG1797" i="1"/>
  <c r="AN1796" i="1"/>
  <c r="AG1796" i="1"/>
  <c r="AH1796" i="1" s="1"/>
  <c r="AN1795" i="1"/>
  <c r="AG1795" i="1"/>
  <c r="AH1795" i="1" s="1"/>
  <c r="AN1794" i="1"/>
  <c r="AG1794" i="1"/>
  <c r="AH1794" i="1" s="1"/>
  <c r="AN1793" i="1"/>
  <c r="AG1793" i="1"/>
  <c r="AH1793" i="1" s="1"/>
  <c r="AN1792" i="1"/>
  <c r="AG1792" i="1"/>
  <c r="AH1792" i="1" s="1"/>
  <c r="AN1791" i="1"/>
  <c r="AH1791" i="1"/>
  <c r="AG1791" i="1"/>
  <c r="AN1790" i="1"/>
  <c r="AG1790" i="1"/>
  <c r="AH1790" i="1" s="1"/>
  <c r="AN1789" i="1"/>
  <c r="AH1789" i="1"/>
  <c r="AG1789" i="1"/>
  <c r="AN1788" i="1"/>
  <c r="AG1788" i="1"/>
  <c r="AH1788" i="1" s="1"/>
  <c r="AN1787" i="1"/>
  <c r="AG1787" i="1"/>
  <c r="AH1787" i="1" s="1"/>
  <c r="AN1786" i="1"/>
  <c r="AG1786" i="1"/>
  <c r="AH1786" i="1" s="1"/>
  <c r="AN1785" i="1"/>
  <c r="AH1785" i="1"/>
  <c r="AG1785" i="1"/>
  <c r="AN1784" i="1"/>
  <c r="AG1784" i="1"/>
  <c r="AH1784" i="1" s="1"/>
  <c r="AN1783" i="1"/>
  <c r="AH1783" i="1"/>
  <c r="AG1783" i="1"/>
  <c r="AN1782" i="1"/>
  <c r="AG1782" i="1"/>
  <c r="AH1782" i="1" s="1"/>
  <c r="AN1781" i="1"/>
  <c r="AG1781" i="1"/>
  <c r="AH1781" i="1" s="1"/>
  <c r="AN1780" i="1"/>
  <c r="AG1780" i="1"/>
  <c r="AH1780" i="1" s="1"/>
  <c r="AN1779" i="1"/>
  <c r="AH1779" i="1"/>
  <c r="AG1779" i="1"/>
  <c r="AN1778" i="1"/>
  <c r="AG1778" i="1"/>
  <c r="AH1778" i="1" s="1"/>
  <c r="AN1777" i="1"/>
  <c r="AH1777" i="1"/>
  <c r="AG1777" i="1"/>
  <c r="AN1776" i="1"/>
  <c r="AG1776" i="1"/>
  <c r="AH1776" i="1" s="1"/>
  <c r="AN1775" i="1"/>
  <c r="AG1775" i="1"/>
  <c r="AH1775" i="1" s="1"/>
  <c r="AN1774" i="1"/>
  <c r="AG1774" i="1"/>
  <c r="AH1774" i="1" s="1"/>
  <c r="AN1773" i="1"/>
  <c r="AH1773" i="1"/>
  <c r="AG1773" i="1"/>
  <c r="AN1772" i="1"/>
  <c r="AG1772" i="1"/>
  <c r="AH1772" i="1" s="1"/>
  <c r="AN1771" i="1"/>
  <c r="AG1771" i="1"/>
  <c r="AH1771" i="1" s="1"/>
  <c r="AN1770" i="1"/>
  <c r="AG1770" i="1"/>
  <c r="AH1770" i="1" s="1"/>
  <c r="AN1769" i="1"/>
  <c r="AG1769" i="1"/>
  <c r="AH1769" i="1" s="1"/>
  <c r="AN1768" i="1"/>
  <c r="AG1768" i="1"/>
  <c r="AH1768" i="1" s="1"/>
  <c r="AN1767" i="1"/>
  <c r="AH1767" i="1"/>
  <c r="AG1767" i="1"/>
  <c r="AN1766" i="1"/>
  <c r="AG1766" i="1"/>
  <c r="AH1766" i="1" s="1"/>
  <c r="AN1765" i="1"/>
  <c r="AH1765" i="1"/>
  <c r="AG1765" i="1"/>
  <c r="AN1764" i="1"/>
  <c r="AG1764" i="1"/>
  <c r="AH1764" i="1" s="1"/>
  <c r="AN1763" i="1"/>
  <c r="AG1763" i="1"/>
  <c r="AH1763" i="1" s="1"/>
  <c r="AN1762" i="1"/>
  <c r="AG1762" i="1"/>
  <c r="AH1762" i="1" s="1"/>
  <c r="AN1761" i="1"/>
  <c r="AG1761" i="1"/>
  <c r="AH1761" i="1" s="1"/>
  <c r="AN1760" i="1"/>
  <c r="AG1760" i="1"/>
  <c r="AH1760" i="1" s="1"/>
  <c r="AN1759" i="1"/>
  <c r="AH1759" i="1"/>
  <c r="AG1759" i="1"/>
  <c r="AN1758" i="1"/>
  <c r="AH1758" i="1"/>
  <c r="AG1758" i="1"/>
  <c r="AN1757" i="1"/>
  <c r="AH1757" i="1"/>
  <c r="AG1757" i="1"/>
  <c r="AN1756" i="1"/>
  <c r="AG1756" i="1"/>
  <c r="AH1756" i="1" s="1"/>
  <c r="AN1755" i="1"/>
  <c r="AG1755" i="1"/>
  <c r="AH1755" i="1" s="1"/>
  <c r="AN1754" i="1"/>
  <c r="AH1754" i="1"/>
  <c r="AG1754" i="1"/>
  <c r="AN1753" i="1"/>
  <c r="AG1753" i="1"/>
  <c r="AH1753" i="1" s="1"/>
  <c r="AN1752" i="1"/>
  <c r="AG1752" i="1"/>
  <c r="AH1752" i="1" s="1"/>
  <c r="AN1751" i="1"/>
  <c r="AG1751" i="1"/>
  <c r="AH1751" i="1" s="1"/>
  <c r="AN1750" i="1"/>
  <c r="AG1750" i="1"/>
  <c r="AH1750" i="1" s="1"/>
  <c r="AN1749" i="1"/>
  <c r="AG1749" i="1"/>
  <c r="AH1749" i="1" s="1"/>
  <c r="AN1748" i="1"/>
  <c r="AG1748" i="1"/>
  <c r="AH1748" i="1" s="1"/>
  <c r="AN1747" i="1"/>
  <c r="AG1747" i="1"/>
  <c r="AH1747" i="1" s="1"/>
  <c r="AN1746" i="1"/>
  <c r="AH1746" i="1"/>
  <c r="AG1746" i="1"/>
  <c r="AN1745" i="1"/>
  <c r="AH1745" i="1"/>
  <c r="AG1745" i="1"/>
  <c r="AN1744" i="1"/>
  <c r="AG1744" i="1"/>
  <c r="AH1744" i="1" s="1"/>
  <c r="AN1743" i="1"/>
  <c r="AH1743" i="1"/>
  <c r="AG1743" i="1"/>
  <c r="AN1742" i="1"/>
  <c r="AH1742" i="1"/>
  <c r="AG1742" i="1"/>
  <c r="AN1741" i="1"/>
  <c r="AH1741" i="1"/>
  <c r="AG1741" i="1"/>
  <c r="AN1740" i="1"/>
  <c r="AG1740" i="1"/>
  <c r="AH1740" i="1" s="1"/>
  <c r="AN1739" i="1"/>
  <c r="AG1739" i="1"/>
  <c r="AH1739" i="1" s="1"/>
  <c r="AN1738" i="1"/>
  <c r="AG1738" i="1"/>
  <c r="AH1738" i="1" s="1"/>
  <c r="AN1737" i="1"/>
  <c r="AG1737" i="1"/>
  <c r="AH1737" i="1" s="1"/>
  <c r="AN1736" i="1"/>
  <c r="AG1736" i="1"/>
  <c r="AH1736" i="1" s="1"/>
  <c r="AN1735" i="1"/>
  <c r="AH1735" i="1"/>
  <c r="AG1735" i="1"/>
  <c r="AN1734" i="1"/>
  <c r="AG1734" i="1"/>
  <c r="AH1734" i="1" s="1"/>
  <c r="AN1733" i="1"/>
  <c r="AH1733" i="1"/>
  <c r="AG1733" i="1"/>
  <c r="AN1732" i="1"/>
  <c r="AG1732" i="1"/>
  <c r="AH1732" i="1" s="1"/>
  <c r="AN1731" i="1"/>
  <c r="AG1731" i="1"/>
  <c r="AH1731" i="1" s="1"/>
  <c r="AN1730" i="1"/>
  <c r="AH1730" i="1"/>
  <c r="AG1730" i="1"/>
  <c r="AN1729" i="1"/>
  <c r="AG1729" i="1"/>
  <c r="AH1729" i="1" s="1"/>
  <c r="AN1728" i="1"/>
  <c r="AG1728" i="1"/>
  <c r="AH1728" i="1" s="1"/>
  <c r="AN1727" i="1"/>
  <c r="AG1727" i="1"/>
  <c r="AH1727" i="1" s="1"/>
  <c r="AN1726" i="1"/>
  <c r="AG1726" i="1"/>
  <c r="AH1726" i="1" s="1"/>
  <c r="AN1725" i="1"/>
  <c r="AG1725" i="1"/>
  <c r="AH1725" i="1" s="1"/>
  <c r="AN1724" i="1"/>
  <c r="AG1724" i="1"/>
  <c r="AH1724" i="1" s="1"/>
  <c r="AN1723" i="1"/>
  <c r="AH1723" i="1"/>
  <c r="AG1723" i="1"/>
  <c r="AN1722" i="1"/>
  <c r="AH1722" i="1"/>
  <c r="AG1722" i="1"/>
  <c r="AN1721" i="1"/>
  <c r="AG1721" i="1"/>
  <c r="AH1721" i="1" s="1"/>
  <c r="AN1720" i="1"/>
  <c r="AG1720" i="1"/>
  <c r="AH1720" i="1" s="1"/>
  <c r="AN1719" i="1"/>
  <c r="AH1719" i="1"/>
  <c r="AG1719" i="1"/>
  <c r="AN1718" i="1"/>
  <c r="AG1718" i="1"/>
  <c r="AH1718" i="1" s="1"/>
  <c r="AN1717" i="1"/>
  <c r="AH1717" i="1"/>
  <c r="AG1717" i="1"/>
  <c r="AN1716" i="1"/>
  <c r="AG1716" i="1"/>
  <c r="AH1716" i="1" s="1"/>
  <c r="AN1715" i="1"/>
  <c r="AG1715" i="1"/>
  <c r="AH1715" i="1" s="1"/>
  <c r="AN1714" i="1"/>
  <c r="AG1714" i="1"/>
  <c r="AH1714" i="1" s="1"/>
  <c r="AN1713" i="1"/>
  <c r="AG1713" i="1"/>
  <c r="AH1713" i="1" s="1"/>
  <c r="AN1712" i="1"/>
  <c r="AG1712" i="1"/>
  <c r="AH1712" i="1" s="1"/>
  <c r="AN1711" i="1"/>
  <c r="AH1711" i="1"/>
  <c r="AG1711" i="1"/>
  <c r="AN1710" i="1"/>
  <c r="AH1710" i="1"/>
  <c r="AG1710" i="1"/>
  <c r="AN1709" i="1"/>
  <c r="AH1709" i="1"/>
  <c r="AG1709" i="1"/>
  <c r="AN1708" i="1"/>
  <c r="AG1708" i="1"/>
  <c r="AH1708" i="1" s="1"/>
  <c r="AN1707" i="1"/>
  <c r="AG1707" i="1"/>
  <c r="AH1707" i="1" s="1"/>
  <c r="AN1706" i="1"/>
  <c r="AH1706" i="1"/>
  <c r="AG1706" i="1"/>
  <c r="AN1705" i="1"/>
  <c r="AG1705" i="1"/>
  <c r="AH1705" i="1" s="1"/>
  <c r="AN1704" i="1"/>
  <c r="AG1704" i="1"/>
  <c r="AH1704" i="1" s="1"/>
  <c r="AN1703" i="1"/>
  <c r="AG1703" i="1"/>
  <c r="AH1703" i="1" s="1"/>
  <c r="AN1702" i="1"/>
  <c r="AG1702" i="1"/>
  <c r="AH1702" i="1" s="1"/>
  <c r="AN1701" i="1"/>
  <c r="AG1701" i="1"/>
  <c r="AH1701" i="1" s="1"/>
  <c r="AN1700" i="1"/>
  <c r="AG1700" i="1"/>
  <c r="AH1700" i="1" s="1"/>
  <c r="AN1699" i="1"/>
  <c r="AG1699" i="1"/>
  <c r="AH1699" i="1" s="1"/>
  <c r="AN1698" i="1"/>
  <c r="AH1698" i="1"/>
  <c r="AG1698" i="1"/>
  <c r="AN1697" i="1"/>
  <c r="AH1697" i="1"/>
  <c r="AG1697" i="1"/>
  <c r="AN1696" i="1"/>
  <c r="AG1696" i="1"/>
  <c r="AH1696" i="1" s="1"/>
  <c r="AN1695" i="1"/>
  <c r="AH1695" i="1"/>
  <c r="AG1695" i="1"/>
  <c r="AN1694" i="1"/>
  <c r="AH1694" i="1"/>
  <c r="AG1694" i="1"/>
  <c r="AN1693" i="1"/>
  <c r="AH1693" i="1"/>
  <c r="AG1693" i="1"/>
  <c r="AN1692" i="1"/>
  <c r="AG1692" i="1"/>
  <c r="AH1692" i="1" s="1"/>
  <c r="AN1691" i="1"/>
  <c r="AH1691" i="1"/>
  <c r="AG1691" i="1"/>
  <c r="AN1690" i="1"/>
  <c r="AH1690" i="1"/>
  <c r="AG1690" i="1"/>
  <c r="AN1689" i="1"/>
  <c r="AH1689" i="1"/>
  <c r="AG1689" i="1"/>
  <c r="AN1688" i="1"/>
  <c r="AG1688" i="1"/>
  <c r="AH1688" i="1" s="1"/>
  <c r="AN1687" i="1"/>
  <c r="AH1687" i="1"/>
  <c r="AG1687" i="1"/>
  <c r="AN1686" i="1"/>
  <c r="AG1686" i="1"/>
  <c r="AH1686" i="1" s="1"/>
  <c r="AN1685" i="1"/>
  <c r="AH1685" i="1"/>
  <c r="AG1685" i="1"/>
  <c r="AN1684" i="1"/>
  <c r="AG1684" i="1"/>
  <c r="AH1684" i="1" s="1"/>
  <c r="AN1683" i="1"/>
  <c r="AH1683" i="1"/>
  <c r="AG1683" i="1"/>
  <c r="AN1682" i="1"/>
  <c r="AG1682" i="1"/>
  <c r="AH1682" i="1" s="1"/>
  <c r="AN1681" i="1"/>
  <c r="AH1681" i="1"/>
  <c r="AG1681" i="1"/>
  <c r="AN1680" i="1"/>
  <c r="AG1680" i="1"/>
  <c r="AH1680" i="1" s="1"/>
  <c r="AN1679" i="1"/>
  <c r="AG1679" i="1"/>
  <c r="AH1679" i="1" s="1"/>
  <c r="AN1678" i="1"/>
  <c r="AG1678" i="1"/>
  <c r="AH1678" i="1" s="1"/>
  <c r="AN1677" i="1"/>
  <c r="AH1677" i="1"/>
  <c r="AG1677" i="1"/>
  <c r="AN1676" i="1"/>
  <c r="AG1676" i="1"/>
  <c r="AH1676" i="1" s="1"/>
  <c r="AN1675" i="1"/>
  <c r="AH1675" i="1"/>
  <c r="AG1675" i="1"/>
  <c r="AN1674" i="1"/>
  <c r="AH1674" i="1"/>
  <c r="AG1674" i="1"/>
  <c r="AN1673" i="1"/>
  <c r="AH1673" i="1"/>
  <c r="AG1673" i="1"/>
  <c r="AN1672" i="1"/>
  <c r="AG1672" i="1"/>
  <c r="AH1672" i="1" s="1"/>
  <c r="AN1671" i="1"/>
  <c r="AH1671" i="1"/>
  <c r="AG1671" i="1"/>
  <c r="AN1670" i="1"/>
  <c r="AH1670" i="1"/>
  <c r="AG1670" i="1"/>
  <c r="AN1669" i="1"/>
  <c r="AG1669" i="1"/>
  <c r="AH1669" i="1" s="1"/>
  <c r="AN1668" i="1"/>
  <c r="AG1668" i="1"/>
  <c r="AH1668" i="1" s="1"/>
  <c r="AN1667" i="1"/>
  <c r="AG1667" i="1"/>
  <c r="AH1667" i="1" s="1"/>
  <c r="AN1666" i="1"/>
  <c r="AG1666" i="1"/>
  <c r="AH1666" i="1" s="1"/>
  <c r="AN1665" i="1"/>
  <c r="AG1665" i="1"/>
  <c r="AH1665" i="1" s="1"/>
  <c r="AN1664" i="1"/>
  <c r="AG1664" i="1"/>
  <c r="AH1664" i="1" s="1"/>
  <c r="AN1663" i="1"/>
  <c r="AG1663" i="1"/>
  <c r="AH1663" i="1" s="1"/>
  <c r="AN1662" i="1"/>
  <c r="AH1662" i="1"/>
  <c r="AG1662" i="1"/>
  <c r="AN1661" i="1"/>
  <c r="AH1661" i="1"/>
  <c r="AG1661" i="1"/>
  <c r="AN1660" i="1"/>
  <c r="AG1660" i="1"/>
  <c r="AH1660" i="1" s="1"/>
  <c r="AN1659" i="1"/>
  <c r="AH1659" i="1"/>
  <c r="AG1659" i="1"/>
  <c r="AN1658" i="1"/>
  <c r="AG1658" i="1"/>
  <c r="AH1658" i="1" s="1"/>
  <c r="AN1657" i="1"/>
  <c r="AH1657" i="1"/>
  <c r="AG1657" i="1"/>
  <c r="AN1656" i="1"/>
  <c r="AG1656" i="1"/>
  <c r="AH1656" i="1" s="1"/>
  <c r="AN1655" i="1"/>
  <c r="AH1655" i="1"/>
  <c r="AG1655" i="1"/>
  <c r="AN1654" i="1"/>
  <c r="AG1654" i="1"/>
  <c r="AH1654" i="1" s="1"/>
  <c r="AN1653" i="1"/>
  <c r="AG1653" i="1"/>
  <c r="AH1653" i="1" s="1"/>
  <c r="AN1652" i="1"/>
  <c r="AG1652" i="1"/>
  <c r="AH1652" i="1" s="1"/>
  <c r="AN1651" i="1"/>
  <c r="AG1651" i="1"/>
  <c r="AH1651" i="1" s="1"/>
  <c r="AN1650" i="1"/>
  <c r="AG1650" i="1"/>
  <c r="AH1650" i="1" s="1"/>
  <c r="AN1649" i="1"/>
  <c r="AH1649" i="1"/>
  <c r="AG1649" i="1"/>
  <c r="AN1648" i="1"/>
  <c r="AG1648" i="1"/>
  <c r="AH1648" i="1" s="1"/>
  <c r="AN1647" i="1"/>
  <c r="AG1647" i="1"/>
  <c r="AH1647" i="1" s="1"/>
  <c r="AN1646" i="1"/>
  <c r="AH1646" i="1"/>
  <c r="AG1646" i="1"/>
  <c r="AN1645" i="1"/>
  <c r="AH1645" i="1"/>
  <c r="AG1645" i="1"/>
  <c r="AN1644" i="1"/>
  <c r="AG1644" i="1"/>
  <c r="AH1644" i="1" s="1"/>
  <c r="AN1643" i="1"/>
  <c r="AG1643" i="1"/>
  <c r="AH1643" i="1" s="1"/>
  <c r="AN1642" i="1"/>
  <c r="AH1642" i="1"/>
  <c r="AG1642" i="1"/>
  <c r="AN1641" i="1"/>
  <c r="AG1641" i="1"/>
  <c r="AH1641" i="1" s="1"/>
  <c r="AN1640" i="1"/>
  <c r="AG1640" i="1"/>
  <c r="AH1640" i="1" s="1"/>
  <c r="AN1639" i="1"/>
  <c r="AH1639" i="1"/>
  <c r="AG1639" i="1"/>
  <c r="AN1638" i="1"/>
  <c r="AG1638" i="1"/>
  <c r="AH1638" i="1" s="1"/>
  <c r="AN1637" i="1"/>
  <c r="AG1637" i="1"/>
  <c r="AH1637" i="1" s="1"/>
  <c r="AN1636" i="1"/>
  <c r="AG1636" i="1"/>
  <c r="AH1636" i="1" s="1"/>
  <c r="AN1635" i="1"/>
  <c r="AH1635" i="1"/>
  <c r="AG1635" i="1"/>
  <c r="AN1634" i="1"/>
  <c r="AG1634" i="1"/>
  <c r="AH1634" i="1" s="1"/>
  <c r="AN1633" i="1"/>
  <c r="AH1633" i="1"/>
  <c r="AG1633" i="1"/>
  <c r="AN1632" i="1"/>
  <c r="AG1632" i="1"/>
  <c r="AH1632" i="1" s="1"/>
  <c r="AN1631" i="1"/>
  <c r="AG1631" i="1"/>
  <c r="AH1631" i="1" s="1"/>
  <c r="AN1630" i="1"/>
  <c r="AG1630" i="1"/>
  <c r="AH1630" i="1" s="1"/>
  <c r="AN1629" i="1"/>
  <c r="AH1629" i="1"/>
  <c r="AG1629" i="1"/>
  <c r="AN1628" i="1"/>
  <c r="AG1628" i="1"/>
  <c r="AH1628" i="1" s="1"/>
  <c r="AN1627" i="1"/>
  <c r="AH1627" i="1"/>
  <c r="AG1627" i="1"/>
  <c r="AN1626" i="1"/>
  <c r="AH1626" i="1"/>
  <c r="AG1626" i="1"/>
  <c r="AN1625" i="1"/>
  <c r="AG1625" i="1"/>
  <c r="AH1625" i="1" s="1"/>
  <c r="AN1624" i="1"/>
  <c r="AG1624" i="1"/>
  <c r="AH1624" i="1" s="1"/>
  <c r="AN1623" i="1"/>
  <c r="AG1623" i="1"/>
  <c r="AH1623" i="1" s="1"/>
  <c r="AN1622" i="1"/>
  <c r="AH1622" i="1"/>
  <c r="AG1622" i="1"/>
  <c r="AN1621" i="1"/>
  <c r="AG1621" i="1"/>
  <c r="AH1621" i="1" s="1"/>
  <c r="AN1620" i="1"/>
  <c r="AG1620" i="1"/>
  <c r="AH1620" i="1" s="1"/>
  <c r="AN1619" i="1"/>
  <c r="AG1619" i="1"/>
  <c r="AH1619" i="1" s="1"/>
  <c r="AN1618" i="1"/>
  <c r="AG1618" i="1"/>
  <c r="AH1618" i="1" s="1"/>
  <c r="AN1617" i="1"/>
  <c r="AG1617" i="1"/>
  <c r="AH1617" i="1" s="1"/>
  <c r="AN1616" i="1"/>
  <c r="AG1616" i="1"/>
  <c r="AH1616" i="1" s="1"/>
  <c r="AN1615" i="1"/>
  <c r="AG1615" i="1"/>
  <c r="AH1615" i="1" s="1"/>
  <c r="AN1614" i="1"/>
  <c r="AH1614" i="1"/>
  <c r="AG1614" i="1"/>
  <c r="AN1613" i="1"/>
  <c r="AH1613" i="1"/>
  <c r="AG1613" i="1"/>
  <c r="AN1612" i="1"/>
  <c r="AG1612" i="1"/>
  <c r="AH1612" i="1" s="1"/>
  <c r="AN1611" i="1"/>
  <c r="AH1611" i="1"/>
  <c r="AG1611" i="1"/>
  <c r="AN1610" i="1"/>
  <c r="AG1610" i="1"/>
  <c r="AH1610" i="1" s="1"/>
  <c r="AN1609" i="1"/>
  <c r="AH1609" i="1"/>
  <c r="AG1609" i="1"/>
  <c r="AN1608" i="1"/>
  <c r="AG1608" i="1"/>
  <c r="AH1608" i="1" s="1"/>
  <c r="AN1607" i="1"/>
  <c r="AH1607" i="1"/>
  <c r="AG1607" i="1"/>
  <c r="AN1606" i="1"/>
  <c r="AG1606" i="1"/>
  <c r="AH1606" i="1" s="1"/>
  <c r="AN1605" i="1"/>
  <c r="AG1605" i="1"/>
  <c r="AH1605" i="1" s="1"/>
  <c r="AN1604" i="1"/>
  <c r="AG1604" i="1"/>
  <c r="AH1604" i="1" s="1"/>
  <c r="AN1603" i="1"/>
  <c r="AG1603" i="1"/>
  <c r="AH1603" i="1" s="1"/>
  <c r="AN1602" i="1"/>
  <c r="AG1602" i="1"/>
  <c r="AH1602" i="1" s="1"/>
  <c r="AN1601" i="1"/>
  <c r="AH1601" i="1"/>
  <c r="AG1601" i="1"/>
  <c r="AN1600" i="1"/>
  <c r="AG1600" i="1"/>
  <c r="AH1600" i="1" s="1"/>
  <c r="AN1599" i="1"/>
  <c r="AG1599" i="1"/>
  <c r="AH1599" i="1" s="1"/>
  <c r="AN1598" i="1"/>
  <c r="AH1598" i="1"/>
  <c r="AG1598" i="1"/>
  <c r="AN1597" i="1"/>
  <c r="AH1597" i="1"/>
  <c r="AG1597" i="1"/>
  <c r="AN1596" i="1"/>
  <c r="AG1596" i="1"/>
  <c r="AH1596" i="1" s="1"/>
  <c r="AN1595" i="1"/>
  <c r="AG1595" i="1"/>
  <c r="AH1595" i="1" s="1"/>
  <c r="AN1594" i="1"/>
  <c r="AH1594" i="1"/>
  <c r="AG1594" i="1"/>
  <c r="AN1593" i="1"/>
  <c r="AG1593" i="1"/>
  <c r="AH1593" i="1" s="1"/>
  <c r="AN1592" i="1"/>
  <c r="AG1592" i="1"/>
  <c r="AH1592" i="1" s="1"/>
  <c r="AN1591" i="1"/>
  <c r="AH1591" i="1"/>
  <c r="AG1591" i="1"/>
  <c r="AN1590" i="1"/>
  <c r="AG1590" i="1"/>
  <c r="AH1590" i="1" s="1"/>
  <c r="AN1589" i="1"/>
  <c r="AG1589" i="1"/>
  <c r="AH1589" i="1" s="1"/>
  <c r="AN1588" i="1"/>
  <c r="AG1588" i="1"/>
  <c r="AH1588" i="1" s="1"/>
  <c r="AN1587" i="1"/>
  <c r="AH1587" i="1"/>
  <c r="AG1587" i="1"/>
  <c r="AN1586" i="1"/>
  <c r="AG1586" i="1"/>
  <c r="AH1586" i="1" s="1"/>
  <c r="AN1585" i="1"/>
  <c r="AH1585" i="1"/>
  <c r="AG1585" i="1"/>
  <c r="AN1584" i="1"/>
  <c r="AG1584" i="1"/>
  <c r="AH1584" i="1" s="1"/>
  <c r="AN1583" i="1"/>
  <c r="AG1583" i="1"/>
  <c r="AH1583" i="1" s="1"/>
  <c r="AN1582" i="1"/>
  <c r="AG1582" i="1"/>
  <c r="AH1582" i="1" s="1"/>
  <c r="AN1581" i="1"/>
  <c r="AH1581" i="1"/>
  <c r="AG1581" i="1"/>
  <c r="AN1580" i="1"/>
  <c r="AG1580" i="1"/>
  <c r="AH1580" i="1" s="1"/>
  <c r="AN1579" i="1"/>
  <c r="AH1579" i="1"/>
  <c r="AG1579" i="1"/>
  <c r="AN1578" i="1"/>
  <c r="AH1578" i="1"/>
  <c r="AG1578" i="1"/>
  <c r="AN1577" i="1"/>
  <c r="AG1577" i="1"/>
  <c r="AH1577" i="1" s="1"/>
  <c r="AN1576" i="1"/>
  <c r="AG1576" i="1"/>
  <c r="AH1576" i="1" s="1"/>
  <c r="AN1575" i="1"/>
  <c r="AH1575" i="1"/>
  <c r="AG1575" i="1"/>
  <c r="AN1574" i="1"/>
  <c r="AH1574" i="1"/>
  <c r="AG1574" i="1"/>
  <c r="AN1573" i="1"/>
  <c r="AG1573" i="1"/>
  <c r="AH1573" i="1" s="1"/>
  <c r="AN1572" i="1"/>
  <c r="AG1572" i="1"/>
  <c r="AH1572" i="1" s="1"/>
  <c r="AN1571" i="1"/>
  <c r="AG1571" i="1"/>
  <c r="AH1571" i="1" s="1"/>
  <c r="AN1570" i="1"/>
  <c r="AG1570" i="1"/>
  <c r="AH1570" i="1" s="1"/>
  <c r="AN1569" i="1"/>
  <c r="AG1569" i="1"/>
  <c r="AH1569" i="1" s="1"/>
  <c r="AN1568" i="1"/>
  <c r="AG1568" i="1"/>
  <c r="AH1568" i="1" s="1"/>
  <c r="AN1567" i="1"/>
  <c r="AG1567" i="1"/>
  <c r="AH1567" i="1" s="1"/>
  <c r="AN1566" i="1"/>
  <c r="AH1566" i="1"/>
  <c r="AG1566" i="1"/>
  <c r="AN1565" i="1"/>
  <c r="AH1565" i="1"/>
  <c r="AG1565" i="1"/>
  <c r="AN1564" i="1"/>
  <c r="AG1564" i="1"/>
  <c r="AH1564" i="1" s="1"/>
  <c r="AN1563" i="1"/>
  <c r="AH1563" i="1"/>
  <c r="AG1563" i="1"/>
  <c r="AN1562" i="1"/>
  <c r="AG1562" i="1"/>
  <c r="AH1562" i="1" s="1"/>
  <c r="AN1561" i="1"/>
  <c r="AH1561" i="1"/>
  <c r="AG1561" i="1"/>
  <c r="AN1560" i="1"/>
  <c r="AG1560" i="1"/>
  <c r="AH1560" i="1" s="1"/>
  <c r="AN1559" i="1"/>
  <c r="AH1559" i="1"/>
  <c r="AG1559" i="1"/>
  <c r="AN1558" i="1"/>
  <c r="AG1558" i="1"/>
  <c r="AH1558" i="1" s="1"/>
  <c r="AN1557" i="1"/>
  <c r="AG1557" i="1"/>
  <c r="AH1557" i="1" s="1"/>
  <c r="AN1556" i="1"/>
  <c r="AG1556" i="1"/>
  <c r="AH1556" i="1" s="1"/>
  <c r="AN1555" i="1"/>
  <c r="AG1555" i="1"/>
  <c r="AH1555" i="1" s="1"/>
  <c r="AN1554" i="1"/>
  <c r="AG1554" i="1"/>
  <c r="AH1554" i="1" s="1"/>
  <c r="AN1553" i="1"/>
  <c r="AH1553" i="1"/>
  <c r="AG1553" i="1"/>
  <c r="AN1552" i="1"/>
  <c r="AG1552" i="1"/>
  <c r="AH1552" i="1" s="1"/>
  <c r="AN1551" i="1"/>
  <c r="AG1551" i="1"/>
  <c r="AH1551" i="1" s="1"/>
  <c r="AN1550" i="1"/>
  <c r="AH1550" i="1"/>
  <c r="AG1550" i="1"/>
  <c r="AN1549" i="1"/>
  <c r="AH1549" i="1"/>
  <c r="AG1549" i="1"/>
  <c r="AN1548" i="1"/>
  <c r="AG1548" i="1"/>
  <c r="AH1548" i="1" s="1"/>
  <c r="AN1547" i="1"/>
  <c r="AG1547" i="1"/>
  <c r="AH1547" i="1" s="1"/>
  <c r="AN1546" i="1"/>
  <c r="AH1546" i="1"/>
  <c r="AG1546" i="1"/>
  <c r="AN1545" i="1"/>
  <c r="AG1545" i="1"/>
  <c r="AH1545" i="1" s="1"/>
  <c r="AN1544" i="1"/>
  <c r="AG1544" i="1"/>
  <c r="AH1544" i="1" s="1"/>
  <c r="AN1543" i="1"/>
  <c r="AH1543" i="1"/>
  <c r="AG1543" i="1"/>
  <c r="AN1542" i="1"/>
  <c r="AG1542" i="1"/>
  <c r="AH1542" i="1" s="1"/>
  <c r="AN1541" i="1"/>
  <c r="AG1541" i="1"/>
  <c r="AH1541" i="1" s="1"/>
  <c r="AN1540" i="1"/>
  <c r="AG1540" i="1"/>
  <c r="AH1540" i="1" s="1"/>
  <c r="AN1539" i="1"/>
  <c r="AH1539" i="1"/>
  <c r="AG1539" i="1"/>
  <c r="AN1538" i="1"/>
  <c r="AG1538" i="1"/>
  <c r="AH1538" i="1" s="1"/>
  <c r="AN1537" i="1"/>
  <c r="AH1537" i="1"/>
  <c r="AG1537" i="1"/>
  <c r="AN1536" i="1"/>
  <c r="AG1536" i="1"/>
  <c r="AH1536" i="1" s="1"/>
  <c r="AN1535" i="1"/>
  <c r="AG1535" i="1"/>
  <c r="AH1535" i="1" s="1"/>
  <c r="AN1534" i="1"/>
  <c r="AG1534" i="1"/>
  <c r="AH1534" i="1" s="1"/>
  <c r="AN1533" i="1"/>
  <c r="AH1533" i="1"/>
  <c r="AG1533" i="1"/>
  <c r="AN1532" i="1"/>
  <c r="AG1532" i="1"/>
  <c r="AH1532" i="1" s="1"/>
  <c r="AN1531" i="1"/>
  <c r="AH1531" i="1"/>
  <c r="AG1531" i="1"/>
  <c r="AN1530" i="1"/>
  <c r="AH1530" i="1"/>
  <c r="AG1530" i="1"/>
  <c r="AN1529" i="1"/>
  <c r="AG1529" i="1"/>
  <c r="AH1529" i="1" s="1"/>
  <c r="AN1528" i="1"/>
  <c r="AG1528" i="1"/>
  <c r="AH1528" i="1" s="1"/>
  <c r="AN1527" i="1"/>
  <c r="AH1527" i="1"/>
  <c r="AG1527" i="1"/>
  <c r="AN1526" i="1"/>
  <c r="AH1526" i="1"/>
  <c r="AG1526" i="1"/>
  <c r="AN1525" i="1"/>
  <c r="AG1525" i="1"/>
  <c r="AH1525" i="1" s="1"/>
  <c r="AN1524" i="1"/>
  <c r="AG1524" i="1"/>
  <c r="AH1524" i="1" s="1"/>
  <c r="AN1523" i="1"/>
  <c r="AG1523" i="1"/>
  <c r="AH1523" i="1" s="1"/>
  <c r="AN1522" i="1"/>
  <c r="AG1522" i="1"/>
  <c r="AH1522" i="1" s="1"/>
  <c r="AN1521" i="1"/>
  <c r="AG1521" i="1"/>
  <c r="AH1521" i="1" s="1"/>
  <c r="AN1520" i="1"/>
  <c r="AG1520" i="1"/>
  <c r="AH1520" i="1" s="1"/>
  <c r="AN1519" i="1"/>
  <c r="AG1519" i="1"/>
  <c r="AH1519" i="1" s="1"/>
  <c r="AN1518" i="1"/>
  <c r="AH1518" i="1"/>
  <c r="AG1518" i="1"/>
  <c r="AN1517" i="1"/>
  <c r="AH1517" i="1"/>
  <c r="AG1517" i="1"/>
  <c r="AN1516" i="1"/>
  <c r="AG1516" i="1"/>
  <c r="AH1516" i="1" s="1"/>
  <c r="AN1515" i="1"/>
  <c r="AH1515" i="1"/>
  <c r="AG1515" i="1"/>
  <c r="AN1514" i="1"/>
  <c r="AG1514" i="1"/>
  <c r="AH1514" i="1" s="1"/>
  <c r="AN1513" i="1"/>
  <c r="AH1513" i="1"/>
  <c r="AG1513" i="1"/>
  <c r="AN1512" i="1"/>
  <c r="AG1512" i="1"/>
  <c r="AH1512" i="1" s="1"/>
  <c r="AN1511" i="1"/>
  <c r="AH1511" i="1"/>
  <c r="AG1511" i="1"/>
  <c r="AN1510" i="1"/>
  <c r="AG1510" i="1"/>
  <c r="AH1510" i="1" s="1"/>
  <c r="AN1509" i="1"/>
  <c r="AG1509" i="1"/>
  <c r="AH1509" i="1" s="1"/>
  <c r="AN1508" i="1"/>
  <c r="AG1508" i="1"/>
  <c r="AH1508" i="1" s="1"/>
  <c r="AN1507" i="1"/>
  <c r="AG1507" i="1"/>
  <c r="AH1507" i="1" s="1"/>
  <c r="AN1506" i="1"/>
  <c r="AG1506" i="1"/>
  <c r="AH1506" i="1" s="1"/>
  <c r="AN1505" i="1"/>
  <c r="AH1505" i="1"/>
  <c r="AG1505" i="1"/>
  <c r="AN1504" i="1"/>
  <c r="AG1504" i="1"/>
  <c r="AH1504" i="1" s="1"/>
  <c r="AN1503" i="1"/>
  <c r="AG1503" i="1"/>
  <c r="AH1503" i="1" s="1"/>
  <c r="AN1502" i="1"/>
  <c r="AH1502" i="1"/>
  <c r="AG1502" i="1"/>
  <c r="AN1501" i="1"/>
  <c r="AH1501" i="1"/>
  <c r="AG1501" i="1"/>
  <c r="AN1500" i="1"/>
  <c r="AG1500" i="1"/>
  <c r="AH1500" i="1" s="1"/>
  <c r="AN1499" i="1"/>
  <c r="AG1499" i="1"/>
  <c r="AH1499" i="1" s="1"/>
  <c r="AN1498" i="1"/>
  <c r="AH1498" i="1"/>
  <c r="AG1498" i="1"/>
  <c r="AN1497" i="1"/>
  <c r="AG1497" i="1"/>
  <c r="AH1497" i="1" s="1"/>
  <c r="AN1496" i="1"/>
  <c r="AG1496" i="1"/>
  <c r="AH1496" i="1" s="1"/>
  <c r="AN1495" i="1"/>
  <c r="AH1495" i="1"/>
  <c r="AG1495" i="1"/>
  <c r="AN1494" i="1"/>
  <c r="AG1494" i="1"/>
  <c r="AH1494" i="1" s="1"/>
  <c r="AN1493" i="1"/>
  <c r="AG1493" i="1"/>
  <c r="AH1493" i="1" s="1"/>
  <c r="AN1492" i="1"/>
  <c r="AG1492" i="1"/>
  <c r="AH1492" i="1" s="1"/>
  <c r="AN1491" i="1"/>
  <c r="AH1491" i="1"/>
  <c r="AG1491" i="1"/>
  <c r="AN1490" i="1"/>
  <c r="AG1490" i="1"/>
  <c r="AH1490" i="1" s="1"/>
  <c r="AN1489" i="1"/>
  <c r="AH1489" i="1"/>
  <c r="AG1489" i="1"/>
  <c r="AN1488" i="1"/>
  <c r="AG1488" i="1"/>
  <c r="AH1488" i="1" s="1"/>
  <c r="AN1487" i="1"/>
  <c r="AG1487" i="1"/>
  <c r="AH1487" i="1" s="1"/>
  <c r="AN1486" i="1"/>
  <c r="AG1486" i="1"/>
  <c r="AH1486" i="1" s="1"/>
  <c r="AN1485" i="1"/>
  <c r="AH1485" i="1"/>
  <c r="AG1485" i="1"/>
  <c r="AN1484" i="1"/>
  <c r="AG1484" i="1"/>
  <c r="AH1484" i="1" s="1"/>
  <c r="AN1483" i="1"/>
  <c r="AH1483" i="1"/>
  <c r="AG1483" i="1"/>
  <c r="AN1482" i="1"/>
  <c r="AH1482" i="1"/>
  <c r="AG1482" i="1"/>
  <c r="AN1481" i="1"/>
  <c r="AG1481" i="1"/>
  <c r="AH1481" i="1" s="1"/>
  <c r="AN1480" i="1"/>
  <c r="AG1480" i="1"/>
  <c r="AH1480" i="1" s="1"/>
  <c r="AN1479" i="1"/>
  <c r="AH1479" i="1"/>
  <c r="AG1479" i="1"/>
  <c r="AN1478" i="1"/>
  <c r="AH1478" i="1"/>
  <c r="AG1478" i="1"/>
  <c r="AN1477" i="1"/>
  <c r="AG1477" i="1"/>
  <c r="AH1477" i="1" s="1"/>
  <c r="AN1476" i="1"/>
  <c r="AG1476" i="1"/>
  <c r="AH1476" i="1" s="1"/>
  <c r="AN1475" i="1"/>
  <c r="AG1475" i="1"/>
  <c r="AH1475" i="1" s="1"/>
  <c r="AN1474" i="1"/>
  <c r="AG1474" i="1"/>
  <c r="AH1474" i="1" s="1"/>
  <c r="AN1473" i="1"/>
  <c r="AG1473" i="1"/>
  <c r="AH1473" i="1" s="1"/>
  <c r="AN1472" i="1"/>
  <c r="AG1472" i="1"/>
  <c r="AH1472" i="1" s="1"/>
  <c r="AN1471" i="1"/>
  <c r="AG1471" i="1"/>
  <c r="AH1471" i="1" s="1"/>
  <c r="AN1470" i="1"/>
  <c r="AH1470" i="1"/>
  <c r="AG1470" i="1"/>
  <c r="AN1469" i="1"/>
  <c r="AH1469" i="1"/>
  <c r="AG1469" i="1"/>
  <c r="AN1468" i="1"/>
  <c r="AG1468" i="1"/>
  <c r="AH1468" i="1" s="1"/>
  <c r="AN1467" i="1"/>
  <c r="AH1467" i="1"/>
  <c r="AG1467" i="1"/>
  <c r="AN1466" i="1"/>
  <c r="AG1466" i="1"/>
  <c r="AH1466" i="1" s="1"/>
  <c r="AN1465" i="1"/>
  <c r="AH1465" i="1"/>
  <c r="AG1465" i="1"/>
  <c r="AN1464" i="1"/>
  <c r="AG1464" i="1"/>
  <c r="AH1464" i="1" s="1"/>
  <c r="AN1463" i="1"/>
  <c r="AH1463" i="1"/>
  <c r="AG1463" i="1"/>
  <c r="AN1462" i="1"/>
  <c r="AG1462" i="1"/>
  <c r="AH1462" i="1" s="1"/>
  <c r="AN1461" i="1"/>
  <c r="AG1461" i="1"/>
  <c r="AH1461" i="1" s="1"/>
  <c r="AN1460" i="1"/>
  <c r="AG1460" i="1"/>
  <c r="AH1460" i="1" s="1"/>
  <c r="AN1459" i="1"/>
  <c r="AG1459" i="1"/>
  <c r="AH1459" i="1" s="1"/>
  <c r="AN1458" i="1"/>
  <c r="AG1458" i="1"/>
  <c r="AH1458" i="1" s="1"/>
  <c r="AN1457" i="1"/>
  <c r="AH1457" i="1"/>
  <c r="AG1457" i="1"/>
  <c r="AN1456" i="1"/>
  <c r="AG1456" i="1"/>
  <c r="AH1456" i="1" s="1"/>
  <c r="AN1455" i="1"/>
  <c r="AG1455" i="1"/>
  <c r="AH1455" i="1" s="1"/>
  <c r="AN1454" i="1"/>
  <c r="AH1454" i="1"/>
  <c r="AG1454" i="1"/>
  <c r="AN1453" i="1"/>
  <c r="AH1453" i="1"/>
  <c r="AG1453" i="1"/>
  <c r="AN1452" i="1"/>
  <c r="AG1452" i="1"/>
  <c r="AH1452" i="1" s="1"/>
  <c r="AN1451" i="1"/>
  <c r="AG1451" i="1"/>
  <c r="AH1451" i="1" s="1"/>
  <c r="AN1450" i="1"/>
  <c r="AH1450" i="1"/>
  <c r="AG1450" i="1"/>
  <c r="AN1449" i="1"/>
  <c r="AG1449" i="1"/>
  <c r="AH1449" i="1" s="1"/>
  <c r="AN1448" i="1"/>
  <c r="AG1448" i="1"/>
  <c r="AH1448" i="1" s="1"/>
  <c r="AN1447" i="1"/>
  <c r="AH1447" i="1"/>
  <c r="AG1447" i="1"/>
  <c r="AN1446" i="1"/>
  <c r="AG1446" i="1"/>
  <c r="AH1446" i="1" s="1"/>
  <c r="AN1445" i="1"/>
  <c r="AG1445" i="1"/>
  <c r="AH1445" i="1" s="1"/>
  <c r="AN1444" i="1"/>
  <c r="AG1444" i="1"/>
  <c r="AH1444" i="1" s="1"/>
  <c r="AN1443" i="1"/>
  <c r="AH1443" i="1"/>
  <c r="AG1443" i="1"/>
  <c r="AN1442" i="1"/>
  <c r="AG1442" i="1"/>
  <c r="AH1442" i="1" s="1"/>
  <c r="AN1441" i="1"/>
  <c r="AH1441" i="1"/>
  <c r="AG1441" i="1"/>
  <c r="AN1440" i="1"/>
  <c r="AG1440" i="1"/>
  <c r="AH1440" i="1" s="1"/>
  <c r="AN1439" i="1"/>
  <c r="AG1439" i="1"/>
  <c r="AH1439" i="1" s="1"/>
  <c r="AN1438" i="1"/>
  <c r="AG1438" i="1"/>
  <c r="AH1438" i="1" s="1"/>
  <c r="AN1437" i="1"/>
  <c r="AH1437" i="1"/>
  <c r="AG1437" i="1"/>
  <c r="AN1436" i="1"/>
  <c r="AG1436" i="1"/>
  <c r="AH1436" i="1" s="1"/>
  <c r="AN1435" i="1"/>
  <c r="AH1435" i="1"/>
  <c r="AG1435" i="1"/>
  <c r="AN1434" i="1"/>
  <c r="AH1434" i="1"/>
  <c r="AG1434" i="1"/>
  <c r="AN1433" i="1"/>
  <c r="AG1433" i="1"/>
  <c r="AH1433" i="1" s="1"/>
  <c r="AN1432" i="1"/>
  <c r="AG1432" i="1"/>
  <c r="AH1432" i="1" s="1"/>
  <c r="AN1431" i="1"/>
  <c r="AG1431" i="1"/>
  <c r="AH1431" i="1" s="1"/>
  <c r="AN1430" i="1"/>
  <c r="AH1430" i="1"/>
  <c r="AG1430" i="1"/>
  <c r="AN1429" i="1"/>
  <c r="AG1429" i="1"/>
  <c r="AH1429" i="1" s="1"/>
  <c r="AN1428" i="1"/>
  <c r="AG1428" i="1"/>
  <c r="AH1428" i="1" s="1"/>
  <c r="AN1427" i="1"/>
  <c r="AG1427" i="1"/>
  <c r="AH1427" i="1" s="1"/>
  <c r="AN1426" i="1"/>
  <c r="AG1426" i="1"/>
  <c r="AH1426" i="1" s="1"/>
  <c r="AN1425" i="1"/>
  <c r="AG1425" i="1"/>
  <c r="AH1425" i="1" s="1"/>
  <c r="AN1424" i="1"/>
  <c r="AG1424" i="1"/>
  <c r="AH1424" i="1" s="1"/>
  <c r="AN1423" i="1"/>
  <c r="AG1423" i="1"/>
  <c r="AH1423" i="1" s="1"/>
  <c r="AN1422" i="1"/>
  <c r="AG1422" i="1"/>
  <c r="AH1422" i="1" s="1"/>
  <c r="AN1421" i="1"/>
  <c r="AH1421" i="1"/>
  <c r="AG1421" i="1"/>
  <c r="AN1420" i="1"/>
  <c r="AG1420" i="1"/>
  <c r="AH1420" i="1" s="1"/>
  <c r="AN1419" i="1"/>
  <c r="AG1419" i="1"/>
  <c r="AH1419" i="1" s="1"/>
  <c r="AN1418" i="1"/>
  <c r="AH1418" i="1"/>
  <c r="AG1418" i="1"/>
  <c r="AN1417" i="1"/>
  <c r="AH1417" i="1"/>
  <c r="AG1417" i="1"/>
  <c r="AN1416" i="1"/>
  <c r="AG1416" i="1"/>
  <c r="AH1416" i="1" s="1"/>
  <c r="AN1415" i="1"/>
  <c r="AG1415" i="1"/>
  <c r="AH1415" i="1" s="1"/>
  <c r="AN1414" i="1"/>
  <c r="AH1414" i="1"/>
  <c r="AG1414" i="1"/>
  <c r="AN1413" i="1"/>
  <c r="AH1413" i="1"/>
  <c r="AG1413" i="1"/>
  <c r="AN1412" i="1"/>
  <c r="AG1412" i="1"/>
  <c r="AH1412" i="1" s="1"/>
  <c r="AN1411" i="1"/>
  <c r="AG1411" i="1"/>
  <c r="AH1411" i="1" s="1"/>
  <c r="AN1410" i="1"/>
  <c r="AG1410" i="1"/>
  <c r="AH1410" i="1" s="1"/>
  <c r="AN1409" i="1"/>
  <c r="AH1409" i="1"/>
  <c r="AG1409" i="1"/>
  <c r="AN1408" i="1"/>
  <c r="AG1408" i="1"/>
  <c r="AH1408" i="1" s="1"/>
  <c r="AN1407" i="1"/>
  <c r="AG1407" i="1"/>
  <c r="AH1407" i="1" s="1"/>
  <c r="AN1406" i="1"/>
  <c r="AH1406" i="1"/>
  <c r="AG1406" i="1"/>
  <c r="AN1405" i="1"/>
  <c r="AH1405" i="1"/>
  <c r="AG1405" i="1"/>
  <c r="AN1404" i="1"/>
  <c r="AG1404" i="1"/>
  <c r="AH1404" i="1" s="1"/>
  <c r="AN1403" i="1"/>
  <c r="AG1403" i="1"/>
  <c r="AH1403" i="1" s="1"/>
  <c r="AN1402" i="1"/>
  <c r="AH1402" i="1"/>
  <c r="AG1402" i="1"/>
  <c r="AN1401" i="1"/>
  <c r="AH1401" i="1"/>
  <c r="AG1401" i="1"/>
  <c r="AN1400" i="1"/>
  <c r="AG1400" i="1"/>
  <c r="AH1400" i="1" s="1"/>
  <c r="AN1399" i="1"/>
  <c r="AG1399" i="1"/>
  <c r="AH1399" i="1" s="1"/>
  <c r="AN1398" i="1"/>
  <c r="AG1398" i="1"/>
  <c r="AH1398" i="1" s="1"/>
  <c r="AN1397" i="1"/>
  <c r="AH1397" i="1"/>
  <c r="AG1397" i="1"/>
  <c r="AN1396" i="1"/>
  <c r="AG1396" i="1"/>
  <c r="AH1396" i="1" s="1"/>
  <c r="AN1395" i="1"/>
  <c r="AG1395" i="1"/>
  <c r="AH1395" i="1" s="1"/>
  <c r="AN1394" i="1"/>
  <c r="AH1394" i="1"/>
  <c r="AG1394" i="1"/>
  <c r="AN1393" i="1"/>
  <c r="AH1393" i="1"/>
  <c r="AG1393" i="1"/>
  <c r="AN1392" i="1"/>
  <c r="AG1392" i="1"/>
  <c r="AH1392" i="1" s="1"/>
  <c r="AN1391" i="1"/>
  <c r="AG1391" i="1"/>
  <c r="AH1391" i="1" s="1"/>
  <c r="AN1390" i="1"/>
  <c r="AH1390" i="1"/>
  <c r="AG1390" i="1"/>
  <c r="AN1389" i="1"/>
  <c r="AG1389" i="1"/>
  <c r="AH1389" i="1" s="1"/>
  <c r="AN1388" i="1"/>
  <c r="AG1388" i="1"/>
  <c r="AH1388" i="1" s="1"/>
  <c r="AN1387" i="1"/>
  <c r="AG1387" i="1"/>
  <c r="AH1387" i="1" s="1"/>
  <c r="AN1386" i="1"/>
  <c r="AG1386" i="1"/>
  <c r="AH1386" i="1" s="1"/>
  <c r="AN1385" i="1"/>
  <c r="AG1385" i="1"/>
  <c r="AH1385" i="1" s="1"/>
  <c r="AN1384" i="1"/>
  <c r="AH1384" i="1"/>
  <c r="AG1384" i="1"/>
  <c r="AN1383" i="1"/>
  <c r="AG1383" i="1"/>
  <c r="AH1383" i="1" s="1"/>
  <c r="AN1382" i="1"/>
  <c r="AG1382" i="1"/>
  <c r="AH1382" i="1" s="1"/>
  <c r="AN1381" i="1"/>
  <c r="AG1381" i="1"/>
  <c r="AH1381" i="1" s="1"/>
  <c r="AN1380" i="1"/>
  <c r="AH1380" i="1"/>
  <c r="AG1380" i="1"/>
  <c r="AN1379" i="1"/>
  <c r="AG1379" i="1"/>
  <c r="AH1379" i="1" s="1"/>
  <c r="AN1378" i="1"/>
  <c r="AH1378" i="1"/>
  <c r="AG1378" i="1"/>
  <c r="AN1377" i="1"/>
  <c r="AG1377" i="1"/>
  <c r="AH1377" i="1" s="1"/>
  <c r="AN1376" i="1"/>
  <c r="AG1376" i="1"/>
  <c r="AH1376" i="1" s="1"/>
  <c r="AN1375" i="1"/>
  <c r="AG1375" i="1"/>
  <c r="AH1375" i="1" s="1"/>
  <c r="AN1374" i="1"/>
  <c r="AH1374" i="1"/>
  <c r="AG1374" i="1"/>
  <c r="AN1373" i="1"/>
  <c r="AG1373" i="1"/>
  <c r="AH1373" i="1" s="1"/>
  <c r="AN1372" i="1"/>
  <c r="AH1372" i="1"/>
  <c r="AG1372" i="1"/>
  <c r="AN1371" i="1"/>
  <c r="AG1371" i="1"/>
  <c r="AH1371" i="1" s="1"/>
  <c r="AN1370" i="1"/>
  <c r="AG1370" i="1"/>
  <c r="AH1370" i="1" s="1"/>
  <c r="AN1369" i="1"/>
  <c r="AG1369" i="1"/>
  <c r="AH1369" i="1" s="1"/>
  <c r="AN1368" i="1"/>
  <c r="AH1368" i="1"/>
  <c r="AG1368" i="1"/>
  <c r="AN1367" i="1"/>
  <c r="AG1367" i="1"/>
  <c r="AH1367" i="1" s="1"/>
  <c r="AN1366" i="1"/>
  <c r="AG1366" i="1"/>
  <c r="AH1366" i="1" s="1"/>
  <c r="AN1365" i="1"/>
  <c r="AG1365" i="1"/>
  <c r="AH1365" i="1" s="1"/>
  <c r="AN1364" i="1"/>
  <c r="AG1364" i="1"/>
  <c r="AH1364" i="1" s="1"/>
  <c r="AN1363" i="1"/>
  <c r="AG1363" i="1"/>
  <c r="AH1363" i="1" s="1"/>
  <c r="AN1362" i="1"/>
  <c r="AG1362" i="1"/>
  <c r="AH1362" i="1" s="1"/>
  <c r="AN1361" i="1"/>
  <c r="AG1361" i="1"/>
  <c r="AH1361" i="1" s="1"/>
  <c r="AN1360" i="1"/>
  <c r="AH1360" i="1"/>
  <c r="AG1360" i="1"/>
  <c r="AN1359" i="1"/>
  <c r="AG1359" i="1"/>
  <c r="AH1359" i="1" s="1"/>
  <c r="AN1358" i="1"/>
  <c r="AG1358" i="1"/>
  <c r="AH1358" i="1" s="1"/>
  <c r="AN1357" i="1"/>
  <c r="AG1357" i="1"/>
  <c r="AH1357" i="1" s="1"/>
  <c r="AN1356" i="1"/>
  <c r="AH1356" i="1"/>
  <c r="AG1356" i="1"/>
  <c r="AN1355" i="1"/>
  <c r="AG1355" i="1"/>
  <c r="AH1355" i="1" s="1"/>
  <c r="AN1354" i="1"/>
  <c r="AH1354" i="1"/>
  <c r="AG1354" i="1"/>
  <c r="AN1353" i="1"/>
  <c r="AG1353" i="1"/>
  <c r="AH1353" i="1" s="1"/>
  <c r="AN1352" i="1"/>
  <c r="AG1352" i="1"/>
  <c r="AH1352" i="1" s="1"/>
  <c r="AN1351" i="1"/>
  <c r="AG1351" i="1"/>
  <c r="AH1351" i="1" s="1"/>
  <c r="AN1350" i="1"/>
  <c r="AH1350" i="1"/>
  <c r="AG1350" i="1"/>
  <c r="AN1349" i="1"/>
  <c r="AG1349" i="1"/>
  <c r="AH1349" i="1" s="1"/>
  <c r="AN1348" i="1"/>
  <c r="AH1348" i="1"/>
  <c r="AG1348" i="1"/>
  <c r="AN1347" i="1"/>
  <c r="AG1347" i="1"/>
  <c r="AH1347" i="1" s="1"/>
  <c r="AN1346" i="1"/>
  <c r="AG1346" i="1"/>
  <c r="AH1346" i="1" s="1"/>
  <c r="AN1345" i="1"/>
  <c r="AG1345" i="1"/>
  <c r="AH1345" i="1" s="1"/>
  <c r="AN1344" i="1"/>
  <c r="AH1344" i="1"/>
  <c r="AG1344" i="1"/>
  <c r="AN1343" i="1"/>
  <c r="AG1343" i="1"/>
  <c r="AH1343" i="1" s="1"/>
  <c r="AN1342" i="1"/>
  <c r="AG1342" i="1"/>
  <c r="AH1342" i="1" s="1"/>
  <c r="AN1341" i="1"/>
  <c r="AG1341" i="1"/>
  <c r="AH1341" i="1" s="1"/>
  <c r="AN1340" i="1"/>
  <c r="AG1340" i="1"/>
  <c r="AH1340" i="1" s="1"/>
  <c r="AN1339" i="1"/>
  <c r="AG1339" i="1"/>
  <c r="AH1339" i="1" s="1"/>
  <c r="AN1338" i="1"/>
  <c r="AG1338" i="1"/>
  <c r="AH1338" i="1" s="1"/>
  <c r="AN1337" i="1"/>
  <c r="AG1337" i="1"/>
  <c r="AH1337" i="1" s="1"/>
  <c r="AN1336" i="1"/>
  <c r="AH1336" i="1"/>
  <c r="AG1336" i="1"/>
  <c r="AN1335" i="1"/>
  <c r="AG1335" i="1"/>
  <c r="AH1335" i="1" s="1"/>
  <c r="AN1334" i="1"/>
  <c r="AG1334" i="1"/>
  <c r="AH1334" i="1" s="1"/>
  <c r="AN1333" i="1"/>
  <c r="AG1333" i="1"/>
  <c r="AH1333" i="1" s="1"/>
  <c r="AN1332" i="1"/>
  <c r="AH1332" i="1"/>
  <c r="AG1332" i="1"/>
  <c r="AN1331" i="1"/>
  <c r="AG1331" i="1"/>
  <c r="AH1331" i="1" s="1"/>
  <c r="AN1330" i="1"/>
  <c r="AH1330" i="1"/>
  <c r="AG1330" i="1"/>
  <c r="AN1329" i="1"/>
  <c r="AG1329" i="1"/>
  <c r="AH1329" i="1" s="1"/>
  <c r="AN1328" i="1"/>
  <c r="AG1328" i="1"/>
  <c r="AH1328" i="1" s="1"/>
  <c r="AN1327" i="1"/>
  <c r="AG1327" i="1"/>
  <c r="AH1327" i="1" s="1"/>
  <c r="AN1326" i="1"/>
  <c r="AH1326" i="1"/>
  <c r="AG1326" i="1"/>
  <c r="AN1325" i="1"/>
  <c r="AG1325" i="1"/>
  <c r="AH1325" i="1" s="1"/>
  <c r="AN1324" i="1"/>
  <c r="AH1324" i="1"/>
  <c r="AG1324" i="1"/>
  <c r="AN1323" i="1"/>
  <c r="AG1323" i="1"/>
  <c r="AH1323" i="1" s="1"/>
  <c r="AN1322" i="1"/>
  <c r="AG1322" i="1"/>
  <c r="AH1322" i="1" s="1"/>
  <c r="AN1321" i="1"/>
  <c r="AG1321" i="1"/>
  <c r="AH1321" i="1" s="1"/>
  <c r="AN1320" i="1"/>
  <c r="AH1320" i="1"/>
  <c r="AG1320" i="1"/>
  <c r="AN1319" i="1"/>
  <c r="AG1319" i="1"/>
  <c r="AH1319" i="1" s="1"/>
  <c r="AN1318" i="1"/>
  <c r="AG1318" i="1"/>
  <c r="AH1318" i="1" s="1"/>
  <c r="AN1317" i="1"/>
  <c r="AG1317" i="1"/>
  <c r="AH1317" i="1" s="1"/>
  <c r="AN1316" i="1"/>
  <c r="AG1316" i="1"/>
  <c r="AH1316" i="1" s="1"/>
  <c r="AN1315" i="1"/>
  <c r="AG1315" i="1"/>
  <c r="AH1315" i="1" s="1"/>
  <c r="AN1314" i="1"/>
  <c r="AH1314" i="1"/>
  <c r="AG1314" i="1"/>
  <c r="AN1313" i="1"/>
  <c r="AG1313" i="1"/>
  <c r="AH1313" i="1" s="1"/>
  <c r="AN1312" i="1"/>
  <c r="AH1312" i="1"/>
  <c r="AG1312" i="1"/>
  <c r="AN1311" i="1"/>
  <c r="AG1311" i="1"/>
  <c r="AH1311" i="1" s="1"/>
  <c r="AN1310" i="1"/>
  <c r="AG1310" i="1"/>
  <c r="AH1310" i="1" s="1"/>
  <c r="AN1309" i="1"/>
  <c r="AG1309" i="1"/>
  <c r="AH1309" i="1" s="1"/>
  <c r="AN1308" i="1"/>
  <c r="AH1308" i="1"/>
  <c r="AG1308" i="1"/>
  <c r="AN1307" i="1"/>
  <c r="AG1307" i="1"/>
  <c r="AH1307" i="1" s="1"/>
  <c r="AN1306" i="1"/>
  <c r="AG1306" i="1"/>
  <c r="AH1306" i="1" s="1"/>
  <c r="AN1305" i="1"/>
  <c r="AG1305" i="1"/>
  <c r="AH1305" i="1" s="1"/>
  <c r="AN1304" i="1"/>
  <c r="AG1304" i="1"/>
  <c r="AH1304" i="1" s="1"/>
  <c r="AN1303" i="1"/>
  <c r="AG1303" i="1"/>
  <c r="AH1303" i="1" s="1"/>
  <c r="AN1302" i="1"/>
  <c r="AH1302" i="1"/>
  <c r="AG1302" i="1"/>
  <c r="AN1301" i="1"/>
  <c r="AG1301" i="1"/>
  <c r="AH1301" i="1" s="1"/>
  <c r="AN1300" i="1"/>
  <c r="AH1300" i="1"/>
  <c r="AG1300" i="1"/>
  <c r="AN1299" i="1"/>
  <c r="AG1299" i="1"/>
  <c r="AH1299" i="1" s="1"/>
  <c r="AN1298" i="1"/>
  <c r="AG1298" i="1"/>
  <c r="AH1298" i="1" s="1"/>
  <c r="AN1297" i="1"/>
  <c r="AG1297" i="1"/>
  <c r="AH1297" i="1" s="1"/>
  <c r="AN1296" i="1"/>
  <c r="AH1296" i="1"/>
  <c r="AG1296" i="1"/>
  <c r="AN1295" i="1"/>
  <c r="AG1295" i="1"/>
  <c r="AH1295" i="1" s="1"/>
  <c r="AN1294" i="1"/>
  <c r="AG1294" i="1"/>
  <c r="AH1294" i="1" s="1"/>
  <c r="AN1293" i="1"/>
  <c r="AG1293" i="1"/>
  <c r="AH1293" i="1" s="1"/>
  <c r="AN1292" i="1"/>
  <c r="AG1292" i="1"/>
  <c r="AH1292" i="1" s="1"/>
  <c r="AN1291" i="1"/>
  <c r="AG1291" i="1"/>
  <c r="AH1291" i="1" s="1"/>
  <c r="AN1290" i="1"/>
  <c r="AH1290" i="1"/>
  <c r="AG1290" i="1"/>
  <c r="AN1289" i="1"/>
  <c r="AG1289" i="1"/>
  <c r="AH1289" i="1" s="1"/>
  <c r="AN1288" i="1"/>
  <c r="AH1288" i="1"/>
  <c r="AG1288" i="1"/>
  <c r="AN1287" i="1"/>
  <c r="AG1287" i="1"/>
  <c r="AH1287" i="1" s="1"/>
  <c r="AN1286" i="1"/>
  <c r="AG1286" i="1"/>
  <c r="AH1286" i="1" s="1"/>
  <c r="AN1285" i="1"/>
  <c r="AG1285" i="1"/>
  <c r="AH1285" i="1" s="1"/>
  <c r="AN1284" i="1"/>
  <c r="AH1284" i="1"/>
  <c r="AG1284" i="1"/>
  <c r="AN1283" i="1"/>
  <c r="AG1283" i="1"/>
  <c r="AH1283" i="1" s="1"/>
  <c r="AN1282" i="1"/>
  <c r="AH1282" i="1"/>
  <c r="AG1282" i="1"/>
  <c r="AN1281" i="1"/>
  <c r="AG1281" i="1"/>
  <c r="AH1281" i="1" s="1"/>
  <c r="AN1280" i="1"/>
  <c r="AG1280" i="1"/>
  <c r="AH1280" i="1" s="1"/>
  <c r="AN1279" i="1"/>
  <c r="AG1279" i="1"/>
  <c r="AH1279" i="1" s="1"/>
  <c r="AN1278" i="1"/>
  <c r="AH1278" i="1"/>
  <c r="AG1278" i="1"/>
  <c r="AN1277" i="1"/>
  <c r="AG1277" i="1"/>
  <c r="AH1277" i="1" s="1"/>
  <c r="AN1276" i="1"/>
  <c r="AH1276" i="1"/>
  <c r="AG1276" i="1"/>
  <c r="AN1275" i="1"/>
  <c r="AG1275" i="1"/>
  <c r="AH1275" i="1" s="1"/>
  <c r="AN1274" i="1"/>
  <c r="AG1274" i="1"/>
  <c r="AH1274" i="1" s="1"/>
  <c r="AN1273" i="1"/>
  <c r="AG1273" i="1"/>
  <c r="AH1273" i="1" s="1"/>
  <c r="AN1272" i="1"/>
  <c r="AH1272" i="1"/>
  <c r="AG1272" i="1"/>
  <c r="AN1271" i="1"/>
  <c r="AG1271" i="1"/>
  <c r="AH1271" i="1" s="1"/>
  <c r="AN1270" i="1"/>
  <c r="AG1270" i="1"/>
  <c r="AH1270" i="1" s="1"/>
  <c r="AN1269" i="1"/>
  <c r="AG1269" i="1"/>
  <c r="AH1269" i="1" s="1"/>
  <c r="AN1268" i="1"/>
  <c r="AG1268" i="1"/>
  <c r="AH1268" i="1" s="1"/>
  <c r="AN1267" i="1"/>
  <c r="AG1267" i="1"/>
  <c r="AH1267" i="1" s="1"/>
  <c r="AN1266" i="1"/>
  <c r="AH1266" i="1"/>
  <c r="AG1266" i="1"/>
  <c r="AN1265" i="1"/>
  <c r="AG1265" i="1"/>
  <c r="AH1265" i="1" s="1"/>
  <c r="AN1264" i="1"/>
  <c r="AH1264" i="1"/>
  <c r="AG1264" i="1"/>
  <c r="AN1263" i="1"/>
  <c r="AG1263" i="1"/>
  <c r="AH1263" i="1" s="1"/>
  <c r="AN1262" i="1"/>
  <c r="AG1262" i="1"/>
  <c r="AH1262" i="1" s="1"/>
  <c r="AN1261" i="1"/>
  <c r="AG1261" i="1"/>
  <c r="AH1261" i="1" s="1"/>
  <c r="AN1260" i="1"/>
  <c r="AH1260" i="1"/>
  <c r="AG1260" i="1"/>
  <c r="AN1259" i="1"/>
  <c r="AG1259" i="1"/>
  <c r="AH1259" i="1" s="1"/>
  <c r="AN1258" i="1"/>
  <c r="AG1258" i="1"/>
  <c r="AH1258" i="1" s="1"/>
  <c r="AN1257" i="1"/>
  <c r="AG1257" i="1"/>
  <c r="AH1257" i="1" s="1"/>
  <c r="AN1256" i="1"/>
  <c r="AG1256" i="1"/>
  <c r="AH1256" i="1" s="1"/>
  <c r="AN1255" i="1"/>
  <c r="AG1255" i="1"/>
  <c r="AH1255" i="1" s="1"/>
  <c r="AN1254" i="1"/>
  <c r="AH1254" i="1"/>
  <c r="AG1254" i="1"/>
  <c r="AN1253" i="1"/>
  <c r="AG1253" i="1"/>
  <c r="AH1253" i="1" s="1"/>
  <c r="AN1252" i="1"/>
  <c r="AH1252" i="1"/>
  <c r="AG1252" i="1"/>
  <c r="AN1251" i="1"/>
  <c r="AG1251" i="1"/>
  <c r="AH1251" i="1" s="1"/>
  <c r="AN1250" i="1"/>
  <c r="AG1250" i="1"/>
  <c r="AH1250" i="1" s="1"/>
  <c r="AN1249" i="1"/>
  <c r="AG1249" i="1"/>
  <c r="AH1249" i="1" s="1"/>
  <c r="AN1248" i="1"/>
  <c r="AH1248" i="1"/>
  <c r="AG1248" i="1"/>
  <c r="AN1247" i="1"/>
  <c r="AG1247" i="1"/>
  <c r="AH1247" i="1" s="1"/>
  <c r="AN1246" i="1"/>
  <c r="AG1246" i="1"/>
  <c r="AH1246" i="1" s="1"/>
  <c r="AN1245" i="1"/>
  <c r="AG1245" i="1"/>
  <c r="AH1245" i="1" s="1"/>
  <c r="AN1244" i="1"/>
  <c r="AG1244" i="1"/>
  <c r="AH1244" i="1" s="1"/>
  <c r="AN1243" i="1"/>
  <c r="AG1243" i="1"/>
  <c r="AH1243" i="1" s="1"/>
  <c r="AN1242" i="1"/>
  <c r="AH1242" i="1"/>
  <c r="AG1242" i="1"/>
  <c r="AN1241" i="1"/>
  <c r="AG1241" i="1"/>
  <c r="AH1241" i="1" s="1"/>
  <c r="AN1240" i="1"/>
  <c r="AH1240" i="1"/>
  <c r="AG1240" i="1"/>
  <c r="AN1239" i="1"/>
  <c r="AG1239" i="1"/>
  <c r="AH1239" i="1" s="1"/>
  <c r="AN1238" i="1"/>
  <c r="AG1238" i="1"/>
  <c r="AH1238" i="1" s="1"/>
  <c r="AN1237" i="1"/>
  <c r="AG1237" i="1"/>
  <c r="AH1237" i="1" s="1"/>
  <c r="AN1236" i="1"/>
  <c r="AH1236" i="1"/>
  <c r="AG1236" i="1"/>
  <c r="AN1235" i="1"/>
  <c r="AG1235" i="1"/>
  <c r="AH1235" i="1" s="1"/>
  <c r="AN1234" i="1"/>
  <c r="AG1234" i="1"/>
  <c r="AH1234" i="1" s="1"/>
  <c r="AN1233" i="1"/>
  <c r="AG1233" i="1"/>
  <c r="AH1233" i="1" s="1"/>
  <c r="AN1232" i="1"/>
  <c r="AG1232" i="1"/>
  <c r="AH1232" i="1" s="1"/>
  <c r="AN1231" i="1"/>
  <c r="AG1231" i="1"/>
  <c r="AH1231" i="1" s="1"/>
  <c r="AN1230" i="1"/>
  <c r="AH1230" i="1"/>
  <c r="AG1230" i="1"/>
  <c r="AN1229" i="1"/>
  <c r="AG1229" i="1"/>
  <c r="AH1229" i="1" s="1"/>
  <c r="AN1228" i="1"/>
  <c r="AH1228" i="1"/>
  <c r="AG1228" i="1"/>
  <c r="AN1227" i="1"/>
  <c r="AG1227" i="1"/>
  <c r="AH1227" i="1" s="1"/>
  <c r="AN1226" i="1"/>
  <c r="AG1226" i="1"/>
  <c r="AH1226" i="1" s="1"/>
  <c r="AN1225" i="1"/>
  <c r="AG1225" i="1"/>
  <c r="AH1225" i="1" s="1"/>
  <c r="AN1224" i="1"/>
  <c r="AH1224" i="1"/>
  <c r="AG1224" i="1"/>
  <c r="AN1223" i="1"/>
  <c r="AG1223" i="1"/>
  <c r="AH1223" i="1" s="1"/>
  <c r="AN1222" i="1"/>
  <c r="AG1222" i="1"/>
  <c r="AH1222" i="1" s="1"/>
  <c r="AN1221" i="1"/>
  <c r="AG1221" i="1"/>
  <c r="AH1221" i="1" s="1"/>
  <c r="AN1220" i="1"/>
  <c r="AG1220" i="1"/>
  <c r="AH1220" i="1" s="1"/>
  <c r="AN1219" i="1"/>
  <c r="AG1219" i="1"/>
  <c r="AH1219" i="1" s="1"/>
  <c r="AN1218" i="1"/>
  <c r="AH1218" i="1"/>
  <c r="AG1218" i="1"/>
  <c r="AN1217" i="1"/>
  <c r="AG1217" i="1"/>
  <c r="AH1217" i="1" s="1"/>
  <c r="AN1216" i="1"/>
  <c r="AH1216" i="1"/>
  <c r="AG1216" i="1"/>
  <c r="AN1215" i="1"/>
  <c r="AG1215" i="1"/>
  <c r="AH1215" i="1" s="1"/>
  <c r="AN1214" i="1"/>
  <c r="AG1214" i="1"/>
  <c r="AH1214" i="1" s="1"/>
  <c r="AN1213" i="1"/>
  <c r="AG1213" i="1"/>
  <c r="AH1213" i="1" s="1"/>
  <c r="AN1212" i="1"/>
  <c r="AH1212" i="1"/>
  <c r="AG1212" i="1"/>
  <c r="AN1211" i="1"/>
  <c r="AG1211" i="1"/>
  <c r="AH1211" i="1" s="1"/>
  <c r="AN1210" i="1"/>
  <c r="AH1210" i="1"/>
  <c r="AG1210" i="1"/>
  <c r="AN1209" i="1"/>
  <c r="AG1209" i="1"/>
  <c r="AH1209" i="1" s="1"/>
  <c r="AN1208" i="1"/>
  <c r="AG1208" i="1"/>
  <c r="AH1208" i="1" s="1"/>
  <c r="AN1207" i="1"/>
  <c r="AG1207" i="1"/>
  <c r="AH1207" i="1" s="1"/>
  <c r="AN1206" i="1"/>
  <c r="AH1206" i="1"/>
  <c r="AG1206" i="1"/>
  <c r="AN1205" i="1"/>
  <c r="AG1205" i="1"/>
  <c r="AH1205" i="1" s="1"/>
  <c r="AN1204" i="1"/>
  <c r="AH1204" i="1"/>
  <c r="AG1204" i="1"/>
  <c r="AN1203" i="1"/>
  <c r="AG1203" i="1"/>
  <c r="AH1203" i="1" s="1"/>
  <c r="AN1202" i="1"/>
  <c r="AG1202" i="1"/>
  <c r="AH1202" i="1" s="1"/>
  <c r="AN1201" i="1"/>
  <c r="AG1201" i="1"/>
  <c r="AH1201" i="1" s="1"/>
  <c r="AN1200" i="1"/>
  <c r="AH1200" i="1"/>
  <c r="AG1200" i="1"/>
  <c r="AN1199" i="1"/>
  <c r="AG1199" i="1"/>
  <c r="AH1199" i="1" s="1"/>
  <c r="AN1198" i="1"/>
  <c r="AG1198" i="1"/>
  <c r="AH1198" i="1" s="1"/>
  <c r="AN1197" i="1"/>
  <c r="AG1197" i="1"/>
  <c r="AH1197" i="1" s="1"/>
  <c r="AN1196" i="1"/>
  <c r="AG1196" i="1"/>
  <c r="AH1196" i="1" s="1"/>
  <c r="AN1195" i="1"/>
  <c r="AG1195" i="1"/>
  <c r="AH1195" i="1" s="1"/>
  <c r="AN1194" i="1"/>
  <c r="AH1194" i="1"/>
  <c r="AG1194" i="1"/>
  <c r="AN1193" i="1"/>
  <c r="AG1193" i="1"/>
  <c r="AH1193" i="1" s="1"/>
  <c r="AN1192" i="1"/>
  <c r="AH1192" i="1"/>
  <c r="AG1192" i="1"/>
  <c r="AN1191" i="1"/>
  <c r="AG1191" i="1"/>
  <c r="AH1191" i="1" s="1"/>
  <c r="AN1190" i="1"/>
  <c r="AG1190" i="1"/>
  <c r="AH1190" i="1" s="1"/>
  <c r="AN1189" i="1"/>
  <c r="AG1189" i="1"/>
  <c r="AH1189" i="1" s="1"/>
  <c r="AN1188" i="1"/>
  <c r="AH1188" i="1"/>
  <c r="AG1188" i="1"/>
  <c r="AN1187" i="1"/>
  <c r="AG1187" i="1"/>
  <c r="AH1187" i="1" s="1"/>
  <c r="AN1186" i="1"/>
  <c r="AH1186" i="1"/>
  <c r="AG1186" i="1"/>
  <c r="AN1185" i="1"/>
  <c r="AG1185" i="1"/>
  <c r="AH1185" i="1" s="1"/>
  <c r="AN1184" i="1"/>
  <c r="AG1184" i="1"/>
  <c r="AH1184" i="1" s="1"/>
  <c r="AN1183" i="1"/>
  <c r="AG1183" i="1"/>
  <c r="AH1183" i="1" s="1"/>
  <c r="AN1182" i="1"/>
  <c r="AH1182" i="1"/>
  <c r="AG1182" i="1"/>
  <c r="AN1181" i="1"/>
  <c r="AG1181" i="1"/>
  <c r="AH1181" i="1" s="1"/>
  <c r="AN1180" i="1"/>
  <c r="AH1180" i="1"/>
  <c r="AG1180" i="1"/>
  <c r="AN1179" i="1"/>
  <c r="AG1179" i="1"/>
  <c r="AH1179" i="1" s="1"/>
  <c r="AN1178" i="1"/>
  <c r="AG1178" i="1"/>
  <c r="AH1178" i="1" s="1"/>
  <c r="AN1177" i="1"/>
  <c r="AG1177" i="1"/>
  <c r="AH1177" i="1" s="1"/>
  <c r="AN1176" i="1"/>
  <c r="AH1176" i="1"/>
  <c r="AG1176" i="1"/>
  <c r="AN1175" i="1"/>
  <c r="AG1175" i="1"/>
  <c r="AH1175" i="1" s="1"/>
  <c r="AN1174" i="1"/>
  <c r="AG1174" i="1"/>
  <c r="AH1174" i="1" s="1"/>
  <c r="AN1173" i="1"/>
  <c r="AG1173" i="1"/>
  <c r="AH1173" i="1" s="1"/>
  <c r="AN1172" i="1"/>
  <c r="AG1172" i="1"/>
  <c r="AH1172" i="1" s="1"/>
  <c r="AN1171" i="1"/>
  <c r="AG1171" i="1"/>
  <c r="AH1171" i="1" s="1"/>
  <c r="AN1170" i="1"/>
  <c r="AH1170" i="1"/>
  <c r="AG1170" i="1"/>
  <c r="AN1169" i="1"/>
  <c r="AG1169" i="1"/>
  <c r="AH1169" i="1" s="1"/>
  <c r="AN1168" i="1"/>
  <c r="AH1168" i="1"/>
  <c r="AG1168" i="1"/>
  <c r="AN1167" i="1"/>
  <c r="AG1167" i="1"/>
  <c r="AH1167" i="1" s="1"/>
  <c r="AN1166" i="1"/>
  <c r="AG1166" i="1"/>
  <c r="AH1166" i="1" s="1"/>
  <c r="AN1165" i="1"/>
  <c r="AG1165" i="1"/>
  <c r="AH1165" i="1" s="1"/>
  <c r="AN1164" i="1"/>
  <c r="AH1164" i="1"/>
  <c r="AG1164" i="1"/>
  <c r="AN1163" i="1"/>
  <c r="AG1163" i="1"/>
  <c r="AH1163" i="1" s="1"/>
  <c r="AN1162" i="1"/>
  <c r="AH1162" i="1"/>
  <c r="AG1162" i="1"/>
  <c r="AN1161" i="1"/>
  <c r="AG1161" i="1"/>
  <c r="AH1161" i="1" s="1"/>
  <c r="AN1160" i="1"/>
  <c r="AG1160" i="1"/>
  <c r="AH1160" i="1" s="1"/>
  <c r="AN1159" i="1"/>
  <c r="AG1159" i="1"/>
  <c r="AH1159" i="1" s="1"/>
  <c r="AN1158" i="1"/>
  <c r="AH1158" i="1"/>
  <c r="AG1158" i="1"/>
  <c r="AN1157" i="1"/>
  <c r="AG1157" i="1"/>
  <c r="AH1157" i="1" s="1"/>
  <c r="AN1156" i="1"/>
  <c r="AH1156" i="1"/>
  <c r="AG1156" i="1"/>
  <c r="AN1155" i="1"/>
  <c r="AG1155" i="1"/>
  <c r="AH1155" i="1" s="1"/>
  <c r="AN1154" i="1"/>
  <c r="AG1154" i="1"/>
  <c r="AH1154" i="1" s="1"/>
  <c r="AN1153" i="1"/>
  <c r="AG1153" i="1"/>
  <c r="AH1153" i="1" s="1"/>
  <c r="AN1152" i="1"/>
  <c r="AH1152" i="1"/>
  <c r="AG1152" i="1"/>
  <c r="AN1151" i="1"/>
  <c r="AG1151" i="1"/>
  <c r="AH1151" i="1" s="1"/>
  <c r="AN1150" i="1"/>
  <c r="AH1150" i="1"/>
  <c r="AG1150" i="1"/>
  <c r="AN1149" i="1"/>
  <c r="AG1149" i="1"/>
  <c r="AH1149" i="1" s="1"/>
  <c r="AN1148" i="1"/>
  <c r="AG1148" i="1"/>
  <c r="AH1148" i="1" s="1"/>
  <c r="AN1147" i="1"/>
  <c r="AG1147" i="1"/>
  <c r="AH1147" i="1" s="1"/>
  <c r="AN1146" i="1"/>
  <c r="AH1146" i="1"/>
  <c r="AG1146" i="1"/>
  <c r="AN1145" i="1"/>
  <c r="AG1145" i="1"/>
  <c r="AH1145" i="1" s="1"/>
  <c r="AN1144" i="1"/>
  <c r="AH1144" i="1"/>
  <c r="AG1144" i="1"/>
  <c r="AN1143" i="1"/>
  <c r="AG1143" i="1"/>
  <c r="AH1143" i="1" s="1"/>
  <c r="AN1142" i="1"/>
  <c r="AG1142" i="1"/>
  <c r="AH1142" i="1" s="1"/>
  <c r="AN1141" i="1"/>
  <c r="AG1141" i="1"/>
  <c r="AH1141" i="1" s="1"/>
  <c r="AN1140" i="1"/>
  <c r="AH1140" i="1"/>
  <c r="AG1140" i="1"/>
  <c r="AN1139" i="1"/>
  <c r="AG1139" i="1"/>
  <c r="AH1139" i="1" s="1"/>
  <c r="AN1138" i="1"/>
  <c r="AH1138" i="1"/>
  <c r="AG1138" i="1"/>
  <c r="AN1137" i="1"/>
  <c r="AG1137" i="1"/>
  <c r="AH1137" i="1" s="1"/>
  <c r="AN1136" i="1"/>
  <c r="AG1136" i="1"/>
  <c r="AH1136" i="1" s="1"/>
  <c r="AN1135" i="1"/>
  <c r="AG1135" i="1"/>
  <c r="AH1135" i="1" s="1"/>
  <c r="AN1134" i="1"/>
  <c r="AH1134" i="1"/>
  <c r="AG1134" i="1"/>
  <c r="AN1133" i="1"/>
  <c r="AG1133" i="1"/>
  <c r="AH1133" i="1" s="1"/>
  <c r="AN1132" i="1"/>
  <c r="AH1132" i="1"/>
  <c r="AG1132" i="1"/>
  <c r="AN1131" i="1"/>
  <c r="AG1131" i="1"/>
  <c r="AH1131" i="1" s="1"/>
  <c r="AN1130" i="1"/>
  <c r="AG1130" i="1"/>
  <c r="AH1130" i="1" s="1"/>
  <c r="AN1129" i="1"/>
  <c r="AG1129" i="1"/>
  <c r="AH1129" i="1" s="1"/>
  <c r="AN1128" i="1"/>
  <c r="AG1128" i="1"/>
  <c r="AH1128" i="1" s="1"/>
  <c r="AN1127" i="1"/>
  <c r="AG1127" i="1"/>
  <c r="AH1127" i="1" s="1"/>
  <c r="AN1126" i="1"/>
  <c r="AH1126" i="1"/>
  <c r="AG1126" i="1"/>
  <c r="AN1125" i="1"/>
  <c r="AH1125" i="1"/>
  <c r="AG1125" i="1"/>
  <c r="AN1124" i="1"/>
  <c r="AH1124" i="1"/>
  <c r="AG1124" i="1"/>
  <c r="AN1123" i="1"/>
  <c r="AG1123" i="1"/>
  <c r="AH1123" i="1" s="1"/>
  <c r="AN1122" i="1"/>
  <c r="AG1122" i="1"/>
  <c r="AH1122" i="1" s="1"/>
  <c r="AN1121" i="1"/>
  <c r="AH1121" i="1"/>
  <c r="AG1121" i="1"/>
  <c r="AN1120" i="1"/>
  <c r="AH1120" i="1"/>
  <c r="AG1120" i="1"/>
  <c r="AN1119" i="1"/>
  <c r="AG1119" i="1"/>
  <c r="AH1119" i="1" s="1"/>
  <c r="AN1118" i="1"/>
  <c r="AG1118" i="1"/>
  <c r="AH1118" i="1" s="1"/>
  <c r="AN1117" i="1"/>
  <c r="AG1117" i="1"/>
  <c r="AH1117" i="1" s="1"/>
  <c r="AN1116" i="1"/>
  <c r="AG1116" i="1"/>
  <c r="AH1116" i="1" s="1"/>
  <c r="AN1115" i="1"/>
  <c r="AG1115" i="1"/>
  <c r="AH1115" i="1" s="1"/>
  <c r="AN1114" i="1"/>
  <c r="AH1114" i="1"/>
  <c r="AG1114" i="1"/>
  <c r="AN1113" i="1"/>
  <c r="AH1113" i="1"/>
  <c r="AG1113" i="1"/>
  <c r="AN1112" i="1"/>
  <c r="AH1112" i="1"/>
  <c r="AG1112" i="1"/>
  <c r="AN1111" i="1"/>
  <c r="AG1111" i="1"/>
  <c r="AH1111" i="1" s="1"/>
  <c r="AN1110" i="1"/>
  <c r="AH1110" i="1"/>
  <c r="AG1110" i="1"/>
  <c r="AN1109" i="1"/>
  <c r="AG1109" i="1"/>
  <c r="AH1109" i="1" s="1"/>
  <c r="AN1108" i="1"/>
  <c r="AH1108" i="1"/>
  <c r="AG1108" i="1"/>
  <c r="AN1107" i="1"/>
  <c r="AG1107" i="1"/>
  <c r="AH1107" i="1" s="1"/>
  <c r="AN1106" i="1"/>
  <c r="AG1106" i="1"/>
  <c r="AH1106" i="1" s="1"/>
  <c r="AN1105" i="1"/>
  <c r="AG1105" i="1"/>
  <c r="AH1105" i="1" s="1"/>
  <c r="AN1104" i="1"/>
  <c r="AG1104" i="1"/>
  <c r="AH1104" i="1" s="1"/>
  <c r="AN1103" i="1"/>
  <c r="AG1103" i="1"/>
  <c r="AH1103" i="1" s="1"/>
  <c r="AN1102" i="1"/>
  <c r="AH1102" i="1"/>
  <c r="AG1102" i="1"/>
  <c r="AN1101" i="1"/>
  <c r="AH1101" i="1"/>
  <c r="AG1101" i="1"/>
  <c r="AN1100" i="1"/>
  <c r="AH1100" i="1"/>
  <c r="AG1100" i="1"/>
  <c r="AN1099" i="1"/>
  <c r="AG1099" i="1"/>
  <c r="AH1099" i="1" s="1"/>
  <c r="AN1098" i="1"/>
  <c r="AH1098" i="1"/>
  <c r="AG1098" i="1"/>
  <c r="AN1097" i="1"/>
  <c r="AH1097" i="1"/>
  <c r="AG1097" i="1"/>
  <c r="AN1096" i="1"/>
  <c r="AH1096" i="1"/>
  <c r="AG1096" i="1"/>
  <c r="AN1095" i="1"/>
  <c r="AG1095" i="1"/>
  <c r="AH1095" i="1" s="1"/>
  <c r="AN1094" i="1"/>
  <c r="AG1094" i="1"/>
  <c r="AH1094" i="1" s="1"/>
  <c r="AN1093" i="1"/>
  <c r="AG1093" i="1"/>
  <c r="AH1093" i="1" s="1"/>
  <c r="AN1092" i="1"/>
  <c r="AG1092" i="1"/>
  <c r="AH1092" i="1" s="1"/>
  <c r="AN1091" i="1"/>
  <c r="AG1091" i="1"/>
  <c r="AH1091" i="1" s="1"/>
  <c r="AN1090" i="1"/>
  <c r="AH1090" i="1"/>
  <c r="AG1090" i="1"/>
  <c r="AN1089" i="1"/>
  <c r="AH1089" i="1"/>
  <c r="AG1089" i="1"/>
  <c r="AN1088" i="1"/>
  <c r="AH1088" i="1"/>
  <c r="AG1088" i="1"/>
  <c r="AN1087" i="1"/>
  <c r="AG1087" i="1"/>
  <c r="AH1087" i="1" s="1"/>
  <c r="AN1086" i="1"/>
  <c r="AH1086" i="1"/>
  <c r="AG1086" i="1"/>
  <c r="AN1085" i="1"/>
  <c r="AH1085" i="1"/>
  <c r="AG1085" i="1"/>
  <c r="AN1084" i="1"/>
  <c r="AH1084" i="1"/>
  <c r="AG1084" i="1"/>
  <c r="AN1083" i="1"/>
  <c r="AG1083" i="1"/>
  <c r="AH1083" i="1" s="1"/>
  <c r="AN1082" i="1"/>
  <c r="AG1082" i="1"/>
  <c r="AH1082" i="1" s="1"/>
  <c r="AN1081" i="1"/>
  <c r="AG1081" i="1"/>
  <c r="AH1081" i="1" s="1"/>
  <c r="AN1080" i="1"/>
  <c r="AG1080" i="1"/>
  <c r="AH1080" i="1" s="1"/>
  <c r="AN1079" i="1"/>
  <c r="AG1079" i="1"/>
  <c r="AH1079" i="1" s="1"/>
  <c r="AN1078" i="1"/>
  <c r="AH1078" i="1"/>
  <c r="AG1078" i="1"/>
  <c r="AN1077" i="1"/>
  <c r="AH1077" i="1"/>
  <c r="AG1077" i="1"/>
  <c r="AN1076" i="1"/>
  <c r="AH1076" i="1"/>
  <c r="AG1076" i="1"/>
  <c r="AN1075" i="1"/>
  <c r="AG1075" i="1"/>
  <c r="AH1075" i="1" s="1"/>
  <c r="AN1074" i="1"/>
  <c r="AG1074" i="1"/>
  <c r="AH1074" i="1" s="1"/>
  <c r="AN1073" i="1"/>
  <c r="AH1073" i="1"/>
  <c r="AG1073" i="1"/>
  <c r="AN1072" i="1"/>
  <c r="AG1072" i="1"/>
  <c r="AH1072" i="1" s="1"/>
  <c r="AN1071" i="1"/>
  <c r="AG1071" i="1"/>
  <c r="AH1071" i="1" s="1"/>
  <c r="AN1070" i="1"/>
  <c r="AG1070" i="1"/>
  <c r="AH1070" i="1" s="1"/>
  <c r="AN1069" i="1"/>
  <c r="AG1069" i="1"/>
  <c r="AH1069" i="1" s="1"/>
  <c r="AN1068" i="1"/>
  <c r="AG1068" i="1"/>
  <c r="AH1068" i="1" s="1"/>
  <c r="AN1067" i="1"/>
  <c r="AG1067" i="1"/>
  <c r="AH1067" i="1" s="1"/>
  <c r="AN1066" i="1"/>
  <c r="AH1066" i="1"/>
  <c r="AG1066" i="1"/>
  <c r="AN1065" i="1"/>
  <c r="AH1065" i="1"/>
  <c r="AG1065" i="1"/>
  <c r="AN1064" i="1"/>
  <c r="AH1064" i="1"/>
  <c r="AG1064" i="1"/>
  <c r="AN1063" i="1"/>
  <c r="AG1063" i="1"/>
  <c r="AH1063" i="1" s="1"/>
  <c r="AN1062" i="1"/>
  <c r="AH1062" i="1"/>
  <c r="AG1062" i="1"/>
  <c r="AN1061" i="1"/>
  <c r="AG1061" i="1"/>
  <c r="AH1061" i="1" s="1"/>
  <c r="AN1060" i="1"/>
  <c r="AH1060" i="1"/>
  <c r="AG1060" i="1"/>
  <c r="AN1059" i="1"/>
  <c r="AG1059" i="1"/>
  <c r="AH1059" i="1" s="1"/>
  <c r="AN1058" i="1"/>
  <c r="AG1058" i="1"/>
  <c r="AH1058" i="1" s="1"/>
  <c r="AN1057" i="1"/>
  <c r="AG1057" i="1"/>
  <c r="AH1057" i="1" s="1"/>
  <c r="AN1056" i="1"/>
  <c r="AG1056" i="1"/>
  <c r="AH1056" i="1" s="1"/>
  <c r="AN1055" i="1"/>
  <c r="AG1055" i="1"/>
  <c r="AH1055" i="1" s="1"/>
  <c r="AN1054" i="1"/>
  <c r="AH1054" i="1"/>
  <c r="AG1054" i="1"/>
  <c r="AN1053" i="1"/>
  <c r="AH1053" i="1"/>
  <c r="AG1053" i="1"/>
  <c r="AN1052" i="1"/>
  <c r="AH1052" i="1"/>
  <c r="AG1052" i="1"/>
  <c r="AN1051" i="1"/>
  <c r="AG1051" i="1"/>
  <c r="AH1051" i="1" s="1"/>
  <c r="AN1050" i="1"/>
  <c r="AG1050" i="1"/>
  <c r="AH1050" i="1" s="1"/>
  <c r="AN1049" i="1"/>
  <c r="AH1049" i="1"/>
  <c r="AG1049" i="1"/>
  <c r="AN1048" i="1"/>
  <c r="AH1048" i="1"/>
  <c r="AG1048" i="1"/>
  <c r="AN1047" i="1"/>
  <c r="AG1047" i="1"/>
  <c r="AH1047" i="1" s="1"/>
  <c r="AN1046" i="1"/>
  <c r="AG1046" i="1"/>
  <c r="AH1046" i="1" s="1"/>
  <c r="AN1045" i="1"/>
  <c r="AG1045" i="1"/>
  <c r="AH1045" i="1" s="1"/>
  <c r="AN1044" i="1"/>
  <c r="AG1044" i="1"/>
  <c r="AH1044" i="1" s="1"/>
  <c r="AN1043" i="1"/>
  <c r="AG1043" i="1"/>
  <c r="AH1043" i="1" s="1"/>
  <c r="AN1042" i="1"/>
  <c r="AH1042" i="1"/>
  <c r="AG1042" i="1"/>
  <c r="AN1041" i="1"/>
  <c r="AH1041" i="1"/>
  <c r="AG1041" i="1"/>
  <c r="AN1040" i="1"/>
  <c r="AH1040" i="1"/>
  <c r="AG1040" i="1"/>
  <c r="AN1039" i="1"/>
  <c r="AG1039" i="1"/>
  <c r="AH1039" i="1" s="1"/>
  <c r="AN1038" i="1"/>
  <c r="AH1038" i="1"/>
  <c r="AG1038" i="1"/>
  <c r="AN1037" i="1"/>
  <c r="AG1037" i="1"/>
  <c r="AH1037" i="1" s="1"/>
  <c r="AN1036" i="1"/>
  <c r="AH1036" i="1"/>
  <c r="AG1036" i="1"/>
  <c r="AN1035" i="1"/>
  <c r="AG1035" i="1"/>
  <c r="AH1035" i="1" s="1"/>
  <c r="AN1034" i="1"/>
  <c r="AG1034" i="1"/>
  <c r="AH1034" i="1" s="1"/>
  <c r="AN1033" i="1"/>
  <c r="AG1033" i="1"/>
  <c r="AH1033" i="1" s="1"/>
  <c r="AN1032" i="1"/>
  <c r="AG1032" i="1"/>
  <c r="AH1032" i="1" s="1"/>
  <c r="AN1031" i="1"/>
  <c r="AG1031" i="1"/>
  <c r="AH1031" i="1" s="1"/>
  <c r="AN1030" i="1"/>
  <c r="AH1030" i="1"/>
  <c r="AG1030" i="1"/>
  <c r="AN1029" i="1"/>
  <c r="AH1029" i="1"/>
  <c r="AG1029" i="1"/>
  <c r="AN1028" i="1"/>
  <c r="AH1028" i="1"/>
  <c r="AG1028" i="1"/>
  <c r="AN1027" i="1"/>
  <c r="AG1027" i="1"/>
  <c r="AH1027" i="1" s="1"/>
  <c r="AN1026" i="1"/>
  <c r="AG1026" i="1"/>
  <c r="AH1026" i="1" s="1"/>
  <c r="AN1025" i="1"/>
  <c r="AH1025" i="1"/>
  <c r="AG1025" i="1"/>
  <c r="AN1024" i="1"/>
  <c r="AG1024" i="1"/>
  <c r="AH1024" i="1" s="1"/>
  <c r="AN1023" i="1"/>
  <c r="AG1023" i="1"/>
  <c r="AH1023" i="1" s="1"/>
  <c r="AN1022" i="1"/>
  <c r="AG1022" i="1"/>
  <c r="AH1022" i="1" s="1"/>
  <c r="AN1021" i="1"/>
  <c r="AG1021" i="1"/>
  <c r="AH1021" i="1" s="1"/>
  <c r="AN1020" i="1"/>
  <c r="AG1020" i="1"/>
  <c r="AH1020" i="1" s="1"/>
  <c r="AN1019" i="1"/>
  <c r="AG1019" i="1"/>
  <c r="AH1019" i="1" s="1"/>
  <c r="AN1018" i="1"/>
  <c r="AH1018" i="1"/>
  <c r="AG1018" i="1"/>
  <c r="AN1017" i="1"/>
  <c r="AH1017" i="1"/>
  <c r="AG1017" i="1"/>
  <c r="AN1016" i="1"/>
  <c r="AH1016" i="1"/>
  <c r="AG1016" i="1"/>
  <c r="AN1015" i="1"/>
  <c r="AG1015" i="1"/>
  <c r="AH1015" i="1" s="1"/>
  <c r="AN1014" i="1"/>
  <c r="AH1014" i="1"/>
  <c r="AG1014" i="1"/>
  <c r="AN1013" i="1"/>
  <c r="AG1013" i="1"/>
  <c r="AH1013" i="1" s="1"/>
  <c r="AN1012" i="1"/>
  <c r="AH1012" i="1"/>
  <c r="AG1012" i="1"/>
  <c r="AN1011" i="1"/>
  <c r="AG1011" i="1"/>
  <c r="AH1011" i="1" s="1"/>
  <c r="AN1010" i="1"/>
  <c r="AG1010" i="1"/>
  <c r="AH1010" i="1" s="1"/>
  <c r="AN1009" i="1"/>
  <c r="AG1009" i="1"/>
  <c r="AH1009" i="1" s="1"/>
  <c r="AN1008" i="1"/>
  <c r="AG1008" i="1"/>
  <c r="AH1008" i="1" s="1"/>
  <c r="AN1007" i="1"/>
  <c r="AG1007" i="1"/>
  <c r="AH1007" i="1" s="1"/>
  <c r="AN1006" i="1"/>
  <c r="AH1006" i="1"/>
  <c r="AG1006" i="1"/>
  <c r="AN1005" i="1"/>
  <c r="AH1005" i="1"/>
  <c r="AG1005" i="1"/>
  <c r="AN1004" i="1"/>
  <c r="AH1004" i="1"/>
  <c r="AG1004" i="1"/>
  <c r="AN1003" i="1"/>
  <c r="AG1003" i="1"/>
  <c r="AH1003" i="1" s="1"/>
  <c r="AN1002" i="1"/>
  <c r="AG1002" i="1"/>
  <c r="AH1002" i="1" s="1"/>
  <c r="AN1001" i="1"/>
  <c r="AH1001" i="1"/>
  <c r="AG1001" i="1"/>
  <c r="AN1000" i="1"/>
  <c r="AH1000" i="1"/>
  <c r="AG1000" i="1"/>
  <c r="AN999" i="1"/>
  <c r="AG999" i="1"/>
  <c r="AH999" i="1" s="1"/>
  <c r="AN998" i="1"/>
  <c r="AG998" i="1"/>
  <c r="AH998" i="1" s="1"/>
  <c r="AN997" i="1"/>
  <c r="AG997" i="1"/>
  <c r="AH997" i="1" s="1"/>
  <c r="AN996" i="1"/>
  <c r="AG996" i="1"/>
  <c r="AH996" i="1" s="1"/>
  <c r="AN995" i="1"/>
  <c r="AG995" i="1"/>
  <c r="AH995" i="1" s="1"/>
  <c r="AN994" i="1"/>
  <c r="AH994" i="1"/>
  <c r="AG994" i="1"/>
  <c r="AN993" i="1"/>
  <c r="AH993" i="1"/>
  <c r="AG993" i="1"/>
  <c r="AN992" i="1"/>
  <c r="AH992" i="1"/>
  <c r="AG992" i="1"/>
  <c r="AN991" i="1"/>
  <c r="AG991" i="1"/>
  <c r="AH991" i="1" s="1"/>
  <c r="AN990" i="1"/>
  <c r="AH990" i="1"/>
  <c r="AG990" i="1"/>
  <c r="AN989" i="1"/>
  <c r="AG989" i="1"/>
  <c r="AH989" i="1" s="1"/>
  <c r="AN988" i="1"/>
  <c r="AH988" i="1"/>
  <c r="AG988" i="1"/>
  <c r="AN987" i="1"/>
  <c r="AG987" i="1"/>
  <c r="AH987" i="1" s="1"/>
  <c r="AN986" i="1"/>
  <c r="AG986" i="1"/>
  <c r="AH986" i="1" s="1"/>
  <c r="AN985" i="1"/>
  <c r="AG985" i="1"/>
  <c r="AH985" i="1" s="1"/>
  <c r="AN984" i="1"/>
  <c r="AG984" i="1"/>
  <c r="AH984" i="1" s="1"/>
  <c r="AN983" i="1"/>
  <c r="AG983" i="1"/>
  <c r="AH983" i="1" s="1"/>
  <c r="AN982" i="1"/>
  <c r="AH982" i="1"/>
  <c r="AG982" i="1"/>
  <c r="AN981" i="1"/>
  <c r="AH981" i="1"/>
  <c r="AG981" i="1"/>
  <c r="AN980" i="1"/>
  <c r="AH980" i="1"/>
  <c r="AG980" i="1"/>
  <c r="AN979" i="1"/>
  <c r="AG979" i="1"/>
  <c r="AH979" i="1" s="1"/>
  <c r="AN978" i="1"/>
  <c r="AH978" i="1"/>
  <c r="AG978" i="1"/>
  <c r="AN977" i="1"/>
  <c r="AH977" i="1"/>
  <c r="AG977" i="1"/>
  <c r="AN976" i="1"/>
  <c r="AG976" i="1"/>
  <c r="AH976" i="1" s="1"/>
  <c r="AN975" i="1"/>
  <c r="AG975" i="1"/>
  <c r="AH975" i="1" s="1"/>
  <c r="AN974" i="1"/>
  <c r="AG974" i="1"/>
  <c r="AH974" i="1" s="1"/>
  <c r="AN973" i="1"/>
  <c r="AG973" i="1"/>
  <c r="AH973" i="1" s="1"/>
  <c r="AN972" i="1"/>
  <c r="AG972" i="1"/>
  <c r="AH972" i="1" s="1"/>
  <c r="AN971" i="1"/>
  <c r="AG971" i="1"/>
  <c r="AH971" i="1" s="1"/>
  <c r="AN970" i="1"/>
  <c r="AH970" i="1"/>
  <c r="AG970" i="1"/>
  <c r="AN969" i="1"/>
  <c r="AH969" i="1"/>
  <c r="AG969" i="1"/>
  <c r="AN968" i="1"/>
  <c r="AH968" i="1"/>
  <c r="AG968" i="1"/>
  <c r="AN967" i="1"/>
  <c r="AG967" i="1"/>
  <c r="AH967" i="1" s="1"/>
  <c r="AN966" i="1"/>
  <c r="AH966" i="1"/>
  <c r="AG966" i="1"/>
  <c r="AN965" i="1"/>
  <c r="AG965" i="1"/>
  <c r="AH965" i="1" s="1"/>
  <c r="AN964" i="1"/>
  <c r="AH964" i="1"/>
  <c r="AG964" i="1"/>
  <c r="AN963" i="1"/>
  <c r="AG963" i="1"/>
  <c r="AH963" i="1" s="1"/>
  <c r="AN962" i="1"/>
  <c r="AG962" i="1"/>
  <c r="AH962" i="1" s="1"/>
  <c r="AN961" i="1"/>
  <c r="AG961" i="1"/>
  <c r="AH961" i="1" s="1"/>
  <c r="AN960" i="1"/>
  <c r="AG960" i="1"/>
  <c r="AH960" i="1" s="1"/>
  <c r="AN959" i="1"/>
  <c r="AG959" i="1"/>
  <c r="AH959" i="1" s="1"/>
  <c r="AN958" i="1"/>
  <c r="AH958" i="1"/>
  <c r="AG958" i="1"/>
  <c r="AN957" i="1"/>
  <c r="AH957" i="1"/>
  <c r="AG957" i="1"/>
  <c r="AN956" i="1"/>
  <c r="AH956" i="1"/>
  <c r="AG956" i="1"/>
  <c r="AN955" i="1"/>
  <c r="AG955" i="1"/>
  <c r="AH955" i="1" s="1"/>
  <c r="AN954" i="1"/>
  <c r="AG954" i="1"/>
  <c r="AH954" i="1" s="1"/>
  <c r="AN953" i="1"/>
  <c r="AH953" i="1"/>
  <c r="AG953" i="1"/>
  <c r="AN952" i="1"/>
  <c r="AH952" i="1"/>
  <c r="AG952" i="1"/>
  <c r="AN951" i="1"/>
  <c r="AG951" i="1"/>
  <c r="AH951" i="1" s="1"/>
  <c r="AN950" i="1"/>
  <c r="AG950" i="1"/>
  <c r="AH950" i="1" s="1"/>
  <c r="AN949" i="1"/>
  <c r="AG949" i="1"/>
  <c r="AH949" i="1" s="1"/>
  <c r="AN948" i="1"/>
  <c r="AG948" i="1"/>
  <c r="AH948" i="1" s="1"/>
  <c r="AN947" i="1"/>
  <c r="AG947" i="1"/>
  <c r="AH947" i="1" s="1"/>
  <c r="AN946" i="1"/>
  <c r="AH946" i="1"/>
  <c r="AG946" i="1"/>
  <c r="AN945" i="1"/>
  <c r="AH945" i="1"/>
  <c r="AG945" i="1"/>
  <c r="AN944" i="1"/>
  <c r="AH944" i="1"/>
  <c r="AG944" i="1"/>
  <c r="AN943" i="1"/>
  <c r="AG943" i="1"/>
  <c r="AH943" i="1" s="1"/>
  <c r="AN942" i="1"/>
  <c r="AH942" i="1"/>
  <c r="AG942" i="1"/>
  <c r="AN941" i="1"/>
  <c r="AG941" i="1"/>
  <c r="AH941" i="1" s="1"/>
  <c r="AN940" i="1"/>
  <c r="AH940" i="1"/>
  <c r="AG940" i="1"/>
  <c r="AN939" i="1"/>
  <c r="AG939" i="1"/>
  <c r="AH939" i="1" s="1"/>
  <c r="AN938" i="1"/>
  <c r="AG938" i="1"/>
  <c r="AH938" i="1" s="1"/>
  <c r="AN937" i="1"/>
  <c r="AG937" i="1"/>
  <c r="AH937" i="1" s="1"/>
  <c r="AN936" i="1"/>
  <c r="AG936" i="1"/>
  <c r="AH936" i="1" s="1"/>
  <c r="AN935" i="1"/>
  <c r="AG935" i="1"/>
  <c r="AH935" i="1" s="1"/>
  <c r="AN934" i="1"/>
  <c r="AH934" i="1"/>
  <c r="AG934" i="1"/>
  <c r="AN933" i="1"/>
  <c r="AH933" i="1"/>
  <c r="AG933" i="1"/>
  <c r="AN932" i="1"/>
  <c r="AH932" i="1"/>
  <c r="AG932" i="1"/>
  <c r="AN931" i="1"/>
  <c r="AG931" i="1"/>
  <c r="AH931" i="1" s="1"/>
  <c r="AN930" i="1"/>
  <c r="AG930" i="1"/>
  <c r="AH930" i="1" s="1"/>
  <c r="AN929" i="1"/>
  <c r="AH929" i="1"/>
  <c r="AG929" i="1"/>
  <c r="AN928" i="1"/>
  <c r="AG928" i="1"/>
  <c r="AH928" i="1" s="1"/>
  <c r="AN927" i="1"/>
  <c r="AG927" i="1"/>
  <c r="AH927" i="1" s="1"/>
  <c r="AN926" i="1"/>
  <c r="AG926" i="1"/>
  <c r="AH926" i="1" s="1"/>
  <c r="AN925" i="1"/>
  <c r="AG925" i="1"/>
  <c r="AH925" i="1" s="1"/>
  <c r="AN924" i="1"/>
  <c r="AG924" i="1"/>
  <c r="AH924" i="1" s="1"/>
  <c r="AN923" i="1"/>
  <c r="AG923" i="1"/>
  <c r="AH923" i="1" s="1"/>
  <c r="AN922" i="1"/>
  <c r="AH922" i="1"/>
  <c r="AG922" i="1"/>
  <c r="AN921" i="1"/>
  <c r="AH921" i="1"/>
  <c r="AG921" i="1"/>
  <c r="AN920" i="1"/>
  <c r="AH920" i="1"/>
  <c r="AG920" i="1"/>
  <c r="AN919" i="1"/>
  <c r="AG919" i="1"/>
  <c r="AH919" i="1" s="1"/>
  <c r="AN918" i="1"/>
  <c r="AH918" i="1"/>
  <c r="AG918" i="1"/>
  <c r="AN917" i="1"/>
  <c r="AG917" i="1"/>
  <c r="AH917" i="1" s="1"/>
  <c r="AN916" i="1"/>
  <c r="AH916" i="1"/>
  <c r="AG916" i="1"/>
  <c r="AN915" i="1"/>
  <c r="AG915" i="1"/>
  <c r="AH915" i="1" s="1"/>
  <c r="AN914" i="1"/>
  <c r="AG914" i="1"/>
  <c r="AH914" i="1" s="1"/>
  <c r="AN913" i="1"/>
  <c r="AG913" i="1"/>
  <c r="AH913" i="1" s="1"/>
  <c r="AN912" i="1"/>
  <c r="AG912" i="1"/>
  <c r="AH912" i="1" s="1"/>
  <c r="AN911" i="1"/>
  <c r="AG911" i="1"/>
  <c r="AH911" i="1" s="1"/>
  <c r="AN910" i="1"/>
  <c r="AH910" i="1"/>
  <c r="AG910" i="1"/>
  <c r="AN909" i="1"/>
  <c r="AH909" i="1"/>
  <c r="AG909" i="1"/>
  <c r="AN908" i="1"/>
  <c r="AH908" i="1"/>
  <c r="AG908" i="1"/>
  <c r="AN907" i="1"/>
  <c r="AG907" i="1"/>
  <c r="AH907" i="1" s="1"/>
  <c r="AN906" i="1"/>
  <c r="AG906" i="1"/>
  <c r="AH906" i="1" s="1"/>
  <c r="AN905" i="1"/>
  <c r="AH905" i="1"/>
  <c r="AG905" i="1"/>
  <c r="AN904" i="1"/>
  <c r="AH904" i="1"/>
  <c r="AG904" i="1"/>
  <c r="AN903" i="1"/>
  <c r="AG903" i="1"/>
  <c r="AH903" i="1" s="1"/>
  <c r="AN902" i="1"/>
  <c r="AG902" i="1"/>
  <c r="AH902" i="1" s="1"/>
  <c r="AN901" i="1"/>
  <c r="AG901" i="1"/>
  <c r="AH901" i="1" s="1"/>
  <c r="AN900" i="1"/>
  <c r="AG900" i="1"/>
  <c r="AH900" i="1" s="1"/>
  <c r="AN899" i="1"/>
  <c r="AG899" i="1"/>
  <c r="AH899" i="1" s="1"/>
  <c r="AN898" i="1"/>
  <c r="AH898" i="1"/>
  <c r="AG898" i="1"/>
  <c r="AN897" i="1"/>
  <c r="AH897" i="1"/>
  <c r="AG897" i="1"/>
  <c r="AN896" i="1"/>
  <c r="AH896" i="1"/>
  <c r="AG896" i="1"/>
  <c r="AN895" i="1"/>
  <c r="AG895" i="1"/>
  <c r="AH895" i="1" s="1"/>
  <c r="AN894" i="1"/>
  <c r="AH894" i="1"/>
  <c r="AG894" i="1"/>
  <c r="AN893" i="1"/>
  <c r="AG893" i="1"/>
  <c r="AH893" i="1" s="1"/>
  <c r="AN892" i="1"/>
  <c r="AH892" i="1"/>
  <c r="AG892" i="1"/>
  <c r="AN891" i="1"/>
  <c r="AG891" i="1"/>
  <c r="AH891" i="1" s="1"/>
  <c r="AN890" i="1"/>
  <c r="AG890" i="1"/>
  <c r="AH890" i="1" s="1"/>
  <c r="AN889" i="1"/>
  <c r="AG889" i="1"/>
  <c r="AH889" i="1" s="1"/>
  <c r="AN888" i="1"/>
  <c r="AG888" i="1"/>
  <c r="AH888" i="1" s="1"/>
  <c r="AN887" i="1"/>
  <c r="AG887" i="1"/>
  <c r="AH887" i="1" s="1"/>
  <c r="AN886" i="1"/>
  <c r="AH886" i="1"/>
  <c r="AG886" i="1"/>
  <c r="AN885" i="1"/>
  <c r="AH885" i="1"/>
  <c r="AG885" i="1"/>
  <c r="AN884" i="1"/>
  <c r="AH884" i="1"/>
  <c r="AG884" i="1"/>
  <c r="AN883" i="1"/>
  <c r="AG883" i="1"/>
  <c r="AH883" i="1" s="1"/>
  <c r="AN882" i="1"/>
  <c r="AG882" i="1"/>
  <c r="AH882" i="1" s="1"/>
  <c r="AN881" i="1"/>
  <c r="AH881" i="1"/>
  <c r="AG881" i="1"/>
  <c r="AN880" i="1"/>
  <c r="AG880" i="1"/>
  <c r="AH880" i="1" s="1"/>
  <c r="AN879" i="1"/>
  <c r="AG879" i="1"/>
  <c r="AH879" i="1" s="1"/>
  <c r="AN878" i="1"/>
  <c r="AG878" i="1"/>
  <c r="AH878" i="1" s="1"/>
  <c r="AN877" i="1"/>
  <c r="AG877" i="1"/>
  <c r="AH877" i="1" s="1"/>
  <c r="AN876" i="1"/>
  <c r="AG876" i="1"/>
  <c r="AH876" i="1" s="1"/>
  <c r="AN875" i="1"/>
  <c r="AG875" i="1"/>
  <c r="AH875" i="1" s="1"/>
  <c r="AN874" i="1"/>
  <c r="AH874" i="1"/>
  <c r="AG874" i="1"/>
  <c r="AN873" i="1"/>
  <c r="AH873" i="1"/>
  <c r="AG873" i="1"/>
  <c r="AN872" i="1"/>
  <c r="AH872" i="1"/>
  <c r="AG872" i="1"/>
  <c r="AN871" i="1"/>
  <c r="AG871" i="1"/>
  <c r="AH871" i="1" s="1"/>
  <c r="AN870" i="1"/>
  <c r="AH870" i="1"/>
  <c r="AG870" i="1"/>
  <c r="AN869" i="1"/>
  <c r="AG869" i="1"/>
  <c r="AH869" i="1" s="1"/>
  <c r="AN868" i="1"/>
  <c r="AH868" i="1"/>
  <c r="AG868" i="1"/>
  <c r="AN867" i="1"/>
  <c r="AG867" i="1"/>
  <c r="AH867" i="1" s="1"/>
  <c r="AN866" i="1"/>
  <c r="AG866" i="1"/>
  <c r="AH866" i="1" s="1"/>
  <c r="AN865" i="1"/>
  <c r="AG865" i="1"/>
  <c r="AH865" i="1" s="1"/>
  <c r="AN864" i="1"/>
  <c r="AG864" i="1"/>
  <c r="AH864" i="1" s="1"/>
  <c r="AN863" i="1"/>
  <c r="AG863" i="1"/>
  <c r="AH863" i="1" s="1"/>
  <c r="AN862" i="1"/>
  <c r="AH862" i="1"/>
  <c r="AG862" i="1"/>
  <c r="AN861" i="1"/>
  <c r="AH861" i="1"/>
  <c r="AG861" i="1"/>
  <c r="AN860" i="1"/>
  <c r="AH860" i="1"/>
  <c r="AG860" i="1"/>
  <c r="AN859" i="1"/>
  <c r="AG859" i="1"/>
  <c r="AH859" i="1" s="1"/>
  <c r="AN858" i="1"/>
  <c r="AG858" i="1"/>
  <c r="AH858" i="1" s="1"/>
  <c r="AN857" i="1"/>
  <c r="AH857" i="1"/>
  <c r="AG857" i="1"/>
  <c r="AN856" i="1"/>
  <c r="AH856" i="1"/>
  <c r="AG856" i="1"/>
  <c r="AN855" i="1"/>
  <c r="AG855" i="1"/>
  <c r="AH855" i="1" s="1"/>
  <c r="AN854" i="1"/>
  <c r="AG854" i="1"/>
  <c r="AH854" i="1" s="1"/>
  <c r="AN853" i="1"/>
  <c r="AG853" i="1"/>
  <c r="AH853" i="1" s="1"/>
  <c r="AN852" i="1"/>
  <c r="AG852" i="1"/>
  <c r="AH852" i="1" s="1"/>
  <c r="AN851" i="1"/>
  <c r="AG851" i="1"/>
  <c r="AH851" i="1" s="1"/>
  <c r="AN850" i="1"/>
  <c r="AH850" i="1"/>
  <c r="AG850" i="1"/>
  <c r="AN849" i="1"/>
  <c r="AH849" i="1"/>
  <c r="AG849" i="1"/>
  <c r="AN848" i="1"/>
  <c r="AH848" i="1"/>
  <c r="AG848" i="1"/>
  <c r="AN847" i="1"/>
  <c r="AG847" i="1"/>
  <c r="AH847" i="1" s="1"/>
  <c r="AN846" i="1"/>
  <c r="AH846" i="1"/>
  <c r="AG846" i="1"/>
  <c r="AN845" i="1"/>
  <c r="AG845" i="1"/>
  <c r="AH845" i="1" s="1"/>
  <c r="AN844" i="1"/>
  <c r="AH844" i="1"/>
  <c r="AG844" i="1"/>
  <c r="AN843" i="1"/>
  <c r="AG843" i="1"/>
  <c r="AH843" i="1" s="1"/>
  <c r="AN842" i="1"/>
  <c r="AG842" i="1"/>
  <c r="AH842" i="1" s="1"/>
  <c r="AN841" i="1"/>
  <c r="AG841" i="1"/>
  <c r="AH841" i="1" s="1"/>
  <c r="AN840" i="1"/>
  <c r="AG840" i="1"/>
  <c r="AH840" i="1" s="1"/>
  <c r="AN839" i="1"/>
  <c r="AG839" i="1"/>
  <c r="AH839" i="1" s="1"/>
  <c r="AN838" i="1"/>
  <c r="AH838" i="1"/>
  <c r="AG838" i="1"/>
  <c r="AN837" i="1"/>
  <c r="AH837" i="1"/>
  <c r="AG837" i="1"/>
  <c r="AN836" i="1"/>
  <c r="AH836" i="1"/>
  <c r="AG836" i="1"/>
  <c r="AN835" i="1"/>
  <c r="AG835" i="1"/>
  <c r="AH835" i="1" s="1"/>
  <c r="AN834" i="1"/>
  <c r="AG834" i="1"/>
  <c r="AH834" i="1" s="1"/>
  <c r="AN833" i="1"/>
  <c r="AH833" i="1"/>
  <c r="AG833" i="1"/>
  <c r="AN832" i="1"/>
  <c r="AG832" i="1"/>
  <c r="AH832" i="1" s="1"/>
  <c r="AN831" i="1"/>
  <c r="AG831" i="1"/>
  <c r="AH831" i="1" s="1"/>
  <c r="AN830" i="1"/>
  <c r="AG830" i="1"/>
  <c r="AH830" i="1" s="1"/>
  <c r="AN829" i="1"/>
  <c r="AG829" i="1"/>
  <c r="AH829" i="1" s="1"/>
  <c r="AN828" i="1"/>
  <c r="AG828" i="1"/>
  <c r="AH828" i="1" s="1"/>
  <c r="AN827" i="1"/>
  <c r="AG827" i="1"/>
  <c r="AH827" i="1" s="1"/>
  <c r="AN826" i="1"/>
  <c r="AH826" i="1"/>
  <c r="AG826" i="1"/>
  <c r="AN825" i="1"/>
  <c r="AH825" i="1"/>
  <c r="AG825" i="1"/>
  <c r="AN824" i="1"/>
  <c r="AH824" i="1"/>
  <c r="AG824" i="1"/>
  <c r="AN823" i="1"/>
  <c r="AG823" i="1"/>
  <c r="AH823" i="1" s="1"/>
  <c r="AN822" i="1"/>
  <c r="AG822" i="1"/>
  <c r="AH822" i="1" s="1"/>
  <c r="AN821" i="1"/>
  <c r="AH821" i="1"/>
  <c r="AG821" i="1"/>
  <c r="AN820" i="1"/>
  <c r="AH820" i="1"/>
  <c r="AG820" i="1"/>
  <c r="AN819" i="1"/>
  <c r="AG819" i="1"/>
  <c r="AH819" i="1" s="1"/>
  <c r="AN818" i="1"/>
  <c r="AG818" i="1"/>
  <c r="AH818" i="1" s="1"/>
  <c r="AN817" i="1"/>
  <c r="AG817" i="1"/>
  <c r="AH817" i="1" s="1"/>
  <c r="AN816" i="1"/>
  <c r="AG816" i="1"/>
  <c r="AH816" i="1" s="1"/>
  <c r="AN815" i="1"/>
  <c r="AG815" i="1"/>
  <c r="AH815" i="1" s="1"/>
  <c r="AN814" i="1"/>
  <c r="AH814" i="1"/>
  <c r="AG814" i="1"/>
  <c r="AN813" i="1"/>
  <c r="AH813" i="1"/>
  <c r="AG813" i="1"/>
  <c r="AN812" i="1"/>
  <c r="AH812" i="1"/>
  <c r="AG812" i="1"/>
  <c r="AN811" i="1"/>
  <c r="AG811" i="1"/>
  <c r="AH811" i="1" s="1"/>
  <c r="AN810" i="1"/>
  <c r="AG810" i="1"/>
  <c r="AH810" i="1" s="1"/>
  <c r="AN809" i="1"/>
  <c r="AG809" i="1"/>
  <c r="AH809" i="1" s="1"/>
  <c r="AN808" i="1"/>
  <c r="AG808" i="1"/>
  <c r="AH808" i="1" s="1"/>
  <c r="AN807" i="1"/>
  <c r="AH807" i="1"/>
  <c r="AG807" i="1"/>
  <c r="AN806" i="1"/>
  <c r="AG806" i="1"/>
  <c r="AH806" i="1" s="1"/>
  <c r="AN805" i="1"/>
  <c r="AG805" i="1"/>
  <c r="AH805" i="1" s="1"/>
  <c r="AN804" i="1"/>
  <c r="AG804" i="1"/>
  <c r="AH804" i="1" s="1"/>
  <c r="AN803" i="1"/>
  <c r="AH803" i="1"/>
  <c r="AG803" i="1"/>
  <c r="AN802" i="1"/>
  <c r="AG802" i="1"/>
  <c r="AH802" i="1" s="1"/>
  <c r="AN801" i="1"/>
  <c r="AG801" i="1"/>
  <c r="AH801" i="1" s="1"/>
  <c r="AN800" i="1"/>
  <c r="AG800" i="1"/>
  <c r="AH800" i="1" s="1"/>
  <c r="AN799" i="1"/>
  <c r="AH799" i="1"/>
  <c r="AG799" i="1"/>
  <c r="AN798" i="1"/>
  <c r="AG798" i="1"/>
  <c r="AH798" i="1" s="1"/>
  <c r="AN797" i="1"/>
  <c r="AG797" i="1"/>
  <c r="AH797" i="1" s="1"/>
  <c r="AN796" i="1"/>
  <c r="AG796" i="1"/>
  <c r="AH796" i="1" s="1"/>
  <c r="AN795" i="1"/>
  <c r="AH795" i="1"/>
  <c r="AG795" i="1"/>
  <c r="AN794" i="1"/>
  <c r="AG794" i="1"/>
  <c r="AH794" i="1" s="1"/>
  <c r="AN793" i="1"/>
  <c r="AG793" i="1"/>
  <c r="AH793" i="1" s="1"/>
  <c r="AN792" i="1"/>
  <c r="AG792" i="1"/>
  <c r="AH792" i="1" s="1"/>
  <c r="AN791" i="1"/>
  <c r="AH791" i="1"/>
  <c r="AG791" i="1"/>
  <c r="AN790" i="1"/>
  <c r="AG790" i="1"/>
  <c r="AH790" i="1" s="1"/>
  <c r="AN789" i="1"/>
  <c r="AG789" i="1"/>
  <c r="AH789" i="1" s="1"/>
  <c r="AN788" i="1"/>
  <c r="AH788" i="1"/>
  <c r="AG788" i="1"/>
  <c r="AN787" i="1"/>
  <c r="AH787" i="1"/>
  <c r="AG787" i="1"/>
  <c r="AN786" i="1"/>
  <c r="AG786" i="1"/>
  <c r="AH786" i="1" s="1"/>
  <c r="AN785" i="1"/>
  <c r="AG785" i="1"/>
  <c r="AH785" i="1" s="1"/>
  <c r="AN784" i="1"/>
  <c r="AG784" i="1"/>
  <c r="AH784" i="1" s="1"/>
  <c r="AN783" i="1"/>
  <c r="AG783" i="1"/>
  <c r="AH783" i="1" s="1"/>
  <c r="AN782" i="1"/>
  <c r="AG782" i="1"/>
  <c r="AH782" i="1" s="1"/>
  <c r="AN781" i="1"/>
  <c r="AG781" i="1"/>
  <c r="AH781" i="1" s="1"/>
  <c r="AN780" i="1"/>
  <c r="AH780" i="1"/>
  <c r="AG780" i="1"/>
  <c r="AN779" i="1"/>
  <c r="AG779" i="1"/>
  <c r="AH779" i="1" s="1"/>
  <c r="AN778" i="1"/>
  <c r="AG778" i="1"/>
  <c r="AH778" i="1" s="1"/>
  <c r="AN777" i="1"/>
  <c r="AG777" i="1"/>
  <c r="AH777" i="1" s="1"/>
  <c r="AN776" i="1"/>
  <c r="AH776" i="1"/>
  <c r="AG776" i="1"/>
  <c r="AN775" i="1"/>
  <c r="AH775" i="1"/>
  <c r="AG775" i="1"/>
  <c r="AN774" i="1"/>
  <c r="AG774" i="1"/>
  <c r="AH774" i="1" s="1"/>
  <c r="AN773" i="1"/>
  <c r="AG773" i="1"/>
  <c r="AH773" i="1" s="1"/>
  <c r="AN772" i="1"/>
  <c r="AG772" i="1"/>
  <c r="AH772" i="1" s="1"/>
  <c r="AN771" i="1"/>
  <c r="AG771" i="1"/>
  <c r="AH771" i="1" s="1"/>
  <c r="AN770" i="1"/>
  <c r="AG770" i="1"/>
  <c r="AH770" i="1" s="1"/>
  <c r="AN769" i="1"/>
  <c r="AG769" i="1"/>
  <c r="AH769" i="1" s="1"/>
  <c r="AN768" i="1"/>
  <c r="AH768" i="1"/>
  <c r="AG768" i="1"/>
  <c r="AN767" i="1"/>
  <c r="AH767" i="1"/>
  <c r="AG767" i="1"/>
  <c r="AN766" i="1"/>
  <c r="AG766" i="1"/>
  <c r="AH766" i="1" s="1"/>
  <c r="AN765" i="1"/>
  <c r="AG765" i="1"/>
  <c r="AH765" i="1" s="1"/>
  <c r="AN764" i="1"/>
  <c r="AH764" i="1"/>
  <c r="AG764" i="1"/>
  <c r="AN763" i="1"/>
  <c r="AH763" i="1"/>
  <c r="AG763" i="1"/>
  <c r="AN762" i="1"/>
  <c r="AG762" i="1"/>
  <c r="AH762" i="1" s="1"/>
  <c r="AN761" i="1"/>
  <c r="AG761" i="1"/>
  <c r="AH761" i="1" s="1"/>
  <c r="AN760" i="1"/>
  <c r="AG760" i="1"/>
  <c r="AH760" i="1" s="1"/>
  <c r="AN759" i="1"/>
  <c r="AG759" i="1"/>
  <c r="AH759" i="1" s="1"/>
  <c r="AN758" i="1"/>
  <c r="AG758" i="1"/>
  <c r="AH758" i="1" s="1"/>
  <c r="AN757" i="1"/>
  <c r="AG757" i="1"/>
  <c r="AH757" i="1" s="1"/>
  <c r="AN756" i="1"/>
  <c r="AH756" i="1"/>
  <c r="AG756" i="1"/>
  <c r="AN755" i="1"/>
  <c r="AG755" i="1"/>
  <c r="AH755" i="1" s="1"/>
  <c r="AN754" i="1"/>
  <c r="AG754" i="1"/>
  <c r="AH754" i="1" s="1"/>
  <c r="AN753" i="1"/>
  <c r="AG753" i="1"/>
  <c r="AH753" i="1" s="1"/>
  <c r="AN752" i="1"/>
  <c r="AH752" i="1"/>
  <c r="AG752" i="1"/>
  <c r="AN751" i="1"/>
  <c r="AH751" i="1"/>
  <c r="AG751" i="1"/>
  <c r="AN750" i="1"/>
  <c r="AG750" i="1"/>
  <c r="AH750" i="1" s="1"/>
  <c r="AN749" i="1"/>
  <c r="AG749" i="1"/>
  <c r="AH749" i="1" s="1"/>
  <c r="AN748" i="1"/>
  <c r="AH748" i="1"/>
  <c r="AG748" i="1"/>
  <c r="AN747" i="1"/>
  <c r="AG747" i="1"/>
  <c r="AH747" i="1" s="1"/>
  <c r="AN746" i="1"/>
  <c r="AG746" i="1"/>
  <c r="AH746" i="1" s="1"/>
  <c r="AN745" i="1"/>
  <c r="AG745" i="1"/>
  <c r="AH745" i="1" s="1"/>
  <c r="AN744" i="1"/>
  <c r="AH744" i="1"/>
  <c r="AG744" i="1"/>
  <c r="AN743" i="1"/>
  <c r="AG743" i="1"/>
  <c r="AH743" i="1" s="1"/>
  <c r="AN742" i="1"/>
  <c r="AG742" i="1"/>
  <c r="AH742" i="1" s="1"/>
  <c r="AN741" i="1"/>
  <c r="AG741" i="1"/>
  <c r="AH741" i="1" s="1"/>
  <c r="AN740" i="1"/>
  <c r="AH740" i="1"/>
  <c r="AG740" i="1"/>
  <c r="AN739" i="1"/>
  <c r="AG739" i="1"/>
  <c r="AH739" i="1" s="1"/>
  <c r="AN738" i="1"/>
  <c r="AG738" i="1"/>
  <c r="AH738" i="1" s="1"/>
  <c r="AN737" i="1"/>
  <c r="AG737" i="1"/>
  <c r="AH737" i="1" s="1"/>
  <c r="AN736" i="1"/>
  <c r="AG736" i="1"/>
  <c r="AH736" i="1" s="1"/>
  <c r="AN735" i="1"/>
  <c r="AG735" i="1"/>
  <c r="AH735" i="1" s="1"/>
  <c r="AN734" i="1"/>
  <c r="AG734" i="1"/>
  <c r="AH734" i="1" s="1"/>
  <c r="AN733" i="1"/>
  <c r="AG733" i="1"/>
  <c r="AH733" i="1" s="1"/>
  <c r="AN732" i="1"/>
  <c r="AH732" i="1"/>
  <c r="AG732" i="1"/>
  <c r="AN731" i="1"/>
  <c r="AG731" i="1"/>
  <c r="AH731" i="1" s="1"/>
  <c r="AN730" i="1"/>
  <c r="AG730" i="1"/>
  <c r="AH730" i="1" s="1"/>
  <c r="AN729" i="1"/>
  <c r="AG729" i="1"/>
  <c r="AH729" i="1" s="1"/>
  <c r="AN728" i="1"/>
  <c r="AH728" i="1"/>
  <c r="AG728" i="1"/>
  <c r="AN727" i="1"/>
  <c r="AH727" i="1"/>
  <c r="AG727" i="1"/>
  <c r="AN726" i="1"/>
  <c r="AG726" i="1"/>
  <c r="AH726" i="1" s="1"/>
  <c r="AN725" i="1"/>
  <c r="AG725" i="1"/>
  <c r="AH725" i="1" s="1"/>
  <c r="AN724" i="1"/>
  <c r="AH724" i="1"/>
  <c r="AG724" i="1"/>
  <c r="AN723" i="1"/>
  <c r="AG723" i="1"/>
  <c r="AH723" i="1" s="1"/>
  <c r="AN722" i="1"/>
  <c r="AG722" i="1"/>
  <c r="AH722" i="1" s="1"/>
  <c r="AN721" i="1"/>
  <c r="AG721" i="1"/>
  <c r="AH721" i="1" s="1"/>
  <c r="AN720" i="1"/>
  <c r="AH720" i="1"/>
  <c r="AG720" i="1"/>
  <c r="AN719" i="1"/>
  <c r="AG719" i="1"/>
  <c r="AH719" i="1" s="1"/>
  <c r="AN718" i="1"/>
  <c r="AG718" i="1"/>
  <c r="AH718" i="1" s="1"/>
  <c r="AN717" i="1"/>
  <c r="AG717" i="1"/>
  <c r="AH717" i="1" s="1"/>
  <c r="AN716" i="1"/>
  <c r="AH716" i="1"/>
  <c r="AG716" i="1"/>
  <c r="AN715" i="1"/>
  <c r="AG715" i="1"/>
  <c r="AH715" i="1" s="1"/>
  <c r="AN714" i="1"/>
  <c r="AG714" i="1"/>
  <c r="AH714" i="1" s="1"/>
  <c r="AN713" i="1"/>
  <c r="AG713" i="1"/>
  <c r="AH713" i="1" s="1"/>
  <c r="AN712" i="1"/>
  <c r="AG712" i="1"/>
  <c r="AH712" i="1" s="1"/>
  <c r="AN711" i="1"/>
  <c r="AG711" i="1"/>
  <c r="AH711" i="1" s="1"/>
  <c r="AN710" i="1"/>
  <c r="AG710" i="1"/>
  <c r="AH710" i="1" s="1"/>
  <c r="AN709" i="1"/>
  <c r="AG709" i="1"/>
  <c r="AH709" i="1" s="1"/>
  <c r="AN708" i="1"/>
  <c r="AH708" i="1"/>
  <c r="AG708" i="1"/>
  <c r="AN707" i="1"/>
  <c r="AG707" i="1"/>
  <c r="AH707" i="1" s="1"/>
  <c r="AN706" i="1"/>
  <c r="AG706" i="1"/>
  <c r="AH706" i="1" s="1"/>
  <c r="AN705" i="1"/>
  <c r="AG705" i="1"/>
  <c r="AH705" i="1" s="1"/>
  <c r="AN704" i="1"/>
  <c r="AH704" i="1"/>
  <c r="AG704" i="1"/>
  <c r="AN703" i="1"/>
  <c r="AH703" i="1"/>
  <c r="AG703" i="1"/>
  <c r="AN702" i="1"/>
  <c r="AG702" i="1"/>
  <c r="AH702" i="1" s="1"/>
  <c r="AN701" i="1"/>
  <c r="AG701" i="1"/>
  <c r="AH701" i="1" s="1"/>
  <c r="AN700" i="1"/>
  <c r="AH700" i="1"/>
  <c r="AG700" i="1"/>
  <c r="AN699" i="1"/>
  <c r="AG699" i="1"/>
  <c r="AH699" i="1" s="1"/>
  <c r="AN698" i="1"/>
  <c r="AG698" i="1"/>
  <c r="AH698" i="1" s="1"/>
  <c r="AN697" i="1"/>
  <c r="AG697" i="1"/>
  <c r="AH697" i="1" s="1"/>
  <c r="AN696" i="1"/>
  <c r="AH696" i="1"/>
  <c r="AG696" i="1"/>
  <c r="AN695" i="1"/>
  <c r="AG695" i="1"/>
  <c r="AH695" i="1" s="1"/>
  <c r="AN694" i="1"/>
  <c r="AG694" i="1"/>
  <c r="AH694" i="1" s="1"/>
  <c r="AN693" i="1"/>
  <c r="AG693" i="1"/>
  <c r="AH693" i="1" s="1"/>
  <c r="AN692" i="1"/>
  <c r="AH692" i="1"/>
  <c r="AG692" i="1"/>
  <c r="AN691" i="1"/>
  <c r="AG691" i="1"/>
  <c r="AH691" i="1" s="1"/>
  <c r="AN690" i="1"/>
  <c r="AG690" i="1"/>
  <c r="AH690" i="1" s="1"/>
  <c r="AN689" i="1"/>
  <c r="AG689" i="1"/>
  <c r="AH689" i="1" s="1"/>
  <c r="AN688" i="1"/>
  <c r="AG688" i="1"/>
  <c r="AH688" i="1" s="1"/>
  <c r="AN687" i="1"/>
  <c r="AG687" i="1"/>
  <c r="AH687" i="1" s="1"/>
  <c r="AN686" i="1"/>
  <c r="AG686" i="1"/>
  <c r="AH686" i="1" s="1"/>
  <c r="AN685" i="1"/>
  <c r="AG685" i="1"/>
  <c r="AH685" i="1" s="1"/>
  <c r="AN684" i="1"/>
  <c r="AH684" i="1"/>
  <c r="AG684" i="1"/>
  <c r="AN683" i="1"/>
  <c r="AG683" i="1"/>
  <c r="AH683" i="1" s="1"/>
  <c r="AN682" i="1"/>
  <c r="AG682" i="1"/>
  <c r="AH682" i="1" s="1"/>
  <c r="AN681" i="1"/>
  <c r="AG681" i="1"/>
  <c r="AH681" i="1" s="1"/>
  <c r="AN680" i="1"/>
  <c r="AH680" i="1"/>
  <c r="AG680" i="1"/>
  <c r="AN679" i="1"/>
  <c r="AG679" i="1"/>
  <c r="AH679" i="1" s="1"/>
  <c r="AN678" i="1"/>
  <c r="AG678" i="1"/>
  <c r="AH678" i="1" s="1"/>
  <c r="AN677" i="1"/>
  <c r="AG677" i="1"/>
  <c r="AH677" i="1" s="1"/>
  <c r="AN676" i="1"/>
  <c r="AH676" i="1"/>
  <c r="AG676" i="1"/>
  <c r="AN675" i="1"/>
  <c r="AG675" i="1"/>
  <c r="AH675" i="1" s="1"/>
  <c r="AN674" i="1"/>
  <c r="AG674" i="1"/>
  <c r="AH674" i="1" s="1"/>
  <c r="AN673" i="1"/>
  <c r="AG673" i="1"/>
  <c r="AH673" i="1" s="1"/>
  <c r="AN672" i="1"/>
  <c r="AH672" i="1"/>
  <c r="AG672" i="1"/>
  <c r="AN671" i="1"/>
  <c r="AG671" i="1"/>
  <c r="AH671" i="1" s="1"/>
  <c r="AN670" i="1"/>
  <c r="AG670" i="1"/>
  <c r="AH670" i="1" s="1"/>
  <c r="AN669" i="1"/>
  <c r="AG669" i="1"/>
  <c r="AH669" i="1" s="1"/>
  <c r="AN668" i="1"/>
  <c r="AH668" i="1"/>
  <c r="AG668" i="1"/>
  <c r="AN667" i="1"/>
  <c r="AG667" i="1"/>
  <c r="AH667" i="1" s="1"/>
  <c r="AN666" i="1"/>
  <c r="AG666" i="1"/>
  <c r="AH666" i="1" s="1"/>
  <c r="AN665" i="1"/>
  <c r="AG665" i="1"/>
  <c r="AH665" i="1" s="1"/>
  <c r="AN664" i="1"/>
  <c r="AG664" i="1"/>
  <c r="AH664" i="1" s="1"/>
  <c r="AN663" i="1"/>
  <c r="AG663" i="1"/>
  <c r="AH663" i="1" s="1"/>
  <c r="AN662" i="1"/>
  <c r="AG662" i="1"/>
  <c r="AH662" i="1" s="1"/>
  <c r="AN661" i="1"/>
  <c r="AG661" i="1"/>
  <c r="AH661" i="1" s="1"/>
  <c r="AN660" i="1"/>
  <c r="AH660" i="1"/>
  <c r="AG660" i="1"/>
  <c r="AN659" i="1"/>
  <c r="AG659" i="1"/>
  <c r="AH659" i="1" s="1"/>
  <c r="AN658" i="1"/>
  <c r="AG658" i="1"/>
  <c r="AH658" i="1" s="1"/>
  <c r="AN657" i="1"/>
  <c r="AG657" i="1"/>
  <c r="AH657" i="1" s="1"/>
  <c r="AN656" i="1"/>
  <c r="AH656" i="1"/>
  <c r="AG656" i="1"/>
  <c r="AN655" i="1"/>
  <c r="AG655" i="1"/>
  <c r="AH655" i="1" s="1"/>
  <c r="AN654" i="1"/>
  <c r="AG654" i="1"/>
  <c r="AH654" i="1" s="1"/>
  <c r="AN653" i="1"/>
  <c r="AG653" i="1"/>
  <c r="AH653" i="1" s="1"/>
  <c r="AN652" i="1"/>
  <c r="AH652" i="1"/>
  <c r="AG652" i="1"/>
  <c r="AN651" i="1"/>
  <c r="AG651" i="1"/>
  <c r="AH651" i="1" s="1"/>
  <c r="AN650" i="1"/>
  <c r="AG650" i="1"/>
  <c r="AH650" i="1" s="1"/>
  <c r="AN649" i="1"/>
  <c r="AG649" i="1"/>
  <c r="AH649" i="1" s="1"/>
  <c r="AN648" i="1"/>
  <c r="AH648" i="1"/>
  <c r="AG648" i="1"/>
  <c r="AN647" i="1"/>
  <c r="AG647" i="1"/>
  <c r="AH647" i="1" s="1"/>
  <c r="AN646" i="1"/>
  <c r="AG646" i="1"/>
  <c r="AH646" i="1" s="1"/>
  <c r="AN645" i="1"/>
  <c r="AG645" i="1"/>
  <c r="AH645" i="1" s="1"/>
  <c r="AN644" i="1"/>
  <c r="AH644" i="1"/>
  <c r="AG644" i="1"/>
  <c r="AN643" i="1"/>
  <c r="AG643" i="1"/>
  <c r="AH643" i="1" s="1"/>
  <c r="AN642" i="1"/>
  <c r="AG642" i="1"/>
  <c r="AH642" i="1" s="1"/>
  <c r="AN641" i="1"/>
  <c r="AG641" i="1"/>
  <c r="AH641" i="1" s="1"/>
  <c r="AN640" i="1"/>
  <c r="AG640" i="1"/>
  <c r="AH640" i="1" s="1"/>
  <c r="AN639" i="1"/>
  <c r="AG639" i="1"/>
  <c r="AH639" i="1" s="1"/>
  <c r="AN638" i="1"/>
  <c r="AG638" i="1"/>
  <c r="AH638" i="1" s="1"/>
  <c r="AN637" i="1"/>
  <c r="AG637" i="1"/>
  <c r="AH637" i="1" s="1"/>
  <c r="AN636" i="1"/>
  <c r="AH636" i="1"/>
  <c r="AG636" i="1"/>
  <c r="AN635" i="1"/>
  <c r="AG635" i="1"/>
  <c r="AH635" i="1" s="1"/>
  <c r="AN634" i="1"/>
  <c r="AG634" i="1"/>
  <c r="AH634" i="1" s="1"/>
  <c r="AN633" i="1"/>
  <c r="AG633" i="1"/>
  <c r="AH633" i="1" s="1"/>
  <c r="AN632" i="1"/>
  <c r="AH632" i="1"/>
  <c r="AG632" i="1"/>
  <c r="AN631" i="1"/>
  <c r="AG631" i="1"/>
  <c r="AH631" i="1" s="1"/>
  <c r="AN630" i="1"/>
  <c r="AG630" i="1"/>
  <c r="AH630" i="1" s="1"/>
  <c r="AN629" i="1"/>
  <c r="AG629" i="1"/>
  <c r="AH629" i="1" s="1"/>
  <c r="AN628" i="1"/>
  <c r="AH628" i="1"/>
  <c r="AG628" i="1"/>
  <c r="AN627" i="1"/>
  <c r="AG627" i="1"/>
  <c r="AH627" i="1" s="1"/>
  <c r="AN626" i="1"/>
  <c r="AG626" i="1"/>
  <c r="AH626" i="1" s="1"/>
  <c r="AN625" i="1"/>
  <c r="AG625" i="1"/>
  <c r="AH625" i="1" s="1"/>
  <c r="AN624" i="1"/>
  <c r="AH624" i="1"/>
  <c r="AG624" i="1"/>
  <c r="AN623" i="1"/>
  <c r="AG623" i="1"/>
  <c r="AH623" i="1" s="1"/>
  <c r="AN622" i="1"/>
  <c r="AG622" i="1"/>
  <c r="AH622" i="1" s="1"/>
  <c r="AN621" i="1"/>
  <c r="AG621" i="1"/>
  <c r="AH621" i="1" s="1"/>
  <c r="AN620" i="1"/>
  <c r="AH620" i="1"/>
  <c r="AG620" i="1"/>
  <c r="AN619" i="1"/>
  <c r="AG619" i="1"/>
  <c r="AH619" i="1" s="1"/>
  <c r="AN618" i="1"/>
  <c r="AG618" i="1"/>
  <c r="AH618" i="1" s="1"/>
  <c r="AN617" i="1"/>
  <c r="AG617" i="1"/>
  <c r="AH617" i="1" s="1"/>
  <c r="AN616" i="1"/>
  <c r="AG616" i="1"/>
  <c r="AH616" i="1" s="1"/>
  <c r="AN615" i="1"/>
  <c r="AG615" i="1"/>
  <c r="AH615" i="1" s="1"/>
  <c r="AN614" i="1"/>
  <c r="AG614" i="1"/>
  <c r="AH614" i="1" s="1"/>
  <c r="AN613" i="1"/>
  <c r="AG613" i="1"/>
  <c r="AH613" i="1" s="1"/>
  <c r="AN612" i="1"/>
  <c r="AH612" i="1"/>
  <c r="AG612" i="1"/>
  <c r="AN611" i="1"/>
  <c r="AG611" i="1"/>
  <c r="AH611" i="1" s="1"/>
  <c r="AN610" i="1"/>
  <c r="AG610" i="1"/>
  <c r="AH610" i="1" s="1"/>
  <c r="AN609" i="1"/>
  <c r="AG609" i="1"/>
  <c r="AH609" i="1" s="1"/>
  <c r="AN608" i="1"/>
  <c r="AH608" i="1"/>
  <c r="AG608" i="1"/>
  <c r="AN607" i="1"/>
  <c r="AG607" i="1"/>
  <c r="AH607" i="1" s="1"/>
  <c r="AN606" i="1"/>
  <c r="AG606" i="1"/>
  <c r="AH606" i="1" s="1"/>
  <c r="AN605" i="1"/>
  <c r="AG605" i="1"/>
  <c r="AH605" i="1" s="1"/>
  <c r="AN604" i="1"/>
  <c r="AH604" i="1"/>
  <c r="AG604" i="1"/>
  <c r="AN603" i="1"/>
  <c r="AG603" i="1"/>
  <c r="AH603" i="1" s="1"/>
  <c r="AN602" i="1"/>
  <c r="AG602" i="1"/>
  <c r="AH602" i="1" s="1"/>
  <c r="AN601" i="1"/>
  <c r="AG601" i="1"/>
  <c r="AH601" i="1" s="1"/>
  <c r="AN600" i="1"/>
  <c r="AH600" i="1"/>
  <c r="AG600" i="1"/>
  <c r="AN599" i="1"/>
  <c r="AG599" i="1"/>
  <c r="AH599" i="1" s="1"/>
  <c r="AN598" i="1"/>
  <c r="AG598" i="1"/>
  <c r="AH598" i="1" s="1"/>
  <c r="AN597" i="1"/>
  <c r="AG597" i="1"/>
  <c r="AH597" i="1" s="1"/>
  <c r="AN596" i="1"/>
  <c r="AH596" i="1"/>
  <c r="AG596" i="1"/>
  <c r="AN595" i="1"/>
  <c r="AG595" i="1"/>
  <c r="AH595" i="1" s="1"/>
  <c r="AN594" i="1"/>
  <c r="AG594" i="1"/>
  <c r="AH594" i="1" s="1"/>
  <c r="AN593" i="1"/>
  <c r="AG593" i="1"/>
  <c r="AH593" i="1" s="1"/>
  <c r="AN592" i="1"/>
  <c r="AG592" i="1"/>
  <c r="AH592" i="1" s="1"/>
  <c r="AN591" i="1"/>
  <c r="AG591" i="1"/>
  <c r="AH591" i="1" s="1"/>
  <c r="AN590" i="1"/>
  <c r="AG590" i="1"/>
  <c r="AH590" i="1" s="1"/>
  <c r="AN589" i="1"/>
  <c r="AG589" i="1"/>
  <c r="AH589" i="1" s="1"/>
  <c r="AN588" i="1"/>
  <c r="AH588" i="1"/>
  <c r="AG588" i="1"/>
  <c r="AN587" i="1"/>
  <c r="AG587" i="1"/>
  <c r="AH587" i="1" s="1"/>
  <c r="AN586" i="1"/>
  <c r="AG586" i="1"/>
  <c r="AH586" i="1" s="1"/>
  <c r="AN585" i="1"/>
  <c r="AG585" i="1"/>
  <c r="AH585" i="1" s="1"/>
  <c r="AN584" i="1"/>
  <c r="AH584" i="1"/>
  <c r="AG584" i="1"/>
  <c r="AN583" i="1"/>
  <c r="AG583" i="1"/>
  <c r="AH583" i="1" s="1"/>
  <c r="AN582" i="1"/>
  <c r="AG582" i="1"/>
  <c r="AH582" i="1" s="1"/>
  <c r="AN581" i="1"/>
  <c r="AG581" i="1"/>
  <c r="AH581" i="1" s="1"/>
  <c r="AN580" i="1"/>
  <c r="AH580" i="1"/>
  <c r="AG580" i="1"/>
  <c r="AN579" i="1"/>
  <c r="AG579" i="1"/>
  <c r="AH579" i="1" s="1"/>
  <c r="AN578" i="1"/>
  <c r="AG578" i="1"/>
  <c r="AH578" i="1" s="1"/>
  <c r="AN577" i="1"/>
  <c r="AG577" i="1"/>
  <c r="AH577" i="1" s="1"/>
  <c r="AN576" i="1"/>
  <c r="AH576" i="1"/>
  <c r="AG576" i="1"/>
  <c r="AN575" i="1"/>
  <c r="AG575" i="1"/>
  <c r="AH575" i="1" s="1"/>
  <c r="AN574" i="1"/>
  <c r="AG574" i="1"/>
  <c r="AH574" i="1" s="1"/>
  <c r="AN573" i="1"/>
  <c r="AG573" i="1"/>
  <c r="AH573" i="1" s="1"/>
  <c r="AN572" i="1"/>
  <c r="AH572" i="1"/>
  <c r="AG572" i="1"/>
  <c r="AN571" i="1"/>
  <c r="AG571" i="1"/>
  <c r="AH571" i="1" s="1"/>
  <c r="AN570" i="1"/>
  <c r="AH570" i="1"/>
  <c r="AG570" i="1"/>
  <c r="AN569" i="1"/>
  <c r="AG569" i="1"/>
  <c r="AH569" i="1" s="1"/>
  <c r="AN568" i="1"/>
  <c r="AG568" i="1"/>
  <c r="AH568" i="1" s="1"/>
  <c r="AN567" i="1"/>
  <c r="AH567" i="1"/>
  <c r="AG567" i="1"/>
  <c r="AN566" i="1"/>
  <c r="AG566" i="1"/>
  <c r="AH566" i="1" s="1"/>
  <c r="AN565" i="1"/>
  <c r="AG565" i="1"/>
  <c r="AH565" i="1" s="1"/>
  <c r="AN564" i="1"/>
  <c r="AG564" i="1"/>
  <c r="AH564" i="1" s="1"/>
  <c r="AN563" i="1"/>
  <c r="AH563" i="1"/>
  <c r="AG563" i="1"/>
  <c r="AN562" i="1"/>
  <c r="AG562" i="1"/>
  <c r="AH562" i="1" s="1"/>
  <c r="AN561" i="1"/>
  <c r="AG561" i="1"/>
  <c r="AH561" i="1" s="1"/>
  <c r="AN560" i="1"/>
  <c r="AH560" i="1"/>
  <c r="AG560" i="1"/>
  <c r="AN559" i="1"/>
  <c r="AG559" i="1"/>
  <c r="AH559" i="1" s="1"/>
  <c r="AN558" i="1"/>
  <c r="AH558" i="1"/>
  <c r="AG558" i="1"/>
  <c r="AN557" i="1"/>
  <c r="AG557" i="1"/>
  <c r="AH557" i="1" s="1"/>
  <c r="AN556" i="1"/>
  <c r="AG556" i="1"/>
  <c r="AH556" i="1" s="1"/>
  <c r="AN555" i="1"/>
  <c r="AG555" i="1"/>
  <c r="AH555" i="1" s="1"/>
  <c r="AN554" i="1"/>
  <c r="AG554" i="1"/>
  <c r="AH554" i="1" s="1"/>
  <c r="AN553" i="1"/>
  <c r="AG553" i="1"/>
  <c r="AH553" i="1" s="1"/>
  <c r="AN552" i="1"/>
  <c r="AH552" i="1"/>
  <c r="AG552" i="1"/>
  <c r="AN551" i="1"/>
  <c r="AG551" i="1"/>
  <c r="AH551" i="1" s="1"/>
  <c r="AN550" i="1"/>
  <c r="AH550" i="1"/>
  <c r="AG550" i="1"/>
  <c r="AN549" i="1"/>
  <c r="AG549" i="1"/>
  <c r="AH549" i="1" s="1"/>
  <c r="AN548" i="1"/>
  <c r="AG548" i="1"/>
  <c r="AH548" i="1" s="1"/>
  <c r="AN547" i="1"/>
  <c r="AH547" i="1"/>
  <c r="AG547" i="1"/>
  <c r="AN546" i="1"/>
  <c r="AG546" i="1"/>
  <c r="AH546" i="1" s="1"/>
  <c r="AN545" i="1"/>
  <c r="AG545" i="1"/>
  <c r="AH545" i="1" s="1"/>
  <c r="AN544" i="1"/>
  <c r="AH544" i="1"/>
  <c r="AG544" i="1"/>
  <c r="AN543" i="1"/>
  <c r="AG543" i="1"/>
  <c r="AH543" i="1" s="1"/>
  <c r="AN542" i="1"/>
  <c r="AG542" i="1"/>
  <c r="AH542" i="1" s="1"/>
  <c r="AN541" i="1"/>
  <c r="AG541" i="1"/>
  <c r="AH541" i="1" s="1"/>
  <c r="AN540" i="1"/>
  <c r="AG540" i="1"/>
  <c r="AH540" i="1" s="1"/>
  <c r="AN539" i="1"/>
  <c r="AH539" i="1"/>
  <c r="AG539" i="1"/>
  <c r="AN538" i="1"/>
  <c r="AG538" i="1"/>
  <c r="AH538" i="1" s="1"/>
  <c r="AN537" i="1"/>
  <c r="AG537" i="1"/>
  <c r="AH537" i="1" s="1"/>
  <c r="AN536" i="1"/>
  <c r="AH536" i="1"/>
  <c r="AG536" i="1"/>
  <c r="AN535" i="1"/>
  <c r="AG535" i="1"/>
  <c r="AH535" i="1" s="1"/>
  <c r="AN534" i="1"/>
  <c r="AH534" i="1"/>
  <c r="AG534" i="1"/>
  <c r="AN533" i="1"/>
  <c r="AG533" i="1"/>
  <c r="AH533" i="1" s="1"/>
  <c r="AN532" i="1"/>
  <c r="AG532" i="1"/>
  <c r="AH532" i="1" s="1"/>
  <c r="AN531" i="1"/>
  <c r="AH531" i="1"/>
  <c r="AG531" i="1"/>
  <c r="AN530" i="1"/>
  <c r="AG530" i="1"/>
  <c r="AH530" i="1" s="1"/>
  <c r="AN529" i="1"/>
  <c r="AG529" i="1"/>
  <c r="AH529" i="1" s="1"/>
  <c r="AN528" i="1"/>
  <c r="AH528" i="1"/>
  <c r="AG528" i="1"/>
  <c r="AN527" i="1"/>
  <c r="AG527" i="1"/>
  <c r="AH527" i="1" s="1"/>
  <c r="AN526" i="1"/>
  <c r="AH526" i="1"/>
  <c r="AG526" i="1"/>
  <c r="AN525" i="1"/>
  <c r="AG525" i="1"/>
  <c r="AH525" i="1" s="1"/>
  <c r="AN524" i="1"/>
  <c r="AG524" i="1"/>
  <c r="AH524" i="1" s="1"/>
  <c r="AN523" i="1"/>
  <c r="AH523" i="1"/>
  <c r="AG523" i="1"/>
  <c r="AN522" i="1"/>
  <c r="AG522" i="1"/>
  <c r="AH522" i="1" s="1"/>
  <c r="AN521" i="1"/>
  <c r="AG521" i="1"/>
  <c r="AH521" i="1" s="1"/>
  <c r="AN520" i="1"/>
  <c r="AG520" i="1"/>
  <c r="AH520" i="1" s="1"/>
  <c r="AN519" i="1"/>
  <c r="AG519" i="1"/>
  <c r="AH519" i="1" s="1"/>
  <c r="AN518" i="1"/>
  <c r="AH518" i="1"/>
  <c r="AG518" i="1"/>
  <c r="AN517" i="1"/>
  <c r="AG517" i="1"/>
  <c r="AH517" i="1" s="1"/>
  <c r="AN516" i="1"/>
  <c r="AG516" i="1"/>
  <c r="AH516" i="1" s="1"/>
  <c r="AN515" i="1"/>
  <c r="AH515" i="1"/>
  <c r="AG515" i="1"/>
  <c r="AN514" i="1"/>
  <c r="AG514" i="1"/>
  <c r="AH514" i="1" s="1"/>
  <c r="AN513" i="1"/>
  <c r="AG513" i="1"/>
  <c r="AH513" i="1" s="1"/>
  <c r="AN512" i="1"/>
  <c r="AH512" i="1"/>
  <c r="AG512" i="1"/>
  <c r="AN511" i="1"/>
  <c r="AG511" i="1"/>
  <c r="AH511" i="1" s="1"/>
  <c r="AN510" i="1"/>
  <c r="AH510" i="1"/>
  <c r="AG510" i="1"/>
  <c r="AN509" i="1"/>
  <c r="AG509" i="1"/>
  <c r="AH509" i="1" s="1"/>
  <c r="AN508" i="1"/>
  <c r="AG508" i="1"/>
  <c r="AH508" i="1" s="1"/>
  <c r="AN507" i="1"/>
  <c r="AG507" i="1"/>
  <c r="AH507" i="1" s="1"/>
  <c r="AN506" i="1"/>
  <c r="AG506" i="1"/>
  <c r="AH506" i="1" s="1"/>
  <c r="AN505" i="1"/>
  <c r="AG505" i="1"/>
  <c r="AH505" i="1" s="1"/>
  <c r="AN504" i="1"/>
  <c r="AH504" i="1"/>
  <c r="AG504" i="1"/>
  <c r="AN503" i="1"/>
  <c r="AG503" i="1"/>
  <c r="AH503" i="1" s="1"/>
  <c r="AN502" i="1"/>
  <c r="AH502" i="1"/>
  <c r="AG502" i="1"/>
  <c r="AN501" i="1"/>
  <c r="AG501" i="1"/>
  <c r="AH501" i="1" s="1"/>
  <c r="AN500" i="1"/>
  <c r="AG500" i="1"/>
  <c r="AH500" i="1" s="1"/>
  <c r="AN499" i="1"/>
  <c r="AH499" i="1"/>
  <c r="AG499" i="1"/>
  <c r="AN498" i="1"/>
  <c r="AG498" i="1"/>
  <c r="AH498" i="1" s="1"/>
  <c r="AN497" i="1"/>
  <c r="AG497" i="1"/>
  <c r="AH497" i="1" s="1"/>
  <c r="AN496" i="1"/>
  <c r="AH496" i="1"/>
  <c r="AG496" i="1"/>
  <c r="AN495" i="1"/>
  <c r="AG495" i="1"/>
  <c r="AH495" i="1" s="1"/>
  <c r="AN494" i="1"/>
  <c r="AG494" i="1"/>
  <c r="AH494" i="1" s="1"/>
  <c r="AN493" i="1"/>
  <c r="AG493" i="1"/>
  <c r="AH493" i="1" s="1"/>
  <c r="AN492" i="1"/>
  <c r="AG492" i="1"/>
  <c r="AH492" i="1" s="1"/>
  <c r="AN491" i="1"/>
  <c r="AH491" i="1"/>
  <c r="AG491" i="1"/>
  <c r="AN490" i="1"/>
  <c r="AG490" i="1"/>
  <c r="AH490" i="1" s="1"/>
  <c r="AN489" i="1"/>
  <c r="AG489" i="1"/>
  <c r="AH489" i="1" s="1"/>
  <c r="AN488" i="1"/>
  <c r="AH488" i="1"/>
  <c r="AG488" i="1"/>
  <c r="AN487" i="1"/>
  <c r="AG487" i="1"/>
  <c r="AH487" i="1" s="1"/>
  <c r="AN486" i="1"/>
  <c r="AH486" i="1"/>
  <c r="AG486" i="1"/>
  <c r="AN485" i="1"/>
  <c r="AG485" i="1"/>
  <c r="AH485" i="1" s="1"/>
  <c r="AN484" i="1"/>
  <c r="AG484" i="1"/>
  <c r="AH484" i="1" s="1"/>
  <c r="AN483" i="1"/>
  <c r="AH483" i="1"/>
  <c r="AG483" i="1"/>
  <c r="AN482" i="1"/>
  <c r="AG482" i="1"/>
  <c r="AH482" i="1" s="1"/>
  <c r="AN481" i="1"/>
  <c r="AG481" i="1"/>
  <c r="AH481" i="1" s="1"/>
  <c r="AN480" i="1"/>
  <c r="AH480" i="1"/>
  <c r="AG480" i="1"/>
  <c r="AN479" i="1"/>
  <c r="AG479" i="1"/>
  <c r="AH479" i="1" s="1"/>
  <c r="AN478" i="1"/>
  <c r="AH478" i="1"/>
  <c r="AG478" i="1"/>
  <c r="AN477" i="1"/>
  <c r="AG477" i="1"/>
  <c r="AH477" i="1" s="1"/>
  <c r="AN476" i="1"/>
  <c r="AG476" i="1"/>
  <c r="AH476" i="1" s="1"/>
  <c r="AN475" i="1"/>
  <c r="AH475" i="1"/>
  <c r="AG475" i="1"/>
  <c r="AN474" i="1"/>
  <c r="AG474" i="1"/>
  <c r="AH474" i="1" s="1"/>
  <c r="AN473" i="1"/>
  <c r="AH473" i="1"/>
  <c r="AG473" i="1"/>
  <c r="AN472" i="1"/>
  <c r="AG472" i="1"/>
  <c r="AH472" i="1" s="1"/>
  <c r="AN471" i="1"/>
  <c r="AH471" i="1"/>
  <c r="AG471" i="1"/>
  <c r="AN470" i="1"/>
  <c r="AG470" i="1"/>
  <c r="AH470" i="1" s="1"/>
  <c r="AN469" i="1"/>
  <c r="AH469" i="1"/>
  <c r="AG469" i="1"/>
  <c r="AN468" i="1"/>
  <c r="AG468" i="1"/>
  <c r="AH468" i="1" s="1"/>
  <c r="AN467" i="1"/>
  <c r="AH467" i="1"/>
  <c r="AG467" i="1"/>
  <c r="AN466" i="1"/>
  <c r="AG466" i="1"/>
  <c r="AH466" i="1" s="1"/>
  <c r="AN465" i="1"/>
  <c r="AH465" i="1"/>
  <c r="AG465" i="1"/>
  <c r="AN464" i="1"/>
  <c r="AG464" i="1"/>
  <c r="AH464" i="1" s="1"/>
  <c r="AN463" i="1"/>
  <c r="AH463" i="1"/>
  <c r="AG463" i="1"/>
  <c r="AN462" i="1"/>
  <c r="AG462" i="1"/>
  <c r="AH462" i="1" s="1"/>
  <c r="AN461" i="1"/>
  <c r="AH461" i="1"/>
  <c r="AG461" i="1"/>
  <c r="AN460" i="1"/>
  <c r="AG460" i="1"/>
  <c r="AH460" i="1" s="1"/>
  <c r="AN459" i="1"/>
  <c r="AG459" i="1"/>
  <c r="AH459" i="1" s="1"/>
  <c r="AN458" i="1"/>
  <c r="AG458" i="1"/>
  <c r="AH458" i="1" s="1"/>
  <c r="AN457" i="1"/>
  <c r="AH457" i="1"/>
  <c r="AG457" i="1"/>
  <c r="AN456" i="1"/>
  <c r="AG456" i="1"/>
  <c r="AH456" i="1" s="1"/>
  <c r="AN455" i="1"/>
  <c r="AG455" i="1"/>
  <c r="AH455" i="1" s="1"/>
  <c r="AN454" i="1"/>
  <c r="AG454" i="1"/>
  <c r="AH454" i="1" s="1"/>
  <c r="AN453" i="1"/>
  <c r="AH453" i="1"/>
  <c r="AG453" i="1"/>
  <c r="AN452" i="1"/>
  <c r="AG452" i="1"/>
  <c r="AH452" i="1" s="1"/>
  <c r="AN451" i="1"/>
  <c r="AG451" i="1"/>
  <c r="AH451" i="1" s="1"/>
  <c r="AN450" i="1"/>
  <c r="AG450" i="1"/>
  <c r="AH450" i="1" s="1"/>
  <c r="AN449" i="1"/>
  <c r="AH449" i="1"/>
  <c r="AG449" i="1"/>
  <c r="AN448" i="1"/>
  <c r="AG448" i="1"/>
  <c r="AH448" i="1" s="1"/>
  <c r="AN447" i="1"/>
  <c r="AG447" i="1"/>
  <c r="AH447" i="1" s="1"/>
  <c r="AN446" i="1"/>
  <c r="AG446" i="1"/>
  <c r="AH446" i="1" s="1"/>
  <c r="AN445" i="1"/>
  <c r="AH445" i="1"/>
  <c r="AG445" i="1"/>
  <c r="AN444" i="1"/>
  <c r="AG444" i="1"/>
  <c r="AH444" i="1" s="1"/>
  <c r="AN443" i="1"/>
  <c r="AG443" i="1"/>
  <c r="AH443" i="1" s="1"/>
  <c r="AN442" i="1"/>
  <c r="AG442" i="1"/>
  <c r="AH442" i="1" s="1"/>
  <c r="AN441" i="1"/>
  <c r="AH441" i="1"/>
  <c r="AG441" i="1"/>
  <c r="AN440" i="1"/>
  <c r="AG440" i="1"/>
  <c r="AH440" i="1" s="1"/>
  <c r="AN439" i="1"/>
  <c r="AG439" i="1"/>
  <c r="AH439" i="1" s="1"/>
  <c r="AN438" i="1"/>
  <c r="AG438" i="1"/>
  <c r="AH438" i="1" s="1"/>
  <c r="AN437" i="1"/>
  <c r="AH437" i="1"/>
  <c r="AG437" i="1"/>
  <c r="AN436" i="1"/>
  <c r="AG436" i="1"/>
  <c r="AH436" i="1" s="1"/>
  <c r="AN435" i="1"/>
  <c r="AG435" i="1"/>
  <c r="AH435" i="1" s="1"/>
  <c r="AN434" i="1"/>
  <c r="AG434" i="1"/>
  <c r="AH434" i="1" s="1"/>
  <c r="AN433" i="1"/>
  <c r="AG433" i="1"/>
  <c r="AH433" i="1" s="1"/>
  <c r="AN432" i="1"/>
  <c r="AG432" i="1"/>
  <c r="AH432" i="1" s="1"/>
  <c r="AN431" i="1"/>
  <c r="AG431" i="1"/>
  <c r="AH431" i="1" s="1"/>
  <c r="AN430" i="1"/>
  <c r="AG430" i="1"/>
  <c r="AH430" i="1" s="1"/>
  <c r="AN429" i="1"/>
  <c r="AG429" i="1"/>
  <c r="AH429" i="1" s="1"/>
  <c r="AN428" i="1"/>
  <c r="AG428" i="1"/>
  <c r="AH428" i="1" s="1"/>
  <c r="AN427" i="1"/>
  <c r="AG427" i="1"/>
  <c r="AH427" i="1" s="1"/>
  <c r="AN426" i="1"/>
  <c r="AG426" i="1"/>
  <c r="AH426" i="1" s="1"/>
  <c r="AN425" i="1"/>
  <c r="AG425" i="1"/>
  <c r="AH425" i="1" s="1"/>
  <c r="AN424" i="1"/>
  <c r="AG424" i="1"/>
  <c r="AH424" i="1" s="1"/>
  <c r="AN423" i="1"/>
  <c r="AG423" i="1"/>
  <c r="AH423" i="1" s="1"/>
  <c r="AN422" i="1"/>
  <c r="AG422" i="1"/>
  <c r="AH422" i="1" s="1"/>
  <c r="AN421" i="1"/>
  <c r="AG421" i="1"/>
  <c r="AH421" i="1" s="1"/>
  <c r="AN420" i="1"/>
  <c r="AG420" i="1"/>
  <c r="AH420" i="1" s="1"/>
  <c r="AN419" i="1"/>
  <c r="AG419" i="1"/>
  <c r="AH419" i="1" s="1"/>
  <c r="AN418" i="1"/>
  <c r="AG418" i="1"/>
  <c r="AH418" i="1" s="1"/>
  <c r="AN417" i="1"/>
  <c r="AG417" i="1"/>
  <c r="AH417" i="1" s="1"/>
  <c r="AN416" i="1"/>
  <c r="AG416" i="1"/>
  <c r="AH416" i="1" s="1"/>
  <c r="AN415" i="1"/>
  <c r="AG415" i="1"/>
  <c r="AH415" i="1" s="1"/>
  <c r="AN414" i="1"/>
  <c r="AG414" i="1"/>
  <c r="AH414" i="1" s="1"/>
  <c r="AN413" i="1"/>
  <c r="AG413" i="1"/>
  <c r="AH413" i="1" s="1"/>
  <c r="AN412" i="1"/>
  <c r="AG412" i="1"/>
  <c r="AH412" i="1" s="1"/>
  <c r="AN411" i="1"/>
  <c r="AG411" i="1"/>
  <c r="AH411" i="1" s="1"/>
  <c r="AN410" i="1"/>
  <c r="AG410" i="1"/>
  <c r="AH410" i="1" s="1"/>
  <c r="AN409" i="1"/>
  <c r="AG409" i="1"/>
  <c r="AH409" i="1" s="1"/>
  <c r="AN408" i="1"/>
  <c r="AG408" i="1"/>
  <c r="AH408" i="1" s="1"/>
  <c r="AN407" i="1"/>
  <c r="AG407" i="1"/>
  <c r="AH407" i="1" s="1"/>
  <c r="AN406" i="1"/>
  <c r="AG406" i="1"/>
  <c r="AH406" i="1" s="1"/>
  <c r="AN405" i="1"/>
  <c r="AG405" i="1"/>
  <c r="AH405" i="1" s="1"/>
  <c r="AN404" i="1"/>
  <c r="AG404" i="1"/>
  <c r="AH404" i="1" s="1"/>
  <c r="AN403" i="1"/>
  <c r="AG403" i="1"/>
  <c r="AH403" i="1" s="1"/>
  <c r="AN402" i="1"/>
  <c r="AG402" i="1"/>
  <c r="AH402" i="1" s="1"/>
  <c r="AN401" i="1"/>
  <c r="AG401" i="1"/>
  <c r="AH401" i="1" s="1"/>
  <c r="AN400" i="1"/>
  <c r="AG400" i="1"/>
  <c r="AH400" i="1" s="1"/>
  <c r="AN399" i="1"/>
  <c r="AG399" i="1"/>
  <c r="AH399" i="1" s="1"/>
  <c r="AN398" i="1"/>
  <c r="AG398" i="1"/>
  <c r="AH398" i="1" s="1"/>
  <c r="AN397" i="1"/>
  <c r="AG397" i="1"/>
  <c r="AH397" i="1" s="1"/>
  <c r="AN396" i="1"/>
  <c r="AG396" i="1"/>
  <c r="AH396" i="1" s="1"/>
  <c r="AN395" i="1"/>
  <c r="AG395" i="1"/>
  <c r="AH395" i="1" s="1"/>
  <c r="AN394" i="1"/>
  <c r="AG394" i="1"/>
  <c r="AH394" i="1" s="1"/>
  <c r="AN393" i="1"/>
  <c r="AG393" i="1"/>
  <c r="AH393" i="1" s="1"/>
  <c r="AN392" i="1"/>
  <c r="AG392" i="1"/>
  <c r="AH392" i="1" s="1"/>
  <c r="AN391" i="1"/>
  <c r="AG391" i="1"/>
  <c r="AH391" i="1" s="1"/>
  <c r="AN390" i="1"/>
  <c r="AG390" i="1"/>
  <c r="AH390" i="1" s="1"/>
  <c r="AN389" i="1"/>
  <c r="AG389" i="1"/>
  <c r="AH389" i="1" s="1"/>
  <c r="AN388" i="1"/>
  <c r="AG388" i="1"/>
  <c r="AH388" i="1" s="1"/>
  <c r="AN387" i="1"/>
  <c r="AG387" i="1"/>
  <c r="AH387" i="1" s="1"/>
  <c r="AN386" i="1"/>
  <c r="AG386" i="1"/>
  <c r="AH386" i="1" s="1"/>
  <c r="AN385" i="1"/>
  <c r="AG385" i="1"/>
  <c r="AH385" i="1" s="1"/>
  <c r="AN384" i="1"/>
  <c r="AG384" i="1"/>
  <c r="AH384" i="1" s="1"/>
  <c r="AN383" i="1"/>
  <c r="AG383" i="1"/>
  <c r="AH383" i="1" s="1"/>
  <c r="AN382" i="1"/>
  <c r="AG382" i="1"/>
  <c r="AH382" i="1" s="1"/>
  <c r="AN381" i="1"/>
  <c r="AG381" i="1"/>
  <c r="AH381" i="1" s="1"/>
  <c r="AN380" i="1"/>
  <c r="AG380" i="1"/>
  <c r="AH380" i="1" s="1"/>
  <c r="AN379" i="1"/>
  <c r="AG379" i="1"/>
  <c r="AH379" i="1" s="1"/>
  <c r="AN378" i="1"/>
  <c r="AG378" i="1"/>
  <c r="AH378" i="1" s="1"/>
  <c r="AN377" i="1"/>
  <c r="AG377" i="1"/>
  <c r="AH377" i="1" s="1"/>
  <c r="AN376" i="1"/>
  <c r="AG376" i="1"/>
  <c r="AH376" i="1" s="1"/>
  <c r="AN375" i="1"/>
  <c r="AG375" i="1"/>
  <c r="AH375" i="1" s="1"/>
  <c r="AN374" i="1"/>
  <c r="AG374" i="1"/>
  <c r="AH374" i="1" s="1"/>
  <c r="AN373" i="1"/>
  <c r="AG373" i="1"/>
  <c r="AH373" i="1" s="1"/>
  <c r="AN372" i="1"/>
  <c r="AG372" i="1"/>
  <c r="AH372" i="1" s="1"/>
  <c r="AN371" i="1"/>
  <c r="AG371" i="1"/>
  <c r="AH371" i="1" s="1"/>
  <c r="AN370" i="1"/>
  <c r="AG370" i="1"/>
  <c r="AH370" i="1" s="1"/>
  <c r="AN369" i="1"/>
  <c r="AG369" i="1"/>
  <c r="AH369" i="1" s="1"/>
  <c r="AN368" i="1"/>
  <c r="AG368" i="1"/>
  <c r="AH368" i="1" s="1"/>
  <c r="AN367" i="1"/>
  <c r="AG367" i="1"/>
  <c r="AH367" i="1" s="1"/>
  <c r="AN366" i="1"/>
  <c r="AG366" i="1"/>
  <c r="AH366" i="1" s="1"/>
  <c r="AN365" i="1"/>
  <c r="AG365" i="1"/>
  <c r="AH365" i="1" s="1"/>
  <c r="AN364" i="1"/>
  <c r="AG364" i="1"/>
  <c r="AH364" i="1" s="1"/>
  <c r="AN363" i="1"/>
  <c r="AG363" i="1"/>
  <c r="AH363" i="1" s="1"/>
  <c r="AN362" i="1"/>
  <c r="AG362" i="1"/>
  <c r="AH362" i="1" s="1"/>
  <c r="AN361" i="1"/>
  <c r="AG361" i="1"/>
  <c r="AH361" i="1" s="1"/>
  <c r="AN360" i="1"/>
  <c r="AG360" i="1"/>
  <c r="AH360" i="1" s="1"/>
  <c r="AN359" i="1"/>
  <c r="AG359" i="1"/>
  <c r="AH359" i="1" s="1"/>
  <c r="AN358" i="1"/>
  <c r="AG358" i="1"/>
  <c r="AH358" i="1" s="1"/>
  <c r="AN357" i="1"/>
  <c r="AG357" i="1"/>
  <c r="AH357" i="1" s="1"/>
  <c r="AN356" i="1"/>
  <c r="AG356" i="1"/>
  <c r="AH356" i="1" s="1"/>
  <c r="AN355" i="1"/>
  <c r="AG355" i="1"/>
  <c r="AH355" i="1" s="1"/>
  <c r="AN354" i="1"/>
  <c r="AG354" i="1"/>
  <c r="AH354" i="1" s="1"/>
  <c r="AN353" i="1"/>
  <c r="AG353" i="1"/>
  <c r="AH353" i="1" s="1"/>
  <c r="AN352" i="1"/>
  <c r="AG352" i="1"/>
  <c r="AH352" i="1" s="1"/>
  <c r="AN351" i="1"/>
  <c r="AG351" i="1"/>
  <c r="AH351" i="1" s="1"/>
  <c r="AN350" i="1"/>
  <c r="AG350" i="1"/>
  <c r="AH350" i="1" s="1"/>
  <c r="AN349" i="1"/>
  <c r="AG349" i="1"/>
  <c r="AH349" i="1" s="1"/>
  <c r="AN348" i="1"/>
  <c r="AG348" i="1"/>
  <c r="AH348" i="1" s="1"/>
  <c r="AN347" i="1"/>
  <c r="AG347" i="1"/>
  <c r="AH347" i="1" s="1"/>
  <c r="AN346" i="1"/>
  <c r="AG346" i="1"/>
  <c r="AH346" i="1" s="1"/>
  <c r="AN345" i="1"/>
  <c r="AG345" i="1"/>
  <c r="AH345" i="1" s="1"/>
  <c r="AN344" i="1"/>
  <c r="AG344" i="1"/>
  <c r="AH344" i="1" s="1"/>
  <c r="AN343" i="1"/>
  <c r="AG343" i="1"/>
  <c r="AH343" i="1" s="1"/>
  <c r="AN342" i="1"/>
  <c r="AG342" i="1"/>
  <c r="AH342" i="1" s="1"/>
  <c r="AN341" i="1"/>
  <c r="AG341" i="1"/>
  <c r="AH341" i="1" s="1"/>
  <c r="AN340" i="1"/>
  <c r="AG340" i="1"/>
  <c r="AH340" i="1" s="1"/>
  <c r="AN339" i="1"/>
  <c r="AG339" i="1"/>
  <c r="AH339" i="1" s="1"/>
  <c r="AN338" i="1"/>
  <c r="AG338" i="1"/>
  <c r="AH338" i="1" s="1"/>
  <c r="AN337" i="1"/>
  <c r="AG337" i="1"/>
  <c r="AH337" i="1" s="1"/>
  <c r="AN336" i="1"/>
  <c r="AG336" i="1"/>
  <c r="AH336" i="1" s="1"/>
  <c r="AN335" i="1"/>
  <c r="AG335" i="1"/>
  <c r="AH335" i="1" s="1"/>
  <c r="AN334" i="1"/>
  <c r="AG334" i="1"/>
  <c r="AH334" i="1" s="1"/>
  <c r="AN333" i="1"/>
  <c r="AG333" i="1"/>
  <c r="AH333" i="1" s="1"/>
  <c r="AN332" i="1"/>
  <c r="AG332" i="1"/>
  <c r="AH332" i="1" s="1"/>
  <c r="AN331" i="1"/>
  <c r="AG331" i="1"/>
  <c r="AH331" i="1" s="1"/>
  <c r="AN330" i="1"/>
  <c r="AG330" i="1"/>
  <c r="AH330" i="1" s="1"/>
  <c r="AN329" i="1"/>
  <c r="AG329" i="1"/>
  <c r="AH329" i="1" s="1"/>
  <c r="AN328" i="1"/>
  <c r="AG328" i="1"/>
  <c r="AH328" i="1" s="1"/>
  <c r="AN327" i="1"/>
  <c r="AG327" i="1"/>
  <c r="AH327" i="1" s="1"/>
  <c r="AN326" i="1"/>
  <c r="AG326" i="1"/>
  <c r="AH326" i="1" s="1"/>
  <c r="AN325" i="1"/>
  <c r="AG325" i="1"/>
  <c r="AH325" i="1" s="1"/>
  <c r="AN324" i="1"/>
  <c r="AG324" i="1"/>
  <c r="AH324" i="1" s="1"/>
  <c r="AN323" i="1"/>
  <c r="AG323" i="1"/>
  <c r="AH323" i="1" s="1"/>
  <c r="AN322" i="1"/>
  <c r="AG322" i="1"/>
  <c r="AH322" i="1" s="1"/>
  <c r="AN321" i="1"/>
  <c r="AG321" i="1"/>
  <c r="AH321" i="1" s="1"/>
  <c r="AN320" i="1"/>
  <c r="AG320" i="1"/>
  <c r="AH320" i="1" s="1"/>
  <c r="AN319" i="1"/>
  <c r="AG319" i="1"/>
  <c r="AH319" i="1" s="1"/>
  <c r="AN318" i="1"/>
  <c r="AG318" i="1"/>
  <c r="AH318" i="1" s="1"/>
  <c r="AN317" i="1"/>
  <c r="AG317" i="1"/>
  <c r="AH317" i="1" s="1"/>
  <c r="AN316" i="1"/>
  <c r="AG316" i="1"/>
  <c r="AH316" i="1" s="1"/>
  <c r="AN315" i="1"/>
  <c r="AG315" i="1"/>
  <c r="AH315" i="1" s="1"/>
  <c r="AN314" i="1"/>
  <c r="AG314" i="1"/>
  <c r="AH314" i="1" s="1"/>
  <c r="AN313" i="1"/>
  <c r="AG313" i="1"/>
  <c r="AH313" i="1" s="1"/>
  <c r="AN312" i="1"/>
  <c r="AG312" i="1"/>
  <c r="AH312" i="1" s="1"/>
  <c r="AN311" i="1"/>
  <c r="AG311" i="1"/>
  <c r="AH311" i="1" s="1"/>
  <c r="AN310" i="1"/>
  <c r="AG310" i="1"/>
  <c r="AH310" i="1" s="1"/>
  <c r="AN309" i="1"/>
  <c r="AG309" i="1"/>
  <c r="AH309" i="1" s="1"/>
  <c r="AN308" i="1"/>
  <c r="AG308" i="1"/>
  <c r="AH308" i="1" s="1"/>
  <c r="AN307" i="1"/>
  <c r="AG307" i="1"/>
  <c r="AH307" i="1" s="1"/>
  <c r="AN306" i="1"/>
  <c r="AG306" i="1"/>
  <c r="AH306" i="1" s="1"/>
  <c r="AN305" i="1"/>
  <c r="AG305" i="1"/>
  <c r="AH305" i="1" s="1"/>
  <c r="AN304" i="1"/>
  <c r="AG304" i="1"/>
  <c r="AH304" i="1" s="1"/>
  <c r="AN303" i="1"/>
  <c r="AG303" i="1"/>
  <c r="AH303" i="1" s="1"/>
  <c r="AN302" i="1"/>
  <c r="AG302" i="1"/>
  <c r="AH302" i="1" s="1"/>
  <c r="AN301" i="1"/>
  <c r="AG301" i="1"/>
  <c r="AH301" i="1" s="1"/>
  <c r="AN300" i="1"/>
  <c r="AG300" i="1"/>
  <c r="AH300" i="1" s="1"/>
  <c r="AN299" i="1"/>
  <c r="AG299" i="1"/>
  <c r="AH299" i="1" s="1"/>
  <c r="AN298" i="1"/>
  <c r="AG298" i="1"/>
  <c r="AH298" i="1" s="1"/>
  <c r="AN297" i="1"/>
  <c r="AG297" i="1"/>
  <c r="AH297" i="1" s="1"/>
  <c r="AN296" i="1"/>
  <c r="AG296" i="1"/>
  <c r="AH296" i="1" s="1"/>
  <c r="AN295" i="1"/>
  <c r="AG295" i="1"/>
  <c r="AH295" i="1" s="1"/>
  <c r="AN294" i="1"/>
  <c r="AG294" i="1"/>
  <c r="AH294" i="1" s="1"/>
  <c r="AN293" i="1"/>
  <c r="AG293" i="1"/>
  <c r="AH293" i="1" s="1"/>
  <c r="AN292" i="1"/>
  <c r="AG292" i="1"/>
  <c r="AH292" i="1" s="1"/>
  <c r="AN291" i="1"/>
  <c r="AG291" i="1"/>
  <c r="AH291" i="1" s="1"/>
  <c r="AN290" i="1"/>
  <c r="AG290" i="1"/>
  <c r="AH290" i="1" s="1"/>
  <c r="AN289" i="1"/>
  <c r="AG289" i="1"/>
  <c r="AH289" i="1" s="1"/>
  <c r="AN288" i="1"/>
  <c r="AG288" i="1"/>
  <c r="AH288" i="1" s="1"/>
  <c r="AN287" i="1"/>
  <c r="AG287" i="1"/>
  <c r="AH287" i="1" s="1"/>
  <c r="AN286" i="1"/>
  <c r="AG286" i="1"/>
  <c r="AH286" i="1" s="1"/>
  <c r="AN285" i="1"/>
  <c r="AG285" i="1"/>
  <c r="AH285" i="1" s="1"/>
  <c r="AN284" i="1"/>
  <c r="AG284" i="1"/>
  <c r="AH284" i="1" s="1"/>
  <c r="AN283" i="1"/>
  <c r="AG283" i="1"/>
  <c r="AH283" i="1" s="1"/>
  <c r="AN282" i="1"/>
  <c r="AG282" i="1"/>
  <c r="AH282" i="1" s="1"/>
  <c r="AN281" i="1"/>
  <c r="AG281" i="1"/>
  <c r="AH281" i="1" s="1"/>
  <c r="AN280" i="1"/>
  <c r="AG280" i="1"/>
  <c r="AH280" i="1" s="1"/>
  <c r="AN279" i="1"/>
  <c r="AG279" i="1"/>
  <c r="AH279" i="1" s="1"/>
  <c r="AN278" i="1"/>
  <c r="AG278" i="1"/>
  <c r="AH278" i="1" s="1"/>
  <c r="AN277" i="1"/>
  <c r="AG277" i="1"/>
  <c r="AH277" i="1" s="1"/>
  <c r="AN276" i="1"/>
  <c r="AG276" i="1"/>
  <c r="AH276" i="1" s="1"/>
  <c r="AN275" i="1"/>
  <c r="AG275" i="1"/>
  <c r="AH275" i="1" s="1"/>
  <c r="AN274" i="1"/>
  <c r="AG274" i="1"/>
  <c r="AH274" i="1" s="1"/>
  <c r="AN273" i="1"/>
  <c r="AG273" i="1"/>
  <c r="AH273" i="1" s="1"/>
  <c r="AN272" i="1"/>
  <c r="AG272" i="1"/>
  <c r="AH272" i="1" s="1"/>
  <c r="AN271" i="1"/>
  <c r="AG271" i="1"/>
  <c r="AH271" i="1" s="1"/>
  <c r="AN270" i="1"/>
  <c r="AG270" i="1"/>
  <c r="AH270" i="1" s="1"/>
  <c r="AN269" i="1"/>
  <c r="AG269" i="1"/>
  <c r="AH269" i="1" s="1"/>
  <c r="AN268" i="1"/>
  <c r="AG268" i="1"/>
  <c r="AH268" i="1" s="1"/>
  <c r="AN267" i="1"/>
  <c r="AG267" i="1"/>
  <c r="AH267" i="1" s="1"/>
  <c r="AN266" i="1"/>
  <c r="AG266" i="1"/>
  <c r="AH266" i="1" s="1"/>
  <c r="AN265" i="1"/>
  <c r="AG265" i="1"/>
  <c r="AH265" i="1" s="1"/>
  <c r="AN264" i="1"/>
  <c r="AG264" i="1"/>
  <c r="AH264" i="1" s="1"/>
  <c r="AN263" i="1"/>
  <c r="AG263" i="1"/>
  <c r="AH263" i="1" s="1"/>
  <c r="AN262" i="1"/>
  <c r="AG262" i="1"/>
  <c r="AH262" i="1" s="1"/>
  <c r="AN261" i="1"/>
  <c r="AG261" i="1"/>
  <c r="AH261" i="1" s="1"/>
  <c r="AN260" i="1"/>
  <c r="AG260" i="1"/>
  <c r="AH260" i="1" s="1"/>
  <c r="AN259" i="1"/>
  <c r="AG259" i="1"/>
  <c r="AH259" i="1" s="1"/>
  <c r="AN258" i="1"/>
  <c r="AG258" i="1"/>
  <c r="AH258" i="1" s="1"/>
  <c r="AN257" i="1"/>
  <c r="AG257" i="1"/>
  <c r="AH257" i="1" s="1"/>
  <c r="AN256" i="1"/>
  <c r="AG256" i="1"/>
  <c r="AH256" i="1" s="1"/>
  <c r="AN255" i="1"/>
  <c r="AG255" i="1"/>
  <c r="AH255" i="1" s="1"/>
  <c r="AN254" i="1"/>
  <c r="AG254" i="1"/>
  <c r="AH254" i="1" s="1"/>
  <c r="AN253" i="1"/>
  <c r="AG253" i="1"/>
  <c r="AH253" i="1" s="1"/>
  <c r="AN252" i="1"/>
  <c r="AG252" i="1"/>
  <c r="AH252" i="1" s="1"/>
  <c r="AN251" i="1"/>
  <c r="AG251" i="1"/>
  <c r="AH251" i="1" s="1"/>
  <c r="AN250" i="1"/>
  <c r="AG250" i="1"/>
  <c r="AH250" i="1" s="1"/>
  <c r="AN249" i="1"/>
  <c r="AG249" i="1"/>
  <c r="AH249" i="1" s="1"/>
  <c r="AN248" i="1"/>
  <c r="AG248" i="1"/>
  <c r="AH248" i="1" s="1"/>
  <c r="AN247" i="1"/>
  <c r="AG247" i="1"/>
  <c r="AH247" i="1" s="1"/>
  <c r="AN246" i="1"/>
  <c r="AG246" i="1"/>
  <c r="AH246" i="1" s="1"/>
  <c r="AN245" i="1"/>
  <c r="AG245" i="1"/>
  <c r="AH245" i="1" s="1"/>
  <c r="AN244" i="1"/>
  <c r="AG244" i="1"/>
  <c r="AH244" i="1" s="1"/>
  <c r="AN243" i="1"/>
  <c r="AG243" i="1"/>
  <c r="AH243" i="1" s="1"/>
  <c r="AN242" i="1"/>
  <c r="AG242" i="1"/>
  <c r="AH242" i="1" s="1"/>
  <c r="AN241" i="1"/>
  <c r="AG241" i="1"/>
  <c r="AH241" i="1" s="1"/>
  <c r="AN240" i="1"/>
  <c r="AG240" i="1"/>
  <c r="AH240" i="1" s="1"/>
  <c r="AN239" i="1"/>
  <c r="AG239" i="1"/>
  <c r="AH239" i="1" s="1"/>
  <c r="AN238" i="1"/>
  <c r="AG238" i="1"/>
  <c r="AH238" i="1" s="1"/>
  <c r="AN237" i="1"/>
  <c r="AG237" i="1"/>
  <c r="AH237" i="1" s="1"/>
  <c r="AN236" i="1"/>
  <c r="AG236" i="1"/>
  <c r="AH236" i="1" s="1"/>
  <c r="AN235" i="1"/>
  <c r="AG235" i="1"/>
  <c r="AH235" i="1" s="1"/>
  <c r="AN234" i="1"/>
  <c r="AG234" i="1"/>
  <c r="AH234" i="1" s="1"/>
  <c r="AN233" i="1"/>
  <c r="AG233" i="1"/>
  <c r="AH233" i="1" s="1"/>
  <c r="AN232" i="1"/>
  <c r="AG232" i="1"/>
  <c r="AH232" i="1" s="1"/>
  <c r="AN231" i="1"/>
  <c r="AG231" i="1"/>
  <c r="AH231" i="1" s="1"/>
  <c r="AN230" i="1"/>
  <c r="AG230" i="1"/>
  <c r="AH230" i="1" s="1"/>
  <c r="AN229" i="1"/>
  <c r="AG229" i="1"/>
  <c r="AH229" i="1" s="1"/>
  <c r="AN228" i="1"/>
  <c r="AG228" i="1"/>
  <c r="AH228" i="1" s="1"/>
  <c r="AN227" i="1"/>
  <c r="AG227" i="1"/>
  <c r="AH227" i="1" s="1"/>
  <c r="AN226" i="1"/>
  <c r="AG226" i="1"/>
  <c r="AH226" i="1" s="1"/>
  <c r="AN225" i="1"/>
  <c r="AG225" i="1"/>
  <c r="AH225" i="1" s="1"/>
  <c r="AN224" i="1"/>
  <c r="AG224" i="1"/>
  <c r="AH224" i="1" s="1"/>
  <c r="AN223" i="1"/>
  <c r="AG223" i="1"/>
  <c r="AH223" i="1" s="1"/>
  <c r="AN222" i="1"/>
  <c r="AG222" i="1"/>
  <c r="AH222" i="1" s="1"/>
  <c r="AN221" i="1"/>
  <c r="AG221" i="1"/>
  <c r="AH221" i="1" s="1"/>
  <c r="AN220" i="1"/>
  <c r="AG220" i="1"/>
  <c r="AH220" i="1" s="1"/>
  <c r="AN219" i="1"/>
  <c r="AG219" i="1"/>
  <c r="AH219" i="1" s="1"/>
  <c r="AN218" i="1"/>
  <c r="AG218" i="1"/>
  <c r="AH218" i="1" s="1"/>
  <c r="AN217" i="1"/>
  <c r="AG217" i="1"/>
  <c r="AH217" i="1" s="1"/>
  <c r="AN216" i="1"/>
  <c r="AG216" i="1"/>
  <c r="AH216" i="1" s="1"/>
  <c r="AN215" i="1"/>
  <c r="AG215" i="1"/>
  <c r="AH215" i="1" s="1"/>
  <c r="AN214" i="1"/>
  <c r="AG214" i="1"/>
  <c r="AH214" i="1" s="1"/>
  <c r="AN213" i="1"/>
  <c r="AG213" i="1"/>
  <c r="AH213" i="1" s="1"/>
  <c r="AN212" i="1"/>
  <c r="AG212" i="1"/>
  <c r="AH212" i="1" s="1"/>
  <c r="AN211" i="1"/>
  <c r="AG211" i="1"/>
  <c r="AH211" i="1" s="1"/>
  <c r="AN210" i="1"/>
  <c r="AG210" i="1"/>
  <c r="AH210" i="1" s="1"/>
  <c r="AN209" i="1"/>
  <c r="AG209" i="1"/>
  <c r="AH209" i="1" s="1"/>
  <c r="AN208" i="1"/>
  <c r="AG208" i="1"/>
  <c r="AH208" i="1" s="1"/>
  <c r="AN207" i="1"/>
  <c r="AG207" i="1"/>
  <c r="AH207" i="1" s="1"/>
  <c r="AN206" i="1"/>
  <c r="AG206" i="1"/>
  <c r="AH206" i="1" s="1"/>
  <c r="AN205" i="1"/>
  <c r="AG205" i="1"/>
  <c r="AH205" i="1" s="1"/>
  <c r="AN204" i="1"/>
  <c r="AG204" i="1"/>
  <c r="AH204" i="1" s="1"/>
  <c r="AN203" i="1"/>
  <c r="AG203" i="1"/>
  <c r="AH203" i="1" s="1"/>
  <c r="AN202" i="1"/>
  <c r="AG202" i="1"/>
  <c r="AH202" i="1" s="1"/>
  <c r="AN201" i="1"/>
  <c r="AG201" i="1"/>
  <c r="AH201" i="1" s="1"/>
  <c r="AN200" i="1"/>
  <c r="AG200" i="1"/>
  <c r="AH200" i="1" s="1"/>
  <c r="AN199" i="1"/>
  <c r="AG199" i="1"/>
  <c r="AH199" i="1" s="1"/>
  <c r="AN198" i="1"/>
  <c r="AG198" i="1"/>
  <c r="AH198" i="1" s="1"/>
  <c r="AN197" i="1"/>
  <c r="AG197" i="1"/>
  <c r="AH197" i="1" s="1"/>
  <c r="AN196" i="1"/>
  <c r="AG196" i="1"/>
  <c r="AH196" i="1" s="1"/>
  <c r="AN195" i="1"/>
  <c r="AG195" i="1"/>
  <c r="AH195" i="1" s="1"/>
  <c r="AN194" i="1"/>
  <c r="AG194" i="1"/>
  <c r="AH194" i="1" s="1"/>
  <c r="AN193" i="1"/>
  <c r="AG193" i="1"/>
  <c r="AH193" i="1" s="1"/>
  <c r="AN192" i="1"/>
  <c r="AG192" i="1"/>
  <c r="AH192" i="1" s="1"/>
  <c r="AN191" i="1"/>
  <c r="AG191" i="1"/>
  <c r="AH191" i="1" s="1"/>
  <c r="AN190" i="1"/>
  <c r="AG190" i="1"/>
  <c r="AH190" i="1" s="1"/>
  <c r="AN189" i="1"/>
  <c r="AG189" i="1"/>
  <c r="AH189" i="1" s="1"/>
  <c r="AN188" i="1"/>
  <c r="AG188" i="1"/>
  <c r="AH188" i="1" s="1"/>
  <c r="AN187" i="1"/>
  <c r="AG187" i="1"/>
  <c r="AH187" i="1" s="1"/>
  <c r="AN186" i="1"/>
  <c r="AG186" i="1"/>
  <c r="AH186" i="1" s="1"/>
  <c r="AN185" i="1"/>
  <c r="AG185" i="1"/>
  <c r="AH185" i="1" s="1"/>
  <c r="AN184" i="1"/>
  <c r="AG184" i="1"/>
  <c r="AH184" i="1" s="1"/>
  <c r="AN183" i="1"/>
  <c r="AG183" i="1"/>
  <c r="AH183" i="1" s="1"/>
  <c r="AN182" i="1"/>
  <c r="AG182" i="1"/>
  <c r="AH182" i="1" s="1"/>
  <c r="AN181" i="1"/>
  <c r="AG181" i="1"/>
  <c r="AH181" i="1" s="1"/>
  <c r="AN180" i="1"/>
  <c r="AG180" i="1"/>
  <c r="AH180" i="1" s="1"/>
  <c r="AN179" i="1"/>
  <c r="AG179" i="1"/>
  <c r="AH179" i="1" s="1"/>
  <c r="AN178" i="1"/>
  <c r="AG178" i="1"/>
  <c r="AH178" i="1" s="1"/>
  <c r="AN177" i="1"/>
  <c r="AG177" i="1"/>
  <c r="AH177" i="1" s="1"/>
  <c r="AN176" i="1"/>
  <c r="AG176" i="1"/>
  <c r="AH176" i="1" s="1"/>
  <c r="AN175" i="1"/>
  <c r="AG175" i="1"/>
  <c r="AH175" i="1" s="1"/>
  <c r="AN174" i="1"/>
  <c r="AG174" i="1"/>
  <c r="AH174" i="1" s="1"/>
  <c r="AN173" i="1"/>
  <c r="AG173" i="1"/>
  <c r="AH173" i="1" s="1"/>
  <c r="AN172" i="1"/>
  <c r="AG172" i="1"/>
  <c r="AH172" i="1" s="1"/>
  <c r="AN171" i="1"/>
  <c r="AG171" i="1"/>
  <c r="AH171" i="1" s="1"/>
  <c r="AN170" i="1"/>
  <c r="AG170" i="1"/>
  <c r="AH170" i="1" s="1"/>
  <c r="AN169" i="1"/>
  <c r="AG169" i="1"/>
  <c r="AH169" i="1" s="1"/>
  <c r="AN168" i="1"/>
  <c r="AG168" i="1"/>
  <c r="AH168" i="1" s="1"/>
  <c r="AN167" i="1"/>
  <c r="AG167" i="1"/>
  <c r="AH167" i="1" s="1"/>
  <c r="AN166" i="1"/>
  <c r="AG166" i="1"/>
  <c r="AH166" i="1" s="1"/>
  <c r="AN165" i="1"/>
  <c r="AG165" i="1"/>
  <c r="AH165" i="1" s="1"/>
  <c r="AN164" i="1"/>
  <c r="AG164" i="1"/>
  <c r="AH164" i="1" s="1"/>
  <c r="AN163" i="1"/>
  <c r="AG163" i="1"/>
  <c r="AH163" i="1" s="1"/>
  <c r="AN162" i="1"/>
  <c r="AG162" i="1"/>
  <c r="AH162" i="1" s="1"/>
  <c r="AN161" i="1"/>
  <c r="AG161" i="1"/>
  <c r="AH161" i="1" s="1"/>
  <c r="AN160" i="1"/>
  <c r="AG160" i="1"/>
  <c r="AH160" i="1" s="1"/>
  <c r="AN159" i="1"/>
  <c r="AG159" i="1"/>
  <c r="AH159" i="1" s="1"/>
  <c r="AN158" i="1"/>
  <c r="AG158" i="1"/>
  <c r="AH158" i="1" s="1"/>
  <c r="AN157" i="1"/>
  <c r="AG157" i="1"/>
  <c r="AH157" i="1" s="1"/>
  <c r="AN156" i="1"/>
  <c r="AG156" i="1"/>
  <c r="AH156" i="1" s="1"/>
  <c r="AN155" i="1"/>
  <c r="AG155" i="1"/>
  <c r="AH155" i="1" s="1"/>
  <c r="AN154" i="1"/>
  <c r="AG154" i="1"/>
  <c r="AH154" i="1" s="1"/>
  <c r="AN153" i="1"/>
  <c r="AG153" i="1"/>
  <c r="AH153" i="1" s="1"/>
  <c r="AN152" i="1"/>
  <c r="AG152" i="1"/>
  <c r="AH152" i="1" s="1"/>
  <c r="AN151" i="1"/>
  <c r="AG151" i="1"/>
  <c r="AH151" i="1" s="1"/>
  <c r="AN150" i="1"/>
  <c r="AG150" i="1"/>
  <c r="AH150" i="1" s="1"/>
  <c r="AN149" i="1"/>
  <c r="AG149" i="1"/>
  <c r="AH149" i="1" s="1"/>
  <c r="AN148" i="1"/>
  <c r="AG148" i="1"/>
  <c r="AH148" i="1" s="1"/>
  <c r="AN147" i="1"/>
  <c r="AG147" i="1"/>
  <c r="AH147" i="1" s="1"/>
  <c r="AN146" i="1"/>
  <c r="AG146" i="1"/>
  <c r="AH146" i="1" s="1"/>
  <c r="AN145" i="1"/>
  <c r="AG145" i="1"/>
  <c r="AH145" i="1" s="1"/>
  <c r="AN144" i="1"/>
  <c r="AG144" i="1"/>
  <c r="AH144" i="1" s="1"/>
  <c r="AN143" i="1"/>
  <c r="AG143" i="1"/>
  <c r="AH143" i="1" s="1"/>
  <c r="AN142" i="1"/>
  <c r="AG142" i="1"/>
  <c r="AH142" i="1" s="1"/>
  <c r="AN141" i="1"/>
  <c r="AG141" i="1"/>
  <c r="AH141" i="1" s="1"/>
  <c r="AN140" i="1"/>
  <c r="AG140" i="1"/>
  <c r="AH140" i="1" s="1"/>
  <c r="AN139" i="1"/>
  <c r="AG139" i="1"/>
  <c r="AH139" i="1" s="1"/>
  <c r="AN138" i="1"/>
  <c r="AG138" i="1"/>
  <c r="AH138" i="1" s="1"/>
  <c r="AN137" i="1"/>
  <c r="AG137" i="1"/>
  <c r="AH137" i="1" s="1"/>
  <c r="AN136" i="1"/>
  <c r="AG136" i="1"/>
  <c r="AH136" i="1" s="1"/>
  <c r="AN135" i="1"/>
  <c r="AG135" i="1"/>
  <c r="AH135" i="1" s="1"/>
  <c r="AN134" i="1"/>
  <c r="AG134" i="1"/>
  <c r="AH134" i="1" s="1"/>
  <c r="AN133" i="1"/>
  <c r="AG133" i="1"/>
  <c r="AH133" i="1" s="1"/>
  <c r="AN132" i="1"/>
  <c r="AG132" i="1"/>
  <c r="AH132" i="1" s="1"/>
  <c r="AN131" i="1"/>
  <c r="AG131" i="1"/>
  <c r="AH131" i="1" s="1"/>
  <c r="AN130" i="1"/>
  <c r="AG130" i="1"/>
  <c r="AH130" i="1" s="1"/>
  <c r="AN129" i="1"/>
  <c r="AG129" i="1"/>
  <c r="AH129" i="1" s="1"/>
  <c r="AN128" i="1"/>
  <c r="AG128" i="1"/>
  <c r="AH128" i="1" s="1"/>
  <c r="AN127" i="1"/>
  <c r="AG127" i="1"/>
  <c r="AH127" i="1" s="1"/>
  <c r="AN126" i="1"/>
  <c r="AG126" i="1"/>
  <c r="AH126" i="1" s="1"/>
  <c r="AN125" i="1"/>
  <c r="AG125" i="1"/>
  <c r="AH125" i="1" s="1"/>
  <c r="AN124" i="1"/>
  <c r="AG124" i="1"/>
  <c r="AH124" i="1" s="1"/>
  <c r="AN123" i="1"/>
  <c r="AG123" i="1"/>
  <c r="AH123" i="1" s="1"/>
  <c r="AN122" i="1"/>
  <c r="AG122" i="1"/>
  <c r="AH122" i="1" s="1"/>
  <c r="AN121" i="1"/>
  <c r="AG121" i="1"/>
  <c r="AH121" i="1" s="1"/>
  <c r="AN120" i="1"/>
  <c r="AG120" i="1"/>
  <c r="AH120" i="1" s="1"/>
  <c r="AN119" i="1"/>
  <c r="AG119" i="1"/>
  <c r="AH119" i="1" s="1"/>
  <c r="AN118" i="1"/>
  <c r="AG118" i="1"/>
  <c r="AH118" i="1" s="1"/>
  <c r="AN117" i="1"/>
  <c r="AG117" i="1"/>
  <c r="AH117" i="1" s="1"/>
  <c r="AN116" i="1"/>
  <c r="AG116" i="1"/>
  <c r="AH116" i="1" s="1"/>
  <c r="AN115" i="1"/>
  <c r="AG115" i="1"/>
  <c r="AH115" i="1" s="1"/>
  <c r="AN114" i="1"/>
  <c r="AG114" i="1"/>
  <c r="AH114" i="1" s="1"/>
  <c r="AN113" i="1"/>
  <c r="AG113" i="1"/>
  <c r="AH113" i="1" s="1"/>
  <c r="AN112" i="1"/>
  <c r="AG112" i="1"/>
  <c r="AH112" i="1" s="1"/>
  <c r="AN111" i="1"/>
  <c r="AG111" i="1"/>
  <c r="AH111" i="1" s="1"/>
  <c r="AN110" i="1"/>
  <c r="AG110" i="1"/>
  <c r="AH110" i="1" s="1"/>
  <c r="AN109" i="1"/>
  <c r="AG109" i="1"/>
  <c r="AH109" i="1" s="1"/>
  <c r="AN108" i="1"/>
  <c r="AG108" i="1"/>
  <c r="AH108" i="1" s="1"/>
  <c r="AN107" i="1"/>
  <c r="AG107" i="1"/>
  <c r="AH107" i="1" s="1"/>
  <c r="AN106" i="1"/>
  <c r="AG106" i="1"/>
  <c r="AH106" i="1" s="1"/>
  <c r="AN105" i="1"/>
  <c r="AG105" i="1"/>
  <c r="AH105" i="1" s="1"/>
  <c r="AN104" i="1"/>
  <c r="AG104" i="1"/>
  <c r="AH104" i="1" s="1"/>
  <c r="AN103" i="1"/>
  <c r="AG103" i="1"/>
  <c r="AH103" i="1" s="1"/>
  <c r="AN102" i="1"/>
  <c r="AG102" i="1"/>
  <c r="AH102" i="1" s="1"/>
  <c r="AN101" i="1"/>
  <c r="AG101" i="1"/>
  <c r="AH101" i="1" s="1"/>
  <c r="AN100" i="1"/>
  <c r="AG100" i="1"/>
  <c r="AH100" i="1" s="1"/>
  <c r="AN99" i="1"/>
  <c r="AG99" i="1"/>
  <c r="AH99" i="1" s="1"/>
  <c r="AN98" i="1"/>
  <c r="AG98" i="1"/>
  <c r="AH98" i="1" s="1"/>
  <c r="AN97" i="1"/>
  <c r="AG97" i="1"/>
  <c r="AH97" i="1" s="1"/>
  <c r="AN96" i="1"/>
  <c r="AG96" i="1"/>
  <c r="AH96" i="1" s="1"/>
  <c r="AN95" i="1"/>
  <c r="AG95" i="1"/>
  <c r="AH95" i="1" s="1"/>
  <c r="AN94" i="1"/>
  <c r="AG94" i="1"/>
  <c r="AH94" i="1" s="1"/>
  <c r="AN93" i="1"/>
  <c r="AG93" i="1"/>
  <c r="AH93" i="1" s="1"/>
  <c r="AN92" i="1"/>
  <c r="AG92" i="1"/>
  <c r="AH92" i="1" s="1"/>
  <c r="AN91" i="1"/>
  <c r="AG91" i="1"/>
  <c r="AH91" i="1" s="1"/>
  <c r="AN90" i="1"/>
  <c r="AG90" i="1"/>
  <c r="AH90" i="1" s="1"/>
  <c r="AN89" i="1"/>
  <c r="AG89" i="1"/>
  <c r="AH89" i="1" s="1"/>
  <c r="AN88" i="1"/>
  <c r="AG88" i="1"/>
  <c r="AH88" i="1" s="1"/>
  <c r="AN87" i="1"/>
  <c r="AG87" i="1"/>
  <c r="AH87" i="1" s="1"/>
  <c r="AN86" i="1"/>
  <c r="AG86" i="1"/>
  <c r="AH86" i="1" s="1"/>
  <c r="AN85" i="1"/>
  <c r="AG85" i="1"/>
  <c r="AH85" i="1" s="1"/>
  <c r="AN84" i="1"/>
  <c r="AG84" i="1"/>
  <c r="AH84" i="1" s="1"/>
  <c r="AN83" i="1"/>
  <c r="AG83" i="1"/>
  <c r="AH83" i="1" s="1"/>
  <c r="AN82" i="1"/>
  <c r="AG82" i="1"/>
  <c r="AH82" i="1" s="1"/>
  <c r="AN81" i="1"/>
  <c r="AG81" i="1"/>
  <c r="AH81" i="1" s="1"/>
  <c r="AN80" i="1"/>
  <c r="AG80" i="1"/>
  <c r="AH80" i="1" s="1"/>
  <c r="AN79" i="1"/>
  <c r="AG79" i="1"/>
  <c r="AH79" i="1" s="1"/>
  <c r="AN78" i="1"/>
  <c r="AG78" i="1"/>
  <c r="AH78" i="1" s="1"/>
  <c r="AN77" i="1"/>
  <c r="AG77" i="1"/>
  <c r="AH77" i="1" s="1"/>
  <c r="AN76" i="1"/>
  <c r="AG76" i="1"/>
  <c r="AH76" i="1" s="1"/>
  <c r="AN75" i="1"/>
  <c r="AG75" i="1"/>
  <c r="AH75" i="1" s="1"/>
  <c r="AN74" i="1"/>
  <c r="AG74" i="1"/>
  <c r="AH74" i="1" s="1"/>
  <c r="AN73" i="1"/>
  <c r="AG73" i="1"/>
  <c r="AH73" i="1" s="1"/>
  <c r="AN72" i="1"/>
  <c r="AG72" i="1"/>
  <c r="AH72" i="1" s="1"/>
  <c r="AN71" i="1"/>
  <c r="AG71" i="1"/>
  <c r="AH71" i="1" s="1"/>
  <c r="AN70" i="1"/>
  <c r="AG70" i="1"/>
  <c r="AH70" i="1" s="1"/>
  <c r="AN69" i="1"/>
  <c r="AG69" i="1"/>
  <c r="AH69" i="1" s="1"/>
  <c r="AN68" i="1"/>
  <c r="AG68" i="1"/>
  <c r="AH68" i="1" s="1"/>
  <c r="AN67" i="1"/>
  <c r="AG67" i="1"/>
  <c r="AH67" i="1" s="1"/>
  <c r="AN66" i="1"/>
  <c r="AG66" i="1"/>
  <c r="AH66" i="1" s="1"/>
  <c r="AN65" i="1"/>
  <c r="AG65" i="1"/>
  <c r="AH65" i="1" s="1"/>
  <c r="AN64" i="1"/>
  <c r="AG64" i="1"/>
  <c r="AH64" i="1" s="1"/>
  <c r="AN63" i="1"/>
  <c r="AG63" i="1"/>
  <c r="AH63" i="1" s="1"/>
  <c r="AN62" i="1"/>
  <c r="AG62" i="1"/>
  <c r="AH62" i="1" s="1"/>
  <c r="AN61" i="1"/>
  <c r="AG61" i="1"/>
  <c r="AH61" i="1" s="1"/>
  <c r="AN60" i="1"/>
  <c r="AG60" i="1"/>
  <c r="AH60" i="1" s="1"/>
  <c r="AN59" i="1"/>
  <c r="AG59" i="1"/>
  <c r="AH59" i="1" s="1"/>
  <c r="AN58" i="1"/>
  <c r="AG58" i="1"/>
  <c r="AH58" i="1" s="1"/>
  <c r="AN57" i="1"/>
  <c r="AG57" i="1"/>
  <c r="AH57" i="1" s="1"/>
  <c r="AN56" i="1"/>
  <c r="AG56" i="1"/>
  <c r="AH56" i="1" s="1"/>
  <c r="AN55" i="1"/>
  <c r="AG55" i="1"/>
  <c r="AH55" i="1" s="1"/>
  <c r="AN54" i="1"/>
  <c r="AG54" i="1"/>
  <c r="AH54" i="1" s="1"/>
  <c r="AN53" i="1"/>
  <c r="AG53" i="1"/>
  <c r="AH53" i="1" s="1"/>
  <c r="AN52" i="1"/>
  <c r="AG52" i="1"/>
  <c r="AH52" i="1" s="1"/>
  <c r="AN51" i="1"/>
  <c r="AG51" i="1"/>
  <c r="AH51" i="1" s="1"/>
  <c r="AN50" i="1"/>
  <c r="AG50" i="1"/>
  <c r="AH50" i="1" s="1"/>
  <c r="AN49" i="1"/>
  <c r="AG49" i="1"/>
  <c r="AH49" i="1" s="1"/>
  <c r="AN48" i="1"/>
  <c r="AG48" i="1"/>
  <c r="AH48" i="1" s="1"/>
  <c r="AN47" i="1"/>
  <c r="AG47" i="1"/>
  <c r="AH47" i="1" s="1"/>
  <c r="AN46" i="1"/>
  <c r="AG46" i="1"/>
  <c r="AH46" i="1" s="1"/>
  <c r="AN45" i="1"/>
  <c r="AG45" i="1"/>
  <c r="AH45" i="1" s="1"/>
  <c r="AN44" i="1"/>
  <c r="AG44" i="1"/>
  <c r="AH44" i="1" s="1"/>
  <c r="AN43" i="1"/>
  <c r="AG43" i="1"/>
  <c r="AH43" i="1" s="1"/>
  <c r="AN42" i="1"/>
  <c r="AG42" i="1"/>
  <c r="AH42" i="1" s="1"/>
  <c r="AN41" i="1"/>
  <c r="AG41" i="1"/>
  <c r="AH41" i="1" s="1"/>
  <c r="AN40" i="1"/>
  <c r="AG40" i="1"/>
  <c r="AH40" i="1" s="1"/>
  <c r="AN39" i="1"/>
  <c r="AG39" i="1"/>
  <c r="AH39" i="1" s="1"/>
  <c r="AN38" i="1"/>
  <c r="AG38" i="1"/>
  <c r="AH38" i="1" s="1"/>
  <c r="AN37" i="1"/>
  <c r="AG37" i="1"/>
  <c r="AH37" i="1" s="1"/>
  <c r="AN36" i="1"/>
  <c r="AG36" i="1"/>
  <c r="AH36" i="1" s="1"/>
  <c r="AN35" i="1"/>
  <c r="AG35" i="1"/>
  <c r="AH35" i="1" s="1"/>
  <c r="AN34" i="1"/>
  <c r="AG34" i="1"/>
  <c r="AH34" i="1" s="1"/>
  <c r="AN33" i="1"/>
  <c r="AG33" i="1"/>
  <c r="AH33" i="1" s="1"/>
  <c r="AN32" i="1"/>
  <c r="AG32" i="1"/>
  <c r="AH32" i="1" s="1"/>
  <c r="AN31" i="1"/>
  <c r="AG31" i="1"/>
  <c r="AH31" i="1" s="1"/>
  <c r="AN30" i="1"/>
  <c r="AG30" i="1"/>
  <c r="AH30" i="1" s="1"/>
  <c r="AN29" i="1"/>
  <c r="AG29" i="1"/>
  <c r="AH29" i="1" s="1"/>
  <c r="AN28" i="1"/>
  <c r="AG28" i="1"/>
  <c r="AH28" i="1" s="1"/>
  <c r="AN27" i="1"/>
  <c r="AG27" i="1"/>
  <c r="AH27" i="1" s="1"/>
  <c r="AN26" i="1"/>
  <c r="AG26" i="1"/>
  <c r="AH26" i="1" s="1"/>
  <c r="AN25" i="1"/>
  <c r="AG25" i="1"/>
  <c r="AH25" i="1" s="1"/>
  <c r="AN24" i="1"/>
  <c r="AG24" i="1"/>
  <c r="AH24" i="1" s="1"/>
  <c r="AN23" i="1"/>
  <c r="AG23" i="1"/>
  <c r="AH23" i="1" s="1"/>
  <c r="AN22" i="1"/>
  <c r="AG22" i="1"/>
  <c r="AH22" i="1" s="1"/>
  <c r="AN21" i="1"/>
  <c r="AG21" i="1"/>
  <c r="AH21" i="1" s="1"/>
  <c r="AN20" i="1"/>
  <c r="AG20" i="1"/>
  <c r="AH20" i="1" s="1"/>
  <c r="AN19" i="1"/>
  <c r="AG19" i="1"/>
  <c r="AH19" i="1" s="1"/>
  <c r="AN18" i="1"/>
  <c r="AG18" i="1"/>
  <c r="AH18" i="1" s="1"/>
  <c r="AN17" i="1"/>
  <c r="AG17" i="1"/>
  <c r="AH17" i="1" s="1"/>
  <c r="AN16" i="1"/>
  <c r="AG16" i="1"/>
  <c r="AH16" i="1" s="1"/>
  <c r="AN15" i="1"/>
  <c r="AG15" i="1"/>
  <c r="AH15" i="1" s="1"/>
  <c r="AN14" i="1"/>
  <c r="AG14" i="1"/>
  <c r="AH14" i="1" s="1"/>
  <c r="AN13" i="1"/>
  <c r="AG13" i="1"/>
  <c r="AH13" i="1" s="1"/>
  <c r="AN12" i="1"/>
  <c r="AG12" i="1"/>
  <c r="AH12" i="1" s="1"/>
  <c r="AN11" i="1"/>
  <c r="AG11" i="1"/>
  <c r="AH11" i="1" s="1"/>
  <c r="AN10" i="1"/>
  <c r="AG10" i="1"/>
  <c r="AH10" i="1" s="1"/>
  <c r="AN9" i="1"/>
  <c r="AG9" i="1"/>
  <c r="AH9" i="1" s="1"/>
  <c r="AN8" i="1"/>
  <c r="AG8" i="1"/>
  <c r="AH8" i="1" s="1"/>
  <c r="AN7" i="1"/>
  <c r="AG7" i="1"/>
  <c r="AH7" i="1" s="1"/>
  <c r="AN6" i="1"/>
  <c r="AG6" i="1"/>
  <c r="AH6" i="1" s="1"/>
  <c r="AN5" i="1"/>
  <c r="AG5" i="1"/>
  <c r="AH5" i="1" s="1"/>
  <c r="AN4" i="1"/>
  <c r="AG4" i="1"/>
  <c r="AH4" i="1" s="1"/>
  <c r="AN3" i="1"/>
  <c r="AG3" i="1"/>
  <c r="AH3" i="1" s="1"/>
  <c r="AH1" i="1" l="1"/>
</calcChain>
</file>

<file path=xl/sharedStrings.xml><?xml version="1.0" encoding="utf-8"?>
<sst xmlns="http://schemas.openxmlformats.org/spreadsheetml/2006/main" count="89609" uniqueCount="2109">
  <si>
    <t>no</t>
  </si>
  <si>
    <t>invoice</t>
  </si>
  <si>
    <t>remark</t>
  </si>
  <si>
    <t>tanggal</t>
  </si>
  <si>
    <t>noso</t>
  </si>
  <si>
    <t>nopo</t>
  </si>
  <si>
    <t>salesid</t>
  </si>
  <si>
    <t>salesperson</t>
  </si>
  <si>
    <t>princp_id</t>
  </si>
  <si>
    <t>princp_name</t>
  </si>
  <si>
    <t>div_id</t>
  </si>
  <si>
    <t>div_name</t>
  </si>
  <si>
    <t>custid</t>
  </si>
  <si>
    <t>custtype</t>
  </si>
  <si>
    <t>custname</t>
  </si>
  <si>
    <t>alamat</t>
  </si>
  <si>
    <t>fakturpajak</t>
  </si>
  <si>
    <t>tglfp</t>
  </si>
  <si>
    <t>namanpwp</t>
  </si>
  <si>
    <t>alamatnpwp</t>
  </si>
  <si>
    <t>nonpwp</t>
  </si>
  <si>
    <t>noktp</t>
  </si>
  <si>
    <t>email</t>
  </si>
  <si>
    <t>dpp</t>
  </si>
  <si>
    <t>ppn</t>
  </si>
  <si>
    <t>unit_dpp</t>
  </si>
  <si>
    <t>unit_ppn</t>
  </si>
  <si>
    <t>amount</t>
  </si>
  <si>
    <t>qty</t>
  </si>
  <si>
    <t>sat</t>
  </si>
  <si>
    <t>qty_item1</t>
  </si>
  <si>
    <t>itemid</t>
  </si>
  <si>
    <t>konversi</t>
  </si>
  <si>
    <t>KTN</t>
  </si>
  <si>
    <t>itemid2</t>
  </si>
  <si>
    <t>itemotherid</t>
  </si>
  <si>
    <t>itemname</t>
  </si>
  <si>
    <t>gdn</t>
  </si>
  <si>
    <t>price</t>
  </si>
  <si>
    <t>pcs price</t>
  </si>
  <si>
    <t>pc1</t>
  </si>
  <si>
    <t>diskon1</t>
  </si>
  <si>
    <t>pc2</t>
  </si>
  <si>
    <t>diskon2</t>
  </si>
  <si>
    <t>pc3</t>
  </si>
  <si>
    <t>diskon3</t>
  </si>
  <si>
    <t>pc4</t>
  </si>
  <si>
    <t>diskon4</t>
  </si>
  <si>
    <t>pc5</t>
  </si>
  <si>
    <t>diskon5</t>
  </si>
  <si>
    <t>pc6</t>
  </si>
  <si>
    <t>diskon6</t>
  </si>
  <si>
    <t>pc7</t>
  </si>
  <si>
    <t>diskon7</t>
  </si>
  <si>
    <t>disc_bottom</t>
  </si>
  <si>
    <t>sub_amount</t>
  </si>
  <si>
    <t>hrg_pkk</t>
  </si>
  <si>
    <t>sub_pkk</t>
  </si>
  <si>
    <t>createdby</t>
  </si>
  <si>
    <t>returno</t>
  </si>
  <si>
    <t>returqty</t>
  </si>
  <si>
    <t>returreason</t>
  </si>
  <si>
    <t>cabang</t>
  </si>
  <si>
    <t>phone1</t>
  </si>
  <si>
    <t>custgroup4</t>
  </si>
  <si>
    <t>G01SI2607-0038</t>
  </si>
  <si>
    <t/>
  </si>
  <si>
    <t>01TMP2607-000613</t>
  </si>
  <si>
    <t>-</t>
  </si>
  <si>
    <t>SR057</t>
  </si>
  <si>
    <t>INDRA</t>
  </si>
  <si>
    <t>008</t>
  </si>
  <si>
    <t>Joenoes Ika Mulya</t>
  </si>
  <si>
    <t>07</t>
  </si>
  <si>
    <t>YURI</t>
  </si>
  <si>
    <t>CL31890</t>
  </si>
  <si>
    <t>RETAIL</t>
  </si>
  <si>
    <t>DUMADI MART</t>
  </si>
  <si>
    <t>GRIYA KEBRAON TENGAH BLOK O/23</t>
  </si>
  <si>
    <t>AGUS PURWANTO</t>
  </si>
  <si>
    <t>WONOCOLO 24</t>
  </si>
  <si>
    <t>3515131312750001</t>
  </si>
  <si>
    <t>PCS</t>
  </si>
  <si>
    <t>08070802120025</t>
  </si>
  <si>
    <t>DDR356494A</t>
  </si>
  <si>
    <t>DEE-DEE SHAMPOO (STR) REFILL 125 ML</t>
  </si>
  <si>
    <t>GDN KENJERAN MODERN</t>
  </si>
  <si>
    <t>invsby-eka</t>
  </si>
  <si>
    <t>010</t>
  </si>
  <si>
    <t>002</t>
  </si>
  <si>
    <t>08070802320012</t>
  </si>
  <si>
    <t>DPK442282C</t>
  </si>
  <si>
    <t>DEE-DEE TOOTH PASTE D.MINT/T.MINT (GRP) REFILL 50 GR</t>
  </si>
  <si>
    <t>08070804130002</t>
  </si>
  <si>
    <t>HSR222993</t>
  </si>
  <si>
    <t>HAND SOAP (GRP) POUCH 375 ML</t>
  </si>
  <si>
    <t>08070804130004</t>
  </si>
  <si>
    <t>HSR222995</t>
  </si>
  <si>
    <t>HAND SOAP (ORG) POUCH 375 ML</t>
  </si>
  <si>
    <t>08070804130005</t>
  </si>
  <si>
    <t>HSR222996</t>
  </si>
  <si>
    <t>HAND SOAP (STR) POUCH 375 ML</t>
  </si>
  <si>
    <t>08070804310067</t>
  </si>
  <si>
    <t>POU332380</t>
  </si>
  <si>
    <t>PORSTEX WB (UNGU) BOTTLE 1000 ML</t>
  </si>
  <si>
    <t>08070804310092</t>
  </si>
  <si>
    <t>SOL420990</t>
  </si>
  <si>
    <t>YURI-SOL (PINE ORIGINAL) POUCH 700 ML</t>
  </si>
  <si>
    <t>G01SI2607-0216</t>
  </si>
  <si>
    <t>01TMP2607-001977</t>
  </si>
  <si>
    <t>CL01823</t>
  </si>
  <si>
    <t>OTHER</t>
  </si>
  <si>
    <t>ANDA I, TOKO</t>
  </si>
  <si>
    <t>KUPANG GUNUNG 3A</t>
  </si>
  <si>
    <t>HALIMIN, SAG</t>
  </si>
  <si>
    <t>3578061511680001</t>
  </si>
  <si>
    <t>08070802100023</t>
  </si>
  <si>
    <t>DFW662094</t>
  </si>
  <si>
    <t>DEE-DEE FACIAL WASH (STR) TUBE 100 GR</t>
  </si>
  <si>
    <t>08070802120045</t>
  </si>
  <si>
    <t>DDR356294A</t>
  </si>
  <si>
    <t>DEE-DEE SHAMPOO (STR) REFILL 250 ML</t>
  </si>
  <si>
    <t>08070802220002</t>
  </si>
  <si>
    <t>DPS442267</t>
  </si>
  <si>
    <t>PAKET DEE-DEE II / GIFT PACK</t>
  </si>
  <si>
    <t>08070802260011</t>
  </si>
  <si>
    <t>DSG442590</t>
  </si>
  <si>
    <t>DEE-DEE TOOTH BRUSH PREMIUM</t>
  </si>
  <si>
    <t>08070804130001</t>
  </si>
  <si>
    <t>HSR222991</t>
  </si>
  <si>
    <t>HAND SOAP (APPLE) POUCH 375 ML</t>
  </si>
  <si>
    <t>08070804160041</t>
  </si>
  <si>
    <t>GLA178990</t>
  </si>
  <si>
    <t>GLASS CLEANER (FB) POUCH 410 ML</t>
  </si>
  <si>
    <t>CTN</t>
  </si>
  <si>
    <t>08070804310061</t>
  </si>
  <si>
    <t>POR332290</t>
  </si>
  <si>
    <t>PORSTEX WL (BIRU) BOTTLE 500 ML</t>
  </si>
  <si>
    <t>08070804310071</t>
  </si>
  <si>
    <t>POR332490</t>
  </si>
  <si>
    <t>PORSTEX WL (BIRU) BOTTLE 2000 ML</t>
  </si>
  <si>
    <t>08070804310086</t>
  </si>
  <si>
    <t>PSR563390</t>
  </si>
  <si>
    <t>PORSTEX REGULAR (OC BLUE) BOTTLE 700 ML</t>
  </si>
  <si>
    <t>G01SI2607-0508</t>
  </si>
  <si>
    <t>EVENT IMOBY PAKUWON MALL_x000D_Copy of Order-No : 01TMP2605-026256</t>
  </si>
  <si>
    <t>01TMP2606-037779</t>
  </si>
  <si>
    <t>REV/SI-4701</t>
  </si>
  <si>
    <t>CL02006</t>
  </si>
  <si>
    <t>PRINCIPLE</t>
  </si>
  <si>
    <t>JOENOES IKA MULYA, PT</t>
  </si>
  <si>
    <t>MBULAK KAV. 73 / 17</t>
  </si>
  <si>
    <t>RAYA MBULAK KAV. 73 / 17</t>
  </si>
  <si>
    <t>0013379292007000000000</t>
  </si>
  <si>
    <t>08070801220025</t>
  </si>
  <si>
    <t>DBD794192-Z0</t>
  </si>
  <si>
    <t>BABY DEE LOTION NATURAL HONEY &amp; CHAMOMILE EXTRACT 100G BUY1</t>
  </si>
  <si>
    <t>G01KJ2607-0339</t>
  </si>
  <si>
    <t>Revisi Faktur Bersih</t>
  </si>
  <si>
    <t>001</t>
  </si>
  <si>
    <t>08070802100021</t>
  </si>
  <si>
    <t>DFW662092</t>
  </si>
  <si>
    <t>DEE-DEE FACIAL WASH (GRP) TUBE 100 GR</t>
  </si>
  <si>
    <t>08070802120011</t>
  </si>
  <si>
    <t>DDR356191A</t>
  </si>
  <si>
    <t>DEE-DEE SHAMPOO (APPLE) BOTTLE 45 ML</t>
  </si>
  <si>
    <t>08070802120079</t>
  </si>
  <si>
    <t>DDR356993A-Z</t>
  </si>
  <si>
    <t>DEE DEE SHAMPOO ORANGE POUCH 24X200ML / BELI 1 GRATIS 1</t>
  </si>
  <si>
    <t>08070804160019</t>
  </si>
  <si>
    <t>LIG252755C-Z0</t>
  </si>
  <si>
    <t>LIGENT (GRAPE FRUIT) POUCH 600 ML FREE GIFT (SCAN 2X)</t>
  </si>
  <si>
    <t>08070804160064</t>
  </si>
  <si>
    <t>LIG252922</t>
  </si>
  <si>
    <t>LIGENT (LEMON) POUCH 700 ML</t>
  </si>
  <si>
    <t>08070804160214</t>
  </si>
  <si>
    <t>PSR563290</t>
  </si>
  <si>
    <t>YURI PORSTEX REGULER OCEAN BLUE/ 160ML EXTRA 40ML</t>
  </si>
  <si>
    <t>08070804310048</t>
  </si>
  <si>
    <t>AGA101991B-Z</t>
  </si>
  <si>
    <t>AGANOL FLORAL/600ML BUY 1 GET 1</t>
  </si>
  <si>
    <t>G01SI2607-0510</t>
  </si>
  <si>
    <t>-_x000D_Copy of Order-No : 01TMP2605-032195</t>
  </si>
  <si>
    <t>G01SO2606-4651</t>
  </si>
  <si>
    <t>REV/SI-5770</t>
  </si>
  <si>
    <t>08070802120012</t>
  </si>
  <si>
    <t>DDR356192A</t>
  </si>
  <si>
    <t>DEE-DEE SHAMPOO (GRP) BOTTLE 45 ML</t>
  </si>
  <si>
    <t>G01KJ2607-0329</t>
  </si>
  <si>
    <t>Tidak ada kelanjutan</t>
  </si>
  <si>
    <t>G01SI2607-0612</t>
  </si>
  <si>
    <t>G10SO2607-0215</t>
  </si>
  <si>
    <t>CL46263</t>
  </si>
  <si>
    <t>MAKMUR SATU, CV</t>
  </si>
  <si>
    <t>WIYUNG INDAH XI/39 GG NO.10</t>
  </si>
  <si>
    <t>PUTRAAGUNG TENGGARA</t>
  </si>
  <si>
    <t>RATULANGI 18 RT 003 RW 008 KEL. DR. SUTOMO KEC. TE</t>
  </si>
  <si>
    <t>3578051105650004</t>
  </si>
  <si>
    <t>085102118738</t>
  </si>
  <si>
    <t>08070802210022</t>
  </si>
  <si>
    <t>DDM497193</t>
  </si>
  <si>
    <t>DEE-DEE PENOLAK NYAMUK (ORG) TUBE 50 GR</t>
  </si>
  <si>
    <t>08070802320013</t>
  </si>
  <si>
    <t>DPK442283C</t>
  </si>
  <si>
    <t>DEE-DEE TOOTH PASTE D.MINT/T.MINT (ORG) REFILL 50 GR</t>
  </si>
  <si>
    <t>08070804130003</t>
  </si>
  <si>
    <t>HSR222994</t>
  </si>
  <si>
    <t>HAND SOAP (LEMON) POUCH 375 ML</t>
  </si>
  <si>
    <t>G01KJ2607-0174</t>
  </si>
  <si>
    <t>Batal Permintaan Customer</t>
  </si>
  <si>
    <t>08070804310062</t>
  </si>
  <si>
    <t>POU332280</t>
  </si>
  <si>
    <t>PORSTEX WB (UNGU) BOTTLE 500 ML</t>
  </si>
  <si>
    <t>08070804310087</t>
  </si>
  <si>
    <t>PSR563380</t>
  </si>
  <si>
    <t>PORSTEX REGULAR (FRE LI) BOTTLE 700 ML</t>
  </si>
  <si>
    <t>G01SI2607-1271</t>
  </si>
  <si>
    <t>G01SO2607-0753</t>
  </si>
  <si>
    <t>+/-SR2606-0105</t>
  </si>
  <si>
    <t>G01SI2607-1557</t>
  </si>
  <si>
    <t>G01SO2607-0921</t>
  </si>
  <si>
    <t>+/-SR2606-0106</t>
  </si>
  <si>
    <t>SR064</t>
  </si>
  <si>
    <t>KANTOR</t>
  </si>
  <si>
    <t>08070801220022</t>
  </si>
  <si>
    <t>DBD761261</t>
  </si>
  <si>
    <t>BABY DEE TRAVEL PACK (MILK)</t>
  </si>
  <si>
    <t>08070801220024</t>
  </si>
  <si>
    <t>DBD761262</t>
  </si>
  <si>
    <t>BABY DEE TRAVEL PACK HONEY</t>
  </si>
  <si>
    <t>G01SI2607-1558</t>
  </si>
  <si>
    <t>_x000D_Copy of Order-No : G01SO2605-3313</t>
  </si>
  <si>
    <t>G10SO2607-0509</t>
  </si>
  <si>
    <t>-REV/SI-4675</t>
  </si>
  <si>
    <t>08070801030042</t>
  </si>
  <si>
    <t>71200103</t>
  </si>
  <si>
    <t>BABY DEE BABY LOTION (HONEY) BOTTLE 100 ML</t>
  </si>
  <si>
    <t>admsby-finda</t>
  </si>
  <si>
    <t>G01KJ2607-0330</t>
  </si>
  <si>
    <t>08070802120064</t>
  </si>
  <si>
    <t>DDS992284A</t>
  </si>
  <si>
    <t>DEE-DEE SHAMPOO (ROSE) FOR LONG HAIR 200 ML</t>
  </si>
  <si>
    <t>08070802120066</t>
  </si>
  <si>
    <t>DDS992283A</t>
  </si>
  <si>
    <t>DEE-DEE SHAMPOO (GREAN TEA) FOR LONG HAIR 200 ML</t>
  </si>
  <si>
    <t>08070802120078</t>
  </si>
  <si>
    <t>DDR356991A-Z</t>
  </si>
  <si>
    <t>DEE DEE SHAMPOO APPLE POUCH 24X200ML / BELI 1 GRATIS 1</t>
  </si>
  <si>
    <t>08070802210021</t>
  </si>
  <si>
    <t>DDM497195</t>
  </si>
  <si>
    <t>DEE-DEE PENOLAK NYAMUK (GUAVA) TUBE 50 GR</t>
  </si>
  <si>
    <t>08070802220001</t>
  </si>
  <si>
    <t>DDP356267</t>
  </si>
  <si>
    <t>PAKET DEE-DEE TOILETRIES</t>
  </si>
  <si>
    <t>G01SI2607-2310</t>
  </si>
  <si>
    <t>01TMP2607-013311</t>
  </si>
  <si>
    <t>CL02624</t>
  </si>
  <si>
    <t>BAROKAH</t>
  </si>
  <si>
    <t>DR SOETOMO</t>
  </si>
  <si>
    <t>LOLOK MCHMOEDA</t>
  </si>
  <si>
    <t>PETEMON III/21-A</t>
  </si>
  <si>
    <t>3578064204740011</t>
  </si>
  <si>
    <t>08070802120022</t>
  </si>
  <si>
    <t>DDR356492A</t>
  </si>
  <si>
    <t>DEE-DEE SHAMPOO (GRP) REFILL 125 ML</t>
  </si>
  <si>
    <t>08070802120023</t>
  </si>
  <si>
    <t>DDR356493A</t>
  </si>
  <si>
    <t>DEE-DEE SHAMPOO (ORG) REFILL 125 ML</t>
  </si>
  <si>
    <t>08070802220003</t>
  </si>
  <si>
    <t>DPT464267</t>
  </si>
  <si>
    <t>DEE-DEE TRAVEL PACK</t>
  </si>
  <si>
    <t>G01SI2607-2963</t>
  </si>
  <si>
    <t>01TMP2607-016854</t>
  </si>
  <si>
    <t>CL06272</t>
  </si>
  <si>
    <t>SUPERMARKET</t>
  </si>
  <si>
    <t>HOKKY BUAH</t>
  </si>
  <si>
    <t>PANGLIMA SUDIRMAN 32</t>
  </si>
  <si>
    <t>040.002-26.25667591</t>
  </si>
  <si>
    <t>PT. HOKKY PRADANA UTAMA</t>
  </si>
  <si>
    <t>JL. KEDUNGSARI, 69-B,  WONOREJO TEGALSARI, KOTA SU</t>
  </si>
  <si>
    <t>0022569974607000000000</t>
  </si>
  <si>
    <t>08070804130047</t>
  </si>
  <si>
    <t>HSA981995A</t>
  </si>
  <si>
    <t>HAND SOAP PRE (LAV) POUCH 375 ML</t>
  </si>
  <si>
    <t>08070804150001</t>
  </si>
  <si>
    <t>TAF365391</t>
  </si>
  <si>
    <t>TAF (LEMON LIME) BOTTLE 500 ML</t>
  </si>
  <si>
    <t>08070804150002</t>
  </si>
  <si>
    <t>TAF365390</t>
  </si>
  <si>
    <t>TAF (FRESH BLUE) BOTTLE 500 ML</t>
  </si>
  <si>
    <t>08070804310066</t>
  </si>
  <si>
    <t>POR332390</t>
  </si>
  <si>
    <t>PORSTEX WL (BIRU) BOTTLE 1000 ML</t>
  </si>
  <si>
    <t>G01SI2607-3485</t>
  </si>
  <si>
    <t>01TMP2607-019945</t>
  </si>
  <si>
    <t>SR006</t>
  </si>
  <si>
    <t>RIKA ARSKA</t>
  </si>
  <si>
    <t>CL01820</t>
  </si>
  <si>
    <t>AINI, SWALAYAN</t>
  </si>
  <si>
    <t>MEDOKAN ASRI I / K NO. 1</t>
  </si>
  <si>
    <t>NORMAN PARLINDUNGAN SIREGAR</t>
  </si>
  <si>
    <t>MEDOKAN AYU MA.I-K/1</t>
  </si>
  <si>
    <t>3578032510820002</t>
  </si>
  <si>
    <t>08070804130012</t>
  </si>
  <si>
    <t>HSP222383</t>
  </si>
  <si>
    <t>HAND SOAP (GRP) PUMP 410 ML</t>
  </si>
  <si>
    <t>08070804130013</t>
  </si>
  <si>
    <t>HSP222384</t>
  </si>
  <si>
    <t>HAND SOAP (LEMON) PUMP 410 ML</t>
  </si>
  <si>
    <t>08070804130014</t>
  </si>
  <si>
    <t>HSP222385</t>
  </si>
  <si>
    <t>HAND SOAP (ORG) PUMP 410 ML</t>
  </si>
  <si>
    <t>08070804310076</t>
  </si>
  <si>
    <t>POR332590</t>
  </si>
  <si>
    <t>PORSTEX WL (BIRU) JRG 3.7 LT</t>
  </si>
  <si>
    <t>G01SI2607-3486</t>
  </si>
  <si>
    <t>01TMP2607-019960</t>
  </si>
  <si>
    <t>CL01845</t>
  </si>
  <si>
    <t>DELTA MINI MARKET</t>
  </si>
  <si>
    <t>KAPAS KRAMPUNG 224</t>
  </si>
  <si>
    <t>ALIM HERMAWAN</t>
  </si>
  <si>
    <t>KAPAS KRAMPUNG 222</t>
  </si>
  <si>
    <t>3578101201530001</t>
  </si>
  <si>
    <t>08070804310072</t>
  </si>
  <si>
    <t>POU332480</t>
  </si>
  <si>
    <t>PORSTEX WB (UNGU) BOTTLE 2000 ML</t>
  </si>
  <si>
    <t>G01SI2607-4198</t>
  </si>
  <si>
    <t>01TMP2607-024237</t>
  </si>
  <si>
    <t>CL21323</t>
  </si>
  <si>
    <t>MM MART</t>
  </si>
  <si>
    <t>BUBUTAN 29</t>
  </si>
  <si>
    <t>Drs.EC PAULUS IWAN KOENTASI</t>
  </si>
  <si>
    <t>JL. PANTI DARMA NO.6 RW 006 KEL BUBUTAN KEC BUBUTA</t>
  </si>
  <si>
    <t>357801112670010</t>
  </si>
  <si>
    <t>000</t>
  </si>
  <si>
    <t>G01SI2607-4199</t>
  </si>
  <si>
    <t>01TMP2607-024268</t>
  </si>
  <si>
    <t>CL01834</t>
  </si>
  <si>
    <t>ANIEK YULIFAH</t>
  </si>
  <si>
    <t>SIMO POMAHAN 6/15</t>
  </si>
  <si>
    <t>3578275110710002</t>
  </si>
  <si>
    <t>08070802120015</t>
  </si>
  <si>
    <t>DDR356194A</t>
  </si>
  <si>
    <t>DEE-DEE SHAMPOO (STR) BOTTLE 45 ML</t>
  </si>
  <si>
    <t>08070802210023</t>
  </si>
  <si>
    <t>DDM497194</t>
  </si>
  <si>
    <t>DEE-DEE PENOLAK NYAMUK (STR) TUBE 50 GR</t>
  </si>
  <si>
    <t>08070802220006</t>
  </si>
  <si>
    <t>DSG442492</t>
  </si>
  <si>
    <t>DEE DEE SIKAT GIGI (TRAY) MIX</t>
  </si>
  <si>
    <t>08070802320014</t>
  </si>
  <si>
    <t>DPK442284C</t>
  </si>
  <si>
    <t>DEE-DEE TOOTH PASTE D.MINT/T.MINT (STR) REFILL 50 GR</t>
  </si>
  <si>
    <t>08070804160093</t>
  </si>
  <si>
    <t>TRI431993</t>
  </si>
  <si>
    <t>TRIL (LAVENDER) POUCH 410 ML</t>
  </si>
  <si>
    <t>08070804310051</t>
  </si>
  <si>
    <t>LYS277390</t>
  </si>
  <si>
    <t>LYSORIN BOTTLE 1000 ML</t>
  </si>
  <si>
    <t>08070804310063</t>
  </si>
  <si>
    <t>POR332270</t>
  </si>
  <si>
    <t>PORSTEX KLOSET BOTTLE 500 ML</t>
  </si>
  <si>
    <t>G01SI2607-4481</t>
  </si>
  <si>
    <t>01TMP2607-025396</t>
  </si>
  <si>
    <t>CL04279</t>
  </si>
  <si>
    <t>MELATI</t>
  </si>
  <si>
    <t>PANDEGILING 154</t>
  </si>
  <si>
    <t>INKANAH</t>
  </si>
  <si>
    <t>WONOREJO IV.14-C</t>
  </si>
  <si>
    <t>3578054110710003</t>
  </si>
  <si>
    <t>08070802120032</t>
  </si>
  <si>
    <t>DDP356282A</t>
  </si>
  <si>
    <t>DEE-DEE SHAMPOO (GRP) PUMP 250 ML</t>
  </si>
  <si>
    <t>G01SI2607-4576</t>
  </si>
  <si>
    <t>-_x000D_Copy of Order-No : 01TMP2605-032195_x000D_Copy of Order-No : G01SO2606-4651</t>
  </si>
  <si>
    <t>G01SO2607-2899</t>
  </si>
  <si>
    <t>REV/SI-0510</t>
  </si>
  <si>
    <t>G01SI2607-4578</t>
  </si>
  <si>
    <t>_x000D_Copy of Order-No : G01SO2605-3313_x000D_Copy of Order-No : G10SO2607-0509</t>
  </si>
  <si>
    <t>G01SO2607-2901</t>
  </si>
  <si>
    <t>-REV/SI-1558</t>
  </si>
  <si>
    <t>G01SI2607-4580</t>
  </si>
  <si>
    <t>HUT KEN 88</t>
  </si>
  <si>
    <t>01TMP2607-026324</t>
  </si>
  <si>
    <t>-CLAIM-</t>
  </si>
  <si>
    <t>08070804160062</t>
  </si>
  <si>
    <t>LIG252912</t>
  </si>
  <si>
    <t>LIGENT (LEMON) POUCH 180 ML</t>
  </si>
  <si>
    <t>G01SI2607-4583</t>
  </si>
  <si>
    <t>-_x000D_Copy of Order-No : 01TMM2605-007563_x000D_Copy of Order-No : 01TMP2605-032905_x000D_Copy of Order-No : 01TMP26</t>
  </si>
  <si>
    <t>01TMP2607-026385</t>
  </si>
  <si>
    <t>REV/SI-0193</t>
  </si>
  <si>
    <t>08070802120013</t>
  </si>
  <si>
    <t>DDR356193A</t>
  </si>
  <si>
    <t>DEE-DEE SHAMPOO (ORG) BOTTLE 45 ML</t>
  </si>
  <si>
    <t>G01SI2607-4584</t>
  </si>
  <si>
    <t>EVENT IMOBY PAKUWON MALL_x000D_Copy of Order-No : 01TMP2605-026256_x000D_Copy of Order-No : 01TMP2606-037779</t>
  </si>
  <si>
    <t>01TMP2607-026396</t>
  </si>
  <si>
    <t>REV/SI-0508</t>
  </si>
  <si>
    <t>G01SI2607-6294</t>
  </si>
  <si>
    <t>01TMP2607-036822</t>
  </si>
  <si>
    <t>CL12287</t>
  </si>
  <si>
    <t>NEW MART</t>
  </si>
  <si>
    <t>BERINGIN 15 SAMBIKEREP</t>
  </si>
  <si>
    <t>RIATI</t>
  </si>
  <si>
    <t>SAWO BRINGIN I/9</t>
  </si>
  <si>
    <t>3578315508740002</t>
  </si>
  <si>
    <t>G01SI2607-6318</t>
  </si>
  <si>
    <t>01TMP2607-037588</t>
  </si>
  <si>
    <t>CL04354</t>
  </si>
  <si>
    <t>MUDA KURNIA</t>
  </si>
  <si>
    <t>PONDOK BENOWO INDAH C-2</t>
  </si>
  <si>
    <t>MUDA BURHANUDDIN BASNUR</t>
  </si>
  <si>
    <t>PONDOK BENOWO INDAH BLOK G-06</t>
  </si>
  <si>
    <t>3578300104650001</t>
  </si>
  <si>
    <t>08070802120021</t>
  </si>
  <si>
    <t>DDR356491A</t>
  </si>
  <si>
    <t>DEE-DEE SHAMPOO (APPLE) REFILL 125 ML</t>
  </si>
  <si>
    <t>08070804310002</t>
  </si>
  <si>
    <t>AGA101992</t>
  </si>
  <si>
    <t>AGANOL (LEMON) POUCH 600 ML</t>
  </si>
  <si>
    <t>08070804310005</t>
  </si>
  <si>
    <t>AGA101991B</t>
  </si>
  <si>
    <t>AGANOL (FLORAL) POUCH 600 ML</t>
  </si>
  <si>
    <t>G01SI2607-7013</t>
  </si>
  <si>
    <t>01TMP2607-041062</t>
  </si>
  <si>
    <t>CL45840</t>
  </si>
  <si>
    <t>BAGUS, SWALAYAN</t>
  </si>
  <si>
    <t>RAYA MENGANTI 45</t>
  </si>
  <si>
    <t>ADRIANUS MINOTO</t>
  </si>
  <si>
    <t>RAYA DUKUH KUPANG 74 RT 001 RW 002 KEL. DUKUH KUPA</t>
  </si>
  <si>
    <t>3578212202570002</t>
  </si>
  <si>
    <t>08070801050033</t>
  </si>
  <si>
    <t>DBD750932</t>
  </si>
  <si>
    <t>BABY DEE BW&amp;SHP NAT HONEY&amp;CHAMOMILE EXCTRACT FOAMING 12X600M</t>
  </si>
  <si>
    <t>031-7664016</t>
  </si>
  <si>
    <t>08070801220021</t>
  </si>
  <si>
    <t>DBD750261</t>
  </si>
  <si>
    <t>BABY DEE TOILETRIES PACK (MILK)</t>
  </si>
  <si>
    <t>08070802290004</t>
  </si>
  <si>
    <t>DTP464194-Z01</t>
  </si>
  <si>
    <t>DEE-DEE TALCUM POWDER (STR) BOTTLE 45 GR</t>
  </si>
  <si>
    <t>08070804160061</t>
  </si>
  <si>
    <t>LIG252911</t>
  </si>
  <si>
    <t>LIGENT (LIME) POUCH 180 ML</t>
  </si>
  <si>
    <t>08070804160106</t>
  </si>
  <si>
    <t>LIG252495-Z01</t>
  </si>
  <si>
    <t>LIGENT (GRAPE FRUIT) BOTTLE 1000 ML</t>
  </si>
  <si>
    <t>08070804160105</t>
  </si>
  <si>
    <t>LIG252925</t>
  </si>
  <si>
    <t>LIGENT (GRAPE FRUIT) POUCH 700 ML</t>
  </si>
  <si>
    <t>G01SI2607-7056</t>
  </si>
  <si>
    <t>01TMP2607-041286</t>
  </si>
  <si>
    <t>CL05520</t>
  </si>
  <si>
    <t>SRI LESTARI</t>
  </si>
  <si>
    <t>ADITYAWARMAN 60</t>
  </si>
  <si>
    <t>SUNARDI</t>
  </si>
  <si>
    <t>DELING</t>
  </si>
  <si>
    <t>3522271206790005</t>
  </si>
  <si>
    <t>G01SI2607-7057</t>
  </si>
  <si>
    <t>01TMP2607-041292</t>
  </si>
  <si>
    <t>CL01825</t>
  </si>
  <si>
    <t>ANDAYANI, MM</t>
  </si>
  <si>
    <t>JEMUR ANDAYANI XIV / 23</t>
  </si>
  <si>
    <t>R. KUSMANA ACHMAD</t>
  </si>
  <si>
    <t>KOMPLEK DPU B-6</t>
  </si>
  <si>
    <t>3515180312570004</t>
  </si>
  <si>
    <t>08070804130041</t>
  </si>
  <si>
    <t>HSA981993A</t>
  </si>
  <si>
    <t>HAND SOAP PRE (GREEN TEA) POUCH 375 ML</t>
  </si>
  <si>
    <t>08070804130046</t>
  </si>
  <si>
    <t>HSA981994A</t>
  </si>
  <si>
    <t>HAND SOAP PRE (ROSE) POUCH 375 ML</t>
  </si>
  <si>
    <t>08070804150004</t>
  </si>
  <si>
    <t>BCL100280</t>
  </si>
  <si>
    <t>TAF BATHROOM CLEANER 500 ML</t>
  </si>
  <si>
    <t>08070804310077</t>
  </si>
  <si>
    <t>POU332580</t>
  </si>
  <si>
    <t>PORSTEX WB (UNGU) JRG 3.7 LT</t>
  </si>
  <si>
    <t>G01SI2607-7821</t>
  </si>
  <si>
    <t>01TMP2607-047639</t>
  </si>
  <si>
    <t>CL01909</t>
  </si>
  <si>
    <t>TARA II</t>
  </si>
  <si>
    <t>MANUKAN LOR IF/9</t>
  </si>
  <si>
    <t>MATNUR</t>
  </si>
  <si>
    <t>3578272006550001</t>
  </si>
  <si>
    <t>08070802120041</t>
  </si>
  <si>
    <t>DDR356291A</t>
  </si>
  <si>
    <t>DEE-DEE SHAMPOO (APPLE) REFILL 250 ML</t>
  </si>
  <si>
    <t>08070802210003</t>
  </si>
  <si>
    <t>DDM497074</t>
  </si>
  <si>
    <t>DEE-DEE PENOLAK NYAMUK (STR) SACHET 5 ML</t>
  </si>
  <si>
    <t>08070802210002</t>
  </si>
  <si>
    <t>DDM497073</t>
  </si>
  <si>
    <t>DEE-DEE PENOLAK NYAMUK (ORG) SACHET 5 ML</t>
  </si>
  <si>
    <t>08070804150024</t>
  </si>
  <si>
    <t>BCL100390</t>
  </si>
  <si>
    <t>TAF BATHROOM CLEANER 375 ML</t>
  </si>
  <si>
    <t>08070804160066</t>
  </si>
  <si>
    <t>LIG252482-Z01</t>
  </si>
  <si>
    <t>LIGENT (LEMON) BOTTLE 1000 ML</t>
  </si>
  <si>
    <t>G10SI2607-0018</t>
  </si>
  <si>
    <t>01TMP2607-000390</t>
  </si>
  <si>
    <t>CL01746</t>
  </si>
  <si>
    <t>BONNET, SM</t>
  </si>
  <si>
    <t>RUNGKUT MAPAN UTARA 88/FB-01 ( EX GIANT RUNGKUT )</t>
  </si>
  <si>
    <t>040.002-26.25653328</t>
  </si>
  <si>
    <t>PT. ANUGRAH ARTACITRA SEMESTA</t>
  </si>
  <si>
    <t>JL. MANYAR KERTOARJO V NO. 62 MOJO - GUBENG SURABA</t>
  </si>
  <si>
    <t>0014799845631000000000</t>
  </si>
  <si>
    <t>08070804310023</t>
  </si>
  <si>
    <t>AGA101493</t>
  </si>
  <si>
    <t>AGANOL (MORNING FRESH) BOTTLE 2000 ML</t>
  </si>
  <si>
    <t>08070804310053</t>
  </si>
  <si>
    <t>LYS277280</t>
  </si>
  <si>
    <t>LYSORIN 630 ML</t>
  </si>
  <si>
    <t>G10SI2607-0019</t>
  </si>
  <si>
    <t>01TMP2607-000405</t>
  </si>
  <si>
    <t>040.002-26.25653339</t>
  </si>
  <si>
    <t>08070804130031</t>
  </si>
  <si>
    <t>HSR222591</t>
  </si>
  <si>
    <t>HAND SOAP (APPLE) JRG 3.7 LT</t>
  </si>
  <si>
    <t>08070804130035</t>
  </si>
  <si>
    <t>HSR222596</t>
  </si>
  <si>
    <t>HAND SOAP (STR) JRG 3.7 LT</t>
  </si>
  <si>
    <t>08070804160077</t>
  </si>
  <si>
    <t>MAT211941</t>
  </si>
  <si>
    <t>YURI MATIC (RB) POUCH 1600 ML</t>
  </si>
  <si>
    <t>08070804160078</t>
  </si>
  <si>
    <t>MAT211942</t>
  </si>
  <si>
    <t>YURI MATIC (RP) POUCH 1600 ML</t>
  </si>
  <si>
    <t>08070804160151</t>
  </si>
  <si>
    <t>BIO113921</t>
  </si>
  <si>
    <t>BIOSOFT HIJAB DETERJEN+SOFTENER OF 12X630 ML PCH</t>
  </si>
  <si>
    <t>08070804160201</t>
  </si>
  <si>
    <t>YDS370280</t>
  </si>
  <si>
    <t>YURI DISINFECTANT SPRAY 12X500ML</t>
  </si>
  <si>
    <t>G10KJ2607-0123</t>
  </si>
  <si>
    <t>G10SI2607-0020</t>
  </si>
  <si>
    <t>G10SO2607-0019</t>
  </si>
  <si>
    <t>CL49550</t>
  </si>
  <si>
    <t>MINA 2</t>
  </si>
  <si>
    <t>RAYA RUNGKUT MENANGGAL 40</t>
  </si>
  <si>
    <t>040.002-26.25653329</t>
  </si>
  <si>
    <t>SITI ISNAWATI,,DRA.</t>
  </si>
  <si>
    <t>JL GALAXI BUMI PERMAI L3 NO 23, SEMOLOWARU, SUKOLI</t>
  </si>
  <si>
    <t>3578094608510003000000</t>
  </si>
  <si>
    <t>082341704374</t>
  </si>
  <si>
    <t>08070802120043</t>
  </si>
  <si>
    <t>DDR356293A</t>
  </si>
  <si>
    <t>DEE-DEE SHAMPOO (ORG) REFILL 250 ML</t>
  </si>
  <si>
    <t>08070804160063</t>
  </si>
  <si>
    <t>LIG252921</t>
  </si>
  <si>
    <t>LIGENT (LIME) POUCH 700 ML</t>
  </si>
  <si>
    <t>G10SI2607-0021</t>
  </si>
  <si>
    <t>01TMP2607-000423</t>
  </si>
  <si>
    <t>CL00155</t>
  </si>
  <si>
    <t>PALAPA MEGA GALAKSI, PT</t>
  </si>
  <si>
    <t>ADITYAWARMAN 47</t>
  </si>
  <si>
    <t>040.002-26.25653313</t>
  </si>
  <si>
    <t>PT PALAPA MEGA GALAKSI</t>
  </si>
  <si>
    <t>JL. ADITYAWARMAN NO. 47 RT.005 RW.011 SAWUNGGALING</t>
  </si>
  <si>
    <t>0749107074609000000000</t>
  </si>
  <si>
    <t>08070804130015</t>
  </si>
  <si>
    <t>HSP222386</t>
  </si>
  <si>
    <t>HAND SOAP (STR) PUMP 410 ML</t>
  </si>
  <si>
    <t>G10SI2607-0022</t>
  </si>
  <si>
    <t>01TMP2607-000424</t>
  </si>
  <si>
    <t>040.002-26.25653312</t>
  </si>
  <si>
    <t>G10SI2607-0023</t>
  </si>
  <si>
    <t>01TMP2607-000436</t>
  </si>
  <si>
    <t>CL35311</t>
  </si>
  <si>
    <t>BRAVO SUPERMARKET</t>
  </si>
  <si>
    <t>JL. HR.MUHAMMAD NO.124-126</t>
  </si>
  <si>
    <t>040.002-26.25653330</t>
  </si>
  <si>
    <t>PT. SAUDARA SEJATI SEJAHTERA</t>
  </si>
  <si>
    <t>JL. PEMUDA NO.37-39_x000D_
NGROWO BOJONEGORO_x000D_
KAB. BOJON</t>
  </si>
  <si>
    <t>0015385214641000000006</t>
  </si>
  <si>
    <t>08070804310003</t>
  </si>
  <si>
    <t>AGA101993</t>
  </si>
  <si>
    <t>AGANOL (MORNING FRESH) POUCH 600 ML</t>
  </si>
  <si>
    <t>08070804310032</t>
  </si>
  <si>
    <t>AGA101592</t>
  </si>
  <si>
    <t>AGANOL (LEMON) JRG 3.7 LT</t>
  </si>
  <si>
    <t>G10SI2607-0024</t>
  </si>
  <si>
    <t>01TMP2607-000439</t>
  </si>
  <si>
    <t>CL01749</t>
  </si>
  <si>
    <t>HOKKY FAMILY</t>
  </si>
  <si>
    <t>ANCHOR PLAZA GRAHA FAMILY PRADAH KALI KENDAL</t>
  </si>
  <si>
    <t>040.002-26.25653332</t>
  </si>
  <si>
    <t>CV. HOKKY FAMILI</t>
  </si>
  <si>
    <t>ANCHOR PLAZA GRAHA FAMILI PRADAH KALI KENDAL - DUK</t>
  </si>
  <si>
    <t>0025867227618000000000</t>
  </si>
  <si>
    <t>08070804130011</t>
  </si>
  <si>
    <t>HSP222381</t>
  </si>
  <si>
    <t>HAND SOAP (APPLE) PUMP 410 ML</t>
  </si>
  <si>
    <t>08070804130032</t>
  </si>
  <si>
    <t>HSR222593</t>
  </si>
  <si>
    <t>HAND SOAP (GRP) JRG 3.7 LT</t>
  </si>
  <si>
    <t>G10SI2607-0025</t>
  </si>
  <si>
    <t>01TMP2607-000445</t>
  </si>
  <si>
    <t>CL38607</t>
  </si>
  <si>
    <t>FAMILY MART</t>
  </si>
  <si>
    <t>VETERAN KM 5,5 LINGKAR TIMUR SAFELOCK (ECO INDUSTRIAL PARK B</t>
  </si>
  <si>
    <t>040.002-26.25653311</t>
  </si>
  <si>
    <t>PT. FAJAR MITRA INDAH</t>
  </si>
  <si>
    <t>GEDUNG GRAHA FAMILTYMART LT 3A JL. SETIABUDI  SELA</t>
  </si>
  <si>
    <t>0210364048011000000000</t>
  </si>
  <si>
    <t>021-57904567</t>
  </si>
  <si>
    <t>G10SI2607-0050</t>
  </si>
  <si>
    <t>01TMP2607-000611</t>
  </si>
  <si>
    <t>CL41746</t>
  </si>
  <si>
    <t>MITRA BELANJA ANDA, PT</t>
  </si>
  <si>
    <t>CITRA RAYA MADE I NO. 06, KEL MADE KEC SAMBIKEREP</t>
  </si>
  <si>
    <t>PT. MITRA BELANJA ANDA</t>
  </si>
  <si>
    <t>GEDUNG ERAJAYA PLAZA, JALAN BANDENGAN SELATAN NOMO</t>
  </si>
  <si>
    <t>0964195945033000000000</t>
  </si>
  <si>
    <t>G10KJ2607-0091</t>
  </si>
  <si>
    <t>081938003877</t>
  </si>
  <si>
    <t>08070804310014</t>
  </si>
  <si>
    <t>AGA080391</t>
  </si>
  <si>
    <t>AGANOL (LAV) BOTTLE 1000 ML</t>
  </si>
  <si>
    <t>08070804310035</t>
  </si>
  <si>
    <t>AGA101591</t>
  </si>
  <si>
    <t>AGANOL (FLORAL) JRG 3.7 LT</t>
  </si>
  <si>
    <t>G10SI2607-0051</t>
  </si>
  <si>
    <t>01TMP2607-000624</t>
  </si>
  <si>
    <t>CL01896</t>
  </si>
  <si>
    <t>PT. RACHMAT ITU ANUGERAH</t>
  </si>
  <si>
    <t>RAYA MENGANTI WIYUNG 68</t>
  </si>
  <si>
    <t>040.002-26.25653331</t>
  </si>
  <si>
    <t>RAYA MENGANTI WIYUNG NO. 68</t>
  </si>
  <si>
    <t>0759962574618000000000</t>
  </si>
  <si>
    <t>08070804160090</t>
  </si>
  <si>
    <t>TRI431992</t>
  </si>
  <si>
    <t>TRIL (FLORAL) POUCH 410 ML</t>
  </si>
  <si>
    <t>G10SI2607-0120</t>
  </si>
  <si>
    <t>01TMP2607-001975</t>
  </si>
  <si>
    <t>CL23320</t>
  </si>
  <si>
    <t>GOTA MINIMARKET</t>
  </si>
  <si>
    <t>RAYA SIMO JAWAR 35 SUKOMANUNGGAL</t>
  </si>
  <si>
    <t>040.002-26.25653477</t>
  </si>
  <si>
    <t>CV. PAPUA SEJAHTERA</t>
  </si>
  <si>
    <t>SIMO JAWAR NO. 35 RT. 004 RW. 001 SIMOMULYO BARU -</t>
  </si>
  <si>
    <t>0023164429951000000000</t>
  </si>
  <si>
    <t>G10SI2607-0121</t>
  </si>
  <si>
    <t>01TMP2607-001980</t>
  </si>
  <si>
    <t>CL31965</t>
  </si>
  <si>
    <t>HOKKY MERR</t>
  </si>
  <si>
    <t>DR IR SOEKARNO 208</t>
  </si>
  <si>
    <t>040.002-26.25653474</t>
  </si>
  <si>
    <t>08070804130033</t>
  </si>
  <si>
    <t>HSR222594</t>
  </si>
  <si>
    <t>HAND SOAP (LEMON) JRG 3.7 LT</t>
  </si>
  <si>
    <t>G10SI2607-0122</t>
  </si>
  <si>
    <t>katamso</t>
  </si>
  <si>
    <t>01TMP2607-001987</t>
  </si>
  <si>
    <t>CL01894</t>
  </si>
  <si>
    <t>RENY, MINI MARKET</t>
  </si>
  <si>
    <t>BRATANG GEDE 132-134</t>
  </si>
  <si>
    <t>040.002-26.25653314</t>
  </si>
  <si>
    <t>CV. BERKAH DUNIA AKHIRAT</t>
  </si>
  <si>
    <t>JL. BRATANG GEDE NO. 132-134 NGAGELREJO WONOKROMO</t>
  </si>
  <si>
    <t>0846579233609000000000</t>
  </si>
  <si>
    <t>G10SI2607-0123</t>
  </si>
  <si>
    <t>01TMP2607-001993</t>
  </si>
  <si>
    <t>040.002-26.25653475</t>
  </si>
  <si>
    <t>08070802280032</t>
  </si>
  <si>
    <t>DBW640992</t>
  </si>
  <si>
    <t>DEE-DEE BODY WASH (GRP) POUCH 200 ML</t>
  </si>
  <si>
    <t>08070802280034</t>
  </si>
  <si>
    <t>DBW640994</t>
  </si>
  <si>
    <t>DEE-DEE BODY WASH (STR) POUCH 200 ML</t>
  </si>
  <si>
    <t>G10SI2607-0124</t>
  </si>
  <si>
    <t>01TMP2607-001997</t>
  </si>
  <si>
    <t>CL06277</t>
  </si>
  <si>
    <t>MASUYA SEJATI, PT</t>
  </si>
  <si>
    <t>RAYA DARMO PERMAI SELATAN 3</t>
  </si>
  <si>
    <t>040.002-26.25653509</t>
  </si>
  <si>
    <t>PT MASUYA SEJATI</t>
  </si>
  <si>
    <t xml:space="preserve"> JL. RAYA DARMO PERMAI SELATAN NO. 3-5 RT. 005 RW.</t>
  </si>
  <si>
    <t>0015446271618000000000</t>
  </si>
  <si>
    <t>G10SI2607-0125</t>
  </si>
  <si>
    <t>01TMP2607-001999</t>
  </si>
  <si>
    <t>CL06283</t>
  </si>
  <si>
    <t>TALIA</t>
  </si>
  <si>
    <t>TENGGILIS MEJOYO 141</t>
  </si>
  <si>
    <t>040.002-26.25653326</t>
  </si>
  <si>
    <t>RUDI HARTONO</t>
  </si>
  <si>
    <t>RAYA TENGGILIS NO.141 RT 001 RW 003 TENGGILIS MEJO</t>
  </si>
  <si>
    <t>3578030410720003000000</t>
  </si>
  <si>
    <t>G10SI2607-0127</t>
  </si>
  <si>
    <t>960627000033</t>
  </si>
  <si>
    <t>01TMP2607-002009</t>
  </si>
  <si>
    <t>-960627000033</t>
  </si>
  <si>
    <t>CL01993</t>
  </si>
  <si>
    <t>NKA</t>
  </si>
  <si>
    <t>RAMAYANA</t>
  </si>
  <si>
    <t>DIPONEGORO 2</t>
  </si>
  <si>
    <t>040.002-26.25653315</t>
  </si>
  <si>
    <t>PT. RAMAYANA LESTARI SENTOSA, TBK</t>
  </si>
  <si>
    <t>JL KH WAHID HASYIM NO 220 A-B, KAMPUNG BALI, TANAH</t>
  </si>
  <si>
    <t>0013654819092000000000</t>
  </si>
  <si>
    <t>G10SI2607-0128</t>
  </si>
  <si>
    <t>960627000032</t>
  </si>
  <si>
    <t>01TMP2607-002014</t>
  </si>
  <si>
    <t>-960627000032</t>
  </si>
  <si>
    <t>040.002-26.25653316</t>
  </si>
  <si>
    <t>G10SI2607-0190</t>
  </si>
  <si>
    <t>-_x000D_Copy of Order-No : 01TMP2606-027994</t>
  </si>
  <si>
    <t>G10SO2606-2535</t>
  </si>
  <si>
    <t>-REV/SI-2114</t>
  </si>
  <si>
    <t>CL43712</t>
  </si>
  <si>
    <t>MAKMUR WAGE</t>
  </si>
  <si>
    <t>ARYO BEBANGAH 225</t>
  </si>
  <si>
    <t>040.002-26.25648373</t>
  </si>
  <si>
    <t>SEMESTA GENERASI MAJAPATA</t>
  </si>
  <si>
    <t>PERUMAHAN PONDOK JATI, AK, 1, PAGERWOJO, BUDURAN,</t>
  </si>
  <si>
    <t>0414693937643000000000</t>
  </si>
  <si>
    <t>081216533347</t>
  </si>
  <si>
    <t>08070802100022</t>
  </si>
  <si>
    <t>DFW662093</t>
  </si>
  <si>
    <t>DEE-DEE FACIAL WASH (ORG) TUBE 100 GR</t>
  </si>
  <si>
    <t>08070802120051</t>
  </si>
  <si>
    <t>DDR356991A</t>
  </si>
  <si>
    <t>DEE-DEE SHAMPOO (APPLE) POUCH 200 ML</t>
  </si>
  <si>
    <t>08070802280031</t>
  </si>
  <si>
    <t>DBW640991</t>
  </si>
  <si>
    <t>DEE-DEE BODY WASH (APPLE) POUCH 200 ML</t>
  </si>
  <si>
    <t>G10SI2607-0193</t>
  </si>
  <si>
    <t>-_x000D_Copy of Order-No : 01TMM2605-007563_x000D_Copy of Order-No : 01TMP2605-032905</t>
  </si>
  <si>
    <t>01TMP2606-037869</t>
  </si>
  <si>
    <t>REV/SI-5861</t>
  </si>
  <si>
    <t>G10KJ2607-0275</t>
  </si>
  <si>
    <t>G10SI2607-0243</t>
  </si>
  <si>
    <t>01TMP2607-003922</t>
  </si>
  <si>
    <t>CL47986</t>
  </si>
  <si>
    <t>MAKMUR GRAHA KOTA</t>
  </si>
  <si>
    <t>GRAHA KOTA BB-07</t>
  </si>
  <si>
    <t>CV. SEMESTA GENERASI MAJAPATA</t>
  </si>
  <si>
    <t>PERUM PONDOK JATI AK 1 PAGERWOJO, BUDURAN, SIDOARJ</t>
  </si>
  <si>
    <t>G10KJ2607-0190</t>
  </si>
  <si>
    <t>081357880788</t>
  </si>
  <si>
    <t>08070802120035</t>
  </si>
  <si>
    <t>DDP356284A</t>
  </si>
  <si>
    <t>DEE-DEE SHAMPOO (STR) PUMP 250 ML</t>
  </si>
  <si>
    <t>08070802120053</t>
  </si>
  <si>
    <t>DDR356993A</t>
  </si>
  <si>
    <t>DEE-DEE SHAMPOO (ORG) POUCH 200 ML</t>
  </si>
  <si>
    <t>G10SI2607-0244</t>
  </si>
  <si>
    <t>01TMP2607-003923</t>
  </si>
  <si>
    <t>CL32526</t>
  </si>
  <si>
    <t>SEMESTA GENERASI MAJAPATA, CV</t>
  </si>
  <si>
    <t>PERUM PONDOK JATI BLOK. AK NO. 1 RT. 000 RW. PAGERWOJO BUDUR</t>
  </si>
  <si>
    <t>040.002-26.25666086</t>
  </si>
  <si>
    <t>PERUM PONDOK JATI BLOK. AK NO. 1 RT. 000 RW. PAGER</t>
  </si>
  <si>
    <t>085232328585</t>
  </si>
  <si>
    <t>G10SI2607-0246</t>
  </si>
  <si>
    <t xml:space="preserve">CiTRA HARMONI_x000D_
</t>
  </si>
  <si>
    <t>01TMP2607-003933</t>
  </si>
  <si>
    <t>G10KJ2607-0171</t>
  </si>
  <si>
    <t>Barang Kosong</t>
  </si>
  <si>
    <t>G10SI2607-0249</t>
  </si>
  <si>
    <t>01TMP2607-003943</t>
  </si>
  <si>
    <t>CL06274</t>
  </si>
  <si>
    <t>KITTO, SM</t>
  </si>
  <si>
    <t>RAYA MULYOSARI 87-89</t>
  </si>
  <si>
    <t>040.002-26.25653504</t>
  </si>
  <si>
    <t>TJIPTO WIJONO DR</t>
  </si>
  <si>
    <t xml:space="preserve">JL. MANYAR KERTOARJO IX/40_x000D_
</t>
  </si>
  <si>
    <t>3578081501520002000000</t>
  </si>
  <si>
    <t>08070804130056</t>
  </si>
  <si>
    <t>HSA981284A</t>
  </si>
  <si>
    <t>HAND SOAP PRE FOAMING (ROSE) PUMP 410 ML</t>
  </si>
  <si>
    <t>08070804160065</t>
  </si>
  <si>
    <t>LIG252481-Z01</t>
  </si>
  <si>
    <t>LIGENT (LIME) BOTTLE 1000 ML</t>
  </si>
  <si>
    <t>G10SI2607-0253</t>
  </si>
  <si>
    <t>01TMP2607-003972</t>
  </si>
  <si>
    <t>-9606.2900.0025</t>
  </si>
  <si>
    <t>040.002-26.25653510</t>
  </si>
  <si>
    <t>G10SI2607-0256</t>
  </si>
  <si>
    <t>9606.2900.0024</t>
  </si>
  <si>
    <t>01TMP2607-003994</t>
  </si>
  <si>
    <t>-9606.2900.0024</t>
  </si>
  <si>
    <t>040.002-26.25653512</t>
  </si>
  <si>
    <t>G10SI2607-0260</t>
  </si>
  <si>
    <t>G10SO2607-0234</t>
  </si>
  <si>
    <t>-9606.0100.0036</t>
  </si>
  <si>
    <t>040.002-26.25653511</t>
  </si>
  <si>
    <t>G10SI2607-0263</t>
  </si>
  <si>
    <t>01TMP2607-003906</t>
  </si>
  <si>
    <t>CL06281</t>
  </si>
  <si>
    <t>SAKINAH SUPERMARKET</t>
  </si>
  <si>
    <t>ARIF RAHMAN HAKIM 32</t>
  </si>
  <si>
    <t>040.002-26.25653503</t>
  </si>
  <si>
    <t>KOP. PONDOK PESANTREN HIDAYATULLAHAS SAKINAH</t>
  </si>
  <si>
    <t>JL.ARIF RAHMAN HAKIM 32 VI RT/RW : 003/001, KEPUTI</t>
  </si>
  <si>
    <t>0015997075606000000000</t>
  </si>
  <si>
    <t>08070802120033</t>
  </si>
  <si>
    <t>DDP356283A</t>
  </si>
  <si>
    <t>DEE-DEE SHAMPOO (ORG) PUMP 250 ML</t>
  </si>
  <si>
    <t>G10SI2607-0264</t>
  </si>
  <si>
    <t>01TMP2607-003910</t>
  </si>
  <si>
    <t>G10KJ2607-0170</t>
  </si>
  <si>
    <t>G10SI2607-0265</t>
  </si>
  <si>
    <t>01TMP2607-004178</t>
  </si>
  <si>
    <t>040.002-26.25653502</t>
  </si>
  <si>
    <t>G10SI2607-0338</t>
  </si>
  <si>
    <t>01TMP2607-005960</t>
  </si>
  <si>
    <t>CL30341</t>
  </si>
  <si>
    <t>TOENG MAKMUR</t>
  </si>
  <si>
    <t>TIDAR 84</t>
  </si>
  <si>
    <t>040.002-26.25653650</t>
  </si>
  <si>
    <t>PT. TOENG MAKMUR</t>
  </si>
  <si>
    <t>TIDAR 84 SAWAHAN SURABAYA</t>
  </si>
  <si>
    <t>0020097630614000000000</t>
  </si>
  <si>
    <t>3578315302840002</t>
  </si>
  <si>
    <t>G10SI2607-0339</t>
  </si>
  <si>
    <t>01TMP2607-005963</t>
  </si>
  <si>
    <t>CL32991</t>
  </si>
  <si>
    <t>PELANGI</t>
  </si>
  <si>
    <t>RUKO TAMAN GAPURA G-WALK CITRALAND BLOK F/19</t>
  </si>
  <si>
    <t>040.002-26.25653513</t>
  </si>
  <si>
    <t>PT. PELANGI KASIH AGUNG ABADI</t>
  </si>
  <si>
    <t>RUKO TAMAN GAPURA F19-F20, LONTAR, SAMBIKEREP, KOT</t>
  </si>
  <si>
    <t>0531266005619000000000</t>
  </si>
  <si>
    <t>08070804160046</t>
  </si>
  <si>
    <t>GLA178280</t>
  </si>
  <si>
    <t>GLASS CLEANER (FB) BOTTLE SPRAY 500 ML</t>
  </si>
  <si>
    <t>08070804160048</t>
  </si>
  <si>
    <t>GLA178283</t>
  </si>
  <si>
    <t>GLASS CLEANER (FL) BOTTLE SPRAY 500 ML</t>
  </si>
  <si>
    <t>08070804160083</t>
  </si>
  <si>
    <t>MAT211591</t>
  </si>
  <si>
    <t>YURI MATIC (RB) JRG 3.7 LT</t>
  </si>
  <si>
    <t>G10SI2607-0340</t>
  </si>
  <si>
    <t>01TMP2607-005974</t>
  </si>
  <si>
    <t>CL28083</t>
  </si>
  <si>
    <t>MAKMUR DUKUH KUPANG</t>
  </si>
  <si>
    <t>RAYA DUKUH KUPANG XXV/16-A</t>
  </si>
  <si>
    <t>PERSEROAN TERBATAS - BADAN WAHANA LESTARI MAK</t>
  </si>
  <si>
    <t>JL RAYA KARANG ASEM, 14, PLOSO, TAMBAKSARI, KOTA S</t>
  </si>
  <si>
    <t>0766322499619000000000</t>
  </si>
  <si>
    <t>G10KJ2607-0153</t>
  </si>
  <si>
    <t>08070802120042</t>
  </si>
  <si>
    <t>DDR356292A</t>
  </si>
  <si>
    <t>DEE-DEE SHAMPOO (GRP) REFILL 250 ML</t>
  </si>
  <si>
    <t>08070802120055</t>
  </si>
  <si>
    <t>DDR356994A</t>
  </si>
  <si>
    <t>DEE-DEE SHAMPOO (STR) POUCH 200 ML</t>
  </si>
  <si>
    <t>G10SI2607-0341</t>
  </si>
  <si>
    <t>G10SO2607-0300</t>
  </si>
  <si>
    <t>CL27723</t>
  </si>
  <si>
    <t>MAKMUR MULYOSARI</t>
  </si>
  <si>
    <t>RAYA MULYOSARI 45</t>
  </si>
  <si>
    <t>G10KJ2607-0210</t>
  </si>
  <si>
    <t>08070802120052</t>
  </si>
  <si>
    <t>DDR356992A</t>
  </si>
  <si>
    <t>DEE-DEE SHAMPOO (GRP) POUCH 200 ML</t>
  </si>
  <si>
    <t>08070802280033</t>
  </si>
  <si>
    <t>DBW640993</t>
  </si>
  <si>
    <t>DEE-DEE BODY WASH (ORG) POUCH 200 ML</t>
  </si>
  <si>
    <t>G10SI2607-0342</t>
  </si>
  <si>
    <t>1014854</t>
  </si>
  <si>
    <t>01TMP2607-005999</t>
  </si>
  <si>
    <t>-1014854</t>
  </si>
  <si>
    <t>CL01991</t>
  </si>
  <si>
    <t>MATAHARI</t>
  </si>
  <si>
    <t>ARTERI PORONG ARAH SURABAYA, DESA JUWET KENONGO, KECAMATAN P</t>
  </si>
  <si>
    <t>040.002-26.25666053</t>
  </si>
  <si>
    <t>PT. MATAHARI PUTRA PRIMA TBK</t>
  </si>
  <si>
    <t>GEDUNG GAJAH MADA  PLAZA LT. SG JL. GAJAH MADA NO.</t>
  </si>
  <si>
    <t>0013940135092000000000</t>
  </si>
  <si>
    <t>08070802100012</t>
  </si>
  <si>
    <t>DFW662193</t>
  </si>
  <si>
    <t>DEE-DEE FACIAL WASH (ORG) TUBE TRAY 50 GR</t>
  </si>
  <si>
    <t>08564898999</t>
  </si>
  <si>
    <t>08070804160079</t>
  </si>
  <si>
    <t>MAT211943</t>
  </si>
  <si>
    <t>YURI MATIC (FL) POUCH 1600 ML</t>
  </si>
  <si>
    <t>08070804310034</t>
  </si>
  <si>
    <t>AGA080591</t>
  </si>
  <si>
    <t>AGANOL (LAV) JRG 3.7 LT</t>
  </si>
  <si>
    <t>G10SI2607-0343</t>
  </si>
  <si>
    <t>1014855</t>
  </si>
  <si>
    <t>01TMP2607-006010</t>
  </si>
  <si>
    <t>-1014855</t>
  </si>
  <si>
    <t>040.002-26.25666052</t>
  </si>
  <si>
    <t>G10SI2607-0345</t>
  </si>
  <si>
    <t>1015014</t>
  </si>
  <si>
    <t>01TMP2607-006019</t>
  </si>
  <si>
    <t>-1015014</t>
  </si>
  <si>
    <t>040.002-26.25666087</t>
  </si>
  <si>
    <t>08070804160067</t>
  </si>
  <si>
    <t>LIG252591</t>
  </si>
  <si>
    <t>LIGENT (LIME) JRG 3.7 LT</t>
  </si>
  <si>
    <t>G10SI2607-0347</t>
  </si>
  <si>
    <t>1003212</t>
  </si>
  <si>
    <t>01TMP2607-006029</t>
  </si>
  <si>
    <t>-1003212</t>
  </si>
  <si>
    <t>G10KJ2607-0169</t>
  </si>
  <si>
    <t>G10SI2607-0348</t>
  </si>
  <si>
    <t>1026565</t>
  </si>
  <si>
    <t>01TMP2607-006034</t>
  </si>
  <si>
    <t>-1026565</t>
  </si>
  <si>
    <t>040.002-26.25666051</t>
  </si>
  <si>
    <t>G10SI2607-0410</t>
  </si>
  <si>
    <t>01TMP2607-007103</t>
  </si>
  <si>
    <t>CL47987</t>
  </si>
  <si>
    <t>MAKMUR KETINTANG</t>
  </si>
  <si>
    <t>RAYA KETINTANG 198</t>
  </si>
  <si>
    <t>040.002-26.25667544</t>
  </si>
  <si>
    <t>JL. RAYA KARANG ASEM, 14, PLOSO, TAMBAKSARI, KOTA</t>
  </si>
  <si>
    <t>G10SI2607-0447</t>
  </si>
  <si>
    <t>-_x000D_Copy of Order-No : 01TMP2607-000611</t>
  </si>
  <si>
    <t>G10SO2607-0385</t>
  </si>
  <si>
    <t>-REV/SI-0050</t>
  </si>
  <si>
    <t>CL46660</t>
  </si>
  <si>
    <t>MITRA BELANJA ANDA, PT (CTX)</t>
  </si>
  <si>
    <t>040.002-26.25653377</t>
  </si>
  <si>
    <t>0964195945033000000011</t>
  </si>
  <si>
    <t>G10SI2607-0451</t>
  </si>
  <si>
    <t>01TMP2607-007493</t>
  </si>
  <si>
    <t>CL49544</t>
  </si>
  <si>
    <t>MINA 1</t>
  </si>
  <si>
    <t>SIDOTOPO WETAN I LUAR 37</t>
  </si>
  <si>
    <t>040.002-26.25653648</t>
  </si>
  <si>
    <t>08070802280071</t>
  </si>
  <si>
    <t>DSC650281B</t>
  </si>
  <si>
    <t>DEE- DEE SHOWER FOAMING (APPLE) 225 ML</t>
  </si>
  <si>
    <t>G10SI2607-0464</t>
  </si>
  <si>
    <t>01TMP2607-007641</t>
  </si>
  <si>
    <t>CL31611</t>
  </si>
  <si>
    <t>PT. MEGA GALAKSI PERMAI</t>
  </si>
  <si>
    <t>DARMO INDAH TIMUR G/47</t>
  </si>
  <si>
    <t>040.002-26.25653647</t>
  </si>
  <si>
    <t>0024583288604000000000</t>
  </si>
  <si>
    <t>G10SI2607-0542</t>
  </si>
  <si>
    <t>01TMP2607-009013</t>
  </si>
  <si>
    <t>040.002-26.25666179</t>
  </si>
  <si>
    <t>G10SI2607-0543</t>
  </si>
  <si>
    <t>01TMP2607-009012</t>
  </si>
  <si>
    <t>040.002-26.25666269</t>
  </si>
  <si>
    <t>08070801030061</t>
  </si>
  <si>
    <t>DBD789091</t>
  </si>
  <si>
    <t>BABY DEE BABY CREAM POPOK (MILK) TUBE 50 GR</t>
  </si>
  <si>
    <t>08070801030062</t>
  </si>
  <si>
    <t>DBD789092</t>
  </si>
  <si>
    <t>BABY DEE BABY CREAM POPOK (HONEY) TUBE 50 GR</t>
  </si>
  <si>
    <t>08070802290014</t>
  </si>
  <si>
    <t>DTP464294-Z01</t>
  </si>
  <si>
    <t>DEE-DEE TALCUM POWDER (STR) BOTTLE 150 GR</t>
  </si>
  <si>
    <t>G10SI2607-0547</t>
  </si>
  <si>
    <t>01TMP2607-009025</t>
  </si>
  <si>
    <t>040.002-26.25666180</t>
  </si>
  <si>
    <t>G10SI2607-0549</t>
  </si>
  <si>
    <t>01TMP2607-009034</t>
  </si>
  <si>
    <t>CL46062</t>
  </si>
  <si>
    <t>SAMUDRA GREENLAKE</t>
  </si>
  <si>
    <t>GREENLAKE KAV C11, LIDAH KULON, LAKARSANTRI</t>
  </si>
  <si>
    <t>040.002-26.25666177</t>
  </si>
  <si>
    <t>SAMUDRA SUKSES MANDIRI</t>
  </si>
  <si>
    <t>JL. IMAM BONJOL NO.52 RT. 013 RW. 003, KADIPATEN,</t>
  </si>
  <si>
    <t>0312305139601000000000</t>
  </si>
  <si>
    <t>081519076224</t>
  </si>
  <si>
    <t>G10SI2607-0551</t>
  </si>
  <si>
    <t>01TMP2607-009037</t>
  </si>
  <si>
    <t>CL48552</t>
  </si>
  <si>
    <t>SAMUDRA SUPERMARKET</t>
  </si>
  <si>
    <t>BG JUNCTION, JL. BUBUTAN NO. 1-7</t>
  </si>
  <si>
    <t>040.002-26.25666343</t>
  </si>
  <si>
    <t>G10SI2607-0553</t>
  </si>
  <si>
    <t>01TMP2607-009045</t>
  </si>
  <si>
    <t>CL06276</t>
  </si>
  <si>
    <t>PAPAYA DARMO, SM</t>
  </si>
  <si>
    <t>040.002-26.25667649</t>
  </si>
  <si>
    <t>JL. RAYA DARMO PERMAI SELATAN NO. 3-5 RT. 005 RW.</t>
  </si>
  <si>
    <t>G10KJ2607-0229</t>
  </si>
  <si>
    <t>G10SI2607-0554</t>
  </si>
  <si>
    <t>01TMP2607-009049</t>
  </si>
  <si>
    <t>CL47984</t>
  </si>
  <si>
    <t>MAKMUR PANDEGILING</t>
  </si>
  <si>
    <t>PANDEGILING 176</t>
  </si>
  <si>
    <t>040.002-26.25666178</t>
  </si>
  <si>
    <t>G10SI2607-0555</t>
  </si>
  <si>
    <t>01TMP2607-009055</t>
  </si>
  <si>
    <t>CL43676</t>
  </si>
  <si>
    <t>MAKMUR PUCANG ANOM</t>
  </si>
  <si>
    <t>PUCANG ANOM 50</t>
  </si>
  <si>
    <t>040.002-26.25666342</t>
  </si>
  <si>
    <t>G10SI2607-0556</t>
  </si>
  <si>
    <t>3013778720</t>
  </si>
  <si>
    <t>01TMP2607-009063</t>
  </si>
  <si>
    <t>-3013778720</t>
  </si>
  <si>
    <t>CL01755</t>
  </si>
  <si>
    <t>RANCH MARKET (GM)</t>
  </si>
  <si>
    <t>RAYA PERJUANGAN TAMAN KEDOYA KEBON JERUK -JAKARTA</t>
  </si>
  <si>
    <t>040.002-26.25653649</t>
  </si>
  <si>
    <t>PT. SUPRA BOGA LESTARI TBK</t>
  </si>
  <si>
    <t>JL. PESANGGRAHAN RAYA NO. 2, RT.001 RW.009 KEMBANG</t>
  </si>
  <si>
    <t>0018214205054000000000</t>
  </si>
  <si>
    <t>G10SI2607-0557</t>
  </si>
  <si>
    <t>01TMP2607-009066</t>
  </si>
  <si>
    <t>CL01717</t>
  </si>
  <si>
    <t>SETIA BAKTI WANITA, KOPERASI</t>
  </si>
  <si>
    <t>JEMUR ANDAYANI 55</t>
  </si>
  <si>
    <t>040.002-26.25667604</t>
  </si>
  <si>
    <t>KOPERASI WANITA "SETIA BHAKTI WANITA"</t>
  </si>
  <si>
    <t>JL. JEMUR ANDAYANI  NO. 55  WONOCOLO</t>
  </si>
  <si>
    <t>0011456910609000000000</t>
  </si>
  <si>
    <t>G10KJ2607-0215</t>
  </si>
  <si>
    <t>G10SI2607-0558</t>
  </si>
  <si>
    <t>01TMP2607-009070</t>
  </si>
  <si>
    <t>CL25176</t>
  </si>
  <si>
    <t>PAPAYA PAKUWON</t>
  </si>
  <si>
    <t>LAGUNA KEJAWAN PUTIH BARAT 4 EAST COST</t>
  </si>
  <si>
    <t>040.002-26.25667955</t>
  </si>
  <si>
    <t>PT. MASUYA SEJATI</t>
  </si>
  <si>
    <t>G10SI2607-0561</t>
  </si>
  <si>
    <t>01TMP2607-009074</t>
  </si>
  <si>
    <t>CL43696</t>
  </si>
  <si>
    <t>MAKMUR BRATANG</t>
  </si>
  <si>
    <t>BRATANG GEDE 100</t>
  </si>
  <si>
    <t>G10KJ2607-0214</t>
  </si>
  <si>
    <t>G10SI2607-0644</t>
  </si>
  <si>
    <t>1057014</t>
  </si>
  <si>
    <t>01TMP2607-007626</t>
  </si>
  <si>
    <t>-   1057014</t>
  </si>
  <si>
    <t>040.002-26.25666433</t>
  </si>
  <si>
    <t>08070804150011</t>
  </si>
  <si>
    <t>TAF365591</t>
  </si>
  <si>
    <t>TAF (LEMON LIME) JRG 3.7 LT</t>
  </si>
  <si>
    <t>G10KJ2607-0175</t>
  </si>
  <si>
    <t>Exp krg dari minimal</t>
  </si>
  <si>
    <t>G10SI2607-0645</t>
  </si>
  <si>
    <t>1057012</t>
  </si>
  <si>
    <t>01TMP2607-007636</t>
  </si>
  <si>
    <t>-1057012</t>
  </si>
  <si>
    <t>040.002-26.25666054</t>
  </si>
  <si>
    <t>G10SI2607-0646</t>
  </si>
  <si>
    <t>01TMP2607-009087</t>
  </si>
  <si>
    <t>040.002-26.25666055</t>
  </si>
  <si>
    <t>G10SI2607-0686</t>
  </si>
  <si>
    <t>01TMP2607-010923</t>
  </si>
  <si>
    <t>040.002-26.25666270</t>
  </si>
  <si>
    <t>08070804160085</t>
  </si>
  <si>
    <t>MAT211593</t>
  </si>
  <si>
    <t>YURI MATIC (FL) JRG 3.7 LT</t>
  </si>
  <si>
    <t>08070804310004</t>
  </si>
  <si>
    <t>AGA080991</t>
  </si>
  <si>
    <t>AGANOL (LAV) POUCH 600 ML</t>
  </si>
  <si>
    <t>G10SI2607-0688</t>
  </si>
  <si>
    <t>01TMP2607-010921</t>
  </si>
  <si>
    <t>CL23615</t>
  </si>
  <si>
    <t>HOKKY DARMO</t>
  </si>
  <si>
    <t>DARMO HARAPAN 1</t>
  </si>
  <si>
    <t>040.002-26.25666424</t>
  </si>
  <si>
    <t>08070804310033</t>
  </si>
  <si>
    <t>AGA101593</t>
  </si>
  <si>
    <t>AGANOL (MORNING FRESH) JRG 3.7 LT</t>
  </si>
  <si>
    <t>G10SI2607-0691</t>
  </si>
  <si>
    <t>01TMP2607-010933</t>
  </si>
  <si>
    <t>040.002-26.25666273</t>
  </si>
  <si>
    <t>08070804130034</t>
  </si>
  <si>
    <t>HSR222595</t>
  </si>
  <si>
    <t>HAND SOAP (ORG) JRG 3.7 LT</t>
  </si>
  <si>
    <t>08070804160211</t>
  </si>
  <si>
    <t>YLD124990</t>
  </si>
  <si>
    <t>YURI LAUNDRY DISINFECTANT 24X410ML</t>
  </si>
  <si>
    <t>G10SI2607-0694</t>
  </si>
  <si>
    <t>01TMP2607-010938</t>
  </si>
  <si>
    <t>040.002-26.25666274</t>
  </si>
  <si>
    <t>G10SI2607-0696</t>
  </si>
  <si>
    <t>01TMP2607-010947</t>
  </si>
  <si>
    <t>CL48249</t>
  </si>
  <si>
    <t>MAKMUR BETRO</t>
  </si>
  <si>
    <t>GARUDA NO. 53 KEPUH BETRO</t>
  </si>
  <si>
    <t>040.002-26.25667659</t>
  </si>
  <si>
    <t>G10SI2607-0697</t>
  </si>
  <si>
    <t>01TMP2607-010948</t>
  </si>
  <si>
    <t>CL43705</t>
  </si>
  <si>
    <t>MAKMUR PACUAN KUDA</t>
  </si>
  <si>
    <t>PACUAN KUDA 23</t>
  </si>
  <si>
    <t>040.002-26.25666271</t>
  </si>
  <si>
    <t>G10SI2607-0701</t>
  </si>
  <si>
    <t>01TMP2607-010963</t>
  </si>
  <si>
    <t>CL43711</t>
  </si>
  <si>
    <t>MAKMUR DELTASARI</t>
  </si>
  <si>
    <t>DELTASARI BLOK AN NO. 28</t>
  </si>
  <si>
    <t>040.002-26.25666275</t>
  </si>
  <si>
    <t>G10SI2607-0706</t>
  </si>
  <si>
    <t>2607060402000025</t>
  </si>
  <si>
    <t>01TMP2607-010971</t>
  </si>
  <si>
    <t>-2607060402000025</t>
  </si>
  <si>
    <t>CL22749</t>
  </si>
  <si>
    <t>LOTTE MART PAKUWON</t>
  </si>
  <si>
    <t>STORE SBY PAKUWON MEGAMALL LT LG, PUNCAK LONTAR INDAH 2</t>
  </si>
  <si>
    <t>040.002-26.25666272</t>
  </si>
  <si>
    <t>PT. LOTTE MART INDONESIA</t>
  </si>
  <si>
    <t>JL. LINGKAR LUAR SELATAN KAV. 5-6 RT 011 RW 002, S</t>
  </si>
  <si>
    <t>0029027000007000000000</t>
  </si>
  <si>
    <t>G10SI2607-0722</t>
  </si>
  <si>
    <t>01TMP2607-011447</t>
  </si>
  <si>
    <t>CL36418</t>
  </si>
  <si>
    <t>JL. KALISARI TIMUR XVI (JL. PAKUWON CITY BLOK EC-03), KALISA</t>
  </si>
  <si>
    <t>040.002-26.25666425</t>
  </si>
  <si>
    <t>G10SI2607-0803</t>
  </si>
  <si>
    <t>8H7Q14448</t>
  </si>
  <si>
    <t>01TMP2607-012629</t>
  </si>
  <si>
    <t>-8H7Q14448</t>
  </si>
  <si>
    <t>CL01980</t>
  </si>
  <si>
    <t>INTI CAKRAWALA(INDO GROSIR)</t>
  </si>
  <si>
    <t>JEMURSARI</t>
  </si>
  <si>
    <t>040.002-26.25666340</t>
  </si>
  <si>
    <t>PT. INTI CAKRAWALA CITRA</t>
  </si>
  <si>
    <t>JL. ANCOL BARAT I NO.9-10, ANCOL, PADEMANGAN, JAKA</t>
  </si>
  <si>
    <t>0017812140046000000000</t>
  </si>
  <si>
    <t>G10SI2607-0804</t>
  </si>
  <si>
    <t>3013783019</t>
  </si>
  <si>
    <t>01TMP2607-012643</t>
  </si>
  <si>
    <t>-3013783019</t>
  </si>
  <si>
    <t>040.002-26.25667537</t>
  </si>
  <si>
    <t>G10SI2607-0806</t>
  </si>
  <si>
    <t>01TMP2607-012651</t>
  </si>
  <si>
    <t>CL06280</t>
  </si>
  <si>
    <t>RUNGKUT JAYA TOSERBA</t>
  </si>
  <si>
    <t>RUNGKUT KIDUL INDUSTRI 44-50</t>
  </si>
  <si>
    <t>040.002-26.25666341</t>
  </si>
  <si>
    <t>WIRA SASTRARAHARDJA</t>
  </si>
  <si>
    <t>RUNGKUT KIDUL INDUSTRI NO. 46 RT 003 RW 005 RUNGKU</t>
  </si>
  <si>
    <t>3578032804550001000000</t>
  </si>
  <si>
    <t>G10SI2607-0817</t>
  </si>
  <si>
    <t>01TMP2607-012758</t>
  </si>
  <si>
    <t>CL01747</t>
  </si>
  <si>
    <t>GLORIA NUSANTARA, CV</t>
  </si>
  <si>
    <t>RAYA TENGGILIS AA-2</t>
  </si>
  <si>
    <t>040.002-26.25666427</t>
  </si>
  <si>
    <t xml:space="preserve">CV. GLORIA NUSANTARA_x000D_
</t>
  </si>
  <si>
    <t>JL. RAYA TENGGILIS BLOK AA-2 RT 004 RW 001 TENGGIL</t>
  </si>
  <si>
    <t>0660420134615000000000</t>
  </si>
  <si>
    <t>08070804150023</t>
  </si>
  <si>
    <t>TAF365490</t>
  </si>
  <si>
    <t>TAF KITCHEN CLEANER 375 ML</t>
  </si>
  <si>
    <t>08070804160001</t>
  </si>
  <si>
    <t>BBS106990</t>
  </si>
  <si>
    <t>BABY SOFT POUCH 410 ML</t>
  </si>
  <si>
    <t>08070804160072</t>
  </si>
  <si>
    <t>MAT211992</t>
  </si>
  <si>
    <t>YURI MATIC (RP) POUCH 630 ML</t>
  </si>
  <si>
    <t>G10SI2607-0860</t>
  </si>
  <si>
    <t>01TMP2607-012661</t>
  </si>
  <si>
    <t>040.002-26.25666428</t>
  </si>
  <si>
    <t>G10SI2607-0861</t>
  </si>
  <si>
    <t>G10SO2607-0722</t>
  </si>
  <si>
    <t>040.002-26.25666426</t>
  </si>
  <si>
    <t>G10SI2607-0903</t>
  </si>
  <si>
    <t>-_x000D_Copy of Order-No : 01TMP2607-005974</t>
  </si>
  <si>
    <t>G10SO2607-0811</t>
  </si>
  <si>
    <t>-REV/SI-0340</t>
  </si>
  <si>
    <t>040.002-26.25666350</t>
  </si>
  <si>
    <t>G10SI2607-0920</t>
  </si>
  <si>
    <t>G10SO2607-0830</t>
  </si>
  <si>
    <t>-06190041553</t>
  </si>
  <si>
    <t>CL01971</t>
  </si>
  <si>
    <t>HERO TAMAN PINANG - SIDOARJO</t>
  </si>
  <si>
    <t>KOMP. TAMAN PINANG BLOK A-1 NO 1-6</t>
  </si>
  <si>
    <t>040.002-26.25667656</t>
  </si>
  <si>
    <t>PT. HERO RETAIL NUSANTARA</t>
  </si>
  <si>
    <t>SYNTHESIS SQUARE TOWER 2 LT. 15, JL. JEND GATOT SU</t>
  </si>
  <si>
    <t>0128094133015000000000</t>
  </si>
  <si>
    <t>G10SI2607-0921</t>
  </si>
  <si>
    <t>01TMP2607-014456</t>
  </si>
  <si>
    <t>040.002-26.25666430</t>
  </si>
  <si>
    <t>G10SI2607-0922</t>
  </si>
  <si>
    <t>01TMP2607-014463</t>
  </si>
  <si>
    <t>040.002-26.25667545</t>
  </si>
  <si>
    <t>G10SI2607-0923</t>
  </si>
  <si>
    <t>01TMP2607-014465</t>
  </si>
  <si>
    <t>040.002-26.25667539</t>
  </si>
  <si>
    <t>G10SI2607-0928</t>
  </si>
  <si>
    <t>01TMP2607-014517</t>
  </si>
  <si>
    <t>CL01745</t>
  </si>
  <si>
    <t>BILKA, SM</t>
  </si>
  <si>
    <t>NGAGEL JAYA SELATAN 97</t>
  </si>
  <si>
    <t>040.002-26.25666429</t>
  </si>
  <si>
    <t>PT. BILKA</t>
  </si>
  <si>
    <t>JL.NGAGEL JAYA SELATAN 103</t>
  </si>
  <si>
    <t>0014825327606000000000</t>
  </si>
  <si>
    <t>08070804160036</t>
  </si>
  <si>
    <t>BIO112290</t>
  </si>
  <si>
    <t>BIOSOFT BOTTLE 375 ML</t>
  </si>
  <si>
    <t>08070804160084</t>
  </si>
  <si>
    <t>MAT211592</t>
  </si>
  <si>
    <t>YURI MATIC (RP) JRG 3.7 LT</t>
  </si>
  <si>
    <t>G10SI2607-0943</t>
  </si>
  <si>
    <t>-_x000D_Copy of Order-No : G10SO2606-1705</t>
  </si>
  <si>
    <t>G10SO2607-0846</t>
  </si>
  <si>
    <t>-REV/SI-2606-1937</t>
  </si>
  <si>
    <t>040.002-26.25647716</t>
  </si>
  <si>
    <t>G10SI2607-0947</t>
  </si>
  <si>
    <t>01TMP2607-014653</t>
  </si>
  <si>
    <t>040.002-26.25667657</t>
  </si>
  <si>
    <t>G10SI2607-1081</t>
  </si>
  <si>
    <t>01TMP2607-016814</t>
  </si>
  <si>
    <t>CL06284</t>
  </si>
  <si>
    <t>TOENG MART</t>
  </si>
  <si>
    <t>JAKSA AGUNG SUPRAPTO 39 - 41</t>
  </si>
  <si>
    <t>040.002-26.25667651</t>
  </si>
  <si>
    <t>PT. EASTERN MART</t>
  </si>
  <si>
    <t>JL. JAKSA AGUNG SUPRAPTO NO. 31, KETABANG-GENTENG</t>
  </si>
  <si>
    <t>0022095590611000000000</t>
  </si>
  <si>
    <t>G10SI2607-1083</t>
  </si>
  <si>
    <t>01TMP2607-016823</t>
  </si>
  <si>
    <t>CL31510</t>
  </si>
  <si>
    <t>REMAJA DIPONEGORO SIDOARJO</t>
  </si>
  <si>
    <t>DIPONEGORO 80</t>
  </si>
  <si>
    <t>040.002-26.25667752</t>
  </si>
  <si>
    <t>PT. REMAJA KUTEIJAYA SEJAHTERA</t>
  </si>
  <si>
    <t>JL KUTAI NO. 70-A RT. 010 RW. 006 DARMO WONOKROMO</t>
  </si>
  <si>
    <t>0315957753609000000000</t>
  </si>
  <si>
    <t>08070801050034</t>
  </si>
  <si>
    <t>DBD750931</t>
  </si>
  <si>
    <t>BABY DEE BW&amp;SHP NAT MILK&amp;LAVENDER EXCTRACT FOAMING 12X600ML</t>
  </si>
  <si>
    <t>G10SI2607-1085</t>
  </si>
  <si>
    <t>01TMP2607-016827</t>
  </si>
  <si>
    <t>CL28579</t>
  </si>
  <si>
    <t>REMAJA DHARMAHUSADA</t>
  </si>
  <si>
    <t>DHARMAHUSADA 66</t>
  </si>
  <si>
    <t>040.002-26.25667906</t>
  </si>
  <si>
    <t>PT. REMAJA KLAMPISJAYA SEJAHTERA</t>
  </si>
  <si>
    <t>KOMPLEK RUKO KLAMPIS 88, E 3A, 5 18 19, KLAMPIS NG</t>
  </si>
  <si>
    <t>0755573102606000000000</t>
  </si>
  <si>
    <t>08070801290031</t>
  </si>
  <si>
    <t>71200404</t>
  </si>
  <si>
    <t>BABY DEE TALCUM POWDER (MILK) BOTTLE 200 GR</t>
  </si>
  <si>
    <t>G10KJ2607-0259</t>
  </si>
  <si>
    <t>G10SI2607-1089</t>
  </si>
  <si>
    <t>01TMP2607-016840</t>
  </si>
  <si>
    <t>CL06268</t>
  </si>
  <si>
    <t>BROMO</t>
  </si>
  <si>
    <t>BROMO 21</t>
  </si>
  <si>
    <t>BROMO NIAGA SENTOSA</t>
  </si>
  <si>
    <t>JL. BROMO 21 RT. 001 RW. 005, SAWAHAN, SAWAHAN, KO</t>
  </si>
  <si>
    <t>1000000005026393000000</t>
  </si>
  <si>
    <t>G10SI2607-1091</t>
  </si>
  <si>
    <t>01TMP2607-016850</t>
  </si>
  <si>
    <t>CL32659</t>
  </si>
  <si>
    <t>MAJU MAPAN</t>
  </si>
  <si>
    <t>NORTHWEST BOULEVARD NV 03/57-58 CITRALAND</t>
  </si>
  <si>
    <t>040.002-26.25667757</t>
  </si>
  <si>
    <t>CV. SURYA NYDIA ZORINA</t>
  </si>
  <si>
    <t>NORTHWEST BOULEVARD BLOK. NV 03 NO. 57-58 BABAT JE</t>
  </si>
  <si>
    <t>0434296950604000000000</t>
  </si>
  <si>
    <t>08070802280043</t>
  </si>
  <si>
    <t>DBW640293</t>
  </si>
  <si>
    <t>DEE-DEE BODY WASH (ORG)  BOTTLE REFILL 225 ML</t>
  </si>
  <si>
    <t>G10SI2607-1093</t>
  </si>
  <si>
    <t>01TMP2607-016860</t>
  </si>
  <si>
    <t>CL49552</t>
  </si>
  <si>
    <t>MINA 3</t>
  </si>
  <si>
    <t>RAYA KENDUNG 81-83</t>
  </si>
  <si>
    <t>040.002-26.25667758</t>
  </si>
  <si>
    <t>08070804150003</t>
  </si>
  <si>
    <t>TAF365280</t>
  </si>
  <si>
    <t>TAF KITCHEN CLEANER 500 ML</t>
  </si>
  <si>
    <t>G10SI2607-1095</t>
  </si>
  <si>
    <t>01TMP2607-016868</t>
  </si>
  <si>
    <t>-2607080402000085</t>
  </si>
  <si>
    <t>040.002-26.25667543</t>
  </si>
  <si>
    <t>G10SI2607-1098</t>
  </si>
  <si>
    <t>01TMP2607-016873</t>
  </si>
  <si>
    <t>CL01808</t>
  </si>
  <si>
    <t>REMAJA LONTARJAYA SEJAHTERA, P</t>
  </si>
  <si>
    <t>RAYA LONTAR PAL 30 - 32 RT/RW 001 / 009 BABATAN WIYUNG</t>
  </si>
  <si>
    <t>040.002-26.25667541</t>
  </si>
  <si>
    <t>PT REMAJA LONTARJAYA SEJAHTERA</t>
  </si>
  <si>
    <t>JL. RAYA LONTAR PAL, 30-32, BABATAN, WIYUNG, KOTA</t>
  </si>
  <si>
    <t>0315875120618000000000</t>
  </si>
  <si>
    <t>G10SI2607-1102</t>
  </si>
  <si>
    <t>01TMP2607-016881</t>
  </si>
  <si>
    <t>CL00172</t>
  </si>
  <si>
    <t>REMAJA TOSERBA</t>
  </si>
  <si>
    <t>KUTAI 70A</t>
  </si>
  <si>
    <t>040.002-26.25667658</t>
  </si>
  <si>
    <t>08070804160043</t>
  </si>
  <si>
    <t>GLA178993</t>
  </si>
  <si>
    <t>GLASS CLEANER (FL) POUCH 410 ML</t>
  </si>
  <si>
    <t>G10SI2607-1103</t>
  </si>
  <si>
    <t>01TMP2607-016883</t>
  </si>
  <si>
    <t>CL27267</t>
  </si>
  <si>
    <t>REMAJA BARAT</t>
  </si>
  <si>
    <t>BABAT JERAWAT 44</t>
  </si>
  <si>
    <t>040.002-26.25667944</t>
  </si>
  <si>
    <t>PT. REMAJA LONTARJAYA SEJAHTERA</t>
  </si>
  <si>
    <t>G10KJ2607-0260</t>
  </si>
  <si>
    <t>G10SI2607-1104</t>
  </si>
  <si>
    <t>01TMP2607-016890</t>
  </si>
  <si>
    <t>CL36102</t>
  </si>
  <si>
    <t>REMAJA OPRA (KEPATIHAN)</t>
  </si>
  <si>
    <t>RAYA KEPATIHAN (PERUM OPRA CITY) KAV. KEPATIH MENGANTI</t>
  </si>
  <si>
    <t>040.002-26.25667655</t>
  </si>
  <si>
    <t>08070802120031</t>
  </si>
  <si>
    <t>DDP356281A</t>
  </si>
  <si>
    <t>DEE-DEE SHAMPOO (APPLE) PUMP 250 ML</t>
  </si>
  <si>
    <t>G10SI2607-1106</t>
  </si>
  <si>
    <t>1093661</t>
  </si>
  <si>
    <t>01TMP2607-016892</t>
  </si>
  <si>
    <t>-1093661</t>
  </si>
  <si>
    <t>040.002-26.25667546</t>
  </si>
  <si>
    <t>08070804160162</t>
  </si>
  <si>
    <t>BIO115291</t>
  </si>
  <si>
    <t>BIOSOFT HIJAB PELICIN OF 24X410ML REF PCH</t>
  </si>
  <si>
    <t>G10SI2607-1108</t>
  </si>
  <si>
    <t>1093658</t>
  </si>
  <si>
    <t>01TMP2607-016900</t>
  </si>
  <si>
    <t>-1093658</t>
  </si>
  <si>
    <t>040.002-26.25667538</t>
  </si>
  <si>
    <t>G10SI2607-1109</t>
  </si>
  <si>
    <t>1103540</t>
  </si>
  <si>
    <t>01TMP2607-016902</t>
  </si>
  <si>
    <t>-1103540</t>
  </si>
  <si>
    <t>040.002-26.25667540</t>
  </si>
  <si>
    <t>G10SI2607-1135</t>
  </si>
  <si>
    <t>-_x000D_Copy of Order-No : 01TMP2607-003922</t>
  </si>
  <si>
    <t>G10SO2607-0915</t>
  </si>
  <si>
    <t>-REV/SI-0243</t>
  </si>
  <si>
    <t>040.002-26.25666434</t>
  </si>
  <si>
    <t>G10SI2607-1153</t>
  </si>
  <si>
    <t>01TMP2607-017915</t>
  </si>
  <si>
    <t>CL38510</t>
  </si>
  <si>
    <t>REMAJA SUKODONO</t>
  </si>
  <si>
    <t>RAYA KEBON AGUNG RT 04 RW 01 KEL KEBON AGUNG KEC SUKODONO</t>
  </si>
  <si>
    <t>040.002-26.25667945</t>
  </si>
  <si>
    <t>087845090120</t>
  </si>
  <si>
    <t>G10KJ2607-0292</t>
  </si>
  <si>
    <t>G10SI2607-1154</t>
  </si>
  <si>
    <t>01TMP2607-017918</t>
  </si>
  <si>
    <t>CL22131</t>
  </si>
  <si>
    <t>REMAJA KLAMPIS</t>
  </si>
  <si>
    <t>KOMPLEK RUKO KLAMPIS 88 BLOK E-3A, E-5, E-18, E-19</t>
  </si>
  <si>
    <t>040.002-26.25667653</t>
  </si>
  <si>
    <t>G10SI2607-1156</t>
  </si>
  <si>
    <t>01TMP2607-017927</t>
  </si>
  <si>
    <t>CL51007</t>
  </si>
  <si>
    <t>MAKMUR KUTISARI</t>
  </si>
  <si>
    <t>RAYA KUTISARI SELATAN NO 45, KEL. KUTISARI, KEC. TENGGILIS M</t>
  </si>
  <si>
    <t>G10KJ2607-0315</t>
  </si>
  <si>
    <t>G10SI2607-1172</t>
  </si>
  <si>
    <t>BH7Q14341</t>
  </si>
  <si>
    <t>01TMP2607-018101</t>
  </si>
  <si>
    <t>-BH7Q14341</t>
  </si>
  <si>
    <t>040.002-26.25667542</t>
  </si>
  <si>
    <t>G10SI2607-1175</t>
  </si>
  <si>
    <t>G01SO2607-1943</t>
  </si>
  <si>
    <t>040.002-26.25667756</t>
  </si>
  <si>
    <t>08070804130057</t>
  </si>
  <si>
    <t>HSP223301A</t>
  </si>
  <si>
    <t>HAND SOAP PRE FOAMING (LAV) PUMP 410 ML</t>
  </si>
  <si>
    <t>08070804160203</t>
  </si>
  <si>
    <t>YDS370990</t>
  </si>
  <si>
    <t>YURI DISINFECTANT SPRAY PCH 24x410ML</t>
  </si>
  <si>
    <t>G10SI2607-1220</t>
  </si>
  <si>
    <t>01TMP2607-018994</t>
  </si>
  <si>
    <t>040.002-26.25668204</t>
  </si>
  <si>
    <t>G10SI2607-1234</t>
  </si>
  <si>
    <t>1103539</t>
  </si>
  <si>
    <t>01TMP2607-019317</t>
  </si>
  <si>
    <t>-1103539</t>
  </si>
  <si>
    <t>040.002-26.25667895</t>
  </si>
  <si>
    <t>08070804160071</t>
  </si>
  <si>
    <t>MAT211991</t>
  </si>
  <si>
    <t>YURI MATIC (RB) POUCH 630 ML</t>
  </si>
  <si>
    <t>G10SI2607-1236</t>
  </si>
  <si>
    <t>-_x000D_Copy of Order-No : 01TMP2607-009074</t>
  </si>
  <si>
    <t>01TMP2607-019360</t>
  </si>
  <si>
    <t>-REV/SI-0561</t>
  </si>
  <si>
    <t>040.002-26.25667603</t>
  </si>
  <si>
    <t>G10SI2607-1237</t>
  </si>
  <si>
    <t>-_x000D_Copy of Order-No : G10SO2607-0300</t>
  </si>
  <si>
    <t>G10SO2607-1008</t>
  </si>
  <si>
    <t>-REV/SI-0341</t>
  </si>
  <si>
    <t>040.002-26.25667602</t>
  </si>
  <si>
    <t>G10SI2607-1267</t>
  </si>
  <si>
    <t>01TMP2607-019938</t>
  </si>
  <si>
    <t>040.002-26.25667760</t>
  </si>
  <si>
    <t>G10SI2607-1268</t>
  </si>
  <si>
    <t>01TMP2607-019939</t>
  </si>
  <si>
    <t>040.002-26.25667759</t>
  </si>
  <si>
    <t>G10SI2607-1269</t>
  </si>
  <si>
    <t>01TMP2607-019949</t>
  </si>
  <si>
    <t>CL43710</t>
  </si>
  <si>
    <t>MAKMUR MANUKAN</t>
  </si>
  <si>
    <t>MANUKAN TENGAH 52 J</t>
  </si>
  <si>
    <t>040.002-26.25667930</t>
  </si>
  <si>
    <t>G10SI2607-1270</t>
  </si>
  <si>
    <t>01TMP2607-019954</t>
  </si>
  <si>
    <t>CL43703</t>
  </si>
  <si>
    <t>MAKMUR MENGANTI GRESIK</t>
  </si>
  <si>
    <t>SIDOMULYO 53 HULAAN</t>
  </si>
  <si>
    <t>040.002-26.25668208</t>
  </si>
  <si>
    <t>G10SI2607-1271</t>
  </si>
  <si>
    <t>01TMP2607-019959</t>
  </si>
  <si>
    <t>CL43673</t>
  </si>
  <si>
    <t>MAKMUR TAMBAK REJO 1</t>
  </si>
  <si>
    <t>PASAR TAMBAK REJO BLOK B5/4</t>
  </si>
  <si>
    <t>040.002-26.25667954</t>
  </si>
  <si>
    <t>G10SI2607-1272</t>
  </si>
  <si>
    <t>EH7Q78604</t>
  </si>
  <si>
    <t>01TMP2607-019971</t>
  </si>
  <si>
    <t>-EH7Q78604</t>
  </si>
  <si>
    <t>040.002-26.25667750</t>
  </si>
  <si>
    <t>G10SI2607-1289</t>
  </si>
  <si>
    <t>01TMP2607-020059</t>
  </si>
  <si>
    <t>040.002-26.25667755</t>
  </si>
  <si>
    <t>G10SI2607-1291</t>
  </si>
  <si>
    <t>01TMP2607-020067</t>
  </si>
  <si>
    <t>040.002-26.25667754</t>
  </si>
  <si>
    <t>08070804130051</t>
  </si>
  <si>
    <t>HSA981283A</t>
  </si>
  <si>
    <t>HAND SOAP PRE FOAMING (GREEN TEA) PUMP 410 ML</t>
  </si>
  <si>
    <t>G10SI2607-1292</t>
  </si>
  <si>
    <t>1120532</t>
  </si>
  <si>
    <t>01TMP2607-020070</t>
  </si>
  <si>
    <t>-1120532</t>
  </si>
  <si>
    <t>040.002-26.25667946</t>
  </si>
  <si>
    <t>G10SI2607-1387</t>
  </si>
  <si>
    <t>01TMP2607-020603</t>
  </si>
  <si>
    <t>040.002-26.25667652</t>
  </si>
  <si>
    <t>G10SI2607-1388</t>
  </si>
  <si>
    <t>01TMP2607-020602</t>
  </si>
  <si>
    <t>040.002-26.25668051</t>
  </si>
  <si>
    <t>G10KJ2607-0303</t>
  </si>
  <si>
    <t>08070804310022</t>
  </si>
  <si>
    <t>AGA101492</t>
  </si>
  <si>
    <t>AGANOL (LEMON) BOTTLE 2000 ML</t>
  </si>
  <si>
    <t>G10SI2607-1389</t>
  </si>
  <si>
    <t>01TMP2607-020611</t>
  </si>
  <si>
    <t>040.002-26.25667751</t>
  </si>
  <si>
    <t>08070802100013</t>
  </si>
  <si>
    <t>DFW662194</t>
  </si>
  <si>
    <t>DEE-DEE FACIAL WASH (STR) TUBE TRAY 50 GR</t>
  </si>
  <si>
    <t>G10SI2607-1391</t>
  </si>
  <si>
    <t>01TMP2607-020612</t>
  </si>
  <si>
    <t>040.002-26.25667940</t>
  </si>
  <si>
    <t>G10SI2607-1392</t>
  </si>
  <si>
    <t>10131000064228</t>
  </si>
  <si>
    <t>01TMP2607-020677</t>
  </si>
  <si>
    <t>-10131000064228</t>
  </si>
  <si>
    <t>CL48335</t>
  </si>
  <si>
    <t>AEON PAKUWON</t>
  </si>
  <si>
    <t>PUNCAK INDAH LONTAR BARAT NO. 2</t>
  </si>
  <si>
    <t>040.002-26.25667748</t>
  </si>
  <si>
    <t>PT. AEON INDONESIA</t>
  </si>
  <si>
    <t>AEON MALL BSD CITY UNIT M-02 LT MEZZANINE JL BSD R</t>
  </si>
  <si>
    <t>0032200917077000000000</t>
  </si>
  <si>
    <t>08070804160132</t>
  </si>
  <si>
    <t>YSO233562</t>
  </si>
  <si>
    <t>YURI-SOFT LAVENDER 12X630ML</t>
  </si>
  <si>
    <t>08176320319</t>
  </si>
  <si>
    <t>G10SI2607-1393</t>
  </si>
  <si>
    <t>10131000064127</t>
  </si>
  <si>
    <t>01TMP2607-020682</t>
  </si>
  <si>
    <t>-10131000064127</t>
  </si>
  <si>
    <t>040.002-26.25667747</t>
  </si>
  <si>
    <t>G10SI2607-1394</t>
  </si>
  <si>
    <t>10131000064227</t>
  </si>
  <si>
    <t>01TMP2607-020686</t>
  </si>
  <si>
    <t>-10131000064227</t>
  </si>
  <si>
    <t>040.002-26.25667749</t>
  </si>
  <si>
    <t>08070804160131</t>
  </si>
  <si>
    <t>YSO233565</t>
  </si>
  <si>
    <t>YURI-SOFT FLORAL 12X630ML</t>
  </si>
  <si>
    <t>08070804160133</t>
  </si>
  <si>
    <t>YSO233561</t>
  </si>
  <si>
    <t>YURI-SOFT ROMANTIC 12X630ML</t>
  </si>
  <si>
    <t>08070804160161</t>
  </si>
  <si>
    <t>BIO115281</t>
  </si>
  <si>
    <t>BIOSOFT HIJAB PELICIN OF 12X500ML BTL SPRAY</t>
  </si>
  <si>
    <t>G10SI2607-1479</t>
  </si>
  <si>
    <t>01TMP2607-021912</t>
  </si>
  <si>
    <t>040.002-26.25667949</t>
  </si>
  <si>
    <t>G10SI2607-1482</t>
  </si>
  <si>
    <t>01TMP2607-021927</t>
  </si>
  <si>
    <t>CL35506</t>
  </si>
  <si>
    <t>SB MART</t>
  </si>
  <si>
    <t>MENGANTI LIDAH KULON 1142, KEC. LAKARSANTRI</t>
  </si>
  <si>
    <t>040.002-26.25667951</t>
  </si>
  <si>
    <t>CV. SUMBER BERKAT SUKSES</t>
  </si>
  <si>
    <t>MENGANTI BLOK. - NO. 1142 RT. 002 RW. 003 LIDAH KU</t>
  </si>
  <si>
    <t>0607441540604000000000</t>
  </si>
  <si>
    <t>G10SI2607-1483</t>
  </si>
  <si>
    <t>01TMP2607-021929</t>
  </si>
  <si>
    <t>040.002-26.25667950</t>
  </si>
  <si>
    <t>G10SI2607-1484</t>
  </si>
  <si>
    <t>01TMP2607-021953</t>
  </si>
  <si>
    <t>040.002-26.25667928</t>
  </si>
  <si>
    <t>G10SI2607-1485</t>
  </si>
  <si>
    <t>01TMP2607-021957</t>
  </si>
  <si>
    <t>040.002-26.25667929</t>
  </si>
  <si>
    <t>G10SI2607-1490</t>
  </si>
  <si>
    <t>01TMP2607-021992</t>
  </si>
  <si>
    <t>040.002-26.25667927</t>
  </si>
  <si>
    <t>G10SI2607-1491</t>
  </si>
  <si>
    <t>01TMP2607-021997</t>
  </si>
  <si>
    <t>040.002-26.25668050</t>
  </si>
  <si>
    <t>G10KJ2607-0304</t>
  </si>
  <si>
    <t>G10SI2607-1493</t>
  </si>
  <si>
    <t>01TMP2607-022019</t>
  </si>
  <si>
    <t>CL43708</t>
  </si>
  <si>
    <t>MAKMUR LIDAH WETAN</t>
  </si>
  <si>
    <t>LIDAH WETAN NO. 884</t>
  </si>
  <si>
    <t>040.002-26.25668207</t>
  </si>
  <si>
    <t>G10SI2607-1494</t>
  </si>
  <si>
    <t>01TMP2607-022020</t>
  </si>
  <si>
    <t>CL32563</t>
  </si>
  <si>
    <t>CV. RAHMAT DWIJAYA</t>
  </si>
  <si>
    <t>NGINDEN INTAN TIMUR 17/2 A.7-32</t>
  </si>
  <si>
    <t>040.002-26.25667762</t>
  </si>
  <si>
    <t>CV. RACHMAD DWIJAYA</t>
  </si>
  <si>
    <t>JL. NGINDEN INTAN TIMUR 17/2 A.7-32 NGINDEN JANGKU</t>
  </si>
  <si>
    <t>0025250507606000000000</t>
  </si>
  <si>
    <t>G10SI2607-1497</t>
  </si>
  <si>
    <t>3013803536</t>
  </si>
  <si>
    <t>01TMP2607-022033</t>
  </si>
  <si>
    <t>-3013803536</t>
  </si>
  <si>
    <t>040.002-26.25668070</t>
  </si>
  <si>
    <t>G10SI2607-1499</t>
  </si>
  <si>
    <t>2501482629</t>
  </si>
  <si>
    <t>01TMP2607-022035</t>
  </si>
  <si>
    <t>-2501482629</t>
  </si>
  <si>
    <t>040.002-26.25667761</t>
  </si>
  <si>
    <t>G10SI2607-1501</t>
  </si>
  <si>
    <t>G10SO2607-1299</t>
  </si>
  <si>
    <t>-3013803583</t>
  </si>
  <si>
    <t>CL29047</t>
  </si>
  <si>
    <t>RANCH THE GOURMENT</t>
  </si>
  <si>
    <t>DR. IR. HAJI SOEKARNO 178</t>
  </si>
  <si>
    <t>040.002-26.25668066</t>
  </si>
  <si>
    <t>PT. SUPRA  BOGA  LESTARI TBK</t>
  </si>
  <si>
    <t>G10SI2607-1502</t>
  </si>
  <si>
    <t>01TMP2607-022056</t>
  </si>
  <si>
    <t>CL43702</t>
  </si>
  <si>
    <t>MAKMUR CITRA HARMONI</t>
  </si>
  <si>
    <t>KEMENDUNG RT 001 RW 001</t>
  </si>
  <si>
    <t>040.002-26.25668073</t>
  </si>
  <si>
    <t>G10SI2607-1513</t>
  </si>
  <si>
    <t>01TMP2607-022266</t>
  </si>
  <si>
    <t>040.002-26.25667953</t>
  </si>
  <si>
    <t>08070802100011</t>
  </si>
  <si>
    <t>DFW662192</t>
  </si>
  <si>
    <t>DEE-DEE FACIAL WASH (GRP) TUBE TRAY 50 GR</t>
  </si>
  <si>
    <t>G10SI2607-1622</t>
  </si>
  <si>
    <t>01TMP2607-024252</t>
  </si>
  <si>
    <t>040.002-26.25667948</t>
  </si>
  <si>
    <t>G10SI2607-1623</t>
  </si>
  <si>
    <t>01TMP2607-024265</t>
  </si>
  <si>
    <t>040.002-26.25668072</t>
  </si>
  <si>
    <t>G10SI2607-1625</t>
  </si>
  <si>
    <t>01TMP2607-024278</t>
  </si>
  <si>
    <t>040.002-26.25668067</t>
  </si>
  <si>
    <t>G10SI2607-1626</t>
  </si>
  <si>
    <t>01TMP2607-024316</t>
  </si>
  <si>
    <t>040.002-26.25667939</t>
  </si>
  <si>
    <t>G10SI2607-1628</t>
  </si>
  <si>
    <t>G10SO2607-1422</t>
  </si>
  <si>
    <t>040.002-26.25667938</t>
  </si>
  <si>
    <t>G10SI2607-1629</t>
  </si>
  <si>
    <t>01TMP2607-024327</t>
  </si>
  <si>
    <t>040.002-26.25668053</t>
  </si>
  <si>
    <t>G10SI2607-1630</t>
  </si>
  <si>
    <t>01TMP2607-024329</t>
  </si>
  <si>
    <t>040.002-26.25668071</t>
  </si>
  <si>
    <t>G10SI2607-1631</t>
  </si>
  <si>
    <t>01TMP2607-024330</t>
  </si>
  <si>
    <t>040.002-26.25667947</t>
  </si>
  <si>
    <t>G10SI2607-1633</t>
  </si>
  <si>
    <t>01TMP2607-024339</t>
  </si>
  <si>
    <t>040.002-26.25667941</t>
  </si>
  <si>
    <t>08070804160068</t>
  </si>
  <si>
    <t>LIG252592</t>
  </si>
  <si>
    <t>LIGENT (LEMON) JRG 3.7 LT</t>
  </si>
  <si>
    <t>08070804160075</t>
  </si>
  <si>
    <t>MAT211392</t>
  </si>
  <si>
    <t>YURI MATIC (RP) BOTTLE 1000 ML</t>
  </si>
  <si>
    <t>08070804160107</t>
  </si>
  <si>
    <t>LIG252595</t>
  </si>
  <si>
    <t>LIGENT (GRAPE FRUIT) JRG 3.7 LT</t>
  </si>
  <si>
    <t>08070804160152</t>
  </si>
  <si>
    <t>BIO114921</t>
  </si>
  <si>
    <t>BIOSOFT HIJAB PEWANGI+SOFTENER OF 12X630 ML PCH</t>
  </si>
  <si>
    <t>G10SI2607-1670</t>
  </si>
  <si>
    <t>01TMP2607-024621</t>
  </si>
  <si>
    <t>-CASH</t>
  </si>
  <si>
    <t>CL36813</t>
  </si>
  <si>
    <t>OHAYO</t>
  </si>
  <si>
    <t>RUKO PRAMBANAN RESIDENCE, KEL LIDAH KULON KEC LAKARSANTRI</t>
  </si>
  <si>
    <t>040.002-26.25667952</t>
  </si>
  <si>
    <t>PT. ARUNIKA INDAH ABADI</t>
  </si>
  <si>
    <t>PRAMBANAN BLOK B/12,15,16,17 LIDAH KULON, LAKARSAN</t>
  </si>
  <si>
    <t>0621180561604000000000</t>
  </si>
  <si>
    <t>G10SI2607-1760</t>
  </si>
  <si>
    <t>01TMP2607-026411</t>
  </si>
  <si>
    <t>040.002-26.25668203</t>
  </si>
  <si>
    <t>G10SI2607-1763</t>
  </si>
  <si>
    <t>01TMP2607-026415</t>
  </si>
  <si>
    <t>CL29973</t>
  </si>
  <si>
    <t>TOEKOE</t>
  </si>
  <si>
    <t>BANYU URIP 147</t>
  </si>
  <si>
    <t>040.002-26.25668061</t>
  </si>
  <si>
    <t>PT. TOEKOE INDONESIA PERSADA</t>
  </si>
  <si>
    <t>JL BANYU URIP NO. 147 BANYU URIP SAWAHAN KOTA SURA</t>
  </si>
  <si>
    <t>0930324009614000000000</t>
  </si>
  <si>
    <t>G10SI2607-1764</t>
  </si>
  <si>
    <t>01TMP2607-026418</t>
  </si>
  <si>
    <t>040.002-26.25668062</t>
  </si>
  <si>
    <t>G10SI2607-1765</t>
  </si>
  <si>
    <t>01TMP2607-026421</t>
  </si>
  <si>
    <t>040.002-26.25668068</t>
  </si>
  <si>
    <t>G10SI2607-1766</t>
  </si>
  <si>
    <t>01TMP2607-026426</t>
  </si>
  <si>
    <t>040.002-26.25668069</t>
  </si>
  <si>
    <t>G10SI2607-1767</t>
  </si>
  <si>
    <t>01TMP2607-026430</t>
  </si>
  <si>
    <t>040.002-26.25668063</t>
  </si>
  <si>
    <t>G10SI2607-1796</t>
  </si>
  <si>
    <t>01TMP2607-027168</t>
  </si>
  <si>
    <t>040.002-26.25668064</t>
  </si>
  <si>
    <t>G10SI2607-1855</t>
  </si>
  <si>
    <t>IH7Q20469</t>
  </si>
  <si>
    <t>01TMP2607-028318</t>
  </si>
  <si>
    <t>-IH7Q20469</t>
  </si>
  <si>
    <t>040.002-26.25668065</t>
  </si>
  <si>
    <t>G10SI2607-1856</t>
  </si>
  <si>
    <t>01TMP2607-028326</t>
  </si>
  <si>
    <t>CL43709</t>
  </si>
  <si>
    <t>MAKMUR SUKODONO</t>
  </si>
  <si>
    <t>RAYA SUKODONO 39</t>
  </si>
  <si>
    <t>040.002-26.25668913</t>
  </si>
  <si>
    <t>G10SI2607-1857</t>
  </si>
  <si>
    <t>01TMP2607-028324</t>
  </si>
  <si>
    <t>040.002-26.25669048</t>
  </si>
  <si>
    <t>G10SI2607-1862</t>
  </si>
  <si>
    <t>01TMP2607-028335</t>
  </si>
  <si>
    <t>040.002-26.25668915</t>
  </si>
  <si>
    <t>G10SI2607-1885</t>
  </si>
  <si>
    <t>Cash</t>
  </si>
  <si>
    <t>01TMP2607-028638</t>
  </si>
  <si>
    <t>CL24536</t>
  </si>
  <si>
    <t>TRANSMART SIDOARJO</t>
  </si>
  <si>
    <t>TAMAN TIARA REGENCY PAGERWOJO</t>
  </si>
  <si>
    <t>TRANS RETAIL INDONESIA</t>
  </si>
  <si>
    <t>GEDUNG TRANSMART CEMPAKA PUTIH JL JENDERAL AHMAD Y</t>
  </si>
  <si>
    <t>0017110628092000000000</t>
  </si>
  <si>
    <t>G10KJ2607-0375</t>
  </si>
  <si>
    <t>Belum Terkirim Sehingga PO Mati</t>
  </si>
  <si>
    <t>G10SI2607-1886</t>
  </si>
  <si>
    <t>01TMP2607-028637</t>
  </si>
  <si>
    <t>040.002-26.25668205</t>
  </si>
  <si>
    <t>G10SI2607-1909</t>
  </si>
  <si>
    <t>cash</t>
  </si>
  <si>
    <t>01TMP2607-029256</t>
  </si>
  <si>
    <t>040.002-26.25668911</t>
  </si>
  <si>
    <t>G10SI2607-1927</t>
  </si>
  <si>
    <t>01TMP2607-029601</t>
  </si>
  <si>
    <t>040.002-26.25668914</t>
  </si>
  <si>
    <t>G10SI2607-1928</t>
  </si>
  <si>
    <t>01TMP2607-029613</t>
  </si>
  <si>
    <t>G10KJ2607-0320</t>
  </si>
  <si>
    <t>G10SI2607-1930</t>
  </si>
  <si>
    <t>01TMP2607-029620</t>
  </si>
  <si>
    <t>040.002-26.25668912</t>
  </si>
  <si>
    <t>G10SI2607-1931</t>
  </si>
  <si>
    <t>01TMP2607-029600</t>
  </si>
  <si>
    <t>CL43701</t>
  </si>
  <si>
    <t>MAKMUR KEPUTIH</t>
  </si>
  <si>
    <t>KEPUTIH TEGAL 62</t>
  </si>
  <si>
    <t>G10KJ2607-0317</t>
  </si>
  <si>
    <t>G10SI2607-1934</t>
  </si>
  <si>
    <t>-_x000D_Copy of Order-No : 01TMP2607-017927</t>
  </si>
  <si>
    <t>G10SO2607-1683</t>
  </si>
  <si>
    <t>-REV/SI-1156</t>
  </si>
  <si>
    <t>040.002-26.25668049</t>
  </si>
  <si>
    <t>G10SI2607-1935</t>
  </si>
  <si>
    <t>-_x000D_Copy of Order-No : 01TMP2607-029600</t>
  </si>
  <si>
    <t>01TMP2607-029659</t>
  </si>
  <si>
    <t>040.002-26.25668916</t>
  </si>
  <si>
    <t>G10SI2607-1936</t>
  </si>
  <si>
    <t>-_x000D_Copy of Order-No : 01TMP2607-029613</t>
  </si>
  <si>
    <t>01TMP2607-029667</t>
  </si>
  <si>
    <t>040.002-26.25668206</t>
  </si>
  <si>
    <t>G10SI2607-2016</t>
  </si>
  <si>
    <t>01TMP2607-031419</t>
  </si>
  <si>
    <t>G10KJ2607-0389</t>
  </si>
  <si>
    <t>Tunggu Transfer</t>
  </si>
  <si>
    <t>G10SI2607-2018</t>
  </si>
  <si>
    <t>01TMP2607-031428</t>
  </si>
  <si>
    <t>G10KJ2607-0390</t>
  </si>
  <si>
    <t>G10SI2607-2050</t>
  </si>
  <si>
    <t>01TMP2607-031669</t>
  </si>
  <si>
    <t>040.002-26.25669052</t>
  </si>
  <si>
    <t>G10SI2607-2051</t>
  </si>
  <si>
    <t>01TMP2607-031673</t>
  </si>
  <si>
    <t>040.002-26.25669053</t>
  </si>
  <si>
    <t>G10SI2607-2052</t>
  </si>
  <si>
    <t>01TMP2607-031683</t>
  </si>
  <si>
    <t>040.002-26.25669234</t>
  </si>
  <si>
    <t>G10SI2607-2053</t>
  </si>
  <si>
    <t>01TMP2607-031684</t>
  </si>
  <si>
    <t>040.002-26.25669044</t>
  </si>
  <si>
    <t>G10SI2607-2057</t>
  </si>
  <si>
    <t>01TMP2607-031705</t>
  </si>
  <si>
    <t>040.002-26.25669376</t>
  </si>
  <si>
    <t>G10SI2607-2058</t>
  </si>
  <si>
    <t>01TMP2607-031706</t>
  </si>
  <si>
    <t>040.002-26.25669039</t>
  </si>
  <si>
    <t>G10SI2607-2060</t>
  </si>
  <si>
    <t>01TMP2607-031717</t>
  </si>
  <si>
    <t>-KH7Q62658</t>
  </si>
  <si>
    <t>040.002-26.25669051</t>
  </si>
  <si>
    <t>G10SI2607-2061</t>
  </si>
  <si>
    <t>01TMP2607-031716</t>
  </si>
  <si>
    <t>CL47985</t>
  </si>
  <si>
    <t>MAKMUR TROPODO</t>
  </si>
  <si>
    <t>RAYA TROPODO 53</t>
  </si>
  <si>
    <t>G10KJ2607-0450</t>
  </si>
  <si>
    <t>G10SI2607-2064</t>
  </si>
  <si>
    <t>KH7Q61161</t>
  </si>
  <si>
    <t>01TMP2607-031738</t>
  </si>
  <si>
    <t>-KH7Q61161</t>
  </si>
  <si>
    <t>040.002-26.25669050</t>
  </si>
  <si>
    <t>G10SI2607-2065</t>
  </si>
  <si>
    <t>01TMP2607-031742</t>
  </si>
  <si>
    <t>-06190042689</t>
  </si>
  <si>
    <t>040.002-26.25669049</t>
  </si>
  <si>
    <t>G10SI2607-2148</t>
  </si>
  <si>
    <t>01TMP2607-032393</t>
  </si>
  <si>
    <t>040.002-26.25669038</t>
  </si>
  <si>
    <t>G10SI2607-2149</t>
  </si>
  <si>
    <t>01TMP2607-032396</t>
  </si>
  <si>
    <t>040.002-26.25669043</t>
  </si>
  <si>
    <t>G10SI2607-2150</t>
  </si>
  <si>
    <t>01TMP2607-032401</t>
  </si>
  <si>
    <t>040.002-26.25669370</t>
  </si>
  <si>
    <t>G10SI2607-2152</t>
  </si>
  <si>
    <t>10131000065805</t>
  </si>
  <si>
    <t>01TMP2607-032409</t>
  </si>
  <si>
    <t>-10131000065805</t>
  </si>
  <si>
    <t>040.002-26.25669047</t>
  </si>
  <si>
    <t>08070804160142</t>
  </si>
  <si>
    <t>BIO114391</t>
  </si>
  <si>
    <t>BIOSOFT HIJAB PEWANGI+SOFTENER OF 12X900 ML BTL</t>
  </si>
  <si>
    <t>08070804160141</t>
  </si>
  <si>
    <t>BIO113381</t>
  </si>
  <si>
    <t>BIOSOFT HIJAB DETERJEN+SOFTENER OF 12X900 ML BTL</t>
  </si>
  <si>
    <t>G10SI2607-2153</t>
  </si>
  <si>
    <t>10131000065888</t>
  </si>
  <si>
    <t>01TMP2607-032417</t>
  </si>
  <si>
    <t>-10131000065888</t>
  </si>
  <si>
    <t>040.002-26.25669045</t>
  </si>
  <si>
    <t>G10SI2607-2154</t>
  </si>
  <si>
    <t>10131000065433</t>
  </si>
  <si>
    <t>01TMP2607-032421</t>
  </si>
  <si>
    <t>-10131000065433</t>
  </si>
  <si>
    <t>040.002-26.25669046</t>
  </si>
  <si>
    <t>G10SI2607-2183</t>
  </si>
  <si>
    <t>01TMP2607-032402</t>
  </si>
  <si>
    <t>040.002-26.25669241</t>
  </si>
  <si>
    <t>G10SI2607-2235</t>
  </si>
  <si>
    <t>01TMP2607-033639</t>
  </si>
  <si>
    <t>040.002-26.25669368</t>
  </si>
  <si>
    <t>G10SI2607-2236</t>
  </si>
  <si>
    <t>01TMP2607-033646</t>
  </si>
  <si>
    <t>040.002-26.25669041</t>
  </si>
  <si>
    <t>G10SI2607-2237</t>
  </si>
  <si>
    <t>01TMP2607-033645</t>
  </si>
  <si>
    <t>040.002-26.25669042</t>
  </si>
  <si>
    <t>G10SI2607-2239</t>
  </si>
  <si>
    <t>01TMP2607-033660</t>
  </si>
  <si>
    <t>CL29957</t>
  </si>
  <si>
    <t>TAMBAH JAYA</t>
  </si>
  <si>
    <t>RUNGKUT MADYA 141</t>
  </si>
  <si>
    <t>040.002-26.25669040</t>
  </si>
  <si>
    <t>PT. TUNAS MULIA SEJAHTERA</t>
  </si>
  <si>
    <t>JL KEJAWAN PUTIH PALM INDAH IX F9-35 RT. 003 RW. 0</t>
  </si>
  <si>
    <t>0862309234619000000000</t>
  </si>
  <si>
    <t>G10SI2607-2240</t>
  </si>
  <si>
    <t>01TMP2607-033663</t>
  </si>
  <si>
    <t>CL43675</t>
  </si>
  <si>
    <t>MAKMUR TAMBAK REJO 2</t>
  </si>
  <si>
    <t>TAMBAK REJO 66</t>
  </si>
  <si>
    <t>G10SI2607-2353</t>
  </si>
  <si>
    <t>01TMP2607-035477</t>
  </si>
  <si>
    <t>G10KJ2607-0520</t>
  </si>
  <si>
    <t>G10SI2607-2360</t>
  </si>
  <si>
    <t>G10SO2607-2077</t>
  </si>
  <si>
    <t>040.002-26.25669114</t>
  </si>
  <si>
    <t>G10SI2607-2361</t>
  </si>
  <si>
    <t>01TMP2607-035570</t>
  </si>
  <si>
    <t>040.002-26.25669236</t>
  </si>
  <si>
    <t>G10SI2607-2363</t>
  </si>
  <si>
    <t>01TMP2607-035579</t>
  </si>
  <si>
    <t>040.002-26.25669367</t>
  </si>
  <si>
    <t>G10SI2607-2365</t>
  </si>
  <si>
    <t>01TMP2607-035586</t>
  </si>
  <si>
    <t>040.002-26.25669237</t>
  </si>
  <si>
    <t>G10SI2607-2367</t>
  </si>
  <si>
    <t>G10SO2607-2080</t>
  </si>
  <si>
    <t>040.002-26.25669457</t>
  </si>
  <si>
    <t>G10SI2607-2368</t>
  </si>
  <si>
    <t>01TMP2607-035595</t>
  </si>
  <si>
    <t>G10KJ2607-0454</t>
  </si>
  <si>
    <t>G10SI2607-2380</t>
  </si>
  <si>
    <t>2607210402000077</t>
  </si>
  <si>
    <t>01TMP2607-035650</t>
  </si>
  <si>
    <t>-2607210402000077</t>
  </si>
  <si>
    <t>040.002-26.25669238</t>
  </si>
  <si>
    <t>G10SI2607-2384</t>
  </si>
  <si>
    <t>01TMP2607-035658</t>
  </si>
  <si>
    <t>040.002-26.25669240</t>
  </si>
  <si>
    <t>08070801030072</t>
  </si>
  <si>
    <t>DBD789192</t>
  </si>
  <si>
    <t>BABYDEE DIAPER CREAM HONEY &amp; CHAMOMILE TUBE 24X100GR</t>
  </si>
  <si>
    <t>G10SI2607-2386</t>
  </si>
  <si>
    <t>01TMP2607-035661</t>
  </si>
  <si>
    <t>040.002-26.25669235</t>
  </si>
  <si>
    <t>G10SI2607-2387</t>
  </si>
  <si>
    <t>01TMP2607-035664</t>
  </si>
  <si>
    <t>040.002-26.25669239</t>
  </si>
  <si>
    <t>G10SI2607-2388</t>
  </si>
  <si>
    <t>01TMP2607-035669</t>
  </si>
  <si>
    <t>040.002-26.25669495</t>
  </si>
  <si>
    <t>G10KJ2607-0479</t>
  </si>
  <si>
    <t>G10SI2607-2514</t>
  </si>
  <si>
    <t>01TMP2607-037598</t>
  </si>
  <si>
    <t>040.002-26.25669369</t>
  </si>
  <si>
    <t>G10SI2607-2515</t>
  </si>
  <si>
    <t>01TMP2607-037600</t>
  </si>
  <si>
    <t>040.002-26.25669365</t>
  </si>
  <si>
    <t>G10SI2607-2516</t>
  </si>
  <si>
    <t>01TMP2607-037607</t>
  </si>
  <si>
    <t>040.002-26.25669366</t>
  </si>
  <si>
    <t>G10SI2607-2517</t>
  </si>
  <si>
    <t>01TMP2607-037605</t>
  </si>
  <si>
    <t>040.002-26.25669550</t>
  </si>
  <si>
    <t>G10KJ2607-0493</t>
  </si>
  <si>
    <t>G10SI2607-2520</t>
  </si>
  <si>
    <t>01TMP2607-037626</t>
  </si>
  <si>
    <t>040.002-26.25669374</t>
  </si>
  <si>
    <t>G10SI2607-2522</t>
  </si>
  <si>
    <t>01TMP2607-037636</t>
  </si>
  <si>
    <t>040.002-26.25669375</t>
  </si>
  <si>
    <t>08070804310012</t>
  </si>
  <si>
    <t>AGA101392</t>
  </si>
  <si>
    <t>AGANOL (LEMON) BOTTLE 1000 ML</t>
  </si>
  <si>
    <t>08070804310013</t>
  </si>
  <si>
    <t>AGA101393</t>
  </si>
  <si>
    <t>AGANOL (MORNING FRESH) BOTTLE 1000 ML</t>
  </si>
  <si>
    <t>G10SI2607-2524</t>
  </si>
  <si>
    <t>01TMP2607-037646</t>
  </si>
  <si>
    <t>040.002-26.25669551</t>
  </si>
  <si>
    <t>G10KJ2607-0492</t>
  </si>
  <si>
    <t>G10SI2607-2525</t>
  </si>
  <si>
    <t>01TMP2607-037648</t>
  </si>
  <si>
    <t>040.002-26.25669496</t>
  </si>
  <si>
    <t>G10KJ2607-0478</t>
  </si>
  <si>
    <t>G10SI2607-2526</t>
  </si>
  <si>
    <t>01TMP2607-037657</t>
  </si>
  <si>
    <t>CL43699</t>
  </si>
  <si>
    <t>MAKMUR TENGGILIS</t>
  </si>
  <si>
    <t>TENGGILIS RAYA 139 A</t>
  </si>
  <si>
    <t>040.002-26.25669372</t>
  </si>
  <si>
    <t>G10SI2607-2560</t>
  </si>
  <si>
    <t>HENDA SPV</t>
  </si>
  <si>
    <t>G10SO2607-2237</t>
  </si>
  <si>
    <t>AMBIL KENJI</t>
  </si>
  <si>
    <t>CL28099</t>
  </si>
  <si>
    <t>PT. GADING PURI PERKASA ( JOMBANG )</t>
  </si>
  <si>
    <t>SUMOBITO,DUSUN JETIS, DESA MANCILAN</t>
  </si>
  <si>
    <t>PT. GADING PURI PERKASA ( JOMBANG ) / KUSNUL</t>
  </si>
  <si>
    <t>0000000000000000</t>
  </si>
  <si>
    <t>G10SI2607-2569</t>
  </si>
  <si>
    <t>1177715</t>
  </si>
  <si>
    <t>01TMP2607-038189</t>
  </si>
  <si>
    <t>-1177715</t>
  </si>
  <si>
    <t>040.002-26.25669359</t>
  </si>
  <si>
    <t>G10SI2607-2570</t>
  </si>
  <si>
    <t>1164244</t>
  </si>
  <si>
    <t>01TMP2607-038193</t>
  </si>
  <si>
    <t>-1164244</t>
  </si>
  <si>
    <t>040.002-26.25669360</t>
  </si>
  <si>
    <t>G10SI2607-2571</t>
  </si>
  <si>
    <t>1231177</t>
  </si>
  <si>
    <t>01TMP2607-038197</t>
  </si>
  <si>
    <t>-1231177</t>
  </si>
  <si>
    <t>040.002-26.25669361</t>
  </si>
  <si>
    <t>G10SI2607-2574</t>
  </si>
  <si>
    <t>1201626</t>
  </si>
  <si>
    <t>01TMP2607-038216</t>
  </si>
  <si>
    <t>-1201626</t>
  </si>
  <si>
    <t>040.002-26.25669549</t>
  </si>
  <si>
    <t>08070804160003</t>
  </si>
  <si>
    <t>BBS106590</t>
  </si>
  <si>
    <t>BABY SOFT JRG 3.7 LT</t>
  </si>
  <si>
    <t>G10KJ2607-0494</t>
  </si>
  <si>
    <t>G10SI2607-2575</t>
  </si>
  <si>
    <t>1195274</t>
  </si>
  <si>
    <t>01TMP2607-038218</t>
  </si>
  <si>
    <t>-1195274</t>
  </si>
  <si>
    <t>040.002-26.25669362</t>
  </si>
  <si>
    <t>G10SI2607-2576</t>
  </si>
  <si>
    <t>1178253</t>
  </si>
  <si>
    <t>01TMP2607-038230</t>
  </si>
  <si>
    <t>-1178253</t>
  </si>
  <si>
    <t>040.002-26.25669364</t>
  </si>
  <si>
    <t>G10SI2607-2578</t>
  </si>
  <si>
    <t>1168935</t>
  </si>
  <si>
    <t>01TMP2607-038242</t>
  </si>
  <si>
    <t>-1168935</t>
  </si>
  <si>
    <t>040.002-26.25669363</t>
  </si>
  <si>
    <t>G10SI2607-2579</t>
  </si>
  <si>
    <t>01TMP2607-038249</t>
  </si>
  <si>
    <t>040.002-26.25669373</t>
  </si>
  <si>
    <t>G10SI2607-2588</t>
  </si>
  <si>
    <t>01TMP2607-038377</t>
  </si>
  <si>
    <t>040.002-26.25669458</t>
  </si>
  <si>
    <t>08070804160042</t>
  </si>
  <si>
    <t>GLA178992</t>
  </si>
  <si>
    <t>GLASS CLEANER (LF) POUCH 410 ML</t>
  </si>
  <si>
    <t>G10SI2607-2664</t>
  </si>
  <si>
    <t>01TMP2607-039654</t>
  </si>
  <si>
    <t>G10SI2607-2665</t>
  </si>
  <si>
    <t>01TMP2607-039652</t>
  </si>
  <si>
    <t>040.002-26.25669534</t>
  </si>
  <si>
    <t>08070802280044</t>
  </si>
  <si>
    <t>DBW640294</t>
  </si>
  <si>
    <t>DEE-DEE BODY WASH (STR)  BOTTLE REFILL 225 ML</t>
  </si>
  <si>
    <t>G10SI2607-2666</t>
  </si>
  <si>
    <t>01TMP2607-039667</t>
  </si>
  <si>
    <t>G10SI2607-2668</t>
  </si>
  <si>
    <t>01TMP2607-039670</t>
  </si>
  <si>
    <t>CL43697</t>
  </si>
  <si>
    <t>MAKMUR WIGUNA</t>
  </si>
  <si>
    <t>RAYA WIGUNA TENGAH RUKO NO. 9</t>
  </si>
  <si>
    <t>040.002-26.25669873</t>
  </si>
  <si>
    <t>G10SI2607-2726</t>
  </si>
  <si>
    <t>01TMP2607-040696</t>
  </si>
  <si>
    <t>G10SI2607-2727</t>
  </si>
  <si>
    <t>G10SO2607-2368</t>
  </si>
  <si>
    <t>G10SI2607-2728</t>
  </si>
  <si>
    <t>01TMP2607-040716</t>
  </si>
  <si>
    <t>CL43674</t>
  </si>
  <si>
    <t>MAKMUR KAPAS KRAMPUNG 1</t>
  </si>
  <si>
    <t>KAPAS KRAMPUNG 75E</t>
  </si>
  <si>
    <t>040.002-26.25669870</t>
  </si>
  <si>
    <t>G10SI2607-2729</t>
  </si>
  <si>
    <t>01TMP2607-040726</t>
  </si>
  <si>
    <t>040.002-26.25669871</t>
  </si>
  <si>
    <t>G10SI2607-2730</t>
  </si>
  <si>
    <t>01TMP2607-040733</t>
  </si>
  <si>
    <t>CL01562</t>
  </si>
  <si>
    <t>ANEKA USAHA, KPRI</t>
  </si>
  <si>
    <t>KETINTANG BARU II/1</t>
  </si>
  <si>
    <t>KOP. PEGAWAI NEGERI ANEKA USAHA</t>
  </si>
  <si>
    <t>JL. KETINTANG BARU II/1 WONOCOLO</t>
  </si>
  <si>
    <t>0011090750609000000000</t>
  </si>
  <si>
    <t>G10SI2607-2732</t>
  </si>
  <si>
    <t>01TMP2607-040740</t>
  </si>
  <si>
    <t>040.002-26.25669535</t>
  </si>
  <si>
    <t>G10SI2607-2754</t>
  </si>
  <si>
    <t>01TMP2607-041051</t>
  </si>
  <si>
    <t>040.002-26.25669456</t>
  </si>
  <si>
    <t>G10SI2607-2755</t>
  </si>
  <si>
    <t>01TMP2607-041053</t>
  </si>
  <si>
    <t>040.002-26.25669455</t>
  </si>
  <si>
    <t>G10SI2607-2756</t>
  </si>
  <si>
    <t>G10SO2607-2395</t>
  </si>
  <si>
    <t>G10SI2607-2759</t>
  </si>
  <si>
    <t>01TMP2607-041074</t>
  </si>
  <si>
    <t>040.002-26.25669868</t>
  </si>
  <si>
    <t>G10SI2607-2760</t>
  </si>
  <si>
    <t>-_x000D_Copy of Order-No : 01TMP2607-031716</t>
  </si>
  <si>
    <t>G10SO2607-2396</t>
  </si>
  <si>
    <t>-REV/SI-2061</t>
  </si>
  <si>
    <t>040.002-26.25669385</t>
  </si>
  <si>
    <t>G10SI2607-2798</t>
  </si>
  <si>
    <t>RH7Q63169</t>
  </si>
  <si>
    <t>01TMP2607-042097</t>
  </si>
  <si>
    <t>-RH7Q63169</t>
  </si>
  <si>
    <t>040.002-26.25669874</t>
  </si>
  <si>
    <t>G10SI2607-2812</t>
  </si>
  <si>
    <t>-_x000D_Copy of Order-No : 01TMP2607-041647</t>
  </si>
  <si>
    <t>G10SO2607-2439</t>
  </si>
  <si>
    <t>G10SI2607-2815</t>
  </si>
  <si>
    <t>01TMP2607-042212</t>
  </si>
  <si>
    <t>G10SI2607-2816</t>
  </si>
  <si>
    <t>01TMP2607-042219</t>
  </si>
  <si>
    <t>040.002-26.25669872</t>
  </si>
  <si>
    <t>G10SI2607-2820</t>
  </si>
  <si>
    <t>G10SO2607-2447</t>
  </si>
  <si>
    <t>CL43698</t>
  </si>
  <si>
    <t>MAKMUR KARANG ASEM</t>
  </si>
  <si>
    <t>KARANG ASEM 4/46</t>
  </si>
  <si>
    <t>G10SI2607-2824</t>
  </si>
  <si>
    <t>01TMP2607-042236</t>
  </si>
  <si>
    <t>CL44831</t>
  </si>
  <si>
    <t>MAKMUR RUNGKUT</t>
  </si>
  <si>
    <t>RUNGKUT MENANGGAL HARAPAN A17</t>
  </si>
  <si>
    <t>PERSEROAN TERBATAS - BADAN WAHAN LESTARI MAKM</t>
  </si>
  <si>
    <t>081938048688</t>
  </si>
  <si>
    <t>G10SI2607-2826</t>
  </si>
  <si>
    <t>3013855299</t>
  </si>
  <si>
    <t>G10SO2607-2452</t>
  </si>
  <si>
    <t>-3013855299</t>
  </si>
  <si>
    <t>G10SI2607-2828</t>
  </si>
  <si>
    <t>1270616</t>
  </si>
  <si>
    <t>01TMP2607-042256</t>
  </si>
  <si>
    <t>-1270616</t>
  </si>
  <si>
    <t>040.002-26.25669533</t>
  </si>
  <si>
    <t>G10SI2607-2833</t>
  </si>
  <si>
    <t>960726001959</t>
  </si>
  <si>
    <t>01TMP2607-042280</t>
  </si>
  <si>
    <t>-960726001959</t>
  </si>
  <si>
    <t>G10SI2607-2835</t>
  </si>
  <si>
    <t>01TMP2607-042286</t>
  </si>
  <si>
    <t>-3013855334</t>
  </si>
  <si>
    <t>G10SI2607-2883</t>
  </si>
  <si>
    <t>10131000067469</t>
  </si>
  <si>
    <t>01TMP2607-042565</t>
  </si>
  <si>
    <t>-10131000067469</t>
  </si>
  <si>
    <t>040.002-26.25669869</t>
  </si>
  <si>
    <t>G10SI2607-2904</t>
  </si>
  <si>
    <t>G10SO2607-2518</t>
  </si>
  <si>
    <t>CL00044</t>
  </si>
  <si>
    <t>GPP GEDANGAN</t>
  </si>
  <si>
    <t>JL. RAYA WEDI, KOMP GUDANG SINAR GEDANGAN BLOK D - 3, SIDOAR</t>
  </si>
  <si>
    <t>PT GADING PURI PERKASA</t>
  </si>
  <si>
    <t>JL. RAYA WEDI, KOMP GUDANG SINAR GEDANGAN BLOK D -</t>
  </si>
  <si>
    <t>00.000.000.0-000.000</t>
  </si>
  <si>
    <t>CABANG</t>
  </si>
  <si>
    <t>G10SI2607-2964</t>
  </si>
  <si>
    <t>RH7Q88516</t>
  </si>
  <si>
    <t>01TMP2607-043286</t>
  </si>
  <si>
    <t>-RH7Q88516</t>
  </si>
  <si>
    <t>G10SI2607-2967</t>
  </si>
  <si>
    <t>RH7Q62612</t>
  </si>
  <si>
    <t>01TMP2607-043307</t>
  </si>
  <si>
    <t>-RH7Q62612</t>
  </si>
  <si>
    <t>G10SI2607-3020</t>
  </si>
  <si>
    <t>01TMP2607-044037</t>
  </si>
  <si>
    <t>G10SI2607-3021</t>
  </si>
  <si>
    <t>01TMP2607-044030</t>
  </si>
  <si>
    <t>G10SI2607-3022</t>
  </si>
  <si>
    <t>01TMP2607-044040</t>
  </si>
  <si>
    <t>G10SI2607-3023</t>
  </si>
  <si>
    <t>01TMP2607-044043</t>
  </si>
  <si>
    <t>G10SI2607-3029</t>
  </si>
  <si>
    <t>G10SO2607-2628</t>
  </si>
  <si>
    <t>G10SI2607-3034</t>
  </si>
  <si>
    <t>1270613</t>
  </si>
  <si>
    <t>01TMP2607-044154</t>
  </si>
  <si>
    <t>-1270613</t>
  </si>
  <si>
    <t>G10SI2607-3035</t>
  </si>
  <si>
    <t>1270615</t>
  </si>
  <si>
    <t>01TMP2607-044156</t>
  </si>
  <si>
    <t>-1270615</t>
  </si>
  <si>
    <t>G10SI2607-3036</t>
  </si>
  <si>
    <t>1266173</t>
  </si>
  <si>
    <t>01TMP2607-044165</t>
  </si>
  <si>
    <t>-1266173</t>
  </si>
  <si>
    <t>G10SI2607-3037</t>
  </si>
  <si>
    <t>1270882</t>
  </si>
  <si>
    <t>01TMP2607-044167</t>
  </si>
  <si>
    <t>-1270882</t>
  </si>
  <si>
    <t>G10SI2607-3085</t>
  </si>
  <si>
    <t>01TMP2607-044427</t>
  </si>
  <si>
    <t>08070804310094</t>
  </si>
  <si>
    <t>SOL420390</t>
  </si>
  <si>
    <t>YURI-SOL (PINE ORIGINAL) BOTTLE 1000 ML</t>
  </si>
  <si>
    <t>G10SI2607-3088</t>
  </si>
  <si>
    <t>01TMP2607-044456</t>
  </si>
  <si>
    <t>G10SI2607-3090</t>
  </si>
  <si>
    <t>G10SO2607-2685</t>
  </si>
  <si>
    <t>G10SI2607-3166</t>
  </si>
  <si>
    <t>01TMP2607-045744</t>
  </si>
  <si>
    <t>G10SI2607-3167</t>
  </si>
  <si>
    <t>01TMP2607-045750</t>
  </si>
  <si>
    <t>G10SI2607-3201</t>
  </si>
  <si>
    <t>G10SO2607-2784</t>
  </si>
  <si>
    <t>G10SI2607-3247</t>
  </si>
  <si>
    <t>01TMP2607-046927</t>
  </si>
  <si>
    <t>G10SI2607-3249</t>
  </si>
  <si>
    <t>01TMP2607-046931</t>
  </si>
  <si>
    <t>G10SI2607-3325</t>
  </si>
  <si>
    <t>01TMP2607-047741</t>
  </si>
  <si>
    <t>G10SI2607-3329</t>
  </si>
  <si>
    <t>-_x000D_Copy of Order-No : 01TMP2607-035477</t>
  </si>
  <si>
    <t>G10SO2607-2884</t>
  </si>
  <si>
    <t>-REV/SI-2353</t>
  </si>
  <si>
    <t>G10KJ2607-0521</t>
  </si>
  <si>
    <t>G10SI2607-3330</t>
  </si>
  <si>
    <t>01TMP2607-047626</t>
  </si>
  <si>
    <t>G10SI2607-3332</t>
  </si>
  <si>
    <t>G10SO2607-2885</t>
  </si>
  <si>
    <t>G10SI2607-3333</t>
  </si>
  <si>
    <t>-_x000D_Copy of Order-No : 01TMP2607-035477_x000D_Copy of Order-No : G10SO2607-2884</t>
  </si>
  <si>
    <t>G10SO2607-2887</t>
  </si>
  <si>
    <t>-REV/SI-3329</t>
  </si>
  <si>
    <t>040.002-26.25669371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</si>
</sst>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WEB-PROG\Downloads\07.%20Juli%202026%20-%20clos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ES"/>
      <sheetName val="RETUR"/>
      <sheetName val="STOK"/>
    </sheetNames>
    <sheetDataSet>
      <sheetData sheetId="0"/>
      <sheetData sheetId="1"/>
      <sheetData sheetId="2">
        <row r="2">
          <cell r="J2" t="str">
            <v>item_id</v>
          </cell>
          <cell r="K2" t="str">
            <v>item_name</v>
          </cell>
          <cell r="L2" t="str">
            <v>stok_ctn</v>
          </cell>
          <cell r="M2" t="str">
            <v>stok_pcs</v>
          </cell>
          <cell r="N2" t="str">
            <v>end_value</v>
          </cell>
          <cell r="O2" t="str">
            <v>konversi</v>
          </cell>
        </row>
        <row r="3">
          <cell r="J3" t="str">
            <v>08070804310015</v>
          </cell>
          <cell r="K3" t="str">
            <v>AGANOL (FLORAL) BOTTLE 1000 ML</v>
          </cell>
          <cell r="L3">
            <v>2</v>
          </cell>
          <cell r="M3">
            <v>10</v>
          </cell>
          <cell r="N3">
            <v>576006.75</v>
          </cell>
          <cell r="O3">
            <v>12</v>
          </cell>
        </row>
        <row r="4">
          <cell r="J4" t="str">
            <v>08070804310035</v>
          </cell>
          <cell r="K4" t="str">
            <v>AGANOL (FLORAL) JRG 3.7 LT</v>
          </cell>
          <cell r="L4">
            <v>2</v>
          </cell>
          <cell r="M4">
            <v>2</v>
          </cell>
          <cell r="N4">
            <v>500698.8</v>
          </cell>
          <cell r="O4">
            <v>4</v>
          </cell>
        </row>
        <row r="5">
          <cell r="J5" t="str">
            <v>08070804310005</v>
          </cell>
          <cell r="K5" t="str">
            <v>AGANOL (FLORAL) POUCH 600 ML</v>
          </cell>
          <cell r="L5">
            <v>2</v>
          </cell>
          <cell r="M5">
            <v>8</v>
          </cell>
          <cell r="N5">
            <v>351559.2</v>
          </cell>
          <cell r="O5">
            <v>12</v>
          </cell>
        </row>
        <row r="6">
          <cell r="J6" t="str">
            <v>08070804310014</v>
          </cell>
          <cell r="K6" t="str">
            <v>AGANOL (LAV) BOTTLE 1000 ML</v>
          </cell>
          <cell r="L6">
            <v>0</v>
          </cell>
          <cell r="M6">
            <v>3</v>
          </cell>
          <cell r="N6">
            <v>50824.13</v>
          </cell>
          <cell r="O6">
            <v>12</v>
          </cell>
        </row>
        <row r="7">
          <cell r="J7" t="str">
            <v>08070804310024</v>
          </cell>
          <cell r="K7" t="str">
            <v>AGANOL (LAV) BOTTLE 2000 ML</v>
          </cell>
          <cell r="L7">
            <v>3</v>
          </cell>
          <cell r="M7">
            <v>3</v>
          </cell>
          <cell r="N7">
            <v>610197.53</v>
          </cell>
          <cell r="O7">
            <v>6</v>
          </cell>
        </row>
        <row r="8">
          <cell r="J8" t="str">
            <v>08070804310034</v>
          </cell>
          <cell r="K8" t="str">
            <v>AGANOL (LAV) JRG 3.7 LT</v>
          </cell>
          <cell r="L8">
            <v>11</v>
          </cell>
          <cell r="M8">
            <v>1</v>
          </cell>
          <cell r="N8">
            <v>2253144.6</v>
          </cell>
          <cell r="O8">
            <v>4</v>
          </cell>
        </row>
        <row r="9">
          <cell r="J9" t="str">
            <v>08070804310004</v>
          </cell>
          <cell r="K9" t="str">
            <v>AGANOL (LAV) POUCH 600 ML</v>
          </cell>
          <cell r="L9">
            <v>10</v>
          </cell>
          <cell r="M9">
            <v>7</v>
          </cell>
          <cell r="N9">
            <v>1395250.58</v>
          </cell>
          <cell r="O9">
            <v>12</v>
          </cell>
        </row>
        <row r="10">
          <cell r="J10" t="str">
            <v>08070804310012</v>
          </cell>
          <cell r="K10" t="str">
            <v>AGANOL (LEMON) BOTTLE 1000 ML</v>
          </cell>
          <cell r="L10">
            <v>1</v>
          </cell>
          <cell r="M10">
            <v>1</v>
          </cell>
          <cell r="N10">
            <v>220237.88</v>
          </cell>
          <cell r="O10">
            <v>12</v>
          </cell>
        </row>
        <row r="11">
          <cell r="J11" t="str">
            <v>08070804310022</v>
          </cell>
          <cell r="K11" t="str">
            <v>AGANOL (LEMON) BOTTLE 2000 ML</v>
          </cell>
          <cell r="L11">
            <v>0</v>
          </cell>
          <cell r="M11">
            <v>3</v>
          </cell>
          <cell r="N11">
            <v>87171.08</v>
          </cell>
          <cell r="O11">
            <v>6</v>
          </cell>
        </row>
        <row r="12">
          <cell r="J12" t="str">
            <v>08070804310032</v>
          </cell>
          <cell r="K12" t="str">
            <v>AGANOL (LEMON) JRG 3.7 LT</v>
          </cell>
          <cell r="L12">
            <v>4</v>
          </cell>
          <cell r="M12">
            <v>1</v>
          </cell>
          <cell r="N12">
            <v>851187.96</v>
          </cell>
          <cell r="O12">
            <v>4</v>
          </cell>
        </row>
        <row r="13">
          <cell r="J13" t="str">
            <v>08070804310002</v>
          </cell>
          <cell r="K13" t="str">
            <v>AGANOL (LEMON) POUCH 600 ML</v>
          </cell>
          <cell r="L13">
            <v>0</v>
          </cell>
          <cell r="M13">
            <v>9</v>
          </cell>
          <cell r="N13">
            <v>98876.03</v>
          </cell>
          <cell r="O13">
            <v>12</v>
          </cell>
        </row>
        <row r="14">
          <cell r="J14" t="str">
            <v>08070804310013</v>
          </cell>
          <cell r="K14" t="str">
            <v>AGANOL (MORNING FRESH) BOTTLE 1000 ML</v>
          </cell>
          <cell r="L14">
            <v>3</v>
          </cell>
          <cell r="M14">
            <v>0</v>
          </cell>
          <cell r="N14">
            <v>609889.5</v>
          </cell>
          <cell r="O14">
            <v>12</v>
          </cell>
        </row>
        <row r="15">
          <cell r="J15" t="str">
            <v>08070804310023</v>
          </cell>
          <cell r="K15" t="str">
            <v>AGANOL (MORNING FRESH) BOTTLE 2000 ML</v>
          </cell>
          <cell r="L15">
            <v>3</v>
          </cell>
          <cell r="M15">
            <v>0</v>
          </cell>
          <cell r="N15">
            <v>523026.45</v>
          </cell>
          <cell r="O15">
            <v>6</v>
          </cell>
        </row>
        <row r="16">
          <cell r="J16" t="str">
            <v>08070804310033</v>
          </cell>
          <cell r="K16" t="str">
            <v>AGANOL (MORNING FRESH) JRG 3.7 LT</v>
          </cell>
          <cell r="L16">
            <v>9</v>
          </cell>
          <cell r="M16">
            <v>0</v>
          </cell>
          <cell r="N16">
            <v>1802515.68</v>
          </cell>
          <cell r="O16">
            <v>4</v>
          </cell>
        </row>
        <row r="17">
          <cell r="J17" t="str">
            <v>08070804310003</v>
          </cell>
          <cell r="K17" t="str">
            <v>AGANOL (MORNING FRESH) POUCH 600 ML</v>
          </cell>
          <cell r="L17">
            <v>31</v>
          </cell>
          <cell r="M17">
            <v>4</v>
          </cell>
          <cell r="N17">
            <v>4130820.6</v>
          </cell>
          <cell r="O17">
            <v>12</v>
          </cell>
        </row>
        <row r="18">
          <cell r="J18" t="str">
            <v>08070804310048</v>
          </cell>
          <cell r="K18" t="str">
            <v>AGANOL FLORAL/600ML BUY 1 GET 1</v>
          </cell>
          <cell r="L18">
            <v>4</v>
          </cell>
          <cell r="M18">
            <v>8</v>
          </cell>
          <cell r="N18">
            <v>569229.92000000004</v>
          </cell>
          <cell r="O18">
            <v>12</v>
          </cell>
        </row>
        <row r="19">
          <cell r="J19" t="str">
            <v>08070801030062</v>
          </cell>
          <cell r="K19" t="str">
            <v>BABY DEE BABY CREAM POPOK (HONEY) TUBE 50 GR</v>
          </cell>
          <cell r="L19">
            <v>5</v>
          </cell>
          <cell r="M19">
            <v>13</v>
          </cell>
          <cell r="N19">
            <v>2034710.48</v>
          </cell>
          <cell r="O19">
            <v>24</v>
          </cell>
        </row>
        <row r="20">
          <cell r="J20" t="str">
            <v>08070801030061</v>
          </cell>
          <cell r="K20" t="str">
            <v>BABY DEE BABY CREAM POPOK (MILK) TUBE 50 GR</v>
          </cell>
          <cell r="L20">
            <v>4</v>
          </cell>
          <cell r="M20">
            <v>23</v>
          </cell>
          <cell r="N20">
            <v>1820530.43</v>
          </cell>
          <cell r="O20">
            <v>24</v>
          </cell>
        </row>
        <row r="21">
          <cell r="J21" t="str">
            <v>08070801030042</v>
          </cell>
          <cell r="K21" t="str">
            <v>BABY DEE BABY LOTION (HONEY) BOTTLE 100 ML</v>
          </cell>
          <cell r="L21">
            <v>3</v>
          </cell>
          <cell r="M21">
            <v>9</v>
          </cell>
          <cell r="N21">
            <v>559065.59999999998</v>
          </cell>
          <cell r="O21">
            <v>12</v>
          </cell>
        </row>
        <row r="22">
          <cell r="J22" t="str">
            <v>08070801030041</v>
          </cell>
          <cell r="K22" t="str">
            <v>BABY DEE BABY LOTION (MILK) BOTTLE 100 ML</v>
          </cell>
          <cell r="L22">
            <v>2</v>
          </cell>
          <cell r="M22">
            <v>6</v>
          </cell>
          <cell r="N22">
            <v>372710.40000000002</v>
          </cell>
          <cell r="O22">
            <v>12</v>
          </cell>
        </row>
        <row r="23">
          <cell r="J23" t="str">
            <v>08070801050021</v>
          </cell>
          <cell r="K23" t="str">
            <v>BABY DEE BODY WASH &amp; SHAMPOO (MILK) BOTTLE 200 ML</v>
          </cell>
          <cell r="L23">
            <v>0</v>
          </cell>
          <cell r="M23">
            <v>1</v>
          </cell>
          <cell r="N23">
            <v>18481.5</v>
          </cell>
          <cell r="O23">
            <v>12</v>
          </cell>
        </row>
        <row r="24">
          <cell r="J24" t="str">
            <v>08070801050033</v>
          </cell>
          <cell r="K24" t="str">
            <v xml:space="preserve">BABY DEE BW&amp;SHP NAT HONEY&amp;CHAMOMILE EXCTRACT FOAMING 12X600ML_x000D_
</v>
          </cell>
          <cell r="L24">
            <v>2</v>
          </cell>
          <cell r="M24">
            <v>0</v>
          </cell>
          <cell r="N24">
            <v>889576.32</v>
          </cell>
          <cell r="O24">
            <v>12</v>
          </cell>
        </row>
        <row r="25">
          <cell r="J25" t="str">
            <v>08070801050034</v>
          </cell>
          <cell r="K25" t="str">
            <v>BABY DEE BW&amp;SHP NAT MILK&amp;LAVENDER EXCTRACT FOAMING 12X600ML</v>
          </cell>
          <cell r="L25">
            <v>0</v>
          </cell>
          <cell r="M25">
            <v>0</v>
          </cell>
          <cell r="N25">
            <v>0</v>
          </cell>
          <cell r="O25">
            <v>12</v>
          </cell>
        </row>
        <row r="26">
          <cell r="J26" t="str">
            <v>08070801050031</v>
          </cell>
          <cell r="K26" t="str">
            <v>BABY DEE BW&amp;SHP NAT MILK&amp;LAVENDER EXCTRACT FOAMING 600ML (FREE 200ML)</v>
          </cell>
          <cell r="L26">
            <v>0</v>
          </cell>
          <cell r="M26">
            <v>1</v>
          </cell>
          <cell r="N26">
            <v>37065.68</v>
          </cell>
          <cell r="O26">
            <v>12</v>
          </cell>
        </row>
        <row r="27">
          <cell r="J27" t="str">
            <v>08070801220025</v>
          </cell>
          <cell r="K27" t="str">
            <v>BABY DEE LOTION NATURAL HONEY &amp; CHAMOMILE EXTRACT 100G BUY1 GET1 FREE</v>
          </cell>
          <cell r="L27">
            <v>0</v>
          </cell>
          <cell r="M27">
            <v>0</v>
          </cell>
          <cell r="N27">
            <v>0</v>
          </cell>
          <cell r="O27">
            <v>12</v>
          </cell>
        </row>
        <row r="28">
          <cell r="J28" t="str">
            <v>08070801290031</v>
          </cell>
          <cell r="K28" t="str">
            <v>BABY DEE TALCUM POWDER (MILK) BOTTLE 200 GR</v>
          </cell>
          <cell r="L28">
            <v>0</v>
          </cell>
          <cell r="M28">
            <v>3</v>
          </cell>
          <cell r="N28">
            <v>28954.2</v>
          </cell>
          <cell r="O28">
            <v>12</v>
          </cell>
        </row>
        <row r="29">
          <cell r="J29" t="str">
            <v>08070801220021</v>
          </cell>
          <cell r="K29" t="str">
            <v>BABY DEE TOILETRIES PACK (MILK)</v>
          </cell>
          <cell r="L29">
            <v>3</v>
          </cell>
          <cell r="M29">
            <v>0</v>
          </cell>
          <cell r="N29">
            <v>1086712.2</v>
          </cell>
          <cell r="O29">
            <v>6</v>
          </cell>
        </row>
        <row r="30">
          <cell r="J30" t="str">
            <v>08070801220022</v>
          </cell>
          <cell r="K30" t="str">
            <v>BABY DEE TRAVEL PACK (MILK)</v>
          </cell>
          <cell r="L30">
            <v>3</v>
          </cell>
          <cell r="M30">
            <v>6</v>
          </cell>
          <cell r="N30">
            <v>1806874.65</v>
          </cell>
          <cell r="O30">
            <v>12</v>
          </cell>
        </row>
        <row r="31">
          <cell r="J31" t="str">
            <v>08070801220024</v>
          </cell>
          <cell r="K31" t="str">
            <v>BABY DEE TRAVEL PACK HONEY</v>
          </cell>
          <cell r="L31">
            <v>3</v>
          </cell>
          <cell r="M31">
            <v>2</v>
          </cell>
          <cell r="N31">
            <v>1634791.35</v>
          </cell>
          <cell r="O31">
            <v>12</v>
          </cell>
        </row>
        <row r="32">
          <cell r="J32" t="str">
            <v>08070804160003</v>
          </cell>
          <cell r="K32" t="str">
            <v>BABY SOFT JRG 3.7 LT</v>
          </cell>
          <cell r="L32">
            <v>40</v>
          </cell>
          <cell r="M32">
            <v>2</v>
          </cell>
          <cell r="N32">
            <v>11989948.050000001</v>
          </cell>
          <cell r="O32">
            <v>4</v>
          </cell>
        </row>
        <row r="33">
          <cell r="J33" t="str">
            <v>08070804160001</v>
          </cell>
          <cell r="K33" t="str">
            <v>BABY SOFT POUCH 410 ML</v>
          </cell>
          <cell r="L33">
            <v>5</v>
          </cell>
          <cell r="M33">
            <v>9</v>
          </cell>
          <cell r="N33">
            <v>1258282.1299999999</v>
          </cell>
          <cell r="O33">
            <v>24</v>
          </cell>
        </row>
        <row r="34">
          <cell r="J34" t="str">
            <v>08070801030072</v>
          </cell>
          <cell r="K34" t="str">
            <v>BABYDEE DIAPER CREAM HONEY &amp; CHAMOMILE TUBE 24X100GR</v>
          </cell>
          <cell r="L34">
            <v>1</v>
          </cell>
          <cell r="M34">
            <v>18</v>
          </cell>
          <cell r="N34">
            <v>1138460.3999999999</v>
          </cell>
          <cell r="O34">
            <v>24</v>
          </cell>
        </row>
        <row r="35">
          <cell r="J35" t="str">
            <v>08070804160036</v>
          </cell>
          <cell r="K35" t="str">
            <v>BIOSOFT BOTTLE 375 ML</v>
          </cell>
          <cell r="L35">
            <v>4</v>
          </cell>
          <cell r="M35">
            <v>5</v>
          </cell>
          <cell r="N35">
            <v>848916.9</v>
          </cell>
          <cell r="O35">
            <v>12</v>
          </cell>
        </row>
        <row r="36">
          <cell r="J36" t="str">
            <v>08070804160151</v>
          </cell>
          <cell r="K36" t="str">
            <v>BIOSOFT HIJAB DETERJEN+SOFTENER OF 12X630 ML PCH</v>
          </cell>
          <cell r="L36">
            <v>0</v>
          </cell>
          <cell r="M36">
            <v>3</v>
          </cell>
          <cell r="N36">
            <v>46819.8</v>
          </cell>
          <cell r="O36">
            <v>12</v>
          </cell>
        </row>
        <row r="37">
          <cell r="J37" t="str">
            <v>08070804160141</v>
          </cell>
          <cell r="K37" t="str">
            <v>BIOSOFT HIJAB DETERJEN+SOFTENER OF 12X900 ML BTL</v>
          </cell>
          <cell r="L37">
            <v>0</v>
          </cell>
          <cell r="M37">
            <v>9</v>
          </cell>
          <cell r="N37">
            <v>219929.85</v>
          </cell>
          <cell r="O37">
            <v>12</v>
          </cell>
        </row>
        <row r="38">
          <cell r="J38" t="str">
            <v>08070804160161</v>
          </cell>
          <cell r="K38" t="str">
            <v>BIOSOFT HIJAB PELICIN OF 12X500ML BTL SPRAY</v>
          </cell>
          <cell r="L38">
            <v>5</v>
          </cell>
          <cell r="M38">
            <v>5</v>
          </cell>
          <cell r="N38">
            <v>941016.38</v>
          </cell>
          <cell r="O38">
            <v>12</v>
          </cell>
        </row>
        <row r="39">
          <cell r="J39" t="str">
            <v>08070804160162</v>
          </cell>
          <cell r="K39" t="str">
            <v>BIOSOFT HIJAB PELICIN OF 24X410ML REF PCH</v>
          </cell>
          <cell r="L39">
            <v>1</v>
          </cell>
          <cell r="M39">
            <v>15</v>
          </cell>
          <cell r="N39">
            <v>196211.93</v>
          </cell>
          <cell r="O39">
            <v>24</v>
          </cell>
        </row>
        <row r="40">
          <cell r="J40" t="str">
            <v>08070804160152</v>
          </cell>
          <cell r="K40" t="str">
            <v>BIOSOFT HIJAB PEWANGI+SOFTENER OF 12X630 ML PCH</v>
          </cell>
          <cell r="L40">
            <v>4</v>
          </cell>
          <cell r="M40">
            <v>0</v>
          </cell>
          <cell r="N40">
            <v>404128.8</v>
          </cell>
          <cell r="O40">
            <v>12</v>
          </cell>
        </row>
        <row r="41">
          <cell r="J41" t="str">
            <v>08070804160142</v>
          </cell>
          <cell r="K41" t="str">
            <v>BIOSOFT HIJAB PEWANGI+SOFTENER OF 12X900 ML BTL</v>
          </cell>
          <cell r="L41">
            <v>2</v>
          </cell>
          <cell r="M41">
            <v>1</v>
          </cell>
          <cell r="N41">
            <v>318292.5</v>
          </cell>
          <cell r="O41">
            <v>12</v>
          </cell>
        </row>
        <row r="42">
          <cell r="J42" t="str">
            <v>08070804160038</v>
          </cell>
          <cell r="K42" t="str">
            <v>BIOSOFT JRG 3.7 LT</v>
          </cell>
          <cell r="L42">
            <v>7</v>
          </cell>
          <cell r="M42">
            <v>0</v>
          </cell>
          <cell r="N42">
            <v>3162747.42</v>
          </cell>
          <cell r="O42">
            <v>4</v>
          </cell>
        </row>
        <row r="43">
          <cell r="J43" t="str">
            <v>08070804160032</v>
          </cell>
          <cell r="K43" t="str">
            <v>BLEACH (LF) JRG 3.7 LT</v>
          </cell>
          <cell r="L43">
            <v>1</v>
          </cell>
          <cell r="M43">
            <v>2</v>
          </cell>
          <cell r="N43">
            <v>196703.1</v>
          </cell>
          <cell r="O43">
            <v>4</v>
          </cell>
        </row>
        <row r="44">
          <cell r="J44" t="str">
            <v>08070802120078</v>
          </cell>
          <cell r="K44" t="str">
            <v>DEE DEE SHAMPOO APPLE POUCH 24X200ML / BELI 1 GRATIS 1</v>
          </cell>
          <cell r="L44">
            <v>0</v>
          </cell>
          <cell r="M44">
            <v>21</v>
          </cell>
          <cell r="N44">
            <v>217773.57</v>
          </cell>
          <cell r="O44">
            <v>24</v>
          </cell>
        </row>
        <row r="45">
          <cell r="J45" t="str">
            <v>08070802120079</v>
          </cell>
          <cell r="K45" t="str">
            <v>DEE DEE SHAMPOO ORANGE POUCH 24X200ML / BELI 1 GRATIS 1</v>
          </cell>
          <cell r="L45">
            <v>7</v>
          </cell>
          <cell r="M45">
            <v>23</v>
          </cell>
          <cell r="N45">
            <v>1980702.47</v>
          </cell>
          <cell r="O45">
            <v>24</v>
          </cell>
        </row>
        <row r="46">
          <cell r="J46" t="str">
            <v>08070802120080</v>
          </cell>
          <cell r="K46" t="str">
            <v>DEE DEE SHAMPOO STRAWBERRY POUCH 24X200ML / BELI 1 GRATIS 1</v>
          </cell>
          <cell r="L46">
            <v>0</v>
          </cell>
          <cell r="M46">
            <v>1</v>
          </cell>
          <cell r="N46">
            <v>10370.17</v>
          </cell>
          <cell r="O46">
            <v>24</v>
          </cell>
        </row>
        <row r="47">
          <cell r="J47" t="str">
            <v>08070802220006</v>
          </cell>
          <cell r="K47" t="str">
            <v>DEE DEE SIKAT GIGI (TRAY) MIX</v>
          </cell>
          <cell r="L47">
            <v>2</v>
          </cell>
          <cell r="M47">
            <v>40</v>
          </cell>
          <cell r="N47">
            <v>712154.48</v>
          </cell>
          <cell r="O47">
            <v>48</v>
          </cell>
        </row>
        <row r="48">
          <cell r="J48" t="str">
            <v>08070802280071</v>
          </cell>
          <cell r="K48" t="str">
            <v>DEE- DEE SHOWER FOAMING (APPLE) 225 ML</v>
          </cell>
          <cell r="L48">
            <v>4</v>
          </cell>
          <cell r="M48">
            <v>7</v>
          </cell>
          <cell r="N48">
            <v>1095542.25</v>
          </cell>
          <cell r="O48">
            <v>12</v>
          </cell>
        </row>
        <row r="49">
          <cell r="J49" t="str">
            <v>08070802280072</v>
          </cell>
          <cell r="K49" t="str">
            <v>DEE- DEE SHOWER FOAMING (GRAPE) 225 ML</v>
          </cell>
          <cell r="L49">
            <v>4</v>
          </cell>
          <cell r="M49">
            <v>0</v>
          </cell>
          <cell r="N49">
            <v>956109.6</v>
          </cell>
          <cell r="O49">
            <v>12</v>
          </cell>
        </row>
        <row r="50">
          <cell r="J50" t="str">
            <v>08070802280073</v>
          </cell>
          <cell r="K50" t="str">
            <v>DEE- DEE SHOWER FOAMING (ORG) 225 ML</v>
          </cell>
          <cell r="L50">
            <v>4</v>
          </cell>
          <cell r="M50">
            <v>0</v>
          </cell>
          <cell r="N50">
            <v>956109.6</v>
          </cell>
          <cell r="O50">
            <v>12</v>
          </cell>
        </row>
        <row r="51">
          <cell r="J51" t="str">
            <v>08070802280074</v>
          </cell>
          <cell r="K51" t="str">
            <v>DEE- DEE SHOWER FOAMING (STRAW) 225 ML</v>
          </cell>
          <cell r="L51">
            <v>4</v>
          </cell>
          <cell r="M51">
            <v>0</v>
          </cell>
          <cell r="N51">
            <v>956109.6</v>
          </cell>
          <cell r="O51">
            <v>12</v>
          </cell>
        </row>
        <row r="52">
          <cell r="J52" t="str">
            <v>08070802280041</v>
          </cell>
          <cell r="K52" t="str">
            <v>DEE-DEE BODY WASH (APPLE)  BOTTLE REFILL 225 ML</v>
          </cell>
          <cell r="L52">
            <v>0</v>
          </cell>
          <cell r="M52">
            <v>6</v>
          </cell>
          <cell r="N52">
            <v>108424.8</v>
          </cell>
          <cell r="O52">
            <v>12</v>
          </cell>
        </row>
        <row r="53">
          <cell r="J53" t="str">
            <v>08070802280031</v>
          </cell>
          <cell r="K53" t="str">
            <v>DEE-DEE BODY WASH (APPLE) POUCH 200 ML</v>
          </cell>
          <cell r="L53">
            <v>1</v>
          </cell>
          <cell r="M53">
            <v>1</v>
          </cell>
          <cell r="N53">
            <v>261821.25</v>
          </cell>
          <cell r="O53">
            <v>24</v>
          </cell>
        </row>
        <row r="54">
          <cell r="J54" t="str">
            <v>08070802280032</v>
          </cell>
          <cell r="K54" t="str">
            <v>DEE-DEE BODY WASH (GRP) POUCH 200 ML</v>
          </cell>
          <cell r="L54">
            <v>4</v>
          </cell>
          <cell r="M54">
            <v>20</v>
          </cell>
          <cell r="N54">
            <v>1214850.6000000001</v>
          </cell>
          <cell r="O54">
            <v>24</v>
          </cell>
        </row>
        <row r="55">
          <cell r="J55" t="str">
            <v>08070802280043</v>
          </cell>
          <cell r="K55" t="str">
            <v>DEE-DEE BODY WASH (ORG)  BOTTLE REFILL 225 ML</v>
          </cell>
          <cell r="L55">
            <v>0</v>
          </cell>
          <cell r="M55">
            <v>7</v>
          </cell>
          <cell r="N55">
            <v>126495.6</v>
          </cell>
          <cell r="O55">
            <v>12</v>
          </cell>
        </row>
        <row r="56">
          <cell r="J56" t="str">
            <v>08070802280033</v>
          </cell>
          <cell r="K56" t="str">
            <v>DEE-DEE BODY WASH (ORG) POUCH 200 ML</v>
          </cell>
          <cell r="L56">
            <v>5</v>
          </cell>
          <cell r="M56">
            <v>8</v>
          </cell>
          <cell r="N56">
            <v>1340524.8</v>
          </cell>
          <cell r="O56">
            <v>24</v>
          </cell>
        </row>
        <row r="57">
          <cell r="J57" t="str">
            <v>08070802280044</v>
          </cell>
          <cell r="K57" t="str">
            <v>DEE-DEE BODY WASH (STR)  BOTTLE REFILL 225 ML</v>
          </cell>
          <cell r="L57">
            <v>0</v>
          </cell>
          <cell r="M57">
            <v>2</v>
          </cell>
          <cell r="N57">
            <v>36141.599999999999</v>
          </cell>
          <cell r="O57">
            <v>12</v>
          </cell>
        </row>
        <row r="58">
          <cell r="J58" t="str">
            <v>08070802280034</v>
          </cell>
          <cell r="K58" t="str">
            <v>DEE-DEE BODY WASH (STR) POUCH 200 ML</v>
          </cell>
          <cell r="L58">
            <v>5</v>
          </cell>
          <cell r="M58">
            <v>7</v>
          </cell>
          <cell r="N58">
            <v>1330051.95</v>
          </cell>
          <cell r="O58">
            <v>24</v>
          </cell>
        </row>
        <row r="59">
          <cell r="J59" t="str">
            <v>08070802100021</v>
          </cell>
          <cell r="K59" t="str">
            <v>DEE-DEE FACIAL WASH (GRP) TUBE 100 GR</v>
          </cell>
          <cell r="L59">
            <v>11</v>
          </cell>
          <cell r="M59">
            <v>9</v>
          </cell>
          <cell r="N59">
            <v>2663800.2000000002</v>
          </cell>
          <cell r="O59">
            <v>12</v>
          </cell>
        </row>
        <row r="60">
          <cell r="J60" t="str">
            <v>08070802100011</v>
          </cell>
          <cell r="K60" t="str">
            <v>DEE-DEE FACIAL WASH (GRP) TUBE TRAY 50 GR</v>
          </cell>
          <cell r="L60">
            <v>1</v>
          </cell>
          <cell r="M60">
            <v>15</v>
          </cell>
          <cell r="N60">
            <v>420454.32</v>
          </cell>
          <cell r="O60">
            <v>24</v>
          </cell>
        </row>
        <row r="61">
          <cell r="J61" t="str">
            <v>08070802100022</v>
          </cell>
          <cell r="K61" t="str">
            <v>DEE-DEE FACIAL WASH (ORG) TUBE 100 GR</v>
          </cell>
          <cell r="L61">
            <v>6</v>
          </cell>
          <cell r="M61">
            <v>8</v>
          </cell>
          <cell r="N61">
            <v>1511376</v>
          </cell>
          <cell r="O61">
            <v>12</v>
          </cell>
        </row>
        <row r="62">
          <cell r="J62" t="str">
            <v>08070802100012</v>
          </cell>
          <cell r="K62" t="str">
            <v>DEE-DEE FACIAL WASH (ORG) TUBE TRAY 50 GR</v>
          </cell>
          <cell r="L62">
            <v>0</v>
          </cell>
          <cell r="M62">
            <v>5</v>
          </cell>
          <cell r="N62">
            <v>53904.4</v>
          </cell>
          <cell r="O62">
            <v>24</v>
          </cell>
        </row>
        <row r="63">
          <cell r="J63" t="str">
            <v>08070802100023</v>
          </cell>
          <cell r="K63" t="str">
            <v>DEE-DEE FACIAL WASH (STR) TUBE 100 GR</v>
          </cell>
          <cell r="L63">
            <v>8</v>
          </cell>
          <cell r="M63">
            <v>6</v>
          </cell>
          <cell r="N63">
            <v>1927004.4</v>
          </cell>
          <cell r="O63">
            <v>12</v>
          </cell>
        </row>
        <row r="64">
          <cell r="J64" t="str">
            <v>08070802100013</v>
          </cell>
          <cell r="K64" t="str">
            <v>DEE-DEE FACIAL WASH (STR) TUBE TRAY 50 GR</v>
          </cell>
          <cell r="L64">
            <v>0</v>
          </cell>
          <cell r="M64">
            <v>12</v>
          </cell>
          <cell r="N64">
            <v>129370.56</v>
          </cell>
          <cell r="O64">
            <v>24</v>
          </cell>
        </row>
        <row r="65">
          <cell r="J65" t="str">
            <v>08070802210021</v>
          </cell>
          <cell r="K65" t="str">
            <v>DEE-DEE PENOLAK NYAMUK (GUAVA) TUBE 50 GR</v>
          </cell>
          <cell r="L65">
            <v>4</v>
          </cell>
          <cell r="M65">
            <v>13</v>
          </cell>
          <cell r="N65">
            <v>884134.43</v>
          </cell>
          <cell r="O65">
            <v>24</v>
          </cell>
        </row>
        <row r="66">
          <cell r="J66" t="str">
            <v>08070802210002</v>
          </cell>
          <cell r="K66" t="str">
            <v>DEE-DEE PENOLAK NYAMUK (ORG) SACHET 5 ML</v>
          </cell>
          <cell r="L66">
            <v>1</v>
          </cell>
          <cell r="M66">
            <v>0</v>
          </cell>
          <cell r="N66">
            <v>221778</v>
          </cell>
          <cell r="O66">
            <v>432</v>
          </cell>
        </row>
        <row r="67">
          <cell r="J67" t="str">
            <v>08070802210022</v>
          </cell>
          <cell r="K67" t="str">
            <v>DEE-DEE PENOLAK NYAMUK (ORG) TUBE 50 GR</v>
          </cell>
          <cell r="L67">
            <v>0</v>
          </cell>
          <cell r="M67">
            <v>6</v>
          </cell>
          <cell r="N67">
            <v>48667.95</v>
          </cell>
          <cell r="O67">
            <v>24</v>
          </cell>
        </row>
        <row r="68">
          <cell r="J68" t="str">
            <v>08070802210003</v>
          </cell>
          <cell r="K68" t="str">
            <v>DEE-DEE PENOLAK NYAMUK (STR) SACHET 5 ML</v>
          </cell>
          <cell r="L68">
            <v>2</v>
          </cell>
          <cell r="M68">
            <v>96</v>
          </cell>
          <cell r="N68">
            <v>492840</v>
          </cell>
          <cell r="O68">
            <v>432</v>
          </cell>
        </row>
        <row r="69">
          <cell r="J69" t="str">
            <v>08070802210023</v>
          </cell>
          <cell r="K69" t="str">
            <v>DEE-DEE PENOLAK NYAMUK (STR) TUBE 50 GR</v>
          </cell>
          <cell r="L69">
            <v>0</v>
          </cell>
          <cell r="M69">
            <v>2</v>
          </cell>
          <cell r="N69">
            <v>16222.65</v>
          </cell>
          <cell r="O69">
            <v>24</v>
          </cell>
        </row>
        <row r="70">
          <cell r="J70" t="str">
            <v>08070802120011</v>
          </cell>
          <cell r="K70" t="str">
            <v>DEE-DEE SHAMPOO (APPLE) BOTTLE 45 ML</v>
          </cell>
          <cell r="L70">
            <v>6</v>
          </cell>
          <cell r="M70">
            <v>66</v>
          </cell>
          <cell r="N70">
            <v>1278303.75</v>
          </cell>
          <cell r="O70">
            <v>72</v>
          </cell>
        </row>
        <row r="71">
          <cell r="J71" t="str">
            <v>08070802120051</v>
          </cell>
          <cell r="K71" t="str">
            <v>DEE-DEE SHAMPOO (APPLE) POUCH 200 ML</v>
          </cell>
          <cell r="L71">
            <v>0</v>
          </cell>
          <cell r="M71">
            <v>2</v>
          </cell>
          <cell r="N71">
            <v>20740.349999999999</v>
          </cell>
          <cell r="O71">
            <v>24</v>
          </cell>
        </row>
        <row r="72">
          <cell r="J72" t="str">
            <v>08070802120031</v>
          </cell>
          <cell r="K72" t="str">
            <v>DEE-DEE SHAMPOO (APPLE) PUMP 250 ML</v>
          </cell>
          <cell r="L72">
            <v>3</v>
          </cell>
          <cell r="M72">
            <v>9</v>
          </cell>
          <cell r="N72">
            <v>914834.25</v>
          </cell>
          <cell r="O72">
            <v>12</v>
          </cell>
        </row>
        <row r="73">
          <cell r="J73" t="str">
            <v>08070802120021</v>
          </cell>
          <cell r="K73" t="str">
            <v>DEE-DEE SHAMPOO (APPLE) REFILL 125 ML</v>
          </cell>
          <cell r="L73">
            <v>0</v>
          </cell>
          <cell r="M73">
            <v>11</v>
          </cell>
          <cell r="N73">
            <v>83577.45</v>
          </cell>
          <cell r="O73">
            <v>24</v>
          </cell>
        </row>
        <row r="74">
          <cell r="J74" t="str">
            <v>08070802120041</v>
          </cell>
          <cell r="K74" t="str">
            <v>DEE-DEE SHAMPOO (APPLE) REFILL 250 ML</v>
          </cell>
          <cell r="L74">
            <v>6</v>
          </cell>
          <cell r="M74">
            <v>0</v>
          </cell>
          <cell r="N74">
            <v>1094104.8</v>
          </cell>
          <cell r="O74">
            <v>12</v>
          </cell>
        </row>
        <row r="75">
          <cell r="J75" t="str">
            <v>08070802120066</v>
          </cell>
          <cell r="K75" t="str">
            <v>DEE-DEE SHAMPOO (GREAN TEA) FOR LONG HAIR 200 ML</v>
          </cell>
          <cell r="L75">
            <v>1</v>
          </cell>
          <cell r="M75">
            <v>0</v>
          </cell>
          <cell r="N75">
            <v>248884.2</v>
          </cell>
          <cell r="O75">
            <v>12</v>
          </cell>
        </row>
        <row r="76">
          <cell r="J76" t="str">
            <v>08070802120012</v>
          </cell>
          <cell r="K76" t="str">
            <v>DEE-DEE SHAMPOO (GRP) BOTTLE 45 ML</v>
          </cell>
          <cell r="L76">
            <v>0</v>
          </cell>
          <cell r="M76">
            <v>46</v>
          </cell>
          <cell r="N76">
            <v>118076.25</v>
          </cell>
          <cell r="O76">
            <v>72</v>
          </cell>
        </row>
        <row r="77">
          <cell r="J77" t="str">
            <v>08070802120052</v>
          </cell>
          <cell r="K77" t="str">
            <v>DEE-DEE SHAMPOO (GRP) POUCH 200 ML</v>
          </cell>
          <cell r="L77">
            <v>0</v>
          </cell>
          <cell r="M77">
            <v>3</v>
          </cell>
          <cell r="N77">
            <v>31110.53</v>
          </cell>
          <cell r="O77">
            <v>24</v>
          </cell>
        </row>
        <row r="78">
          <cell r="J78" t="str">
            <v>08070802120032</v>
          </cell>
          <cell r="K78" t="str">
            <v>DEE-DEE SHAMPOO (GRP) PUMP 250 ML</v>
          </cell>
          <cell r="L78">
            <v>6</v>
          </cell>
          <cell r="M78">
            <v>5</v>
          </cell>
          <cell r="N78">
            <v>1565383.05</v>
          </cell>
          <cell r="O78">
            <v>12</v>
          </cell>
        </row>
        <row r="79">
          <cell r="J79" t="str">
            <v>08070802120022</v>
          </cell>
          <cell r="K79" t="str">
            <v>DEE-DEE SHAMPOO (GRP) REFILL 125 ML</v>
          </cell>
          <cell r="L79">
            <v>6</v>
          </cell>
          <cell r="M79">
            <v>10</v>
          </cell>
          <cell r="N79">
            <v>1170084.3</v>
          </cell>
          <cell r="O79">
            <v>24</v>
          </cell>
        </row>
        <row r="80">
          <cell r="J80" t="str">
            <v>08070802120042</v>
          </cell>
          <cell r="K80" t="str">
            <v>DEE-DEE SHAMPOO (GRP) REFILL 250 ML</v>
          </cell>
          <cell r="L80">
            <v>4</v>
          </cell>
          <cell r="M80">
            <v>6</v>
          </cell>
          <cell r="N80">
            <v>820578.6</v>
          </cell>
          <cell r="O80">
            <v>12</v>
          </cell>
        </row>
        <row r="81">
          <cell r="J81" t="str">
            <v>08070802120013</v>
          </cell>
          <cell r="K81" t="str">
            <v>DEE-DEE SHAMPOO (ORG) BOTTLE 45 ML</v>
          </cell>
          <cell r="L81">
            <v>6</v>
          </cell>
          <cell r="M81">
            <v>22</v>
          </cell>
          <cell r="N81">
            <v>1165361.25</v>
          </cell>
          <cell r="O81">
            <v>72</v>
          </cell>
        </row>
        <row r="82">
          <cell r="J82" t="str">
            <v>08070802120053</v>
          </cell>
          <cell r="K82" t="str">
            <v>DEE-DEE SHAMPOO (ORG) POUCH 200 ML</v>
          </cell>
          <cell r="L82">
            <v>0</v>
          </cell>
          <cell r="M82">
            <v>23</v>
          </cell>
          <cell r="N82">
            <v>238514.03</v>
          </cell>
          <cell r="O82">
            <v>24</v>
          </cell>
        </row>
        <row r="83">
          <cell r="J83" t="str">
            <v>08070802120033</v>
          </cell>
          <cell r="K83" t="str">
            <v>DEE-DEE SHAMPOO (ORG) PUMP 250 ML</v>
          </cell>
          <cell r="L83">
            <v>0</v>
          </cell>
          <cell r="M83">
            <v>3</v>
          </cell>
          <cell r="N83">
            <v>60988.95</v>
          </cell>
          <cell r="O83">
            <v>12</v>
          </cell>
        </row>
        <row r="84">
          <cell r="J84" t="str">
            <v>08070802120023</v>
          </cell>
          <cell r="K84" t="str">
            <v>DEE-DEE SHAMPOO (ORG) REFILL 125 ML</v>
          </cell>
          <cell r="L84">
            <v>1</v>
          </cell>
          <cell r="M84">
            <v>21</v>
          </cell>
          <cell r="N84">
            <v>341907.75</v>
          </cell>
          <cell r="O84">
            <v>24</v>
          </cell>
        </row>
        <row r="85">
          <cell r="J85" t="str">
            <v>08070802120043</v>
          </cell>
          <cell r="K85" t="str">
            <v>DEE-DEE SHAMPOO (ORG) REFILL 250 ML</v>
          </cell>
          <cell r="L85">
            <v>1</v>
          </cell>
          <cell r="M85">
            <v>5</v>
          </cell>
          <cell r="N85">
            <v>258330.3</v>
          </cell>
          <cell r="O85">
            <v>12</v>
          </cell>
        </row>
        <row r="86">
          <cell r="J86" t="str">
            <v>08070802120064</v>
          </cell>
          <cell r="K86" t="str">
            <v>DEE-DEE SHAMPOO (ROSE) FOR LONG HAIR 200 ML</v>
          </cell>
          <cell r="L86">
            <v>0</v>
          </cell>
          <cell r="M86">
            <v>2</v>
          </cell>
          <cell r="N86">
            <v>41480.699999999997</v>
          </cell>
          <cell r="O86">
            <v>12</v>
          </cell>
        </row>
        <row r="87">
          <cell r="J87" t="str">
            <v>08070802120015</v>
          </cell>
          <cell r="K87" t="str">
            <v>DEE-DEE SHAMPOO (STR) BOTTLE 45 ML</v>
          </cell>
          <cell r="L87">
            <v>1</v>
          </cell>
          <cell r="M87">
            <v>14</v>
          </cell>
          <cell r="N87">
            <v>220751.25</v>
          </cell>
          <cell r="O87">
            <v>72</v>
          </cell>
        </row>
        <row r="88">
          <cell r="J88" t="str">
            <v>08070802120055</v>
          </cell>
          <cell r="K88" t="str">
            <v>DEE-DEE SHAMPOO (STR) POUCH 200 ML</v>
          </cell>
          <cell r="L88">
            <v>0</v>
          </cell>
          <cell r="M88">
            <v>1</v>
          </cell>
          <cell r="N88">
            <v>10370.18</v>
          </cell>
          <cell r="O88">
            <v>24</v>
          </cell>
        </row>
        <row r="89">
          <cell r="J89" t="str">
            <v>08070802120035</v>
          </cell>
          <cell r="K89" t="str">
            <v>DEE-DEE SHAMPOO (STR) PUMP 250 ML</v>
          </cell>
          <cell r="L89">
            <v>2</v>
          </cell>
          <cell r="M89">
            <v>2</v>
          </cell>
          <cell r="N89">
            <v>528570.9</v>
          </cell>
          <cell r="O89">
            <v>12</v>
          </cell>
        </row>
        <row r="90">
          <cell r="J90" t="str">
            <v>08070802120025</v>
          </cell>
          <cell r="K90" t="str">
            <v>DEE-DEE SHAMPOO (STR) REFILL 125 ML</v>
          </cell>
          <cell r="L90">
            <v>3</v>
          </cell>
          <cell r="M90">
            <v>2</v>
          </cell>
          <cell r="N90">
            <v>562248.30000000005</v>
          </cell>
          <cell r="O90">
            <v>24</v>
          </cell>
        </row>
        <row r="91">
          <cell r="J91" t="str">
            <v>08070802120045</v>
          </cell>
          <cell r="K91" t="str">
            <v>DEE-DEE SHAMPOO (STR) REFILL 250 ML</v>
          </cell>
          <cell r="L91">
            <v>7</v>
          </cell>
          <cell r="M91">
            <v>4</v>
          </cell>
          <cell r="N91">
            <v>1337239.2</v>
          </cell>
          <cell r="O91">
            <v>12</v>
          </cell>
        </row>
        <row r="92">
          <cell r="J92" t="str">
            <v>08070802290011</v>
          </cell>
          <cell r="K92" t="str">
            <v>DEE-DEE TALCUM POWDER (APPLE) BOTTLE 150 GR</v>
          </cell>
          <cell r="L92">
            <v>2</v>
          </cell>
          <cell r="M92">
            <v>3</v>
          </cell>
          <cell r="N92">
            <v>324350.46000000002</v>
          </cell>
          <cell r="O92">
            <v>12</v>
          </cell>
        </row>
        <row r="93">
          <cell r="J93" t="str">
            <v>08070802290014</v>
          </cell>
          <cell r="K93" t="str">
            <v>DEE-DEE TALCUM POWDER (STR) BOTTLE 150 GR</v>
          </cell>
          <cell r="L93">
            <v>0</v>
          </cell>
          <cell r="M93">
            <v>3</v>
          </cell>
          <cell r="N93">
            <v>36038.94</v>
          </cell>
          <cell r="O93">
            <v>12</v>
          </cell>
        </row>
        <row r="94">
          <cell r="J94" t="str">
            <v>08070802290004</v>
          </cell>
          <cell r="K94" t="str">
            <v>DEE-DEE TALCUM POWDER (STR) BOTTLE 45 GR</v>
          </cell>
          <cell r="L94">
            <v>2</v>
          </cell>
          <cell r="M94">
            <v>15</v>
          </cell>
          <cell r="N94">
            <v>258741</v>
          </cell>
          <cell r="O94">
            <v>24</v>
          </cell>
        </row>
        <row r="95">
          <cell r="J95" t="str">
            <v>08070802260011</v>
          </cell>
          <cell r="K95" t="str">
            <v>DEE-DEE TOOTH BRUSH PREMIUM</v>
          </cell>
          <cell r="L95">
            <v>0</v>
          </cell>
          <cell r="M95">
            <v>11</v>
          </cell>
          <cell r="N95">
            <v>68894.98</v>
          </cell>
          <cell r="O95">
            <v>48</v>
          </cell>
        </row>
        <row r="96">
          <cell r="J96" t="str">
            <v>08070802320012</v>
          </cell>
          <cell r="K96" t="str">
            <v>DEE-DEE TOOTH PASTE D.MINT/T.MINT (GRP) REFILL 50 GR</v>
          </cell>
          <cell r="L96">
            <v>2</v>
          </cell>
          <cell r="M96">
            <v>13</v>
          </cell>
          <cell r="N96">
            <v>637919.78</v>
          </cell>
          <cell r="O96">
            <v>48</v>
          </cell>
        </row>
        <row r="97">
          <cell r="J97" t="str">
            <v>08070802320013</v>
          </cell>
          <cell r="K97" t="str">
            <v>DEE-DEE TOOTH PASTE D.MINT/T.MINT (ORG) REFILL 50 GR</v>
          </cell>
          <cell r="L97">
            <v>1</v>
          </cell>
          <cell r="M97">
            <v>3</v>
          </cell>
          <cell r="N97">
            <v>298476.23</v>
          </cell>
          <cell r="O97">
            <v>48</v>
          </cell>
        </row>
        <row r="98">
          <cell r="J98" t="str">
            <v>08070802320014</v>
          </cell>
          <cell r="K98" t="str">
            <v>DEE-DEE TOOTH PASTE D.MINT/T.MINT (STR) REFILL 50 GR</v>
          </cell>
          <cell r="L98">
            <v>1</v>
          </cell>
          <cell r="M98">
            <v>9</v>
          </cell>
          <cell r="N98">
            <v>333591.08</v>
          </cell>
          <cell r="O98">
            <v>48</v>
          </cell>
        </row>
        <row r="99">
          <cell r="J99" t="str">
            <v>08070802220003</v>
          </cell>
          <cell r="K99" t="str">
            <v>DEE-DEE TRAVEL PACK</v>
          </cell>
          <cell r="L99">
            <v>3</v>
          </cell>
          <cell r="M99">
            <v>1</v>
          </cell>
          <cell r="N99">
            <v>1086506.8500000001</v>
          </cell>
          <cell r="O99">
            <v>12</v>
          </cell>
        </row>
        <row r="100">
          <cell r="J100" t="str">
            <v>08070804160046</v>
          </cell>
          <cell r="K100" t="str">
            <v>GLASS CLEANER (FB) BOTTLE SPRAY 500 ML</v>
          </cell>
          <cell r="L100">
            <v>1</v>
          </cell>
          <cell r="M100">
            <v>0</v>
          </cell>
          <cell r="N100">
            <v>156476.70000000001</v>
          </cell>
          <cell r="O100">
            <v>12</v>
          </cell>
        </row>
        <row r="101">
          <cell r="J101" t="str">
            <v>08070804160056</v>
          </cell>
          <cell r="K101" t="str">
            <v>GLASS CLEANER (FB) JRG 3.7 LT</v>
          </cell>
          <cell r="L101">
            <v>2</v>
          </cell>
          <cell r="M101">
            <v>1</v>
          </cell>
          <cell r="N101">
            <v>292372.34000000003</v>
          </cell>
          <cell r="O101">
            <v>4</v>
          </cell>
        </row>
        <row r="102">
          <cell r="J102" t="str">
            <v>08070804160041</v>
          </cell>
          <cell r="K102" t="str">
            <v>GLASS CLEANER (FB) POUCH 410 ML</v>
          </cell>
          <cell r="L102">
            <v>7</v>
          </cell>
          <cell r="M102">
            <v>5</v>
          </cell>
          <cell r="N102">
            <v>746036.55</v>
          </cell>
          <cell r="O102">
            <v>24</v>
          </cell>
        </row>
        <row r="103">
          <cell r="J103" t="str">
            <v>08070804160048</v>
          </cell>
          <cell r="K103" t="str">
            <v>GLASS CLEANER (FL) BOTTLE SPRAY 500 ML</v>
          </cell>
          <cell r="L103">
            <v>1</v>
          </cell>
          <cell r="M103">
            <v>6</v>
          </cell>
          <cell r="N103">
            <v>234715.05</v>
          </cell>
          <cell r="O103">
            <v>12</v>
          </cell>
        </row>
        <row r="104">
          <cell r="J104" t="str">
            <v>08070804160043</v>
          </cell>
          <cell r="K104" t="str">
            <v>GLASS CLEANER (FL) POUCH 410 ML</v>
          </cell>
          <cell r="L104">
            <v>5</v>
          </cell>
          <cell r="M104">
            <v>5</v>
          </cell>
          <cell r="N104">
            <v>539043.75</v>
          </cell>
          <cell r="O104">
            <v>24</v>
          </cell>
        </row>
        <row r="105">
          <cell r="J105" t="str">
            <v>08070804160057</v>
          </cell>
          <cell r="K105" t="str">
            <v>GLASS CLEANER (LF) JRG 3.7 LT</v>
          </cell>
          <cell r="L105">
            <v>5</v>
          </cell>
          <cell r="M105">
            <v>0</v>
          </cell>
          <cell r="N105">
            <v>649716.30000000005</v>
          </cell>
          <cell r="O105">
            <v>4</v>
          </cell>
        </row>
        <row r="106">
          <cell r="J106" t="str">
            <v>08070804160042</v>
          </cell>
          <cell r="K106" t="str">
            <v>GLASS CLEANER (LF) POUCH 410 ML</v>
          </cell>
          <cell r="L106">
            <v>5</v>
          </cell>
          <cell r="M106">
            <v>6</v>
          </cell>
          <cell r="N106">
            <v>543356.1</v>
          </cell>
          <cell r="O106">
            <v>24</v>
          </cell>
        </row>
        <row r="107">
          <cell r="J107" t="str">
            <v>08070804130031</v>
          </cell>
          <cell r="K107" t="str">
            <v>HAND SOAP (APPLE) JRG 3.7 LT</v>
          </cell>
          <cell r="L107">
            <v>3</v>
          </cell>
          <cell r="M107">
            <v>1</v>
          </cell>
          <cell r="N107">
            <v>1671181.59</v>
          </cell>
          <cell r="O107">
            <v>4</v>
          </cell>
        </row>
        <row r="108">
          <cell r="J108" t="str">
            <v>08070804130001</v>
          </cell>
          <cell r="K108" t="str">
            <v>HAND SOAP (APPLE) POUCH 375 ML</v>
          </cell>
          <cell r="L108">
            <v>3</v>
          </cell>
          <cell r="M108">
            <v>12</v>
          </cell>
          <cell r="N108">
            <v>1423075.5</v>
          </cell>
          <cell r="O108">
            <v>24</v>
          </cell>
        </row>
        <row r="109">
          <cell r="J109" t="str">
            <v>08070804130011</v>
          </cell>
          <cell r="K109" t="str">
            <v>HAND SOAP (APPLE) PUMP 410 ML</v>
          </cell>
          <cell r="L109">
            <v>20</v>
          </cell>
          <cell r="M109">
            <v>6</v>
          </cell>
          <cell r="N109">
            <v>6895447.6500000004</v>
          </cell>
          <cell r="O109">
            <v>12</v>
          </cell>
        </row>
        <row r="110">
          <cell r="J110" t="str">
            <v>08070804130032</v>
          </cell>
          <cell r="K110" t="str">
            <v>HAND SOAP (GRP) JRG 3.7 LT</v>
          </cell>
          <cell r="L110">
            <v>8</v>
          </cell>
          <cell r="M110">
            <v>3</v>
          </cell>
          <cell r="N110">
            <v>4499335.05</v>
          </cell>
          <cell r="O110">
            <v>4</v>
          </cell>
        </row>
        <row r="111">
          <cell r="J111" t="str">
            <v>08070804130002</v>
          </cell>
          <cell r="K111" t="str">
            <v>HAND SOAP (GRP) POUCH 375 ML</v>
          </cell>
          <cell r="L111">
            <v>0</v>
          </cell>
          <cell r="M111">
            <v>2</v>
          </cell>
          <cell r="N111">
            <v>33882.75</v>
          </cell>
          <cell r="O111">
            <v>24</v>
          </cell>
        </row>
        <row r="112">
          <cell r="J112" t="str">
            <v>08070804130012</v>
          </cell>
          <cell r="K112" t="str">
            <v>HAND SOAP (GRP) PUMP 410 ML</v>
          </cell>
          <cell r="L112">
            <v>5</v>
          </cell>
          <cell r="M112">
            <v>7</v>
          </cell>
          <cell r="N112">
            <v>1878028.43</v>
          </cell>
          <cell r="O112">
            <v>12</v>
          </cell>
        </row>
        <row r="113">
          <cell r="J113" t="str">
            <v>08070804130033</v>
          </cell>
          <cell r="K113" t="str">
            <v>HAND SOAP (LEMON) JRG 3.7 LT</v>
          </cell>
          <cell r="L113">
            <v>12</v>
          </cell>
          <cell r="M113">
            <v>1</v>
          </cell>
          <cell r="N113">
            <v>6299069.0700000003</v>
          </cell>
          <cell r="O113">
            <v>4</v>
          </cell>
        </row>
        <row r="114">
          <cell r="J114" t="str">
            <v>08070804130003</v>
          </cell>
          <cell r="K114" t="str">
            <v>HAND SOAP (LEMON) POUCH 375 ML</v>
          </cell>
          <cell r="L114">
            <v>6</v>
          </cell>
          <cell r="M114">
            <v>21</v>
          </cell>
          <cell r="N114">
            <v>2795326.88</v>
          </cell>
          <cell r="O114">
            <v>24</v>
          </cell>
        </row>
        <row r="115">
          <cell r="J115" t="str">
            <v>08070804130013</v>
          </cell>
          <cell r="K115" t="str">
            <v>HAND SOAP (LEMON) PUMP 410 ML</v>
          </cell>
          <cell r="L115">
            <v>4</v>
          </cell>
          <cell r="M115">
            <v>2</v>
          </cell>
          <cell r="N115">
            <v>1401513.75</v>
          </cell>
          <cell r="O115">
            <v>12</v>
          </cell>
        </row>
        <row r="116">
          <cell r="J116" t="str">
            <v>08070804130034</v>
          </cell>
          <cell r="K116" t="str">
            <v>HAND SOAP (ORG) JRG 3.7 LT</v>
          </cell>
          <cell r="L116">
            <v>2</v>
          </cell>
          <cell r="M116">
            <v>0</v>
          </cell>
          <cell r="N116">
            <v>1028419.44</v>
          </cell>
          <cell r="O116">
            <v>4</v>
          </cell>
        </row>
        <row r="117">
          <cell r="J117" t="str">
            <v>08070804130004</v>
          </cell>
          <cell r="K117" t="str">
            <v>HAND SOAP (ORG) POUCH 375 ML</v>
          </cell>
          <cell r="L117">
            <v>0</v>
          </cell>
          <cell r="M117">
            <v>1</v>
          </cell>
          <cell r="N117">
            <v>16941.38</v>
          </cell>
          <cell r="O117">
            <v>24</v>
          </cell>
        </row>
        <row r="118">
          <cell r="J118" t="str">
            <v>08070804130014</v>
          </cell>
          <cell r="K118" t="str">
            <v>HAND SOAP (ORG) PUMP 410 ML</v>
          </cell>
          <cell r="L118">
            <v>0</v>
          </cell>
          <cell r="M118">
            <v>9</v>
          </cell>
          <cell r="N118">
            <v>252272.48</v>
          </cell>
          <cell r="O118">
            <v>12</v>
          </cell>
        </row>
        <row r="119">
          <cell r="J119" t="str">
            <v>08070804130035</v>
          </cell>
          <cell r="K119" t="str">
            <v>HAND SOAP (STR) JRG 3.7 LT</v>
          </cell>
          <cell r="L119">
            <v>17</v>
          </cell>
          <cell r="M119">
            <v>3</v>
          </cell>
          <cell r="N119">
            <v>9127222.5299999993</v>
          </cell>
          <cell r="O119">
            <v>4</v>
          </cell>
        </row>
        <row r="120">
          <cell r="J120" t="str">
            <v>08070804130005</v>
          </cell>
          <cell r="K120" t="str">
            <v>HAND SOAP (STR) POUCH 375 ML</v>
          </cell>
          <cell r="L120">
            <v>5</v>
          </cell>
          <cell r="M120">
            <v>17</v>
          </cell>
          <cell r="N120">
            <v>2320968.38</v>
          </cell>
          <cell r="O120">
            <v>24</v>
          </cell>
        </row>
        <row r="121">
          <cell r="J121" t="str">
            <v>08070804130015</v>
          </cell>
          <cell r="K121" t="str">
            <v>HAND SOAP (STR) PUMP 410 ML</v>
          </cell>
          <cell r="L121">
            <v>38</v>
          </cell>
          <cell r="M121">
            <v>0</v>
          </cell>
          <cell r="N121">
            <v>12781805.4</v>
          </cell>
          <cell r="O121">
            <v>12</v>
          </cell>
        </row>
        <row r="122">
          <cell r="J122" t="str">
            <v>08070804130041</v>
          </cell>
          <cell r="K122" t="str">
            <v>HAND SOAP PRE (GREEN TEA) POUCH 375 ML</v>
          </cell>
          <cell r="L122">
            <v>8</v>
          </cell>
          <cell r="M122">
            <v>20</v>
          </cell>
          <cell r="N122">
            <v>4222817.4000000004</v>
          </cell>
          <cell r="O122">
            <v>24</v>
          </cell>
        </row>
        <row r="123">
          <cell r="J123" t="str">
            <v>08070804130047</v>
          </cell>
          <cell r="K123" t="str">
            <v>HAND SOAP PRE (LAV) POUCH 375 ML</v>
          </cell>
          <cell r="L123">
            <v>4</v>
          </cell>
          <cell r="M123">
            <v>6</v>
          </cell>
          <cell r="N123">
            <v>2031732.9</v>
          </cell>
          <cell r="O123">
            <v>24</v>
          </cell>
        </row>
        <row r="124">
          <cell r="J124" t="str">
            <v>08070804130046</v>
          </cell>
          <cell r="K124" t="str">
            <v>HAND SOAP PRE (ROSE) POUCH 375 ML</v>
          </cell>
          <cell r="L124">
            <v>3</v>
          </cell>
          <cell r="M124">
            <v>22</v>
          </cell>
          <cell r="N124">
            <v>1872381.3</v>
          </cell>
          <cell r="O124">
            <v>24</v>
          </cell>
        </row>
        <row r="125">
          <cell r="J125" t="str">
            <v>08070804130051</v>
          </cell>
          <cell r="K125" t="str">
            <v>HAND SOAP PRE FOAMING (GREEN TEA) PUMP 410 ML</v>
          </cell>
          <cell r="L125">
            <v>4</v>
          </cell>
          <cell r="M125">
            <v>2</v>
          </cell>
          <cell r="N125">
            <v>1735207.5</v>
          </cell>
          <cell r="O125">
            <v>12</v>
          </cell>
        </row>
        <row r="126">
          <cell r="J126" t="str">
            <v>08070804130057</v>
          </cell>
          <cell r="K126" t="str">
            <v>HAND SOAP PRE FOAMING (LAV) PUMP 410 ML</v>
          </cell>
          <cell r="L126">
            <v>0</v>
          </cell>
          <cell r="M126">
            <v>0</v>
          </cell>
          <cell r="N126">
            <v>0</v>
          </cell>
          <cell r="O126">
            <v>12</v>
          </cell>
        </row>
        <row r="127">
          <cell r="J127" t="str">
            <v>08070804130056</v>
          </cell>
          <cell r="K127" t="str">
            <v>HAND SOAP PRE FOAMING (ROSE) PUMP 410 ML</v>
          </cell>
          <cell r="L127">
            <v>5</v>
          </cell>
          <cell r="M127">
            <v>3</v>
          </cell>
          <cell r="N127">
            <v>2186361.4500000002</v>
          </cell>
          <cell r="O127">
            <v>12</v>
          </cell>
        </row>
        <row r="128">
          <cell r="J128" t="str">
            <v>08070804160124</v>
          </cell>
          <cell r="K128" t="str">
            <v>LIGENT (BABY PUMP) 450ML+FREE</v>
          </cell>
          <cell r="L128">
            <v>1</v>
          </cell>
          <cell r="M128">
            <v>4</v>
          </cell>
          <cell r="N128">
            <v>561837.6</v>
          </cell>
          <cell r="O128">
            <v>12</v>
          </cell>
        </row>
        <row r="129">
          <cell r="J129" t="str">
            <v>08070804160106</v>
          </cell>
          <cell r="K129" t="str">
            <v>LIGENT (GRAPE FRUIT) BOTTLE 1000 ML</v>
          </cell>
          <cell r="L129">
            <v>0</v>
          </cell>
          <cell r="M129">
            <v>1</v>
          </cell>
          <cell r="N129">
            <v>27927.599999999999</v>
          </cell>
          <cell r="O129">
            <v>12</v>
          </cell>
        </row>
        <row r="130">
          <cell r="J130" t="str">
            <v>08070804160107</v>
          </cell>
          <cell r="K130" t="str">
            <v>LIGENT (GRAPE FRUIT) JRG 3.7 LT</v>
          </cell>
          <cell r="L130">
            <v>0</v>
          </cell>
          <cell r="M130">
            <v>0</v>
          </cell>
          <cell r="N130">
            <v>0</v>
          </cell>
          <cell r="O130">
            <v>4</v>
          </cell>
        </row>
        <row r="131">
          <cell r="J131" t="str">
            <v>08070804160108</v>
          </cell>
          <cell r="K131" t="str">
            <v>LIGENT (GRAPE FRUIT) POUCH 180 ML</v>
          </cell>
          <cell r="L131">
            <v>3</v>
          </cell>
          <cell r="M131">
            <v>17</v>
          </cell>
          <cell r="N131">
            <v>338102.1</v>
          </cell>
          <cell r="O131">
            <v>24</v>
          </cell>
        </row>
        <row r="132">
          <cell r="J132" t="str">
            <v>08070804160019</v>
          </cell>
          <cell r="K132" t="str">
            <v>LIGENT (GRAPE FRUIT) POUCH 600 ML FREE GIFT (SCAN 2X)</v>
          </cell>
          <cell r="L132">
            <v>3</v>
          </cell>
          <cell r="M132">
            <v>0</v>
          </cell>
          <cell r="N132">
            <v>491607.72</v>
          </cell>
          <cell r="O132">
            <v>12</v>
          </cell>
        </row>
        <row r="133">
          <cell r="J133" t="str">
            <v>08070804160105</v>
          </cell>
          <cell r="K133" t="str">
            <v>LIGENT (GRAPE FRUIT) POUCH 700 ML</v>
          </cell>
          <cell r="L133">
            <v>0</v>
          </cell>
          <cell r="M133">
            <v>9</v>
          </cell>
          <cell r="N133">
            <v>133066.79999999999</v>
          </cell>
          <cell r="O133">
            <v>12</v>
          </cell>
        </row>
        <row r="134">
          <cell r="J134" t="str">
            <v>08070804160023</v>
          </cell>
          <cell r="K134" t="str">
            <v>LIGENT (LEMON &amp; BERGAMOT) 600ML BELI 1 GRATIS 1</v>
          </cell>
          <cell r="L134">
            <v>2</v>
          </cell>
          <cell r="M134">
            <v>9</v>
          </cell>
          <cell r="N134">
            <v>450640.41</v>
          </cell>
          <cell r="O134">
            <v>12</v>
          </cell>
        </row>
        <row r="135">
          <cell r="J135" t="str">
            <v>08070804160066</v>
          </cell>
          <cell r="K135" t="str">
            <v>LIGENT (LEMON) BOTTLE 1000 ML</v>
          </cell>
          <cell r="L135">
            <v>1</v>
          </cell>
          <cell r="M135">
            <v>5</v>
          </cell>
          <cell r="N135">
            <v>474769.2</v>
          </cell>
          <cell r="O135">
            <v>12</v>
          </cell>
        </row>
        <row r="136">
          <cell r="J136" t="str">
            <v>08070804160068</v>
          </cell>
          <cell r="K136" t="str">
            <v>LIGENT (LEMON) JRG 3.7 LT</v>
          </cell>
          <cell r="L136">
            <v>7</v>
          </cell>
          <cell r="M136">
            <v>3</v>
          </cell>
          <cell r="N136">
            <v>2066475.5</v>
          </cell>
          <cell r="O136">
            <v>4</v>
          </cell>
        </row>
        <row r="137">
          <cell r="J137" t="str">
            <v>08070804160062</v>
          </cell>
          <cell r="K137" t="str">
            <v>LIGENT (LEMON) POUCH 180 ML</v>
          </cell>
          <cell r="L137">
            <v>0</v>
          </cell>
          <cell r="M137">
            <v>18</v>
          </cell>
          <cell r="N137">
            <v>73926</v>
          </cell>
          <cell r="O137">
            <v>24</v>
          </cell>
        </row>
        <row r="138">
          <cell r="J138" t="str">
            <v>08070804160064</v>
          </cell>
          <cell r="K138" t="str">
            <v>LIGENT (LEMON) POUCH 700 ML</v>
          </cell>
          <cell r="L138">
            <v>5</v>
          </cell>
          <cell r="M138">
            <v>3</v>
          </cell>
          <cell r="N138">
            <v>931467.6</v>
          </cell>
          <cell r="O138">
            <v>12</v>
          </cell>
        </row>
        <row r="139">
          <cell r="J139" t="str">
            <v>08070804160018</v>
          </cell>
          <cell r="K139" t="str">
            <v>LIGENT (LIME &amp; BERGAMOT) 600ML BELI 1 GRATIS 1</v>
          </cell>
          <cell r="L139">
            <v>0</v>
          </cell>
          <cell r="M139">
            <v>8</v>
          </cell>
          <cell r="N139">
            <v>109246.16</v>
          </cell>
          <cell r="O139">
            <v>12</v>
          </cell>
        </row>
        <row r="140">
          <cell r="J140" t="str">
            <v>08070804160065</v>
          </cell>
          <cell r="K140" t="str">
            <v>LIGENT (LIME) BOTTLE 1000 ML</v>
          </cell>
          <cell r="L140">
            <v>2</v>
          </cell>
          <cell r="M140">
            <v>9</v>
          </cell>
          <cell r="N140">
            <v>921610.8</v>
          </cell>
          <cell r="O140">
            <v>12</v>
          </cell>
        </row>
        <row r="141">
          <cell r="J141" t="str">
            <v>08070804160067</v>
          </cell>
          <cell r="K141" t="str">
            <v>LIGENT (LIME) JRG 3.7 LT</v>
          </cell>
          <cell r="L141">
            <v>5</v>
          </cell>
          <cell r="M141">
            <v>0</v>
          </cell>
          <cell r="N141">
            <v>1333210</v>
          </cell>
          <cell r="O141">
            <v>4</v>
          </cell>
        </row>
        <row r="142">
          <cell r="J142" t="str">
            <v>08070804160061</v>
          </cell>
          <cell r="K142" t="str">
            <v>LIGENT (LIME) POUCH 180 ML</v>
          </cell>
          <cell r="L142">
            <v>1</v>
          </cell>
          <cell r="M142">
            <v>2</v>
          </cell>
          <cell r="N142">
            <v>106782</v>
          </cell>
          <cell r="O142">
            <v>24</v>
          </cell>
        </row>
        <row r="143">
          <cell r="J143" t="str">
            <v>08070804160063</v>
          </cell>
          <cell r="K143" t="str">
            <v>LIGENT (LIME) POUCH 700 ML</v>
          </cell>
          <cell r="L143">
            <v>16</v>
          </cell>
          <cell r="M143">
            <v>9</v>
          </cell>
          <cell r="N143">
            <v>2971825.2</v>
          </cell>
          <cell r="O143">
            <v>12</v>
          </cell>
        </row>
        <row r="144">
          <cell r="J144" t="str">
            <v>08070804160125</v>
          </cell>
          <cell r="K144" t="str">
            <v>LIGENT BABY POUCH 410ML</v>
          </cell>
          <cell r="L144">
            <v>3</v>
          </cell>
          <cell r="M144">
            <v>18</v>
          </cell>
          <cell r="N144">
            <v>2541206.7000000002</v>
          </cell>
          <cell r="O144">
            <v>24</v>
          </cell>
        </row>
        <row r="145">
          <cell r="J145" t="str">
            <v>08070804310053</v>
          </cell>
          <cell r="K145" t="str">
            <v>LYSORIN 630 ML</v>
          </cell>
          <cell r="L145">
            <v>8</v>
          </cell>
          <cell r="M145">
            <v>3</v>
          </cell>
          <cell r="N145">
            <v>1046976.98</v>
          </cell>
          <cell r="O145">
            <v>12</v>
          </cell>
        </row>
        <row r="146">
          <cell r="J146" t="str">
            <v>08070804310051</v>
          </cell>
          <cell r="K146" t="str">
            <v>LYSORIN BOTTLE 1000 ML</v>
          </cell>
          <cell r="L146">
            <v>2</v>
          </cell>
          <cell r="M146">
            <v>3</v>
          </cell>
          <cell r="N146">
            <v>501772.73</v>
          </cell>
          <cell r="O146">
            <v>12</v>
          </cell>
        </row>
        <row r="147">
          <cell r="J147" t="str">
            <v>08070804310052</v>
          </cell>
          <cell r="K147" t="str">
            <v>LYSORIN JRG 3.7 LT</v>
          </cell>
          <cell r="L147">
            <v>2</v>
          </cell>
          <cell r="M147">
            <v>2</v>
          </cell>
          <cell r="N147">
            <v>584148.6</v>
          </cell>
          <cell r="O147">
            <v>4</v>
          </cell>
        </row>
        <row r="148">
          <cell r="J148" t="str">
            <v>08070802220004</v>
          </cell>
          <cell r="K148" t="str">
            <v>PAKET BABY DEE TOILETRIS MIX PCS</v>
          </cell>
          <cell r="L148">
            <v>0</v>
          </cell>
          <cell r="M148">
            <v>4</v>
          </cell>
          <cell r="N148">
            <v>203296.6</v>
          </cell>
          <cell r="O148">
            <v>6</v>
          </cell>
        </row>
        <row r="149">
          <cell r="J149" t="str">
            <v>08070802220002</v>
          </cell>
          <cell r="K149" t="str">
            <v>PAKET DEE-DEE II / GIFT PACK</v>
          </cell>
          <cell r="L149">
            <v>2</v>
          </cell>
          <cell r="M149">
            <v>3</v>
          </cell>
          <cell r="N149">
            <v>591716.03</v>
          </cell>
          <cell r="O149">
            <v>24</v>
          </cell>
        </row>
        <row r="150">
          <cell r="J150" t="str">
            <v>08070802220001</v>
          </cell>
          <cell r="K150" t="str">
            <v>PAKET DEE-DEE TOILETRIES</v>
          </cell>
          <cell r="L150">
            <v>6</v>
          </cell>
          <cell r="M150">
            <v>5</v>
          </cell>
          <cell r="N150">
            <v>2294272.88</v>
          </cell>
          <cell r="O150">
            <v>6</v>
          </cell>
        </row>
        <row r="151">
          <cell r="J151" t="str">
            <v>08070804310063</v>
          </cell>
          <cell r="K151" t="str">
            <v>PORSTEX KLOSET BOTTLE 500 ML</v>
          </cell>
          <cell r="L151">
            <v>37</v>
          </cell>
          <cell r="M151">
            <v>7</v>
          </cell>
          <cell r="N151">
            <v>8011011.5300000003</v>
          </cell>
          <cell r="O151">
            <v>12</v>
          </cell>
        </row>
        <row r="152">
          <cell r="J152" t="str">
            <v>08070804310087</v>
          </cell>
          <cell r="K152" t="str">
            <v>PORSTEX REGULAR (FRE LI) BOTTLE 700 ML</v>
          </cell>
          <cell r="L152">
            <v>38</v>
          </cell>
          <cell r="M152">
            <v>3</v>
          </cell>
          <cell r="N152">
            <v>6786406.7999999998</v>
          </cell>
          <cell r="O152">
            <v>12</v>
          </cell>
        </row>
        <row r="153">
          <cell r="J153" t="str">
            <v>08070804310086</v>
          </cell>
          <cell r="K153" t="str">
            <v>PORSTEX REGULAR (OC BLUE) BOTTLE 700 ML</v>
          </cell>
          <cell r="L153">
            <v>98</v>
          </cell>
          <cell r="M153">
            <v>4</v>
          </cell>
          <cell r="N153">
            <v>17446536</v>
          </cell>
          <cell r="O153">
            <v>12</v>
          </cell>
        </row>
        <row r="154">
          <cell r="J154" t="str">
            <v>08070804310067</v>
          </cell>
          <cell r="K154" t="str">
            <v>PORSTEX WB (UNGU) BOTTLE 1000 ML</v>
          </cell>
          <cell r="L154">
            <v>91</v>
          </cell>
          <cell r="M154">
            <v>6</v>
          </cell>
          <cell r="N154">
            <v>22547430</v>
          </cell>
          <cell r="O154">
            <v>12</v>
          </cell>
        </row>
        <row r="155">
          <cell r="J155" t="str">
            <v>08070804310072</v>
          </cell>
          <cell r="K155" t="str">
            <v>PORSTEX WB (UNGU) BOTTLE 2000 ML</v>
          </cell>
          <cell r="L155">
            <v>67</v>
          </cell>
          <cell r="M155">
            <v>5</v>
          </cell>
          <cell r="N155">
            <v>16005081.68</v>
          </cell>
          <cell r="O155">
            <v>6</v>
          </cell>
        </row>
        <row r="156">
          <cell r="J156" t="str">
            <v>08070804310062</v>
          </cell>
          <cell r="K156" t="str">
            <v>PORSTEX WB (UNGU) BOTTLE 500 ML</v>
          </cell>
          <cell r="L156">
            <v>43</v>
          </cell>
          <cell r="M156">
            <v>3</v>
          </cell>
          <cell r="N156">
            <v>7087347.2300000004</v>
          </cell>
          <cell r="O156">
            <v>12</v>
          </cell>
        </row>
        <row r="157">
          <cell r="J157" t="str">
            <v>08070804310077</v>
          </cell>
          <cell r="K157" t="str">
            <v>PORSTEX WB (UNGU) JRG 3.7 LT</v>
          </cell>
          <cell r="L157">
            <v>44</v>
          </cell>
          <cell r="M157">
            <v>0</v>
          </cell>
          <cell r="N157">
            <v>11802186</v>
          </cell>
          <cell r="O157">
            <v>4</v>
          </cell>
        </row>
        <row r="158">
          <cell r="J158" t="str">
            <v>08070804310066</v>
          </cell>
          <cell r="K158" t="str">
            <v>PORSTEX WL (BIRU) BOTTLE 1000 ML</v>
          </cell>
          <cell r="L158">
            <v>977</v>
          </cell>
          <cell r="M158">
            <v>8</v>
          </cell>
          <cell r="N158">
            <v>240916620</v>
          </cell>
          <cell r="O158">
            <v>12</v>
          </cell>
        </row>
        <row r="159">
          <cell r="J159" t="str">
            <v>08070804310071</v>
          </cell>
          <cell r="K159" t="str">
            <v>PORSTEX WL (BIRU) BOTTLE 2000 ML</v>
          </cell>
          <cell r="L159">
            <v>274</v>
          </cell>
          <cell r="M159">
            <v>1</v>
          </cell>
          <cell r="N159">
            <v>64688843.630000003</v>
          </cell>
          <cell r="O159">
            <v>6</v>
          </cell>
        </row>
        <row r="160">
          <cell r="J160" t="str">
            <v>08070804310061</v>
          </cell>
          <cell r="K160" t="str">
            <v>PORSTEX WL (BIRU) BOTTLE 500 ML</v>
          </cell>
          <cell r="L160">
            <v>50</v>
          </cell>
          <cell r="M160">
            <v>0</v>
          </cell>
          <cell r="N160">
            <v>8193465</v>
          </cell>
          <cell r="O160">
            <v>12</v>
          </cell>
        </row>
        <row r="161">
          <cell r="J161" t="str">
            <v>08070804310076</v>
          </cell>
          <cell r="K161" t="str">
            <v>PORSTEX WL (BIRU) JRG 3.7 LT</v>
          </cell>
          <cell r="L161">
            <v>95</v>
          </cell>
          <cell r="M161">
            <v>0</v>
          </cell>
          <cell r="N161">
            <v>25481992.5</v>
          </cell>
          <cell r="O161">
            <v>4</v>
          </cell>
        </row>
        <row r="162">
          <cell r="J162" t="str">
            <v>08070804150002</v>
          </cell>
          <cell r="K162" t="str">
            <v>TAF (FRESH BLUE) BOTTLE 500 ML</v>
          </cell>
          <cell r="L162">
            <v>36</v>
          </cell>
          <cell r="M162">
            <v>3</v>
          </cell>
          <cell r="N162">
            <v>8664743.25</v>
          </cell>
          <cell r="O162">
            <v>12</v>
          </cell>
        </row>
        <row r="163">
          <cell r="J163" t="str">
            <v>08070804150001</v>
          </cell>
          <cell r="K163" t="str">
            <v>TAF (LEMON LIME) BOTTLE 500 ML</v>
          </cell>
          <cell r="L163">
            <v>30</v>
          </cell>
          <cell r="M163">
            <v>10</v>
          </cell>
          <cell r="N163">
            <v>7370011.5</v>
          </cell>
          <cell r="O163">
            <v>12</v>
          </cell>
        </row>
        <row r="164">
          <cell r="J164" t="str">
            <v>08070804150011</v>
          </cell>
          <cell r="K164" t="str">
            <v>TAF (LEMON LIME) JRG 3.7 LT</v>
          </cell>
          <cell r="L164">
            <v>2</v>
          </cell>
          <cell r="M164">
            <v>3</v>
          </cell>
          <cell r="N164">
            <v>1310261.21</v>
          </cell>
          <cell r="O164">
            <v>4</v>
          </cell>
        </row>
        <row r="165">
          <cell r="J165" t="str">
            <v>08070804150024</v>
          </cell>
          <cell r="K165" t="str">
            <v>TAF BATHROOM CLEANER 375 ML</v>
          </cell>
          <cell r="L165">
            <v>4</v>
          </cell>
          <cell r="M165">
            <v>14</v>
          </cell>
          <cell r="N165">
            <v>779303.25</v>
          </cell>
          <cell r="O165">
            <v>24</v>
          </cell>
        </row>
        <row r="166">
          <cell r="J166" t="str">
            <v>08070804150004</v>
          </cell>
          <cell r="K166" t="str">
            <v>TAF BATHROOM CLEANER 500 ML</v>
          </cell>
          <cell r="L166">
            <v>2</v>
          </cell>
          <cell r="M166">
            <v>3</v>
          </cell>
          <cell r="N166">
            <v>407517.08</v>
          </cell>
          <cell r="O166">
            <v>12</v>
          </cell>
        </row>
        <row r="167">
          <cell r="J167" t="str">
            <v>08070804150023</v>
          </cell>
          <cell r="K167" t="str">
            <v>TAF KITCHEN CLEANER 375 ML</v>
          </cell>
          <cell r="L167">
            <v>4</v>
          </cell>
          <cell r="M167">
            <v>13</v>
          </cell>
          <cell r="N167">
            <v>772218.68</v>
          </cell>
          <cell r="O167">
            <v>24</v>
          </cell>
        </row>
        <row r="168">
          <cell r="J168" t="str">
            <v>08070804150003</v>
          </cell>
          <cell r="K168" t="str">
            <v>TAF KITCHEN CLEANER 500 ML</v>
          </cell>
          <cell r="L168">
            <v>0</v>
          </cell>
          <cell r="M168">
            <v>7</v>
          </cell>
          <cell r="N168">
            <v>105652.58</v>
          </cell>
          <cell r="O168">
            <v>12</v>
          </cell>
        </row>
        <row r="169">
          <cell r="J169" t="str">
            <v>08070804160090</v>
          </cell>
          <cell r="K169" t="str">
            <v>TRIL (FLORAL) POUCH 410 ML</v>
          </cell>
          <cell r="L169">
            <v>2</v>
          </cell>
          <cell r="M169">
            <v>13</v>
          </cell>
          <cell r="N169">
            <v>331948.28000000003</v>
          </cell>
          <cell r="O169">
            <v>24</v>
          </cell>
        </row>
        <row r="170">
          <cell r="J170" t="str">
            <v>08070804160093</v>
          </cell>
          <cell r="K170" t="str">
            <v>TRIL (LAVENDER) POUCH 410 ML</v>
          </cell>
          <cell r="L170">
            <v>2</v>
          </cell>
          <cell r="M170">
            <v>7</v>
          </cell>
          <cell r="N170">
            <v>299297.63</v>
          </cell>
          <cell r="O170">
            <v>24</v>
          </cell>
        </row>
        <row r="171">
          <cell r="J171" t="str">
            <v>08070804160201</v>
          </cell>
          <cell r="K171" t="str">
            <v>YURI DISINFECTANT SPRAY 12X500ML</v>
          </cell>
          <cell r="L171">
            <v>12</v>
          </cell>
          <cell r="M171">
            <v>2</v>
          </cell>
          <cell r="N171">
            <v>3687675.3</v>
          </cell>
          <cell r="O171">
            <v>12</v>
          </cell>
        </row>
        <row r="172">
          <cell r="J172" t="str">
            <v>08070804160203</v>
          </cell>
          <cell r="K172" t="str">
            <v>YURI DISINFECTANT SPRAY PCH 24x410ML</v>
          </cell>
          <cell r="L172">
            <v>6</v>
          </cell>
          <cell r="M172">
            <v>17</v>
          </cell>
          <cell r="N172">
            <v>2496131.9300000002</v>
          </cell>
          <cell r="O172">
            <v>24</v>
          </cell>
        </row>
        <row r="173">
          <cell r="J173" t="str">
            <v>08070804130081</v>
          </cell>
          <cell r="K173" t="str">
            <v>YURI HAND SOAP APPLE 375ML (BUY 1 GET 1)</v>
          </cell>
          <cell r="L173">
            <v>0</v>
          </cell>
          <cell r="M173">
            <v>3</v>
          </cell>
          <cell r="N173">
            <v>47127.839999999997</v>
          </cell>
          <cell r="O173">
            <v>24</v>
          </cell>
        </row>
        <row r="174">
          <cell r="J174" t="str">
            <v>08070804130082</v>
          </cell>
          <cell r="K174" t="str">
            <v>YURI HAND SOAP GRAPE 375ML (BUY 1 GET 1)</v>
          </cell>
          <cell r="L174">
            <v>0</v>
          </cell>
          <cell r="M174">
            <v>6</v>
          </cell>
          <cell r="N174">
            <v>94255.679999999993</v>
          </cell>
          <cell r="O174">
            <v>24</v>
          </cell>
        </row>
        <row r="175">
          <cell r="J175" t="str">
            <v>08070804130083</v>
          </cell>
          <cell r="K175" t="str">
            <v>YURI HAND SOAP LEMON 375ML (BUY 1 GET 1)</v>
          </cell>
          <cell r="L175">
            <v>0</v>
          </cell>
          <cell r="M175">
            <v>3</v>
          </cell>
          <cell r="N175">
            <v>47127.839999999997</v>
          </cell>
          <cell r="O175">
            <v>24</v>
          </cell>
        </row>
        <row r="176">
          <cell r="J176" t="str">
            <v>08070804130084</v>
          </cell>
          <cell r="K176" t="str">
            <v>YURI HAND SOAP ORANGE 375ML (BUY 1 GET 1)</v>
          </cell>
          <cell r="L176">
            <v>0</v>
          </cell>
          <cell r="M176">
            <v>1</v>
          </cell>
          <cell r="N176">
            <v>15709.28</v>
          </cell>
          <cell r="O176">
            <v>24</v>
          </cell>
        </row>
        <row r="177">
          <cell r="J177" t="str">
            <v>08070804130085</v>
          </cell>
          <cell r="K177" t="str">
            <v>YURI HAND SOAP STRAWBERRY 375ML (BUY 1 GET 1)</v>
          </cell>
          <cell r="L177">
            <v>0</v>
          </cell>
          <cell r="M177">
            <v>2</v>
          </cell>
          <cell r="N177">
            <v>31418.560000000001</v>
          </cell>
          <cell r="O177">
            <v>24</v>
          </cell>
        </row>
        <row r="178">
          <cell r="J178" t="str">
            <v>08070804160211</v>
          </cell>
          <cell r="K178" t="str">
            <v>YURI LAUNDRY DISINFECTANT 24X410ML</v>
          </cell>
          <cell r="L178">
            <v>5</v>
          </cell>
          <cell r="M178">
            <v>5</v>
          </cell>
          <cell r="N178">
            <v>1578628.13</v>
          </cell>
          <cell r="O178">
            <v>24</v>
          </cell>
        </row>
        <row r="179">
          <cell r="J179" t="str">
            <v>08070804160085</v>
          </cell>
          <cell r="K179" t="str">
            <v>YURI MATIC (FL) JRG 3.7 LT</v>
          </cell>
          <cell r="L179">
            <v>12</v>
          </cell>
          <cell r="M179">
            <v>0</v>
          </cell>
          <cell r="N179">
            <v>5026062.24</v>
          </cell>
          <cell r="O179">
            <v>4</v>
          </cell>
        </row>
        <row r="180">
          <cell r="J180" t="str">
            <v>08070804160079</v>
          </cell>
          <cell r="K180" t="str">
            <v>YURI MATIC (FL) POUCH 1600 ML</v>
          </cell>
          <cell r="L180">
            <v>3</v>
          </cell>
          <cell r="M180">
            <v>4</v>
          </cell>
          <cell r="N180">
            <v>1215261.3</v>
          </cell>
          <cell r="O180">
            <v>6</v>
          </cell>
        </row>
        <row r="181">
          <cell r="J181" t="str">
            <v>08070804160083</v>
          </cell>
          <cell r="K181" t="str">
            <v>YURI MATIC (RB) JRG 3.7 LT</v>
          </cell>
          <cell r="L181">
            <v>14</v>
          </cell>
          <cell r="M181">
            <v>0</v>
          </cell>
          <cell r="N181">
            <v>5863739.2800000003</v>
          </cell>
          <cell r="O181">
            <v>4</v>
          </cell>
        </row>
        <row r="182">
          <cell r="J182" t="str">
            <v>08070804160077</v>
          </cell>
          <cell r="K182" t="str">
            <v>YURI MATIC (RB) POUCH 1600 ML</v>
          </cell>
          <cell r="L182">
            <v>31</v>
          </cell>
          <cell r="M182">
            <v>3</v>
          </cell>
          <cell r="N182">
            <v>10440199.35</v>
          </cell>
          <cell r="O182">
            <v>6</v>
          </cell>
        </row>
        <row r="183">
          <cell r="J183" t="str">
            <v>08070804160071</v>
          </cell>
          <cell r="K183" t="str">
            <v>YURI MATIC (RB) POUCH 630 ML</v>
          </cell>
          <cell r="L183">
            <v>5</v>
          </cell>
          <cell r="M183">
            <v>4</v>
          </cell>
          <cell r="N183">
            <v>1412808</v>
          </cell>
          <cell r="O183">
            <v>12</v>
          </cell>
        </row>
        <row r="184">
          <cell r="J184" t="str">
            <v>08070804160075</v>
          </cell>
          <cell r="K184" t="str">
            <v>YURI MATIC (RP) BOTTLE 1000 ML</v>
          </cell>
          <cell r="L184">
            <v>0</v>
          </cell>
          <cell r="M184">
            <v>5</v>
          </cell>
          <cell r="N184">
            <v>174034.13</v>
          </cell>
          <cell r="O184">
            <v>12</v>
          </cell>
        </row>
        <row r="185">
          <cell r="J185" t="str">
            <v>08070804160084</v>
          </cell>
          <cell r="K185" t="str">
            <v>YURI MATIC (RP) JRG 3.7 LT</v>
          </cell>
          <cell r="L185">
            <v>12</v>
          </cell>
          <cell r="M185">
            <v>2</v>
          </cell>
          <cell r="N185">
            <v>5235481.5</v>
          </cell>
          <cell r="O185">
            <v>4</v>
          </cell>
        </row>
        <row r="186">
          <cell r="J186" t="str">
            <v>08070804160078</v>
          </cell>
          <cell r="K186" t="str">
            <v>YURI MATIC (RP) POUCH 1600 ML</v>
          </cell>
          <cell r="L186">
            <v>7</v>
          </cell>
          <cell r="M186">
            <v>1</v>
          </cell>
          <cell r="N186">
            <v>2375283.4500000002</v>
          </cell>
          <cell r="O186">
            <v>6</v>
          </cell>
        </row>
        <row r="187">
          <cell r="J187" t="str">
            <v>08070804160072</v>
          </cell>
          <cell r="K187" t="str">
            <v>YURI MATIC (RP) POUCH 630 ML</v>
          </cell>
          <cell r="L187">
            <v>6</v>
          </cell>
          <cell r="M187">
            <v>2</v>
          </cell>
          <cell r="N187">
            <v>1633559.25</v>
          </cell>
          <cell r="O187">
            <v>12</v>
          </cell>
        </row>
        <row r="188">
          <cell r="J188" t="str">
            <v>08070804160214</v>
          </cell>
          <cell r="K188" t="str">
            <v>YURI PORSTEX REGULER OCEAN BLUE/ 160ML EXTRA 40ML</v>
          </cell>
          <cell r="L188">
            <v>0</v>
          </cell>
          <cell r="M188">
            <v>0</v>
          </cell>
          <cell r="N188">
            <v>0</v>
          </cell>
          <cell r="O188">
            <v>12</v>
          </cell>
        </row>
        <row r="189">
          <cell r="J189" t="str">
            <v>08070804160131</v>
          </cell>
          <cell r="K189" t="str">
            <v>YURI-SOFT FLORAL 12X630ML</v>
          </cell>
          <cell r="L189">
            <v>4</v>
          </cell>
          <cell r="M189">
            <v>0</v>
          </cell>
          <cell r="N189">
            <v>842756.4</v>
          </cell>
          <cell r="O189">
            <v>12</v>
          </cell>
        </row>
        <row r="190">
          <cell r="J190" t="str">
            <v>08070804160132</v>
          </cell>
          <cell r="K190" t="str">
            <v>YURI-SOFT LAVENDER 12X630ML</v>
          </cell>
          <cell r="L190">
            <v>4</v>
          </cell>
          <cell r="M190">
            <v>0</v>
          </cell>
          <cell r="N190">
            <v>842756.4</v>
          </cell>
          <cell r="O190">
            <v>12</v>
          </cell>
        </row>
        <row r="191">
          <cell r="J191" t="str">
            <v>08070804160133</v>
          </cell>
          <cell r="K191" t="str">
            <v>YURI-SOFT ROMANTIC 12X630ML</v>
          </cell>
          <cell r="L191">
            <v>4</v>
          </cell>
          <cell r="M191">
            <v>0</v>
          </cell>
          <cell r="N191">
            <v>842756.4</v>
          </cell>
          <cell r="O191">
            <v>12</v>
          </cell>
        </row>
        <row r="192">
          <cell r="J192" t="str">
            <v>08070804310094</v>
          </cell>
          <cell r="K192" t="str">
            <v>YURI-SOL (PINE ORIGINAL) BOTTLE 1000 ML</v>
          </cell>
          <cell r="L192">
            <v>3</v>
          </cell>
          <cell r="M192">
            <v>2</v>
          </cell>
          <cell r="N192">
            <v>889576.2</v>
          </cell>
          <cell r="O192">
            <v>12</v>
          </cell>
        </row>
        <row r="193">
          <cell r="J193" t="str">
            <v>08070804310092</v>
          </cell>
          <cell r="K193" t="str">
            <v>YURI-SOL (PINE ORIGINAL) POUCH 700 ML</v>
          </cell>
          <cell r="L193">
            <v>7</v>
          </cell>
          <cell r="M193">
            <v>2</v>
          </cell>
          <cell r="N193">
            <v>1218546.8999999999</v>
          </cell>
          <cell r="O193">
            <v>12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M2298"/>
  <sheetViews>
    <sheetView tabSelected="1" workbookViewId="0">
      <selection activeCell="J21" sqref="J21"/>
    </sheetView>
  </sheetViews>
  <sheetFormatPr defaultRowHeight="15" x14ac:dyDescent="0.25"/>
  <sheetData>
    <row r="1" spans="1:65" x14ac:dyDescent="0.25">
      <c r="D1" s="1"/>
      <c r="R1" s="1"/>
      <c r="AH1" s="2">
        <f>SUM(AH3:AH2298)</f>
        <v>4604.8819444444471</v>
      </c>
    </row>
    <row r="2" spans="1:65" x14ac:dyDescent="0.25">
      <c r="A2" t="s">
        <v>0</v>
      </c>
      <c r="B2" t="s">
        <v>1</v>
      </c>
      <c r="C2" t="s">
        <v>2</v>
      </c>
      <c r="D2" s="1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s="1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s="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  <c r="AV2" t="s">
        <v>47</v>
      </c>
      <c r="AW2" t="s">
        <v>48</v>
      </c>
      <c r="AX2" t="s">
        <v>49</v>
      </c>
      <c r="AY2" t="s">
        <v>50</v>
      </c>
      <c r="AZ2" t="s">
        <v>51</v>
      </c>
      <c r="BA2" t="s">
        <v>52</v>
      </c>
      <c r="BB2" t="s">
        <v>53</v>
      </c>
      <c r="BC2" t="s">
        <v>54</v>
      </c>
      <c r="BD2" t="s">
        <v>55</v>
      </c>
      <c r="BE2" t="s">
        <v>56</v>
      </c>
      <c r="BF2" t="s">
        <v>57</v>
      </c>
      <c r="BG2" t="s">
        <v>58</v>
      </c>
      <c r="BH2" t="s">
        <v>59</v>
      </c>
      <c r="BI2" t="s">
        <v>60</v>
      </c>
      <c r="BJ2" t="s">
        <v>61</v>
      </c>
      <c r="BK2" t="s">
        <v>62</v>
      </c>
      <c r="BL2" t="s">
        <v>63</v>
      </c>
      <c r="BM2" t="s">
        <v>64</v>
      </c>
    </row>
    <row r="3" spans="1:65" x14ac:dyDescent="0.25">
      <c r="A3">
        <v>1</v>
      </c>
      <c r="B3" t="s">
        <v>65</v>
      </c>
      <c r="C3" t="s">
        <v>66</v>
      </c>
      <c r="D3" s="1">
        <v>46204</v>
      </c>
      <c r="E3" t="s">
        <v>67</v>
      </c>
      <c r="F3" t="s">
        <v>68</v>
      </c>
      <c r="G3" t="s">
        <v>69</v>
      </c>
      <c r="H3" t="s">
        <v>70</v>
      </c>
      <c r="I3" t="s">
        <v>71</v>
      </c>
      <c r="J3" t="s">
        <v>72</v>
      </c>
      <c r="K3" t="s">
        <v>73</v>
      </c>
      <c r="L3" t="s">
        <v>74</v>
      </c>
      <c r="M3" t="s">
        <v>75</v>
      </c>
      <c r="N3" t="s">
        <v>76</v>
      </c>
      <c r="O3" t="s">
        <v>77</v>
      </c>
      <c r="P3" t="s">
        <v>78</v>
      </c>
      <c r="Q3" t="s">
        <v>66</v>
      </c>
      <c r="R3" s="1">
        <v>46204</v>
      </c>
      <c r="S3" t="s">
        <v>79</v>
      </c>
      <c r="T3" t="s">
        <v>80</v>
      </c>
      <c r="U3" t="s">
        <v>66</v>
      </c>
      <c r="V3" t="s">
        <v>81</v>
      </c>
      <c r="W3" t="s">
        <v>66</v>
      </c>
      <c r="X3">
        <v>269200</v>
      </c>
      <c r="Y3">
        <v>29612</v>
      </c>
      <c r="Z3">
        <v>22200</v>
      </c>
      <c r="AA3">
        <v>2442</v>
      </c>
      <c r="AB3">
        <v>298812</v>
      </c>
      <c r="AC3">
        <v>3</v>
      </c>
      <c r="AD3" t="s">
        <v>82</v>
      </c>
      <c r="AE3">
        <v>3</v>
      </c>
      <c r="AF3" t="s">
        <v>83</v>
      </c>
      <c r="AG3">
        <f>IFERROR(VLOOKUP(AF3,[1]STOK!J:O,6,0),"")</f>
        <v>24</v>
      </c>
      <c r="AH3" s="2">
        <f>AE3/AG3</f>
        <v>0.125</v>
      </c>
      <c r="AI3" t="s">
        <v>83</v>
      </c>
      <c r="AJ3" t="s">
        <v>84</v>
      </c>
      <c r="AK3" t="s">
        <v>85</v>
      </c>
      <c r="AL3" t="s">
        <v>86</v>
      </c>
      <c r="AM3">
        <v>8214</v>
      </c>
      <c r="AN3">
        <f>BD3/AC3</f>
        <v>8214</v>
      </c>
      <c r="AO3" t="s">
        <v>66</v>
      </c>
      <c r="AP3">
        <v>0</v>
      </c>
      <c r="AQ3" t="s">
        <v>66</v>
      </c>
      <c r="AR3">
        <v>0</v>
      </c>
      <c r="AS3" t="s">
        <v>66</v>
      </c>
      <c r="AT3">
        <v>0</v>
      </c>
      <c r="AU3" t="s">
        <v>66</v>
      </c>
      <c r="AV3">
        <v>0</v>
      </c>
      <c r="AW3" t="s">
        <v>66</v>
      </c>
      <c r="AX3">
        <v>0</v>
      </c>
      <c r="AY3" t="s">
        <v>66</v>
      </c>
      <c r="AZ3">
        <v>0</v>
      </c>
      <c r="BA3" t="s">
        <v>66</v>
      </c>
      <c r="BB3">
        <v>0</v>
      </c>
      <c r="BC3">
        <v>0</v>
      </c>
      <c r="BD3">
        <v>24642</v>
      </c>
      <c r="BE3">
        <v>6704.84</v>
      </c>
      <c r="BF3">
        <v>0</v>
      </c>
      <c r="BG3" t="s">
        <v>87</v>
      </c>
      <c r="BH3" t="s">
        <v>66</v>
      </c>
      <c r="BI3">
        <v>0</v>
      </c>
      <c r="BJ3" t="s">
        <v>66</v>
      </c>
      <c r="BK3" t="s">
        <v>88</v>
      </c>
      <c r="BL3" t="s">
        <v>66</v>
      </c>
      <c r="BM3" t="s">
        <v>89</v>
      </c>
    </row>
    <row r="4" spans="1:65" x14ac:dyDescent="0.25">
      <c r="A4">
        <v>2</v>
      </c>
      <c r="B4" t="s">
        <v>65</v>
      </c>
      <c r="C4" t="s">
        <v>66</v>
      </c>
      <c r="D4" s="1">
        <v>46204</v>
      </c>
      <c r="E4" t="s">
        <v>67</v>
      </c>
      <c r="F4" t="s">
        <v>68</v>
      </c>
      <c r="G4" t="s">
        <v>69</v>
      </c>
      <c r="H4" t="s">
        <v>70</v>
      </c>
      <c r="I4" t="s">
        <v>71</v>
      </c>
      <c r="J4" t="s">
        <v>72</v>
      </c>
      <c r="K4" t="s">
        <v>73</v>
      </c>
      <c r="L4" t="s">
        <v>74</v>
      </c>
      <c r="M4" t="s">
        <v>75</v>
      </c>
      <c r="N4" t="s">
        <v>76</v>
      </c>
      <c r="O4" t="s">
        <v>77</v>
      </c>
      <c r="P4" t="s">
        <v>78</v>
      </c>
      <c r="Q4" t="s">
        <v>66</v>
      </c>
      <c r="R4" s="1">
        <v>46204</v>
      </c>
      <c r="S4" t="s">
        <v>79</v>
      </c>
      <c r="T4" t="s">
        <v>80</v>
      </c>
      <c r="U4" t="s">
        <v>66</v>
      </c>
      <c r="V4" t="s">
        <v>81</v>
      </c>
      <c r="W4" t="s">
        <v>66</v>
      </c>
      <c r="X4">
        <v>269200</v>
      </c>
      <c r="Y4">
        <v>29612</v>
      </c>
      <c r="Z4">
        <v>17100</v>
      </c>
      <c r="AA4">
        <v>1881</v>
      </c>
      <c r="AB4">
        <v>298812</v>
      </c>
      <c r="AC4">
        <v>3</v>
      </c>
      <c r="AD4" t="s">
        <v>82</v>
      </c>
      <c r="AE4">
        <v>3</v>
      </c>
      <c r="AF4" t="s">
        <v>90</v>
      </c>
      <c r="AG4">
        <f>IFERROR(VLOOKUP(AF4,[1]STOK!J:O,6,0),"")</f>
        <v>48</v>
      </c>
      <c r="AH4" s="2">
        <f t="shared" ref="AH4:AH67" si="0">AE4/AG4</f>
        <v>6.25E-2</v>
      </c>
      <c r="AI4" t="s">
        <v>90</v>
      </c>
      <c r="AJ4" t="s">
        <v>91</v>
      </c>
      <c r="AK4" t="s">
        <v>92</v>
      </c>
      <c r="AL4" t="s">
        <v>86</v>
      </c>
      <c r="AM4">
        <v>6327</v>
      </c>
      <c r="AN4">
        <f t="shared" ref="AN4:AN67" si="1">BD4/AC4</f>
        <v>6327</v>
      </c>
      <c r="AO4" t="s">
        <v>66</v>
      </c>
      <c r="AP4">
        <v>0</v>
      </c>
      <c r="AQ4" t="s">
        <v>66</v>
      </c>
      <c r="AR4">
        <v>0</v>
      </c>
      <c r="AS4" t="s">
        <v>66</v>
      </c>
      <c r="AT4">
        <v>0</v>
      </c>
      <c r="AU4" t="s">
        <v>66</v>
      </c>
      <c r="AV4">
        <v>0</v>
      </c>
      <c r="AW4" t="s">
        <v>66</v>
      </c>
      <c r="AX4">
        <v>0</v>
      </c>
      <c r="AY4" t="s">
        <v>66</v>
      </c>
      <c r="AZ4">
        <v>0</v>
      </c>
      <c r="BA4" t="s">
        <v>66</v>
      </c>
      <c r="BB4">
        <v>0</v>
      </c>
      <c r="BC4">
        <v>0</v>
      </c>
      <c r="BD4">
        <v>18981</v>
      </c>
      <c r="BE4">
        <v>4953.2299999999996</v>
      </c>
      <c r="BF4">
        <v>0</v>
      </c>
      <c r="BG4" t="s">
        <v>87</v>
      </c>
      <c r="BH4" t="s">
        <v>66</v>
      </c>
      <c r="BI4">
        <v>0</v>
      </c>
      <c r="BJ4" t="s">
        <v>66</v>
      </c>
      <c r="BK4" t="s">
        <v>88</v>
      </c>
      <c r="BL4" t="s">
        <v>66</v>
      </c>
      <c r="BM4" t="s">
        <v>89</v>
      </c>
    </row>
    <row r="5" spans="1:65" x14ac:dyDescent="0.25">
      <c r="A5">
        <v>3</v>
      </c>
      <c r="B5" t="s">
        <v>65</v>
      </c>
      <c r="C5" t="s">
        <v>66</v>
      </c>
      <c r="D5" s="1">
        <v>46204</v>
      </c>
      <c r="E5" t="s">
        <v>67</v>
      </c>
      <c r="F5" t="s">
        <v>68</v>
      </c>
      <c r="G5" t="s">
        <v>69</v>
      </c>
      <c r="H5" t="s">
        <v>70</v>
      </c>
      <c r="I5" t="s">
        <v>71</v>
      </c>
      <c r="J5" t="s">
        <v>72</v>
      </c>
      <c r="K5" t="s">
        <v>73</v>
      </c>
      <c r="L5" t="s">
        <v>74</v>
      </c>
      <c r="M5" t="s">
        <v>75</v>
      </c>
      <c r="N5" t="s">
        <v>76</v>
      </c>
      <c r="O5" t="s">
        <v>77</v>
      </c>
      <c r="P5" t="s">
        <v>78</v>
      </c>
      <c r="Q5" t="s">
        <v>66</v>
      </c>
      <c r="R5" s="1">
        <v>46204</v>
      </c>
      <c r="S5" t="s">
        <v>79</v>
      </c>
      <c r="T5" t="s">
        <v>80</v>
      </c>
      <c r="U5" t="s">
        <v>66</v>
      </c>
      <c r="V5" t="s">
        <v>81</v>
      </c>
      <c r="W5" t="s">
        <v>66</v>
      </c>
      <c r="X5">
        <v>269200</v>
      </c>
      <c r="Y5">
        <v>29612</v>
      </c>
      <c r="Z5">
        <v>49500</v>
      </c>
      <c r="AA5">
        <v>5445</v>
      </c>
      <c r="AB5">
        <v>298812</v>
      </c>
      <c r="AC5">
        <v>3</v>
      </c>
      <c r="AD5" t="s">
        <v>82</v>
      </c>
      <c r="AE5">
        <v>3</v>
      </c>
      <c r="AF5" t="s">
        <v>93</v>
      </c>
      <c r="AG5">
        <f>IFERROR(VLOOKUP(AF5,[1]STOK!J:O,6,0),"")</f>
        <v>24</v>
      </c>
      <c r="AH5" s="2">
        <f t="shared" si="0"/>
        <v>0.125</v>
      </c>
      <c r="AI5" t="s">
        <v>93</v>
      </c>
      <c r="AJ5" t="s">
        <v>94</v>
      </c>
      <c r="AK5" t="s">
        <v>95</v>
      </c>
      <c r="AL5" t="s">
        <v>86</v>
      </c>
      <c r="AM5">
        <v>18315</v>
      </c>
      <c r="AN5">
        <f t="shared" si="1"/>
        <v>18315</v>
      </c>
      <c r="AO5" t="s">
        <v>66</v>
      </c>
      <c r="AP5">
        <v>0</v>
      </c>
      <c r="AQ5" t="s">
        <v>66</v>
      </c>
      <c r="AR5">
        <v>0</v>
      </c>
      <c r="AS5" t="s">
        <v>66</v>
      </c>
      <c r="AT5">
        <v>0</v>
      </c>
      <c r="AU5" t="s">
        <v>66</v>
      </c>
      <c r="AV5">
        <v>0</v>
      </c>
      <c r="AW5" t="s">
        <v>66</v>
      </c>
      <c r="AX5">
        <v>0</v>
      </c>
      <c r="AY5" t="s">
        <v>66</v>
      </c>
      <c r="AZ5">
        <v>0</v>
      </c>
      <c r="BA5" t="s">
        <v>66</v>
      </c>
      <c r="BB5">
        <v>0</v>
      </c>
      <c r="BC5">
        <v>0</v>
      </c>
      <c r="BD5">
        <v>54945</v>
      </c>
      <c r="BE5">
        <v>14931.72</v>
      </c>
      <c r="BF5">
        <v>0</v>
      </c>
      <c r="BG5" t="s">
        <v>87</v>
      </c>
      <c r="BH5" t="s">
        <v>66</v>
      </c>
      <c r="BI5">
        <v>0</v>
      </c>
      <c r="BJ5" t="s">
        <v>66</v>
      </c>
      <c r="BK5" t="s">
        <v>88</v>
      </c>
      <c r="BL5" t="s">
        <v>66</v>
      </c>
      <c r="BM5" t="s">
        <v>89</v>
      </c>
    </row>
    <row r="6" spans="1:65" x14ac:dyDescent="0.25">
      <c r="A6">
        <v>4</v>
      </c>
      <c r="B6" t="s">
        <v>65</v>
      </c>
      <c r="C6" t="s">
        <v>66</v>
      </c>
      <c r="D6" s="1">
        <v>46204</v>
      </c>
      <c r="E6" t="s">
        <v>67</v>
      </c>
      <c r="F6" t="s">
        <v>68</v>
      </c>
      <c r="G6" t="s">
        <v>69</v>
      </c>
      <c r="H6" t="s">
        <v>70</v>
      </c>
      <c r="I6" t="s">
        <v>71</v>
      </c>
      <c r="J6" t="s">
        <v>72</v>
      </c>
      <c r="K6" t="s">
        <v>73</v>
      </c>
      <c r="L6" t="s">
        <v>74</v>
      </c>
      <c r="M6" t="s">
        <v>75</v>
      </c>
      <c r="N6" t="s">
        <v>76</v>
      </c>
      <c r="O6" t="s">
        <v>77</v>
      </c>
      <c r="P6" t="s">
        <v>78</v>
      </c>
      <c r="Q6" t="s">
        <v>66</v>
      </c>
      <c r="R6" s="1">
        <v>46204</v>
      </c>
      <c r="S6" t="s">
        <v>79</v>
      </c>
      <c r="T6" t="s">
        <v>80</v>
      </c>
      <c r="U6" t="s">
        <v>66</v>
      </c>
      <c r="V6" t="s">
        <v>81</v>
      </c>
      <c r="W6" t="s">
        <v>66</v>
      </c>
      <c r="X6">
        <v>269200</v>
      </c>
      <c r="Y6">
        <v>29612</v>
      </c>
      <c r="Z6">
        <v>49500</v>
      </c>
      <c r="AA6">
        <v>5445</v>
      </c>
      <c r="AB6">
        <v>298812</v>
      </c>
      <c r="AC6">
        <v>3</v>
      </c>
      <c r="AD6" t="s">
        <v>82</v>
      </c>
      <c r="AE6">
        <v>3</v>
      </c>
      <c r="AF6" t="s">
        <v>96</v>
      </c>
      <c r="AG6">
        <f>IFERROR(VLOOKUP(AF6,[1]STOK!J:O,6,0),"")</f>
        <v>24</v>
      </c>
      <c r="AH6" s="2">
        <f t="shared" si="0"/>
        <v>0.125</v>
      </c>
      <c r="AI6" t="s">
        <v>96</v>
      </c>
      <c r="AJ6" t="s">
        <v>97</v>
      </c>
      <c r="AK6" t="s">
        <v>98</v>
      </c>
      <c r="AL6" t="s">
        <v>86</v>
      </c>
      <c r="AM6">
        <v>18315</v>
      </c>
      <c r="AN6">
        <f t="shared" si="1"/>
        <v>18315</v>
      </c>
      <c r="AO6" t="s">
        <v>66</v>
      </c>
      <c r="AP6">
        <v>0</v>
      </c>
      <c r="AQ6" t="s">
        <v>66</v>
      </c>
      <c r="AR6">
        <v>0</v>
      </c>
      <c r="AS6" t="s">
        <v>66</v>
      </c>
      <c r="AT6">
        <v>0</v>
      </c>
      <c r="AU6" t="s">
        <v>66</v>
      </c>
      <c r="AV6">
        <v>0</v>
      </c>
      <c r="AW6" t="s">
        <v>66</v>
      </c>
      <c r="AX6">
        <v>0</v>
      </c>
      <c r="AY6" t="s">
        <v>66</v>
      </c>
      <c r="AZ6">
        <v>0</v>
      </c>
      <c r="BA6" t="s">
        <v>66</v>
      </c>
      <c r="BB6">
        <v>0</v>
      </c>
      <c r="BC6">
        <v>0</v>
      </c>
      <c r="BD6">
        <v>54945</v>
      </c>
      <c r="BE6">
        <v>14932.79</v>
      </c>
      <c r="BF6">
        <v>0</v>
      </c>
      <c r="BG6" t="s">
        <v>87</v>
      </c>
      <c r="BH6" t="s">
        <v>66</v>
      </c>
      <c r="BI6">
        <v>0</v>
      </c>
      <c r="BJ6" t="s">
        <v>66</v>
      </c>
      <c r="BK6" t="s">
        <v>88</v>
      </c>
      <c r="BL6" t="s">
        <v>66</v>
      </c>
      <c r="BM6" t="s">
        <v>89</v>
      </c>
    </row>
    <row r="7" spans="1:65" x14ac:dyDescent="0.25">
      <c r="A7">
        <v>5</v>
      </c>
      <c r="B7" t="s">
        <v>65</v>
      </c>
      <c r="C7" t="s">
        <v>66</v>
      </c>
      <c r="D7" s="1">
        <v>46204</v>
      </c>
      <c r="E7" t="s">
        <v>67</v>
      </c>
      <c r="F7" t="s">
        <v>68</v>
      </c>
      <c r="G7" t="s">
        <v>69</v>
      </c>
      <c r="H7" t="s">
        <v>70</v>
      </c>
      <c r="I7" t="s">
        <v>71</v>
      </c>
      <c r="J7" t="s">
        <v>72</v>
      </c>
      <c r="K7" t="s">
        <v>73</v>
      </c>
      <c r="L7" t="s">
        <v>74</v>
      </c>
      <c r="M7" t="s">
        <v>75</v>
      </c>
      <c r="N7" t="s">
        <v>76</v>
      </c>
      <c r="O7" t="s">
        <v>77</v>
      </c>
      <c r="P7" t="s">
        <v>78</v>
      </c>
      <c r="Q7" t="s">
        <v>66</v>
      </c>
      <c r="R7" s="1">
        <v>46204</v>
      </c>
      <c r="S7" t="s">
        <v>79</v>
      </c>
      <c r="T7" t="s">
        <v>80</v>
      </c>
      <c r="U7" t="s">
        <v>66</v>
      </c>
      <c r="V7" t="s">
        <v>81</v>
      </c>
      <c r="W7" t="s">
        <v>66</v>
      </c>
      <c r="X7">
        <v>269200</v>
      </c>
      <c r="Y7">
        <v>29612</v>
      </c>
      <c r="Z7">
        <v>49500</v>
      </c>
      <c r="AA7">
        <v>5445</v>
      </c>
      <c r="AB7">
        <v>298812</v>
      </c>
      <c r="AC7">
        <v>3</v>
      </c>
      <c r="AD7" t="s">
        <v>82</v>
      </c>
      <c r="AE7">
        <v>3</v>
      </c>
      <c r="AF7" t="s">
        <v>99</v>
      </c>
      <c r="AG7">
        <f>IFERROR(VLOOKUP(AF7,[1]STOK!J:O,6,0),"")</f>
        <v>24</v>
      </c>
      <c r="AH7" s="2">
        <f t="shared" si="0"/>
        <v>0.125</v>
      </c>
      <c r="AI7" t="s">
        <v>99</v>
      </c>
      <c r="AJ7" t="s">
        <v>100</v>
      </c>
      <c r="AK7" t="s">
        <v>101</v>
      </c>
      <c r="AL7" t="s">
        <v>86</v>
      </c>
      <c r="AM7">
        <v>18315</v>
      </c>
      <c r="AN7">
        <f t="shared" si="1"/>
        <v>18315</v>
      </c>
      <c r="AO7" t="s">
        <v>66</v>
      </c>
      <c r="AP7">
        <v>0</v>
      </c>
      <c r="AQ7" t="s">
        <v>66</v>
      </c>
      <c r="AR7">
        <v>0</v>
      </c>
      <c r="AS7" t="s">
        <v>66</v>
      </c>
      <c r="AT7">
        <v>0</v>
      </c>
      <c r="AU7" t="s">
        <v>66</v>
      </c>
      <c r="AV7">
        <v>0</v>
      </c>
      <c r="AW7" t="s">
        <v>66</v>
      </c>
      <c r="AX7">
        <v>0</v>
      </c>
      <c r="AY7" t="s">
        <v>66</v>
      </c>
      <c r="AZ7">
        <v>0</v>
      </c>
      <c r="BA7" t="s">
        <v>66</v>
      </c>
      <c r="BB7">
        <v>0</v>
      </c>
      <c r="BC7">
        <v>0</v>
      </c>
      <c r="BD7">
        <v>54945</v>
      </c>
      <c r="BE7">
        <v>14915.33</v>
      </c>
      <c r="BF7">
        <v>0</v>
      </c>
      <c r="BG7" t="s">
        <v>87</v>
      </c>
      <c r="BH7" t="s">
        <v>66</v>
      </c>
      <c r="BI7">
        <v>0</v>
      </c>
      <c r="BJ7" t="s">
        <v>66</v>
      </c>
      <c r="BK7" t="s">
        <v>88</v>
      </c>
      <c r="BL7" t="s">
        <v>66</v>
      </c>
      <c r="BM7" t="s">
        <v>89</v>
      </c>
    </row>
    <row r="8" spans="1:65" x14ac:dyDescent="0.25">
      <c r="A8">
        <v>6</v>
      </c>
      <c r="B8" t="s">
        <v>65</v>
      </c>
      <c r="C8" t="s">
        <v>66</v>
      </c>
      <c r="D8" s="1">
        <v>46204</v>
      </c>
      <c r="E8" t="s">
        <v>67</v>
      </c>
      <c r="F8" t="s">
        <v>68</v>
      </c>
      <c r="G8" t="s">
        <v>69</v>
      </c>
      <c r="H8" t="s">
        <v>70</v>
      </c>
      <c r="I8" t="s">
        <v>71</v>
      </c>
      <c r="J8" t="s">
        <v>72</v>
      </c>
      <c r="K8" t="s">
        <v>73</v>
      </c>
      <c r="L8" t="s">
        <v>74</v>
      </c>
      <c r="M8" t="s">
        <v>75</v>
      </c>
      <c r="N8" t="s">
        <v>76</v>
      </c>
      <c r="O8" t="s">
        <v>77</v>
      </c>
      <c r="P8" t="s">
        <v>78</v>
      </c>
      <c r="Q8" t="s">
        <v>66</v>
      </c>
      <c r="R8" s="1">
        <v>46204</v>
      </c>
      <c r="S8" t="s">
        <v>79</v>
      </c>
      <c r="T8" t="s">
        <v>80</v>
      </c>
      <c r="U8" t="s">
        <v>66</v>
      </c>
      <c r="V8" t="s">
        <v>81</v>
      </c>
      <c r="W8" t="s">
        <v>66</v>
      </c>
      <c r="X8">
        <v>269200</v>
      </c>
      <c r="Y8">
        <v>29612</v>
      </c>
      <c r="Z8">
        <v>40000</v>
      </c>
      <c r="AA8">
        <v>4400</v>
      </c>
      <c r="AB8">
        <v>298812</v>
      </c>
      <c r="AC8">
        <v>2</v>
      </c>
      <c r="AD8" t="s">
        <v>82</v>
      </c>
      <c r="AE8">
        <v>2</v>
      </c>
      <c r="AF8" t="s">
        <v>102</v>
      </c>
      <c r="AG8">
        <f>IFERROR(VLOOKUP(AF8,[1]STOK!J:O,6,0),"")</f>
        <v>12</v>
      </c>
      <c r="AH8" s="2">
        <f t="shared" si="0"/>
        <v>0.16666666666666666</v>
      </c>
      <c r="AI8" t="s">
        <v>102</v>
      </c>
      <c r="AJ8" t="s">
        <v>103</v>
      </c>
      <c r="AK8" t="s">
        <v>104</v>
      </c>
      <c r="AL8" t="s">
        <v>86</v>
      </c>
      <c r="AM8">
        <v>22200</v>
      </c>
      <c r="AN8">
        <f t="shared" si="1"/>
        <v>22200</v>
      </c>
      <c r="AO8" t="s">
        <v>66</v>
      </c>
      <c r="AP8">
        <v>0</v>
      </c>
      <c r="AQ8" t="s">
        <v>66</v>
      </c>
      <c r="AR8">
        <v>0</v>
      </c>
      <c r="AS8" t="s">
        <v>66</v>
      </c>
      <c r="AT8">
        <v>0</v>
      </c>
      <c r="AU8" t="s">
        <v>66</v>
      </c>
      <c r="AV8">
        <v>0</v>
      </c>
      <c r="AW8" t="s">
        <v>66</v>
      </c>
      <c r="AX8">
        <v>0</v>
      </c>
      <c r="AY8" t="s">
        <v>66</v>
      </c>
      <c r="AZ8">
        <v>0</v>
      </c>
      <c r="BA8" t="s">
        <v>66</v>
      </c>
      <c r="BB8">
        <v>0</v>
      </c>
      <c r="BC8">
        <v>0</v>
      </c>
      <c r="BD8">
        <v>44400</v>
      </c>
      <c r="BE8">
        <v>18040.98</v>
      </c>
      <c r="BF8">
        <v>0</v>
      </c>
      <c r="BG8" t="s">
        <v>87</v>
      </c>
      <c r="BH8" t="s">
        <v>66</v>
      </c>
      <c r="BI8">
        <v>0</v>
      </c>
      <c r="BJ8" t="s">
        <v>66</v>
      </c>
      <c r="BK8" t="s">
        <v>88</v>
      </c>
      <c r="BL8" t="s">
        <v>66</v>
      </c>
      <c r="BM8" t="s">
        <v>89</v>
      </c>
    </row>
    <row r="9" spans="1:65" x14ac:dyDescent="0.25">
      <c r="A9">
        <v>7</v>
      </c>
      <c r="B9" t="s">
        <v>65</v>
      </c>
      <c r="C9" t="s">
        <v>66</v>
      </c>
      <c r="D9" s="1">
        <v>46204</v>
      </c>
      <c r="E9" t="s">
        <v>67</v>
      </c>
      <c r="F9" t="s">
        <v>68</v>
      </c>
      <c r="G9" t="s">
        <v>69</v>
      </c>
      <c r="H9" t="s">
        <v>70</v>
      </c>
      <c r="I9" t="s">
        <v>71</v>
      </c>
      <c r="J9" t="s">
        <v>72</v>
      </c>
      <c r="K9" t="s">
        <v>73</v>
      </c>
      <c r="L9" t="s">
        <v>74</v>
      </c>
      <c r="M9" t="s">
        <v>75</v>
      </c>
      <c r="N9" t="s">
        <v>76</v>
      </c>
      <c r="O9" t="s">
        <v>77</v>
      </c>
      <c r="P9" t="s">
        <v>78</v>
      </c>
      <c r="Q9" t="s">
        <v>66</v>
      </c>
      <c r="R9" s="1">
        <v>46204</v>
      </c>
      <c r="S9" t="s">
        <v>79</v>
      </c>
      <c r="T9" t="s">
        <v>80</v>
      </c>
      <c r="U9" t="s">
        <v>66</v>
      </c>
      <c r="V9" t="s">
        <v>81</v>
      </c>
      <c r="W9" t="s">
        <v>66</v>
      </c>
      <c r="X9">
        <v>269200</v>
      </c>
      <c r="Y9">
        <v>29612</v>
      </c>
      <c r="Z9">
        <v>41400</v>
      </c>
      <c r="AA9">
        <v>4554</v>
      </c>
      <c r="AB9">
        <v>298812</v>
      </c>
      <c r="AC9">
        <v>3</v>
      </c>
      <c r="AD9" t="s">
        <v>82</v>
      </c>
      <c r="AE9">
        <v>3</v>
      </c>
      <c r="AF9" t="s">
        <v>105</v>
      </c>
      <c r="AG9">
        <f>IFERROR(VLOOKUP(AF9,[1]STOK!J:O,6,0),"")</f>
        <v>12</v>
      </c>
      <c r="AH9" s="2">
        <f t="shared" si="0"/>
        <v>0.25</v>
      </c>
      <c r="AI9" t="s">
        <v>105</v>
      </c>
      <c r="AJ9" t="s">
        <v>106</v>
      </c>
      <c r="AK9" t="s">
        <v>107</v>
      </c>
      <c r="AL9" t="s">
        <v>86</v>
      </c>
      <c r="AM9">
        <v>15318</v>
      </c>
      <c r="AN9">
        <f t="shared" si="1"/>
        <v>15318</v>
      </c>
      <c r="AO9" t="s">
        <v>66</v>
      </c>
      <c r="AP9">
        <v>0</v>
      </c>
      <c r="AQ9" t="s">
        <v>66</v>
      </c>
      <c r="AR9">
        <v>0</v>
      </c>
      <c r="AS9" t="s">
        <v>66</v>
      </c>
      <c r="AT9">
        <v>0</v>
      </c>
      <c r="AU9" t="s">
        <v>66</v>
      </c>
      <c r="AV9">
        <v>0</v>
      </c>
      <c r="AW9" t="s">
        <v>66</v>
      </c>
      <c r="AX9">
        <v>0</v>
      </c>
      <c r="AY9" t="s">
        <v>66</v>
      </c>
      <c r="AZ9">
        <v>0</v>
      </c>
      <c r="BA9" t="s">
        <v>66</v>
      </c>
      <c r="BB9">
        <v>0</v>
      </c>
      <c r="BC9">
        <v>0</v>
      </c>
      <c r="BD9">
        <v>45954</v>
      </c>
      <c r="BE9">
        <v>12446.78</v>
      </c>
      <c r="BF9">
        <v>0</v>
      </c>
      <c r="BG9" t="s">
        <v>87</v>
      </c>
      <c r="BH9" t="s">
        <v>66</v>
      </c>
      <c r="BI9">
        <v>0</v>
      </c>
      <c r="BJ9" t="s">
        <v>66</v>
      </c>
      <c r="BK9" t="s">
        <v>88</v>
      </c>
      <c r="BL9" t="s">
        <v>66</v>
      </c>
      <c r="BM9" t="s">
        <v>89</v>
      </c>
    </row>
    <row r="10" spans="1:65" x14ac:dyDescent="0.25">
      <c r="A10">
        <v>8</v>
      </c>
      <c r="B10" t="s">
        <v>108</v>
      </c>
      <c r="C10" t="s">
        <v>66</v>
      </c>
      <c r="D10" s="1">
        <v>46205</v>
      </c>
      <c r="E10" t="s">
        <v>109</v>
      </c>
      <c r="F10" t="s">
        <v>68</v>
      </c>
      <c r="G10" t="s">
        <v>69</v>
      </c>
      <c r="H10" t="s">
        <v>70</v>
      </c>
      <c r="I10" t="s">
        <v>71</v>
      </c>
      <c r="J10" t="s">
        <v>72</v>
      </c>
      <c r="K10" t="s">
        <v>73</v>
      </c>
      <c r="L10" t="s">
        <v>74</v>
      </c>
      <c r="M10" t="s">
        <v>110</v>
      </c>
      <c r="N10" t="s">
        <v>111</v>
      </c>
      <c r="O10" t="s">
        <v>112</v>
      </c>
      <c r="P10" t="s">
        <v>113</v>
      </c>
      <c r="Q10" t="s">
        <v>66</v>
      </c>
      <c r="R10" s="1">
        <v>46205</v>
      </c>
      <c r="S10" t="s">
        <v>114</v>
      </c>
      <c r="T10" t="s">
        <v>113</v>
      </c>
      <c r="U10" t="s">
        <v>66</v>
      </c>
      <c r="V10" t="s">
        <v>115</v>
      </c>
      <c r="W10" t="s">
        <v>66</v>
      </c>
      <c r="X10">
        <v>802965</v>
      </c>
      <c r="Y10">
        <v>88326.15</v>
      </c>
      <c r="Z10">
        <v>54924</v>
      </c>
      <c r="AA10">
        <v>6041.64</v>
      </c>
      <c r="AB10">
        <v>891291.15</v>
      </c>
      <c r="AC10">
        <v>3</v>
      </c>
      <c r="AD10" t="s">
        <v>82</v>
      </c>
      <c r="AE10">
        <v>3</v>
      </c>
      <c r="AF10" t="s">
        <v>116</v>
      </c>
      <c r="AG10">
        <f>IFERROR(VLOOKUP(AF10,[1]STOK!J:O,6,0),"")</f>
        <v>12</v>
      </c>
      <c r="AH10" s="2">
        <f t="shared" si="0"/>
        <v>0.25</v>
      </c>
      <c r="AI10" t="s">
        <v>116</v>
      </c>
      <c r="AJ10" t="s">
        <v>117</v>
      </c>
      <c r="AK10" t="s">
        <v>118</v>
      </c>
      <c r="AL10" t="s">
        <v>86</v>
      </c>
      <c r="AM10">
        <v>20424</v>
      </c>
      <c r="AN10">
        <f t="shared" si="1"/>
        <v>20321.88</v>
      </c>
      <c r="AO10" t="s">
        <v>66</v>
      </c>
      <c r="AP10">
        <v>0.5</v>
      </c>
      <c r="AQ10" t="s">
        <v>66</v>
      </c>
      <c r="AR10">
        <v>0</v>
      </c>
      <c r="AS10" t="s">
        <v>66</v>
      </c>
      <c r="AT10">
        <v>0</v>
      </c>
      <c r="AU10" t="s">
        <v>66</v>
      </c>
      <c r="AV10">
        <v>0</v>
      </c>
      <c r="AW10" t="s">
        <v>66</v>
      </c>
      <c r="AX10">
        <v>0</v>
      </c>
      <c r="AY10" t="s">
        <v>66</v>
      </c>
      <c r="AZ10">
        <v>0</v>
      </c>
      <c r="BA10" t="s">
        <v>66</v>
      </c>
      <c r="BB10">
        <v>0</v>
      </c>
      <c r="BC10">
        <v>0</v>
      </c>
      <c r="BD10">
        <v>60965.64</v>
      </c>
      <c r="BE10">
        <v>16534.41</v>
      </c>
      <c r="BF10">
        <v>0</v>
      </c>
      <c r="BG10" t="s">
        <v>87</v>
      </c>
      <c r="BH10" t="s">
        <v>66</v>
      </c>
      <c r="BI10">
        <v>0</v>
      </c>
      <c r="BJ10" t="s">
        <v>66</v>
      </c>
      <c r="BK10" t="s">
        <v>88</v>
      </c>
      <c r="BL10" t="s">
        <v>66</v>
      </c>
      <c r="BM10" t="s">
        <v>89</v>
      </c>
    </row>
    <row r="11" spans="1:65" x14ac:dyDescent="0.25">
      <c r="A11">
        <v>9</v>
      </c>
      <c r="B11" t="s">
        <v>108</v>
      </c>
      <c r="C11" t="s">
        <v>66</v>
      </c>
      <c r="D11" s="1">
        <v>46205</v>
      </c>
      <c r="E11" t="s">
        <v>109</v>
      </c>
      <c r="F11" t="s">
        <v>68</v>
      </c>
      <c r="G11" t="s">
        <v>69</v>
      </c>
      <c r="H11" t="s">
        <v>70</v>
      </c>
      <c r="I11" t="s">
        <v>71</v>
      </c>
      <c r="J11" t="s">
        <v>72</v>
      </c>
      <c r="K11" t="s">
        <v>73</v>
      </c>
      <c r="L11" t="s">
        <v>74</v>
      </c>
      <c r="M11" t="s">
        <v>110</v>
      </c>
      <c r="N11" t="s">
        <v>111</v>
      </c>
      <c r="O11" t="s">
        <v>112</v>
      </c>
      <c r="P11" t="s">
        <v>113</v>
      </c>
      <c r="Q11" t="s">
        <v>66</v>
      </c>
      <c r="R11" s="1">
        <v>46205</v>
      </c>
      <c r="S11" t="s">
        <v>114</v>
      </c>
      <c r="T11" t="s">
        <v>113</v>
      </c>
      <c r="U11" t="s">
        <v>66</v>
      </c>
      <c r="V11" t="s">
        <v>115</v>
      </c>
      <c r="W11" t="s">
        <v>66</v>
      </c>
      <c r="X11">
        <v>802965</v>
      </c>
      <c r="Y11">
        <v>88326.15</v>
      </c>
      <c r="Z11">
        <v>44178</v>
      </c>
      <c r="AA11">
        <v>4859.58</v>
      </c>
      <c r="AB11">
        <v>891291.15</v>
      </c>
      <c r="AC11">
        <v>6</v>
      </c>
      <c r="AD11" t="s">
        <v>82</v>
      </c>
      <c r="AE11">
        <v>6</v>
      </c>
      <c r="AF11" t="s">
        <v>83</v>
      </c>
      <c r="AG11">
        <f>IFERROR(VLOOKUP(AF11,[1]STOK!J:O,6,0),"")</f>
        <v>24</v>
      </c>
      <c r="AH11" s="2">
        <f t="shared" si="0"/>
        <v>0.25</v>
      </c>
      <c r="AI11" t="s">
        <v>83</v>
      </c>
      <c r="AJ11" t="s">
        <v>84</v>
      </c>
      <c r="AK11" t="s">
        <v>85</v>
      </c>
      <c r="AL11" t="s">
        <v>86</v>
      </c>
      <c r="AM11">
        <v>8214</v>
      </c>
      <c r="AN11">
        <f t="shared" si="1"/>
        <v>8172.93</v>
      </c>
      <c r="AO11" t="s">
        <v>66</v>
      </c>
      <c r="AP11">
        <v>0.5</v>
      </c>
      <c r="AQ11" t="s">
        <v>66</v>
      </c>
      <c r="AR11">
        <v>0</v>
      </c>
      <c r="AS11" t="s">
        <v>66</v>
      </c>
      <c r="AT11">
        <v>0</v>
      </c>
      <c r="AU11" t="s">
        <v>66</v>
      </c>
      <c r="AV11">
        <v>0</v>
      </c>
      <c r="AW11" t="s">
        <v>66</v>
      </c>
      <c r="AX11">
        <v>0</v>
      </c>
      <c r="AY11" t="s">
        <v>66</v>
      </c>
      <c r="AZ11">
        <v>0</v>
      </c>
      <c r="BA11" t="s">
        <v>66</v>
      </c>
      <c r="BB11">
        <v>0</v>
      </c>
      <c r="BC11">
        <v>0</v>
      </c>
      <c r="BD11">
        <v>49037.58</v>
      </c>
      <c r="BE11">
        <v>6704.84</v>
      </c>
      <c r="BF11">
        <v>0</v>
      </c>
      <c r="BG11" t="s">
        <v>87</v>
      </c>
      <c r="BH11" t="s">
        <v>66</v>
      </c>
      <c r="BI11">
        <v>0</v>
      </c>
      <c r="BJ11" t="s">
        <v>66</v>
      </c>
      <c r="BK11" t="s">
        <v>88</v>
      </c>
      <c r="BL11" t="s">
        <v>66</v>
      </c>
      <c r="BM11" t="s">
        <v>89</v>
      </c>
    </row>
    <row r="12" spans="1:65" x14ac:dyDescent="0.25">
      <c r="A12">
        <v>10</v>
      </c>
      <c r="B12" t="s">
        <v>108</v>
      </c>
      <c r="C12" t="s">
        <v>66</v>
      </c>
      <c r="D12" s="1">
        <v>46205</v>
      </c>
      <c r="E12" t="s">
        <v>109</v>
      </c>
      <c r="F12" t="s">
        <v>68</v>
      </c>
      <c r="G12" t="s">
        <v>69</v>
      </c>
      <c r="H12" t="s">
        <v>70</v>
      </c>
      <c r="I12" t="s">
        <v>71</v>
      </c>
      <c r="J12" t="s">
        <v>72</v>
      </c>
      <c r="K12" t="s">
        <v>73</v>
      </c>
      <c r="L12" t="s">
        <v>74</v>
      </c>
      <c r="M12" t="s">
        <v>110</v>
      </c>
      <c r="N12" t="s">
        <v>111</v>
      </c>
      <c r="O12" t="s">
        <v>112</v>
      </c>
      <c r="P12" t="s">
        <v>113</v>
      </c>
      <c r="Q12" t="s">
        <v>66</v>
      </c>
      <c r="R12" s="1">
        <v>46205</v>
      </c>
      <c r="S12" t="s">
        <v>114</v>
      </c>
      <c r="T12" t="s">
        <v>113</v>
      </c>
      <c r="U12" t="s">
        <v>66</v>
      </c>
      <c r="V12" t="s">
        <v>115</v>
      </c>
      <c r="W12" t="s">
        <v>66</v>
      </c>
      <c r="X12">
        <v>802965</v>
      </c>
      <c r="Y12">
        <v>88326.15</v>
      </c>
      <c r="Z12">
        <v>44178</v>
      </c>
      <c r="AA12">
        <v>4859.58</v>
      </c>
      <c r="AB12">
        <v>891291.15</v>
      </c>
      <c r="AC12">
        <v>3</v>
      </c>
      <c r="AD12" t="s">
        <v>82</v>
      </c>
      <c r="AE12">
        <v>3</v>
      </c>
      <c r="AF12" t="s">
        <v>119</v>
      </c>
      <c r="AG12">
        <f>IFERROR(VLOOKUP(AF12,[1]STOK!J:O,6,0),"")</f>
        <v>12</v>
      </c>
      <c r="AH12" s="2">
        <f t="shared" si="0"/>
        <v>0.25</v>
      </c>
      <c r="AI12" t="s">
        <v>119</v>
      </c>
      <c r="AJ12" t="s">
        <v>120</v>
      </c>
      <c r="AK12" t="s">
        <v>121</v>
      </c>
      <c r="AL12" t="s">
        <v>86</v>
      </c>
      <c r="AM12">
        <v>16428</v>
      </c>
      <c r="AN12">
        <f t="shared" si="1"/>
        <v>16345.86</v>
      </c>
      <c r="AO12" t="s">
        <v>66</v>
      </c>
      <c r="AP12">
        <v>0.5</v>
      </c>
      <c r="AQ12" t="s">
        <v>66</v>
      </c>
      <c r="AR12">
        <v>0</v>
      </c>
      <c r="AS12" t="s">
        <v>66</v>
      </c>
      <c r="AT12">
        <v>0</v>
      </c>
      <c r="AU12" t="s">
        <v>66</v>
      </c>
      <c r="AV12">
        <v>0</v>
      </c>
      <c r="AW12" t="s">
        <v>66</v>
      </c>
      <c r="AX12">
        <v>0</v>
      </c>
      <c r="AY12" t="s">
        <v>66</v>
      </c>
      <c r="AZ12">
        <v>0</v>
      </c>
      <c r="BA12" t="s">
        <v>66</v>
      </c>
      <c r="BB12">
        <v>0</v>
      </c>
      <c r="BC12">
        <v>0</v>
      </c>
      <c r="BD12">
        <v>49037.58</v>
      </c>
      <c r="BE12">
        <v>13306.83</v>
      </c>
      <c r="BF12">
        <v>0</v>
      </c>
      <c r="BG12" t="s">
        <v>87</v>
      </c>
      <c r="BH12" t="s">
        <v>66</v>
      </c>
      <c r="BI12">
        <v>0</v>
      </c>
      <c r="BJ12" t="s">
        <v>66</v>
      </c>
      <c r="BK12" t="s">
        <v>88</v>
      </c>
      <c r="BL12" t="s">
        <v>66</v>
      </c>
      <c r="BM12" t="s">
        <v>89</v>
      </c>
    </row>
    <row r="13" spans="1:65" x14ac:dyDescent="0.25">
      <c r="A13">
        <v>11</v>
      </c>
      <c r="B13" t="s">
        <v>108</v>
      </c>
      <c r="C13" t="s">
        <v>66</v>
      </c>
      <c r="D13" s="1">
        <v>46205</v>
      </c>
      <c r="E13" t="s">
        <v>109</v>
      </c>
      <c r="F13" t="s">
        <v>68</v>
      </c>
      <c r="G13" t="s">
        <v>69</v>
      </c>
      <c r="H13" t="s">
        <v>70</v>
      </c>
      <c r="I13" t="s">
        <v>71</v>
      </c>
      <c r="J13" t="s">
        <v>72</v>
      </c>
      <c r="K13" t="s">
        <v>73</v>
      </c>
      <c r="L13" t="s">
        <v>74</v>
      </c>
      <c r="M13" t="s">
        <v>110</v>
      </c>
      <c r="N13" t="s">
        <v>111</v>
      </c>
      <c r="O13" t="s">
        <v>112</v>
      </c>
      <c r="P13" t="s">
        <v>113</v>
      </c>
      <c r="Q13" t="s">
        <v>66</v>
      </c>
      <c r="R13" s="1">
        <v>46205</v>
      </c>
      <c r="S13" t="s">
        <v>114</v>
      </c>
      <c r="T13" t="s">
        <v>113</v>
      </c>
      <c r="U13" t="s">
        <v>66</v>
      </c>
      <c r="V13" t="s">
        <v>115</v>
      </c>
      <c r="W13" t="s">
        <v>66</v>
      </c>
      <c r="X13">
        <v>802965</v>
      </c>
      <c r="Y13">
        <v>88326.15</v>
      </c>
      <c r="Z13">
        <v>67461</v>
      </c>
      <c r="AA13">
        <v>7420.71</v>
      </c>
      <c r="AB13">
        <v>891291.15</v>
      </c>
      <c r="AC13">
        <v>6</v>
      </c>
      <c r="AD13" t="s">
        <v>82</v>
      </c>
      <c r="AE13">
        <v>6</v>
      </c>
      <c r="AF13" t="s">
        <v>122</v>
      </c>
      <c r="AG13">
        <f>IFERROR(VLOOKUP(AF13,[1]STOK!J:O,6,0),"")</f>
        <v>24</v>
      </c>
      <c r="AH13" s="2">
        <f t="shared" si="0"/>
        <v>0.25</v>
      </c>
      <c r="AI13" t="s">
        <v>122</v>
      </c>
      <c r="AJ13" t="s">
        <v>123</v>
      </c>
      <c r="AK13" t="s">
        <v>124</v>
      </c>
      <c r="AL13" t="s">
        <v>86</v>
      </c>
      <c r="AM13">
        <v>12543</v>
      </c>
      <c r="AN13">
        <f t="shared" si="1"/>
        <v>12480.285000000002</v>
      </c>
      <c r="AO13" t="s">
        <v>66</v>
      </c>
      <c r="AP13">
        <v>0.5</v>
      </c>
      <c r="AQ13" t="s">
        <v>66</v>
      </c>
      <c r="AR13">
        <v>0</v>
      </c>
      <c r="AS13" t="s">
        <v>66</v>
      </c>
      <c r="AT13">
        <v>0</v>
      </c>
      <c r="AU13" t="s">
        <v>66</v>
      </c>
      <c r="AV13">
        <v>0</v>
      </c>
      <c r="AW13" t="s">
        <v>66</v>
      </c>
      <c r="AX13">
        <v>0</v>
      </c>
      <c r="AY13" t="s">
        <v>66</v>
      </c>
      <c r="AZ13">
        <v>0</v>
      </c>
      <c r="BA13" t="s">
        <v>66</v>
      </c>
      <c r="BB13">
        <v>0</v>
      </c>
      <c r="BC13">
        <v>0</v>
      </c>
      <c r="BD13">
        <v>74881.710000000006</v>
      </c>
      <c r="BE13">
        <v>10140.08</v>
      </c>
      <c r="BF13">
        <v>0</v>
      </c>
      <c r="BG13" t="s">
        <v>87</v>
      </c>
      <c r="BH13" t="s">
        <v>66</v>
      </c>
      <c r="BI13">
        <v>0</v>
      </c>
      <c r="BJ13" t="s">
        <v>66</v>
      </c>
      <c r="BK13" t="s">
        <v>88</v>
      </c>
      <c r="BL13" t="s">
        <v>66</v>
      </c>
      <c r="BM13" t="s">
        <v>89</v>
      </c>
    </row>
    <row r="14" spans="1:65" x14ac:dyDescent="0.25">
      <c r="A14">
        <v>12</v>
      </c>
      <c r="B14" t="s">
        <v>108</v>
      </c>
      <c r="C14" t="s">
        <v>66</v>
      </c>
      <c r="D14" s="1">
        <v>46205</v>
      </c>
      <c r="E14" t="s">
        <v>109</v>
      </c>
      <c r="F14" t="s">
        <v>68</v>
      </c>
      <c r="G14" t="s">
        <v>69</v>
      </c>
      <c r="H14" t="s">
        <v>70</v>
      </c>
      <c r="I14" t="s">
        <v>71</v>
      </c>
      <c r="J14" t="s">
        <v>72</v>
      </c>
      <c r="K14" t="s">
        <v>73</v>
      </c>
      <c r="L14" t="s">
        <v>74</v>
      </c>
      <c r="M14" t="s">
        <v>110</v>
      </c>
      <c r="N14" t="s">
        <v>111</v>
      </c>
      <c r="O14" t="s">
        <v>112</v>
      </c>
      <c r="P14" t="s">
        <v>113</v>
      </c>
      <c r="Q14" t="s">
        <v>66</v>
      </c>
      <c r="R14" s="1">
        <v>46205</v>
      </c>
      <c r="S14" t="s">
        <v>114</v>
      </c>
      <c r="T14" t="s">
        <v>113</v>
      </c>
      <c r="U14" t="s">
        <v>66</v>
      </c>
      <c r="V14" t="s">
        <v>115</v>
      </c>
      <c r="W14" t="s">
        <v>66</v>
      </c>
      <c r="X14">
        <v>802965</v>
      </c>
      <c r="Y14">
        <v>88326.15</v>
      </c>
      <c r="Z14">
        <v>72834</v>
      </c>
      <c r="AA14">
        <v>8011.74</v>
      </c>
      <c r="AB14">
        <v>891291.15</v>
      </c>
      <c r="AC14">
        <v>12</v>
      </c>
      <c r="AD14" t="s">
        <v>82</v>
      </c>
      <c r="AE14">
        <v>12</v>
      </c>
      <c r="AF14" t="s">
        <v>125</v>
      </c>
      <c r="AG14">
        <f>IFERROR(VLOOKUP(AF14,[1]STOK!J:O,6,0),"")</f>
        <v>48</v>
      </c>
      <c r="AH14" s="2">
        <f t="shared" si="0"/>
        <v>0.25</v>
      </c>
      <c r="AI14" t="s">
        <v>125</v>
      </c>
      <c r="AJ14" t="s">
        <v>126</v>
      </c>
      <c r="AK14" t="s">
        <v>127</v>
      </c>
      <c r="AL14" t="s">
        <v>86</v>
      </c>
      <c r="AM14">
        <v>6771</v>
      </c>
      <c r="AN14">
        <f t="shared" si="1"/>
        <v>6737.1450000000004</v>
      </c>
      <c r="AO14" t="s">
        <v>66</v>
      </c>
      <c r="AP14">
        <v>0.5</v>
      </c>
      <c r="AQ14" t="s">
        <v>66</v>
      </c>
      <c r="AR14">
        <v>0</v>
      </c>
      <c r="AS14" t="s">
        <v>66</v>
      </c>
      <c r="AT14">
        <v>0</v>
      </c>
      <c r="AU14" t="s">
        <v>66</v>
      </c>
      <c r="AV14">
        <v>0</v>
      </c>
      <c r="AW14" t="s">
        <v>66</v>
      </c>
      <c r="AX14">
        <v>0</v>
      </c>
      <c r="AY14" t="s">
        <v>66</v>
      </c>
      <c r="AZ14">
        <v>0</v>
      </c>
      <c r="BA14" t="s">
        <v>66</v>
      </c>
      <c r="BB14">
        <v>0</v>
      </c>
      <c r="BC14">
        <v>0</v>
      </c>
      <c r="BD14">
        <v>80845.740000000005</v>
      </c>
      <c r="BE14">
        <v>5409.43</v>
      </c>
      <c r="BF14">
        <v>0</v>
      </c>
      <c r="BG14" t="s">
        <v>87</v>
      </c>
      <c r="BH14" t="s">
        <v>66</v>
      </c>
      <c r="BI14">
        <v>0</v>
      </c>
      <c r="BJ14" t="s">
        <v>66</v>
      </c>
      <c r="BK14" t="s">
        <v>88</v>
      </c>
      <c r="BL14" t="s">
        <v>66</v>
      </c>
      <c r="BM14" t="s">
        <v>89</v>
      </c>
    </row>
    <row r="15" spans="1:65" x14ac:dyDescent="0.25">
      <c r="A15">
        <v>13</v>
      </c>
      <c r="B15" t="s">
        <v>108</v>
      </c>
      <c r="C15" t="s">
        <v>66</v>
      </c>
      <c r="D15" s="1">
        <v>46205</v>
      </c>
      <c r="E15" t="s">
        <v>109</v>
      </c>
      <c r="F15" t="s">
        <v>68</v>
      </c>
      <c r="G15" t="s">
        <v>69</v>
      </c>
      <c r="H15" t="s">
        <v>70</v>
      </c>
      <c r="I15" t="s">
        <v>71</v>
      </c>
      <c r="J15" t="s">
        <v>72</v>
      </c>
      <c r="K15" t="s">
        <v>73</v>
      </c>
      <c r="L15" t="s">
        <v>74</v>
      </c>
      <c r="M15" t="s">
        <v>110</v>
      </c>
      <c r="N15" t="s">
        <v>111</v>
      </c>
      <c r="O15" t="s">
        <v>112</v>
      </c>
      <c r="P15" t="s">
        <v>113</v>
      </c>
      <c r="Q15" t="s">
        <v>66</v>
      </c>
      <c r="R15" s="1">
        <v>46205</v>
      </c>
      <c r="S15" t="s">
        <v>114</v>
      </c>
      <c r="T15" t="s">
        <v>113</v>
      </c>
      <c r="U15" t="s">
        <v>66</v>
      </c>
      <c r="V15" t="s">
        <v>115</v>
      </c>
      <c r="W15" t="s">
        <v>66</v>
      </c>
      <c r="X15">
        <v>802965</v>
      </c>
      <c r="Y15">
        <v>88326.15</v>
      </c>
      <c r="Z15">
        <v>49252.5</v>
      </c>
      <c r="AA15">
        <v>5417.78</v>
      </c>
      <c r="AB15">
        <v>891291.15</v>
      </c>
      <c r="AC15">
        <v>3</v>
      </c>
      <c r="AD15" t="s">
        <v>82</v>
      </c>
      <c r="AE15">
        <v>3</v>
      </c>
      <c r="AF15" t="s">
        <v>128</v>
      </c>
      <c r="AG15">
        <f>IFERROR(VLOOKUP(AF15,[1]STOK!J:O,6,0),"")</f>
        <v>24</v>
      </c>
      <c r="AH15" s="2">
        <f t="shared" si="0"/>
        <v>0.125</v>
      </c>
      <c r="AI15" t="s">
        <v>128</v>
      </c>
      <c r="AJ15" t="s">
        <v>129</v>
      </c>
      <c r="AK15" t="s">
        <v>130</v>
      </c>
      <c r="AL15" t="s">
        <v>86</v>
      </c>
      <c r="AM15">
        <v>18315</v>
      </c>
      <c r="AN15">
        <f t="shared" si="1"/>
        <v>18223.426666666666</v>
      </c>
      <c r="AO15" t="s">
        <v>66</v>
      </c>
      <c r="AP15">
        <v>0.5</v>
      </c>
      <c r="AQ15" t="s">
        <v>66</v>
      </c>
      <c r="AR15">
        <v>0</v>
      </c>
      <c r="AS15" t="s">
        <v>66</v>
      </c>
      <c r="AT15">
        <v>0</v>
      </c>
      <c r="AU15" t="s">
        <v>66</v>
      </c>
      <c r="AV15">
        <v>0</v>
      </c>
      <c r="AW15" t="s">
        <v>66</v>
      </c>
      <c r="AX15">
        <v>0</v>
      </c>
      <c r="AY15" t="s">
        <v>66</v>
      </c>
      <c r="AZ15">
        <v>0</v>
      </c>
      <c r="BA15" t="s">
        <v>66</v>
      </c>
      <c r="BB15">
        <v>0</v>
      </c>
      <c r="BC15">
        <v>0</v>
      </c>
      <c r="BD15">
        <v>54670.28</v>
      </c>
      <c r="BE15">
        <v>14907.75</v>
      </c>
      <c r="BF15">
        <v>0</v>
      </c>
      <c r="BG15" t="s">
        <v>87</v>
      </c>
      <c r="BH15" t="s">
        <v>66</v>
      </c>
      <c r="BI15">
        <v>0</v>
      </c>
      <c r="BJ15" t="s">
        <v>66</v>
      </c>
      <c r="BK15" t="s">
        <v>88</v>
      </c>
      <c r="BL15" t="s">
        <v>66</v>
      </c>
      <c r="BM15" t="s">
        <v>89</v>
      </c>
    </row>
    <row r="16" spans="1:65" x14ac:dyDescent="0.25">
      <c r="A16">
        <v>14</v>
      </c>
      <c r="B16" t="s">
        <v>108</v>
      </c>
      <c r="C16" t="s">
        <v>66</v>
      </c>
      <c r="D16" s="1">
        <v>46205</v>
      </c>
      <c r="E16" t="s">
        <v>109</v>
      </c>
      <c r="F16" t="s">
        <v>68</v>
      </c>
      <c r="G16" t="s">
        <v>69</v>
      </c>
      <c r="H16" t="s">
        <v>70</v>
      </c>
      <c r="I16" t="s">
        <v>71</v>
      </c>
      <c r="J16" t="s">
        <v>72</v>
      </c>
      <c r="K16" t="s">
        <v>73</v>
      </c>
      <c r="L16" t="s">
        <v>74</v>
      </c>
      <c r="M16" t="s">
        <v>110</v>
      </c>
      <c r="N16" t="s">
        <v>111</v>
      </c>
      <c r="O16" t="s">
        <v>112</v>
      </c>
      <c r="P16" t="s">
        <v>113</v>
      </c>
      <c r="Q16" t="s">
        <v>66</v>
      </c>
      <c r="R16" s="1">
        <v>46205</v>
      </c>
      <c r="S16" t="s">
        <v>114</v>
      </c>
      <c r="T16" t="s">
        <v>113</v>
      </c>
      <c r="U16" t="s">
        <v>66</v>
      </c>
      <c r="V16" t="s">
        <v>115</v>
      </c>
      <c r="W16" t="s">
        <v>66</v>
      </c>
      <c r="X16">
        <v>802965</v>
      </c>
      <c r="Y16">
        <v>88326.15</v>
      </c>
      <c r="Z16">
        <v>25074</v>
      </c>
      <c r="AA16">
        <v>2758.14</v>
      </c>
      <c r="AB16">
        <v>891291.15</v>
      </c>
      <c r="AC16">
        <v>6</v>
      </c>
      <c r="AD16" t="s">
        <v>82</v>
      </c>
      <c r="AE16">
        <v>6</v>
      </c>
      <c r="AF16" t="s">
        <v>131</v>
      </c>
      <c r="AG16">
        <f>IFERROR(VLOOKUP(AF16,[1]STOK!J:O,6,0),"")</f>
        <v>24</v>
      </c>
      <c r="AH16" s="2">
        <f t="shared" si="0"/>
        <v>0.25</v>
      </c>
      <c r="AI16" t="s">
        <v>131</v>
      </c>
      <c r="AJ16" t="s">
        <v>132</v>
      </c>
      <c r="AK16" t="s">
        <v>133</v>
      </c>
      <c r="AL16" t="s">
        <v>86</v>
      </c>
      <c r="AM16">
        <v>4662</v>
      </c>
      <c r="AN16">
        <f t="shared" si="1"/>
        <v>4638.6899999999996</v>
      </c>
      <c r="AO16" t="s">
        <v>66</v>
      </c>
      <c r="AP16">
        <v>0.5</v>
      </c>
      <c r="AQ16" t="s">
        <v>66</v>
      </c>
      <c r="AR16">
        <v>0</v>
      </c>
      <c r="AS16" t="s">
        <v>66</v>
      </c>
      <c r="AT16">
        <v>0</v>
      </c>
      <c r="AU16" t="s">
        <v>66</v>
      </c>
      <c r="AV16">
        <v>0</v>
      </c>
      <c r="AW16" t="s">
        <v>66</v>
      </c>
      <c r="AX16">
        <v>0</v>
      </c>
      <c r="AY16" t="s">
        <v>66</v>
      </c>
      <c r="AZ16">
        <v>0</v>
      </c>
      <c r="BA16" t="s">
        <v>66</v>
      </c>
      <c r="BB16">
        <v>0</v>
      </c>
      <c r="BC16">
        <v>0</v>
      </c>
      <c r="BD16">
        <v>27832.14</v>
      </c>
      <c r="BE16">
        <v>3770.6</v>
      </c>
      <c r="BF16">
        <v>0</v>
      </c>
      <c r="BG16" t="s">
        <v>87</v>
      </c>
      <c r="BH16" t="s">
        <v>66</v>
      </c>
      <c r="BI16">
        <v>0</v>
      </c>
      <c r="BJ16" t="s">
        <v>66</v>
      </c>
      <c r="BK16" t="s">
        <v>88</v>
      </c>
      <c r="BL16" t="s">
        <v>66</v>
      </c>
      <c r="BM16" t="s">
        <v>89</v>
      </c>
    </row>
    <row r="17" spans="1:65" x14ac:dyDescent="0.25">
      <c r="A17">
        <v>15</v>
      </c>
      <c r="B17" t="s">
        <v>108</v>
      </c>
      <c r="C17" t="s">
        <v>66</v>
      </c>
      <c r="D17" s="1">
        <v>46205</v>
      </c>
      <c r="E17" t="s">
        <v>109</v>
      </c>
      <c r="F17" t="s">
        <v>68</v>
      </c>
      <c r="G17" t="s">
        <v>69</v>
      </c>
      <c r="H17" t="s">
        <v>70</v>
      </c>
      <c r="I17" t="s">
        <v>71</v>
      </c>
      <c r="J17" t="s">
        <v>72</v>
      </c>
      <c r="K17" t="s">
        <v>73</v>
      </c>
      <c r="L17" t="s">
        <v>74</v>
      </c>
      <c r="M17" t="s">
        <v>110</v>
      </c>
      <c r="N17" t="s">
        <v>111</v>
      </c>
      <c r="O17" t="s">
        <v>112</v>
      </c>
      <c r="P17" t="s">
        <v>113</v>
      </c>
      <c r="Q17" t="s">
        <v>66</v>
      </c>
      <c r="R17" s="1">
        <v>46205</v>
      </c>
      <c r="S17" t="s">
        <v>114</v>
      </c>
      <c r="T17" t="s">
        <v>113</v>
      </c>
      <c r="U17" t="s">
        <v>66</v>
      </c>
      <c r="V17" t="s">
        <v>115</v>
      </c>
      <c r="W17" t="s">
        <v>66</v>
      </c>
      <c r="X17">
        <v>802965</v>
      </c>
      <c r="Y17">
        <v>88326.15</v>
      </c>
      <c r="Z17">
        <v>158802</v>
      </c>
      <c r="AA17">
        <v>17468.22</v>
      </c>
      <c r="AB17">
        <v>891291.15</v>
      </c>
      <c r="AC17">
        <v>1</v>
      </c>
      <c r="AD17" t="s">
        <v>134</v>
      </c>
      <c r="AE17">
        <v>12</v>
      </c>
      <c r="AF17" t="s">
        <v>135</v>
      </c>
      <c r="AG17">
        <f>IFERROR(VLOOKUP(AF17,[1]STOK!J:O,6,0),"")</f>
        <v>12</v>
      </c>
      <c r="AH17" s="2">
        <f t="shared" si="0"/>
        <v>1</v>
      </c>
      <c r="AI17" t="s">
        <v>135</v>
      </c>
      <c r="AJ17" t="s">
        <v>136</v>
      </c>
      <c r="AK17" t="s">
        <v>137</v>
      </c>
      <c r="AL17" t="s">
        <v>86</v>
      </c>
      <c r="AM17">
        <v>177156</v>
      </c>
      <c r="AN17">
        <f t="shared" si="1"/>
        <v>176270.22</v>
      </c>
      <c r="AO17" t="s">
        <v>66</v>
      </c>
      <c r="AP17">
        <v>0.5</v>
      </c>
      <c r="AQ17" t="s">
        <v>66</v>
      </c>
      <c r="AR17">
        <v>0</v>
      </c>
      <c r="AS17" t="s">
        <v>66</v>
      </c>
      <c r="AT17">
        <v>0</v>
      </c>
      <c r="AU17" t="s">
        <v>66</v>
      </c>
      <c r="AV17">
        <v>0</v>
      </c>
      <c r="AW17" t="s">
        <v>66</v>
      </c>
      <c r="AX17">
        <v>0</v>
      </c>
      <c r="AY17" t="s">
        <v>66</v>
      </c>
      <c r="AZ17">
        <v>0</v>
      </c>
      <c r="BA17" t="s">
        <v>66</v>
      </c>
      <c r="BB17">
        <v>0</v>
      </c>
      <c r="BC17">
        <v>0</v>
      </c>
      <c r="BD17">
        <v>176270.22</v>
      </c>
      <c r="BE17">
        <v>12026.74</v>
      </c>
      <c r="BF17">
        <v>0</v>
      </c>
      <c r="BG17" t="s">
        <v>87</v>
      </c>
      <c r="BH17" t="s">
        <v>66</v>
      </c>
      <c r="BI17">
        <v>0</v>
      </c>
      <c r="BJ17" t="s">
        <v>66</v>
      </c>
      <c r="BK17" t="s">
        <v>88</v>
      </c>
      <c r="BL17" t="s">
        <v>66</v>
      </c>
      <c r="BM17" t="s">
        <v>89</v>
      </c>
    </row>
    <row r="18" spans="1:65" x14ac:dyDescent="0.25">
      <c r="A18">
        <v>16</v>
      </c>
      <c r="B18" t="s">
        <v>108</v>
      </c>
      <c r="C18" t="s">
        <v>66</v>
      </c>
      <c r="D18" s="1">
        <v>46205</v>
      </c>
      <c r="E18" t="s">
        <v>109</v>
      </c>
      <c r="F18" t="s">
        <v>68</v>
      </c>
      <c r="G18" t="s">
        <v>69</v>
      </c>
      <c r="H18" t="s">
        <v>70</v>
      </c>
      <c r="I18" t="s">
        <v>71</v>
      </c>
      <c r="J18" t="s">
        <v>72</v>
      </c>
      <c r="K18" t="s">
        <v>73</v>
      </c>
      <c r="L18" t="s">
        <v>74</v>
      </c>
      <c r="M18" t="s">
        <v>110</v>
      </c>
      <c r="N18" t="s">
        <v>111</v>
      </c>
      <c r="O18" t="s">
        <v>112</v>
      </c>
      <c r="P18" t="s">
        <v>113</v>
      </c>
      <c r="Q18" t="s">
        <v>66</v>
      </c>
      <c r="R18" s="1">
        <v>46205</v>
      </c>
      <c r="S18" t="s">
        <v>114</v>
      </c>
      <c r="T18" t="s">
        <v>113</v>
      </c>
      <c r="U18" t="s">
        <v>66</v>
      </c>
      <c r="V18" t="s">
        <v>115</v>
      </c>
      <c r="W18" t="s">
        <v>66</v>
      </c>
      <c r="X18">
        <v>802965</v>
      </c>
      <c r="Y18">
        <v>88326.15</v>
      </c>
      <c r="Z18">
        <v>114325.5</v>
      </c>
      <c r="AA18">
        <v>12575.81</v>
      </c>
      <c r="AB18">
        <v>891291.15</v>
      </c>
      <c r="AC18">
        <v>3</v>
      </c>
      <c r="AD18" t="s">
        <v>82</v>
      </c>
      <c r="AE18">
        <v>3</v>
      </c>
      <c r="AF18" t="s">
        <v>138</v>
      </c>
      <c r="AG18">
        <f>IFERROR(VLOOKUP(AF18,[1]STOK!J:O,6,0),"")</f>
        <v>6</v>
      </c>
      <c r="AH18" s="2">
        <f t="shared" si="0"/>
        <v>0.5</v>
      </c>
      <c r="AI18" t="s">
        <v>138</v>
      </c>
      <c r="AJ18" t="s">
        <v>139</v>
      </c>
      <c r="AK18" t="s">
        <v>140</v>
      </c>
      <c r="AL18" t="s">
        <v>86</v>
      </c>
      <c r="AM18">
        <v>42513</v>
      </c>
      <c r="AN18">
        <f t="shared" si="1"/>
        <v>42300.436666666668</v>
      </c>
      <c r="AO18" t="s">
        <v>66</v>
      </c>
      <c r="AP18">
        <v>0.5</v>
      </c>
      <c r="AQ18" t="s">
        <v>66</v>
      </c>
      <c r="AR18">
        <v>0</v>
      </c>
      <c r="AS18" t="s">
        <v>66</v>
      </c>
      <c r="AT18">
        <v>0</v>
      </c>
      <c r="AU18" t="s">
        <v>66</v>
      </c>
      <c r="AV18">
        <v>0</v>
      </c>
      <c r="AW18" t="s">
        <v>66</v>
      </c>
      <c r="AX18">
        <v>0</v>
      </c>
      <c r="AY18" t="s">
        <v>66</v>
      </c>
      <c r="AZ18">
        <v>0</v>
      </c>
      <c r="BA18" t="s">
        <v>66</v>
      </c>
      <c r="BB18">
        <v>0</v>
      </c>
      <c r="BC18">
        <v>0</v>
      </c>
      <c r="BD18">
        <v>126901.31</v>
      </c>
      <c r="BE18">
        <v>34660.32</v>
      </c>
      <c r="BF18">
        <v>0</v>
      </c>
      <c r="BG18" t="s">
        <v>87</v>
      </c>
      <c r="BH18" t="s">
        <v>66</v>
      </c>
      <c r="BI18">
        <v>0</v>
      </c>
      <c r="BJ18" t="s">
        <v>66</v>
      </c>
      <c r="BK18" t="s">
        <v>88</v>
      </c>
      <c r="BL18" t="s">
        <v>66</v>
      </c>
      <c r="BM18" t="s">
        <v>89</v>
      </c>
    </row>
    <row r="19" spans="1:65" x14ac:dyDescent="0.25">
      <c r="A19">
        <v>17</v>
      </c>
      <c r="B19" t="s">
        <v>108</v>
      </c>
      <c r="C19" t="s">
        <v>66</v>
      </c>
      <c r="D19" s="1">
        <v>46205</v>
      </c>
      <c r="E19" t="s">
        <v>109</v>
      </c>
      <c r="F19" t="s">
        <v>68</v>
      </c>
      <c r="G19" t="s">
        <v>69</v>
      </c>
      <c r="H19" t="s">
        <v>70</v>
      </c>
      <c r="I19" t="s">
        <v>71</v>
      </c>
      <c r="J19" t="s">
        <v>72</v>
      </c>
      <c r="K19" t="s">
        <v>73</v>
      </c>
      <c r="L19" t="s">
        <v>74</v>
      </c>
      <c r="M19" t="s">
        <v>110</v>
      </c>
      <c r="N19" t="s">
        <v>111</v>
      </c>
      <c r="O19" t="s">
        <v>112</v>
      </c>
      <c r="P19" t="s">
        <v>113</v>
      </c>
      <c r="Q19" t="s">
        <v>66</v>
      </c>
      <c r="R19" s="1">
        <v>46205</v>
      </c>
      <c r="S19" t="s">
        <v>114</v>
      </c>
      <c r="T19" t="s">
        <v>113</v>
      </c>
      <c r="U19" t="s">
        <v>66</v>
      </c>
      <c r="V19" t="s">
        <v>115</v>
      </c>
      <c r="W19" t="s">
        <v>66</v>
      </c>
      <c r="X19">
        <v>802965</v>
      </c>
      <c r="Y19">
        <v>88326.15</v>
      </c>
      <c r="Z19">
        <v>171936</v>
      </c>
      <c r="AA19">
        <v>18912.96</v>
      </c>
      <c r="AB19">
        <v>891291.15</v>
      </c>
      <c r="AC19">
        <v>1</v>
      </c>
      <c r="AD19" t="s">
        <v>134</v>
      </c>
      <c r="AE19">
        <v>12</v>
      </c>
      <c r="AF19" t="s">
        <v>141</v>
      </c>
      <c r="AG19">
        <f>IFERROR(VLOOKUP(AF19,[1]STOK!J:O,6,0),"")</f>
        <v>12</v>
      </c>
      <c r="AH19" s="2">
        <f t="shared" si="0"/>
        <v>1</v>
      </c>
      <c r="AI19" t="s">
        <v>141</v>
      </c>
      <c r="AJ19" t="s">
        <v>142</v>
      </c>
      <c r="AK19" t="s">
        <v>143</v>
      </c>
      <c r="AL19" t="s">
        <v>86</v>
      </c>
      <c r="AM19">
        <v>191808</v>
      </c>
      <c r="AN19">
        <f t="shared" si="1"/>
        <v>190848.96</v>
      </c>
      <c r="AO19" t="s">
        <v>66</v>
      </c>
      <c r="AP19">
        <v>0.5</v>
      </c>
      <c r="AQ19" t="s">
        <v>66</v>
      </c>
      <c r="AR19">
        <v>0</v>
      </c>
      <c r="AS19" t="s">
        <v>66</v>
      </c>
      <c r="AT19">
        <v>0</v>
      </c>
      <c r="AU19" t="s">
        <v>66</v>
      </c>
      <c r="AV19">
        <v>0</v>
      </c>
      <c r="AW19" t="s">
        <v>66</v>
      </c>
      <c r="AX19">
        <v>0</v>
      </c>
      <c r="AY19" t="s">
        <v>66</v>
      </c>
      <c r="AZ19">
        <v>0</v>
      </c>
      <c r="BA19" t="s">
        <v>66</v>
      </c>
      <c r="BB19">
        <v>0</v>
      </c>
      <c r="BC19">
        <v>0</v>
      </c>
      <c r="BD19">
        <v>190848.96</v>
      </c>
      <c r="BE19">
        <v>13012.92</v>
      </c>
      <c r="BF19">
        <v>0</v>
      </c>
      <c r="BG19" t="s">
        <v>87</v>
      </c>
      <c r="BH19" t="s">
        <v>66</v>
      </c>
      <c r="BI19">
        <v>0</v>
      </c>
      <c r="BJ19" t="s">
        <v>66</v>
      </c>
      <c r="BK19" t="s">
        <v>88</v>
      </c>
      <c r="BL19" t="s">
        <v>66</v>
      </c>
      <c r="BM19" t="s">
        <v>89</v>
      </c>
    </row>
    <row r="20" spans="1:65" x14ac:dyDescent="0.25">
      <c r="A20">
        <v>18</v>
      </c>
      <c r="B20" t="s">
        <v>144</v>
      </c>
      <c r="C20" t="s">
        <v>145</v>
      </c>
      <c r="D20" s="1">
        <v>46205</v>
      </c>
      <c r="E20" t="s">
        <v>146</v>
      </c>
      <c r="F20" t="s">
        <v>147</v>
      </c>
      <c r="G20" t="s">
        <v>69</v>
      </c>
      <c r="H20" t="s">
        <v>70</v>
      </c>
      <c r="I20" t="s">
        <v>71</v>
      </c>
      <c r="J20" t="s">
        <v>72</v>
      </c>
      <c r="K20" t="s">
        <v>73</v>
      </c>
      <c r="L20" t="s">
        <v>74</v>
      </c>
      <c r="M20" t="s">
        <v>148</v>
      </c>
      <c r="N20" t="s">
        <v>149</v>
      </c>
      <c r="O20" t="s">
        <v>150</v>
      </c>
      <c r="P20" t="s">
        <v>151</v>
      </c>
      <c r="Q20" t="s">
        <v>66</v>
      </c>
      <c r="R20" s="1">
        <v>46205</v>
      </c>
      <c r="S20" t="s">
        <v>150</v>
      </c>
      <c r="T20" t="s">
        <v>152</v>
      </c>
      <c r="U20" t="s">
        <v>153</v>
      </c>
      <c r="V20" t="s">
        <v>66</v>
      </c>
      <c r="W20" t="s">
        <v>66</v>
      </c>
      <c r="X20">
        <v>2757400</v>
      </c>
      <c r="Y20">
        <v>303314</v>
      </c>
      <c r="Z20">
        <v>132000</v>
      </c>
      <c r="AA20">
        <v>14520</v>
      </c>
      <c r="AB20">
        <v>3060714</v>
      </c>
      <c r="AC20">
        <v>1</v>
      </c>
      <c r="AD20" t="s">
        <v>134</v>
      </c>
      <c r="AE20">
        <v>12</v>
      </c>
      <c r="AF20" t="s">
        <v>154</v>
      </c>
      <c r="AG20">
        <f>IFERROR(VLOOKUP(AF20,[1]STOK!J:O,6,0),"")</f>
        <v>12</v>
      </c>
      <c r="AH20" s="2">
        <f t="shared" si="0"/>
        <v>1</v>
      </c>
      <c r="AI20" t="s">
        <v>154</v>
      </c>
      <c r="AJ20" t="s">
        <v>155</v>
      </c>
      <c r="AK20" t="s">
        <v>156</v>
      </c>
      <c r="AL20" t="s">
        <v>86</v>
      </c>
      <c r="AM20">
        <v>146520</v>
      </c>
      <c r="AN20">
        <f t="shared" si="1"/>
        <v>146520</v>
      </c>
      <c r="AO20" t="s">
        <v>66</v>
      </c>
      <c r="AP20">
        <v>0</v>
      </c>
      <c r="AQ20" t="s">
        <v>66</v>
      </c>
      <c r="AR20">
        <v>0</v>
      </c>
      <c r="AS20" t="s">
        <v>66</v>
      </c>
      <c r="AT20">
        <v>0</v>
      </c>
      <c r="AU20" t="s">
        <v>66</v>
      </c>
      <c r="AV20">
        <v>0</v>
      </c>
      <c r="AW20" t="s">
        <v>66</v>
      </c>
      <c r="AX20">
        <v>0</v>
      </c>
      <c r="AY20" t="s">
        <v>66</v>
      </c>
      <c r="AZ20">
        <v>0</v>
      </c>
      <c r="BA20" t="s">
        <v>66</v>
      </c>
      <c r="BB20">
        <v>0</v>
      </c>
      <c r="BC20">
        <v>0</v>
      </c>
      <c r="BD20">
        <v>146520</v>
      </c>
      <c r="BE20">
        <v>9954.7900000000009</v>
      </c>
      <c r="BF20">
        <v>0</v>
      </c>
      <c r="BG20" t="s">
        <v>87</v>
      </c>
      <c r="BH20" t="s">
        <v>157</v>
      </c>
      <c r="BI20">
        <v>12</v>
      </c>
      <c r="BJ20" t="s">
        <v>158</v>
      </c>
      <c r="BK20" t="s">
        <v>88</v>
      </c>
      <c r="BL20" t="s">
        <v>66</v>
      </c>
      <c r="BM20" t="s">
        <v>159</v>
      </c>
    </row>
    <row r="21" spans="1:65" x14ac:dyDescent="0.25">
      <c r="A21">
        <v>19</v>
      </c>
      <c r="B21" t="s">
        <v>144</v>
      </c>
      <c r="C21" t="s">
        <v>145</v>
      </c>
      <c r="D21" s="1">
        <v>46205</v>
      </c>
      <c r="E21" t="s">
        <v>146</v>
      </c>
      <c r="F21" t="s">
        <v>147</v>
      </c>
      <c r="G21" t="s">
        <v>69</v>
      </c>
      <c r="H21" t="s">
        <v>70</v>
      </c>
      <c r="I21" t="s">
        <v>71</v>
      </c>
      <c r="J21" t="s">
        <v>72</v>
      </c>
      <c r="K21" t="s">
        <v>73</v>
      </c>
      <c r="L21" t="s">
        <v>74</v>
      </c>
      <c r="M21" t="s">
        <v>148</v>
      </c>
      <c r="N21" t="s">
        <v>149</v>
      </c>
      <c r="O21" t="s">
        <v>150</v>
      </c>
      <c r="P21" t="s">
        <v>151</v>
      </c>
      <c r="Q21" t="s">
        <v>66</v>
      </c>
      <c r="R21" s="1">
        <v>46205</v>
      </c>
      <c r="S21" t="s">
        <v>150</v>
      </c>
      <c r="T21" t="s">
        <v>152</v>
      </c>
      <c r="U21" t="s">
        <v>153</v>
      </c>
      <c r="V21" t="s">
        <v>66</v>
      </c>
      <c r="W21" t="s">
        <v>66</v>
      </c>
      <c r="X21">
        <v>2757400</v>
      </c>
      <c r="Y21">
        <v>303314</v>
      </c>
      <c r="Z21">
        <v>147200</v>
      </c>
      <c r="AA21">
        <v>16192</v>
      </c>
      <c r="AB21">
        <v>3060714</v>
      </c>
      <c r="AC21">
        <v>8</v>
      </c>
      <c r="AD21" t="s">
        <v>82</v>
      </c>
      <c r="AE21">
        <v>8</v>
      </c>
      <c r="AF21" t="s">
        <v>160</v>
      </c>
      <c r="AG21">
        <f>IFERROR(VLOOKUP(AF21,[1]STOK!J:O,6,0),"")</f>
        <v>12</v>
      </c>
      <c r="AH21" s="2">
        <f t="shared" si="0"/>
        <v>0.66666666666666663</v>
      </c>
      <c r="AI21" t="s">
        <v>160</v>
      </c>
      <c r="AJ21" t="s">
        <v>161</v>
      </c>
      <c r="AK21" t="s">
        <v>162</v>
      </c>
      <c r="AL21" t="s">
        <v>86</v>
      </c>
      <c r="AM21">
        <v>20424</v>
      </c>
      <c r="AN21">
        <f t="shared" si="1"/>
        <v>20424</v>
      </c>
      <c r="AO21" t="s">
        <v>66</v>
      </c>
      <c r="AP21">
        <v>0</v>
      </c>
      <c r="AQ21" t="s">
        <v>66</v>
      </c>
      <c r="AR21">
        <v>0</v>
      </c>
      <c r="AS21" t="s">
        <v>66</v>
      </c>
      <c r="AT21">
        <v>0</v>
      </c>
      <c r="AU21" t="s">
        <v>66</v>
      </c>
      <c r="AV21">
        <v>0</v>
      </c>
      <c r="AW21" t="s">
        <v>66</v>
      </c>
      <c r="AX21">
        <v>0</v>
      </c>
      <c r="AY21" t="s">
        <v>66</v>
      </c>
      <c r="AZ21">
        <v>0</v>
      </c>
      <c r="BA21" t="s">
        <v>66</v>
      </c>
      <c r="BB21">
        <v>0</v>
      </c>
      <c r="BC21">
        <v>0</v>
      </c>
      <c r="BD21">
        <v>163392</v>
      </c>
      <c r="BE21">
        <v>16647.310000000001</v>
      </c>
      <c r="BF21">
        <v>0</v>
      </c>
      <c r="BG21" t="s">
        <v>87</v>
      </c>
      <c r="BH21" t="s">
        <v>157</v>
      </c>
      <c r="BI21">
        <v>8</v>
      </c>
      <c r="BJ21" t="s">
        <v>158</v>
      </c>
      <c r="BK21" t="s">
        <v>88</v>
      </c>
      <c r="BL21" t="s">
        <v>66</v>
      </c>
      <c r="BM21" t="s">
        <v>159</v>
      </c>
    </row>
    <row r="22" spans="1:65" x14ac:dyDescent="0.25">
      <c r="A22">
        <v>20</v>
      </c>
      <c r="B22" t="s">
        <v>144</v>
      </c>
      <c r="C22" t="s">
        <v>145</v>
      </c>
      <c r="D22" s="1">
        <v>46205</v>
      </c>
      <c r="E22" t="s">
        <v>146</v>
      </c>
      <c r="F22" t="s">
        <v>147</v>
      </c>
      <c r="G22" t="s">
        <v>69</v>
      </c>
      <c r="H22" t="s">
        <v>70</v>
      </c>
      <c r="I22" t="s">
        <v>71</v>
      </c>
      <c r="J22" t="s">
        <v>72</v>
      </c>
      <c r="K22" t="s">
        <v>73</v>
      </c>
      <c r="L22" t="s">
        <v>74</v>
      </c>
      <c r="M22" t="s">
        <v>148</v>
      </c>
      <c r="N22" t="s">
        <v>149</v>
      </c>
      <c r="O22" t="s">
        <v>150</v>
      </c>
      <c r="P22" t="s">
        <v>151</v>
      </c>
      <c r="Q22" t="s">
        <v>66</v>
      </c>
      <c r="R22" s="1">
        <v>46205</v>
      </c>
      <c r="S22" t="s">
        <v>150</v>
      </c>
      <c r="T22" t="s">
        <v>152</v>
      </c>
      <c r="U22" t="s">
        <v>153</v>
      </c>
      <c r="V22" t="s">
        <v>66</v>
      </c>
      <c r="W22" t="s">
        <v>66</v>
      </c>
      <c r="X22">
        <v>2757400</v>
      </c>
      <c r="Y22">
        <v>303314</v>
      </c>
      <c r="Z22">
        <v>180000</v>
      </c>
      <c r="AA22">
        <v>19800</v>
      </c>
      <c r="AB22">
        <v>3060714</v>
      </c>
      <c r="AC22">
        <v>1</v>
      </c>
      <c r="AD22" t="s">
        <v>134</v>
      </c>
      <c r="AE22">
        <v>72</v>
      </c>
      <c r="AF22" t="s">
        <v>163</v>
      </c>
      <c r="AG22">
        <f>IFERROR(VLOOKUP(AF22,[1]STOK!J:O,6,0),"")</f>
        <v>72</v>
      </c>
      <c r="AH22" s="2">
        <f t="shared" si="0"/>
        <v>1</v>
      </c>
      <c r="AI22" t="s">
        <v>163</v>
      </c>
      <c r="AJ22" t="s">
        <v>164</v>
      </c>
      <c r="AK22" t="s">
        <v>165</v>
      </c>
      <c r="AL22" t="s">
        <v>86</v>
      </c>
      <c r="AM22">
        <v>199800</v>
      </c>
      <c r="AN22">
        <f t="shared" si="1"/>
        <v>199800</v>
      </c>
      <c r="AO22" t="s">
        <v>66</v>
      </c>
      <c r="AP22">
        <v>0</v>
      </c>
      <c r="AQ22" t="s">
        <v>66</v>
      </c>
      <c r="AR22">
        <v>0</v>
      </c>
      <c r="AS22" t="s">
        <v>66</v>
      </c>
      <c r="AT22">
        <v>0</v>
      </c>
      <c r="AU22" t="s">
        <v>66</v>
      </c>
      <c r="AV22">
        <v>0</v>
      </c>
      <c r="AW22" t="s">
        <v>66</v>
      </c>
      <c r="AX22">
        <v>0</v>
      </c>
      <c r="AY22" t="s">
        <v>66</v>
      </c>
      <c r="AZ22">
        <v>0</v>
      </c>
      <c r="BA22" t="s">
        <v>66</v>
      </c>
      <c r="BB22">
        <v>0</v>
      </c>
      <c r="BC22">
        <v>0</v>
      </c>
      <c r="BD22">
        <v>199800</v>
      </c>
      <c r="BE22">
        <v>2196.56</v>
      </c>
      <c r="BF22">
        <v>0</v>
      </c>
      <c r="BG22" t="s">
        <v>87</v>
      </c>
      <c r="BH22" t="s">
        <v>157</v>
      </c>
      <c r="BI22">
        <v>72</v>
      </c>
      <c r="BJ22" t="s">
        <v>158</v>
      </c>
      <c r="BK22" t="s">
        <v>88</v>
      </c>
      <c r="BL22" t="s">
        <v>66</v>
      </c>
      <c r="BM22" t="s">
        <v>159</v>
      </c>
    </row>
    <row r="23" spans="1:65" x14ac:dyDescent="0.25">
      <c r="A23">
        <v>21</v>
      </c>
      <c r="B23" t="s">
        <v>144</v>
      </c>
      <c r="C23" t="s">
        <v>145</v>
      </c>
      <c r="D23" s="1">
        <v>46205</v>
      </c>
      <c r="E23" t="s">
        <v>146</v>
      </c>
      <c r="F23" t="s">
        <v>147</v>
      </c>
      <c r="G23" t="s">
        <v>69</v>
      </c>
      <c r="H23" t="s">
        <v>70</v>
      </c>
      <c r="I23" t="s">
        <v>71</v>
      </c>
      <c r="J23" t="s">
        <v>72</v>
      </c>
      <c r="K23" t="s">
        <v>73</v>
      </c>
      <c r="L23" t="s">
        <v>74</v>
      </c>
      <c r="M23" t="s">
        <v>148</v>
      </c>
      <c r="N23" t="s">
        <v>149</v>
      </c>
      <c r="O23" t="s">
        <v>150</v>
      </c>
      <c r="P23" t="s">
        <v>151</v>
      </c>
      <c r="Q23" t="s">
        <v>66</v>
      </c>
      <c r="R23" s="1">
        <v>46205</v>
      </c>
      <c r="S23" t="s">
        <v>150</v>
      </c>
      <c r="T23" t="s">
        <v>152</v>
      </c>
      <c r="U23" t="s">
        <v>153</v>
      </c>
      <c r="V23" t="s">
        <v>66</v>
      </c>
      <c r="W23" t="s">
        <v>66</v>
      </c>
      <c r="X23">
        <v>2757400</v>
      </c>
      <c r="Y23">
        <v>303314</v>
      </c>
      <c r="Z23">
        <v>282800</v>
      </c>
      <c r="AA23">
        <v>31108</v>
      </c>
      <c r="AB23">
        <v>3060714</v>
      </c>
      <c r="AC23">
        <v>28</v>
      </c>
      <c r="AD23" t="s">
        <v>82</v>
      </c>
      <c r="AE23">
        <v>28</v>
      </c>
      <c r="AF23" t="s">
        <v>166</v>
      </c>
      <c r="AG23">
        <f>IFERROR(VLOOKUP(AF23,[1]STOK!J:O,6,0),"")</f>
        <v>24</v>
      </c>
      <c r="AH23" s="2">
        <f t="shared" si="0"/>
        <v>1.1666666666666667</v>
      </c>
      <c r="AI23" t="s">
        <v>166</v>
      </c>
      <c r="AJ23" t="s">
        <v>167</v>
      </c>
      <c r="AK23" t="s">
        <v>168</v>
      </c>
      <c r="AL23" t="s">
        <v>86</v>
      </c>
      <c r="AM23">
        <v>11211</v>
      </c>
      <c r="AN23">
        <f t="shared" si="1"/>
        <v>11211</v>
      </c>
      <c r="AO23" t="s">
        <v>66</v>
      </c>
      <c r="AP23">
        <v>0</v>
      </c>
      <c r="AQ23" t="s">
        <v>66</v>
      </c>
      <c r="AR23">
        <v>0</v>
      </c>
      <c r="AS23" t="s">
        <v>66</v>
      </c>
      <c r="AT23">
        <v>0</v>
      </c>
      <c r="AU23" t="s">
        <v>66</v>
      </c>
      <c r="AV23">
        <v>0</v>
      </c>
      <c r="AW23" t="s">
        <v>66</v>
      </c>
      <c r="AX23">
        <v>0</v>
      </c>
      <c r="AY23" t="s">
        <v>66</v>
      </c>
      <c r="AZ23">
        <v>0</v>
      </c>
      <c r="BA23" t="s">
        <v>66</v>
      </c>
      <c r="BB23">
        <v>0</v>
      </c>
      <c r="BC23">
        <v>0</v>
      </c>
      <c r="BD23">
        <v>313908</v>
      </c>
      <c r="BE23">
        <v>8326.0300000000007</v>
      </c>
      <c r="BF23">
        <v>0</v>
      </c>
      <c r="BG23" t="s">
        <v>87</v>
      </c>
      <c r="BH23" t="s">
        <v>157</v>
      </c>
      <c r="BI23">
        <v>28</v>
      </c>
      <c r="BJ23" t="s">
        <v>158</v>
      </c>
      <c r="BK23" t="s">
        <v>88</v>
      </c>
      <c r="BL23" t="s">
        <v>66</v>
      </c>
      <c r="BM23" t="s">
        <v>159</v>
      </c>
    </row>
    <row r="24" spans="1:65" x14ac:dyDescent="0.25">
      <c r="A24">
        <v>22</v>
      </c>
      <c r="B24" t="s">
        <v>144</v>
      </c>
      <c r="C24" t="s">
        <v>145</v>
      </c>
      <c r="D24" s="1">
        <v>46205</v>
      </c>
      <c r="E24" t="s">
        <v>146</v>
      </c>
      <c r="F24" t="s">
        <v>147</v>
      </c>
      <c r="G24" t="s">
        <v>69</v>
      </c>
      <c r="H24" t="s">
        <v>70</v>
      </c>
      <c r="I24" t="s">
        <v>71</v>
      </c>
      <c r="J24" t="s">
        <v>72</v>
      </c>
      <c r="K24" t="s">
        <v>73</v>
      </c>
      <c r="L24" t="s">
        <v>74</v>
      </c>
      <c r="M24" t="s">
        <v>148</v>
      </c>
      <c r="N24" t="s">
        <v>149</v>
      </c>
      <c r="O24" t="s">
        <v>150</v>
      </c>
      <c r="P24" t="s">
        <v>151</v>
      </c>
      <c r="Q24" t="s">
        <v>66</v>
      </c>
      <c r="R24" s="1">
        <v>46205</v>
      </c>
      <c r="S24" t="s">
        <v>150</v>
      </c>
      <c r="T24" t="s">
        <v>152</v>
      </c>
      <c r="U24" t="s">
        <v>153</v>
      </c>
      <c r="V24" t="s">
        <v>66</v>
      </c>
      <c r="W24" t="s">
        <v>66</v>
      </c>
      <c r="X24">
        <v>2757400</v>
      </c>
      <c r="Y24">
        <v>303314</v>
      </c>
      <c r="Z24">
        <v>231000</v>
      </c>
      <c r="AA24">
        <v>25410</v>
      </c>
      <c r="AB24">
        <v>3060714</v>
      </c>
      <c r="AC24">
        <v>14</v>
      </c>
      <c r="AD24" t="s">
        <v>82</v>
      </c>
      <c r="AE24">
        <v>14</v>
      </c>
      <c r="AF24" t="s">
        <v>93</v>
      </c>
      <c r="AG24">
        <f>IFERROR(VLOOKUP(AF24,[1]STOK!J:O,6,0),"")</f>
        <v>24</v>
      </c>
      <c r="AH24" s="2">
        <f t="shared" si="0"/>
        <v>0.58333333333333337</v>
      </c>
      <c r="AI24" t="s">
        <v>93</v>
      </c>
      <c r="AJ24" t="s">
        <v>94</v>
      </c>
      <c r="AK24" t="s">
        <v>95</v>
      </c>
      <c r="AL24" t="s">
        <v>86</v>
      </c>
      <c r="AM24">
        <v>18315</v>
      </c>
      <c r="AN24">
        <f t="shared" si="1"/>
        <v>18315</v>
      </c>
      <c r="AO24" t="s">
        <v>66</v>
      </c>
      <c r="AP24">
        <v>0</v>
      </c>
      <c r="AQ24" t="s">
        <v>66</v>
      </c>
      <c r="AR24">
        <v>0</v>
      </c>
      <c r="AS24" t="s">
        <v>66</v>
      </c>
      <c r="AT24">
        <v>0</v>
      </c>
      <c r="AU24" t="s">
        <v>66</v>
      </c>
      <c r="AV24">
        <v>0</v>
      </c>
      <c r="AW24" t="s">
        <v>66</v>
      </c>
      <c r="AX24">
        <v>0</v>
      </c>
      <c r="AY24" t="s">
        <v>66</v>
      </c>
      <c r="AZ24">
        <v>0</v>
      </c>
      <c r="BA24" t="s">
        <v>66</v>
      </c>
      <c r="BB24">
        <v>0</v>
      </c>
      <c r="BC24">
        <v>0</v>
      </c>
      <c r="BD24">
        <v>256410</v>
      </c>
      <c r="BE24">
        <v>14931.72</v>
      </c>
      <c r="BF24">
        <v>0</v>
      </c>
      <c r="BG24" t="s">
        <v>87</v>
      </c>
      <c r="BH24" t="s">
        <v>157</v>
      </c>
      <c r="BI24">
        <v>14</v>
      </c>
      <c r="BJ24" t="s">
        <v>158</v>
      </c>
      <c r="BK24" t="s">
        <v>88</v>
      </c>
      <c r="BL24" t="s">
        <v>66</v>
      </c>
      <c r="BM24" t="s">
        <v>159</v>
      </c>
    </row>
    <row r="25" spans="1:65" x14ac:dyDescent="0.25">
      <c r="A25">
        <v>23</v>
      </c>
      <c r="B25" t="s">
        <v>144</v>
      </c>
      <c r="C25" t="s">
        <v>145</v>
      </c>
      <c r="D25" s="1">
        <v>46205</v>
      </c>
      <c r="E25" t="s">
        <v>146</v>
      </c>
      <c r="F25" t="s">
        <v>147</v>
      </c>
      <c r="G25" t="s">
        <v>69</v>
      </c>
      <c r="H25" t="s">
        <v>70</v>
      </c>
      <c r="I25" t="s">
        <v>71</v>
      </c>
      <c r="J25" t="s">
        <v>72</v>
      </c>
      <c r="K25" t="s">
        <v>73</v>
      </c>
      <c r="L25" t="s">
        <v>74</v>
      </c>
      <c r="M25" t="s">
        <v>148</v>
      </c>
      <c r="N25" t="s">
        <v>149</v>
      </c>
      <c r="O25" t="s">
        <v>150</v>
      </c>
      <c r="P25" t="s">
        <v>151</v>
      </c>
      <c r="Q25" t="s">
        <v>66</v>
      </c>
      <c r="R25" s="1">
        <v>46205</v>
      </c>
      <c r="S25" t="s">
        <v>150</v>
      </c>
      <c r="T25" t="s">
        <v>152</v>
      </c>
      <c r="U25" t="s">
        <v>153</v>
      </c>
      <c r="V25" t="s">
        <v>66</v>
      </c>
      <c r="W25" t="s">
        <v>66</v>
      </c>
      <c r="X25">
        <v>2757400</v>
      </c>
      <c r="Y25">
        <v>303314</v>
      </c>
      <c r="Z25">
        <v>319200</v>
      </c>
      <c r="AA25">
        <v>35112</v>
      </c>
      <c r="AB25">
        <v>3060714</v>
      </c>
      <c r="AC25">
        <v>2</v>
      </c>
      <c r="AD25" t="s">
        <v>134</v>
      </c>
      <c r="AE25">
        <v>24</v>
      </c>
      <c r="AF25" t="s">
        <v>169</v>
      </c>
      <c r="AG25">
        <f>IFERROR(VLOOKUP(AF25,[1]STOK!J:O,6,0),"")</f>
        <v>12</v>
      </c>
      <c r="AH25" s="2">
        <f t="shared" si="0"/>
        <v>2</v>
      </c>
      <c r="AI25" t="s">
        <v>169</v>
      </c>
      <c r="AJ25" t="s">
        <v>170</v>
      </c>
      <c r="AK25" t="s">
        <v>171</v>
      </c>
      <c r="AL25" t="s">
        <v>86</v>
      </c>
      <c r="AM25">
        <v>177156</v>
      </c>
      <c r="AN25">
        <f t="shared" si="1"/>
        <v>177156</v>
      </c>
      <c r="AO25" t="s">
        <v>66</v>
      </c>
      <c r="AP25">
        <v>0</v>
      </c>
      <c r="AQ25" t="s">
        <v>66</v>
      </c>
      <c r="AR25">
        <v>0</v>
      </c>
      <c r="AS25" t="s">
        <v>66</v>
      </c>
      <c r="AT25">
        <v>0</v>
      </c>
      <c r="AU25" t="s">
        <v>66</v>
      </c>
      <c r="AV25">
        <v>0</v>
      </c>
      <c r="AW25" t="s">
        <v>66</v>
      </c>
      <c r="AX25">
        <v>0</v>
      </c>
      <c r="AY25" t="s">
        <v>66</v>
      </c>
      <c r="AZ25">
        <v>0</v>
      </c>
      <c r="BA25" t="s">
        <v>66</v>
      </c>
      <c r="BB25">
        <v>0</v>
      </c>
      <c r="BC25">
        <v>0</v>
      </c>
      <c r="BD25">
        <v>354312</v>
      </c>
      <c r="BE25">
        <v>12056.21</v>
      </c>
      <c r="BF25">
        <v>0</v>
      </c>
      <c r="BG25" t="s">
        <v>87</v>
      </c>
      <c r="BH25" t="s">
        <v>157</v>
      </c>
      <c r="BI25">
        <v>24</v>
      </c>
      <c r="BJ25" t="s">
        <v>158</v>
      </c>
      <c r="BK25" t="s">
        <v>88</v>
      </c>
      <c r="BL25" t="s">
        <v>66</v>
      </c>
      <c r="BM25" t="s">
        <v>159</v>
      </c>
    </row>
    <row r="26" spans="1:65" x14ac:dyDescent="0.25">
      <c r="A26">
        <v>24</v>
      </c>
      <c r="B26" t="s">
        <v>144</v>
      </c>
      <c r="C26" t="s">
        <v>145</v>
      </c>
      <c r="D26" s="1">
        <v>46205</v>
      </c>
      <c r="E26" t="s">
        <v>146</v>
      </c>
      <c r="F26" t="s">
        <v>147</v>
      </c>
      <c r="G26" t="s">
        <v>69</v>
      </c>
      <c r="H26" t="s">
        <v>70</v>
      </c>
      <c r="I26" t="s">
        <v>71</v>
      </c>
      <c r="J26" t="s">
        <v>72</v>
      </c>
      <c r="K26" t="s">
        <v>73</v>
      </c>
      <c r="L26" t="s">
        <v>74</v>
      </c>
      <c r="M26" t="s">
        <v>148</v>
      </c>
      <c r="N26" t="s">
        <v>149</v>
      </c>
      <c r="O26" t="s">
        <v>150</v>
      </c>
      <c r="P26" t="s">
        <v>151</v>
      </c>
      <c r="Q26" t="s">
        <v>66</v>
      </c>
      <c r="R26" s="1">
        <v>46205</v>
      </c>
      <c r="S26" t="s">
        <v>150</v>
      </c>
      <c r="T26" t="s">
        <v>152</v>
      </c>
      <c r="U26" t="s">
        <v>153</v>
      </c>
      <c r="V26" t="s">
        <v>66</v>
      </c>
      <c r="W26" t="s">
        <v>66</v>
      </c>
      <c r="X26">
        <v>2757400</v>
      </c>
      <c r="Y26">
        <v>303314</v>
      </c>
      <c r="Z26">
        <v>172800</v>
      </c>
      <c r="AA26">
        <v>19008</v>
      </c>
      <c r="AB26">
        <v>3060714</v>
      </c>
      <c r="AC26">
        <v>1</v>
      </c>
      <c r="AD26" t="s">
        <v>134</v>
      </c>
      <c r="AE26">
        <v>12</v>
      </c>
      <c r="AF26" t="s">
        <v>172</v>
      </c>
      <c r="AG26">
        <f>IFERROR(VLOOKUP(AF26,[1]STOK!J:O,6,0),"")</f>
        <v>12</v>
      </c>
      <c r="AH26" s="2">
        <f t="shared" si="0"/>
        <v>1</v>
      </c>
      <c r="AI26" t="s">
        <v>172</v>
      </c>
      <c r="AJ26" t="s">
        <v>173</v>
      </c>
      <c r="AK26" t="s">
        <v>174</v>
      </c>
      <c r="AL26" t="s">
        <v>86</v>
      </c>
      <c r="AM26">
        <v>191808</v>
      </c>
      <c r="AN26">
        <f t="shared" si="1"/>
        <v>191808</v>
      </c>
      <c r="AO26" t="s">
        <v>66</v>
      </c>
      <c r="AP26">
        <v>0</v>
      </c>
      <c r="AQ26" t="s">
        <v>66</v>
      </c>
      <c r="AR26">
        <v>0</v>
      </c>
      <c r="AS26" t="s">
        <v>66</v>
      </c>
      <c r="AT26">
        <v>0</v>
      </c>
      <c r="AU26" t="s">
        <v>66</v>
      </c>
      <c r="AV26">
        <v>0</v>
      </c>
      <c r="AW26" t="s">
        <v>66</v>
      </c>
      <c r="AX26">
        <v>0</v>
      </c>
      <c r="AY26" t="s">
        <v>66</v>
      </c>
      <c r="AZ26">
        <v>0</v>
      </c>
      <c r="BA26" t="s">
        <v>66</v>
      </c>
      <c r="BB26">
        <v>0</v>
      </c>
      <c r="BC26">
        <v>0</v>
      </c>
      <c r="BD26">
        <v>191808</v>
      </c>
      <c r="BE26">
        <v>12881.14</v>
      </c>
      <c r="BF26">
        <v>0</v>
      </c>
      <c r="BG26" t="s">
        <v>87</v>
      </c>
      <c r="BH26" t="s">
        <v>157</v>
      </c>
      <c r="BI26">
        <v>12</v>
      </c>
      <c r="BJ26" t="s">
        <v>158</v>
      </c>
      <c r="BK26" t="s">
        <v>88</v>
      </c>
      <c r="BL26" t="s">
        <v>66</v>
      </c>
      <c r="BM26" t="s">
        <v>159</v>
      </c>
    </row>
    <row r="27" spans="1:65" x14ac:dyDescent="0.25">
      <c r="A27">
        <v>25</v>
      </c>
      <c r="B27" t="s">
        <v>144</v>
      </c>
      <c r="C27" t="s">
        <v>145</v>
      </c>
      <c r="D27" s="1">
        <v>46205</v>
      </c>
      <c r="E27" t="s">
        <v>146</v>
      </c>
      <c r="F27" t="s">
        <v>147</v>
      </c>
      <c r="G27" t="s">
        <v>69</v>
      </c>
      <c r="H27" t="s">
        <v>70</v>
      </c>
      <c r="I27" t="s">
        <v>71</v>
      </c>
      <c r="J27" t="s">
        <v>72</v>
      </c>
      <c r="K27" t="s">
        <v>73</v>
      </c>
      <c r="L27" t="s">
        <v>74</v>
      </c>
      <c r="M27" t="s">
        <v>148</v>
      </c>
      <c r="N27" t="s">
        <v>149</v>
      </c>
      <c r="O27" t="s">
        <v>150</v>
      </c>
      <c r="P27" t="s">
        <v>151</v>
      </c>
      <c r="Q27" t="s">
        <v>66</v>
      </c>
      <c r="R27" s="1">
        <v>46205</v>
      </c>
      <c r="S27" t="s">
        <v>150</v>
      </c>
      <c r="T27" t="s">
        <v>152</v>
      </c>
      <c r="U27" t="s">
        <v>153</v>
      </c>
      <c r="V27" t="s">
        <v>66</v>
      </c>
      <c r="W27" t="s">
        <v>66</v>
      </c>
      <c r="X27">
        <v>2757400</v>
      </c>
      <c r="Y27">
        <v>303314</v>
      </c>
      <c r="Z27">
        <v>936000</v>
      </c>
      <c r="AA27">
        <v>102960</v>
      </c>
      <c r="AB27">
        <v>3060714</v>
      </c>
      <c r="AC27">
        <v>20</v>
      </c>
      <c r="AD27" t="s">
        <v>134</v>
      </c>
      <c r="AE27">
        <v>240</v>
      </c>
      <c r="AF27" t="s">
        <v>175</v>
      </c>
      <c r="AG27">
        <f>IFERROR(VLOOKUP(AF27,[1]STOK!J:O,6,0),"")</f>
        <v>12</v>
      </c>
      <c r="AH27" s="2">
        <f t="shared" si="0"/>
        <v>20</v>
      </c>
      <c r="AI27" t="s">
        <v>175</v>
      </c>
      <c r="AJ27" t="s">
        <v>176</v>
      </c>
      <c r="AK27" t="s">
        <v>177</v>
      </c>
      <c r="AL27" t="s">
        <v>86</v>
      </c>
      <c r="AM27">
        <v>51948</v>
      </c>
      <c r="AN27">
        <f t="shared" si="1"/>
        <v>51948</v>
      </c>
      <c r="AO27" t="s">
        <v>66</v>
      </c>
      <c r="AP27">
        <v>0</v>
      </c>
      <c r="AQ27" t="s">
        <v>66</v>
      </c>
      <c r="AR27">
        <v>0</v>
      </c>
      <c r="AS27" t="s">
        <v>66</v>
      </c>
      <c r="AT27">
        <v>0</v>
      </c>
      <c r="AU27" t="s">
        <v>66</v>
      </c>
      <c r="AV27">
        <v>0</v>
      </c>
      <c r="AW27" t="s">
        <v>66</v>
      </c>
      <c r="AX27">
        <v>0</v>
      </c>
      <c r="AY27" t="s">
        <v>66</v>
      </c>
      <c r="AZ27">
        <v>0</v>
      </c>
      <c r="BA27" t="s">
        <v>66</v>
      </c>
      <c r="BB27">
        <v>0</v>
      </c>
      <c r="BC27">
        <v>0</v>
      </c>
      <c r="BD27">
        <v>1038960</v>
      </c>
      <c r="BE27">
        <v>3548.83</v>
      </c>
      <c r="BF27">
        <v>0</v>
      </c>
      <c r="BG27" t="s">
        <v>87</v>
      </c>
      <c r="BH27" t="s">
        <v>157</v>
      </c>
      <c r="BI27">
        <v>240</v>
      </c>
      <c r="BJ27" t="s">
        <v>158</v>
      </c>
      <c r="BK27" t="s">
        <v>88</v>
      </c>
      <c r="BL27" t="s">
        <v>66</v>
      </c>
      <c r="BM27" t="s">
        <v>159</v>
      </c>
    </row>
    <row r="28" spans="1:65" x14ac:dyDescent="0.25">
      <c r="A28">
        <v>26</v>
      </c>
      <c r="B28" t="s">
        <v>144</v>
      </c>
      <c r="C28" t="s">
        <v>145</v>
      </c>
      <c r="D28" s="1">
        <v>46205</v>
      </c>
      <c r="E28" t="s">
        <v>146</v>
      </c>
      <c r="F28" t="s">
        <v>147</v>
      </c>
      <c r="G28" t="s">
        <v>69</v>
      </c>
      <c r="H28" t="s">
        <v>70</v>
      </c>
      <c r="I28" t="s">
        <v>71</v>
      </c>
      <c r="J28" t="s">
        <v>72</v>
      </c>
      <c r="K28" t="s">
        <v>73</v>
      </c>
      <c r="L28" t="s">
        <v>74</v>
      </c>
      <c r="M28" t="s">
        <v>148</v>
      </c>
      <c r="N28" t="s">
        <v>149</v>
      </c>
      <c r="O28" t="s">
        <v>150</v>
      </c>
      <c r="P28" t="s">
        <v>151</v>
      </c>
      <c r="Q28" t="s">
        <v>66</v>
      </c>
      <c r="R28" s="1">
        <v>46205</v>
      </c>
      <c r="S28" t="s">
        <v>150</v>
      </c>
      <c r="T28" t="s">
        <v>152</v>
      </c>
      <c r="U28" t="s">
        <v>153</v>
      </c>
      <c r="V28" t="s">
        <v>66</v>
      </c>
      <c r="W28" t="s">
        <v>66</v>
      </c>
      <c r="X28">
        <v>2757400</v>
      </c>
      <c r="Y28">
        <v>303314</v>
      </c>
      <c r="Z28">
        <v>356400</v>
      </c>
      <c r="AA28">
        <v>39204</v>
      </c>
      <c r="AB28">
        <v>3060714</v>
      </c>
      <c r="AC28">
        <v>3</v>
      </c>
      <c r="AD28" t="s">
        <v>134</v>
      </c>
      <c r="AE28">
        <v>36</v>
      </c>
      <c r="AF28" t="s">
        <v>178</v>
      </c>
      <c r="AG28">
        <f>IFERROR(VLOOKUP(AF28,[1]STOK!J:O,6,0),"")</f>
        <v>12</v>
      </c>
      <c r="AH28" s="2">
        <f t="shared" si="0"/>
        <v>3</v>
      </c>
      <c r="AI28" t="s">
        <v>178</v>
      </c>
      <c r="AJ28" t="s">
        <v>179</v>
      </c>
      <c r="AK28" t="s">
        <v>180</v>
      </c>
      <c r="AL28" t="s">
        <v>86</v>
      </c>
      <c r="AM28">
        <v>131868</v>
      </c>
      <c r="AN28">
        <f t="shared" si="1"/>
        <v>131868</v>
      </c>
      <c r="AO28" t="s">
        <v>66</v>
      </c>
      <c r="AP28">
        <v>0</v>
      </c>
      <c r="AQ28" t="s">
        <v>66</v>
      </c>
      <c r="AR28">
        <v>0</v>
      </c>
      <c r="AS28" t="s">
        <v>66</v>
      </c>
      <c r="AT28">
        <v>0</v>
      </c>
      <c r="AU28" t="s">
        <v>66</v>
      </c>
      <c r="AV28">
        <v>0</v>
      </c>
      <c r="AW28" t="s">
        <v>66</v>
      </c>
      <c r="AX28">
        <v>0</v>
      </c>
      <c r="AY28" t="s">
        <v>66</v>
      </c>
      <c r="AZ28">
        <v>0</v>
      </c>
      <c r="BA28" t="s">
        <v>66</v>
      </c>
      <c r="BB28">
        <v>0</v>
      </c>
      <c r="BC28">
        <v>0</v>
      </c>
      <c r="BD28">
        <v>395604</v>
      </c>
      <c r="BE28">
        <v>0</v>
      </c>
      <c r="BF28">
        <v>0</v>
      </c>
      <c r="BG28" t="s">
        <v>87</v>
      </c>
      <c r="BH28" t="s">
        <v>157</v>
      </c>
      <c r="BI28">
        <v>36</v>
      </c>
      <c r="BJ28" t="s">
        <v>158</v>
      </c>
      <c r="BK28" t="s">
        <v>88</v>
      </c>
      <c r="BL28" t="s">
        <v>66</v>
      </c>
      <c r="BM28" t="s">
        <v>159</v>
      </c>
    </row>
    <row r="29" spans="1:65" x14ac:dyDescent="0.25">
      <c r="A29">
        <v>27</v>
      </c>
      <c r="B29" t="s">
        <v>181</v>
      </c>
      <c r="C29" t="s">
        <v>182</v>
      </c>
      <c r="D29" s="1">
        <v>46205</v>
      </c>
      <c r="E29" t="s">
        <v>183</v>
      </c>
      <c r="F29" t="s">
        <v>184</v>
      </c>
      <c r="G29" t="s">
        <v>69</v>
      </c>
      <c r="H29" t="s">
        <v>70</v>
      </c>
      <c r="I29" t="s">
        <v>71</v>
      </c>
      <c r="J29" t="s">
        <v>72</v>
      </c>
      <c r="K29" t="s">
        <v>73</v>
      </c>
      <c r="L29" t="s">
        <v>74</v>
      </c>
      <c r="M29" t="s">
        <v>148</v>
      </c>
      <c r="N29" t="s">
        <v>149</v>
      </c>
      <c r="O29" t="s">
        <v>150</v>
      </c>
      <c r="P29" t="s">
        <v>151</v>
      </c>
      <c r="Q29" t="s">
        <v>66</v>
      </c>
      <c r="R29" s="1">
        <v>46205</v>
      </c>
      <c r="S29" t="s">
        <v>150</v>
      </c>
      <c r="T29" t="s">
        <v>152</v>
      </c>
      <c r="U29" t="s">
        <v>153</v>
      </c>
      <c r="V29" t="s">
        <v>66</v>
      </c>
      <c r="W29" t="s">
        <v>66</v>
      </c>
      <c r="X29">
        <v>180000</v>
      </c>
      <c r="Y29">
        <v>19800</v>
      </c>
      <c r="Z29">
        <v>180000</v>
      </c>
      <c r="AA29">
        <v>19800</v>
      </c>
      <c r="AB29">
        <v>199800</v>
      </c>
      <c r="AC29">
        <v>1</v>
      </c>
      <c r="AD29" t="s">
        <v>134</v>
      </c>
      <c r="AE29">
        <v>72</v>
      </c>
      <c r="AF29" t="s">
        <v>185</v>
      </c>
      <c r="AG29">
        <f>IFERROR(VLOOKUP(AF29,[1]STOK!J:O,6,0),"")</f>
        <v>72</v>
      </c>
      <c r="AH29" s="2">
        <f t="shared" si="0"/>
        <v>1</v>
      </c>
      <c r="AI29" t="s">
        <v>185</v>
      </c>
      <c r="AJ29" t="s">
        <v>186</v>
      </c>
      <c r="AK29" t="s">
        <v>187</v>
      </c>
      <c r="AL29" t="s">
        <v>86</v>
      </c>
      <c r="AM29">
        <v>199800</v>
      </c>
      <c r="AN29">
        <f t="shared" si="1"/>
        <v>199800</v>
      </c>
      <c r="AO29" t="s">
        <v>66</v>
      </c>
      <c r="AP29">
        <v>0</v>
      </c>
      <c r="AQ29" t="s">
        <v>66</v>
      </c>
      <c r="AR29">
        <v>0</v>
      </c>
      <c r="AS29" t="s">
        <v>66</v>
      </c>
      <c r="AT29">
        <v>0</v>
      </c>
      <c r="AU29" t="s">
        <v>66</v>
      </c>
      <c r="AV29">
        <v>0</v>
      </c>
      <c r="AW29" t="s">
        <v>66</v>
      </c>
      <c r="AX29">
        <v>0</v>
      </c>
      <c r="AY29" t="s">
        <v>66</v>
      </c>
      <c r="AZ29">
        <v>0</v>
      </c>
      <c r="BA29" t="s">
        <v>66</v>
      </c>
      <c r="BB29">
        <v>0</v>
      </c>
      <c r="BC29">
        <v>0</v>
      </c>
      <c r="BD29">
        <v>199800</v>
      </c>
      <c r="BE29">
        <v>2243.7199999999998</v>
      </c>
      <c r="BF29">
        <v>0</v>
      </c>
      <c r="BG29" t="s">
        <v>87</v>
      </c>
      <c r="BH29" t="s">
        <v>188</v>
      </c>
      <c r="BI29">
        <v>72</v>
      </c>
      <c r="BJ29" t="s">
        <v>189</v>
      </c>
      <c r="BK29" t="s">
        <v>88</v>
      </c>
      <c r="BL29" t="s">
        <v>66</v>
      </c>
      <c r="BM29" t="s">
        <v>159</v>
      </c>
    </row>
    <row r="30" spans="1:65" x14ac:dyDescent="0.25">
      <c r="A30">
        <v>28</v>
      </c>
      <c r="B30" t="s">
        <v>190</v>
      </c>
      <c r="C30" t="s">
        <v>66</v>
      </c>
      <c r="D30" s="1">
        <v>46206</v>
      </c>
      <c r="E30" t="s">
        <v>191</v>
      </c>
      <c r="F30" t="s">
        <v>68</v>
      </c>
      <c r="G30" t="s">
        <v>69</v>
      </c>
      <c r="H30" t="s">
        <v>70</v>
      </c>
      <c r="I30" t="s">
        <v>71</v>
      </c>
      <c r="J30" t="s">
        <v>72</v>
      </c>
      <c r="K30" t="s">
        <v>73</v>
      </c>
      <c r="L30" t="s">
        <v>74</v>
      </c>
      <c r="M30" t="s">
        <v>192</v>
      </c>
      <c r="N30" t="s">
        <v>76</v>
      </c>
      <c r="O30" t="s">
        <v>193</v>
      </c>
      <c r="P30" t="s">
        <v>194</v>
      </c>
      <c r="Q30" t="s">
        <v>66</v>
      </c>
      <c r="R30" s="1">
        <v>46206</v>
      </c>
      <c r="S30" t="s">
        <v>195</v>
      </c>
      <c r="T30" t="s">
        <v>196</v>
      </c>
      <c r="U30" t="s">
        <v>66</v>
      </c>
      <c r="V30" t="s">
        <v>197</v>
      </c>
      <c r="W30" t="s">
        <v>66</v>
      </c>
      <c r="X30">
        <v>285000</v>
      </c>
      <c r="Y30">
        <v>31350</v>
      </c>
      <c r="Z30">
        <v>22200</v>
      </c>
      <c r="AA30">
        <v>2442</v>
      </c>
      <c r="AB30">
        <v>316350</v>
      </c>
      <c r="AC30">
        <v>3</v>
      </c>
      <c r="AD30" t="s">
        <v>82</v>
      </c>
      <c r="AE30">
        <v>3</v>
      </c>
      <c r="AF30" t="s">
        <v>83</v>
      </c>
      <c r="AG30">
        <f>IFERROR(VLOOKUP(AF30,[1]STOK!J:O,6,0),"")</f>
        <v>24</v>
      </c>
      <c r="AH30" s="2">
        <f t="shared" si="0"/>
        <v>0.125</v>
      </c>
      <c r="AI30" t="s">
        <v>83</v>
      </c>
      <c r="AJ30" t="s">
        <v>84</v>
      </c>
      <c r="AK30" t="s">
        <v>85</v>
      </c>
      <c r="AL30" t="s">
        <v>86</v>
      </c>
      <c r="AM30">
        <v>8214</v>
      </c>
      <c r="AN30">
        <f t="shared" si="1"/>
        <v>8214</v>
      </c>
      <c r="AO30" t="s">
        <v>66</v>
      </c>
      <c r="AP30">
        <v>0</v>
      </c>
      <c r="AQ30" t="s">
        <v>66</v>
      </c>
      <c r="AR30">
        <v>0</v>
      </c>
      <c r="AS30" t="s">
        <v>66</v>
      </c>
      <c r="AT30">
        <v>0</v>
      </c>
      <c r="AU30" t="s">
        <v>66</v>
      </c>
      <c r="AV30">
        <v>0</v>
      </c>
      <c r="AW30" t="s">
        <v>66</v>
      </c>
      <c r="AX30">
        <v>0</v>
      </c>
      <c r="AY30" t="s">
        <v>66</v>
      </c>
      <c r="AZ30">
        <v>0</v>
      </c>
      <c r="BA30" t="s">
        <v>66</v>
      </c>
      <c r="BB30">
        <v>0</v>
      </c>
      <c r="BC30">
        <v>0</v>
      </c>
      <c r="BD30">
        <v>24642</v>
      </c>
      <c r="BE30">
        <v>6704.84</v>
      </c>
      <c r="BF30">
        <v>0</v>
      </c>
      <c r="BG30" t="s">
        <v>87</v>
      </c>
      <c r="BH30" t="s">
        <v>66</v>
      </c>
      <c r="BI30">
        <v>0</v>
      </c>
      <c r="BJ30" t="s">
        <v>66</v>
      </c>
      <c r="BK30" t="s">
        <v>88</v>
      </c>
      <c r="BL30" t="s">
        <v>198</v>
      </c>
      <c r="BM30" t="s">
        <v>89</v>
      </c>
    </row>
    <row r="31" spans="1:65" x14ac:dyDescent="0.25">
      <c r="A31">
        <v>29</v>
      </c>
      <c r="B31" t="s">
        <v>190</v>
      </c>
      <c r="C31" t="s">
        <v>66</v>
      </c>
      <c r="D31" s="1">
        <v>46206</v>
      </c>
      <c r="E31" t="s">
        <v>191</v>
      </c>
      <c r="F31" t="s">
        <v>68</v>
      </c>
      <c r="G31" t="s">
        <v>69</v>
      </c>
      <c r="H31" t="s">
        <v>70</v>
      </c>
      <c r="I31" t="s">
        <v>71</v>
      </c>
      <c r="J31" t="s">
        <v>72</v>
      </c>
      <c r="K31" t="s">
        <v>73</v>
      </c>
      <c r="L31" t="s">
        <v>74</v>
      </c>
      <c r="M31" t="s">
        <v>192</v>
      </c>
      <c r="N31" t="s">
        <v>76</v>
      </c>
      <c r="O31" t="s">
        <v>193</v>
      </c>
      <c r="P31" t="s">
        <v>194</v>
      </c>
      <c r="Q31" t="s">
        <v>66</v>
      </c>
      <c r="R31" s="1">
        <v>46206</v>
      </c>
      <c r="S31" t="s">
        <v>195</v>
      </c>
      <c r="T31" t="s">
        <v>196</v>
      </c>
      <c r="U31" t="s">
        <v>66</v>
      </c>
      <c r="V31" t="s">
        <v>197</v>
      </c>
      <c r="W31" t="s">
        <v>66</v>
      </c>
      <c r="X31">
        <v>285000</v>
      </c>
      <c r="Y31">
        <v>31350</v>
      </c>
      <c r="Z31">
        <v>23700</v>
      </c>
      <c r="AA31">
        <v>2607</v>
      </c>
      <c r="AB31">
        <v>316350</v>
      </c>
      <c r="AC31">
        <v>3</v>
      </c>
      <c r="AD31" t="s">
        <v>82</v>
      </c>
      <c r="AE31">
        <v>3</v>
      </c>
      <c r="AF31" t="s">
        <v>199</v>
      </c>
      <c r="AG31">
        <f>IFERROR(VLOOKUP(AF31,[1]STOK!J:O,6,0),"")</f>
        <v>24</v>
      </c>
      <c r="AH31" s="2">
        <f t="shared" si="0"/>
        <v>0.125</v>
      </c>
      <c r="AI31" t="s">
        <v>199</v>
      </c>
      <c r="AJ31" t="s">
        <v>200</v>
      </c>
      <c r="AK31" t="s">
        <v>201</v>
      </c>
      <c r="AL31" t="s">
        <v>86</v>
      </c>
      <c r="AM31">
        <v>8769</v>
      </c>
      <c r="AN31">
        <f t="shared" si="1"/>
        <v>8769</v>
      </c>
      <c r="AO31" t="s">
        <v>66</v>
      </c>
      <c r="AP31">
        <v>0</v>
      </c>
      <c r="AQ31" t="s">
        <v>66</v>
      </c>
      <c r="AR31">
        <v>0</v>
      </c>
      <c r="AS31" t="s">
        <v>66</v>
      </c>
      <c r="AT31">
        <v>0</v>
      </c>
      <c r="AU31" t="s">
        <v>66</v>
      </c>
      <c r="AV31">
        <v>0</v>
      </c>
      <c r="AW31" t="s">
        <v>66</v>
      </c>
      <c r="AX31">
        <v>0</v>
      </c>
      <c r="AY31" t="s">
        <v>66</v>
      </c>
      <c r="AZ31">
        <v>0</v>
      </c>
      <c r="BA31" t="s">
        <v>66</v>
      </c>
      <c r="BB31">
        <v>0</v>
      </c>
      <c r="BC31">
        <v>0</v>
      </c>
      <c r="BD31">
        <v>26307</v>
      </c>
      <c r="BE31">
        <v>7114.38</v>
      </c>
      <c r="BF31">
        <v>0</v>
      </c>
      <c r="BG31" t="s">
        <v>87</v>
      </c>
      <c r="BH31" t="s">
        <v>66</v>
      </c>
      <c r="BI31">
        <v>0</v>
      </c>
      <c r="BJ31" t="s">
        <v>66</v>
      </c>
      <c r="BK31" t="s">
        <v>88</v>
      </c>
      <c r="BL31" t="s">
        <v>198</v>
      </c>
      <c r="BM31" t="s">
        <v>89</v>
      </c>
    </row>
    <row r="32" spans="1:65" x14ac:dyDescent="0.25">
      <c r="A32">
        <v>30</v>
      </c>
      <c r="B32" t="s">
        <v>190</v>
      </c>
      <c r="C32" t="s">
        <v>66</v>
      </c>
      <c r="D32" s="1">
        <v>46206</v>
      </c>
      <c r="E32" t="s">
        <v>191</v>
      </c>
      <c r="F32" t="s">
        <v>68</v>
      </c>
      <c r="G32" t="s">
        <v>69</v>
      </c>
      <c r="H32" t="s">
        <v>70</v>
      </c>
      <c r="I32" t="s">
        <v>71</v>
      </c>
      <c r="J32" t="s">
        <v>72</v>
      </c>
      <c r="K32" t="s">
        <v>73</v>
      </c>
      <c r="L32" t="s">
        <v>74</v>
      </c>
      <c r="M32" t="s">
        <v>192</v>
      </c>
      <c r="N32" t="s">
        <v>76</v>
      </c>
      <c r="O32" t="s">
        <v>193</v>
      </c>
      <c r="P32" t="s">
        <v>194</v>
      </c>
      <c r="Q32" t="s">
        <v>66</v>
      </c>
      <c r="R32" s="1">
        <v>46206</v>
      </c>
      <c r="S32" t="s">
        <v>195</v>
      </c>
      <c r="T32" t="s">
        <v>196</v>
      </c>
      <c r="U32" t="s">
        <v>66</v>
      </c>
      <c r="V32" t="s">
        <v>197</v>
      </c>
      <c r="W32" t="s">
        <v>66</v>
      </c>
      <c r="X32">
        <v>285000</v>
      </c>
      <c r="Y32">
        <v>31350</v>
      </c>
      <c r="Z32">
        <v>17100</v>
      </c>
      <c r="AA32">
        <v>1881</v>
      </c>
      <c r="AB32">
        <v>316350</v>
      </c>
      <c r="AC32">
        <v>3</v>
      </c>
      <c r="AD32" t="s">
        <v>82</v>
      </c>
      <c r="AE32">
        <v>3</v>
      </c>
      <c r="AF32" t="s">
        <v>202</v>
      </c>
      <c r="AG32">
        <f>IFERROR(VLOOKUP(AF32,[1]STOK!J:O,6,0),"")</f>
        <v>48</v>
      </c>
      <c r="AH32" s="2">
        <f t="shared" si="0"/>
        <v>6.25E-2</v>
      </c>
      <c r="AI32" t="s">
        <v>202</v>
      </c>
      <c r="AJ32" t="s">
        <v>203</v>
      </c>
      <c r="AK32" t="s">
        <v>204</v>
      </c>
      <c r="AL32" t="s">
        <v>86</v>
      </c>
      <c r="AM32">
        <v>6327</v>
      </c>
      <c r="AN32">
        <f t="shared" si="1"/>
        <v>6327</v>
      </c>
      <c r="AO32" t="s">
        <v>66</v>
      </c>
      <c r="AP32">
        <v>0</v>
      </c>
      <c r="AQ32" t="s">
        <v>66</v>
      </c>
      <c r="AR32">
        <v>0</v>
      </c>
      <c r="AS32" t="s">
        <v>66</v>
      </c>
      <c r="AT32">
        <v>0</v>
      </c>
      <c r="AU32" t="s">
        <v>66</v>
      </c>
      <c r="AV32">
        <v>0</v>
      </c>
      <c r="AW32" t="s">
        <v>66</v>
      </c>
      <c r="AX32">
        <v>0</v>
      </c>
      <c r="AY32" t="s">
        <v>66</v>
      </c>
      <c r="AZ32">
        <v>0</v>
      </c>
      <c r="BA32" t="s">
        <v>66</v>
      </c>
      <c r="BB32">
        <v>0</v>
      </c>
      <c r="BC32">
        <v>0</v>
      </c>
      <c r="BD32">
        <v>18981</v>
      </c>
      <c r="BE32">
        <v>5116.25</v>
      </c>
      <c r="BF32">
        <v>0</v>
      </c>
      <c r="BG32" t="s">
        <v>87</v>
      </c>
      <c r="BH32" t="s">
        <v>66</v>
      </c>
      <c r="BI32">
        <v>0</v>
      </c>
      <c r="BJ32" t="s">
        <v>66</v>
      </c>
      <c r="BK32" t="s">
        <v>88</v>
      </c>
      <c r="BL32" t="s">
        <v>198</v>
      </c>
      <c r="BM32" t="s">
        <v>89</v>
      </c>
    </row>
    <row r="33" spans="1:65" x14ac:dyDescent="0.25">
      <c r="A33">
        <v>31</v>
      </c>
      <c r="B33" t="s">
        <v>190</v>
      </c>
      <c r="C33" t="s">
        <v>66</v>
      </c>
      <c r="D33" s="1">
        <v>46206</v>
      </c>
      <c r="E33" t="s">
        <v>191</v>
      </c>
      <c r="F33" t="s">
        <v>68</v>
      </c>
      <c r="G33" t="s">
        <v>69</v>
      </c>
      <c r="H33" t="s">
        <v>70</v>
      </c>
      <c r="I33" t="s">
        <v>71</v>
      </c>
      <c r="J33" t="s">
        <v>72</v>
      </c>
      <c r="K33" t="s">
        <v>73</v>
      </c>
      <c r="L33" t="s">
        <v>74</v>
      </c>
      <c r="M33" t="s">
        <v>192</v>
      </c>
      <c r="N33" t="s">
        <v>76</v>
      </c>
      <c r="O33" t="s">
        <v>193</v>
      </c>
      <c r="P33" t="s">
        <v>194</v>
      </c>
      <c r="Q33" t="s">
        <v>66</v>
      </c>
      <c r="R33" s="1">
        <v>46206</v>
      </c>
      <c r="S33" t="s">
        <v>195</v>
      </c>
      <c r="T33" t="s">
        <v>196</v>
      </c>
      <c r="U33" t="s">
        <v>66</v>
      </c>
      <c r="V33" t="s">
        <v>197</v>
      </c>
      <c r="W33" t="s">
        <v>66</v>
      </c>
      <c r="X33">
        <v>285000</v>
      </c>
      <c r="Y33">
        <v>31350</v>
      </c>
      <c r="Z33">
        <v>49500</v>
      </c>
      <c r="AA33">
        <v>5445</v>
      </c>
      <c r="AB33">
        <v>316350</v>
      </c>
      <c r="AC33">
        <v>3</v>
      </c>
      <c r="AD33" t="s">
        <v>82</v>
      </c>
      <c r="AE33">
        <v>3</v>
      </c>
      <c r="AF33" t="s">
        <v>205</v>
      </c>
      <c r="AG33">
        <f>IFERROR(VLOOKUP(AF33,[1]STOK!J:O,6,0),"")</f>
        <v>24</v>
      </c>
      <c r="AH33" s="2">
        <f t="shared" si="0"/>
        <v>0.125</v>
      </c>
      <c r="AI33" t="s">
        <v>205</v>
      </c>
      <c r="AJ33" t="s">
        <v>206</v>
      </c>
      <c r="AK33" t="s">
        <v>207</v>
      </c>
      <c r="AL33" t="s">
        <v>86</v>
      </c>
      <c r="AM33">
        <v>18315</v>
      </c>
      <c r="AN33">
        <f t="shared" si="1"/>
        <v>18315</v>
      </c>
      <c r="AO33" t="s">
        <v>66</v>
      </c>
      <c r="AP33">
        <v>0</v>
      </c>
      <c r="AQ33" t="s">
        <v>66</v>
      </c>
      <c r="AR33">
        <v>0</v>
      </c>
      <c r="AS33" t="s">
        <v>66</v>
      </c>
      <c r="AT33">
        <v>0</v>
      </c>
      <c r="AU33" t="s">
        <v>66</v>
      </c>
      <c r="AV33">
        <v>0</v>
      </c>
      <c r="AW33" t="s">
        <v>66</v>
      </c>
      <c r="AX33">
        <v>0</v>
      </c>
      <c r="AY33" t="s">
        <v>66</v>
      </c>
      <c r="AZ33">
        <v>0</v>
      </c>
      <c r="BA33" t="s">
        <v>66</v>
      </c>
      <c r="BB33">
        <v>0</v>
      </c>
      <c r="BC33">
        <v>0</v>
      </c>
      <c r="BD33">
        <v>54945</v>
      </c>
      <c r="BE33">
        <v>14865.57</v>
      </c>
      <c r="BF33">
        <v>0</v>
      </c>
      <c r="BG33" t="s">
        <v>87</v>
      </c>
      <c r="BH33" t="s">
        <v>208</v>
      </c>
      <c r="BI33">
        <v>3</v>
      </c>
      <c r="BJ33" t="s">
        <v>209</v>
      </c>
      <c r="BK33" t="s">
        <v>88</v>
      </c>
      <c r="BL33" t="s">
        <v>198</v>
      </c>
      <c r="BM33" t="s">
        <v>89</v>
      </c>
    </row>
    <row r="34" spans="1:65" x14ac:dyDescent="0.25">
      <c r="A34">
        <v>32</v>
      </c>
      <c r="B34" t="s">
        <v>190</v>
      </c>
      <c r="C34" t="s">
        <v>66</v>
      </c>
      <c r="D34" s="1">
        <v>46206</v>
      </c>
      <c r="E34" t="s">
        <v>191</v>
      </c>
      <c r="F34" t="s">
        <v>68</v>
      </c>
      <c r="G34" t="s">
        <v>69</v>
      </c>
      <c r="H34" t="s">
        <v>70</v>
      </c>
      <c r="I34" t="s">
        <v>71</v>
      </c>
      <c r="J34" t="s">
        <v>72</v>
      </c>
      <c r="K34" t="s">
        <v>73</v>
      </c>
      <c r="L34" t="s">
        <v>74</v>
      </c>
      <c r="M34" t="s">
        <v>192</v>
      </c>
      <c r="N34" t="s">
        <v>76</v>
      </c>
      <c r="O34" t="s">
        <v>193</v>
      </c>
      <c r="P34" t="s">
        <v>194</v>
      </c>
      <c r="Q34" t="s">
        <v>66</v>
      </c>
      <c r="R34" s="1">
        <v>46206</v>
      </c>
      <c r="S34" t="s">
        <v>195</v>
      </c>
      <c r="T34" t="s">
        <v>196</v>
      </c>
      <c r="U34" t="s">
        <v>66</v>
      </c>
      <c r="V34" t="s">
        <v>197</v>
      </c>
      <c r="W34" t="s">
        <v>66</v>
      </c>
      <c r="X34">
        <v>285000</v>
      </c>
      <c r="Y34">
        <v>31350</v>
      </c>
      <c r="Z34">
        <v>49500</v>
      </c>
      <c r="AA34">
        <v>5445</v>
      </c>
      <c r="AB34">
        <v>316350</v>
      </c>
      <c r="AC34">
        <v>3</v>
      </c>
      <c r="AD34" t="s">
        <v>82</v>
      </c>
      <c r="AE34">
        <v>3</v>
      </c>
      <c r="AF34" t="s">
        <v>99</v>
      </c>
      <c r="AG34">
        <f>IFERROR(VLOOKUP(AF34,[1]STOK!J:O,6,0),"")</f>
        <v>24</v>
      </c>
      <c r="AH34" s="2">
        <f t="shared" si="0"/>
        <v>0.125</v>
      </c>
      <c r="AI34" t="s">
        <v>99</v>
      </c>
      <c r="AJ34" t="s">
        <v>100</v>
      </c>
      <c r="AK34" t="s">
        <v>101</v>
      </c>
      <c r="AL34" t="s">
        <v>86</v>
      </c>
      <c r="AM34">
        <v>18315</v>
      </c>
      <c r="AN34">
        <f t="shared" si="1"/>
        <v>18315</v>
      </c>
      <c r="AO34" t="s">
        <v>66</v>
      </c>
      <c r="AP34">
        <v>0</v>
      </c>
      <c r="AQ34" t="s">
        <v>66</v>
      </c>
      <c r="AR34">
        <v>0</v>
      </c>
      <c r="AS34" t="s">
        <v>66</v>
      </c>
      <c r="AT34">
        <v>0</v>
      </c>
      <c r="AU34" t="s">
        <v>66</v>
      </c>
      <c r="AV34">
        <v>0</v>
      </c>
      <c r="AW34" t="s">
        <v>66</v>
      </c>
      <c r="AX34">
        <v>0</v>
      </c>
      <c r="AY34" t="s">
        <v>66</v>
      </c>
      <c r="AZ34">
        <v>0</v>
      </c>
      <c r="BA34" t="s">
        <v>66</v>
      </c>
      <c r="BB34">
        <v>0</v>
      </c>
      <c r="BC34">
        <v>0</v>
      </c>
      <c r="BD34">
        <v>54945</v>
      </c>
      <c r="BE34">
        <v>14915.33</v>
      </c>
      <c r="BF34">
        <v>0</v>
      </c>
      <c r="BG34" t="s">
        <v>87</v>
      </c>
      <c r="BH34" t="s">
        <v>208</v>
      </c>
      <c r="BI34">
        <v>3</v>
      </c>
      <c r="BJ34" t="s">
        <v>209</v>
      </c>
      <c r="BK34" t="s">
        <v>88</v>
      </c>
      <c r="BL34" t="s">
        <v>198</v>
      </c>
      <c r="BM34" t="s">
        <v>89</v>
      </c>
    </row>
    <row r="35" spans="1:65" x14ac:dyDescent="0.25">
      <c r="A35">
        <v>33</v>
      </c>
      <c r="B35" t="s">
        <v>190</v>
      </c>
      <c r="C35" t="s">
        <v>66</v>
      </c>
      <c r="D35" s="1">
        <v>46206</v>
      </c>
      <c r="E35" t="s">
        <v>191</v>
      </c>
      <c r="F35" t="s">
        <v>68</v>
      </c>
      <c r="G35" t="s">
        <v>69</v>
      </c>
      <c r="H35" t="s">
        <v>70</v>
      </c>
      <c r="I35" t="s">
        <v>71</v>
      </c>
      <c r="J35" t="s">
        <v>72</v>
      </c>
      <c r="K35" t="s">
        <v>73</v>
      </c>
      <c r="L35" t="s">
        <v>74</v>
      </c>
      <c r="M35" t="s">
        <v>192</v>
      </c>
      <c r="N35" t="s">
        <v>76</v>
      </c>
      <c r="O35" t="s">
        <v>193</v>
      </c>
      <c r="P35" t="s">
        <v>194</v>
      </c>
      <c r="Q35" t="s">
        <v>66</v>
      </c>
      <c r="R35" s="1">
        <v>46206</v>
      </c>
      <c r="S35" t="s">
        <v>195</v>
      </c>
      <c r="T35" t="s">
        <v>196</v>
      </c>
      <c r="U35" t="s">
        <v>66</v>
      </c>
      <c r="V35" t="s">
        <v>197</v>
      </c>
      <c r="W35" t="s">
        <v>66</v>
      </c>
      <c r="X35">
        <v>285000</v>
      </c>
      <c r="Y35">
        <v>31350</v>
      </c>
      <c r="Z35">
        <v>39900</v>
      </c>
      <c r="AA35">
        <v>4389</v>
      </c>
      <c r="AB35">
        <v>316350</v>
      </c>
      <c r="AC35">
        <v>3</v>
      </c>
      <c r="AD35" t="s">
        <v>82</v>
      </c>
      <c r="AE35">
        <v>3</v>
      </c>
      <c r="AF35" t="s">
        <v>135</v>
      </c>
      <c r="AG35">
        <f>IFERROR(VLOOKUP(AF35,[1]STOK!J:O,6,0),"")</f>
        <v>12</v>
      </c>
      <c r="AH35" s="2">
        <f t="shared" si="0"/>
        <v>0.25</v>
      </c>
      <c r="AI35" t="s">
        <v>135</v>
      </c>
      <c r="AJ35" t="s">
        <v>136</v>
      </c>
      <c r="AK35" t="s">
        <v>137</v>
      </c>
      <c r="AL35" t="s">
        <v>86</v>
      </c>
      <c r="AM35">
        <v>14763</v>
      </c>
      <c r="AN35">
        <f t="shared" si="1"/>
        <v>14763</v>
      </c>
      <c r="AO35" t="s">
        <v>66</v>
      </c>
      <c r="AP35">
        <v>0</v>
      </c>
      <c r="AQ35" t="s">
        <v>66</v>
      </c>
      <c r="AR35">
        <v>0</v>
      </c>
      <c r="AS35" t="s">
        <v>66</v>
      </c>
      <c r="AT35">
        <v>0</v>
      </c>
      <c r="AU35" t="s">
        <v>66</v>
      </c>
      <c r="AV35">
        <v>0</v>
      </c>
      <c r="AW35" t="s">
        <v>66</v>
      </c>
      <c r="AX35">
        <v>0</v>
      </c>
      <c r="AY35" t="s">
        <v>66</v>
      </c>
      <c r="AZ35">
        <v>0</v>
      </c>
      <c r="BA35" t="s">
        <v>66</v>
      </c>
      <c r="BB35">
        <v>0</v>
      </c>
      <c r="BC35">
        <v>0</v>
      </c>
      <c r="BD35">
        <v>44289</v>
      </c>
      <c r="BE35">
        <v>12026.74</v>
      </c>
      <c r="BF35">
        <v>0</v>
      </c>
      <c r="BG35" t="s">
        <v>87</v>
      </c>
      <c r="BH35" t="s">
        <v>66</v>
      </c>
      <c r="BI35">
        <v>0</v>
      </c>
      <c r="BJ35" t="s">
        <v>66</v>
      </c>
      <c r="BK35" t="s">
        <v>88</v>
      </c>
      <c r="BL35" t="s">
        <v>198</v>
      </c>
      <c r="BM35" t="s">
        <v>89</v>
      </c>
    </row>
    <row r="36" spans="1:65" x14ac:dyDescent="0.25">
      <c r="A36">
        <v>34</v>
      </c>
      <c r="B36" t="s">
        <v>190</v>
      </c>
      <c r="C36" t="s">
        <v>66</v>
      </c>
      <c r="D36" s="1">
        <v>46206</v>
      </c>
      <c r="E36" t="s">
        <v>191</v>
      </c>
      <c r="F36" t="s">
        <v>68</v>
      </c>
      <c r="G36" t="s">
        <v>69</v>
      </c>
      <c r="H36" t="s">
        <v>70</v>
      </c>
      <c r="I36" t="s">
        <v>71</v>
      </c>
      <c r="J36" t="s">
        <v>72</v>
      </c>
      <c r="K36" t="s">
        <v>73</v>
      </c>
      <c r="L36" t="s">
        <v>74</v>
      </c>
      <c r="M36" t="s">
        <v>192</v>
      </c>
      <c r="N36" t="s">
        <v>76</v>
      </c>
      <c r="O36" t="s">
        <v>193</v>
      </c>
      <c r="P36" t="s">
        <v>194</v>
      </c>
      <c r="Q36" t="s">
        <v>66</v>
      </c>
      <c r="R36" s="1">
        <v>46206</v>
      </c>
      <c r="S36" t="s">
        <v>195</v>
      </c>
      <c r="T36" t="s">
        <v>196</v>
      </c>
      <c r="U36" t="s">
        <v>66</v>
      </c>
      <c r="V36" t="s">
        <v>197</v>
      </c>
      <c r="W36" t="s">
        <v>66</v>
      </c>
      <c r="X36">
        <v>285000</v>
      </c>
      <c r="Y36">
        <v>31350</v>
      </c>
      <c r="Z36">
        <v>39900</v>
      </c>
      <c r="AA36">
        <v>4389</v>
      </c>
      <c r="AB36">
        <v>316350</v>
      </c>
      <c r="AC36">
        <v>3</v>
      </c>
      <c r="AD36" t="s">
        <v>82</v>
      </c>
      <c r="AE36">
        <v>3</v>
      </c>
      <c r="AF36" t="s">
        <v>210</v>
      </c>
      <c r="AG36">
        <f>IFERROR(VLOOKUP(AF36,[1]STOK!J:O,6,0),"")</f>
        <v>12</v>
      </c>
      <c r="AH36" s="2">
        <f t="shared" si="0"/>
        <v>0.25</v>
      </c>
      <c r="AI36" t="s">
        <v>210</v>
      </c>
      <c r="AJ36" t="s">
        <v>211</v>
      </c>
      <c r="AK36" t="s">
        <v>212</v>
      </c>
      <c r="AL36" t="s">
        <v>86</v>
      </c>
      <c r="AM36">
        <v>14763</v>
      </c>
      <c r="AN36">
        <f t="shared" si="1"/>
        <v>14763</v>
      </c>
      <c r="AO36" t="s">
        <v>66</v>
      </c>
      <c r="AP36">
        <v>0</v>
      </c>
      <c r="AQ36" t="s">
        <v>66</v>
      </c>
      <c r="AR36">
        <v>0</v>
      </c>
      <c r="AS36" t="s">
        <v>66</v>
      </c>
      <c r="AT36">
        <v>0</v>
      </c>
      <c r="AU36" t="s">
        <v>66</v>
      </c>
      <c r="AV36">
        <v>0</v>
      </c>
      <c r="AW36" t="s">
        <v>66</v>
      </c>
      <c r="AX36">
        <v>0</v>
      </c>
      <c r="AY36" t="s">
        <v>66</v>
      </c>
      <c r="AZ36">
        <v>0</v>
      </c>
      <c r="BA36" t="s">
        <v>66</v>
      </c>
      <c r="BB36">
        <v>0</v>
      </c>
      <c r="BC36">
        <v>0</v>
      </c>
      <c r="BD36">
        <v>44289</v>
      </c>
      <c r="BE36">
        <v>12009.37</v>
      </c>
      <c r="BF36">
        <v>0</v>
      </c>
      <c r="BG36" t="s">
        <v>87</v>
      </c>
      <c r="BH36" t="s">
        <v>66</v>
      </c>
      <c r="BI36">
        <v>0</v>
      </c>
      <c r="BJ36" t="s">
        <v>66</v>
      </c>
      <c r="BK36" t="s">
        <v>88</v>
      </c>
      <c r="BL36" t="s">
        <v>198</v>
      </c>
      <c r="BM36" t="s">
        <v>89</v>
      </c>
    </row>
    <row r="37" spans="1:65" x14ac:dyDescent="0.25">
      <c r="A37">
        <v>35</v>
      </c>
      <c r="B37" t="s">
        <v>190</v>
      </c>
      <c r="C37" t="s">
        <v>66</v>
      </c>
      <c r="D37" s="1">
        <v>46206</v>
      </c>
      <c r="E37" t="s">
        <v>191</v>
      </c>
      <c r="F37" t="s">
        <v>68</v>
      </c>
      <c r="G37" t="s">
        <v>69</v>
      </c>
      <c r="H37" t="s">
        <v>70</v>
      </c>
      <c r="I37" t="s">
        <v>71</v>
      </c>
      <c r="J37" t="s">
        <v>72</v>
      </c>
      <c r="K37" t="s">
        <v>73</v>
      </c>
      <c r="L37" t="s">
        <v>74</v>
      </c>
      <c r="M37" t="s">
        <v>192</v>
      </c>
      <c r="N37" t="s">
        <v>76</v>
      </c>
      <c r="O37" t="s">
        <v>193</v>
      </c>
      <c r="P37" t="s">
        <v>194</v>
      </c>
      <c r="Q37" t="s">
        <v>66</v>
      </c>
      <c r="R37" s="1">
        <v>46206</v>
      </c>
      <c r="S37" t="s">
        <v>195</v>
      </c>
      <c r="T37" t="s">
        <v>196</v>
      </c>
      <c r="U37" t="s">
        <v>66</v>
      </c>
      <c r="V37" t="s">
        <v>197</v>
      </c>
      <c r="W37" t="s">
        <v>66</v>
      </c>
      <c r="X37">
        <v>285000</v>
      </c>
      <c r="Y37">
        <v>31350</v>
      </c>
      <c r="Z37">
        <v>43200</v>
      </c>
      <c r="AA37">
        <v>4752</v>
      </c>
      <c r="AB37">
        <v>316350</v>
      </c>
      <c r="AC37">
        <v>3</v>
      </c>
      <c r="AD37" t="s">
        <v>82</v>
      </c>
      <c r="AE37">
        <v>3</v>
      </c>
      <c r="AF37" t="s">
        <v>213</v>
      </c>
      <c r="AG37">
        <f>IFERROR(VLOOKUP(AF37,[1]STOK!J:O,6,0),"")</f>
        <v>12</v>
      </c>
      <c r="AH37" s="2">
        <f t="shared" si="0"/>
        <v>0.25</v>
      </c>
      <c r="AI37" t="s">
        <v>213</v>
      </c>
      <c r="AJ37" t="s">
        <v>214</v>
      </c>
      <c r="AK37" t="s">
        <v>215</v>
      </c>
      <c r="AL37" t="s">
        <v>86</v>
      </c>
      <c r="AM37">
        <v>15984</v>
      </c>
      <c r="AN37">
        <f t="shared" si="1"/>
        <v>15984</v>
      </c>
      <c r="AO37" t="s">
        <v>66</v>
      </c>
      <c r="AP37">
        <v>0</v>
      </c>
      <c r="AQ37" t="s">
        <v>66</v>
      </c>
      <c r="AR37">
        <v>0</v>
      </c>
      <c r="AS37" t="s">
        <v>66</v>
      </c>
      <c r="AT37">
        <v>0</v>
      </c>
      <c r="AU37" t="s">
        <v>66</v>
      </c>
      <c r="AV37">
        <v>0</v>
      </c>
      <c r="AW37" t="s">
        <v>66</v>
      </c>
      <c r="AX37">
        <v>0</v>
      </c>
      <c r="AY37" t="s">
        <v>66</v>
      </c>
      <c r="AZ37">
        <v>0</v>
      </c>
      <c r="BA37" t="s">
        <v>66</v>
      </c>
      <c r="BB37">
        <v>0</v>
      </c>
      <c r="BC37">
        <v>0</v>
      </c>
      <c r="BD37">
        <v>47952</v>
      </c>
      <c r="BE37">
        <v>12991.38</v>
      </c>
      <c r="BF37">
        <v>0</v>
      </c>
      <c r="BG37" t="s">
        <v>87</v>
      </c>
      <c r="BH37" t="s">
        <v>66</v>
      </c>
      <c r="BI37">
        <v>0</v>
      </c>
      <c r="BJ37" t="s">
        <v>66</v>
      </c>
      <c r="BK37" t="s">
        <v>88</v>
      </c>
      <c r="BL37" t="s">
        <v>198</v>
      </c>
      <c r="BM37" t="s">
        <v>89</v>
      </c>
    </row>
    <row r="38" spans="1:65" x14ac:dyDescent="0.25">
      <c r="A38">
        <v>36</v>
      </c>
      <c r="B38" t="s">
        <v>216</v>
      </c>
      <c r="C38" t="s">
        <v>66</v>
      </c>
      <c r="D38" s="1">
        <v>46209</v>
      </c>
      <c r="E38" t="s">
        <v>217</v>
      </c>
      <c r="F38" t="s">
        <v>218</v>
      </c>
      <c r="G38" t="s">
        <v>69</v>
      </c>
      <c r="H38" t="s">
        <v>70</v>
      </c>
      <c r="I38" t="s">
        <v>71</v>
      </c>
      <c r="J38" t="s">
        <v>72</v>
      </c>
      <c r="K38" t="s">
        <v>73</v>
      </c>
      <c r="L38" t="s">
        <v>74</v>
      </c>
      <c r="M38" t="s">
        <v>148</v>
      </c>
      <c r="N38" t="s">
        <v>149</v>
      </c>
      <c r="O38" t="s">
        <v>150</v>
      </c>
      <c r="P38" t="s">
        <v>151</v>
      </c>
      <c r="Q38" t="s">
        <v>66</v>
      </c>
      <c r="R38" s="1">
        <v>46209</v>
      </c>
      <c r="S38" t="s">
        <v>150</v>
      </c>
      <c r="T38" t="s">
        <v>152</v>
      </c>
      <c r="U38" t="s">
        <v>153</v>
      </c>
      <c r="V38" t="s">
        <v>66</v>
      </c>
      <c r="W38" t="s">
        <v>66</v>
      </c>
      <c r="X38">
        <v>903800</v>
      </c>
      <c r="Y38">
        <v>99418</v>
      </c>
      <c r="Z38">
        <v>73600</v>
      </c>
      <c r="AA38">
        <v>8096</v>
      </c>
      <c r="AB38">
        <v>1003218</v>
      </c>
      <c r="AC38">
        <v>4</v>
      </c>
      <c r="AD38" t="s">
        <v>82</v>
      </c>
      <c r="AE38">
        <v>4</v>
      </c>
      <c r="AF38" t="s">
        <v>160</v>
      </c>
      <c r="AG38">
        <f>IFERROR(VLOOKUP(AF38,[1]STOK!J:O,6,0),"")</f>
        <v>12</v>
      </c>
      <c r="AH38" s="2">
        <f t="shared" si="0"/>
        <v>0.33333333333333331</v>
      </c>
      <c r="AI38" t="s">
        <v>160</v>
      </c>
      <c r="AJ38" t="s">
        <v>161</v>
      </c>
      <c r="AK38" t="s">
        <v>162</v>
      </c>
      <c r="AL38" t="s">
        <v>86</v>
      </c>
      <c r="AM38">
        <v>20424</v>
      </c>
      <c r="AN38">
        <f t="shared" si="1"/>
        <v>20424</v>
      </c>
      <c r="AO38" t="s">
        <v>66</v>
      </c>
      <c r="AP38">
        <v>0</v>
      </c>
      <c r="AQ38" t="s">
        <v>66</v>
      </c>
      <c r="AR38">
        <v>0</v>
      </c>
      <c r="AS38" t="s">
        <v>66</v>
      </c>
      <c r="AT38">
        <v>0</v>
      </c>
      <c r="AU38" t="s">
        <v>66</v>
      </c>
      <c r="AV38">
        <v>0</v>
      </c>
      <c r="AW38" t="s">
        <v>66</v>
      </c>
      <c r="AX38">
        <v>0</v>
      </c>
      <c r="AY38" t="s">
        <v>66</v>
      </c>
      <c r="AZ38">
        <v>0</v>
      </c>
      <c r="BA38" t="s">
        <v>66</v>
      </c>
      <c r="BB38">
        <v>0</v>
      </c>
      <c r="BC38">
        <v>0</v>
      </c>
      <c r="BD38">
        <v>81696</v>
      </c>
      <c r="BE38">
        <v>16647.310000000001</v>
      </c>
      <c r="BF38">
        <v>0</v>
      </c>
      <c r="BG38" t="s">
        <v>87</v>
      </c>
      <c r="BH38" t="s">
        <v>66</v>
      </c>
      <c r="BI38">
        <v>0</v>
      </c>
      <c r="BJ38" t="s">
        <v>66</v>
      </c>
      <c r="BK38" t="s">
        <v>88</v>
      </c>
      <c r="BL38" t="s">
        <v>66</v>
      </c>
      <c r="BM38" t="s">
        <v>159</v>
      </c>
    </row>
    <row r="39" spans="1:65" x14ac:dyDescent="0.25">
      <c r="A39">
        <v>37</v>
      </c>
      <c r="B39" t="s">
        <v>216</v>
      </c>
      <c r="C39" t="s">
        <v>66</v>
      </c>
      <c r="D39" s="1">
        <v>46209</v>
      </c>
      <c r="E39" t="s">
        <v>217</v>
      </c>
      <c r="F39" t="s">
        <v>218</v>
      </c>
      <c r="G39" t="s">
        <v>69</v>
      </c>
      <c r="H39" t="s">
        <v>70</v>
      </c>
      <c r="I39" t="s">
        <v>71</v>
      </c>
      <c r="J39" t="s">
        <v>72</v>
      </c>
      <c r="K39" t="s">
        <v>73</v>
      </c>
      <c r="L39" t="s">
        <v>74</v>
      </c>
      <c r="M39" t="s">
        <v>148</v>
      </c>
      <c r="N39" t="s">
        <v>149</v>
      </c>
      <c r="O39" t="s">
        <v>150</v>
      </c>
      <c r="P39" t="s">
        <v>151</v>
      </c>
      <c r="Q39" t="s">
        <v>66</v>
      </c>
      <c r="R39" s="1">
        <v>46209</v>
      </c>
      <c r="S39" t="s">
        <v>150</v>
      </c>
      <c r="T39" t="s">
        <v>152</v>
      </c>
      <c r="U39" t="s">
        <v>153</v>
      </c>
      <c r="V39" t="s">
        <v>66</v>
      </c>
      <c r="W39" t="s">
        <v>66</v>
      </c>
      <c r="X39">
        <v>903800</v>
      </c>
      <c r="Y39">
        <v>99418</v>
      </c>
      <c r="Z39">
        <v>220800</v>
      </c>
      <c r="AA39">
        <v>24288</v>
      </c>
      <c r="AB39">
        <v>1003218</v>
      </c>
      <c r="AC39">
        <v>12</v>
      </c>
      <c r="AD39" t="s">
        <v>82</v>
      </c>
      <c r="AE39">
        <v>12</v>
      </c>
      <c r="AF39" t="s">
        <v>116</v>
      </c>
      <c r="AG39">
        <f>IFERROR(VLOOKUP(AF39,[1]STOK!J:O,6,0),"")</f>
        <v>12</v>
      </c>
      <c r="AH39" s="2">
        <f t="shared" si="0"/>
        <v>1</v>
      </c>
      <c r="AI39" t="s">
        <v>116</v>
      </c>
      <c r="AJ39" t="s">
        <v>117</v>
      </c>
      <c r="AK39" t="s">
        <v>118</v>
      </c>
      <c r="AL39" t="s">
        <v>86</v>
      </c>
      <c r="AM39">
        <v>20424</v>
      </c>
      <c r="AN39">
        <f t="shared" si="1"/>
        <v>20424</v>
      </c>
      <c r="AO39" t="s">
        <v>66</v>
      </c>
      <c r="AP39">
        <v>0</v>
      </c>
      <c r="AQ39" t="s">
        <v>66</v>
      </c>
      <c r="AR39">
        <v>0</v>
      </c>
      <c r="AS39" t="s">
        <v>66</v>
      </c>
      <c r="AT39">
        <v>0</v>
      </c>
      <c r="AU39" t="s">
        <v>66</v>
      </c>
      <c r="AV39">
        <v>0</v>
      </c>
      <c r="AW39" t="s">
        <v>66</v>
      </c>
      <c r="AX39">
        <v>0</v>
      </c>
      <c r="AY39" t="s">
        <v>66</v>
      </c>
      <c r="AZ39">
        <v>0</v>
      </c>
      <c r="BA39" t="s">
        <v>66</v>
      </c>
      <c r="BB39">
        <v>0</v>
      </c>
      <c r="BC39">
        <v>0</v>
      </c>
      <c r="BD39">
        <v>245088</v>
      </c>
      <c r="BE39">
        <v>16534.41</v>
      </c>
      <c r="BF39">
        <v>0</v>
      </c>
      <c r="BG39" t="s">
        <v>87</v>
      </c>
      <c r="BH39" t="s">
        <v>66</v>
      </c>
      <c r="BI39">
        <v>0</v>
      </c>
      <c r="BJ39" t="s">
        <v>66</v>
      </c>
      <c r="BK39" t="s">
        <v>88</v>
      </c>
      <c r="BL39" t="s">
        <v>66</v>
      </c>
      <c r="BM39" t="s">
        <v>159</v>
      </c>
    </row>
    <row r="40" spans="1:65" x14ac:dyDescent="0.25">
      <c r="A40">
        <v>38</v>
      </c>
      <c r="B40" t="s">
        <v>216</v>
      </c>
      <c r="C40" t="s">
        <v>66</v>
      </c>
      <c r="D40" s="1">
        <v>46209</v>
      </c>
      <c r="E40" t="s">
        <v>217</v>
      </c>
      <c r="F40" t="s">
        <v>218</v>
      </c>
      <c r="G40" t="s">
        <v>69</v>
      </c>
      <c r="H40" t="s">
        <v>70</v>
      </c>
      <c r="I40" t="s">
        <v>71</v>
      </c>
      <c r="J40" t="s">
        <v>72</v>
      </c>
      <c r="K40" t="s">
        <v>73</v>
      </c>
      <c r="L40" t="s">
        <v>74</v>
      </c>
      <c r="M40" t="s">
        <v>148</v>
      </c>
      <c r="N40" t="s">
        <v>149</v>
      </c>
      <c r="O40" t="s">
        <v>150</v>
      </c>
      <c r="P40" t="s">
        <v>151</v>
      </c>
      <c r="Q40" t="s">
        <v>66</v>
      </c>
      <c r="R40" s="1">
        <v>46209</v>
      </c>
      <c r="S40" t="s">
        <v>150</v>
      </c>
      <c r="T40" t="s">
        <v>152</v>
      </c>
      <c r="U40" t="s">
        <v>153</v>
      </c>
      <c r="V40" t="s">
        <v>66</v>
      </c>
      <c r="W40" t="s">
        <v>66</v>
      </c>
      <c r="X40">
        <v>903800</v>
      </c>
      <c r="Y40">
        <v>99418</v>
      </c>
      <c r="Z40">
        <v>444400</v>
      </c>
      <c r="AA40">
        <v>48884</v>
      </c>
      <c r="AB40">
        <v>1003218</v>
      </c>
      <c r="AC40">
        <v>44</v>
      </c>
      <c r="AD40" t="s">
        <v>82</v>
      </c>
      <c r="AE40">
        <v>44</v>
      </c>
      <c r="AF40" t="s">
        <v>166</v>
      </c>
      <c r="AG40">
        <f>IFERROR(VLOOKUP(AF40,[1]STOK!J:O,6,0),"")</f>
        <v>24</v>
      </c>
      <c r="AH40" s="2">
        <f t="shared" si="0"/>
        <v>1.8333333333333333</v>
      </c>
      <c r="AI40" t="s">
        <v>166</v>
      </c>
      <c r="AJ40" t="s">
        <v>167</v>
      </c>
      <c r="AK40" t="s">
        <v>168</v>
      </c>
      <c r="AL40" t="s">
        <v>86</v>
      </c>
      <c r="AM40">
        <v>11211</v>
      </c>
      <c r="AN40">
        <f t="shared" si="1"/>
        <v>11211</v>
      </c>
      <c r="AO40" t="s">
        <v>66</v>
      </c>
      <c r="AP40">
        <v>0</v>
      </c>
      <c r="AQ40" t="s">
        <v>66</v>
      </c>
      <c r="AR40">
        <v>0</v>
      </c>
      <c r="AS40" t="s">
        <v>66</v>
      </c>
      <c r="AT40">
        <v>0</v>
      </c>
      <c r="AU40" t="s">
        <v>66</v>
      </c>
      <c r="AV40">
        <v>0</v>
      </c>
      <c r="AW40" t="s">
        <v>66</v>
      </c>
      <c r="AX40">
        <v>0</v>
      </c>
      <c r="AY40" t="s">
        <v>66</v>
      </c>
      <c r="AZ40">
        <v>0</v>
      </c>
      <c r="BA40" t="s">
        <v>66</v>
      </c>
      <c r="BB40">
        <v>0</v>
      </c>
      <c r="BC40">
        <v>0</v>
      </c>
      <c r="BD40">
        <v>493284</v>
      </c>
      <c r="BE40">
        <v>8326.0300000000007</v>
      </c>
      <c r="BF40">
        <v>0</v>
      </c>
      <c r="BG40" t="s">
        <v>87</v>
      </c>
      <c r="BH40" t="s">
        <v>66</v>
      </c>
      <c r="BI40">
        <v>0</v>
      </c>
      <c r="BJ40" t="s">
        <v>66</v>
      </c>
      <c r="BK40" t="s">
        <v>88</v>
      </c>
      <c r="BL40" t="s">
        <v>66</v>
      </c>
      <c r="BM40" t="s">
        <v>159</v>
      </c>
    </row>
    <row r="41" spans="1:65" x14ac:dyDescent="0.25">
      <c r="A41">
        <v>39</v>
      </c>
      <c r="B41" t="s">
        <v>216</v>
      </c>
      <c r="C41" t="s">
        <v>66</v>
      </c>
      <c r="D41" s="1">
        <v>46209</v>
      </c>
      <c r="E41" t="s">
        <v>217</v>
      </c>
      <c r="F41" t="s">
        <v>218</v>
      </c>
      <c r="G41" t="s">
        <v>69</v>
      </c>
      <c r="H41" t="s">
        <v>70</v>
      </c>
      <c r="I41" t="s">
        <v>71</v>
      </c>
      <c r="J41" t="s">
        <v>72</v>
      </c>
      <c r="K41" t="s">
        <v>73</v>
      </c>
      <c r="L41" t="s">
        <v>74</v>
      </c>
      <c r="M41" t="s">
        <v>148</v>
      </c>
      <c r="N41" t="s">
        <v>149</v>
      </c>
      <c r="O41" t="s">
        <v>150</v>
      </c>
      <c r="P41" t="s">
        <v>151</v>
      </c>
      <c r="Q41" t="s">
        <v>66</v>
      </c>
      <c r="R41" s="1">
        <v>46209</v>
      </c>
      <c r="S41" t="s">
        <v>150</v>
      </c>
      <c r="T41" t="s">
        <v>152</v>
      </c>
      <c r="U41" t="s">
        <v>153</v>
      </c>
      <c r="V41" t="s">
        <v>66</v>
      </c>
      <c r="W41" t="s">
        <v>66</v>
      </c>
      <c r="X41">
        <v>903800</v>
      </c>
      <c r="Y41">
        <v>99418</v>
      </c>
      <c r="Z41">
        <v>165000</v>
      </c>
      <c r="AA41">
        <v>18150</v>
      </c>
      <c r="AB41">
        <v>1003218</v>
      </c>
      <c r="AC41">
        <v>10</v>
      </c>
      <c r="AD41" t="s">
        <v>82</v>
      </c>
      <c r="AE41">
        <v>10</v>
      </c>
      <c r="AF41" t="s">
        <v>93</v>
      </c>
      <c r="AG41">
        <f>IFERROR(VLOOKUP(AF41,[1]STOK!J:O,6,0),"")</f>
        <v>24</v>
      </c>
      <c r="AH41" s="2">
        <f t="shared" si="0"/>
        <v>0.41666666666666669</v>
      </c>
      <c r="AI41" t="s">
        <v>93</v>
      </c>
      <c r="AJ41" t="s">
        <v>94</v>
      </c>
      <c r="AK41" t="s">
        <v>95</v>
      </c>
      <c r="AL41" t="s">
        <v>86</v>
      </c>
      <c r="AM41">
        <v>18315</v>
      </c>
      <c r="AN41">
        <f t="shared" si="1"/>
        <v>18315</v>
      </c>
      <c r="AO41" t="s">
        <v>66</v>
      </c>
      <c r="AP41">
        <v>0</v>
      </c>
      <c r="AQ41" t="s">
        <v>66</v>
      </c>
      <c r="AR41">
        <v>0</v>
      </c>
      <c r="AS41" t="s">
        <v>66</v>
      </c>
      <c r="AT41">
        <v>0</v>
      </c>
      <c r="AU41" t="s">
        <v>66</v>
      </c>
      <c r="AV41">
        <v>0</v>
      </c>
      <c r="AW41" t="s">
        <v>66</v>
      </c>
      <c r="AX41">
        <v>0</v>
      </c>
      <c r="AY41" t="s">
        <v>66</v>
      </c>
      <c r="AZ41">
        <v>0</v>
      </c>
      <c r="BA41" t="s">
        <v>66</v>
      </c>
      <c r="BB41">
        <v>0</v>
      </c>
      <c r="BC41">
        <v>0</v>
      </c>
      <c r="BD41">
        <v>183150</v>
      </c>
      <c r="BE41">
        <v>14931.72</v>
      </c>
      <c r="BF41">
        <v>0</v>
      </c>
      <c r="BG41" t="s">
        <v>87</v>
      </c>
      <c r="BH41" t="s">
        <v>66</v>
      </c>
      <c r="BI41">
        <v>0</v>
      </c>
      <c r="BJ41" t="s">
        <v>66</v>
      </c>
      <c r="BK41" t="s">
        <v>88</v>
      </c>
      <c r="BL41" t="s">
        <v>66</v>
      </c>
      <c r="BM41" t="s">
        <v>159</v>
      </c>
    </row>
    <row r="42" spans="1:65" x14ac:dyDescent="0.25">
      <c r="A42">
        <v>40</v>
      </c>
      <c r="B42" t="s">
        <v>219</v>
      </c>
      <c r="C42" t="s">
        <v>66</v>
      </c>
      <c r="D42" s="1">
        <v>46210</v>
      </c>
      <c r="E42" t="s">
        <v>220</v>
      </c>
      <c r="F42" t="s">
        <v>221</v>
      </c>
      <c r="G42" t="s">
        <v>222</v>
      </c>
      <c r="H42" t="s">
        <v>223</v>
      </c>
      <c r="I42" t="s">
        <v>71</v>
      </c>
      <c r="J42" t="s">
        <v>72</v>
      </c>
      <c r="K42" t="s">
        <v>73</v>
      </c>
      <c r="L42" t="s">
        <v>74</v>
      </c>
      <c r="M42" t="s">
        <v>148</v>
      </c>
      <c r="N42" t="s">
        <v>149</v>
      </c>
      <c r="O42" t="s">
        <v>150</v>
      </c>
      <c r="P42" t="s">
        <v>151</v>
      </c>
      <c r="Q42" t="s">
        <v>66</v>
      </c>
      <c r="R42" s="1">
        <v>46210</v>
      </c>
      <c r="S42" t="s">
        <v>150</v>
      </c>
      <c r="T42" t="s">
        <v>152</v>
      </c>
      <c r="U42" t="s">
        <v>153</v>
      </c>
      <c r="V42" t="s">
        <v>66</v>
      </c>
      <c r="W42" t="s">
        <v>66</v>
      </c>
      <c r="X42">
        <v>1079200</v>
      </c>
      <c r="Y42">
        <v>118712</v>
      </c>
      <c r="Z42">
        <v>502800</v>
      </c>
      <c r="AA42">
        <v>55308</v>
      </c>
      <c r="AB42">
        <v>1197912</v>
      </c>
      <c r="AC42">
        <v>12</v>
      </c>
      <c r="AD42" t="s">
        <v>82</v>
      </c>
      <c r="AE42">
        <v>12</v>
      </c>
      <c r="AF42" t="s">
        <v>224</v>
      </c>
      <c r="AG42">
        <f>IFERROR(VLOOKUP(AF42,[1]STOK!J:O,6,0),"")</f>
        <v>12</v>
      </c>
      <c r="AH42" s="2">
        <f t="shared" si="0"/>
        <v>1</v>
      </c>
      <c r="AI42" t="s">
        <v>224</v>
      </c>
      <c r="AJ42" t="s">
        <v>225</v>
      </c>
      <c r="AK42" t="s">
        <v>226</v>
      </c>
      <c r="AL42" t="s">
        <v>86</v>
      </c>
      <c r="AM42">
        <v>46509</v>
      </c>
      <c r="AN42">
        <f t="shared" si="1"/>
        <v>46509</v>
      </c>
      <c r="AO42" t="s">
        <v>66</v>
      </c>
      <c r="AP42">
        <v>0</v>
      </c>
      <c r="AQ42" t="s">
        <v>66</v>
      </c>
      <c r="AR42">
        <v>0</v>
      </c>
      <c r="AS42" t="s">
        <v>66</v>
      </c>
      <c r="AT42">
        <v>0</v>
      </c>
      <c r="AU42" t="s">
        <v>66</v>
      </c>
      <c r="AV42">
        <v>0</v>
      </c>
      <c r="AW42" t="s">
        <v>66</v>
      </c>
      <c r="AX42">
        <v>0</v>
      </c>
      <c r="AY42" t="s">
        <v>66</v>
      </c>
      <c r="AZ42">
        <v>0</v>
      </c>
      <c r="BA42" t="s">
        <v>66</v>
      </c>
      <c r="BB42">
        <v>0</v>
      </c>
      <c r="BC42">
        <v>0</v>
      </c>
      <c r="BD42">
        <v>558108</v>
      </c>
      <c r="BE42">
        <v>35103.81</v>
      </c>
      <c r="BF42">
        <v>0</v>
      </c>
      <c r="BG42" t="s">
        <v>87</v>
      </c>
      <c r="BH42" t="s">
        <v>66</v>
      </c>
      <c r="BI42">
        <v>0</v>
      </c>
      <c r="BJ42" t="s">
        <v>66</v>
      </c>
      <c r="BK42" t="s">
        <v>88</v>
      </c>
      <c r="BL42" t="s">
        <v>66</v>
      </c>
      <c r="BM42" t="s">
        <v>159</v>
      </c>
    </row>
    <row r="43" spans="1:65" x14ac:dyDescent="0.25">
      <c r="A43">
        <v>41</v>
      </c>
      <c r="B43" t="s">
        <v>219</v>
      </c>
      <c r="C43" t="s">
        <v>66</v>
      </c>
      <c r="D43" s="1">
        <v>46210</v>
      </c>
      <c r="E43" t="s">
        <v>220</v>
      </c>
      <c r="F43" t="s">
        <v>221</v>
      </c>
      <c r="G43" t="s">
        <v>222</v>
      </c>
      <c r="H43" t="s">
        <v>223</v>
      </c>
      <c r="I43" t="s">
        <v>71</v>
      </c>
      <c r="J43" t="s">
        <v>72</v>
      </c>
      <c r="K43" t="s">
        <v>73</v>
      </c>
      <c r="L43" t="s">
        <v>74</v>
      </c>
      <c r="M43" t="s">
        <v>148</v>
      </c>
      <c r="N43" t="s">
        <v>149</v>
      </c>
      <c r="O43" t="s">
        <v>150</v>
      </c>
      <c r="P43" t="s">
        <v>151</v>
      </c>
      <c r="Q43" t="s">
        <v>66</v>
      </c>
      <c r="R43" s="1">
        <v>46210</v>
      </c>
      <c r="S43" t="s">
        <v>150</v>
      </c>
      <c r="T43" t="s">
        <v>152</v>
      </c>
      <c r="U43" t="s">
        <v>153</v>
      </c>
      <c r="V43" t="s">
        <v>66</v>
      </c>
      <c r="W43" t="s">
        <v>66</v>
      </c>
      <c r="X43">
        <v>1079200</v>
      </c>
      <c r="Y43">
        <v>118712</v>
      </c>
      <c r="Z43">
        <v>502800</v>
      </c>
      <c r="AA43">
        <v>55308</v>
      </c>
      <c r="AB43">
        <v>1197912</v>
      </c>
      <c r="AC43">
        <v>12</v>
      </c>
      <c r="AD43" t="s">
        <v>82</v>
      </c>
      <c r="AE43">
        <v>12</v>
      </c>
      <c r="AF43" t="s">
        <v>227</v>
      </c>
      <c r="AG43">
        <f>IFERROR(VLOOKUP(AF43,[1]STOK!J:O,6,0),"")</f>
        <v>12</v>
      </c>
      <c r="AH43" s="2">
        <f t="shared" si="0"/>
        <v>1</v>
      </c>
      <c r="AI43" t="s">
        <v>227</v>
      </c>
      <c r="AJ43" t="s">
        <v>228</v>
      </c>
      <c r="AK43" t="s">
        <v>229</v>
      </c>
      <c r="AL43" t="s">
        <v>86</v>
      </c>
      <c r="AM43">
        <v>46509</v>
      </c>
      <c r="AN43">
        <f t="shared" si="1"/>
        <v>46509</v>
      </c>
      <c r="AO43" t="s">
        <v>66</v>
      </c>
      <c r="AP43">
        <v>0</v>
      </c>
      <c r="AQ43" t="s">
        <v>66</v>
      </c>
      <c r="AR43">
        <v>0</v>
      </c>
      <c r="AS43" t="s">
        <v>66</v>
      </c>
      <c r="AT43">
        <v>0</v>
      </c>
      <c r="AU43" t="s">
        <v>66</v>
      </c>
      <c r="AV43">
        <v>0</v>
      </c>
      <c r="AW43" t="s">
        <v>66</v>
      </c>
      <c r="AX43">
        <v>0</v>
      </c>
      <c r="AY43" t="s">
        <v>66</v>
      </c>
      <c r="AZ43">
        <v>0</v>
      </c>
      <c r="BA43" t="s">
        <v>66</v>
      </c>
      <c r="BB43">
        <v>0</v>
      </c>
      <c r="BC43">
        <v>0</v>
      </c>
      <c r="BD43">
        <v>558108</v>
      </c>
      <c r="BE43">
        <v>35187.69</v>
      </c>
      <c r="BF43">
        <v>0</v>
      </c>
      <c r="BG43" t="s">
        <v>87</v>
      </c>
      <c r="BH43" t="s">
        <v>66</v>
      </c>
      <c r="BI43">
        <v>0</v>
      </c>
      <c r="BJ43" t="s">
        <v>66</v>
      </c>
      <c r="BK43" t="s">
        <v>88</v>
      </c>
      <c r="BL43" t="s">
        <v>66</v>
      </c>
      <c r="BM43" t="s">
        <v>159</v>
      </c>
    </row>
    <row r="44" spans="1:65" x14ac:dyDescent="0.25">
      <c r="A44">
        <v>42</v>
      </c>
      <c r="B44" t="s">
        <v>219</v>
      </c>
      <c r="C44" t="s">
        <v>66</v>
      </c>
      <c r="D44" s="1">
        <v>46210</v>
      </c>
      <c r="E44" t="s">
        <v>220</v>
      </c>
      <c r="F44" t="s">
        <v>221</v>
      </c>
      <c r="G44" t="s">
        <v>222</v>
      </c>
      <c r="H44" t="s">
        <v>223</v>
      </c>
      <c r="I44" t="s">
        <v>71</v>
      </c>
      <c r="J44" t="s">
        <v>72</v>
      </c>
      <c r="K44" t="s">
        <v>73</v>
      </c>
      <c r="L44" t="s">
        <v>74</v>
      </c>
      <c r="M44" t="s">
        <v>148</v>
      </c>
      <c r="N44" t="s">
        <v>149</v>
      </c>
      <c r="O44" t="s">
        <v>150</v>
      </c>
      <c r="P44" t="s">
        <v>151</v>
      </c>
      <c r="Q44" t="s">
        <v>66</v>
      </c>
      <c r="R44" s="1">
        <v>46210</v>
      </c>
      <c r="S44" t="s">
        <v>150</v>
      </c>
      <c r="T44" t="s">
        <v>152</v>
      </c>
      <c r="U44" t="s">
        <v>153</v>
      </c>
      <c r="V44" t="s">
        <v>66</v>
      </c>
      <c r="W44" t="s">
        <v>66</v>
      </c>
      <c r="X44">
        <v>1079200</v>
      </c>
      <c r="Y44">
        <v>118712</v>
      </c>
      <c r="Z44">
        <v>73600</v>
      </c>
      <c r="AA44">
        <v>8096</v>
      </c>
      <c r="AB44">
        <v>1197912</v>
      </c>
      <c r="AC44">
        <v>4</v>
      </c>
      <c r="AD44" t="s">
        <v>82</v>
      </c>
      <c r="AE44">
        <v>4</v>
      </c>
      <c r="AF44" t="s">
        <v>116</v>
      </c>
      <c r="AG44">
        <f>IFERROR(VLOOKUP(AF44,[1]STOK!J:O,6,0),"")</f>
        <v>12</v>
      </c>
      <c r="AH44" s="2">
        <f t="shared" si="0"/>
        <v>0.33333333333333331</v>
      </c>
      <c r="AI44" t="s">
        <v>116</v>
      </c>
      <c r="AJ44" t="s">
        <v>117</v>
      </c>
      <c r="AK44" t="s">
        <v>118</v>
      </c>
      <c r="AL44" t="s">
        <v>86</v>
      </c>
      <c r="AM44">
        <v>20424</v>
      </c>
      <c r="AN44">
        <f t="shared" si="1"/>
        <v>20424</v>
      </c>
      <c r="AO44" t="s">
        <v>66</v>
      </c>
      <c r="AP44">
        <v>0</v>
      </c>
      <c r="AQ44" t="s">
        <v>66</v>
      </c>
      <c r="AR44">
        <v>0</v>
      </c>
      <c r="AS44" t="s">
        <v>66</v>
      </c>
      <c r="AT44">
        <v>0</v>
      </c>
      <c r="AU44" t="s">
        <v>66</v>
      </c>
      <c r="AV44">
        <v>0</v>
      </c>
      <c r="AW44" t="s">
        <v>66</v>
      </c>
      <c r="AX44">
        <v>0</v>
      </c>
      <c r="AY44" t="s">
        <v>66</v>
      </c>
      <c r="AZ44">
        <v>0</v>
      </c>
      <c r="BA44" t="s">
        <v>66</v>
      </c>
      <c r="BB44">
        <v>0</v>
      </c>
      <c r="BC44">
        <v>0</v>
      </c>
      <c r="BD44">
        <v>81696</v>
      </c>
      <c r="BE44">
        <v>16534.41</v>
      </c>
      <c r="BF44">
        <v>0</v>
      </c>
      <c r="BG44" t="s">
        <v>87</v>
      </c>
      <c r="BH44" t="s">
        <v>66</v>
      </c>
      <c r="BI44">
        <v>0</v>
      </c>
      <c r="BJ44" t="s">
        <v>66</v>
      </c>
      <c r="BK44" t="s">
        <v>88</v>
      </c>
      <c r="BL44" t="s">
        <v>66</v>
      </c>
      <c r="BM44" t="s">
        <v>159</v>
      </c>
    </row>
    <row r="45" spans="1:65" x14ac:dyDescent="0.25">
      <c r="A45">
        <v>43</v>
      </c>
      <c r="B45" t="s">
        <v>230</v>
      </c>
      <c r="C45" t="s">
        <v>231</v>
      </c>
      <c r="D45" s="1">
        <v>46210</v>
      </c>
      <c r="E45" t="s">
        <v>232</v>
      </c>
      <c r="F45" t="s">
        <v>233</v>
      </c>
      <c r="G45" t="s">
        <v>69</v>
      </c>
      <c r="H45" t="s">
        <v>70</v>
      </c>
      <c r="I45" t="s">
        <v>71</v>
      </c>
      <c r="J45" t="s">
        <v>72</v>
      </c>
      <c r="K45" t="s">
        <v>73</v>
      </c>
      <c r="L45" t="s">
        <v>74</v>
      </c>
      <c r="M45" t="s">
        <v>148</v>
      </c>
      <c r="N45" t="s">
        <v>149</v>
      </c>
      <c r="O45" t="s">
        <v>150</v>
      </c>
      <c r="P45" t="s">
        <v>151</v>
      </c>
      <c r="Q45" t="s">
        <v>66</v>
      </c>
      <c r="R45" s="1">
        <v>46210</v>
      </c>
      <c r="S45" t="s">
        <v>150</v>
      </c>
      <c r="T45" t="s">
        <v>152</v>
      </c>
      <c r="U45" t="s">
        <v>153</v>
      </c>
      <c r="V45" t="s">
        <v>66</v>
      </c>
      <c r="W45" t="s">
        <v>66</v>
      </c>
      <c r="X45">
        <v>5211800</v>
      </c>
      <c r="Y45">
        <v>573298</v>
      </c>
      <c r="Z45">
        <v>132000</v>
      </c>
      <c r="AA45">
        <v>14520</v>
      </c>
      <c r="AB45">
        <v>5785098</v>
      </c>
      <c r="AC45">
        <v>1</v>
      </c>
      <c r="AD45" t="s">
        <v>134</v>
      </c>
      <c r="AE45">
        <v>12</v>
      </c>
      <c r="AF45" t="s">
        <v>234</v>
      </c>
      <c r="AG45">
        <f>IFERROR(VLOOKUP(AF45,[1]STOK!J:O,6,0),"")</f>
        <v>12</v>
      </c>
      <c r="AH45" s="2">
        <f t="shared" si="0"/>
        <v>1</v>
      </c>
      <c r="AI45" t="s">
        <v>234</v>
      </c>
      <c r="AJ45" t="s">
        <v>235</v>
      </c>
      <c r="AK45" t="s">
        <v>236</v>
      </c>
      <c r="AL45" t="s">
        <v>86</v>
      </c>
      <c r="AM45">
        <v>146520</v>
      </c>
      <c r="AN45">
        <f t="shared" si="1"/>
        <v>146520</v>
      </c>
      <c r="AO45" t="s">
        <v>66</v>
      </c>
      <c r="AP45">
        <v>0</v>
      </c>
      <c r="AQ45" t="s">
        <v>66</v>
      </c>
      <c r="AR45">
        <v>0</v>
      </c>
      <c r="AS45" t="s">
        <v>66</v>
      </c>
      <c r="AT45">
        <v>0</v>
      </c>
      <c r="AU45" t="s">
        <v>66</v>
      </c>
      <c r="AV45">
        <v>0</v>
      </c>
      <c r="AW45" t="s">
        <v>66</v>
      </c>
      <c r="AX45">
        <v>0</v>
      </c>
      <c r="AY45" t="s">
        <v>66</v>
      </c>
      <c r="AZ45">
        <v>0</v>
      </c>
      <c r="BA45" t="s">
        <v>66</v>
      </c>
      <c r="BB45">
        <v>0</v>
      </c>
      <c r="BC45">
        <v>0</v>
      </c>
      <c r="BD45">
        <v>146520</v>
      </c>
      <c r="BE45">
        <v>11282.15</v>
      </c>
      <c r="BF45">
        <v>0</v>
      </c>
      <c r="BG45" t="s">
        <v>237</v>
      </c>
      <c r="BH45" t="s">
        <v>238</v>
      </c>
      <c r="BI45">
        <v>12</v>
      </c>
      <c r="BJ45" t="s">
        <v>158</v>
      </c>
      <c r="BK45" t="s">
        <v>88</v>
      </c>
      <c r="BL45" t="s">
        <v>66</v>
      </c>
      <c r="BM45" t="s">
        <v>159</v>
      </c>
    </row>
    <row r="46" spans="1:65" x14ac:dyDescent="0.25">
      <c r="A46">
        <v>44</v>
      </c>
      <c r="B46" t="s">
        <v>230</v>
      </c>
      <c r="C46" t="s">
        <v>231</v>
      </c>
      <c r="D46" s="1">
        <v>46210</v>
      </c>
      <c r="E46" t="s">
        <v>232</v>
      </c>
      <c r="F46" t="s">
        <v>233</v>
      </c>
      <c r="G46" t="s">
        <v>69</v>
      </c>
      <c r="H46" t="s">
        <v>70</v>
      </c>
      <c r="I46" t="s">
        <v>71</v>
      </c>
      <c r="J46" t="s">
        <v>72</v>
      </c>
      <c r="K46" t="s">
        <v>73</v>
      </c>
      <c r="L46" t="s">
        <v>74</v>
      </c>
      <c r="M46" t="s">
        <v>148</v>
      </c>
      <c r="N46" t="s">
        <v>149</v>
      </c>
      <c r="O46" t="s">
        <v>150</v>
      </c>
      <c r="P46" t="s">
        <v>151</v>
      </c>
      <c r="Q46" t="s">
        <v>66</v>
      </c>
      <c r="R46" s="1">
        <v>46210</v>
      </c>
      <c r="S46" t="s">
        <v>150</v>
      </c>
      <c r="T46" t="s">
        <v>152</v>
      </c>
      <c r="U46" t="s">
        <v>153</v>
      </c>
      <c r="V46" t="s">
        <v>66</v>
      </c>
      <c r="W46" t="s">
        <v>66</v>
      </c>
      <c r="X46">
        <v>5211800</v>
      </c>
      <c r="Y46">
        <v>573298</v>
      </c>
      <c r="Z46">
        <v>220800</v>
      </c>
      <c r="AA46">
        <v>24288</v>
      </c>
      <c r="AB46">
        <v>5785098</v>
      </c>
      <c r="AC46">
        <v>1</v>
      </c>
      <c r="AD46" t="s">
        <v>134</v>
      </c>
      <c r="AE46">
        <v>12</v>
      </c>
      <c r="AF46" t="s">
        <v>160</v>
      </c>
      <c r="AG46">
        <f>IFERROR(VLOOKUP(AF46,[1]STOK!J:O,6,0),"")</f>
        <v>12</v>
      </c>
      <c r="AH46" s="2">
        <f t="shared" si="0"/>
        <v>1</v>
      </c>
      <c r="AI46" t="s">
        <v>160</v>
      </c>
      <c r="AJ46" t="s">
        <v>161</v>
      </c>
      <c r="AK46" t="s">
        <v>162</v>
      </c>
      <c r="AL46" t="s">
        <v>86</v>
      </c>
      <c r="AM46">
        <v>245088</v>
      </c>
      <c r="AN46">
        <f t="shared" si="1"/>
        <v>245088</v>
      </c>
      <c r="AO46" t="s">
        <v>66</v>
      </c>
      <c r="AP46">
        <v>0</v>
      </c>
      <c r="AQ46" t="s">
        <v>66</v>
      </c>
      <c r="AR46">
        <v>0</v>
      </c>
      <c r="AS46" t="s">
        <v>66</v>
      </c>
      <c r="AT46">
        <v>0</v>
      </c>
      <c r="AU46" t="s">
        <v>66</v>
      </c>
      <c r="AV46">
        <v>0</v>
      </c>
      <c r="AW46" t="s">
        <v>66</v>
      </c>
      <c r="AX46">
        <v>0</v>
      </c>
      <c r="AY46" t="s">
        <v>66</v>
      </c>
      <c r="AZ46">
        <v>0</v>
      </c>
      <c r="BA46" t="s">
        <v>66</v>
      </c>
      <c r="BB46">
        <v>0</v>
      </c>
      <c r="BC46">
        <v>0</v>
      </c>
      <c r="BD46">
        <v>245088</v>
      </c>
      <c r="BE46">
        <v>16647.310000000001</v>
      </c>
      <c r="BF46">
        <v>0</v>
      </c>
      <c r="BG46" t="s">
        <v>237</v>
      </c>
      <c r="BH46" t="s">
        <v>238</v>
      </c>
      <c r="BI46">
        <v>12</v>
      </c>
      <c r="BJ46" t="s">
        <v>158</v>
      </c>
      <c r="BK46" t="s">
        <v>88</v>
      </c>
      <c r="BL46" t="s">
        <v>66</v>
      </c>
      <c r="BM46" t="s">
        <v>159</v>
      </c>
    </row>
    <row r="47" spans="1:65" x14ac:dyDescent="0.25">
      <c r="A47">
        <v>45</v>
      </c>
      <c r="B47" t="s">
        <v>230</v>
      </c>
      <c r="C47" t="s">
        <v>231</v>
      </c>
      <c r="D47" s="1">
        <v>46210</v>
      </c>
      <c r="E47" t="s">
        <v>232</v>
      </c>
      <c r="F47" t="s">
        <v>233</v>
      </c>
      <c r="G47" t="s">
        <v>69</v>
      </c>
      <c r="H47" t="s">
        <v>70</v>
      </c>
      <c r="I47" t="s">
        <v>71</v>
      </c>
      <c r="J47" t="s">
        <v>72</v>
      </c>
      <c r="K47" t="s">
        <v>73</v>
      </c>
      <c r="L47" t="s">
        <v>74</v>
      </c>
      <c r="M47" t="s">
        <v>148</v>
      </c>
      <c r="N47" t="s">
        <v>149</v>
      </c>
      <c r="O47" t="s">
        <v>150</v>
      </c>
      <c r="P47" t="s">
        <v>151</v>
      </c>
      <c r="Q47" t="s">
        <v>66</v>
      </c>
      <c r="R47" s="1">
        <v>46210</v>
      </c>
      <c r="S47" t="s">
        <v>150</v>
      </c>
      <c r="T47" t="s">
        <v>152</v>
      </c>
      <c r="U47" t="s">
        <v>153</v>
      </c>
      <c r="V47" t="s">
        <v>66</v>
      </c>
      <c r="W47" t="s">
        <v>66</v>
      </c>
      <c r="X47">
        <v>5211800</v>
      </c>
      <c r="Y47">
        <v>573298</v>
      </c>
      <c r="Z47">
        <v>147200</v>
      </c>
      <c r="AA47">
        <v>16192</v>
      </c>
      <c r="AB47">
        <v>5785098</v>
      </c>
      <c r="AC47">
        <v>8</v>
      </c>
      <c r="AD47" t="s">
        <v>82</v>
      </c>
      <c r="AE47">
        <v>8</v>
      </c>
      <c r="AF47" t="s">
        <v>116</v>
      </c>
      <c r="AG47">
        <f>IFERROR(VLOOKUP(AF47,[1]STOK!J:O,6,0),"")</f>
        <v>12</v>
      </c>
      <c r="AH47" s="2">
        <f t="shared" si="0"/>
        <v>0.66666666666666663</v>
      </c>
      <c r="AI47" t="s">
        <v>116</v>
      </c>
      <c r="AJ47" t="s">
        <v>117</v>
      </c>
      <c r="AK47" t="s">
        <v>118</v>
      </c>
      <c r="AL47" t="s">
        <v>86</v>
      </c>
      <c r="AM47">
        <v>20424</v>
      </c>
      <c r="AN47">
        <f t="shared" si="1"/>
        <v>20424</v>
      </c>
      <c r="AO47" t="s">
        <v>66</v>
      </c>
      <c r="AP47">
        <v>0</v>
      </c>
      <c r="AQ47" t="s">
        <v>66</v>
      </c>
      <c r="AR47">
        <v>0</v>
      </c>
      <c r="AS47" t="s">
        <v>66</v>
      </c>
      <c r="AT47">
        <v>0</v>
      </c>
      <c r="AU47" t="s">
        <v>66</v>
      </c>
      <c r="AV47">
        <v>0</v>
      </c>
      <c r="AW47" t="s">
        <v>66</v>
      </c>
      <c r="AX47">
        <v>0</v>
      </c>
      <c r="AY47" t="s">
        <v>66</v>
      </c>
      <c r="AZ47">
        <v>0</v>
      </c>
      <c r="BA47" t="s">
        <v>66</v>
      </c>
      <c r="BB47">
        <v>0</v>
      </c>
      <c r="BC47">
        <v>0</v>
      </c>
      <c r="BD47">
        <v>163392</v>
      </c>
      <c r="BE47">
        <v>16534.41</v>
      </c>
      <c r="BF47">
        <v>0</v>
      </c>
      <c r="BG47" t="s">
        <v>237</v>
      </c>
      <c r="BH47" t="s">
        <v>238</v>
      </c>
      <c r="BI47">
        <v>8</v>
      </c>
      <c r="BJ47" t="s">
        <v>158</v>
      </c>
      <c r="BK47" t="s">
        <v>88</v>
      </c>
      <c r="BL47" t="s">
        <v>66</v>
      </c>
      <c r="BM47" t="s">
        <v>159</v>
      </c>
    </row>
    <row r="48" spans="1:65" x14ac:dyDescent="0.25">
      <c r="A48">
        <v>46</v>
      </c>
      <c r="B48" t="s">
        <v>230</v>
      </c>
      <c r="C48" t="s">
        <v>231</v>
      </c>
      <c r="D48" s="1">
        <v>46210</v>
      </c>
      <c r="E48" t="s">
        <v>232</v>
      </c>
      <c r="F48" t="s">
        <v>233</v>
      </c>
      <c r="G48" t="s">
        <v>69</v>
      </c>
      <c r="H48" t="s">
        <v>70</v>
      </c>
      <c r="I48" t="s">
        <v>71</v>
      </c>
      <c r="J48" t="s">
        <v>72</v>
      </c>
      <c r="K48" t="s">
        <v>73</v>
      </c>
      <c r="L48" t="s">
        <v>74</v>
      </c>
      <c r="M48" t="s">
        <v>148</v>
      </c>
      <c r="N48" t="s">
        <v>149</v>
      </c>
      <c r="O48" t="s">
        <v>150</v>
      </c>
      <c r="P48" t="s">
        <v>151</v>
      </c>
      <c r="Q48" t="s">
        <v>66</v>
      </c>
      <c r="R48" s="1">
        <v>46210</v>
      </c>
      <c r="S48" t="s">
        <v>150</v>
      </c>
      <c r="T48" t="s">
        <v>152</v>
      </c>
      <c r="U48" t="s">
        <v>153</v>
      </c>
      <c r="V48" t="s">
        <v>66</v>
      </c>
      <c r="W48" t="s">
        <v>66</v>
      </c>
      <c r="X48">
        <v>5211800</v>
      </c>
      <c r="Y48">
        <v>573298</v>
      </c>
      <c r="Z48">
        <v>360000</v>
      </c>
      <c r="AA48">
        <v>39600</v>
      </c>
      <c r="AB48">
        <v>5785098</v>
      </c>
      <c r="AC48">
        <v>2</v>
      </c>
      <c r="AD48" t="s">
        <v>134</v>
      </c>
      <c r="AE48">
        <v>144</v>
      </c>
      <c r="AF48" t="s">
        <v>163</v>
      </c>
      <c r="AG48">
        <f>IFERROR(VLOOKUP(AF48,[1]STOK!J:O,6,0),"")</f>
        <v>72</v>
      </c>
      <c r="AH48" s="2">
        <f t="shared" si="0"/>
        <v>2</v>
      </c>
      <c r="AI48" t="s">
        <v>163</v>
      </c>
      <c r="AJ48" t="s">
        <v>164</v>
      </c>
      <c r="AK48" t="s">
        <v>165</v>
      </c>
      <c r="AL48" t="s">
        <v>86</v>
      </c>
      <c r="AM48">
        <v>199800</v>
      </c>
      <c r="AN48">
        <f t="shared" si="1"/>
        <v>199800</v>
      </c>
      <c r="AO48" t="s">
        <v>66</v>
      </c>
      <c r="AP48">
        <v>0</v>
      </c>
      <c r="AQ48" t="s">
        <v>66</v>
      </c>
      <c r="AR48">
        <v>0</v>
      </c>
      <c r="AS48" t="s">
        <v>66</v>
      </c>
      <c r="AT48">
        <v>0</v>
      </c>
      <c r="AU48" t="s">
        <v>66</v>
      </c>
      <c r="AV48">
        <v>0</v>
      </c>
      <c r="AW48" t="s">
        <v>66</v>
      </c>
      <c r="AX48">
        <v>0</v>
      </c>
      <c r="AY48" t="s">
        <v>66</v>
      </c>
      <c r="AZ48">
        <v>0</v>
      </c>
      <c r="BA48" t="s">
        <v>66</v>
      </c>
      <c r="BB48">
        <v>0</v>
      </c>
      <c r="BC48">
        <v>0</v>
      </c>
      <c r="BD48">
        <v>399600</v>
      </c>
      <c r="BE48">
        <v>2196.56</v>
      </c>
      <c r="BF48">
        <v>0</v>
      </c>
      <c r="BG48" t="s">
        <v>237</v>
      </c>
      <c r="BH48" t="s">
        <v>238</v>
      </c>
      <c r="BI48">
        <v>144</v>
      </c>
      <c r="BJ48" t="s">
        <v>158</v>
      </c>
      <c r="BK48" t="s">
        <v>88</v>
      </c>
      <c r="BL48" t="s">
        <v>66</v>
      </c>
      <c r="BM48" t="s">
        <v>159</v>
      </c>
    </row>
    <row r="49" spans="1:65" x14ac:dyDescent="0.25">
      <c r="A49">
        <v>47</v>
      </c>
      <c r="B49" t="s">
        <v>230</v>
      </c>
      <c r="C49" t="s">
        <v>231</v>
      </c>
      <c r="D49" s="1">
        <v>46210</v>
      </c>
      <c r="E49" t="s">
        <v>232</v>
      </c>
      <c r="F49" t="s">
        <v>233</v>
      </c>
      <c r="G49" t="s">
        <v>69</v>
      </c>
      <c r="H49" t="s">
        <v>70</v>
      </c>
      <c r="I49" t="s">
        <v>71</v>
      </c>
      <c r="J49" t="s">
        <v>72</v>
      </c>
      <c r="K49" t="s">
        <v>73</v>
      </c>
      <c r="L49" t="s">
        <v>74</v>
      </c>
      <c r="M49" t="s">
        <v>148</v>
      </c>
      <c r="N49" t="s">
        <v>149</v>
      </c>
      <c r="O49" t="s">
        <v>150</v>
      </c>
      <c r="P49" t="s">
        <v>151</v>
      </c>
      <c r="Q49" t="s">
        <v>66</v>
      </c>
      <c r="R49" s="1">
        <v>46210</v>
      </c>
      <c r="S49" t="s">
        <v>150</v>
      </c>
      <c r="T49" t="s">
        <v>152</v>
      </c>
      <c r="U49" t="s">
        <v>153</v>
      </c>
      <c r="V49" t="s">
        <v>66</v>
      </c>
      <c r="W49" t="s">
        <v>66</v>
      </c>
      <c r="X49">
        <v>5211800</v>
      </c>
      <c r="Y49">
        <v>573298</v>
      </c>
      <c r="Z49">
        <v>242400</v>
      </c>
      <c r="AA49">
        <v>26664</v>
      </c>
      <c r="AB49">
        <v>5785098</v>
      </c>
      <c r="AC49">
        <v>1</v>
      </c>
      <c r="AD49" t="s">
        <v>134</v>
      </c>
      <c r="AE49">
        <v>12</v>
      </c>
      <c r="AF49" t="s">
        <v>239</v>
      </c>
      <c r="AG49">
        <f>IFERROR(VLOOKUP(AF49,[1]STOK!J:O,6,0),"")</f>
        <v>12</v>
      </c>
      <c r="AH49" s="2">
        <f t="shared" si="0"/>
        <v>1</v>
      </c>
      <c r="AI49" t="s">
        <v>239</v>
      </c>
      <c r="AJ49" t="s">
        <v>240</v>
      </c>
      <c r="AK49" t="s">
        <v>241</v>
      </c>
      <c r="AL49" t="s">
        <v>86</v>
      </c>
      <c r="AM49">
        <v>269064</v>
      </c>
      <c r="AN49">
        <f t="shared" si="1"/>
        <v>269064</v>
      </c>
      <c r="AO49" t="s">
        <v>66</v>
      </c>
      <c r="AP49">
        <v>0</v>
      </c>
      <c r="AQ49" t="s">
        <v>66</v>
      </c>
      <c r="AR49">
        <v>0</v>
      </c>
      <c r="AS49" t="s">
        <v>66</v>
      </c>
      <c r="AT49">
        <v>0</v>
      </c>
      <c r="AU49" t="s">
        <v>66</v>
      </c>
      <c r="AV49">
        <v>0</v>
      </c>
      <c r="AW49" t="s">
        <v>66</v>
      </c>
      <c r="AX49">
        <v>0</v>
      </c>
      <c r="AY49" t="s">
        <v>66</v>
      </c>
      <c r="AZ49">
        <v>0</v>
      </c>
      <c r="BA49" t="s">
        <v>66</v>
      </c>
      <c r="BB49">
        <v>0</v>
      </c>
      <c r="BC49">
        <v>0</v>
      </c>
      <c r="BD49">
        <v>269064</v>
      </c>
      <c r="BE49">
        <v>16652.55</v>
      </c>
      <c r="BF49">
        <v>0</v>
      </c>
      <c r="BG49" t="s">
        <v>237</v>
      </c>
      <c r="BH49" t="s">
        <v>238</v>
      </c>
      <c r="BI49">
        <v>12</v>
      </c>
      <c r="BJ49" t="s">
        <v>158</v>
      </c>
      <c r="BK49" t="s">
        <v>88</v>
      </c>
      <c r="BL49" t="s">
        <v>66</v>
      </c>
      <c r="BM49" t="s">
        <v>159</v>
      </c>
    </row>
    <row r="50" spans="1:65" x14ac:dyDescent="0.25">
      <c r="A50">
        <v>48</v>
      </c>
      <c r="B50" t="s">
        <v>230</v>
      </c>
      <c r="C50" t="s">
        <v>231</v>
      </c>
      <c r="D50" s="1">
        <v>46210</v>
      </c>
      <c r="E50" t="s">
        <v>232</v>
      </c>
      <c r="F50" t="s">
        <v>233</v>
      </c>
      <c r="G50" t="s">
        <v>69</v>
      </c>
      <c r="H50" t="s">
        <v>70</v>
      </c>
      <c r="I50" t="s">
        <v>71</v>
      </c>
      <c r="J50" t="s">
        <v>72</v>
      </c>
      <c r="K50" t="s">
        <v>73</v>
      </c>
      <c r="L50" t="s">
        <v>74</v>
      </c>
      <c r="M50" t="s">
        <v>148</v>
      </c>
      <c r="N50" t="s">
        <v>149</v>
      </c>
      <c r="O50" t="s">
        <v>150</v>
      </c>
      <c r="P50" t="s">
        <v>151</v>
      </c>
      <c r="Q50" t="s">
        <v>66</v>
      </c>
      <c r="R50" s="1">
        <v>46210</v>
      </c>
      <c r="S50" t="s">
        <v>150</v>
      </c>
      <c r="T50" t="s">
        <v>152</v>
      </c>
      <c r="U50" t="s">
        <v>153</v>
      </c>
      <c r="V50" t="s">
        <v>66</v>
      </c>
      <c r="W50" t="s">
        <v>66</v>
      </c>
      <c r="X50">
        <v>5211800</v>
      </c>
      <c r="Y50">
        <v>573298</v>
      </c>
      <c r="Z50">
        <v>242400</v>
      </c>
      <c r="AA50">
        <v>26664</v>
      </c>
      <c r="AB50">
        <v>5785098</v>
      </c>
      <c r="AC50">
        <v>1</v>
      </c>
      <c r="AD50" t="s">
        <v>134</v>
      </c>
      <c r="AE50">
        <v>12</v>
      </c>
      <c r="AF50" t="s">
        <v>242</v>
      </c>
      <c r="AG50">
        <f>IFERROR(VLOOKUP(AF50,[1]STOK!J:O,6,0),"")</f>
        <v>12</v>
      </c>
      <c r="AH50" s="2">
        <f t="shared" si="0"/>
        <v>1</v>
      </c>
      <c r="AI50" t="s">
        <v>242</v>
      </c>
      <c r="AJ50" t="s">
        <v>243</v>
      </c>
      <c r="AK50" t="s">
        <v>244</v>
      </c>
      <c r="AL50" t="s">
        <v>86</v>
      </c>
      <c r="AM50">
        <v>269064</v>
      </c>
      <c r="AN50">
        <f t="shared" si="1"/>
        <v>269064</v>
      </c>
      <c r="AO50" t="s">
        <v>66</v>
      </c>
      <c r="AP50">
        <v>0</v>
      </c>
      <c r="AQ50" t="s">
        <v>66</v>
      </c>
      <c r="AR50">
        <v>0</v>
      </c>
      <c r="AS50" t="s">
        <v>66</v>
      </c>
      <c r="AT50">
        <v>0</v>
      </c>
      <c r="AU50" t="s">
        <v>66</v>
      </c>
      <c r="AV50">
        <v>0</v>
      </c>
      <c r="AW50" t="s">
        <v>66</v>
      </c>
      <c r="AX50">
        <v>0</v>
      </c>
      <c r="AY50" t="s">
        <v>66</v>
      </c>
      <c r="AZ50">
        <v>0</v>
      </c>
      <c r="BA50" t="s">
        <v>66</v>
      </c>
      <c r="BB50">
        <v>0</v>
      </c>
      <c r="BC50">
        <v>0</v>
      </c>
      <c r="BD50">
        <v>269064</v>
      </c>
      <c r="BE50">
        <v>16680.79</v>
      </c>
      <c r="BF50">
        <v>0</v>
      </c>
      <c r="BG50" t="s">
        <v>237</v>
      </c>
      <c r="BH50" t="s">
        <v>238</v>
      </c>
      <c r="BI50">
        <v>12</v>
      </c>
      <c r="BJ50" t="s">
        <v>158</v>
      </c>
      <c r="BK50" t="s">
        <v>88</v>
      </c>
      <c r="BL50" t="s">
        <v>66</v>
      </c>
      <c r="BM50" t="s">
        <v>159</v>
      </c>
    </row>
    <row r="51" spans="1:65" x14ac:dyDescent="0.25">
      <c r="A51">
        <v>49</v>
      </c>
      <c r="B51" t="s">
        <v>230</v>
      </c>
      <c r="C51" t="s">
        <v>231</v>
      </c>
      <c r="D51" s="1">
        <v>46210</v>
      </c>
      <c r="E51" t="s">
        <v>232</v>
      </c>
      <c r="F51" t="s">
        <v>233</v>
      </c>
      <c r="G51" t="s">
        <v>69</v>
      </c>
      <c r="H51" t="s">
        <v>70</v>
      </c>
      <c r="I51" t="s">
        <v>71</v>
      </c>
      <c r="J51" t="s">
        <v>72</v>
      </c>
      <c r="K51" t="s">
        <v>73</v>
      </c>
      <c r="L51" t="s">
        <v>74</v>
      </c>
      <c r="M51" t="s">
        <v>148</v>
      </c>
      <c r="N51" t="s">
        <v>149</v>
      </c>
      <c r="O51" t="s">
        <v>150</v>
      </c>
      <c r="P51" t="s">
        <v>151</v>
      </c>
      <c r="Q51" t="s">
        <v>66</v>
      </c>
      <c r="R51" s="1">
        <v>46210</v>
      </c>
      <c r="S51" t="s">
        <v>150</v>
      </c>
      <c r="T51" t="s">
        <v>152</v>
      </c>
      <c r="U51" t="s">
        <v>153</v>
      </c>
      <c r="V51" t="s">
        <v>66</v>
      </c>
      <c r="W51" t="s">
        <v>66</v>
      </c>
      <c r="X51">
        <v>5211800</v>
      </c>
      <c r="Y51">
        <v>573298</v>
      </c>
      <c r="Z51">
        <v>242400</v>
      </c>
      <c r="AA51">
        <v>26664</v>
      </c>
      <c r="AB51">
        <v>5785098</v>
      </c>
      <c r="AC51">
        <v>1</v>
      </c>
      <c r="AD51" t="s">
        <v>134</v>
      </c>
      <c r="AE51">
        <v>24</v>
      </c>
      <c r="AF51" t="s">
        <v>245</v>
      </c>
      <c r="AG51">
        <f>IFERROR(VLOOKUP(AF51,[1]STOK!J:O,6,0),"")</f>
        <v>24</v>
      </c>
      <c r="AH51" s="2">
        <f t="shared" si="0"/>
        <v>1</v>
      </c>
      <c r="AI51" t="s">
        <v>245</v>
      </c>
      <c r="AJ51" t="s">
        <v>246</v>
      </c>
      <c r="AK51" t="s">
        <v>247</v>
      </c>
      <c r="AL51" t="s">
        <v>86</v>
      </c>
      <c r="AM51">
        <v>269064</v>
      </c>
      <c r="AN51">
        <f t="shared" si="1"/>
        <v>269064</v>
      </c>
      <c r="AO51" t="s">
        <v>66</v>
      </c>
      <c r="AP51">
        <v>0</v>
      </c>
      <c r="AQ51" t="s">
        <v>66</v>
      </c>
      <c r="AR51">
        <v>0</v>
      </c>
      <c r="AS51" t="s">
        <v>66</v>
      </c>
      <c r="AT51">
        <v>0</v>
      </c>
      <c r="AU51" t="s">
        <v>66</v>
      </c>
      <c r="AV51">
        <v>0</v>
      </c>
      <c r="AW51" t="s">
        <v>66</v>
      </c>
      <c r="AX51">
        <v>0</v>
      </c>
      <c r="AY51" t="s">
        <v>66</v>
      </c>
      <c r="AZ51">
        <v>0</v>
      </c>
      <c r="BA51" t="s">
        <v>66</v>
      </c>
      <c r="BB51">
        <v>0</v>
      </c>
      <c r="BC51">
        <v>0</v>
      </c>
      <c r="BD51">
        <v>269064</v>
      </c>
      <c r="BE51">
        <v>8313.93</v>
      </c>
      <c r="BF51">
        <v>0</v>
      </c>
      <c r="BG51" t="s">
        <v>237</v>
      </c>
      <c r="BH51" t="s">
        <v>238</v>
      </c>
      <c r="BI51">
        <v>24</v>
      </c>
      <c r="BJ51" t="s">
        <v>158</v>
      </c>
      <c r="BK51" t="s">
        <v>88</v>
      </c>
      <c r="BL51" t="s">
        <v>66</v>
      </c>
      <c r="BM51" t="s">
        <v>159</v>
      </c>
    </row>
    <row r="52" spans="1:65" x14ac:dyDescent="0.25">
      <c r="A52">
        <v>50</v>
      </c>
      <c r="B52" t="s">
        <v>230</v>
      </c>
      <c r="C52" t="s">
        <v>231</v>
      </c>
      <c r="D52" s="1">
        <v>46210</v>
      </c>
      <c r="E52" t="s">
        <v>232</v>
      </c>
      <c r="F52" t="s">
        <v>233</v>
      </c>
      <c r="G52" t="s">
        <v>69</v>
      </c>
      <c r="H52" t="s">
        <v>70</v>
      </c>
      <c r="I52" t="s">
        <v>71</v>
      </c>
      <c r="J52" t="s">
        <v>72</v>
      </c>
      <c r="K52" t="s">
        <v>73</v>
      </c>
      <c r="L52" t="s">
        <v>74</v>
      </c>
      <c r="M52" t="s">
        <v>148</v>
      </c>
      <c r="N52" t="s">
        <v>149</v>
      </c>
      <c r="O52" t="s">
        <v>150</v>
      </c>
      <c r="P52" t="s">
        <v>151</v>
      </c>
      <c r="Q52" t="s">
        <v>66</v>
      </c>
      <c r="R52" s="1">
        <v>46210</v>
      </c>
      <c r="S52" t="s">
        <v>150</v>
      </c>
      <c r="T52" t="s">
        <v>152</v>
      </c>
      <c r="U52" t="s">
        <v>153</v>
      </c>
      <c r="V52" t="s">
        <v>66</v>
      </c>
      <c r="W52" t="s">
        <v>66</v>
      </c>
      <c r="X52">
        <v>5211800</v>
      </c>
      <c r="Y52">
        <v>573298</v>
      </c>
      <c r="Z52">
        <v>484800</v>
      </c>
      <c r="AA52">
        <v>53328</v>
      </c>
      <c r="AB52">
        <v>5785098</v>
      </c>
      <c r="AC52">
        <v>2</v>
      </c>
      <c r="AD52" t="s">
        <v>134</v>
      </c>
      <c r="AE52">
        <v>48</v>
      </c>
      <c r="AF52" t="s">
        <v>166</v>
      </c>
      <c r="AG52">
        <f>IFERROR(VLOOKUP(AF52,[1]STOK!J:O,6,0),"")</f>
        <v>24</v>
      </c>
      <c r="AH52" s="2">
        <f t="shared" si="0"/>
        <v>2</v>
      </c>
      <c r="AI52" t="s">
        <v>166</v>
      </c>
      <c r="AJ52" t="s">
        <v>167</v>
      </c>
      <c r="AK52" t="s">
        <v>168</v>
      </c>
      <c r="AL52" t="s">
        <v>86</v>
      </c>
      <c r="AM52">
        <v>269064</v>
      </c>
      <c r="AN52">
        <f t="shared" si="1"/>
        <v>269064</v>
      </c>
      <c r="AO52" t="s">
        <v>66</v>
      </c>
      <c r="AP52">
        <v>0</v>
      </c>
      <c r="AQ52" t="s">
        <v>66</v>
      </c>
      <c r="AR52">
        <v>0</v>
      </c>
      <c r="AS52" t="s">
        <v>66</v>
      </c>
      <c r="AT52">
        <v>0</v>
      </c>
      <c r="AU52" t="s">
        <v>66</v>
      </c>
      <c r="AV52">
        <v>0</v>
      </c>
      <c r="AW52" t="s">
        <v>66</v>
      </c>
      <c r="AX52">
        <v>0</v>
      </c>
      <c r="AY52" t="s">
        <v>66</v>
      </c>
      <c r="AZ52">
        <v>0</v>
      </c>
      <c r="BA52" t="s">
        <v>66</v>
      </c>
      <c r="BB52">
        <v>0</v>
      </c>
      <c r="BC52">
        <v>0</v>
      </c>
      <c r="BD52">
        <v>538128</v>
      </c>
      <c r="BE52">
        <v>8326.0300000000007</v>
      </c>
      <c r="BF52">
        <v>0</v>
      </c>
      <c r="BG52" t="s">
        <v>237</v>
      </c>
      <c r="BH52" t="s">
        <v>238</v>
      </c>
      <c r="BI52">
        <v>48</v>
      </c>
      <c r="BJ52" t="s">
        <v>158</v>
      </c>
      <c r="BK52" t="s">
        <v>88</v>
      </c>
      <c r="BL52" t="s">
        <v>66</v>
      </c>
      <c r="BM52" t="s">
        <v>159</v>
      </c>
    </row>
    <row r="53" spans="1:65" x14ac:dyDescent="0.25">
      <c r="A53">
        <v>51</v>
      </c>
      <c r="B53" t="s">
        <v>230</v>
      </c>
      <c r="C53" t="s">
        <v>231</v>
      </c>
      <c r="D53" s="1">
        <v>46210</v>
      </c>
      <c r="E53" t="s">
        <v>232</v>
      </c>
      <c r="F53" t="s">
        <v>233</v>
      </c>
      <c r="G53" t="s">
        <v>69</v>
      </c>
      <c r="H53" t="s">
        <v>70</v>
      </c>
      <c r="I53" t="s">
        <v>71</v>
      </c>
      <c r="J53" t="s">
        <v>72</v>
      </c>
      <c r="K53" t="s">
        <v>73</v>
      </c>
      <c r="L53" t="s">
        <v>74</v>
      </c>
      <c r="M53" t="s">
        <v>148</v>
      </c>
      <c r="N53" t="s">
        <v>149</v>
      </c>
      <c r="O53" t="s">
        <v>150</v>
      </c>
      <c r="P53" t="s">
        <v>151</v>
      </c>
      <c r="Q53" t="s">
        <v>66</v>
      </c>
      <c r="R53" s="1">
        <v>46210</v>
      </c>
      <c r="S53" t="s">
        <v>150</v>
      </c>
      <c r="T53" t="s">
        <v>152</v>
      </c>
      <c r="U53" t="s">
        <v>153</v>
      </c>
      <c r="V53" t="s">
        <v>66</v>
      </c>
      <c r="W53" t="s">
        <v>66</v>
      </c>
      <c r="X53">
        <v>5211800</v>
      </c>
      <c r="Y53">
        <v>573298</v>
      </c>
      <c r="Z53">
        <v>189600</v>
      </c>
      <c r="AA53">
        <v>20856</v>
      </c>
      <c r="AB53">
        <v>5785098</v>
      </c>
      <c r="AC53">
        <v>1</v>
      </c>
      <c r="AD53" t="s">
        <v>134</v>
      </c>
      <c r="AE53">
        <v>24</v>
      </c>
      <c r="AF53" t="s">
        <v>248</v>
      </c>
      <c r="AG53">
        <f>IFERROR(VLOOKUP(AF53,[1]STOK!J:O,6,0),"")</f>
        <v>24</v>
      </c>
      <c r="AH53" s="2">
        <f t="shared" si="0"/>
        <v>1</v>
      </c>
      <c r="AI53" t="s">
        <v>248</v>
      </c>
      <c r="AJ53" t="s">
        <v>249</v>
      </c>
      <c r="AK53" t="s">
        <v>250</v>
      </c>
      <c r="AL53" t="s">
        <v>86</v>
      </c>
      <c r="AM53">
        <v>210456</v>
      </c>
      <c r="AN53">
        <f t="shared" si="1"/>
        <v>210456</v>
      </c>
      <c r="AO53" t="s">
        <v>66</v>
      </c>
      <c r="AP53">
        <v>0</v>
      </c>
      <c r="AQ53" t="s">
        <v>66</v>
      </c>
      <c r="AR53">
        <v>0</v>
      </c>
      <c r="AS53" t="s">
        <v>66</v>
      </c>
      <c r="AT53">
        <v>0</v>
      </c>
      <c r="AU53" t="s">
        <v>66</v>
      </c>
      <c r="AV53">
        <v>0</v>
      </c>
      <c r="AW53" t="s">
        <v>66</v>
      </c>
      <c r="AX53">
        <v>0</v>
      </c>
      <c r="AY53" t="s">
        <v>66</v>
      </c>
      <c r="AZ53">
        <v>0</v>
      </c>
      <c r="BA53" t="s">
        <v>66</v>
      </c>
      <c r="BB53">
        <v>0</v>
      </c>
      <c r="BC53">
        <v>0</v>
      </c>
      <c r="BD53">
        <v>210456</v>
      </c>
      <c r="BE53">
        <v>7032.04</v>
      </c>
      <c r="BF53">
        <v>0</v>
      </c>
      <c r="BG53" t="s">
        <v>237</v>
      </c>
      <c r="BH53" t="s">
        <v>238</v>
      </c>
      <c r="BI53">
        <v>24</v>
      </c>
      <c r="BJ53" t="s">
        <v>158</v>
      </c>
      <c r="BK53" t="s">
        <v>88</v>
      </c>
      <c r="BL53" t="s">
        <v>66</v>
      </c>
      <c r="BM53" t="s">
        <v>159</v>
      </c>
    </row>
    <row r="54" spans="1:65" x14ac:dyDescent="0.25">
      <c r="A54">
        <v>52</v>
      </c>
      <c r="B54" t="s">
        <v>230</v>
      </c>
      <c r="C54" t="s">
        <v>231</v>
      </c>
      <c r="D54" s="1">
        <v>46210</v>
      </c>
      <c r="E54" t="s">
        <v>232</v>
      </c>
      <c r="F54" t="s">
        <v>233</v>
      </c>
      <c r="G54" t="s">
        <v>69</v>
      </c>
      <c r="H54" t="s">
        <v>70</v>
      </c>
      <c r="I54" t="s">
        <v>71</v>
      </c>
      <c r="J54" t="s">
        <v>72</v>
      </c>
      <c r="K54" t="s">
        <v>73</v>
      </c>
      <c r="L54" t="s">
        <v>74</v>
      </c>
      <c r="M54" t="s">
        <v>148</v>
      </c>
      <c r="N54" t="s">
        <v>149</v>
      </c>
      <c r="O54" t="s">
        <v>150</v>
      </c>
      <c r="P54" t="s">
        <v>151</v>
      </c>
      <c r="Q54" t="s">
        <v>66</v>
      </c>
      <c r="R54" s="1">
        <v>46210</v>
      </c>
      <c r="S54" t="s">
        <v>150</v>
      </c>
      <c r="T54" t="s">
        <v>152</v>
      </c>
      <c r="U54" t="s">
        <v>153</v>
      </c>
      <c r="V54" t="s">
        <v>66</v>
      </c>
      <c r="W54" t="s">
        <v>66</v>
      </c>
      <c r="X54">
        <v>5211800</v>
      </c>
      <c r="Y54">
        <v>573298</v>
      </c>
      <c r="Z54">
        <v>1635000</v>
      </c>
      <c r="AA54">
        <v>179850</v>
      </c>
      <c r="AB54">
        <v>5785098</v>
      </c>
      <c r="AC54">
        <v>5</v>
      </c>
      <c r="AD54" t="s">
        <v>134</v>
      </c>
      <c r="AE54">
        <v>30</v>
      </c>
      <c r="AF54" t="s">
        <v>251</v>
      </c>
      <c r="AG54">
        <f>IFERROR(VLOOKUP(AF54,[1]STOK!J:O,6,0),"")</f>
        <v>6</v>
      </c>
      <c r="AH54" s="2">
        <f t="shared" si="0"/>
        <v>5</v>
      </c>
      <c r="AI54" t="s">
        <v>251</v>
      </c>
      <c r="AJ54" t="s">
        <v>252</v>
      </c>
      <c r="AK54" t="s">
        <v>253</v>
      </c>
      <c r="AL54" t="s">
        <v>86</v>
      </c>
      <c r="AM54">
        <v>362970</v>
      </c>
      <c r="AN54">
        <f t="shared" si="1"/>
        <v>362970</v>
      </c>
      <c r="AO54" t="s">
        <v>66</v>
      </c>
      <c r="AP54">
        <v>0</v>
      </c>
      <c r="AQ54" t="s">
        <v>66</v>
      </c>
      <c r="AR54">
        <v>0</v>
      </c>
      <c r="AS54" t="s">
        <v>66</v>
      </c>
      <c r="AT54">
        <v>0</v>
      </c>
      <c r="AU54" t="s">
        <v>66</v>
      </c>
      <c r="AV54">
        <v>0</v>
      </c>
      <c r="AW54" t="s">
        <v>66</v>
      </c>
      <c r="AX54">
        <v>0</v>
      </c>
      <c r="AY54" t="s">
        <v>66</v>
      </c>
      <c r="AZ54">
        <v>0</v>
      </c>
      <c r="BA54" t="s">
        <v>66</v>
      </c>
      <c r="BB54">
        <v>0</v>
      </c>
      <c r="BC54">
        <v>0</v>
      </c>
      <c r="BD54">
        <v>1814850</v>
      </c>
      <c r="BE54">
        <v>46531.54</v>
      </c>
      <c r="BF54">
        <v>0</v>
      </c>
      <c r="BG54" t="s">
        <v>237</v>
      </c>
      <c r="BH54" t="s">
        <v>238</v>
      </c>
      <c r="BI54">
        <v>30</v>
      </c>
      <c r="BJ54" t="s">
        <v>158</v>
      </c>
      <c r="BK54" t="s">
        <v>88</v>
      </c>
      <c r="BL54" t="s">
        <v>66</v>
      </c>
      <c r="BM54" t="s">
        <v>159</v>
      </c>
    </row>
    <row r="55" spans="1:65" x14ac:dyDescent="0.25">
      <c r="A55">
        <v>53</v>
      </c>
      <c r="B55" t="s">
        <v>230</v>
      </c>
      <c r="C55" t="s">
        <v>231</v>
      </c>
      <c r="D55" s="1">
        <v>46210</v>
      </c>
      <c r="E55" t="s">
        <v>232</v>
      </c>
      <c r="F55" t="s">
        <v>233</v>
      </c>
      <c r="G55" t="s">
        <v>69</v>
      </c>
      <c r="H55" t="s">
        <v>70</v>
      </c>
      <c r="I55" t="s">
        <v>71</v>
      </c>
      <c r="J55" t="s">
        <v>72</v>
      </c>
      <c r="K55" t="s">
        <v>73</v>
      </c>
      <c r="L55" t="s">
        <v>74</v>
      </c>
      <c r="M55" t="s">
        <v>148</v>
      </c>
      <c r="N55" t="s">
        <v>149</v>
      </c>
      <c r="O55" t="s">
        <v>150</v>
      </c>
      <c r="P55" t="s">
        <v>151</v>
      </c>
      <c r="Q55" t="s">
        <v>66</v>
      </c>
      <c r="R55" s="1">
        <v>46210</v>
      </c>
      <c r="S55" t="s">
        <v>150</v>
      </c>
      <c r="T55" t="s">
        <v>152</v>
      </c>
      <c r="U55" t="s">
        <v>153</v>
      </c>
      <c r="V55" t="s">
        <v>66</v>
      </c>
      <c r="W55" t="s">
        <v>66</v>
      </c>
      <c r="X55">
        <v>5211800</v>
      </c>
      <c r="Y55">
        <v>573298</v>
      </c>
      <c r="Z55">
        <v>396000</v>
      </c>
      <c r="AA55">
        <v>43560</v>
      </c>
      <c r="AB55">
        <v>5785098</v>
      </c>
      <c r="AC55">
        <v>1</v>
      </c>
      <c r="AD55" t="s">
        <v>134</v>
      </c>
      <c r="AE55">
        <v>24</v>
      </c>
      <c r="AF55" t="s">
        <v>93</v>
      </c>
      <c r="AG55">
        <f>IFERROR(VLOOKUP(AF55,[1]STOK!J:O,6,0),"")</f>
        <v>24</v>
      </c>
      <c r="AH55" s="2">
        <f t="shared" si="0"/>
        <v>1</v>
      </c>
      <c r="AI55" t="s">
        <v>93</v>
      </c>
      <c r="AJ55" t="s">
        <v>94</v>
      </c>
      <c r="AK55" t="s">
        <v>95</v>
      </c>
      <c r="AL55" t="s">
        <v>86</v>
      </c>
      <c r="AM55">
        <v>439560</v>
      </c>
      <c r="AN55">
        <f t="shared" si="1"/>
        <v>439560</v>
      </c>
      <c r="AO55" t="s">
        <v>66</v>
      </c>
      <c r="AP55">
        <v>0</v>
      </c>
      <c r="AQ55" t="s">
        <v>66</v>
      </c>
      <c r="AR55">
        <v>0</v>
      </c>
      <c r="AS55" t="s">
        <v>66</v>
      </c>
      <c r="AT55">
        <v>0</v>
      </c>
      <c r="AU55" t="s">
        <v>66</v>
      </c>
      <c r="AV55">
        <v>0</v>
      </c>
      <c r="AW55" t="s">
        <v>66</v>
      </c>
      <c r="AX55">
        <v>0</v>
      </c>
      <c r="AY55" t="s">
        <v>66</v>
      </c>
      <c r="AZ55">
        <v>0</v>
      </c>
      <c r="BA55" t="s">
        <v>66</v>
      </c>
      <c r="BB55">
        <v>0</v>
      </c>
      <c r="BC55">
        <v>0</v>
      </c>
      <c r="BD55">
        <v>439560</v>
      </c>
      <c r="BE55">
        <v>14931.72</v>
      </c>
      <c r="BF55">
        <v>0</v>
      </c>
      <c r="BG55" t="s">
        <v>237</v>
      </c>
      <c r="BH55" t="s">
        <v>238</v>
      </c>
      <c r="BI55">
        <v>24</v>
      </c>
      <c r="BJ55" t="s">
        <v>158</v>
      </c>
      <c r="BK55" t="s">
        <v>88</v>
      </c>
      <c r="BL55" t="s">
        <v>66</v>
      </c>
      <c r="BM55" t="s">
        <v>159</v>
      </c>
    </row>
    <row r="56" spans="1:65" x14ac:dyDescent="0.25">
      <c r="A56">
        <v>54</v>
      </c>
      <c r="B56" t="s">
        <v>230</v>
      </c>
      <c r="C56" t="s">
        <v>231</v>
      </c>
      <c r="D56" s="1">
        <v>46210</v>
      </c>
      <c r="E56" t="s">
        <v>232</v>
      </c>
      <c r="F56" t="s">
        <v>233</v>
      </c>
      <c r="G56" t="s">
        <v>69</v>
      </c>
      <c r="H56" t="s">
        <v>70</v>
      </c>
      <c r="I56" t="s">
        <v>71</v>
      </c>
      <c r="J56" t="s">
        <v>72</v>
      </c>
      <c r="K56" t="s">
        <v>73</v>
      </c>
      <c r="L56" t="s">
        <v>74</v>
      </c>
      <c r="M56" t="s">
        <v>148</v>
      </c>
      <c r="N56" t="s">
        <v>149</v>
      </c>
      <c r="O56" t="s">
        <v>150</v>
      </c>
      <c r="P56" t="s">
        <v>151</v>
      </c>
      <c r="Q56" t="s">
        <v>66</v>
      </c>
      <c r="R56" s="1">
        <v>46210</v>
      </c>
      <c r="S56" t="s">
        <v>150</v>
      </c>
      <c r="T56" t="s">
        <v>152</v>
      </c>
      <c r="U56" t="s">
        <v>153</v>
      </c>
      <c r="V56" t="s">
        <v>66</v>
      </c>
      <c r="W56" t="s">
        <v>66</v>
      </c>
      <c r="X56">
        <v>5211800</v>
      </c>
      <c r="Y56">
        <v>573298</v>
      </c>
      <c r="Z56">
        <v>159600</v>
      </c>
      <c r="AA56">
        <v>17556</v>
      </c>
      <c r="AB56">
        <v>5785098</v>
      </c>
      <c r="AC56">
        <v>1</v>
      </c>
      <c r="AD56" t="s">
        <v>134</v>
      </c>
      <c r="AE56">
        <v>12</v>
      </c>
      <c r="AF56" t="s">
        <v>169</v>
      </c>
      <c r="AG56">
        <f>IFERROR(VLOOKUP(AF56,[1]STOK!J:O,6,0),"")</f>
        <v>12</v>
      </c>
      <c r="AH56" s="2">
        <f t="shared" si="0"/>
        <v>1</v>
      </c>
      <c r="AI56" t="s">
        <v>169</v>
      </c>
      <c r="AJ56" t="s">
        <v>170</v>
      </c>
      <c r="AK56" t="s">
        <v>171</v>
      </c>
      <c r="AL56" t="s">
        <v>86</v>
      </c>
      <c r="AM56">
        <v>177156</v>
      </c>
      <c r="AN56">
        <f t="shared" si="1"/>
        <v>177156</v>
      </c>
      <c r="AO56" t="s">
        <v>66</v>
      </c>
      <c r="AP56">
        <v>0</v>
      </c>
      <c r="AQ56" t="s">
        <v>66</v>
      </c>
      <c r="AR56">
        <v>0</v>
      </c>
      <c r="AS56" t="s">
        <v>66</v>
      </c>
      <c r="AT56">
        <v>0</v>
      </c>
      <c r="AU56" t="s">
        <v>66</v>
      </c>
      <c r="AV56">
        <v>0</v>
      </c>
      <c r="AW56" t="s">
        <v>66</v>
      </c>
      <c r="AX56">
        <v>0</v>
      </c>
      <c r="AY56" t="s">
        <v>66</v>
      </c>
      <c r="AZ56">
        <v>0</v>
      </c>
      <c r="BA56" t="s">
        <v>66</v>
      </c>
      <c r="BB56">
        <v>0</v>
      </c>
      <c r="BC56">
        <v>0</v>
      </c>
      <c r="BD56">
        <v>177156</v>
      </c>
      <c r="BE56">
        <v>12056.21</v>
      </c>
      <c r="BF56">
        <v>0</v>
      </c>
      <c r="BG56" t="s">
        <v>237</v>
      </c>
      <c r="BH56" t="s">
        <v>238</v>
      </c>
      <c r="BI56">
        <v>12</v>
      </c>
      <c r="BJ56" t="s">
        <v>158</v>
      </c>
      <c r="BK56" t="s">
        <v>88</v>
      </c>
      <c r="BL56" t="s">
        <v>66</v>
      </c>
      <c r="BM56" t="s">
        <v>159</v>
      </c>
    </row>
    <row r="57" spans="1:65" x14ac:dyDescent="0.25">
      <c r="A57">
        <v>55</v>
      </c>
      <c r="B57" t="s">
        <v>230</v>
      </c>
      <c r="C57" t="s">
        <v>231</v>
      </c>
      <c r="D57" s="1">
        <v>46210</v>
      </c>
      <c r="E57" t="s">
        <v>232</v>
      </c>
      <c r="F57" t="s">
        <v>233</v>
      </c>
      <c r="G57" t="s">
        <v>69</v>
      </c>
      <c r="H57" t="s">
        <v>70</v>
      </c>
      <c r="I57" t="s">
        <v>71</v>
      </c>
      <c r="J57" t="s">
        <v>72</v>
      </c>
      <c r="K57" t="s">
        <v>73</v>
      </c>
      <c r="L57" t="s">
        <v>74</v>
      </c>
      <c r="M57" t="s">
        <v>148</v>
      </c>
      <c r="N57" t="s">
        <v>149</v>
      </c>
      <c r="O57" t="s">
        <v>150</v>
      </c>
      <c r="P57" t="s">
        <v>151</v>
      </c>
      <c r="Q57" t="s">
        <v>66</v>
      </c>
      <c r="R57" s="1">
        <v>46210</v>
      </c>
      <c r="S57" t="s">
        <v>150</v>
      </c>
      <c r="T57" t="s">
        <v>152</v>
      </c>
      <c r="U57" t="s">
        <v>153</v>
      </c>
      <c r="V57" t="s">
        <v>66</v>
      </c>
      <c r="W57" t="s">
        <v>66</v>
      </c>
      <c r="X57">
        <v>5211800</v>
      </c>
      <c r="Y57">
        <v>573298</v>
      </c>
      <c r="Z57">
        <v>172800</v>
      </c>
      <c r="AA57">
        <v>19008</v>
      </c>
      <c r="AB57">
        <v>5785098</v>
      </c>
      <c r="AC57">
        <v>1</v>
      </c>
      <c r="AD57" t="s">
        <v>134</v>
      </c>
      <c r="AE57">
        <v>12</v>
      </c>
      <c r="AF57" t="s">
        <v>172</v>
      </c>
      <c r="AG57">
        <f>IFERROR(VLOOKUP(AF57,[1]STOK!J:O,6,0),"")</f>
        <v>12</v>
      </c>
      <c r="AH57" s="2">
        <f t="shared" si="0"/>
        <v>1</v>
      </c>
      <c r="AI57" t="s">
        <v>172</v>
      </c>
      <c r="AJ57" t="s">
        <v>173</v>
      </c>
      <c r="AK57" t="s">
        <v>174</v>
      </c>
      <c r="AL57" t="s">
        <v>86</v>
      </c>
      <c r="AM57">
        <v>191808</v>
      </c>
      <c r="AN57">
        <f t="shared" si="1"/>
        <v>191808</v>
      </c>
      <c r="AO57" t="s">
        <v>66</v>
      </c>
      <c r="AP57">
        <v>0</v>
      </c>
      <c r="AQ57" t="s">
        <v>66</v>
      </c>
      <c r="AR57">
        <v>0</v>
      </c>
      <c r="AS57" t="s">
        <v>66</v>
      </c>
      <c r="AT57">
        <v>0</v>
      </c>
      <c r="AU57" t="s">
        <v>66</v>
      </c>
      <c r="AV57">
        <v>0</v>
      </c>
      <c r="AW57" t="s">
        <v>66</v>
      </c>
      <c r="AX57">
        <v>0</v>
      </c>
      <c r="AY57" t="s">
        <v>66</v>
      </c>
      <c r="AZ57">
        <v>0</v>
      </c>
      <c r="BA57" t="s">
        <v>66</v>
      </c>
      <c r="BB57">
        <v>0</v>
      </c>
      <c r="BC57">
        <v>0</v>
      </c>
      <c r="BD57">
        <v>191808</v>
      </c>
      <c r="BE57">
        <v>12881.14</v>
      </c>
      <c r="BF57">
        <v>0</v>
      </c>
      <c r="BG57" t="s">
        <v>237</v>
      </c>
      <c r="BH57" t="s">
        <v>238</v>
      </c>
      <c r="BI57">
        <v>12</v>
      </c>
      <c r="BJ57" t="s">
        <v>158</v>
      </c>
      <c r="BK57" t="s">
        <v>88</v>
      </c>
      <c r="BL57" t="s">
        <v>66</v>
      </c>
      <c r="BM57" t="s">
        <v>159</v>
      </c>
    </row>
    <row r="58" spans="1:65" x14ac:dyDescent="0.25">
      <c r="A58">
        <v>56</v>
      </c>
      <c r="B58" t="s">
        <v>230</v>
      </c>
      <c r="C58" t="s">
        <v>231</v>
      </c>
      <c r="D58" s="1">
        <v>46210</v>
      </c>
      <c r="E58" t="s">
        <v>232</v>
      </c>
      <c r="F58" t="s">
        <v>233</v>
      </c>
      <c r="G58" t="s">
        <v>69</v>
      </c>
      <c r="H58" t="s">
        <v>70</v>
      </c>
      <c r="I58" t="s">
        <v>71</v>
      </c>
      <c r="J58" t="s">
        <v>72</v>
      </c>
      <c r="K58" t="s">
        <v>73</v>
      </c>
      <c r="L58" t="s">
        <v>74</v>
      </c>
      <c r="M58" t="s">
        <v>148</v>
      </c>
      <c r="N58" t="s">
        <v>149</v>
      </c>
      <c r="O58" t="s">
        <v>150</v>
      </c>
      <c r="P58" t="s">
        <v>151</v>
      </c>
      <c r="Q58" t="s">
        <v>66</v>
      </c>
      <c r="R58" s="1">
        <v>46210</v>
      </c>
      <c r="S58" t="s">
        <v>150</v>
      </c>
      <c r="T58" t="s">
        <v>152</v>
      </c>
      <c r="U58" t="s">
        <v>153</v>
      </c>
      <c r="V58" t="s">
        <v>66</v>
      </c>
      <c r="W58" t="s">
        <v>66</v>
      </c>
      <c r="X58">
        <v>5211800</v>
      </c>
      <c r="Y58">
        <v>573298</v>
      </c>
      <c r="Z58">
        <v>468000</v>
      </c>
      <c r="AA58">
        <v>51480</v>
      </c>
      <c r="AB58">
        <v>5785098</v>
      </c>
      <c r="AC58">
        <v>10</v>
      </c>
      <c r="AD58" t="s">
        <v>134</v>
      </c>
      <c r="AE58">
        <v>120</v>
      </c>
      <c r="AF58" t="s">
        <v>175</v>
      </c>
      <c r="AG58">
        <f>IFERROR(VLOOKUP(AF58,[1]STOK!J:O,6,0),"")</f>
        <v>12</v>
      </c>
      <c r="AH58" s="2">
        <f t="shared" si="0"/>
        <v>10</v>
      </c>
      <c r="AI58" t="s">
        <v>175</v>
      </c>
      <c r="AJ58" t="s">
        <v>176</v>
      </c>
      <c r="AK58" t="s">
        <v>177</v>
      </c>
      <c r="AL58" t="s">
        <v>86</v>
      </c>
      <c r="AM58">
        <v>51948</v>
      </c>
      <c r="AN58">
        <f t="shared" si="1"/>
        <v>51948</v>
      </c>
      <c r="AO58" t="s">
        <v>66</v>
      </c>
      <c r="AP58">
        <v>0</v>
      </c>
      <c r="AQ58" t="s">
        <v>66</v>
      </c>
      <c r="AR58">
        <v>0</v>
      </c>
      <c r="AS58" t="s">
        <v>66</v>
      </c>
      <c r="AT58">
        <v>0</v>
      </c>
      <c r="AU58" t="s">
        <v>66</v>
      </c>
      <c r="AV58">
        <v>0</v>
      </c>
      <c r="AW58" t="s">
        <v>66</v>
      </c>
      <c r="AX58">
        <v>0</v>
      </c>
      <c r="AY58" t="s">
        <v>66</v>
      </c>
      <c r="AZ58">
        <v>0</v>
      </c>
      <c r="BA58" t="s">
        <v>66</v>
      </c>
      <c r="BB58">
        <v>0</v>
      </c>
      <c r="BC58">
        <v>0</v>
      </c>
      <c r="BD58">
        <v>519480</v>
      </c>
      <c r="BE58">
        <v>3548.83</v>
      </c>
      <c r="BF58">
        <v>0</v>
      </c>
      <c r="BG58" t="s">
        <v>237</v>
      </c>
      <c r="BH58" t="s">
        <v>238</v>
      </c>
      <c r="BI58">
        <v>120</v>
      </c>
      <c r="BJ58" t="s">
        <v>158</v>
      </c>
      <c r="BK58" t="s">
        <v>88</v>
      </c>
      <c r="BL58" t="s">
        <v>66</v>
      </c>
      <c r="BM58" t="s">
        <v>159</v>
      </c>
    </row>
    <row r="59" spans="1:65" x14ac:dyDescent="0.25">
      <c r="A59">
        <v>57</v>
      </c>
      <c r="B59" t="s">
        <v>230</v>
      </c>
      <c r="C59" t="s">
        <v>231</v>
      </c>
      <c r="D59" s="1">
        <v>46210</v>
      </c>
      <c r="E59" t="s">
        <v>232</v>
      </c>
      <c r="F59" t="s">
        <v>233</v>
      </c>
      <c r="G59" t="s">
        <v>69</v>
      </c>
      <c r="H59" t="s">
        <v>70</v>
      </c>
      <c r="I59" t="s">
        <v>71</v>
      </c>
      <c r="J59" t="s">
        <v>72</v>
      </c>
      <c r="K59" t="s">
        <v>73</v>
      </c>
      <c r="L59" t="s">
        <v>74</v>
      </c>
      <c r="M59" t="s">
        <v>148</v>
      </c>
      <c r="N59" t="s">
        <v>149</v>
      </c>
      <c r="O59" t="s">
        <v>150</v>
      </c>
      <c r="P59" t="s">
        <v>151</v>
      </c>
      <c r="Q59" t="s">
        <v>66</v>
      </c>
      <c r="R59" s="1">
        <v>46210</v>
      </c>
      <c r="S59" t="s">
        <v>150</v>
      </c>
      <c r="T59" t="s">
        <v>152</v>
      </c>
      <c r="U59" t="s">
        <v>153</v>
      </c>
      <c r="V59" t="s">
        <v>66</v>
      </c>
      <c r="W59" t="s">
        <v>66</v>
      </c>
      <c r="X59">
        <v>5211800</v>
      </c>
      <c r="Y59">
        <v>573298</v>
      </c>
      <c r="Z59">
        <v>118800</v>
      </c>
      <c r="AA59">
        <v>13068</v>
      </c>
      <c r="AB59">
        <v>5785098</v>
      </c>
      <c r="AC59">
        <v>1</v>
      </c>
      <c r="AD59" t="s">
        <v>134</v>
      </c>
      <c r="AE59">
        <v>12</v>
      </c>
      <c r="AF59" t="s">
        <v>178</v>
      </c>
      <c r="AG59">
        <f>IFERROR(VLOOKUP(AF59,[1]STOK!J:O,6,0),"")</f>
        <v>12</v>
      </c>
      <c r="AH59" s="2">
        <f t="shared" si="0"/>
        <v>1</v>
      </c>
      <c r="AI59" t="s">
        <v>178</v>
      </c>
      <c r="AJ59" t="s">
        <v>179</v>
      </c>
      <c r="AK59" t="s">
        <v>180</v>
      </c>
      <c r="AL59" t="s">
        <v>86</v>
      </c>
      <c r="AM59">
        <v>131868</v>
      </c>
      <c r="AN59">
        <f t="shared" si="1"/>
        <v>131868</v>
      </c>
      <c r="AO59" t="s">
        <v>66</v>
      </c>
      <c r="AP59">
        <v>0</v>
      </c>
      <c r="AQ59" t="s">
        <v>66</v>
      </c>
      <c r="AR59">
        <v>0</v>
      </c>
      <c r="AS59" t="s">
        <v>66</v>
      </c>
      <c r="AT59">
        <v>0</v>
      </c>
      <c r="AU59" t="s">
        <v>66</v>
      </c>
      <c r="AV59">
        <v>0</v>
      </c>
      <c r="AW59" t="s">
        <v>66</v>
      </c>
      <c r="AX59">
        <v>0</v>
      </c>
      <c r="AY59" t="s">
        <v>66</v>
      </c>
      <c r="AZ59">
        <v>0</v>
      </c>
      <c r="BA59" t="s">
        <v>66</v>
      </c>
      <c r="BB59">
        <v>0</v>
      </c>
      <c r="BC59">
        <v>0</v>
      </c>
      <c r="BD59">
        <v>131868</v>
      </c>
      <c r="BE59">
        <v>0</v>
      </c>
      <c r="BF59">
        <v>0</v>
      </c>
      <c r="BG59" t="s">
        <v>237</v>
      </c>
      <c r="BH59" t="s">
        <v>238</v>
      </c>
      <c r="BI59">
        <v>12</v>
      </c>
      <c r="BJ59" t="s">
        <v>158</v>
      </c>
      <c r="BK59" t="s">
        <v>88</v>
      </c>
      <c r="BL59" t="s">
        <v>66</v>
      </c>
      <c r="BM59" t="s">
        <v>159</v>
      </c>
    </row>
    <row r="60" spans="1:65" x14ac:dyDescent="0.25">
      <c r="A60">
        <v>58</v>
      </c>
      <c r="B60" t="s">
        <v>254</v>
      </c>
      <c r="C60" t="s">
        <v>66</v>
      </c>
      <c r="D60" s="1">
        <v>46212</v>
      </c>
      <c r="E60" t="s">
        <v>255</v>
      </c>
      <c r="F60" t="s">
        <v>68</v>
      </c>
      <c r="G60" t="s">
        <v>69</v>
      </c>
      <c r="H60" t="s">
        <v>70</v>
      </c>
      <c r="I60" t="s">
        <v>71</v>
      </c>
      <c r="J60" t="s">
        <v>72</v>
      </c>
      <c r="K60" t="s">
        <v>73</v>
      </c>
      <c r="L60" t="s">
        <v>74</v>
      </c>
      <c r="M60" t="s">
        <v>256</v>
      </c>
      <c r="N60" t="s">
        <v>76</v>
      </c>
      <c r="O60" t="s">
        <v>257</v>
      </c>
      <c r="P60" t="s">
        <v>258</v>
      </c>
      <c r="Q60" t="s">
        <v>66</v>
      </c>
      <c r="R60" s="1">
        <v>46212</v>
      </c>
      <c r="S60" t="s">
        <v>259</v>
      </c>
      <c r="T60" t="s">
        <v>260</v>
      </c>
      <c r="U60" t="s">
        <v>66</v>
      </c>
      <c r="V60" t="s">
        <v>261</v>
      </c>
      <c r="W60" t="s">
        <v>66</v>
      </c>
      <c r="X60">
        <v>229200</v>
      </c>
      <c r="Y60">
        <v>25212</v>
      </c>
      <c r="Z60">
        <v>22200</v>
      </c>
      <c r="AA60">
        <v>2442</v>
      </c>
      <c r="AB60">
        <v>254412</v>
      </c>
      <c r="AC60">
        <v>3</v>
      </c>
      <c r="AD60" t="s">
        <v>82</v>
      </c>
      <c r="AE60">
        <v>3</v>
      </c>
      <c r="AF60" t="s">
        <v>262</v>
      </c>
      <c r="AG60">
        <f>IFERROR(VLOOKUP(AF60,[1]STOK!J:O,6,0),"")</f>
        <v>24</v>
      </c>
      <c r="AH60" s="2">
        <f t="shared" si="0"/>
        <v>0.125</v>
      </c>
      <c r="AI60" t="s">
        <v>262</v>
      </c>
      <c r="AJ60" t="s">
        <v>263</v>
      </c>
      <c r="AK60" t="s">
        <v>264</v>
      </c>
      <c r="AL60" t="s">
        <v>86</v>
      </c>
      <c r="AM60">
        <v>8214</v>
      </c>
      <c r="AN60">
        <f t="shared" si="1"/>
        <v>8214</v>
      </c>
      <c r="AO60" t="s">
        <v>66</v>
      </c>
      <c r="AP60">
        <v>0</v>
      </c>
      <c r="AQ60" t="s">
        <v>66</v>
      </c>
      <c r="AR60">
        <v>0</v>
      </c>
      <c r="AS60" t="s">
        <v>66</v>
      </c>
      <c r="AT60">
        <v>0</v>
      </c>
      <c r="AU60" t="s">
        <v>66</v>
      </c>
      <c r="AV60">
        <v>0</v>
      </c>
      <c r="AW60" t="s">
        <v>66</v>
      </c>
      <c r="AX60">
        <v>0</v>
      </c>
      <c r="AY60" t="s">
        <v>66</v>
      </c>
      <c r="AZ60">
        <v>0</v>
      </c>
      <c r="BA60" t="s">
        <v>66</v>
      </c>
      <c r="BB60">
        <v>0</v>
      </c>
      <c r="BC60">
        <v>0</v>
      </c>
      <c r="BD60">
        <v>24642</v>
      </c>
      <c r="BE60">
        <v>6695.46</v>
      </c>
      <c r="BF60">
        <v>0</v>
      </c>
      <c r="BG60" t="s">
        <v>87</v>
      </c>
      <c r="BH60" t="s">
        <v>66</v>
      </c>
      <c r="BI60">
        <v>0</v>
      </c>
      <c r="BJ60" t="s">
        <v>66</v>
      </c>
      <c r="BK60" t="s">
        <v>88</v>
      </c>
      <c r="BL60" t="s">
        <v>66</v>
      </c>
      <c r="BM60" t="s">
        <v>89</v>
      </c>
    </row>
    <row r="61" spans="1:65" x14ac:dyDescent="0.25">
      <c r="A61">
        <v>59</v>
      </c>
      <c r="B61" t="s">
        <v>254</v>
      </c>
      <c r="C61" t="s">
        <v>66</v>
      </c>
      <c r="D61" s="1">
        <v>46212</v>
      </c>
      <c r="E61" t="s">
        <v>255</v>
      </c>
      <c r="F61" t="s">
        <v>68</v>
      </c>
      <c r="G61" t="s">
        <v>69</v>
      </c>
      <c r="H61" t="s">
        <v>70</v>
      </c>
      <c r="I61" t="s">
        <v>71</v>
      </c>
      <c r="J61" t="s">
        <v>72</v>
      </c>
      <c r="K61" t="s">
        <v>73</v>
      </c>
      <c r="L61" t="s">
        <v>74</v>
      </c>
      <c r="M61" t="s">
        <v>256</v>
      </c>
      <c r="N61" t="s">
        <v>76</v>
      </c>
      <c r="O61" t="s">
        <v>257</v>
      </c>
      <c r="P61" t="s">
        <v>258</v>
      </c>
      <c r="Q61" t="s">
        <v>66</v>
      </c>
      <c r="R61" s="1">
        <v>46212</v>
      </c>
      <c r="S61" t="s">
        <v>259</v>
      </c>
      <c r="T61" t="s">
        <v>260</v>
      </c>
      <c r="U61" t="s">
        <v>66</v>
      </c>
      <c r="V61" t="s">
        <v>261</v>
      </c>
      <c r="W61" t="s">
        <v>66</v>
      </c>
      <c r="X61">
        <v>229200</v>
      </c>
      <c r="Y61">
        <v>25212</v>
      </c>
      <c r="Z61">
        <v>22200</v>
      </c>
      <c r="AA61">
        <v>2442</v>
      </c>
      <c r="AB61">
        <v>254412</v>
      </c>
      <c r="AC61">
        <v>3</v>
      </c>
      <c r="AD61" t="s">
        <v>82</v>
      </c>
      <c r="AE61">
        <v>3</v>
      </c>
      <c r="AF61" t="s">
        <v>265</v>
      </c>
      <c r="AG61">
        <f>IFERROR(VLOOKUP(AF61,[1]STOK!J:O,6,0),"")</f>
        <v>24</v>
      </c>
      <c r="AH61" s="2">
        <f t="shared" si="0"/>
        <v>0.125</v>
      </c>
      <c r="AI61" t="s">
        <v>265</v>
      </c>
      <c r="AJ61" t="s">
        <v>266</v>
      </c>
      <c r="AK61" t="s">
        <v>267</v>
      </c>
      <c r="AL61" t="s">
        <v>86</v>
      </c>
      <c r="AM61">
        <v>8214</v>
      </c>
      <c r="AN61">
        <f t="shared" si="1"/>
        <v>8214</v>
      </c>
      <c r="AO61" t="s">
        <v>66</v>
      </c>
      <c r="AP61">
        <v>0</v>
      </c>
      <c r="AQ61" t="s">
        <v>66</v>
      </c>
      <c r="AR61">
        <v>0</v>
      </c>
      <c r="AS61" t="s">
        <v>66</v>
      </c>
      <c r="AT61">
        <v>0</v>
      </c>
      <c r="AU61" t="s">
        <v>66</v>
      </c>
      <c r="AV61">
        <v>0</v>
      </c>
      <c r="AW61" t="s">
        <v>66</v>
      </c>
      <c r="AX61">
        <v>0</v>
      </c>
      <c r="AY61" t="s">
        <v>66</v>
      </c>
      <c r="AZ61">
        <v>0</v>
      </c>
      <c r="BA61" t="s">
        <v>66</v>
      </c>
      <c r="BB61">
        <v>0</v>
      </c>
      <c r="BC61">
        <v>0</v>
      </c>
      <c r="BD61">
        <v>24642</v>
      </c>
      <c r="BE61">
        <v>6672.27</v>
      </c>
      <c r="BF61">
        <v>0</v>
      </c>
      <c r="BG61" t="s">
        <v>87</v>
      </c>
      <c r="BH61" t="s">
        <v>66</v>
      </c>
      <c r="BI61">
        <v>0</v>
      </c>
      <c r="BJ61" t="s">
        <v>66</v>
      </c>
      <c r="BK61" t="s">
        <v>88</v>
      </c>
      <c r="BL61" t="s">
        <v>66</v>
      </c>
      <c r="BM61" t="s">
        <v>89</v>
      </c>
    </row>
    <row r="62" spans="1:65" x14ac:dyDescent="0.25">
      <c r="A62">
        <v>60</v>
      </c>
      <c r="B62" t="s">
        <v>254</v>
      </c>
      <c r="C62" t="s">
        <v>66</v>
      </c>
      <c r="D62" s="1">
        <v>46212</v>
      </c>
      <c r="E62" t="s">
        <v>255</v>
      </c>
      <c r="F62" t="s">
        <v>68</v>
      </c>
      <c r="G62" t="s">
        <v>69</v>
      </c>
      <c r="H62" t="s">
        <v>70</v>
      </c>
      <c r="I62" t="s">
        <v>71</v>
      </c>
      <c r="J62" t="s">
        <v>72</v>
      </c>
      <c r="K62" t="s">
        <v>73</v>
      </c>
      <c r="L62" t="s">
        <v>74</v>
      </c>
      <c r="M62" t="s">
        <v>256</v>
      </c>
      <c r="N62" t="s">
        <v>76</v>
      </c>
      <c r="O62" t="s">
        <v>257</v>
      </c>
      <c r="P62" t="s">
        <v>258</v>
      </c>
      <c r="Q62" t="s">
        <v>66</v>
      </c>
      <c r="R62" s="1">
        <v>46212</v>
      </c>
      <c r="S62" t="s">
        <v>259</v>
      </c>
      <c r="T62" t="s">
        <v>260</v>
      </c>
      <c r="U62" t="s">
        <v>66</v>
      </c>
      <c r="V62" t="s">
        <v>261</v>
      </c>
      <c r="W62" t="s">
        <v>66</v>
      </c>
      <c r="X62">
        <v>229200</v>
      </c>
      <c r="Y62">
        <v>25212</v>
      </c>
      <c r="Z62">
        <v>85800</v>
      </c>
      <c r="AA62">
        <v>9438</v>
      </c>
      <c r="AB62">
        <v>254412</v>
      </c>
      <c r="AC62">
        <v>3</v>
      </c>
      <c r="AD62" t="s">
        <v>82</v>
      </c>
      <c r="AE62">
        <v>3</v>
      </c>
      <c r="AF62" t="s">
        <v>268</v>
      </c>
      <c r="AG62">
        <f>IFERROR(VLOOKUP(AF62,[1]STOK!J:O,6,0),"")</f>
        <v>12</v>
      </c>
      <c r="AH62" s="2">
        <f t="shared" si="0"/>
        <v>0.25</v>
      </c>
      <c r="AI62" t="s">
        <v>268</v>
      </c>
      <c r="AJ62" t="s">
        <v>269</v>
      </c>
      <c r="AK62" t="s">
        <v>270</v>
      </c>
      <c r="AL62" t="s">
        <v>86</v>
      </c>
      <c r="AM62">
        <v>31746</v>
      </c>
      <c r="AN62">
        <f t="shared" si="1"/>
        <v>31746</v>
      </c>
      <c r="AO62" t="s">
        <v>66</v>
      </c>
      <c r="AP62">
        <v>0</v>
      </c>
      <c r="AQ62" t="s">
        <v>66</v>
      </c>
      <c r="AR62">
        <v>0</v>
      </c>
      <c r="AS62" t="s">
        <v>66</v>
      </c>
      <c r="AT62">
        <v>0</v>
      </c>
      <c r="AU62" t="s">
        <v>66</v>
      </c>
      <c r="AV62">
        <v>0</v>
      </c>
      <c r="AW62" t="s">
        <v>66</v>
      </c>
      <c r="AX62">
        <v>0</v>
      </c>
      <c r="AY62" t="s">
        <v>66</v>
      </c>
      <c r="AZ62">
        <v>0</v>
      </c>
      <c r="BA62" t="s">
        <v>66</v>
      </c>
      <c r="BB62">
        <v>0</v>
      </c>
      <c r="BC62">
        <v>0</v>
      </c>
      <c r="BD62">
        <v>95238</v>
      </c>
      <c r="BE62">
        <v>24538.77</v>
      </c>
      <c r="BF62">
        <v>0</v>
      </c>
      <c r="BG62" t="s">
        <v>87</v>
      </c>
      <c r="BH62" t="s">
        <v>66</v>
      </c>
      <c r="BI62">
        <v>0</v>
      </c>
      <c r="BJ62" t="s">
        <v>66</v>
      </c>
      <c r="BK62" t="s">
        <v>88</v>
      </c>
      <c r="BL62" t="s">
        <v>66</v>
      </c>
      <c r="BM62" t="s">
        <v>89</v>
      </c>
    </row>
    <row r="63" spans="1:65" x14ac:dyDescent="0.25">
      <c r="A63">
        <v>61</v>
      </c>
      <c r="B63" t="s">
        <v>254</v>
      </c>
      <c r="C63" t="s">
        <v>66</v>
      </c>
      <c r="D63" s="1">
        <v>46212</v>
      </c>
      <c r="E63" t="s">
        <v>255</v>
      </c>
      <c r="F63" t="s">
        <v>68</v>
      </c>
      <c r="G63" t="s">
        <v>69</v>
      </c>
      <c r="H63" t="s">
        <v>70</v>
      </c>
      <c r="I63" t="s">
        <v>71</v>
      </c>
      <c r="J63" t="s">
        <v>72</v>
      </c>
      <c r="K63" t="s">
        <v>73</v>
      </c>
      <c r="L63" t="s">
        <v>74</v>
      </c>
      <c r="M63" t="s">
        <v>256</v>
      </c>
      <c r="N63" t="s">
        <v>76</v>
      </c>
      <c r="O63" t="s">
        <v>257</v>
      </c>
      <c r="P63" t="s">
        <v>258</v>
      </c>
      <c r="Q63" t="s">
        <v>66</v>
      </c>
      <c r="R63" s="1">
        <v>46212</v>
      </c>
      <c r="S63" t="s">
        <v>259</v>
      </c>
      <c r="T63" t="s">
        <v>260</v>
      </c>
      <c r="U63" t="s">
        <v>66</v>
      </c>
      <c r="V63" t="s">
        <v>261</v>
      </c>
      <c r="W63" t="s">
        <v>66</v>
      </c>
      <c r="X63">
        <v>229200</v>
      </c>
      <c r="Y63">
        <v>25212</v>
      </c>
      <c r="Z63">
        <v>99000</v>
      </c>
      <c r="AA63">
        <v>10890</v>
      </c>
      <c r="AB63">
        <v>254412</v>
      </c>
      <c r="AC63">
        <v>6</v>
      </c>
      <c r="AD63" t="s">
        <v>82</v>
      </c>
      <c r="AE63">
        <v>6</v>
      </c>
      <c r="AF63" t="s">
        <v>96</v>
      </c>
      <c r="AG63">
        <f>IFERROR(VLOOKUP(AF63,[1]STOK!J:O,6,0),"")</f>
        <v>24</v>
      </c>
      <c r="AH63" s="2">
        <f t="shared" si="0"/>
        <v>0.25</v>
      </c>
      <c r="AI63" t="s">
        <v>96</v>
      </c>
      <c r="AJ63" t="s">
        <v>97</v>
      </c>
      <c r="AK63" t="s">
        <v>98</v>
      </c>
      <c r="AL63" t="s">
        <v>86</v>
      </c>
      <c r="AM63">
        <v>18315</v>
      </c>
      <c r="AN63">
        <f t="shared" si="1"/>
        <v>18315</v>
      </c>
      <c r="AO63" t="s">
        <v>66</v>
      </c>
      <c r="AP63">
        <v>0</v>
      </c>
      <c r="AQ63" t="s">
        <v>66</v>
      </c>
      <c r="AR63">
        <v>0</v>
      </c>
      <c r="AS63" t="s">
        <v>66</v>
      </c>
      <c r="AT63">
        <v>0</v>
      </c>
      <c r="AU63" t="s">
        <v>66</v>
      </c>
      <c r="AV63">
        <v>0</v>
      </c>
      <c r="AW63" t="s">
        <v>66</v>
      </c>
      <c r="AX63">
        <v>0</v>
      </c>
      <c r="AY63" t="s">
        <v>66</v>
      </c>
      <c r="AZ63">
        <v>0</v>
      </c>
      <c r="BA63" t="s">
        <v>66</v>
      </c>
      <c r="BB63">
        <v>0</v>
      </c>
      <c r="BC63">
        <v>0</v>
      </c>
      <c r="BD63">
        <v>109890</v>
      </c>
      <c r="BE63">
        <v>14932.88</v>
      </c>
      <c r="BF63">
        <v>0</v>
      </c>
      <c r="BG63" t="s">
        <v>87</v>
      </c>
      <c r="BH63" t="s">
        <v>66</v>
      </c>
      <c r="BI63">
        <v>0</v>
      </c>
      <c r="BJ63" t="s">
        <v>66</v>
      </c>
      <c r="BK63" t="s">
        <v>88</v>
      </c>
      <c r="BL63" t="s">
        <v>66</v>
      </c>
      <c r="BM63" t="s">
        <v>89</v>
      </c>
    </row>
    <row r="64" spans="1:65" x14ac:dyDescent="0.25">
      <c r="A64">
        <v>62</v>
      </c>
      <c r="B64" t="s">
        <v>271</v>
      </c>
      <c r="C64" t="s">
        <v>68</v>
      </c>
      <c r="D64" s="1">
        <v>46214</v>
      </c>
      <c r="E64" t="s">
        <v>272</v>
      </c>
      <c r="F64" t="s">
        <v>68</v>
      </c>
      <c r="G64" t="s">
        <v>69</v>
      </c>
      <c r="H64" t="s">
        <v>70</v>
      </c>
      <c r="I64" t="s">
        <v>71</v>
      </c>
      <c r="J64" t="s">
        <v>72</v>
      </c>
      <c r="K64" t="s">
        <v>73</v>
      </c>
      <c r="L64" t="s">
        <v>74</v>
      </c>
      <c r="M64" t="s">
        <v>273</v>
      </c>
      <c r="N64" t="s">
        <v>274</v>
      </c>
      <c r="O64" t="s">
        <v>275</v>
      </c>
      <c r="P64" t="s">
        <v>276</v>
      </c>
      <c r="Q64" t="s">
        <v>277</v>
      </c>
      <c r="R64" s="1">
        <v>46217</v>
      </c>
      <c r="S64" t="s">
        <v>278</v>
      </c>
      <c r="T64" t="s">
        <v>279</v>
      </c>
      <c r="U64" t="s">
        <v>280</v>
      </c>
      <c r="V64" t="s">
        <v>66</v>
      </c>
      <c r="W64" t="s">
        <v>66</v>
      </c>
      <c r="X64">
        <v>2170152</v>
      </c>
      <c r="Y64">
        <v>238716.72</v>
      </c>
      <c r="Z64">
        <v>390060</v>
      </c>
      <c r="AA64">
        <v>42906.6</v>
      </c>
      <c r="AB64">
        <v>2408868.7200000002</v>
      </c>
      <c r="AC64">
        <v>1</v>
      </c>
      <c r="AD64" t="s">
        <v>134</v>
      </c>
      <c r="AE64">
        <v>24</v>
      </c>
      <c r="AF64" t="s">
        <v>93</v>
      </c>
      <c r="AG64">
        <f>IFERROR(VLOOKUP(AF64,[1]STOK!J:O,6,0),"")</f>
        <v>24</v>
      </c>
      <c r="AH64" s="2">
        <f t="shared" si="0"/>
        <v>1</v>
      </c>
      <c r="AI64" t="s">
        <v>93</v>
      </c>
      <c r="AJ64" t="s">
        <v>94</v>
      </c>
      <c r="AK64" t="s">
        <v>95</v>
      </c>
      <c r="AL64" t="s">
        <v>86</v>
      </c>
      <c r="AM64">
        <v>439560</v>
      </c>
      <c r="AN64">
        <f t="shared" si="1"/>
        <v>432966.6</v>
      </c>
      <c r="AO64" t="s">
        <v>66</v>
      </c>
      <c r="AP64">
        <v>1.5</v>
      </c>
      <c r="AQ64" t="s">
        <v>66</v>
      </c>
      <c r="AR64">
        <v>0</v>
      </c>
      <c r="AS64" t="s">
        <v>66</v>
      </c>
      <c r="AT64">
        <v>0</v>
      </c>
      <c r="AU64" t="s">
        <v>66</v>
      </c>
      <c r="AV64">
        <v>0</v>
      </c>
      <c r="AW64" t="s">
        <v>66</v>
      </c>
      <c r="AX64">
        <v>0</v>
      </c>
      <c r="AY64" t="s">
        <v>66</v>
      </c>
      <c r="AZ64">
        <v>0</v>
      </c>
      <c r="BA64" t="s">
        <v>66</v>
      </c>
      <c r="BB64">
        <v>0</v>
      </c>
      <c r="BC64">
        <v>0</v>
      </c>
      <c r="BD64">
        <v>432966.6</v>
      </c>
      <c r="BE64">
        <v>14931.77</v>
      </c>
      <c r="BF64">
        <v>0</v>
      </c>
      <c r="BG64" t="s">
        <v>87</v>
      </c>
      <c r="BH64" t="s">
        <v>66</v>
      </c>
      <c r="BI64">
        <v>0</v>
      </c>
      <c r="BJ64" t="s">
        <v>66</v>
      </c>
      <c r="BK64" t="s">
        <v>88</v>
      </c>
      <c r="BL64" t="s">
        <v>66</v>
      </c>
      <c r="BM64" t="s">
        <v>159</v>
      </c>
    </row>
    <row r="65" spans="1:65" x14ac:dyDescent="0.25">
      <c r="A65">
        <v>63</v>
      </c>
      <c r="B65" t="s">
        <v>271</v>
      </c>
      <c r="C65" t="s">
        <v>68</v>
      </c>
      <c r="D65" s="1">
        <v>46214</v>
      </c>
      <c r="E65" t="s">
        <v>272</v>
      </c>
      <c r="F65" t="s">
        <v>68</v>
      </c>
      <c r="G65" t="s">
        <v>69</v>
      </c>
      <c r="H65" t="s">
        <v>70</v>
      </c>
      <c r="I65" t="s">
        <v>71</v>
      </c>
      <c r="J65" t="s">
        <v>72</v>
      </c>
      <c r="K65" t="s">
        <v>73</v>
      </c>
      <c r="L65" t="s">
        <v>74</v>
      </c>
      <c r="M65" t="s">
        <v>273</v>
      </c>
      <c r="N65" t="s">
        <v>274</v>
      </c>
      <c r="O65" t="s">
        <v>275</v>
      </c>
      <c r="P65" t="s">
        <v>276</v>
      </c>
      <c r="Q65" t="s">
        <v>277</v>
      </c>
      <c r="R65" s="1">
        <v>46217</v>
      </c>
      <c r="S65" t="s">
        <v>278</v>
      </c>
      <c r="T65" t="s">
        <v>279</v>
      </c>
      <c r="U65" t="s">
        <v>280</v>
      </c>
      <c r="V65" t="s">
        <v>66</v>
      </c>
      <c r="W65" t="s">
        <v>66</v>
      </c>
      <c r="X65">
        <v>2170152</v>
      </c>
      <c r="Y65">
        <v>238716.72</v>
      </c>
      <c r="Z65">
        <v>390060</v>
      </c>
      <c r="AA65">
        <v>42906.6</v>
      </c>
      <c r="AB65">
        <v>2408868.7200000002</v>
      </c>
      <c r="AC65">
        <v>1</v>
      </c>
      <c r="AD65" t="s">
        <v>134</v>
      </c>
      <c r="AE65">
        <v>24</v>
      </c>
      <c r="AF65" t="s">
        <v>96</v>
      </c>
      <c r="AG65">
        <f>IFERROR(VLOOKUP(AF65,[1]STOK!J:O,6,0),"")</f>
        <v>24</v>
      </c>
      <c r="AH65" s="2">
        <f t="shared" si="0"/>
        <v>1</v>
      </c>
      <c r="AI65" t="s">
        <v>96</v>
      </c>
      <c r="AJ65" t="s">
        <v>97</v>
      </c>
      <c r="AK65" t="s">
        <v>98</v>
      </c>
      <c r="AL65" t="s">
        <v>86</v>
      </c>
      <c r="AM65">
        <v>439560</v>
      </c>
      <c r="AN65">
        <f t="shared" si="1"/>
        <v>432966.6</v>
      </c>
      <c r="AO65" t="s">
        <v>66</v>
      </c>
      <c r="AP65">
        <v>1.5</v>
      </c>
      <c r="AQ65" t="s">
        <v>66</v>
      </c>
      <c r="AR65">
        <v>0</v>
      </c>
      <c r="AS65" t="s">
        <v>66</v>
      </c>
      <c r="AT65">
        <v>0</v>
      </c>
      <c r="AU65" t="s">
        <v>66</v>
      </c>
      <c r="AV65">
        <v>0</v>
      </c>
      <c r="AW65" t="s">
        <v>66</v>
      </c>
      <c r="AX65">
        <v>0</v>
      </c>
      <c r="AY65" t="s">
        <v>66</v>
      </c>
      <c r="AZ65">
        <v>0</v>
      </c>
      <c r="BA65" t="s">
        <v>66</v>
      </c>
      <c r="BB65">
        <v>0</v>
      </c>
      <c r="BC65">
        <v>0</v>
      </c>
      <c r="BD65">
        <v>432966.6</v>
      </c>
      <c r="BE65">
        <v>14932.9</v>
      </c>
      <c r="BF65">
        <v>0</v>
      </c>
      <c r="BG65" t="s">
        <v>87</v>
      </c>
      <c r="BH65" t="s">
        <v>66</v>
      </c>
      <c r="BI65">
        <v>0</v>
      </c>
      <c r="BJ65" t="s">
        <v>66</v>
      </c>
      <c r="BK65" t="s">
        <v>88</v>
      </c>
      <c r="BL65" t="s">
        <v>66</v>
      </c>
      <c r="BM65" t="s">
        <v>159</v>
      </c>
    </row>
    <row r="66" spans="1:65" x14ac:dyDescent="0.25">
      <c r="A66">
        <v>64</v>
      </c>
      <c r="B66" t="s">
        <v>271</v>
      </c>
      <c r="C66" t="s">
        <v>68</v>
      </c>
      <c r="D66" s="1">
        <v>46214</v>
      </c>
      <c r="E66" t="s">
        <v>272</v>
      </c>
      <c r="F66" t="s">
        <v>68</v>
      </c>
      <c r="G66" t="s">
        <v>69</v>
      </c>
      <c r="H66" t="s">
        <v>70</v>
      </c>
      <c r="I66" t="s">
        <v>71</v>
      </c>
      <c r="J66" t="s">
        <v>72</v>
      </c>
      <c r="K66" t="s">
        <v>73</v>
      </c>
      <c r="L66" t="s">
        <v>74</v>
      </c>
      <c r="M66" t="s">
        <v>273</v>
      </c>
      <c r="N66" t="s">
        <v>274</v>
      </c>
      <c r="O66" t="s">
        <v>275</v>
      </c>
      <c r="P66" t="s">
        <v>276</v>
      </c>
      <c r="Q66" t="s">
        <v>277</v>
      </c>
      <c r="R66" s="1">
        <v>46217</v>
      </c>
      <c r="S66" t="s">
        <v>278</v>
      </c>
      <c r="T66" t="s">
        <v>279</v>
      </c>
      <c r="U66" t="s">
        <v>280</v>
      </c>
      <c r="V66" t="s">
        <v>66</v>
      </c>
      <c r="W66" t="s">
        <v>66</v>
      </c>
      <c r="X66">
        <v>2170152</v>
      </c>
      <c r="Y66">
        <v>238716.72</v>
      </c>
      <c r="Z66">
        <v>458616</v>
      </c>
      <c r="AA66">
        <v>50447.76</v>
      </c>
      <c r="AB66">
        <v>2408868.7200000002</v>
      </c>
      <c r="AC66">
        <v>1</v>
      </c>
      <c r="AD66" t="s">
        <v>134</v>
      </c>
      <c r="AE66">
        <v>24</v>
      </c>
      <c r="AF66" t="s">
        <v>281</v>
      </c>
      <c r="AG66">
        <f>IFERROR(VLOOKUP(AF66,[1]STOK!J:O,6,0),"")</f>
        <v>24</v>
      </c>
      <c r="AH66" s="2">
        <f t="shared" si="0"/>
        <v>1</v>
      </c>
      <c r="AI66" t="s">
        <v>281</v>
      </c>
      <c r="AJ66" t="s">
        <v>282</v>
      </c>
      <c r="AK66" t="s">
        <v>283</v>
      </c>
      <c r="AL66" t="s">
        <v>86</v>
      </c>
      <c r="AM66">
        <v>516816</v>
      </c>
      <c r="AN66">
        <f t="shared" si="1"/>
        <v>509063.76</v>
      </c>
      <c r="AO66" t="s">
        <v>66</v>
      </c>
      <c r="AP66">
        <v>1.5</v>
      </c>
      <c r="AQ66" t="s">
        <v>66</v>
      </c>
      <c r="AR66">
        <v>0</v>
      </c>
      <c r="AS66" t="s">
        <v>66</v>
      </c>
      <c r="AT66">
        <v>0</v>
      </c>
      <c r="AU66" t="s">
        <v>66</v>
      </c>
      <c r="AV66">
        <v>0</v>
      </c>
      <c r="AW66" t="s">
        <v>66</v>
      </c>
      <c r="AX66">
        <v>0</v>
      </c>
      <c r="AY66" t="s">
        <v>66</v>
      </c>
      <c r="AZ66">
        <v>0</v>
      </c>
      <c r="BA66" t="s">
        <v>66</v>
      </c>
      <c r="BB66">
        <v>0</v>
      </c>
      <c r="BC66">
        <v>0</v>
      </c>
      <c r="BD66">
        <v>509063.76</v>
      </c>
      <c r="BE66">
        <v>17390.830000000002</v>
      </c>
      <c r="BF66">
        <v>0</v>
      </c>
      <c r="BG66" t="s">
        <v>87</v>
      </c>
      <c r="BH66" t="s">
        <v>66</v>
      </c>
      <c r="BI66">
        <v>0</v>
      </c>
      <c r="BJ66" t="s">
        <v>66</v>
      </c>
      <c r="BK66" t="s">
        <v>88</v>
      </c>
      <c r="BL66" t="s">
        <v>66</v>
      </c>
      <c r="BM66" t="s">
        <v>159</v>
      </c>
    </row>
    <row r="67" spans="1:65" x14ac:dyDescent="0.25">
      <c r="A67">
        <v>65</v>
      </c>
      <c r="B67" t="s">
        <v>271</v>
      </c>
      <c r="C67" t="s">
        <v>68</v>
      </c>
      <c r="D67" s="1">
        <v>46214</v>
      </c>
      <c r="E67" t="s">
        <v>272</v>
      </c>
      <c r="F67" t="s">
        <v>68</v>
      </c>
      <c r="G67" t="s">
        <v>69</v>
      </c>
      <c r="H67" t="s">
        <v>70</v>
      </c>
      <c r="I67" t="s">
        <v>71</v>
      </c>
      <c r="J67" t="s">
        <v>72</v>
      </c>
      <c r="K67" t="s">
        <v>73</v>
      </c>
      <c r="L67" t="s">
        <v>74</v>
      </c>
      <c r="M67" t="s">
        <v>273</v>
      </c>
      <c r="N67" t="s">
        <v>274</v>
      </c>
      <c r="O67" t="s">
        <v>275</v>
      </c>
      <c r="P67" t="s">
        <v>276</v>
      </c>
      <c r="Q67" t="s">
        <v>277</v>
      </c>
      <c r="R67" s="1">
        <v>46217</v>
      </c>
      <c r="S67" t="s">
        <v>278</v>
      </c>
      <c r="T67" t="s">
        <v>279</v>
      </c>
      <c r="U67" t="s">
        <v>280</v>
      </c>
      <c r="V67" t="s">
        <v>66</v>
      </c>
      <c r="W67" t="s">
        <v>66</v>
      </c>
      <c r="X67">
        <v>2170152</v>
      </c>
      <c r="Y67">
        <v>238716.72</v>
      </c>
      <c r="Z67">
        <v>229308</v>
      </c>
      <c r="AA67">
        <v>25223.88</v>
      </c>
      <c r="AB67">
        <v>2408868.7200000002</v>
      </c>
      <c r="AC67">
        <v>1</v>
      </c>
      <c r="AD67" t="s">
        <v>134</v>
      </c>
      <c r="AE67">
        <v>12</v>
      </c>
      <c r="AF67" t="s">
        <v>284</v>
      </c>
      <c r="AG67">
        <f>IFERROR(VLOOKUP(AF67,[1]STOK!J:O,6,0),"")</f>
        <v>12</v>
      </c>
      <c r="AH67" s="2">
        <f t="shared" si="0"/>
        <v>1</v>
      </c>
      <c r="AI67" t="s">
        <v>284</v>
      </c>
      <c r="AJ67" t="s">
        <v>285</v>
      </c>
      <c r="AK67" t="s">
        <v>286</v>
      </c>
      <c r="AL67" t="s">
        <v>86</v>
      </c>
      <c r="AM67">
        <v>258408</v>
      </c>
      <c r="AN67">
        <f t="shared" si="1"/>
        <v>254531.88</v>
      </c>
      <c r="AO67" t="s">
        <v>66</v>
      </c>
      <c r="AP67">
        <v>1.5</v>
      </c>
      <c r="AQ67" t="s">
        <v>66</v>
      </c>
      <c r="AR67">
        <v>0</v>
      </c>
      <c r="AS67" t="s">
        <v>66</v>
      </c>
      <c r="AT67">
        <v>0</v>
      </c>
      <c r="AU67" t="s">
        <v>66</v>
      </c>
      <c r="AV67">
        <v>0</v>
      </c>
      <c r="AW67" t="s">
        <v>66</v>
      </c>
      <c r="AX67">
        <v>0</v>
      </c>
      <c r="AY67" t="s">
        <v>66</v>
      </c>
      <c r="AZ67">
        <v>0</v>
      </c>
      <c r="BA67" t="s">
        <v>66</v>
      </c>
      <c r="BB67">
        <v>0</v>
      </c>
      <c r="BC67">
        <v>0</v>
      </c>
      <c r="BD67">
        <v>254531.88</v>
      </c>
      <c r="BE67">
        <v>17475.419999999998</v>
      </c>
      <c r="BF67">
        <v>0</v>
      </c>
      <c r="BG67" t="s">
        <v>87</v>
      </c>
      <c r="BH67" t="s">
        <v>66</v>
      </c>
      <c r="BI67">
        <v>0</v>
      </c>
      <c r="BJ67" t="s">
        <v>66</v>
      </c>
      <c r="BK67" t="s">
        <v>88</v>
      </c>
      <c r="BL67" t="s">
        <v>66</v>
      </c>
      <c r="BM67" t="s">
        <v>159</v>
      </c>
    </row>
    <row r="68" spans="1:65" x14ac:dyDescent="0.25">
      <c r="A68">
        <v>66</v>
      </c>
      <c r="B68" t="s">
        <v>271</v>
      </c>
      <c r="C68" t="s">
        <v>68</v>
      </c>
      <c r="D68" s="1">
        <v>46214</v>
      </c>
      <c r="E68" t="s">
        <v>272</v>
      </c>
      <c r="F68" t="s">
        <v>68</v>
      </c>
      <c r="G68" t="s">
        <v>69</v>
      </c>
      <c r="H68" t="s">
        <v>70</v>
      </c>
      <c r="I68" t="s">
        <v>71</v>
      </c>
      <c r="J68" t="s">
        <v>72</v>
      </c>
      <c r="K68" t="s">
        <v>73</v>
      </c>
      <c r="L68" t="s">
        <v>74</v>
      </c>
      <c r="M68" t="s">
        <v>273</v>
      </c>
      <c r="N68" t="s">
        <v>274</v>
      </c>
      <c r="O68" t="s">
        <v>275</v>
      </c>
      <c r="P68" t="s">
        <v>276</v>
      </c>
      <c r="Q68" t="s">
        <v>277</v>
      </c>
      <c r="R68" s="1">
        <v>46217</v>
      </c>
      <c r="S68" t="s">
        <v>278</v>
      </c>
      <c r="T68" t="s">
        <v>279</v>
      </c>
      <c r="U68" t="s">
        <v>280</v>
      </c>
      <c r="V68" t="s">
        <v>66</v>
      </c>
      <c r="W68" t="s">
        <v>66</v>
      </c>
      <c r="X68">
        <v>2170152</v>
      </c>
      <c r="Y68">
        <v>238716.72</v>
      </c>
      <c r="Z68">
        <v>229308</v>
      </c>
      <c r="AA68">
        <v>25223.88</v>
      </c>
      <c r="AB68">
        <v>2408868.7200000002</v>
      </c>
      <c r="AC68">
        <v>1</v>
      </c>
      <c r="AD68" t="s">
        <v>134</v>
      </c>
      <c r="AE68">
        <v>12</v>
      </c>
      <c r="AF68" t="s">
        <v>287</v>
      </c>
      <c r="AG68">
        <f>IFERROR(VLOOKUP(AF68,[1]STOK!J:O,6,0),"")</f>
        <v>12</v>
      </c>
      <c r="AH68" s="2">
        <f t="shared" ref="AH68:AH131" si="2">AE68/AG68</f>
        <v>1</v>
      </c>
      <c r="AI68" t="s">
        <v>287</v>
      </c>
      <c r="AJ68" t="s">
        <v>288</v>
      </c>
      <c r="AK68" t="s">
        <v>289</v>
      </c>
      <c r="AL68" t="s">
        <v>86</v>
      </c>
      <c r="AM68">
        <v>258408</v>
      </c>
      <c r="AN68">
        <f t="shared" ref="AN68:AN131" si="3">BD68/AC68</f>
        <v>254531.88</v>
      </c>
      <c r="AO68" t="s">
        <v>66</v>
      </c>
      <c r="AP68">
        <v>1.5</v>
      </c>
      <c r="AQ68" t="s">
        <v>66</v>
      </c>
      <c r="AR68">
        <v>0</v>
      </c>
      <c r="AS68" t="s">
        <v>66</v>
      </c>
      <c r="AT68">
        <v>0</v>
      </c>
      <c r="AU68" t="s">
        <v>66</v>
      </c>
      <c r="AV68">
        <v>0</v>
      </c>
      <c r="AW68" t="s">
        <v>66</v>
      </c>
      <c r="AX68">
        <v>0</v>
      </c>
      <c r="AY68" t="s">
        <v>66</v>
      </c>
      <c r="AZ68">
        <v>0</v>
      </c>
      <c r="BA68" t="s">
        <v>66</v>
      </c>
      <c r="BB68">
        <v>0</v>
      </c>
      <c r="BC68">
        <v>0</v>
      </c>
      <c r="BD68">
        <v>254531.88</v>
      </c>
      <c r="BE68">
        <v>17453.490000000002</v>
      </c>
      <c r="BF68">
        <v>0</v>
      </c>
      <c r="BG68" t="s">
        <v>87</v>
      </c>
      <c r="BH68" t="s">
        <v>66</v>
      </c>
      <c r="BI68">
        <v>0</v>
      </c>
      <c r="BJ68" t="s">
        <v>66</v>
      </c>
      <c r="BK68" t="s">
        <v>88</v>
      </c>
      <c r="BL68" t="s">
        <v>66</v>
      </c>
      <c r="BM68" t="s">
        <v>159</v>
      </c>
    </row>
    <row r="69" spans="1:65" x14ac:dyDescent="0.25">
      <c r="A69">
        <v>67</v>
      </c>
      <c r="B69" t="s">
        <v>271</v>
      </c>
      <c r="C69" t="s">
        <v>68</v>
      </c>
      <c r="D69" s="1">
        <v>46214</v>
      </c>
      <c r="E69" t="s">
        <v>272</v>
      </c>
      <c r="F69" t="s">
        <v>68</v>
      </c>
      <c r="G69" t="s">
        <v>69</v>
      </c>
      <c r="H69" t="s">
        <v>70</v>
      </c>
      <c r="I69" t="s">
        <v>71</v>
      </c>
      <c r="J69" t="s">
        <v>72</v>
      </c>
      <c r="K69" t="s">
        <v>73</v>
      </c>
      <c r="L69" t="s">
        <v>74</v>
      </c>
      <c r="M69" t="s">
        <v>273</v>
      </c>
      <c r="N69" t="s">
        <v>274</v>
      </c>
      <c r="O69" t="s">
        <v>275</v>
      </c>
      <c r="P69" t="s">
        <v>276</v>
      </c>
      <c r="Q69" t="s">
        <v>277</v>
      </c>
      <c r="R69" s="1">
        <v>46217</v>
      </c>
      <c r="S69" t="s">
        <v>278</v>
      </c>
      <c r="T69" t="s">
        <v>279</v>
      </c>
      <c r="U69" t="s">
        <v>280</v>
      </c>
      <c r="V69" t="s">
        <v>66</v>
      </c>
      <c r="W69" t="s">
        <v>66</v>
      </c>
      <c r="X69">
        <v>2170152</v>
      </c>
      <c r="Y69">
        <v>238716.72</v>
      </c>
      <c r="Z69">
        <v>472800</v>
      </c>
      <c r="AA69">
        <v>52008</v>
      </c>
      <c r="AB69">
        <v>2408868.7200000002</v>
      </c>
      <c r="AC69">
        <v>2</v>
      </c>
      <c r="AD69" t="s">
        <v>134</v>
      </c>
      <c r="AE69">
        <v>24</v>
      </c>
      <c r="AF69" t="s">
        <v>290</v>
      </c>
      <c r="AG69">
        <f>IFERROR(VLOOKUP(AF69,[1]STOK!J:O,6,0),"")</f>
        <v>12</v>
      </c>
      <c r="AH69" s="2">
        <f t="shared" si="2"/>
        <v>2</v>
      </c>
      <c r="AI69" t="s">
        <v>290</v>
      </c>
      <c r="AJ69" t="s">
        <v>291</v>
      </c>
      <c r="AK69" t="s">
        <v>292</v>
      </c>
      <c r="AL69" t="s">
        <v>86</v>
      </c>
      <c r="AM69">
        <v>266400</v>
      </c>
      <c r="AN69">
        <f t="shared" si="3"/>
        <v>262404</v>
      </c>
      <c r="AO69" t="s">
        <v>66</v>
      </c>
      <c r="AP69">
        <v>1.5</v>
      </c>
      <c r="AQ69" t="s">
        <v>66</v>
      </c>
      <c r="AR69">
        <v>0</v>
      </c>
      <c r="AS69" t="s">
        <v>66</v>
      </c>
      <c r="AT69">
        <v>0</v>
      </c>
      <c r="AU69" t="s">
        <v>66</v>
      </c>
      <c r="AV69">
        <v>0</v>
      </c>
      <c r="AW69" t="s">
        <v>66</v>
      </c>
      <c r="AX69">
        <v>0</v>
      </c>
      <c r="AY69" t="s">
        <v>66</v>
      </c>
      <c r="AZ69">
        <v>0</v>
      </c>
      <c r="BA69" t="s">
        <v>66</v>
      </c>
      <c r="BB69">
        <v>0</v>
      </c>
      <c r="BC69">
        <v>0</v>
      </c>
      <c r="BD69">
        <v>524808</v>
      </c>
      <c r="BE69">
        <v>18103.560000000001</v>
      </c>
      <c r="BF69">
        <v>0</v>
      </c>
      <c r="BG69" t="s">
        <v>87</v>
      </c>
      <c r="BH69" t="s">
        <v>66</v>
      </c>
      <c r="BI69">
        <v>0</v>
      </c>
      <c r="BJ69" t="s">
        <v>66</v>
      </c>
      <c r="BK69" t="s">
        <v>88</v>
      </c>
      <c r="BL69" t="s">
        <v>66</v>
      </c>
      <c r="BM69" t="s">
        <v>159</v>
      </c>
    </row>
    <row r="70" spans="1:65" x14ac:dyDescent="0.25">
      <c r="A70">
        <v>68</v>
      </c>
      <c r="B70" t="s">
        <v>293</v>
      </c>
      <c r="C70" t="s">
        <v>68</v>
      </c>
      <c r="D70" s="1">
        <v>46217</v>
      </c>
      <c r="E70" t="s">
        <v>294</v>
      </c>
      <c r="F70" t="s">
        <v>68</v>
      </c>
      <c r="G70" t="s">
        <v>295</v>
      </c>
      <c r="H70" t="s">
        <v>296</v>
      </c>
      <c r="I70" t="s">
        <v>71</v>
      </c>
      <c r="J70" t="s">
        <v>72</v>
      </c>
      <c r="K70" t="s">
        <v>73</v>
      </c>
      <c r="L70" t="s">
        <v>74</v>
      </c>
      <c r="M70" t="s">
        <v>297</v>
      </c>
      <c r="N70" t="s">
        <v>111</v>
      </c>
      <c r="O70" t="s">
        <v>298</v>
      </c>
      <c r="P70" t="s">
        <v>299</v>
      </c>
      <c r="Q70" t="s">
        <v>66</v>
      </c>
      <c r="R70" s="1">
        <v>46217</v>
      </c>
      <c r="S70" t="s">
        <v>300</v>
      </c>
      <c r="T70" t="s">
        <v>301</v>
      </c>
      <c r="U70" t="s">
        <v>66</v>
      </c>
      <c r="V70" t="s">
        <v>302</v>
      </c>
      <c r="W70" t="s">
        <v>66</v>
      </c>
      <c r="X70">
        <v>811700</v>
      </c>
      <c r="Y70">
        <v>89287</v>
      </c>
      <c r="Z70">
        <v>49500</v>
      </c>
      <c r="AA70">
        <v>5445</v>
      </c>
      <c r="AB70">
        <v>900987</v>
      </c>
      <c r="AC70">
        <v>3</v>
      </c>
      <c r="AD70" t="s">
        <v>82</v>
      </c>
      <c r="AE70">
        <v>3</v>
      </c>
      <c r="AF70" t="s">
        <v>99</v>
      </c>
      <c r="AG70">
        <f>IFERROR(VLOOKUP(AF70,[1]STOK!J:O,6,0),"")</f>
        <v>24</v>
      </c>
      <c r="AH70" s="2">
        <f t="shared" si="2"/>
        <v>0.125</v>
      </c>
      <c r="AI70" t="s">
        <v>99</v>
      </c>
      <c r="AJ70" t="s">
        <v>100</v>
      </c>
      <c r="AK70" t="s">
        <v>101</v>
      </c>
      <c r="AL70" t="s">
        <v>86</v>
      </c>
      <c r="AM70">
        <v>18315</v>
      </c>
      <c r="AN70">
        <f t="shared" si="3"/>
        <v>18315</v>
      </c>
      <c r="AO70" t="s">
        <v>66</v>
      </c>
      <c r="AP70">
        <v>0</v>
      </c>
      <c r="AQ70" t="s">
        <v>66</v>
      </c>
      <c r="AR70">
        <v>0</v>
      </c>
      <c r="AS70" t="s">
        <v>66</v>
      </c>
      <c r="AT70">
        <v>0</v>
      </c>
      <c r="AU70" t="s">
        <v>66</v>
      </c>
      <c r="AV70">
        <v>0</v>
      </c>
      <c r="AW70" t="s">
        <v>66</v>
      </c>
      <c r="AX70">
        <v>0</v>
      </c>
      <c r="AY70" t="s">
        <v>66</v>
      </c>
      <c r="AZ70">
        <v>0</v>
      </c>
      <c r="BA70" t="s">
        <v>66</v>
      </c>
      <c r="BB70">
        <v>0</v>
      </c>
      <c r="BC70">
        <v>0</v>
      </c>
      <c r="BD70">
        <v>54945</v>
      </c>
      <c r="BE70">
        <v>14924.93</v>
      </c>
      <c r="BF70">
        <v>0</v>
      </c>
      <c r="BG70" t="s">
        <v>87</v>
      </c>
      <c r="BH70" t="s">
        <v>66</v>
      </c>
      <c r="BI70">
        <v>0</v>
      </c>
      <c r="BJ70" t="s">
        <v>66</v>
      </c>
      <c r="BK70" t="s">
        <v>88</v>
      </c>
      <c r="BL70" t="s">
        <v>66</v>
      </c>
      <c r="BM70" t="s">
        <v>89</v>
      </c>
    </row>
    <row r="71" spans="1:65" x14ac:dyDescent="0.25">
      <c r="A71">
        <v>69</v>
      </c>
      <c r="B71" t="s">
        <v>293</v>
      </c>
      <c r="C71" t="s">
        <v>68</v>
      </c>
      <c r="D71" s="1">
        <v>46217</v>
      </c>
      <c r="E71" t="s">
        <v>294</v>
      </c>
      <c r="F71" t="s">
        <v>68</v>
      </c>
      <c r="G71" t="s">
        <v>295</v>
      </c>
      <c r="H71" t="s">
        <v>296</v>
      </c>
      <c r="I71" t="s">
        <v>71</v>
      </c>
      <c r="J71" t="s">
        <v>72</v>
      </c>
      <c r="K71" t="s">
        <v>73</v>
      </c>
      <c r="L71" t="s">
        <v>74</v>
      </c>
      <c r="M71" t="s">
        <v>297</v>
      </c>
      <c r="N71" t="s">
        <v>111</v>
      </c>
      <c r="O71" t="s">
        <v>298</v>
      </c>
      <c r="P71" t="s">
        <v>299</v>
      </c>
      <c r="Q71" t="s">
        <v>66</v>
      </c>
      <c r="R71" s="1">
        <v>46217</v>
      </c>
      <c r="S71" t="s">
        <v>300</v>
      </c>
      <c r="T71" t="s">
        <v>301</v>
      </c>
      <c r="U71" t="s">
        <v>66</v>
      </c>
      <c r="V71" t="s">
        <v>302</v>
      </c>
      <c r="W71" t="s">
        <v>66</v>
      </c>
      <c r="X71">
        <v>811700</v>
      </c>
      <c r="Y71">
        <v>89287</v>
      </c>
      <c r="Z71">
        <v>81900</v>
      </c>
      <c r="AA71">
        <v>9009</v>
      </c>
      <c r="AB71">
        <v>900987</v>
      </c>
      <c r="AC71">
        <v>3</v>
      </c>
      <c r="AD71" t="s">
        <v>82</v>
      </c>
      <c r="AE71">
        <v>3</v>
      </c>
      <c r="AF71" t="s">
        <v>303</v>
      </c>
      <c r="AG71">
        <f>IFERROR(VLOOKUP(AF71,[1]STOK!J:O,6,0),"")</f>
        <v>12</v>
      </c>
      <c r="AH71" s="2">
        <f t="shared" si="2"/>
        <v>0.25</v>
      </c>
      <c r="AI71" t="s">
        <v>303</v>
      </c>
      <c r="AJ71" t="s">
        <v>304</v>
      </c>
      <c r="AK71" t="s">
        <v>305</v>
      </c>
      <c r="AL71" t="s">
        <v>86</v>
      </c>
      <c r="AM71">
        <v>30303</v>
      </c>
      <c r="AN71">
        <f t="shared" si="3"/>
        <v>30303</v>
      </c>
      <c r="AO71" t="s">
        <v>66</v>
      </c>
      <c r="AP71">
        <v>0</v>
      </c>
      <c r="AQ71" t="s">
        <v>66</v>
      </c>
      <c r="AR71">
        <v>0</v>
      </c>
      <c r="AS71" t="s">
        <v>66</v>
      </c>
      <c r="AT71">
        <v>0</v>
      </c>
      <c r="AU71" t="s">
        <v>66</v>
      </c>
      <c r="AV71">
        <v>0</v>
      </c>
      <c r="AW71" t="s">
        <v>66</v>
      </c>
      <c r="AX71">
        <v>0</v>
      </c>
      <c r="AY71" t="s">
        <v>66</v>
      </c>
      <c r="AZ71">
        <v>0</v>
      </c>
      <c r="BA71" t="s">
        <v>66</v>
      </c>
      <c r="BB71">
        <v>0</v>
      </c>
      <c r="BC71">
        <v>0</v>
      </c>
      <c r="BD71">
        <v>90909</v>
      </c>
      <c r="BE71">
        <v>24552.53</v>
      </c>
      <c r="BF71">
        <v>0</v>
      </c>
      <c r="BG71" t="s">
        <v>87</v>
      </c>
      <c r="BH71" t="s">
        <v>66</v>
      </c>
      <c r="BI71">
        <v>0</v>
      </c>
      <c r="BJ71" t="s">
        <v>66</v>
      </c>
      <c r="BK71" t="s">
        <v>88</v>
      </c>
      <c r="BL71" t="s">
        <v>66</v>
      </c>
      <c r="BM71" t="s">
        <v>89</v>
      </c>
    </row>
    <row r="72" spans="1:65" x14ac:dyDescent="0.25">
      <c r="A72">
        <v>70</v>
      </c>
      <c r="B72" t="s">
        <v>293</v>
      </c>
      <c r="C72" t="s">
        <v>68</v>
      </c>
      <c r="D72" s="1">
        <v>46217</v>
      </c>
      <c r="E72" t="s">
        <v>294</v>
      </c>
      <c r="F72" t="s">
        <v>68</v>
      </c>
      <c r="G72" t="s">
        <v>295</v>
      </c>
      <c r="H72" t="s">
        <v>296</v>
      </c>
      <c r="I72" t="s">
        <v>71</v>
      </c>
      <c r="J72" t="s">
        <v>72</v>
      </c>
      <c r="K72" t="s">
        <v>73</v>
      </c>
      <c r="L72" t="s">
        <v>74</v>
      </c>
      <c r="M72" t="s">
        <v>297</v>
      </c>
      <c r="N72" t="s">
        <v>111</v>
      </c>
      <c r="O72" t="s">
        <v>298</v>
      </c>
      <c r="P72" t="s">
        <v>299</v>
      </c>
      <c r="Q72" t="s">
        <v>66</v>
      </c>
      <c r="R72" s="1">
        <v>46217</v>
      </c>
      <c r="S72" t="s">
        <v>300</v>
      </c>
      <c r="T72" t="s">
        <v>301</v>
      </c>
      <c r="U72" t="s">
        <v>66</v>
      </c>
      <c r="V72" t="s">
        <v>302</v>
      </c>
      <c r="W72" t="s">
        <v>66</v>
      </c>
      <c r="X72">
        <v>811700</v>
      </c>
      <c r="Y72">
        <v>89287</v>
      </c>
      <c r="Z72">
        <v>81900</v>
      </c>
      <c r="AA72">
        <v>9009</v>
      </c>
      <c r="AB72">
        <v>900987</v>
      </c>
      <c r="AC72">
        <v>3</v>
      </c>
      <c r="AD72" t="s">
        <v>82</v>
      </c>
      <c r="AE72">
        <v>3</v>
      </c>
      <c r="AF72" t="s">
        <v>306</v>
      </c>
      <c r="AG72">
        <f>IFERROR(VLOOKUP(AF72,[1]STOK!J:O,6,0),"")</f>
        <v>12</v>
      </c>
      <c r="AH72" s="2">
        <f t="shared" si="2"/>
        <v>0.25</v>
      </c>
      <c r="AI72" t="s">
        <v>306</v>
      </c>
      <c r="AJ72" t="s">
        <v>307</v>
      </c>
      <c r="AK72" t="s">
        <v>308</v>
      </c>
      <c r="AL72" t="s">
        <v>86</v>
      </c>
      <c r="AM72">
        <v>30303</v>
      </c>
      <c r="AN72">
        <f t="shared" si="3"/>
        <v>30303</v>
      </c>
      <c r="AO72" t="s">
        <v>66</v>
      </c>
      <c r="AP72">
        <v>0</v>
      </c>
      <c r="AQ72" t="s">
        <v>66</v>
      </c>
      <c r="AR72">
        <v>0</v>
      </c>
      <c r="AS72" t="s">
        <v>66</v>
      </c>
      <c r="AT72">
        <v>0</v>
      </c>
      <c r="AU72" t="s">
        <v>66</v>
      </c>
      <c r="AV72">
        <v>0</v>
      </c>
      <c r="AW72" t="s">
        <v>66</v>
      </c>
      <c r="AX72">
        <v>0</v>
      </c>
      <c r="AY72" t="s">
        <v>66</v>
      </c>
      <c r="AZ72">
        <v>0</v>
      </c>
      <c r="BA72" t="s">
        <v>66</v>
      </c>
      <c r="BB72">
        <v>0</v>
      </c>
      <c r="BC72">
        <v>0</v>
      </c>
      <c r="BD72">
        <v>90909</v>
      </c>
      <c r="BE72">
        <v>24657.27</v>
      </c>
      <c r="BF72">
        <v>0</v>
      </c>
      <c r="BG72" t="s">
        <v>87</v>
      </c>
      <c r="BH72" t="s">
        <v>66</v>
      </c>
      <c r="BI72">
        <v>0</v>
      </c>
      <c r="BJ72" t="s">
        <v>66</v>
      </c>
      <c r="BK72" t="s">
        <v>88</v>
      </c>
      <c r="BL72" t="s">
        <v>66</v>
      </c>
      <c r="BM72" t="s">
        <v>89</v>
      </c>
    </row>
    <row r="73" spans="1:65" x14ac:dyDescent="0.25">
      <c r="A73">
        <v>71</v>
      </c>
      <c r="B73" t="s">
        <v>293</v>
      </c>
      <c r="C73" t="s">
        <v>68</v>
      </c>
      <c r="D73" s="1">
        <v>46217</v>
      </c>
      <c r="E73" t="s">
        <v>294</v>
      </c>
      <c r="F73" t="s">
        <v>68</v>
      </c>
      <c r="G73" t="s">
        <v>295</v>
      </c>
      <c r="H73" t="s">
        <v>296</v>
      </c>
      <c r="I73" t="s">
        <v>71</v>
      </c>
      <c r="J73" t="s">
        <v>72</v>
      </c>
      <c r="K73" t="s">
        <v>73</v>
      </c>
      <c r="L73" t="s">
        <v>74</v>
      </c>
      <c r="M73" t="s">
        <v>297</v>
      </c>
      <c r="N73" t="s">
        <v>111</v>
      </c>
      <c r="O73" t="s">
        <v>298</v>
      </c>
      <c r="P73" t="s">
        <v>299</v>
      </c>
      <c r="Q73" t="s">
        <v>66</v>
      </c>
      <c r="R73" s="1">
        <v>46217</v>
      </c>
      <c r="S73" t="s">
        <v>300</v>
      </c>
      <c r="T73" t="s">
        <v>301</v>
      </c>
      <c r="U73" t="s">
        <v>66</v>
      </c>
      <c r="V73" t="s">
        <v>302</v>
      </c>
      <c r="W73" t="s">
        <v>66</v>
      </c>
      <c r="X73">
        <v>811700</v>
      </c>
      <c r="Y73">
        <v>89287</v>
      </c>
      <c r="Z73">
        <v>81900</v>
      </c>
      <c r="AA73">
        <v>9009</v>
      </c>
      <c r="AB73">
        <v>900987</v>
      </c>
      <c r="AC73">
        <v>3</v>
      </c>
      <c r="AD73" t="s">
        <v>82</v>
      </c>
      <c r="AE73">
        <v>3</v>
      </c>
      <c r="AF73" t="s">
        <v>309</v>
      </c>
      <c r="AG73">
        <f>IFERROR(VLOOKUP(AF73,[1]STOK!J:O,6,0),"")</f>
        <v>12</v>
      </c>
      <c r="AH73" s="2">
        <f t="shared" si="2"/>
        <v>0.25</v>
      </c>
      <c r="AI73" t="s">
        <v>309</v>
      </c>
      <c r="AJ73" t="s">
        <v>310</v>
      </c>
      <c r="AK73" t="s">
        <v>311</v>
      </c>
      <c r="AL73" t="s">
        <v>86</v>
      </c>
      <c r="AM73">
        <v>30303</v>
      </c>
      <c r="AN73">
        <f t="shared" si="3"/>
        <v>30303</v>
      </c>
      <c r="AO73" t="s">
        <v>66</v>
      </c>
      <c r="AP73">
        <v>0</v>
      </c>
      <c r="AQ73" t="s">
        <v>66</v>
      </c>
      <c r="AR73">
        <v>0</v>
      </c>
      <c r="AS73" t="s">
        <v>66</v>
      </c>
      <c r="AT73">
        <v>0</v>
      </c>
      <c r="AU73" t="s">
        <v>66</v>
      </c>
      <c r="AV73">
        <v>0</v>
      </c>
      <c r="AW73" t="s">
        <v>66</v>
      </c>
      <c r="AX73">
        <v>0</v>
      </c>
      <c r="AY73" t="s">
        <v>66</v>
      </c>
      <c r="AZ73">
        <v>0</v>
      </c>
      <c r="BA73" t="s">
        <v>66</v>
      </c>
      <c r="BB73">
        <v>0</v>
      </c>
      <c r="BC73">
        <v>0</v>
      </c>
      <c r="BD73">
        <v>90909</v>
      </c>
      <c r="BE73">
        <v>24593.3</v>
      </c>
      <c r="BF73">
        <v>0</v>
      </c>
      <c r="BG73" t="s">
        <v>87</v>
      </c>
      <c r="BH73" t="s">
        <v>66</v>
      </c>
      <c r="BI73">
        <v>0</v>
      </c>
      <c r="BJ73" t="s">
        <v>66</v>
      </c>
      <c r="BK73" t="s">
        <v>88</v>
      </c>
      <c r="BL73" t="s">
        <v>66</v>
      </c>
      <c r="BM73" t="s">
        <v>89</v>
      </c>
    </row>
    <row r="74" spans="1:65" x14ac:dyDescent="0.25">
      <c r="A74">
        <v>72</v>
      </c>
      <c r="B74" t="s">
        <v>293</v>
      </c>
      <c r="C74" t="s">
        <v>68</v>
      </c>
      <c r="D74" s="1">
        <v>46217</v>
      </c>
      <c r="E74" t="s">
        <v>294</v>
      </c>
      <c r="F74" t="s">
        <v>68</v>
      </c>
      <c r="G74" t="s">
        <v>295</v>
      </c>
      <c r="H74" t="s">
        <v>296</v>
      </c>
      <c r="I74" t="s">
        <v>71</v>
      </c>
      <c r="J74" t="s">
        <v>72</v>
      </c>
      <c r="K74" t="s">
        <v>73</v>
      </c>
      <c r="L74" t="s">
        <v>74</v>
      </c>
      <c r="M74" t="s">
        <v>297</v>
      </c>
      <c r="N74" t="s">
        <v>111</v>
      </c>
      <c r="O74" t="s">
        <v>298</v>
      </c>
      <c r="P74" t="s">
        <v>299</v>
      </c>
      <c r="Q74" t="s">
        <v>66</v>
      </c>
      <c r="R74" s="1">
        <v>46217</v>
      </c>
      <c r="S74" t="s">
        <v>300</v>
      </c>
      <c r="T74" t="s">
        <v>301</v>
      </c>
      <c r="U74" t="s">
        <v>66</v>
      </c>
      <c r="V74" t="s">
        <v>302</v>
      </c>
      <c r="W74" t="s">
        <v>66</v>
      </c>
      <c r="X74">
        <v>811700</v>
      </c>
      <c r="Y74">
        <v>89287</v>
      </c>
      <c r="Z74">
        <v>26600</v>
      </c>
      <c r="AA74">
        <v>2926</v>
      </c>
      <c r="AB74">
        <v>900987</v>
      </c>
      <c r="AC74">
        <v>2</v>
      </c>
      <c r="AD74" t="s">
        <v>82</v>
      </c>
      <c r="AE74">
        <v>2</v>
      </c>
      <c r="AF74" t="s">
        <v>210</v>
      </c>
      <c r="AG74">
        <f>IFERROR(VLOOKUP(AF74,[1]STOK!J:O,6,0),"")</f>
        <v>12</v>
      </c>
      <c r="AH74" s="2">
        <f t="shared" si="2"/>
        <v>0.16666666666666666</v>
      </c>
      <c r="AI74" t="s">
        <v>210</v>
      </c>
      <c r="AJ74" t="s">
        <v>211</v>
      </c>
      <c r="AK74" t="s">
        <v>212</v>
      </c>
      <c r="AL74" t="s">
        <v>86</v>
      </c>
      <c r="AM74">
        <v>14763</v>
      </c>
      <c r="AN74">
        <f t="shared" si="3"/>
        <v>14763</v>
      </c>
      <c r="AO74" t="s">
        <v>66</v>
      </c>
      <c r="AP74">
        <v>0</v>
      </c>
      <c r="AQ74" t="s">
        <v>66</v>
      </c>
      <c r="AR74">
        <v>0</v>
      </c>
      <c r="AS74" t="s">
        <v>66</v>
      </c>
      <c r="AT74">
        <v>0</v>
      </c>
      <c r="AU74" t="s">
        <v>66</v>
      </c>
      <c r="AV74">
        <v>0</v>
      </c>
      <c r="AW74" t="s">
        <v>66</v>
      </c>
      <c r="AX74">
        <v>0</v>
      </c>
      <c r="AY74" t="s">
        <v>66</v>
      </c>
      <c r="AZ74">
        <v>0</v>
      </c>
      <c r="BA74" t="s">
        <v>66</v>
      </c>
      <c r="BB74">
        <v>0</v>
      </c>
      <c r="BC74">
        <v>0</v>
      </c>
      <c r="BD74">
        <v>29526</v>
      </c>
      <c r="BE74">
        <v>11818.77</v>
      </c>
      <c r="BF74">
        <v>0</v>
      </c>
      <c r="BG74" t="s">
        <v>87</v>
      </c>
      <c r="BH74" t="s">
        <v>66</v>
      </c>
      <c r="BI74">
        <v>0</v>
      </c>
      <c r="BJ74" t="s">
        <v>66</v>
      </c>
      <c r="BK74" t="s">
        <v>88</v>
      </c>
      <c r="BL74" t="s">
        <v>66</v>
      </c>
      <c r="BM74" t="s">
        <v>89</v>
      </c>
    </row>
    <row r="75" spans="1:65" x14ac:dyDescent="0.25">
      <c r="A75">
        <v>73</v>
      </c>
      <c r="B75" t="s">
        <v>293</v>
      </c>
      <c r="C75" t="s">
        <v>68</v>
      </c>
      <c r="D75" s="1">
        <v>46217</v>
      </c>
      <c r="E75" t="s">
        <v>294</v>
      </c>
      <c r="F75" t="s">
        <v>68</v>
      </c>
      <c r="G75" t="s">
        <v>295</v>
      </c>
      <c r="H75" t="s">
        <v>296</v>
      </c>
      <c r="I75" t="s">
        <v>71</v>
      </c>
      <c r="J75" t="s">
        <v>72</v>
      </c>
      <c r="K75" t="s">
        <v>73</v>
      </c>
      <c r="L75" t="s">
        <v>74</v>
      </c>
      <c r="M75" t="s">
        <v>297</v>
      </c>
      <c r="N75" t="s">
        <v>111</v>
      </c>
      <c r="O75" t="s">
        <v>298</v>
      </c>
      <c r="P75" t="s">
        <v>299</v>
      </c>
      <c r="Q75" t="s">
        <v>66</v>
      </c>
      <c r="R75" s="1">
        <v>46217</v>
      </c>
      <c r="S75" t="s">
        <v>300</v>
      </c>
      <c r="T75" t="s">
        <v>301</v>
      </c>
      <c r="U75" t="s">
        <v>66</v>
      </c>
      <c r="V75" t="s">
        <v>302</v>
      </c>
      <c r="W75" t="s">
        <v>66</v>
      </c>
      <c r="X75">
        <v>811700</v>
      </c>
      <c r="Y75">
        <v>89287</v>
      </c>
      <c r="Z75">
        <v>120000</v>
      </c>
      <c r="AA75">
        <v>13200</v>
      </c>
      <c r="AB75">
        <v>900987</v>
      </c>
      <c r="AC75">
        <v>6</v>
      </c>
      <c r="AD75" t="s">
        <v>82</v>
      </c>
      <c r="AE75">
        <v>6</v>
      </c>
      <c r="AF75" t="s">
        <v>290</v>
      </c>
      <c r="AG75">
        <f>IFERROR(VLOOKUP(AF75,[1]STOK!J:O,6,0),"")</f>
        <v>12</v>
      </c>
      <c r="AH75" s="2">
        <f t="shared" si="2"/>
        <v>0.5</v>
      </c>
      <c r="AI75" t="s">
        <v>290</v>
      </c>
      <c r="AJ75" t="s">
        <v>291</v>
      </c>
      <c r="AK75" t="s">
        <v>292</v>
      </c>
      <c r="AL75" t="s">
        <v>86</v>
      </c>
      <c r="AM75">
        <v>22200</v>
      </c>
      <c r="AN75">
        <f t="shared" si="3"/>
        <v>22200</v>
      </c>
      <c r="AO75" t="s">
        <v>66</v>
      </c>
      <c r="AP75">
        <v>0</v>
      </c>
      <c r="AQ75" t="s">
        <v>66</v>
      </c>
      <c r="AR75">
        <v>0</v>
      </c>
      <c r="AS75" t="s">
        <v>66</v>
      </c>
      <c r="AT75">
        <v>0</v>
      </c>
      <c r="AU75" t="s">
        <v>66</v>
      </c>
      <c r="AV75">
        <v>0</v>
      </c>
      <c r="AW75" t="s">
        <v>66</v>
      </c>
      <c r="AX75">
        <v>0</v>
      </c>
      <c r="AY75" t="s">
        <v>66</v>
      </c>
      <c r="AZ75">
        <v>0</v>
      </c>
      <c r="BA75" t="s">
        <v>66</v>
      </c>
      <c r="BB75">
        <v>0</v>
      </c>
      <c r="BC75">
        <v>0</v>
      </c>
      <c r="BD75">
        <v>133200</v>
      </c>
      <c r="BE75">
        <v>18155.62</v>
      </c>
      <c r="BF75">
        <v>0</v>
      </c>
      <c r="BG75" t="s">
        <v>87</v>
      </c>
      <c r="BH75" t="s">
        <v>66</v>
      </c>
      <c r="BI75">
        <v>0</v>
      </c>
      <c r="BJ75" t="s">
        <v>66</v>
      </c>
      <c r="BK75" t="s">
        <v>88</v>
      </c>
      <c r="BL75" t="s">
        <v>66</v>
      </c>
      <c r="BM75" t="s">
        <v>89</v>
      </c>
    </row>
    <row r="76" spans="1:65" x14ac:dyDescent="0.25">
      <c r="A76">
        <v>74</v>
      </c>
      <c r="B76" t="s">
        <v>293</v>
      </c>
      <c r="C76" t="s">
        <v>68</v>
      </c>
      <c r="D76" s="1">
        <v>46217</v>
      </c>
      <c r="E76" t="s">
        <v>294</v>
      </c>
      <c r="F76" t="s">
        <v>68</v>
      </c>
      <c r="G76" t="s">
        <v>295</v>
      </c>
      <c r="H76" t="s">
        <v>296</v>
      </c>
      <c r="I76" t="s">
        <v>71</v>
      </c>
      <c r="J76" t="s">
        <v>72</v>
      </c>
      <c r="K76" t="s">
        <v>73</v>
      </c>
      <c r="L76" t="s">
        <v>74</v>
      </c>
      <c r="M76" t="s">
        <v>297</v>
      </c>
      <c r="N76" t="s">
        <v>111</v>
      </c>
      <c r="O76" t="s">
        <v>298</v>
      </c>
      <c r="P76" t="s">
        <v>299</v>
      </c>
      <c r="Q76" t="s">
        <v>66</v>
      </c>
      <c r="R76" s="1">
        <v>46217</v>
      </c>
      <c r="S76" t="s">
        <v>300</v>
      </c>
      <c r="T76" t="s">
        <v>301</v>
      </c>
      <c r="U76" t="s">
        <v>66</v>
      </c>
      <c r="V76" t="s">
        <v>302</v>
      </c>
      <c r="W76" t="s">
        <v>66</v>
      </c>
      <c r="X76">
        <v>811700</v>
      </c>
      <c r="Y76">
        <v>89287</v>
      </c>
      <c r="Z76">
        <v>120000</v>
      </c>
      <c r="AA76">
        <v>13200</v>
      </c>
      <c r="AB76">
        <v>900987</v>
      </c>
      <c r="AC76">
        <v>6</v>
      </c>
      <c r="AD76" t="s">
        <v>82</v>
      </c>
      <c r="AE76">
        <v>6</v>
      </c>
      <c r="AF76" t="s">
        <v>102</v>
      </c>
      <c r="AG76">
        <f>IFERROR(VLOOKUP(AF76,[1]STOK!J:O,6,0),"")</f>
        <v>12</v>
      </c>
      <c r="AH76" s="2">
        <f t="shared" si="2"/>
        <v>0.5</v>
      </c>
      <c r="AI76" t="s">
        <v>102</v>
      </c>
      <c r="AJ76" t="s">
        <v>103</v>
      </c>
      <c r="AK76" t="s">
        <v>104</v>
      </c>
      <c r="AL76" t="s">
        <v>86</v>
      </c>
      <c r="AM76">
        <v>22200</v>
      </c>
      <c r="AN76">
        <f t="shared" si="3"/>
        <v>22200</v>
      </c>
      <c r="AO76" t="s">
        <v>66</v>
      </c>
      <c r="AP76">
        <v>0</v>
      </c>
      <c r="AQ76" t="s">
        <v>66</v>
      </c>
      <c r="AR76">
        <v>0</v>
      </c>
      <c r="AS76" t="s">
        <v>66</v>
      </c>
      <c r="AT76">
        <v>0</v>
      </c>
      <c r="AU76" t="s">
        <v>66</v>
      </c>
      <c r="AV76">
        <v>0</v>
      </c>
      <c r="AW76" t="s">
        <v>66</v>
      </c>
      <c r="AX76">
        <v>0</v>
      </c>
      <c r="AY76" t="s">
        <v>66</v>
      </c>
      <c r="AZ76">
        <v>0</v>
      </c>
      <c r="BA76" t="s">
        <v>66</v>
      </c>
      <c r="BB76">
        <v>0</v>
      </c>
      <c r="BC76">
        <v>0</v>
      </c>
      <c r="BD76">
        <v>133200</v>
      </c>
      <c r="BE76">
        <v>17828.62</v>
      </c>
      <c r="BF76">
        <v>0</v>
      </c>
      <c r="BG76" t="s">
        <v>87</v>
      </c>
      <c r="BH76" t="s">
        <v>66</v>
      </c>
      <c r="BI76">
        <v>0</v>
      </c>
      <c r="BJ76" t="s">
        <v>66</v>
      </c>
      <c r="BK76" t="s">
        <v>88</v>
      </c>
      <c r="BL76" t="s">
        <v>66</v>
      </c>
      <c r="BM76" t="s">
        <v>89</v>
      </c>
    </row>
    <row r="77" spans="1:65" x14ac:dyDescent="0.25">
      <c r="A77">
        <v>75</v>
      </c>
      <c r="B77" t="s">
        <v>293</v>
      </c>
      <c r="C77" t="s">
        <v>68</v>
      </c>
      <c r="D77" s="1">
        <v>46217</v>
      </c>
      <c r="E77" t="s">
        <v>294</v>
      </c>
      <c r="F77" t="s">
        <v>68</v>
      </c>
      <c r="G77" t="s">
        <v>295</v>
      </c>
      <c r="H77" t="s">
        <v>296</v>
      </c>
      <c r="I77" t="s">
        <v>71</v>
      </c>
      <c r="J77" t="s">
        <v>72</v>
      </c>
      <c r="K77" t="s">
        <v>73</v>
      </c>
      <c r="L77" t="s">
        <v>74</v>
      </c>
      <c r="M77" t="s">
        <v>297</v>
      </c>
      <c r="N77" t="s">
        <v>111</v>
      </c>
      <c r="O77" t="s">
        <v>298</v>
      </c>
      <c r="P77" t="s">
        <v>299</v>
      </c>
      <c r="Q77" t="s">
        <v>66</v>
      </c>
      <c r="R77" s="1">
        <v>46217</v>
      </c>
      <c r="S77" t="s">
        <v>300</v>
      </c>
      <c r="T77" t="s">
        <v>301</v>
      </c>
      <c r="U77" t="s">
        <v>66</v>
      </c>
      <c r="V77" t="s">
        <v>302</v>
      </c>
      <c r="W77" t="s">
        <v>66</v>
      </c>
      <c r="X77">
        <v>811700</v>
      </c>
      <c r="Y77">
        <v>89287</v>
      </c>
      <c r="Z77">
        <v>114900</v>
      </c>
      <c r="AA77">
        <v>12639</v>
      </c>
      <c r="AB77">
        <v>900987</v>
      </c>
      <c r="AC77">
        <v>3</v>
      </c>
      <c r="AD77" t="s">
        <v>82</v>
      </c>
      <c r="AE77">
        <v>3</v>
      </c>
      <c r="AF77" t="s">
        <v>138</v>
      </c>
      <c r="AG77">
        <f>IFERROR(VLOOKUP(AF77,[1]STOK!J:O,6,0),"")</f>
        <v>6</v>
      </c>
      <c r="AH77" s="2">
        <f t="shared" si="2"/>
        <v>0.5</v>
      </c>
      <c r="AI77" t="s">
        <v>138</v>
      </c>
      <c r="AJ77" t="s">
        <v>139</v>
      </c>
      <c r="AK77" t="s">
        <v>140</v>
      </c>
      <c r="AL77" t="s">
        <v>86</v>
      </c>
      <c r="AM77">
        <v>42513</v>
      </c>
      <c r="AN77">
        <f t="shared" si="3"/>
        <v>42513</v>
      </c>
      <c r="AO77" t="s">
        <v>66</v>
      </c>
      <c r="AP77">
        <v>0</v>
      </c>
      <c r="AQ77" t="s">
        <v>66</v>
      </c>
      <c r="AR77">
        <v>0</v>
      </c>
      <c r="AS77" t="s">
        <v>66</v>
      </c>
      <c r="AT77">
        <v>0</v>
      </c>
      <c r="AU77" t="s">
        <v>66</v>
      </c>
      <c r="AV77">
        <v>0</v>
      </c>
      <c r="AW77" t="s">
        <v>66</v>
      </c>
      <c r="AX77">
        <v>0</v>
      </c>
      <c r="AY77" t="s">
        <v>66</v>
      </c>
      <c r="AZ77">
        <v>0</v>
      </c>
      <c r="BA77" t="s">
        <v>66</v>
      </c>
      <c r="BB77">
        <v>0</v>
      </c>
      <c r="BC77">
        <v>0</v>
      </c>
      <c r="BD77">
        <v>127539</v>
      </c>
      <c r="BE77">
        <v>34619.379999999997</v>
      </c>
      <c r="BF77">
        <v>0</v>
      </c>
      <c r="BG77" t="s">
        <v>87</v>
      </c>
      <c r="BH77" t="s">
        <v>66</v>
      </c>
      <c r="BI77">
        <v>0</v>
      </c>
      <c r="BJ77" t="s">
        <v>66</v>
      </c>
      <c r="BK77" t="s">
        <v>88</v>
      </c>
      <c r="BL77" t="s">
        <v>66</v>
      </c>
      <c r="BM77" t="s">
        <v>89</v>
      </c>
    </row>
    <row r="78" spans="1:65" x14ac:dyDescent="0.25">
      <c r="A78">
        <v>76</v>
      </c>
      <c r="B78" t="s">
        <v>293</v>
      </c>
      <c r="C78" t="s">
        <v>68</v>
      </c>
      <c r="D78" s="1">
        <v>46217</v>
      </c>
      <c r="E78" t="s">
        <v>294</v>
      </c>
      <c r="F78" t="s">
        <v>68</v>
      </c>
      <c r="G78" t="s">
        <v>295</v>
      </c>
      <c r="H78" t="s">
        <v>296</v>
      </c>
      <c r="I78" t="s">
        <v>71</v>
      </c>
      <c r="J78" t="s">
        <v>72</v>
      </c>
      <c r="K78" t="s">
        <v>73</v>
      </c>
      <c r="L78" t="s">
        <v>74</v>
      </c>
      <c r="M78" t="s">
        <v>297</v>
      </c>
      <c r="N78" t="s">
        <v>111</v>
      </c>
      <c r="O78" t="s">
        <v>298</v>
      </c>
      <c r="P78" t="s">
        <v>299</v>
      </c>
      <c r="Q78" t="s">
        <v>66</v>
      </c>
      <c r="R78" s="1">
        <v>46217</v>
      </c>
      <c r="S78" t="s">
        <v>300</v>
      </c>
      <c r="T78" t="s">
        <v>301</v>
      </c>
      <c r="U78" t="s">
        <v>66</v>
      </c>
      <c r="V78" t="s">
        <v>302</v>
      </c>
      <c r="W78" t="s">
        <v>66</v>
      </c>
      <c r="X78">
        <v>811700</v>
      </c>
      <c r="Y78">
        <v>89287</v>
      </c>
      <c r="Z78">
        <v>135000</v>
      </c>
      <c r="AA78">
        <v>14850</v>
      </c>
      <c r="AB78">
        <v>900987</v>
      </c>
      <c r="AC78">
        <v>2</v>
      </c>
      <c r="AD78" t="s">
        <v>82</v>
      </c>
      <c r="AE78">
        <v>2</v>
      </c>
      <c r="AF78" t="s">
        <v>312</v>
      </c>
      <c r="AG78">
        <f>IFERROR(VLOOKUP(AF78,[1]STOK!J:O,6,0),"")</f>
        <v>4</v>
      </c>
      <c r="AH78" s="2">
        <f t="shared" si="2"/>
        <v>0.5</v>
      </c>
      <c r="AI78" t="s">
        <v>312</v>
      </c>
      <c r="AJ78" t="s">
        <v>313</v>
      </c>
      <c r="AK78" t="s">
        <v>314</v>
      </c>
      <c r="AL78" t="s">
        <v>86</v>
      </c>
      <c r="AM78">
        <v>74925</v>
      </c>
      <c r="AN78">
        <f t="shared" si="3"/>
        <v>74925</v>
      </c>
      <c r="AO78" t="s">
        <v>66</v>
      </c>
      <c r="AP78">
        <v>0</v>
      </c>
      <c r="AQ78" t="s">
        <v>66</v>
      </c>
      <c r="AR78">
        <v>0</v>
      </c>
      <c r="AS78" t="s">
        <v>66</v>
      </c>
      <c r="AT78">
        <v>0</v>
      </c>
      <c r="AU78" t="s">
        <v>66</v>
      </c>
      <c r="AV78">
        <v>0</v>
      </c>
      <c r="AW78" t="s">
        <v>66</v>
      </c>
      <c r="AX78">
        <v>0</v>
      </c>
      <c r="AY78" t="s">
        <v>66</v>
      </c>
      <c r="AZ78">
        <v>0</v>
      </c>
      <c r="BA78" t="s">
        <v>66</v>
      </c>
      <c r="BB78">
        <v>0</v>
      </c>
      <c r="BC78">
        <v>0</v>
      </c>
      <c r="BD78">
        <v>149850</v>
      </c>
      <c r="BE78">
        <v>60250.95</v>
      </c>
      <c r="BF78">
        <v>0</v>
      </c>
      <c r="BG78" t="s">
        <v>87</v>
      </c>
      <c r="BH78" t="s">
        <v>66</v>
      </c>
      <c r="BI78">
        <v>0</v>
      </c>
      <c r="BJ78" t="s">
        <v>66</v>
      </c>
      <c r="BK78" t="s">
        <v>88</v>
      </c>
      <c r="BL78" t="s">
        <v>66</v>
      </c>
      <c r="BM78" t="s">
        <v>89</v>
      </c>
    </row>
    <row r="79" spans="1:65" x14ac:dyDescent="0.25">
      <c r="A79">
        <v>77</v>
      </c>
      <c r="B79" t="s">
        <v>315</v>
      </c>
      <c r="C79" t="s">
        <v>66</v>
      </c>
      <c r="D79" s="1">
        <v>46217</v>
      </c>
      <c r="E79" t="s">
        <v>316</v>
      </c>
      <c r="F79" t="s">
        <v>68</v>
      </c>
      <c r="G79" t="s">
        <v>295</v>
      </c>
      <c r="H79" t="s">
        <v>296</v>
      </c>
      <c r="I79" t="s">
        <v>71</v>
      </c>
      <c r="J79" t="s">
        <v>72</v>
      </c>
      <c r="K79" t="s">
        <v>73</v>
      </c>
      <c r="L79" t="s">
        <v>74</v>
      </c>
      <c r="M79" t="s">
        <v>317</v>
      </c>
      <c r="N79" t="s">
        <v>111</v>
      </c>
      <c r="O79" t="s">
        <v>318</v>
      </c>
      <c r="P79" t="s">
        <v>319</v>
      </c>
      <c r="Q79" t="s">
        <v>66</v>
      </c>
      <c r="R79" s="1">
        <v>46217</v>
      </c>
      <c r="S79" t="s">
        <v>320</v>
      </c>
      <c r="T79" t="s">
        <v>321</v>
      </c>
      <c r="U79" t="s">
        <v>66</v>
      </c>
      <c r="V79" t="s">
        <v>322</v>
      </c>
      <c r="W79" t="s">
        <v>66</v>
      </c>
      <c r="X79">
        <v>1201200</v>
      </c>
      <c r="Y79">
        <v>132132</v>
      </c>
      <c r="Z79">
        <v>396000</v>
      </c>
      <c r="AA79">
        <v>43560</v>
      </c>
      <c r="AB79">
        <v>1333332</v>
      </c>
      <c r="AC79">
        <v>1</v>
      </c>
      <c r="AD79" t="s">
        <v>134</v>
      </c>
      <c r="AE79">
        <v>24</v>
      </c>
      <c r="AF79" t="s">
        <v>205</v>
      </c>
      <c r="AG79">
        <f>IFERROR(VLOOKUP(AF79,[1]STOK!J:O,6,0),"")</f>
        <v>24</v>
      </c>
      <c r="AH79" s="2">
        <f t="shared" si="2"/>
        <v>1</v>
      </c>
      <c r="AI79" t="s">
        <v>205</v>
      </c>
      <c r="AJ79" t="s">
        <v>206</v>
      </c>
      <c r="AK79" t="s">
        <v>207</v>
      </c>
      <c r="AL79" t="s">
        <v>86</v>
      </c>
      <c r="AM79">
        <v>439560</v>
      </c>
      <c r="AN79">
        <f t="shared" si="3"/>
        <v>439560</v>
      </c>
      <c r="AO79" t="s">
        <v>66</v>
      </c>
      <c r="AP79">
        <v>0</v>
      </c>
      <c r="AQ79" t="s">
        <v>66</v>
      </c>
      <c r="AR79">
        <v>0</v>
      </c>
      <c r="AS79" t="s">
        <v>66</v>
      </c>
      <c r="AT79">
        <v>0</v>
      </c>
      <c r="AU79" t="s">
        <v>66</v>
      </c>
      <c r="AV79">
        <v>0</v>
      </c>
      <c r="AW79" t="s">
        <v>66</v>
      </c>
      <c r="AX79">
        <v>0</v>
      </c>
      <c r="AY79" t="s">
        <v>66</v>
      </c>
      <c r="AZ79">
        <v>0</v>
      </c>
      <c r="BA79" t="s">
        <v>66</v>
      </c>
      <c r="BB79">
        <v>0</v>
      </c>
      <c r="BC79">
        <v>0</v>
      </c>
      <c r="BD79">
        <v>439560</v>
      </c>
      <c r="BE79">
        <v>14876.63</v>
      </c>
      <c r="BF79">
        <v>0</v>
      </c>
      <c r="BG79" t="s">
        <v>87</v>
      </c>
      <c r="BH79" t="s">
        <v>66</v>
      </c>
      <c r="BI79">
        <v>0</v>
      </c>
      <c r="BJ79" t="s">
        <v>66</v>
      </c>
      <c r="BK79" t="s">
        <v>88</v>
      </c>
      <c r="BL79" t="s">
        <v>66</v>
      </c>
      <c r="BM79" t="s">
        <v>89</v>
      </c>
    </row>
    <row r="80" spans="1:65" x14ac:dyDescent="0.25">
      <c r="A80">
        <v>78</v>
      </c>
      <c r="B80" t="s">
        <v>315</v>
      </c>
      <c r="C80" t="s">
        <v>66</v>
      </c>
      <c r="D80" s="1">
        <v>46217</v>
      </c>
      <c r="E80" t="s">
        <v>316</v>
      </c>
      <c r="F80" t="s">
        <v>68</v>
      </c>
      <c r="G80" t="s">
        <v>295</v>
      </c>
      <c r="H80" t="s">
        <v>296</v>
      </c>
      <c r="I80" t="s">
        <v>71</v>
      </c>
      <c r="J80" t="s">
        <v>72</v>
      </c>
      <c r="K80" t="s">
        <v>73</v>
      </c>
      <c r="L80" t="s">
        <v>74</v>
      </c>
      <c r="M80" t="s">
        <v>317</v>
      </c>
      <c r="N80" t="s">
        <v>111</v>
      </c>
      <c r="O80" t="s">
        <v>318</v>
      </c>
      <c r="P80" t="s">
        <v>319</v>
      </c>
      <c r="Q80" t="s">
        <v>66</v>
      </c>
      <c r="R80" s="1">
        <v>46217</v>
      </c>
      <c r="S80" t="s">
        <v>320</v>
      </c>
      <c r="T80" t="s">
        <v>321</v>
      </c>
      <c r="U80" t="s">
        <v>66</v>
      </c>
      <c r="V80" t="s">
        <v>322</v>
      </c>
      <c r="W80" t="s">
        <v>66</v>
      </c>
      <c r="X80">
        <v>1201200</v>
      </c>
      <c r="Y80">
        <v>132132</v>
      </c>
      <c r="Z80">
        <v>229800</v>
      </c>
      <c r="AA80">
        <v>25278</v>
      </c>
      <c r="AB80">
        <v>1333332</v>
      </c>
      <c r="AC80">
        <v>1</v>
      </c>
      <c r="AD80" t="s">
        <v>134</v>
      </c>
      <c r="AE80">
        <v>6</v>
      </c>
      <c r="AF80" t="s">
        <v>138</v>
      </c>
      <c r="AG80">
        <f>IFERROR(VLOOKUP(AF80,[1]STOK!J:O,6,0),"")</f>
        <v>6</v>
      </c>
      <c r="AH80" s="2">
        <f t="shared" si="2"/>
        <v>1</v>
      </c>
      <c r="AI80" t="s">
        <v>138</v>
      </c>
      <c r="AJ80" t="s">
        <v>139</v>
      </c>
      <c r="AK80" t="s">
        <v>140</v>
      </c>
      <c r="AL80" t="s">
        <v>86</v>
      </c>
      <c r="AM80">
        <v>255078</v>
      </c>
      <c r="AN80">
        <f t="shared" si="3"/>
        <v>255078</v>
      </c>
      <c r="AO80" t="s">
        <v>66</v>
      </c>
      <c r="AP80">
        <v>0</v>
      </c>
      <c r="AQ80" t="s">
        <v>66</v>
      </c>
      <c r="AR80">
        <v>0</v>
      </c>
      <c r="AS80" t="s">
        <v>66</v>
      </c>
      <c r="AT80">
        <v>0</v>
      </c>
      <c r="AU80" t="s">
        <v>66</v>
      </c>
      <c r="AV80">
        <v>0</v>
      </c>
      <c r="AW80" t="s">
        <v>66</v>
      </c>
      <c r="AX80">
        <v>0</v>
      </c>
      <c r="AY80" t="s">
        <v>66</v>
      </c>
      <c r="AZ80">
        <v>0</v>
      </c>
      <c r="BA80" t="s">
        <v>66</v>
      </c>
      <c r="BB80">
        <v>0</v>
      </c>
      <c r="BC80">
        <v>0</v>
      </c>
      <c r="BD80">
        <v>255078</v>
      </c>
      <c r="BE80">
        <v>34619.379999999997</v>
      </c>
      <c r="BF80">
        <v>0</v>
      </c>
      <c r="BG80" t="s">
        <v>87</v>
      </c>
      <c r="BH80" t="s">
        <v>66</v>
      </c>
      <c r="BI80">
        <v>0</v>
      </c>
      <c r="BJ80" t="s">
        <v>66</v>
      </c>
      <c r="BK80" t="s">
        <v>88</v>
      </c>
      <c r="BL80" t="s">
        <v>66</v>
      </c>
      <c r="BM80" t="s">
        <v>89</v>
      </c>
    </row>
    <row r="81" spans="1:65" x14ac:dyDescent="0.25">
      <c r="A81">
        <v>79</v>
      </c>
      <c r="B81" t="s">
        <v>315</v>
      </c>
      <c r="C81" t="s">
        <v>66</v>
      </c>
      <c r="D81" s="1">
        <v>46217</v>
      </c>
      <c r="E81" t="s">
        <v>316</v>
      </c>
      <c r="F81" t="s">
        <v>68</v>
      </c>
      <c r="G81" t="s">
        <v>295</v>
      </c>
      <c r="H81" t="s">
        <v>296</v>
      </c>
      <c r="I81" t="s">
        <v>71</v>
      </c>
      <c r="J81" t="s">
        <v>72</v>
      </c>
      <c r="K81" t="s">
        <v>73</v>
      </c>
      <c r="L81" t="s">
        <v>74</v>
      </c>
      <c r="M81" t="s">
        <v>317</v>
      </c>
      <c r="N81" t="s">
        <v>111</v>
      </c>
      <c r="O81" t="s">
        <v>318</v>
      </c>
      <c r="P81" t="s">
        <v>319</v>
      </c>
      <c r="Q81" t="s">
        <v>66</v>
      </c>
      <c r="R81" s="1">
        <v>46217</v>
      </c>
      <c r="S81" t="s">
        <v>320</v>
      </c>
      <c r="T81" t="s">
        <v>321</v>
      </c>
      <c r="U81" t="s">
        <v>66</v>
      </c>
      <c r="V81" t="s">
        <v>322</v>
      </c>
      <c r="W81" t="s">
        <v>66</v>
      </c>
      <c r="X81">
        <v>1201200</v>
      </c>
      <c r="Y81">
        <v>132132</v>
      </c>
      <c r="Z81">
        <v>229800</v>
      </c>
      <c r="AA81">
        <v>25278</v>
      </c>
      <c r="AB81">
        <v>1333332</v>
      </c>
      <c r="AC81">
        <v>1</v>
      </c>
      <c r="AD81" t="s">
        <v>134</v>
      </c>
      <c r="AE81">
        <v>6</v>
      </c>
      <c r="AF81" t="s">
        <v>323</v>
      </c>
      <c r="AG81">
        <f>IFERROR(VLOOKUP(AF81,[1]STOK!J:O,6,0),"")</f>
        <v>6</v>
      </c>
      <c r="AH81" s="2">
        <f t="shared" si="2"/>
        <v>1</v>
      </c>
      <c r="AI81" t="s">
        <v>323</v>
      </c>
      <c r="AJ81" t="s">
        <v>324</v>
      </c>
      <c r="AK81" t="s">
        <v>325</v>
      </c>
      <c r="AL81" t="s">
        <v>86</v>
      </c>
      <c r="AM81">
        <v>255078</v>
      </c>
      <c r="AN81">
        <f t="shared" si="3"/>
        <v>255078</v>
      </c>
      <c r="AO81" t="s">
        <v>66</v>
      </c>
      <c r="AP81">
        <v>0</v>
      </c>
      <c r="AQ81" t="s">
        <v>66</v>
      </c>
      <c r="AR81">
        <v>0</v>
      </c>
      <c r="AS81" t="s">
        <v>66</v>
      </c>
      <c r="AT81">
        <v>0</v>
      </c>
      <c r="AU81" t="s">
        <v>66</v>
      </c>
      <c r="AV81">
        <v>0</v>
      </c>
      <c r="AW81" t="s">
        <v>66</v>
      </c>
      <c r="AX81">
        <v>0</v>
      </c>
      <c r="AY81" t="s">
        <v>66</v>
      </c>
      <c r="AZ81">
        <v>0</v>
      </c>
      <c r="BA81" t="s">
        <v>66</v>
      </c>
      <c r="BB81">
        <v>0</v>
      </c>
      <c r="BC81">
        <v>0</v>
      </c>
      <c r="BD81">
        <v>255078</v>
      </c>
      <c r="BE81">
        <v>33824.949999999997</v>
      </c>
      <c r="BF81">
        <v>0</v>
      </c>
      <c r="BG81" t="s">
        <v>87</v>
      </c>
      <c r="BH81" t="s">
        <v>66</v>
      </c>
      <c r="BI81">
        <v>0</v>
      </c>
      <c r="BJ81" t="s">
        <v>66</v>
      </c>
      <c r="BK81" t="s">
        <v>88</v>
      </c>
      <c r="BL81" t="s">
        <v>66</v>
      </c>
      <c r="BM81" t="s">
        <v>89</v>
      </c>
    </row>
    <row r="82" spans="1:65" x14ac:dyDescent="0.25">
      <c r="A82">
        <v>80</v>
      </c>
      <c r="B82" t="s">
        <v>315</v>
      </c>
      <c r="C82" t="s">
        <v>66</v>
      </c>
      <c r="D82" s="1">
        <v>46217</v>
      </c>
      <c r="E82" t="s">
        <v>316</v>
      </c>
      <c r="F82" t="s">
        <v>68</v>
      </c>
      <c r="G82" t="s">
        <v>295</v>
      </c>
      <c r="H82" t="s">
        <v>296</v>
      </c>
      <c r="I82" t="s">
        <v>71</v>
      </c>
      <c r="J82" t="s">
        <v>72</v>
      </c>
      <c r="K82" t="s">
        <v>73</v>
      </c>
      <c r="L82" t="s">
        <v>74</v>
      </c>
      <c r="M82" t="s">
        <v>317</v>
      </c>
      <c r="N82" t="s">
        <v>111</v>
      </c>
      <c r="O82" t="s">
        <v>318</v>
      </c>
      <c r="P82" t="s">
        <v>319</v>
      </c>
      <c r="Q82" t="s">
        <v>66</v>
      </c>
      <c r="R82" s="1">
        <v>46217</v>
      </c>
      <c r="S82" t="s">
        <v>320</v>
      </c>
      <c r="T82" t="s">
        <v>321</v>
      </c>
      <c r="U82" t="s">
        <v>66</v>
      </c>
      <c r="V82" t="s">
        <v>322</v>
      </c>
      <c r="W82" t="s">
        <v>66</v>
      </c>
      <c r="X82">
        <v>1201200</v>
      </c>
      <c r="Y82">
        <v>132132</v>
      </c>
      <c r="Z82">
        <v>172800</v>
      </c>
      <c r="AA82">
        <v>19008</v>
      </c>
      <c r="AB82">
        <v>1333332</v>
      </c>
      <c r="AC82">
        <v>1</v>
      </c>
      <c r="AD82" t="s">
        <v>134</v>
      </c>
      <c r="AE82">
        <v>12</v>
      </c>
      <c r="AF82" t="s">
        <v>141</v>
      </c>
      <c r="AG82">
        <f>IFERROR(VLOOKUP(AF82,[1]STOK!J:O,6,0),"")</f>
        <v>12</v>
      </c>
      <c r="AH82" s="2">
        <f t="shared" si="2"/>
        <v>1</v>
      </c>
      <c r="AI82" t="s">
        <v>141</v>
      </c>
      <c r="AJ82" t="s">
        <v>142</v>
      </c>
      <c r="AK82" t="s">
        <v>143</v>
      </c>
      <c r="AL82" t="s">
        <v>86</v>
      </c>
      <c r="AM82">
        <v>191808</v>
      </c>
      <c r="AN82">
        <f t="shared" si="3"/>
        <v>191808</v>
      </c>
      <c r="AO82" t="s">
        <v>66</v>
      </c>
      <c r="AP82">
        <v>0</v>
      </c>
      <c r="AQ82" t="s">
        <v>66</v>
      </c>
      <c r="AR82">
        <v>0</v>
      </c>
      <c r="AS82" t="s">
        <v>66</v>
      </c>
      <c r="AT82">
        <v>0</v>
      </c>
      <c r="AU82" t="s">
        <v>66</v>
      </c>
      <c r="AV82">
        <v>0</v>
      </c>
      <c r="AW82" t="s">
        <v>66</v>
      </c>
      <c r="AX82">
        <v>0</v>
      </c>
      <c r="AY82" t="s">
        <v>66</v>
      </c>
      <c r="AZ82">
        <v>0</v>
      </c>
      <c r="BA82" t="s">
        <v>66</v>
      </c>
      <c r="BB82">
        <v>0</v>
      </c>
      <c r="BC82">
        <v>0</v>
      </c>
      <c r="BD82">
        <v>191808</v>
      </c>
      <c r="BE82">
        <v>12915.05</v>
      </c>
      <c r="BF82">
        <v>0</v>
      </c>
      <c r="BG82" t="s">
        <v>87</v>
      </c>
      <c r="BH82" t="s">
        <v>66</v>
      </c>
      <c r="BI82">
        <v>0</v>
      </c>
      <c r="BJ82" t="s">
        <v>66</v>
      </c>
      <c r="BK82" t="s">
        <v>88</v>
      </c>
      <c r="BL82" t="s">
        <v>66</v>
      </c>
      <c r="BM82" t="s">
        <v>89</v>
      </c>
    </row>
    <row r="83" spans="1:65" x14ac:dyDescent="0.25">
      <c r="A83">
        <v>81</v>
      </c>
      <c r="B83" t="s">
        <v>315</v>
      </c>
      <c r="C83" t="s">
        <v>66</v>
      </c>
      <c r="D83" s="1">
        <v>46217</v>
      </c>
      <c r="E83" t="s">
        <v>316</v>
      </c>
      <c r="F83" t="s">
        <v>68</v>
      </c>
      <c r="G83" t="s">
        <v>295</v>
      </c>
      <c r="H83" t="s">
        <v>296</v>
      </c>
      <c r="I83" t="s">
        <v>71</v>
      </c>
      <c r="J83" t="s">
        <v>72</v>
      </c>
      <c r="K83" t="s">
        <v>73</v>
      </c>
      <c r="L83" t="s">
        <v>74</v>
      </c>
      <c r="M83" t="s">
        <v>317</v>
      </c>
      <c r="N83" t="s">
        <v>111</v>
      </c>
      <c r="O83" t="s">
        <v>318</v>
      </c>
      <c r="P83" t="s">
        <v>319</v>
      </c>
      <c r="Q83" t="s">
        <v>66</v>
      </c>
      <c r="R83" s="1">
        <v>46217</v>
      </c>
      <c r="S83" t="s">
        <v>320</v>
      </c>
      <c r="T83" t="s">
        <v>321</v>
      </c>
      <c r="U83" t="s">
        <v>66</v>
      </c>
      <c r="V83" t="s">
        <v>322</v>
      </c>
      <c r="W83" t="s">
        <v>66</v>
      </c>
      <c r="X83">
        <v>1201200</v>
      </c>
      <c r="Y83">
        <v>132132</v>
      </c>
      <c r="Z83">
        <v>172800</v>
      </c>
      <c r="AA83">
        <v>19008</v>
      </c>
      <c r="AB83">
        <v>1333332</v>
      </c>
      <c r="AC83">
        <v>1</v>
      </c>
      <c r="AD83" t="s">
        <v>134</v>
      </c>
      <c r="AE83">
        <v>12</v>
      </c>
      <c r="AF83" t="s">
        <v>213</v>
      </c>
      <c r="AG83">
        <f>IFERROR(VLOOKUP(AF83,[1]STOK!J:O,6,0),"")</f>
        <v>12</v>
      </c>
      <c r="AH83" s="2">
        <f t="shared" si="2"/>
        <v>1</v>
      </c>
      <c r="AI83" t="s">
        <v>213</v>
      </c>
      <c r="AJ83" t="s">
        <v>214</v>
      </c>
      <c r="AK83" t="s">
        <v>215</v>
      </c>
      <c r="AL83" t="s">
        <v>86</v>
      </c>
      <c r="AM83">
        <v>191808</v>
      </c>
      <c r="AN83">
        <f t="shared" si="3"/>
        <v>191808</v>
      </c>
      <c r="AO83" t="s">
        <v>66</v>
      </c>
      <c r="AP83">
        <v>0</v>
      </c>
      <c r="AQ83" t="s">
        <v>66</v>
      </c>
      <c r="AR83">
        <v>0</v>
      </c>
      <c r="AS83" t="s">
        <v>66</v>
      </c>
      <c r="AT83">
        <v>0</v>
      </c>
      <c r="AU83" t="s">
        <v>66</v>
      </c>
      <c r="AV83">
        <v>0</v>
      </c>
      <c r="AW83" t="s">
        <v>66</v>
      </c>
      <c r="AX83">
        <v>0</v>
      </c>
      <c r="AY83" t="s">
        <v>66</v>
      </c>
      <c r="AZ83">
        <v>0</v>
      </c>
      <c r="BA83" t="s">
        <v>66</v>
      </c>
      <c r="BB83">
        <v>0</v>
      </c>
      <c r="BC83">
        <v>0</v>
      </c>
      <c r="BD83">
        <v>191808</v>
      </c>
      <c r="BE83">
        <v>12609.82</v>
      </c>
      <c r="BF83">
        <v>0</v>
      </c>
      <c r="BG83" t="s">
        <v>87</v>
      </c>
      <c r="BH83" t="s">
        <v>66</v>
      </c>
      <c r="BI83">
        <v>0</v>
      </c>
      <c r="BJ83" t="s">
        <v>66</v>
      </c>
      <c r="BK83" t="s">
        <v>88</v>
      </c>
      <c r="BL83" t="s">
        <v>66</v>
      </c>
      <c r="BM83" t="s">
        <v>89</v>
      </c>
    </row>
    <row r="84" spans="1:65" x14ac:dyDescent="0.25">
      <c r="A84">
        <v>82</v>
      </c>
      <c r="B84" t="s">
        <v>326</v>
      </c>
      <c r="C84" t="s">
        <v>68</v>
      </c>
      <c r="D84" s="1">
        <v>46219</v>
      </c>
      <c r="E84" t="s">
        <v>327</v>
      </c>
      <c r="F84" t="s">
        <v>68</v>
      </c>
      <c r="G84" t="s">
        <v>69</v>
      </c>
      <c r="H84" t="s">
        <v>70</v>
      </c>
      <c r="I84" t="s">
        <v>71</v>
      </c>
      <c r="J84" t="s">
        <v>72</v>
      </c>
      <c r="K84" t="s">
        <v>73</v>
      </c>
      <c r="L84" t="s">
        <v>74</v>
      </c>
      <c r="M84" t="s">
        <v>328</v>
      </c>
      <c r="N84" t="s">
        <v>111</v>
      </c>
      <c r="O84" t="s">
        <v>329</v>
      </c>
      <c r="P84" t="s">
        <v>330</v>
      </c>
      <c r="Q84" t="s">
        <v>66</v>
      </c>
      <c r="R84" s="1">
        <v>46219</v>
      </c>
      <c r="S84" t="s">
        <v>331</v>
      </c>
      <c r="T84" t="s">
        <v>332</v>
      </c>
      <c r="U84" t="s">
        <v>66</v>
      </c>
      <c r="V84" t="s">
        <v>333</v>
      </c>
      <c r="W84" t="s">
        <v>66</v>
      </c>
      <c r="X84">
        <v>153000</v>
      </c>
      <c r="Y84">
        <v>16830</v>
      </c>
      <c r="Z84">
        <v>33000</v>
      </c>
      <c r="AA84">
        <v>3630</v>
      </c>
      <c r="AB84">
        <v>169830</v>
      </c>
      <c r="AC84">
        <v>2</v>
      </c>
      <c r="AD84" t="s">
        <v>82</v>
      </c>
      <c r="AE84">
        <v>2</v>
      </c>
      <c r="AF84" t="s">
        <v>99</v>
      </c>
      <c r="AG84">
        <f>IFERROR(VLOOKUP(AF84,[1]STOK!J:O,6,0),"")</f>
        <v>24</v>
      </c>
      <c r="AH84" s="2">
        <f t="shared" si="2"/>
        <v>8.3333333333333329E-2</v>
      </c>
      <c r="AI84" t="s">
        <v>99</v>
      </c>
      <c r="AJ84" t="s">
        <v>100</v>
      </c>
      <c r="AK84" t="s">
        <v>101</v>
      </c>
      <c r="AL84" t="s">
        <v>86</v>
      </c>
      <c r="AM84">
        <v>18315</v>
      </c>
      <c r="AN84">
        <f t="shared" si="3"/>
        <v>18315</v>
      </c>
      <c r="AO84" t="s">
        <v>66</v>
      </c>
      <c r="AP84">
        <v>0</v>
      </c>
      <c r="AQ84" t="s">
        <v>66</v>
      </c>
      <c r="AR84">
        <v>0</v>
      </c>
      <c r="AS84" t="s">
        <v>66</v>
      </c>
      <c r="AT84">
        <v>0</v>
      </c>
      <c r="AU84" t="s">
        <v>66</v>
      </c>
      <c r="AV84">
        <v>0</v>
      </c>
      <c r="AW84" t="s">
        <v>66</v>
      </c>
      <c r="AX84">
        <v>0</v>
      </c>
      <c r="AY84" t="s">
        <v>66</v>
      </c>
      <c r="AZ84">
        <v>0</v>
      </c>
      <c r="BA84" t="s">
        <v>66</v>
      </c>
      <c r="BB84">
        <v>0</v>
      </c>
      <c r="BC84">
        <v>0</v>
      </c>
      <c r="BD84">
        <v>36630</v>
      </c>
      <c r="BE84">
        <v>14924.93</v>
      </c>
      <c r="BF84">
        <v>0</v>
      </c>
      <c r="BG84" t="s">
        <v>87</v>
      </c>
      <c r="BH84" t="s">
        <v>66</v>
      </c>
      <c r="BI84">
        <v>0</v>
      </c>
      <c r="BJ84" t="s">
        <v>66</v>
      </c>
      <c r="BK84" t="s">
        <v>88</v>
      </c>
      <c r="BL84" t="s">
        <v>66</v>
      </c>
      <c r="BM84" t="s">
        <v>334</v>
      </c>
    </row>
    <row r="85" spans="1:65" x14ac:dyDescent="0.25">
      <c r="A85">
        <v>83</v>
      </c>
      <c r="B85" t="s">
        <v>326</v>
      </c>
      <c r="C85" t="s">
        <v>68</v>
      </c>
      <c r="D85" s="1">
        <v>46219</v>
      </c>
      <c r="E85" t="s">
        <v>327</v>
      </c>
      <c r="F85" t="s">
        <v>68</v>
      </c>
      <c r="G85" t="s">
        <v>69</v>
      </c>
      <c r="H85" t="s">
        <v>70</v>
      </c>
      <c r="I85" t="s">
        <v>71</v>
      </c>
      <c r="J85" t="s">
        <v>72</v>
      </c>
      <c r="K85" t="s">
        <v>73</v>
      </c>
      <c r="L85" t="s">
        <v>74</v>
      </c>
      <c r="M85" t="s">
        <v>328</v>
      </c>
      <c r="N85" t="s">
        <v>111</v>
      </c>
      <c r="O85" t="s">
        <v>329</v>
      </c>
      <c r="P85" t="s">
        <v>330</v>
      </c>
      <c r="Q85" t="s">
        <v>66</v>
      </c>
      <c r="R85" s="1">
        <v>46219</v>
      </c>
      <c r="S85" t="s">
        <v>331</v>
      </c>
      <c r="T85" t="s">
        <v>332</v>
      </c>
      <c r="U85" t="s">
        <v>66</v>
      </c>
      <c r="V85" t="s">
        <v>333</v>
      </c>
      <c r="W85" t="s">
        <v>66</v>
      </c>
      <c r="X85">
        <v>153000</v>
      </c>
      <c r="Y85">
        <v>16830</v>
      </c>
      <c r="Z85">
        <v>60000</v>
      </c>
      <c r="AA85">
        <v>6600</v>
      </c>
      <c r="AB85">
        <v>169830</v>
      </c>
      <c r="AC85">
        <v>3</v>
      </c>
      <c r="AD85" t="s">
        <v>82</v>
      </c>
      <c r="AE85">
        <v>3</v>
      </c>
      <c r="AF85" t="s">
        <v>290</v>
      </c>
      <c r="AG85">
        <f>IFERROR(VLOOKUP(AF85,[1]STOK!J:O,6,0),"")</f>
        <v>12</v>
      </c>
      <c r="AH85" s="2">
        <f t="shared" si="2"/>
        <v>0.25</v>
      </c>
      <c r="AI85" t="s">
        <v>290</v>
      </c>
      <c r="AJ85" t="s">
        <v>291</v>
      </c>
      <c r="AK85" t="s">
        <v>292</v>
      </c>
      <c r="AL85" t="s">
        <v>86</v>
      </c>
      <c r="AM85">
        <v>22200</v>
      </c>
      <c r="AN85">
        <f t="shared" si="3"/>
        <v>22200</v>
      </c>
      <c r="AO85" t="s">
        <v>66</v>
      </c>
      <c r="AP85">
        <v>0</v>
      </c>
      <c r="AQ85" t="s">
        <v>66</v>
      </c>
      <c r="AR85">
        <v>0</v>
      </c>
      <c r="AS85" t="s">
        <v>66</v>
      </c>
      <c r="AT85">
        <v>0</v>
      </c>
      <c r="AU85" t="s">
        <v>66</v>
      </c>
      <c r="AV85">
        <v>0</v>
      </c>
      <c r="AW85" t="s">
        <v>66</v>
      </c>
      <c r="AX85">
        <v>0</v>
      </c>
      <c r="AY85" t="s">
        <v>66</v>
      </c>
      <c r="AZ85">
        <v>0</v>
      </c>
      <c r="BA85" t="s">
        <v>66</v>
      </c>
      <c r="BB85">
        <v>0</v>
      </c>
      <c r="BC85">
        <v>0</v>
      </c>
      <c r="BD85">
        <v>66600</v>
      </c>
      <c r="BE85">
        <v>18155.62</v>
      </c>
      <c r="BF85">
        <v>0</v>
      </c>
      <c r="BG85" t="s">
        <v>87</v>
      </c>
      <c r="BH85" t="s">
        <v>66</v>
      </c>
      <c r="BI85">
        <v>0</v>
      </c>
      <c r="BJ85" t="s">
        <v>66</v>
      </c>
      <c r="BK85" t="s">
        <v>88</v>
      </c>
      <c r="BL85" t="s">
        <v>66</v>
      </c>
      <c r="BM85" t="s">
        <v>334</v>
      </c>
    </row>
    <row r="86" spans="1:65" x14ac:dyDescent="0.25">
      <c r="A86">
        <v>84</v>
      </c>
      <c r="B86" t="s">
        <v>326</v>
      </c>
      <c r="C86" t="s">
        <v>68</v>
      </c>
      <c r="D86" s="1">
        <v>46219</v>
      </c>
      <c r="E86" t="s">
        <v>327</v>
      </c>
      <c r="F86" t="s">
        <v>68</v>
      </c>
      <c r="G86" t="s">
        <v>69</v>
      </c>
      <c r="H86" t="s">
        <v>70</v>
      </c>
      <c r="I86" t="s">
        <v>71</v>
      </c>
      <c r="J86" t="s">
        <v>72</v>
      </c>
      <c r="K86" t="s">
        <v>73</v>
      </c>
      <c r="L86" t="s">
        <v>74</v>
      </c>
      <c r="M86" t="s">
        <v>328</v>
      </c>
      <c r="N86" t="s">
        <v>111</v>
      </c>
      <c r="O86" t="s">
        <v>329</v>
      </c>
      <c r="P86" t="s">
        <v>330</v>
      </c>
      <c r="Q86" t="s">
        <v>66</v>
      </c>
      <c r="R86" s="1">
        <v>46219</v>
      </c>
      <c r="S86" t="s">
        <v>331</v>
      </c>
      <c r="T86" t="s">
        <v>332</v>
      </c>
      <c r="U86" t="s">
        <v>66</v>
      </c>
      <c r="V86" t="s">
        <v>333</v>
      </c>
      <c r="W86" t="s">
        <v>66</v>
      </c>
      <c r="X86">
        <v>153000</v>
      </c>
      <c r="Y86">
        <v>16830</v>
      </c>
      <c r="Z86">
        <v>60000</v>
      </c>
      <c r="AA86">
        <v>6600</v>
      </c>
      <c r="AB86">
        <v>169830</v>
      </c>
      <c r="AC86">
        <v>3</v>
      </c>
      <c r="AD86" t="s">
        <v>82</v>
      </c>
      <c r="AE86">
        <v>3</v>
      </c>
      <c r="AF86" t="s">
        <v>102</v>
      </c>
      <c r="AG86">
        <f>IFERROR(VLOOKUP(AF86,[1]STOK!J:O,6,0),"")</f>
        <v>12</v>
      </c>
      <c r="AH86" s="2">
        <f t="shared" si="2"/>
        <v>0.25</v>
      </c>
      <c r="AI86" t="s">
        <v>102</v>
      </c>
      <c r="AJ86" t="s">
        <v>103</v>
      </c>
      <c r="AK86" t="s">
        <v>104</v>
      </c>
      <c r="AL86" t="s">
        <v>86</v>
      </c>
      <c r="AM86">
        <v>22200</v>
      </c>
      <c r="AN86">
        <f t="shared" si="3"/>
        <v>22200</v>
      </c>
      <c r="AO86" t="s">
        <v>66</v>
      </c>
      <c r="AP86">
        <v>0</v>
      </c>
      <c r="AQ86" t="s">
        <v>66</v>
      </c>
      <c r="AR86">
        <v>0</v>
      </c>
      <c r="AS86" t="s">
        <v>66</v>
      </c>
      <c r="AT86">
        <v>0</v>
      </c>
      <c r="AU86" t="s">
        <v>66</v>
      </c>
      <c r="AV86">
        <v>0</v>
      </c>
      <c r="AW86" t="s">
        <v>66</v>
      </c>
      <c r="AX86">
        <v>0</v>
      </c>
      <c r="AY86" t="s">
        <v>66</v>
      </c>
      <c r="AZ86">
        <v>0</v>
      </c>
      <c r="BA86" t="s">
        <v>66</v>
      </c>
      <c r="BB86">
        <v>0</v>
      </c>
      <c r="BC86">
        <v>0</v>
      </c>
      <c r="BD86">
        <v>66600</v>
      </c>
      <c r="BE86">
        <v>17828.62</v>
      </c>
      <c r="BF86">
        <v>0</v>
      </c>
      <c r="BG86" t="s">
        <v>87</v>
      </c>
      <c r="BH86" t="s">
        <v>66</v>
      </c>
      <c r="BI86">
        <v>0</v>
      </c>
      <c r="BJ86" t="s">
        <v>66</v>
      </c>
      <c r="BK86" t="s">
        <v>88</v>
      </c>
      <c r="BL86" t="s">
        <v>66</v>
      </c>
      <c r="BM86" t="s">
        <v>334</v>
      </c>
    </row>
    <row r="87" spans="1:65" x14ac:dyDescent="0.25">
      <c r="A87">
        <v>85</v>
      </c>
      <c r="B87" t="s">
        <v>335</v>
      </c>
      <c r="C87" t="s">
        <v>68</v>
      </c>
      <c r="D87" s="1">
        <v>46219</v>
      </c>
      <c r="E87" t="s">
        <v>336</v>
      </c>
      <c r="F87" t="s">
        <v>68</v>
      </c>
      <c r="G87" t="s">
        <v>69</v>
      </c>
      <c r="H87" t="s">
        <v>70</v>
      </c>
      <c r="I87" t="s">
        <v>71</v>
      </c>
      <c r="J87" t="s">
        <v>72</v>
      </c>
      <c r="K87" t="s">
        <v>73</v>
      </c>
      <c r="L87" t="s">
        <v>74</v>
      </c>
      <c r="M87" t="s">
        <v>337</v>
      </c>
      <c r="N87" t="s">
        <v>111</v>
      </c>
      <c r="O87" t="s">
        <v>338</v>
      </c>
      <c r="P87" t="s">
        <v>339</v>
      </c>
      <c r="Q87" t="s">
        <v>66</v>
      </c>
      <c r="R87" s="1">
        <v>46219</v>
      </c>
      <c r="S87" t="s">
        <v>338</v>
      </c>
      <c r="T87" t="s">
        <v>339</v>
      </c>
      <c r="U87" t="s">
        <v>66</v>
      </c>
      <c r="V87" t="s">
        <v>340</v>
      </c>
      <c r="W87" t="s">
        <v>66</v>
      </c>
      <c r="X87">
        <v>651625.5</v>
      </c>
      <c r="Y87">
        <v>71678.81</v>
      </c>
      <c r="Z87">
        <v>14925</v>
      </c>
      <c r="AA87">
        <v>1641.75</v>
      </c>
      <c r="AB87">
        <v>723304.31</v>
      </c>
      <c r="AC87">
        <v>6</v>
      </c>
      <c r="AD87" t="s">
        <v>82</v>
      </c>
      <c r="AE87">
        <v>6</v>
      </c>
      <c r="AF87" t="s">
        <v>163</v>
      </c>
      <c r="AG87">
        <f>IFERROR(VLOOKUP(AF87,[1]STOK!J:O,6,0),"")</f>
        <v>72</v>
      </c>
      <c r="AH87" s="2">
        <f t="shared" si="2"/>
        <v>8.3333333333333329E-2</v>
      </c>
      <c r="AI87" t="s">
        <v>163</v>
      </c>
      <c r="AJ87" t="s">
        <v>164</v>
      </c>
      <c r="AK87" t="s">
        <v>165</v>
      </c>
      <c r="AL87" t="s">
        <v>86</v>
      </c>
      <c r="AM87">
        <v>2775</v>
      </c>
      <c r="AN87">
        <f t="shared" si="3"/>
        <v>2761.125</v>
      </c>
      <c r="AO87" t="s">
        <v>66</v>
      </c>
      <c r="AP87">
        <v>0.5</v>
      </c>
      <c r="AQ87" t="s">
        <v>66</v>
      </c>
      <c r="AR87">
        <v>0</v>
      </c>
      <c r="AS87" t="s">
        <v>66</v>
      </c>
      <c r="AT87">
        <v>0</v>
      </c>
      <c r="AU87" t="s">
        <v>66</v>
      </c>
      <c r="AV87">
        <v>0</v>
      </c>
      <c r="AW87" t="s">
        <v>66</v>
      </c>
      <c r="AX87">
        <v>0</v>
      </c>
      <c r="AY87" t="s">
        <v>66</v>
      </c>
      <c r="AZ87">
        <v>0</v>
      </c>
      <c r="BA87" t="s">
        <v>66</v>
      </c>
      <c r="BB87">
        <v>0</v>
      </c>
      <c r="BC87">
        <v>0</v>
      </c>
      <c r="BD87">
        <v>16566.75</v>
      </c>
      <c r="BE87">
        <v>2148.17</v>
      </c>
      <c r="BF87">
        <v>0</v>
      </c>
      <c r="BG87" t="s">
        <v>87</v>
      </c>
      <c r="BH87" t="s">
        <v>66</v>
      </c>
      <c r="BI87">
        <v>0</v>
      </c>
      <c r="BJ87" t="s">
        <v>66</v>
      </c>
      <c r="BK87" t="s">
        <v>88</v>
      </c>
      <c r="BL87" t="s">
        <v>66</v>
      </c>
      <c r="BM87" t="s">
        <v>89</v>
      </c>
    </row>
    <row r="88" spans="1:65" x14ac:dyDescent="0.25">
      <c r="A88">
        <v>86</v>
      </c>
      <c r="B88" t="s">
        <v>335</v>
      </c>
      <c r="C88" t="s">
        <v>68</v>
      </c>
      <c r="D88" s="1">
        <v>46219</v>
      </c>
      <c r="E88" t="s">
        <v>336</v>
      </c>
      <c r="F88" t="s">
        <v>68</v>
      </c>
      <c r="G88" t="s">
        <v>69</v>
      </c>
      <c r="H88" t="s">
        <v>70</v>
      </c>
      <c r="I88" t="s">
        <v>71</v>
      </c>
      <c r="J88" t="s">
        <v>72</v>
      </c>
      <c r="K88" t="s">
        <v>73</v>
      </c>
      <c r="L88" t="s">
        <v>74</v>
      </c>
      <c r="M88" t="s">
        <v>337</v>
      </c>
      <c r="N88" t="s">
        <v>111</v>
      </c>
      <c r="O88" t="s">
        <v>338</v>
      </c>
      <c r="P88" t="s">
        <v>339</v>
      </c>
      <c r="Q88" t="s">
        <v>66</v>
      </c>
      <c r="R88" s="1">
        <v>46219</v>
      </c>
      <c r="S88" t="s">
        <v>338</v>
      </c>
      <c r="T88" t="s">
        <v>339</v>
      </c>
      <c r="U88" t="s">
        <v>66</v>
      </c>
      <c r="V88" t="s">
        <v>340</v>
      </c>
      <c r="W88" t="s">
        <v>66</v>
      </c>
      <c r="X88">
        <v>651625.5</v>
      </c>
      <c r="Y88">
        <v>71678.81</v>
      </c>
      <c r="Z88">
        <v>14925</v>
      </c>
      <c r="AA88">
        <v>1641.75</v>
      </c>
      <c r="AB88">
        <v>723304.31</v>
      </c>
      <c r="AC88">
        <v>6</v>
      </c>
      <c r="AD88" t="s">
        <v>82</v>
      </c>
      <c r="AE88">
        <v>6</v>
      </c>
      <c r="AF88" t="s">
        <v>185</v>
      </c>
      <c r="AG88">
        <f>IFERROR(VLOOKUP(AF88,[1]STOK!J:O,6,0),"")</f>
        <v>72</v>
      </c>
      <c r="AH88" s="2">
        <f t="shared" si="2"/>
        <v>8.3333333333333329E-2</v>
      </c>
      <c r="AI88" t="s">
        <v>185</v>
      </c>
      <c r="AJ88" t="s">
        <v>186</v>
      </c>
      <c r="AK88" t="s">
        <v>187</v>
      </c>
      <c r="AL88" t="s">
        <v>86</v>
      </c>
      <c r="AM88">
        <v>2775</v>
      </c>
      <c r="AN88">
        <f t="shared" si="3"/>
        <v>2761.125</v>
      </c>
      <c r="AO88" t="s">
        <v>66</v>
      </c>
      <c r="AP88">
        <v>0.5</v>
      </c>
      <c r="AQ88" t="s">
        <v>66</v>
      </c>
      <c r="AR88">
        <v>0</v>
      </c>
      <c r="AS88" t="s">
        <v>66</v>
      </c>
      <c r="AT88">
        <v>0</v>
      </c>
      <c r="AU88" t="s">
        <v>66</v>
      </c>
      <c r="AV88">
        <v>0</v>
      </c>
      <c r="AW88" t="s">
        <v>66</v>
      </c>
      <c r="AX88">
        <v>0</v>
      </c>
      <c r="AY88" t="s">
        <v>66</v>
      </c>
      <c r="AZ88">
        <v>0</v>
      </c>
      <c r="BA88" t="s">
        <v>66</v>
      </c>
      <c r="BB88">
        <v>0</v>
      </c>
      <c r="BC88">
        <v>0</v>
      </c>
      <c r="BD88">
        <v>16566.75</v>
      </c>
      <c r="BE88">
        <v>2170.21</v>
      </c>
      <c r="BF88">
        <v>0</v>
      </c>
      <c r="BG88" t="s">
        <v>87</v>
      </c>
      <c r="BH88" t="s">
        <v>66</v>
      </c>
      <c r="BI88">
        <v>0</v>
      </c>
      <c r="BJ88" t="s">
        <v>66</v>
      </c>
      <c r="BK88" t="s">
        <v>88</v>
      </c>
      <c r="BL88" t="s">
        <v>66</v>
      </c>
      <c r="BM88" t="s">
        <v>89</v>
      </c>
    </row>
    <row r="89" spans="1:65" x14ac:dyDescent="0.25">
      <c r="A89">
        <v>87</v>
      </c>
      <c r="B89" t="s">
        <v>335</v>
      </c>
      <c r="C89" t="s">
        <v>68</v>
      </c>
      <c r="D89" s="1">
        <v>46219</v>
      </c>
      <c r="E89" t="s">
        <v>336</v>
      </c>
      <c r="F89" t="s">
        <v>68</v>
      </c>
      <c r="G89" t="s">
        <v>69</v>
      </c>
      <c r="H89" t="s">
        <v>70</v>
      </c>
      <c r="I89" t="s">
        <v>71</v>
      </c>
      <c r="J89" t="s">
        <v>72</v>
      </c>
      <c r="K89" t="s">
        <v>73</v>
      </c>
      <c r="L89" t="s">
        <v>74</v>
      </c>
      <c r="M89" t="s">
        <v>337</v>
      </c>
      <c r="N89" t="s">
        <v>111</v>
      </c>
      <c r="O89" t="s">
        <v>338</v>
      </c>
      <c r="P89" t="s">
        <v>339</v>
      </c>
      <c r="Q89" t="s">
        <v>66</v>
      </c>
      <c r="R89" s="1">
        <v>46219</v>
      </c>
      <c r="S89" t="s">
        <v>338</v>
      </c>
      <c r="T89" t="s">
        <v>339</v>
      </c>
      <c r="U89" t="s">
        <v>66</v>
      </c>
      <c r="V89" t="s">
        <v>340</v>
      </c>
      <c r="W89" t="s">
        <v>66</v>
      </c>
      <c r="X89">
        <v>651625.5</v>
      </c>
      <c r="Y89">
        <v>71678.81</v>
      </c>
      <c r="Z89">
        <v>14925</v>
      </c>
      <c r="AA89">
        <v>1641.75</v>
      </c>
      <c r="AB89">
        <v>723304.31</v>
      </c>
      <c r="AC89">
        <v>6</v>
      </c>
      <c r="AD89" t="s">
        <v>82</v>
      </c>
      <c r="AE89">
        <v>6</v>
      </c>
      <c r="AF89" t="s">
        <v>341</v>
      </c>
      <c r="AG89">
        <f>IFERROR(VLOOKUP(AF89,[1]STOK!J:O,6,0),"")</f>
        <v>72</v>
      </c>
      <c r="AH89" s="2">
        <f t="shared" si="2"/>
        <v>8.3333333333333329E-2</v>
      </c>
      <c r="AI89" t="s">
        <v>341</v>
      </c>
      <c r="AJ89" t="s">
        <v>342</v>
      </c>
      <c r="AK89" t="s">
        <v>343</v>
      </c>
      <c r="AL89" t="s">
        <v>86</v>
      </c>
      <c r="AM89">
        <v>2775</v>
      </c>
      <c r="AN89">
        <f t="shared" si="3"/>
        <v>2761.125</v>
      </c>
      <c r="AO89" t="s">
        <v>66</v>
      </c>
      <c r="AP89">
        <v>0.5</v>
      </c>
      <c r="AQ89" t="s">
        <v>66</v>
      </c>
      <c r="AR89">
        <v>0</v>
      </c>
      <c r="AS89" t="s">
        <v>66</v>
      </c>
      <c r="AT89">
        <v>0</v>
      </c>
      <c r="AU89" t="s">
        <v>66</v>
      </c>
      <c r="AV89">
        <v>0</v>
      </c>
      <c r="AW89" t="s">
        <v>66</v>
      </c>
      <c r="AX89">
        <v>0</v>
      </c>
      <c r="AY89" t="s">
        <v>66</v>
      </c>
      <c r="AZ89">
        <v>0</v>
      </c>
      <c r="BA89" t="s">
        <v>66</v>
      </c>
      <c r="BB89">
        <v>0</v>
      </c>
      <c r="BC89">
        <v>0</v>
      </c>
      <c r="BD89">
        <v>16566.75</v>
      </c>
      <c r="BE89">
        <v>2206.12</v>
      </c>
      <c r="BF89">
        <v>0</v>
      </c>
      <c r="BG89" t="s">
        <v>87</v>
      </c>
      <c r="BH89" t="s">
        <v>66</v>
      </c>
      <c r="BI89">
        <v>0</v>
      </c>
      <c r="BJ89" t="s">
        <v>66</v>
      </c>
      <c r="BK89" t="s">
        <v>88</v>
      </c>
      <c r="BL89" t="s">
        <v>66</v>
      </c>
      <c r="BM89" t="s">
        <v>89</v>
      </c>
    </row>
    <row r="90" spans="1:65" x14ac:dyDescent="0.25">
      <c r="A90">
        <v>88</v>
      </c>
      <c r="B90" t="s">
        <v>335</v>
      </c>
      <c r="C90" t="s">
        <v>68</v>
      </c>
      <c r="D90" s="1">
        <v>46219</v>
      </c>
      <c r="E90" t="s">
        <v>336</v>
      </c>
      <c r="F90" t="s">
        <v>68</v>
      </c>
      <c r="G90" t="s">
        <v>69</v>
      </c>
      <c r="H90" t="s">
        <v>70</v>
      </c>
      <c r="I90" t="s">
        <v>71</v>
      </c>
      <c r="J90" t="s">
        <v>72</v>
      </c>
      <c r="K90" t="s">
        <v>73</v>
      </c>
      <c r="L90" t="s">
        <v>74</v>
      </c>
      <c r="M90" t="s">
        <v>337</v>
      </c>
      <c r="N90" t="s">
        <v>111</v>
      </c>
      <c r="O90" t="s">
        <v>338</v>
      </c>
      <c r="P90" t="s">
        <v>339</v>
      </c>
      <c r="Q90" t="s">
        <v>66</v>
      </c>
      <c r="R90" s="1">
        <v>46219</v>
      </c>
      <c r="S90" t="s">
        <v>338</v>
      </c>
      <c r="T90" t="s">
        <v>339</v>
      </c>
      <c r="U90" t="s">
        <v>66</v>
      </c>
      <c r="V90" t="s">
        <v>340</v>
      </c>
      <c r="W90" t="s">
        <v>66</v>
      </c>
      <c r="X90">
        <v>651625.5</v>
      </c>
      <c r="Y90">
        <v>71678.81</v>
      </c>
      <c r="Z90">
        <v>44178</v>
      </c>
      <c r="AA90">
        <v>4859.58</v>
      </c>
      <c r="AB90">
        <v>723304.31</v>
      </c>
      <c r="AC90">
        <v>6</v>
      </c>
      <c r="AD90" t="s">
        <v>82</v>
      </c>
      <c r="AE90">
        <v>6</v>
      </c>
      <c r="AF90" t="s">
        <v>265</v>
      </c>
      <c r="AG90">
        <f>IFERROR(VLOOKUP(AF90,[1]STOK!J:O,6,0),"")</f>
        <v>24</v>
      </c>
      <c r="AH90" s="2">
        <f t="shared" si="2"/>
        <v>0.25</v>
      </c>
      <c r="AI90" t="s">
        <v>265</v>
      </c>
      <c r="AJ90" t="s">
        <v>266</v>
      </c>
      <c r="AK90" t="s">
        <v>267</v>
      </c>
      <c r="AL90" t="s">
        <v>86</v>
      </c>
      <c r="AM90">
        <v>8214</v>
      </c>
      <c r="AN90">
        <f t="shared" si="3"/>
        <v>8172.93</v>
      </c>
      <c r="AO90" t="s">
        <v>66</v>
      </c>
      <c r="AP90">
        <v>0.5</v>
      </c>
      <c r="AQ90" t="s">
        <v>66</v>
      </c>
      <c r="AR90">
        <v>0</v>
      </c>
      <c r="AS90" t="s">
        <v>66</v>
      </c>
      <c r="AT90">
        <v>0</v>
      </c>
      <c r="AU90" t="s">
        <v>66</v>
      </c>
      <c r="AV90">
        <v>0</v>
      </c>
      <c r="AW90" t="s">
        <v>66</v>
      </c>
      <c r="AX90">
        <v>0</v>
      </c>
      <c r="AY90" t="s">
        <v>66</v>
      </c>
      <c r="AZ90">
        <v>0</v>
      </c>
      <c r="BA90" t="s">
        <v>66</v>
      </c>
      <c r="BB90">
        <v>0</v>
      </c>
      <c r="BC90">
        <v>0</v>
      </c>
      <c r="BD90">
        <v>49037.58</v>
      </c>
      <c r="BE90">
        <v>6447.38</v>
      </c>
      <c r="BF90">
        <v>0</v>
      </c>
      <c r="BG90" t="s">
        <v>87</v>
      </c>
      <c r="BH90" t="s">
        <v>66</v>
      </c>
      <c r="BI90">
        <v>0</v>
      </c>
      <c r="BJ90" t="s">
        <v>66</v>
      </c>
      <c r="BK90" t="s">
        <v>88</v>
      </c>
      <c r="BL90" t="s">
        <v>66</v>
      </c>
      <c r="BM90" t="s">
        <v>89</v>
      </c>
    </row>
    <row r="91" spans="1:65" x14ac:dyDescent="0.25">
      <c r="A91">
        <v>89</v>
      </c>
      <c r="B91" t="s">
        <v>335</v>
      </c>
      <c r="C91" t="s">
        <v>68</v>
      </c>
      <c r="D91" s="1">
        <v>46219</v>
      </c>
      <c r="E91" t="s">
        <v>336</v>
      </c>
      <c r="F91" t="s">
        <v>68</v>
      </c>
      <c r="G91" t="s">
        <v>69</v>
      </c>
      <c r="H91" t="s">
        <v>70</v>
      </c>
      <c r="I91" t="s">
        <v>71</v>
      </c>
      <c r="J91" t="s">
        <v>72</v>
      </c>
      <c r="K91" t="s">
        <v>73</v>
      </c>
      <c r="L91" t="s">
        <v>74</v>
      </c>
      <c r="M91" t="s">
        <v>337</v>
      </c>
      <c r="N91" t="s">
        <v>111</v>
      </c>
      <c r="O91" t="s">
        <v>338</v>
      </c>
      <c r="P91" t="s">
        <v>339</v>
      </c>
      <c r="Q91" t="s">
        <v>66</v>
      </c>
      <c r="R91" s="1">
        <v>46219</v>
      </c>
      <c r="S91" t="s">
        <v>338</v>
      </c>
      <c r="T91" t="s">
        <v>339</v>
      </c>
      <c r="U91" t="s">
        <v>66</v>
      </c>
      <c r="V91" t="s">
        <v>340</v>
      </c>
      <c r="W91" t="s">
        <v>66</v>
      </c>
      <c r="X91">
        <v>651625.5</v>
      </c>
      <c r="Y91">
        <v>71678.81</v>
      </c>
      <c r="Z91">
        <v>47163</v>
      </c>
      <c r="AA91">
        <v>5187.93</v>
      </c>
      <c r="AB91">
        <v>723304.31</v>
      </c>
      <c r="AC91">
        <v>6</v>
      </c>
      <c r="AD91" t="s">
        <v>82</v>
      </c>
      <c r="AE91">
        <v>6</v>
      </c>
      <c r="AF91" t="s">
        <v>199</v>
      </c>
      <c r="AG91">
        <f>IFERROR(VLOOKUP(AF91,[1]STOK!J:O,6,0),"")</f>
        <v>24</v>
      </c>
      <c r="AH91" s="2">
        <f t="shared" si="2"/>
        <v>0.25</v>
      </c>
      <c r="AI91" t="s">
        <v>199</v>
      </c>
      <c r="AJ91" t="s">
        <v>200</v>
      </c>
      <c r="AK91" t="s">
        <v>201</v>
      </c>
      <c r="AL91" t="s">
        <v>86</v>
      </c>
      <c r="AM91">
        <v>8769</v>
      </c>
      <c r="AN91">
        <f t="shared" si="3"/>
        <v>8725.1550000000007</v>
      </c>
      <c r="AO91" t="s">
        <v>66</v>
      </c>
      <c r="AP91">
        <v>0.5</v>
      </c>
      <c r="AQ91" t="s">
        <v>66</v>
      </c>
      <c r="AR91">
        <v>0</v>
      </c>
      <c r="AS91" t="s">
        <v>66</v>
      </c>
      <c r="AT91">
        <v>0</v>
      </c>
      <c r="AU91" t="s">
        <v>66</v>
      </c>
      <c r="AV91">
        <v>0</v>
      </c>
      <c r="AW91" t="s">
        <v>66</v>
      </c>
      <c r="AX91">
        <v>0</v>
      </c>
      <c r="AY91" t="s">
        <v>66</v>
      </c>
      <c r="AZ91">
        <v>0</v>
      </c>
      <c r="BA91" t="s">
        <v>66</v>
      </c>
      <c r="BB91">
        <v>0</v>
      </c>
      <c r="BC91">
        <v>0</v>
      </c>
      <c r="BD91">
        <v>52350.93</v>
      </c>
      <c r="BE91">
        <v>6637.67</v>
      </c>
      <c r="BF91">
        <v>0</v>
      </c>
      <c r="BG91" t="s">
        <v>87</v>
      </c>
      <c r="BH91" t="s">
        <v>66</v>
      </c>
      <c r="BI91">
        <v>0</v>
      </c>
      <c r="BJ91" t="s">
        <v>66</v>
      </c>
      <c r="BK91" t="s">
        <v>88</v>
      </c>
      <c r="BL91" t="s">
        <v>66</v>
      </c>
      <c r="BM91" t="s">
        <v>89</v>
      </c>
    </row>
    <row r="92" spans="1:65" x14ac:dyDescent="0.25">
      <c r="A92">
        <v>90</v>
      </c>
      <c r="B92" t="s">
        <v>335</v>
      </c>
      <c r="C92" t="s">
        <v>68</v>
      </c>
      <c r="D92" s="1">
        <v>46219</v>
      </c>
      <c r="E92" t="s">
        <v>336</v>
      </c>
      <c r="F92" t="s">
        <v>68</v>
      </c>
      <c r="G92" t="s">
        <v>69</v>
      </c>
      <c r="H92" t="s">
        <v>70</v>
      </c>
      <c r="I92" t="s">
        <v>71</v>
      </c>
      <c r="J92" t="s">
        <v>72</v>
      </c>
      <c r="K92" t="s">
        <v>73</v>
      </c>
      <c r="L92" t="s">
        <v>74</v>
      </c>
      <c r="M92" t="s">
        <v>337</v>
      </c>
      <c r="N92" t="s">
        <v>111</v>
      </c>
      <c r="O92" t="s">
        <v>338</v>
      </c>
      <c r="P92" t="s">
        <v>339</v>
      </c>
      <c r="Q92" t="s">
        <v>66</v>
      </c>
      <c r="R92" s="1">
        <v>46219</v>
      </c>
      <c r="S92" t="s">
        <v>338</v>
      </c>
      <c r="T92" t="s">
        <v>339</v>
      </c>
      <c r="U92" t="s">
        <v>66</v>
      </c>
      <c r="V92" t="s">
        <v>340</v>
      </c>
      <c r="W92" t="s">
        <v>66</v>
      </c>
      <c r="X92">
        <v>651625.5</v>
      </c>
      <c r="Y92">
        <v>71678.81</v>
      </c>
      <c r="Z92">
        <v>47163</v>
      </c>
      <c r="AA92">
        <v>5187.93</v>
      </c>
      <c r="AB92">
        <v>723304.31</v>
      </c>
      <c r="AC92">
        <v>6</v>
      </c>
      <c r="AD92" t="s">
        <v>82</v>
      </c>
      <c r="AE92">
        <v>6</v>
      </c>
      <c r="AF92" t="s">
        <v>344</v>
      </c>
      <c r="AG92">
        <f>IFERROR(VLOOKUP(AF92,[1]STOK!J:O,6,0),"")</f>
        <v>24</v>
      </c>
      <c r="AH92" s="2">
        <f t="shared" si="2"/>
        <v>0.25</v>
      </c>
      <c r="AI92" t="s">
        <v>344</v>
      </c>
      <c r="AJ92" t="s">
        <v>345</v>
      </c>
      <c r="AK92" t="s">
        <v>346</v>
      </c>
      <c r="AL92" t="s">
        <v>86</v>
      </c>
      <c r="AM92">
        <v>8769</v>
      </c>
      <c r="AN92">
        <f t="shared" si="3"/>
        <v>8725.1550000000007</v>
      </c>
      <c r="AO92" t="s">
        <v>66</v>
      </c>
      <c r="AP92">
        <v>0.5</v>
      </c>
      <c r="AQ92" t="s">
        <v>66</v>
      </c>
      <c r="AR92">
        <v>0</v>
      </c>
      <c r="AS92" t="s">
        <v>66</v>
      </c>
      <c r="AT92">
        <v>0</v>
      </c>
      <c r="AU92" t="s">
        <v>66</v>
      </c>
      <c r="AV92">
        <v>0</v>
      </c>
      <c r="AW92" t="s">
        <v>66</v>
      </c>
      <c r="AX92">
        <v>0</v>
      </c>
      <c r="AY92" t="s">
        <v>66</v>
      </c>
      <c r="AZ92">
        <v>0</v>
      </c>
      <c r="BA92" t="s">
        <v>66</v>
      </c>
      <c r="BB92">
        <v>0</v>
      </c>
      <c r="BC92">
        <v>0</v>
      </c>
      <c r="BD92">
        <v>52350.93</v>
      </c>
      <c r="BE92">
        <v>6916.14</v>
      </c>
      <c r="BF92">
        <v>0</v>
      </c>
      <c r="BG92" t="s">
        <v>87</v>
      </c>
      <c r="BH92" t="s">
        <v>66</v>
      </c>
      <c r="BI92">
        <v>0</v>
      </c>
      <c r="BJ92" t="s">
        <v>66</v>
      </c>
      <c r="BK92" t="s">
        <v>88</v>
      </c>
      <c r="BL92" t="s">
        <v>66</v>
      </c>
      <c r="BM92" t="s">
        <v>89</v>
      </c>
    </row>
    <row r="93" spans="1:65" x14ac:dyDescent="0.25">
      <c r="A93">
        <v>91</v>
      </c>
      <c r="B93" t="s">
        <v>335</v>
      </c>
      <c r="C93" t="s">
        <v>68</v>
      </c>
      <c r="D93" s="1">
        <v>46219</v>
      </c>
      <c r="E93" t="s">
        <v>336</v>
      </c>
      <c r="F93" t="s">
        <v>68</v>
      </c>
      <c r="G93" t="s">
        <v>69</v>
      </c>
      <c r="H93" t="s">
        <v>70</v>
      </c>
      <c r="I93" t="s">
        <v>71</v>
      </c>
      <c r="J93" t="s">
        <v>72</v>
      </c>
      <c r="K93" t="s">
        <v>73</v>
      </c>
      <c r="L93" t="s">
        <v>74</v>
      </c>
      <c r="M93" t="s">
        <v>337</v>
      </c>
      <c r="N93" t="s">
        <v>111</v>
      </c>
      <c r="O93" t="s">
        <v>338</v>
      </c>
      <c r="P93" t="s">
        <v>339</v>
      </c>
      <c r="Q93" t="s">
        <v>66</v>
      </c>
      <c r="R93" s="1">
        <v>46219</v>
      </c>
      <c r="S93" t="s">
        <v>338</v>
      </c>
      <c r="T93" t="s">
        <v>339</v>
      </c>
      <c r="U93" t="s">
        <v>66</v>
      </c>
      <c r="V93" t="s">
        <v>340</v>
      </c>
      <c r="W93" t="s">
        <v>66</v>
      </c>
      <c r="X93">
        <v>651625.5</v>
      </c>
      <c r="Y93">
        <v>71678.81</v>
      </c>
      <c r="Z93">
        <v>60894</v>
      </c>
      <c r="AA93">
        <v>6698.34</v>
      </c>
      <c r="AB93">
        <v>723304.31</v>
      </c>
      <c r="AC93">
        <v>12</v>
      </c>
      <c r="AD93" t="s">
        <v>82</v>
      </c>
      <c r="AE93">
        <v>12</v>
      </c>
      <c r="AF93" t="s">
        <v>347</v>
      </c>
      <c r="AG93">
        <f>IFERROR(VLOOKUP(AF93,[1]STOK!J:O,6,0),"")</f>
        <v>48</v>
      </c>
      <c r="AH93" s="2">
        <f t="shared" si="2"/>
        <v>0.25</v>
      </c>
      <c r="AI93" t="s">
        <v>347</v>
      </c>
      <c r="AJ93" t="s">
        <v>348</v>
      </c>
      <c r="AK93" t="s">
        <v>349</v>
      </c>
      <c r="AL93" t="s">
        <v>86</v>
      </c>
      <c r="AM93">
        <v>5661</v>
      </c>
      <c r="AN93">
        <f t="shared" si="3"/>
        <v>5632.6949999999997</v>
      </c>
      <c r="AO93" t="s">
        <v>66</v>
      </c>
      <c r="AP93">
        <v>0.5</v>
      </c>
      <c r="AQ93" t="s">
        <v>66</v>
      </c>
      <c r="AR93">
        <v>0</v>
      </c>
      <c r="AS93" t="s">
        <v>66</v>
      </c>
      <c r="AT93">
        <v>0</v>
      </c>
      <c r="AU93" t="s">
        <v>66</v>
      </c>
      <c r="AV93">
        <v>0</v>
      </c>
      <c r="AW93" t="s">
        <v>66</v>
      </c>
      <c r="AX93">
        <v>0</v>
      </c>
      <c r="AY93" t="s">
        <v>66</v>
      </c>
      <c r="AZ93">
        <v>0</v>
      </c>
      <c r="BA93" t="s">
        <v>66</v>
      </c>
      <c r="BB93">
        <v>0</v>
      </c>
      <c r="BC93">
        <v>0</v>
      </c>
      <c r="BD93">
        <v>67592.34</v>
      </c>
      <c r="BE93">
        <v>4248.25</v>
      </c>
      <c r="BF93">
        <v>0</v>
      </c>
      <c r="BG93" t="s">
        <v>87</v>
      </c>
      <c r="BH93" t="s">
        <v>66</v>
      </c>
      <c r="BI93">
        <v>0</v>
      </c>
      <c r="BJ93" t="s">
        <v>66</v>
      </c>
      <c r="BK93" t="s">
        <v>88</v>
      </c>
      <c r="BL93" t="s">
        <v>66</v>
      </c>
      <c r="BM93" t="s">
        <v>89</v>
      </c>
    </row>
    <row r="94" spans="1:65" x14ac:dyDescent="0.25">
      <c r="A94">
        <v>92</v>
      </c>
      <c r="B94" t="s">
        <v>335</v>
      </c>
      <c r="C94" t="s">
        <v>68</v>
      </c>
      <c r="D94" s="1">
        <v>46219</v>
      </c>
      <c r="E94" t="s">
        <v>336</v>
      </c>
      <c r="F94" t="s">
        <v>68</v>
      </c>
      <c r="G94" t="s">
        <v>69</v>
      </c>
      <c r="H94" t="s">
        <v>70</v>
      </c>
      <c r="I94" t="s">
        <v>71</v>
      </c>
      <c r="J94" t="s">
        <v>72</v>
      </c>
      <c r="K94" t="s">
        <v>73</v>
      </c>
      <c r="L94" t="s">
        <v>74</v>
      </c>
      <c r="M94" t="s">
        <v>337</v>
      </c>
      <c r="N94" t="s">
        <v>111</v>
      </c>
      <c r="O94" t="s">
        <v>338</v>
      </c>
      <c r="P94" t="s">
        <v>339</v>
      </c>
      <c r="Q94" t="s">
        <v>66</v>
      </c>
      <c r="R94" s="1">
        <v>46219</v>
      </c>
      <c r="S94" t="s">
        <v>338</v>
      </c>
      <c r="T94" t="s">
        <v>339</v>
      </c>
      <c r="U94" t="s">
        <v>66</v>
      </c>
      <c r="V94" t="s">
        <v>340</v>
      </c>
      <c r="W94" t="s">
        <v>66</v>
      </c>
      <c r="X94">
        <v>651625.5</v>
      </c>
      <c r="Y94">
        <v>71678.81</v>
      </c>
      <c r="Z94">
        <v>34029</v>
      </c>
      <c r="AA94">
        <v>3743.19</v>
      </c>
      <c r="AB94">
        <v>723304.31</v>
      </c>
      <c r="AC94">
        <v>6</v>
      </c>
      <c r="AD94" t="s">
        <v>82</v>
      </c>
      <c r="AE94">
        <v>6</v>
      </c>
      <c r="AF94" t="s">
        <v>350</v>
      </c>
      <c r="AG94">
        <f>IFERROR(VLOOKUP(AF94,[1]STOK!J:O,6,0),"")</f>
        <v>48</v>
      </c>
      <c r="AH94" s="2">
        <f t="shared" si="2"/>
        <v>0.125</v>
      </c>
      <c r="AI94" t="s">
        <v>350</v>
      </c>
      <c r="AJ94" t="s">
        <v>351</v>
      </c>
      <c r="AK94" t="s">
        <v>352</v>
      </c>
      <c r="AL94" t="s">
        <v>86</v>
      </c>
      <c r="AM94">
        <v>6327</v>
      </c>
      <c r="AN94">
        <f t="shared" si="3"/>
        <v>6295.3650000000007</v>
      </c>
      <c r="AO94" t="s">
        <v>66</v>
      </c>
      <c r="AP94">
        <v>0.5</v>
      </c>
      <c r="AQ94" t="s">
        <v>66</v>
      </c>
      <c r="AR94">
        <v>0</v>
      </c>
      <c r="AS94" t="s">
        <v>66</v>
      </c>
      <c r="AT94">
        <v>0</v>
      </c>
      <c r="AU94" t="s">
        <v>66</v>
      </c>
      <c r="AV94">
        <v>0</v>
      </c>
      <c r="AW94" t="s">
        <v>66</v>
      </c>
      <c r="AX94">
        <v>0</v>
      </c>
      <c r="AY94" t="s">
        <v>66</v>
      </c>
      <c r="AZ94">
        <v>0</v>
      </c>
      <c r="BA94" t="s">
        <v>66</v>
      </c>
      <c r="BB94">
        <v>0</v>
      </c>
      <c r="BC94">
        <v>0</v>
      </c>
      <c r="BD94">
        <v>37772.19</v>
      </c>
      <c r="BE94">
        <v>4985.16</v>
      </c>
      <c r="BF94">
        <v>0</v>
      </c>
      <c r="BG94" t="s">
        <v>87</v>
      </c>
      <c r="BH94" t="s">
        <v>66</v>
      </c>
      <c r="BI94">
        <v>0</v>
      </c>
      <c r="BJ94" t="s">
        <v>66</v>
      </c>
      <c r="BK94" t="s">
        <v>88</v>
      </c>
      <c r="BL94" t="s">
        <v>66</v>
      </c>
      <c r="BM94" t="s">
        <v>89</v>
      </c>
    </row>
    <row r="95" spans="1:65" x14ac:dyDescent="0.25">
      <c r="A95">
        <v>93</v>
      </c>
      <c r="B95" t="s">
        <v>335</v>
      </c>
      <c r="C95" t="s">
        <v>68</v>
      </c>
      <c r="D95" s="1">
        <v>46219</v>
      </c>
      <c r="E95" t="s">
        <v>336</v>
      </c>
      <c r="F95" t="s">
        <v>68</v>
      </c>
      <c r="G95" t="s">
        <v>69</v>
      </c>
      <c r="H95" t="s">
        <v>70</v>
      </c>
      <c r="I95" t="s">
        <v>71</v>
      </c>
      <c r="J95" t="s">
        <v>72</v>
      </c>
      <c r="K95" t="s">
        <v>73</v>
      </c>
      <c r="L95" t="s">
        <v>74</v>
      </c>
      <c r="M95" t="s">
        <v>337</v>
      </c>
      <c r="N95" t="s">
        <v>111</v>
      </c>
      <c r="O95" t="s">
        <v>338</v>
      </c>
      <c r="P95" t="s">
        <v>339</v>
      </c>
      <c r="Q95" t="s">
        <v>66</v>
      </c>
      <c r="R95" s="1">
        <v>46219</v>
      </c>
      <c r="S95" t="s">
        <v>338</v>
      </c>
      <c r="T95" t="s">
        <v>339</v>
      </c>
      <c r="U95" t="s">
        <v>66</v>
      </c>
      <c r="V95" t="s">
        <v>340</v>
      </c>
      <c r="W95" t="s">
        <v>66</v>
      </c>
      <c r="X95">
        <v>651625.5</v>
      </c>
      <c r="Y95">
        <v>71678.81</v>
      </c>
      <c r="Z95">
        <v>49252.5</v>
      </c>
      <c r="AA95">
        <v>5417.78</v>
      </c>
      <c r="AB95">
        <v>723304.31</v>
      </c>
      <c r="AC95">
        <v>3</v>
      </c>
      <c r="AD95" t="s">
        <v>82</v>
      </c>
      <c r="AE95">
        <v>3</v>
      </c>
      <c r="AF95" t="s">
        <v>93</v>
      </c>
      <c r="AG95">
        <f>IFERROR(VLOOKUP(AF95,[1]STOK!J:O,6,0),"")</f>
        <v>24</v>
      </c>
      <c r="AH95" s="2">
        <f t="shared" si="2"/>
        <v>0.125</v>
      </c>
      <c r="AI95" t="s">
        <v>93</v>
      </c>
      <c r="AJ95" t="s">
        <v>94</v>
      </c>
      <c r="AK95" t="s">
        <v>95</v>
      </c>
      <c r="AL95" t="s">
        <v>86</v>
      </c>
      <c r="AM95">
        <v>18315</v>
      </c>
      <c r="AN95">
        <f t="shared" si="3"/>
        <v>18223.426666666666</v>
      </c>
      <c r="AO95" t="s">
        <v>66</v>
      </c>
      <c r="AP95">
        <v>0.5</v>
      </c>
      <c r="AQ95" t="s">
        <v>66</v>
      </c>
      <c r="AR95">
        <v>0</v>
      </c>
      <c r="AS95" t="s">
        <v>66</v>
      </c>
      <c r="AT95">
        <v>0</v>
      </c>
      <c r="AU95" t="s">
        <v>66</v>
      </c>
      <c r="AV95">
        <v>0</v>
      </c>
      <c r="AW95" t="s">
        <v>66</v>
      </c>
      <c r="AX95">
        <v>0</v>
      </c>
      <c r="AY95" t="s">
        <v>66</v>
      </c>
      <c r="AZ95">
        <v>0</v>
      </c>
      <c r="BA95" t="s">
        <v>66</v>
      </c>
      <c r="BB95">
        <v>0</v>
      </c>
      <c r="BC95">
        <v>0</v>
      </c>
      <c r="BD95">
        <v>54670.28</v>
      </c>
      <c r="BE95">
        <v>14878.51</v>
      </c>
      <c r="BF95">
        <v>0</v>
      </c>
      <c r="BG95" t="s">
        <v>87</v>
      </c>
      <c r="BH95" t="s">
        <v>66</v>
      </c>
      <c r="BI95">
        <v>0</v>
      </c>
      <c r="BJ95" t="s">
        <v>66</v>
      </c>
      <c r="BK95" t="s">
        <v>88</v>
      </c>
      <c r="BL95" t="s">
        <v>66</v>
      </c>
      <c r="BM95" t="s">
        <v>89</v>
      </c>
    </row>
    <row r="96" spans="1:65" x14ac:dyDescent="0.25">
      <c r="A96">
        <v>94</v>
      </c>
      <c r="B96" t="s">
        <v>335</v>
      </c>
      <c r="C96" t="s">
        <v>68</v>
      </c>
      <c r="D96" s="1">
        <v>46219</v>
      </c>
      <c r="E96" t="s">
        <v>336</v>
      </c>
      <c r="F96" t="s">
        <v>68</v>
      </c>
      <c r="G96" t="s">
        <v>69</v>
      </c>
      <c r="H96" t="s">
        <v>70</v>
      </c>
      <c r="I96" t="s">
        <v>71</v>
      </c>
      <c r="J96" t="s">
        <v>72</v>
      </c>
      <c r="K96" t="s">
        <v>73</v>
      </c>
      <c r="L96" t="s">
        <v>74</v>
      </c>
      <c r="M96" t="s">
        <v>337</v>
      </c>
      <c r="N96" t="s">
        <v>111</v>
      </c>
      <c r="O96" t="s">
        <v>338</v>
      </c>
      <c r="P96" t="s">
        <v>339</v>
      </c>
      <c r="Q96" t="s">
        <v>66</v>
      </c>
      <c r="R96" s="1">
        <v>46219</v>
      </c>
      <c r="S96" t="s">
        <v>338</v>
      </c>
      <c r="T96" t="s">
        <v>339</v>
      </c>
      <c r="U96" t="s">
        <v>66</v>
      </c>
      <c r="V96" t="s">
        <v>340</v>
      </c>
      <c r="W96" t="s">
        <v>66</v>
      </c>
      <c r="X96">
        <v>651625.5</v>
      </c>
      <c r="Y96">
        <v>71678.81</v>
      </c>
      <c r="Z96">
        <v>49252.5</v>
      </c>
      <c r="AA96">
        <v>5417.78</v>
      </c>
      <c r="AB96">
        <v>723304.31</v>
      </c>
      <c r="AC96">
        <v>3</v>
      </c>
      <c r="AD96" t="s">
        <v>82</v>
      </c>
      <c r="AE96">
        <v>3</v>
      </c>
      <c r="AF96" t="s">
        <v>99</v>
      </c>
      <c r="AG96">
        <f>IFERROR(VLOOKUP(AF96,[1]STOK!J:O,6,0),"")</f>
        <v>24</v>
      </c>
      <c r="AH96" s="2">
        <f t="shared" si="2"/>
        <v>0.125</v>
      </c>
      <c r="AI96" t="s">
        <v>99</v>
      </c>
      <c r="AJ96" t="s">
        <v>100</v>
      </c>
      <c r="AK96" t="s">
        <v>101</v>
      </c>
      <c r="AL96" t="s">
        <v>86</v>
      </c>
      <c r="AM96">
        <v>18315</v>
      </c>
      <c r="AN96">
        <f t="shared" si="3"/>
        <v>18223.426666666666</v>
      </c>
      <c r="AO96" t="s">
        <v>66</v>
      </c>
      <c r="AP96">
        <v>0.5</v>
      </c>
      <c r="AQ96" t="s">
        <v>66</v>
      </c>
      <c r="AR96">
        <v>0</v>
      </c>
      <c r="AS96" t="s">
        <v>66</v>
      </c>
      <c r="AT96">
        <v>0</v>
      </c>
      <c r="AU96" t="s">
        <v>66</v>
      </c>
      <c r="AV96">
        <v>0</v>
      </c>
      <c r="AW96" t="s">
        <v>66</v>
      </c>
      <c r="AX96">
        <v>0</v>
      </c>
      <c r="AY96" t="s">
        <v>66</v>
      </c>
      <c r="AZ96">
        <v>0</v>
      </c>
      <c r="BA96" t="s">
        <v>66</v>
      </c>
      <c r="BB96">
        <v>0</v>
      </c>
      <c r="BC96">
        <v>0</v>
      </c>
      <c r="BD96">
        <v>54670.28</v>
      </c>
      <c r="BE96">
        <v>14924.93</v>
      </c>
      <c r="BF96">
        <v>0</v>
      </c>
      <c r="BG96" t="s">
        <v>87</v>
      </c>
      <c r="BH96" t="s">
        <v>66</v>
      </c>
      <c r="BI96">
        <v>0</v>
      </c>
      <c r="BJ96" t="s">
        <v>66</v>
      </c>
      <c r="BK96" t="s">
        <v>88</v>
      </c>
      <c r="BL96" t="s">
        <v>66</v>
      </c>
      <c r="BM96" t="s">
        <v>89</v>
      </c>
    </row>
    <row r="97" spans="1:65" x14ac:dyDescent="0.25">
      <c r="A97">
        <v>95</v>
      </c>
      <c r="B97" t="s">
        <v>335</v>
      </c>
      <c r="C97" t="s">
        <v>68</v>
      </c>
      <c r="D97" s="1">
        <v>46219</v>
      </c>
      <c r="E97" t="s">
        <v>336</v>
      </c>
      <c r="F97" t="s">
        <v>68</v>
      </c>
      <c r="G97" t="s">
        <v>69</v>
      </c>
      <c r="H97" t="s">
        <v>70</v>
      </c>
      <c r="I97" t="s">
        <v>71</v>
      </c>
      <c r="J97" t="s">
        <v>72</v>
      </c>
      <c r="K97" t="s">
        <v>73</v>
      </c>
      <c r="L97" t="s">
        <v>74</v>
      </c>
      <c r="M97" t="s">
        <v>337</v>
      </c>
      <c r="N97" t="s">
        <v>111</v>
      </c>
      <c r="O97" t="s">
        <v>338</v>
      </c>
      <c r="P97" t="s">
        <v>339</v>
      </c>
      <c r="Q97" t="s">
        <v>66</v>
      </c>
      <c r="R97" s="1">
        <v>46219</v>
      </c>
      <c r="S97" t="s">
        <v>338</v>
      </c>
      <c r="T97" t="s">
        <v>339</v>
      </c>
      <c r="U97" t="s">
        <v>66</v>
      </c>
      <c r="V97" t="s">
        <v>340</v>
      </c>
      <c r="W97" t="s">
        <v>66</v>
      </c>
      <c r="X97">
        <v>651625.5</v>
      </c>
      <c r="Y97">
        <v>71678.81</v>
      </c>
      <c r="Z97">
        <v>31641</v>
      </c>
      <c r="AA97">
        <v>3480.51</v>
      </c>
      <c r="AB97">
        <v>723304.31</v>
      </c>
      <c r="AC97">
        <v>6</v>
      </c>
      <c r="AD97" t="s">
        <v>82</v>
      </c>
      <c r="AE97">
        <v>6</v>
      </c>
      <c r="AF97" t="s">
        <v>353</v>
      </c>
      <c r="AG97">
        <f>IFERROR(VLOOKUP(AF97,[1]STOK!J:O,6,0),"")</f>
        <v>24</v>
      </c>
      <c r="AH97" s="2">
        <f t="shared" si="2"/>
        <v>0.25</v>
      </c>
      <c r="AI97" t="s">
        <v>353</v>
      </c>
      <c r="AJ97" t="s">
        <v>354</v>
      </c>
      <c r="AK97" t="s">
        <v>355</v>
      </c>
      <c r="AL97" t="s">
        <v>86</v>
      </c>
      <c r="AM97">
        <v>5883</v>
      </c>
      <c r="AN97">
        <f t="shared" si="3"/>
        <v>5853.585</v>
      </c>
      <c r="AO97" t="s">
        <v>66</v>
      </c>
      <c r="AP97">
        <v>0.5</v>
      </c>
      <c r="AQ97" t="s">
        <v>66</v>
      </c>
      <c r="AR97">
        <v>0</v>
      </c>
      <c r="AS97" t="s">
        <v>66</v>
      </c>
      <c r="AT97">
        <v>0</v>
      </c>
      <c r="AU97" t="s">
        <v>66</v>
      </c>
      <c r="AV97">
        <v>0</v>
      </c>
      <c r="AW97" t="s">
        <v>66</v>
      </c>
      <c r="AX97">
        <v>0</v>
      </c>
      <c r="AY97" t="s">
        <v>66</v>
      </c>
      <c r="AZ97">
        <v>0</v>
      </c>
      <c r="BA97" t="s">
        <v>66</v>
      </c>
      <c r="BB97">
        <v>0</v>
      </c>
      <c r="BC97">
        <v>0</v>
      </c>
      <c r="BD97">
        <v>35121.51</v>
      </c>
      <c r="BE97">
        <v>4733.96</v>
      </c>
      <c r="BF97">
        <v>0</v>
      </c>
      <c r="BG97" t="s">
        <v>87</v>
      </c>
      <c r="BH97" t="s">
        <v>66</v>
      </c>
      <c r="BI97">
        <v>0</v>
      </c>
      <c r="BJ97" t="s">
        <v>66</v>
      </c>
      <c r="BK97" t="s">
        <v>88</v>
      </c>
      <c r="BL97" t="s">
        <v>66</v>
      </c>
      <c r="BM97" t="s">
        <v>89</v>
      </c>
    </row>
    <row r="98" spans="1:65" x14ac:dyDescent="0.25">
      <c r="A98">
        <v>96</v>
      </c>
      <c r="B98" t="s">
        <v>335</v>
      </c>
      <c r="C98" t="s">
        <v>68</v>
      </c>
      <c r="D98" s="1">
        <v>46219</v>
      </c>
      <c r="E98" t="s">
        <v>336</v>
      </c>
      <c r="F98" t="s">
        <v>68</v>
      </c>
      <c r="G98" t="s">
        <v>69</v>
      </c>
      <c r="H98" t="s">
        <v>70</v>
      </c>
      <c r="I98" t="s">
        <v>71</v>
      </c>
      <c r="J98" t="s">
        <v>72</v>
      </c>
      <c r="K98" t="s">
        <v>73</v>
      </c>
      <c r="L98" t="s">
        <v>74</v>
      </c>
      <c r="M98" t="s">
        <v>337</v>
      </c>
      <c r="N98" t="s">
        <v>111</v>
      </c>
      <c r="O98" t="s">
        <v>338</v>
      </c>
      <c r="P98" t="s">
        <v>339</v>
      </c>
      <c r="Q98" t="s">
        <v>66</v>
      </c>
      <c r="R98" s="1">
        <v>46219</v>
      </c>
      <c r="S98" t="s">
        <v>338</v>
      </c>
      <c r="T98" t="s">
        <v>339</v>
      </c>
      <c r="U98" t="s">
        <v>66</v>
      </c>
      <c r="V98" t="s">
        <v>340</v>
      </c>
      <c r="W98" t="s">
        <v>66</v>
      </c>
      <c r="X98">
        <v>651625.5</v>
      </c>
      <c r="Y98">
        <v>71678.81</v>
      </c>
      <c r="Z98">
        <v>54028.5</v>
      </c>
      <c r="AA98">
        <v>5943.14</v>
      </c>
      <c r="AB98">
        <v>723304.31</v>
      </c>
      <c r="AC98">
        <v>3</v>
      </c>
      <c r="AD98" t="s">
        <v>82</v>
      </c>
      <c r="AE98">
        <v>3</v>
      </c>
      <c r="AF98" t="s">
        <v>356</v>
      </c>
      <c r="AG98">
        <f>IFERROR(VLOOKUP(AF98,[1]STOK!J:O,6,0),"")</f>
        <v>12</v>
      </c>
      <c r="AH98" s="2">
        <f t="shared" si="2"/>
        <v>0.25</v>
      </c>
      <c r="AI98" t="s">
        <v>356</v>
      </c>
      <c r="AJ98" t="s">
        <v>357</v>
      </c>
      <c r="AK98" t="s">
        <v>358</v>
      </c>
      <c r="AL98" t="s">
        <v>86</v>
      </c>
      <c r="AM98">
        <v>20091</v>
      </c>
      <c r="AN98">
        <f t="shared" si="3"/>
        <v>19990.546666666665</v>
      </c>
      <c r="AO98" t="s">
        <v>66</v>
      </c>
      <c r="AP98">
        <v>0.5</v>
      </c>
      <c r="AQ98" t="s">
        <v>66</v>
      </c>
      <c r="AR98">
        <v>0</v>
      </c>
      <c r="AS98" t="s">
        <v>66</v>
      </c>
      <c r="AT98">
        <v>0</v>
      </c>
      <c r="AU98" t="s">
        <v>66</v>
      </c>
      <c r="AV98">
        <v>0</v>
      </c>
      <c r="AW98" t="s">
        <v>66</v>
      </c>
      <c r="AX98">
        <v>0</v>
      </c>
      <c r="AY98" t="s">
        <v>66</v>
      </c>
      <c r="AZ98">
        <v>0</v>
      </c>
      <c r="BA98" t="s">
        <v>66</v>
      </c>
      <c r="BB98">
        <v>0</v>
      </c>
      <c r="BC98">
        <v>0</v>
      </c>
      <c r="BD98">
        <v>59971.64</v>
      </c>
      <c r="BE98">
        <v>15753.12</v>
      </c>
      <c r="BF98">
        <v>0</v>
      </c>
      <c r="BG98" t="s">
        <v>87</v>
      </c>
      <c r="BH98" t="s">
        <v>66</v>
      </c>
      <c r="BI98">
        <v>0</v>
      </c>
      <c r="BJ98" t="s">
        <v>66</v>
      </c>
      <c r="BK98" t="s">
        <v>88</v>
      </c>
      <c r="BL98" t="s">
        <v>66</v>
      </c>
      <c r="BM98" t="s">
        <v>89</v>
      </c>
    </row>
    <row r="99" spans="1:65" x14ac:dyDescent="0.25">
      <c r="A99">
        <v>97</v>
      </c>
      <c r="B99" t="s">
        <v>335</v>
      </c>
      <c r="C99" t="s">
        <v>68</v>
      </c>
      <c r="D99" s="1">
        <v>46219</v>
      </c>
      <c r="E99" t="s">
        <v>336</v>
      </c>
      <c r="F99" t="s">
        <v>68</v>
      </c>
      <c r="G99" t="s">
        <v>69</v>
      </c>
      <c r="H99" t="s">
        <v>70</v>
      </c>
      <c r="I99" t="s">
        <v>71</v>
      </c>
      <c r="J99" t="s">
        <v>72</v>
      </c>
      <c r="K99" t="s">
        <v>73</v>
      </c>
      <c r="L99" t="s">
        <v>74</v>
      </c>
      <c r="M99" t="s">
        <v>337</v>
      </c>
      <c r="N99" t="s">
        <v>111</v>
      </c>
      <c r="O99" t="s">
        <v>338</v>
      </c>
      <c r="P99" t="s">
        <v>339</v>
      </c>
      <c r="Q99" t="s">
        <v>66</v>
      </c>
      <c r="R99" s="1">
        <v>46219</v>
      </c>
      <c r="S99" t="s">
        <v>338</v>
      </c>
      <c r="T99" t="s">
        <v>339</v>
      </c>
      <c r="U99" t="s">
        <v>66</v>
      </c>
      <c r="V99" t="s">
        <v>340</v>
      </c>
      <c r="W99" t="s">
        <v>66</v>
      </c>
      <c r="X99">
        <v>651625.5</v>
      </c>
      <c r="Y99">
        <v>71678.81</v>
      </c>
      <c r="Z99">
        <v>103281</v>
      </c>
      <c r="AA99">
        <v>11360.91</v>
      </c>
      <c r="AB99">
        <v>723304.31</v>
      </c>
      <c r="AC99">
        <v>6</v>
      </c>
      <c r="AD99" t="s">
        <v>82</v>
      </c>
      <c r="AE99">
        <v>6</v>
      </c>
      <c r="AF99" t="s">
        <v>359</v>
      </c>
      <c r="AG99">
        <f>IFERROR(VLOOKUP(AF99,[1]STOK!J:O,6,0),"")</f>
        <v>12</v>
      </c>
      <c r="AH99" s="2">
        <f t="shared" si="2"/>
        <v>0.5</v>
      </c>
      <c r="AI99" t="s">
        <v>359</v>
      </c>
      <c r="AJ99" t="s">
        <v>360</v>
      </c>
      <c r="AK99" t="s">
        <v>361</v>
      </c>
      <c r="AL99" t="s">
        <v>86</v>
      </c>
      <c r="AM99">
        <v>19203</v>
      </c>
      <c r="AN99">
        <f t="shared" si="3"/>
        <v>19106.985000000001</v>
      </c>
      <c r="AO99" t="s">
        <v>66</v>
      </c>
      <c r="AP99">
        <v>0.5</v>
      </c>
      <c r="AQ99" t="s">
        <v>66</v>
      </c>
      <c r="AR99">
        <v>0</v>
      </c>
      <c r="AS99" t="s">
        <v>66</v>
      </c>
      <c r="AT99">
        <v>0</v>
      </c>
      <c r="AU99" t="s">
        <v>66</v>
      </c>
      <c r="AV99">
        <v>0</v>
      </c>
      <c r="AW99" t="s">
        <v>66</v>
      </c>
      <c r="AX99">
        <v>0</v>
      </c>
      <c r="AY99" t="s">
        <v>66</v>
      </c>
      <c r="AZ99">
        <v>0</v>
      </c>
      <c r="BA99" t="s">
        <v>66</v>
      </c>
      <c r="BB99">
        <v>0</v>
      </c>
      <c r="BC99">
        <v>0</v>
      </c>
      <c r="BD99">
        <v>114641.91</v>
      </c>
      <c r="BE99">
        <v>15490.24</v>
      </c>
      <c r="BF99">
        <v>0</v>
      </c>
      <c r="BG99" t="s">
        <v>87</v>
      </c>
      <c r="BH99" t="s">
        <v>66</v>
      </c>
      <c r="BI99">
        <v>0</v>
      </c>
      <c r="BJ99" t="s">
        <v>66</v>
      </c>
      <c r="BK99" t="s">
        <v>88</v>
      </c>
      <c r="BL99" t="s">
        <v>66</v>
      </c>
      <c r="BM99" t="s">
        <v>89</v>
      </c>
    </row>
    <row r="100" spans="1:65" x14ac:dyDescent="0.25">
      <c r="A100">
        <v>98</v>
      </c>
      <c r="B100" t="s">
        <v>335</v>
      </c>
      <c r="C100" t="s">
        <v>68</v>
      </c>
      <c r="D100" s="1">
        <v>46219</v>
      </c>
      <c r="E100" t="s">
        <v>336</v>
      </c>
      <c r="F100" t="s">
        <v>68</v>
      </c>
      <c r="G100" t="s">
        <v>69</v>
      </c>
      <c r="H100" t="s">
        <v>70</v>
      </c>
      <c r="I100" t="s">
        <v>71</v>
      </c>
      <c r="J100" t="s">
        <v>72</v>
      </c>
      <c r="K100" t="s">
        <v>73</v>
      </c>
      <c r="L100" t="s">
        <v>74</v>
      </c>
      <c r="M100" t="s">
        <v>337</v>
      </c>
      <c r="N100" t="s">
        <v>111</v>
      </c>
      <c r="O100" t="s">
        <v>338</v>
      </c>
      <c r="P100" t="s">
        <v>339</v>
      </c>
      <c r="Q100" t="s">
        <v>66</v>
      </c>
      <c r="R100" s="1">
        <v>46219</v>
      </c>
      <c r="S100" t="s">
        <v>338</v>
      </c>
      <c r="T100" t="s">
        <v>339</v>
      </c>
      <c r="U100" t="s">
        <v>66</v>
      </c>
      <c r="V100" t="s">
        <v>340</v>
      </c>
      <c r="W100" t="s">
        <v>66</v>
      </c>
      <c r="X100">
        <v>651625.5</v>
      </c>
      <c r="Y100">
        <v>71678.81</v>
      </c>
      <c r="Z100">
        <v>85968</v>
      </c>
      <c r="AA100">
        <v>9456.48</v>
      </c>
      <c r="AB100">
        <v>723304.31</v>
      </c>
      <c r="AC100">
        <v>6</v>
      </c>
      <c r="AD100" t="s">
        <v>82</v>
      </c>
      <c r="AE100">
        <v>6</v>
      </c>
      <c r="AF100" t="s">
        <v>141</v>
      </c>
      <c r="AG100">
        <f>IFERROR(VLOOKUP(AF100,[1]STOK!J:O,6,0),"")</f>
        <v>12</v>
      </c>
      <c r="AH100" s="2">
        <f t="shared" si="2"/>
        <v>0.5</v>
      </c>
      <c r="AI100" t="s">
        <v>141</v>
      </c>
      <c r="AJ100" t="s">
        <v>142</v>
      </c>
      <c r="AK100" t="s">
        <v>143</v>
      </c>
      <c r="AL100" t="s">
        <v>86</v>
      </c>
      <c r="AM100">
        <v>15984</v>
      </c>
      <c r="AN100">
        <f t="shared" si="3"/>
        <v>15904.08</v>
      </c>
      <c r="AO100" t="s">
        <v>66</v>
      </c>
      <c r="AP100">
        <v>0.5</v>
      </c>
      <c r="AQ100" t="s">
        <v>66</v>
      </c>
      <c r="AR100">
        <v>0</v>
      </c>
      <c r="AS100" t="s">
        <v>66</v>
      </c>
      <c r="AT100">
        <v>0</v>
      </c>
      <c r="AU100" t="s">
        <v>66</v>
      </c>
      <c r="AV100">
        <v>0</v>
      </c>
      <c r="AW100" t="s">
        <v>66</v>
      </c>
      <c r="AX100">
        <v>0</v>
      </c>
      <c r="AY100" t="s">
        <v>66</v>
      </c>
      <c r="AZ100">
        <v>0</v>
      </c>
      <c r="BA100" t="s">
        <v>66</v>
      </c>
      <c r="BB100">
        <v>0</v>
      </c>
      <c r="BC100">
        <v>0</v>
      </c>
      <c r="BD100">
        <v>95424.48</v>
      </c>
      <c r="BE100">
        <v>12915.05</v>
      </c>
      <c r="BF100">
        <v>0</v>
      </c>
      <c r="BG100" t="s">
        <v>87</v>
      </c>
      <c r="BH100" t="s">
        <v>66</v>
      </c>
      <c r="BI100">
        <v>0</v>
      </c>
      <c r="BJ100" t="s">
        <v>66</v>
      </c>
      <c r="BK100" t="s">
        <v>88</v>
      </c>
      <c r="BL100" t="s">
        <v>66</v>
      </c>
      <c r="BM100" t="s">
        <v>89</v>
      </c>
    </row>
    <row r="101" spans="1:65" x14ac:dyDescent="0.25">
      <c r="A101">
        <v>99</v>
      </c>
      <c r="B101" t="s">
        <v>362</v>
      </c>
      <c r="C101" t="s">
        <v>68</v>
      </c>
      <c r="D101" s="1">
        <v>46219</v>
      </c>
      <c r="E101" t="s">
        <v>363</v>
      </c>
      <c r="F101" t="s">
        <v>68</v>
      </c>
      <c r="G101" t="s">
        <v>69</v>
      </c>
      <c r="H101" t="s">
        <v>70</v>
      </c>
      <c r="I101" t="s">
        <v>71</v>
      </c>
      <c r="J101" t="s">
        <v>72</v>
      </c>
      <c r="K101" t="s">
        <v>73</v>
      </c>
      <c r="L101" t="s">
        <v>74</v>
      </c>
      <c r="M101" t="s">
        <v>364</v>
      </c>
      <c r="N101" t="s">
        <v>76</v>
      </c>
      <c r="O101" t="s">
        <v>365</v>
      </c>
      <c r="P101" t="s">
        <v>366</v>
      </c>
      <c r="Q101" t="s">
        <v>66</v>
      </c>
      <c r="R101" s="1">
        <v>46219</v>
      </c>
      <c r="S101" t="s">
        <v>367</v>
      </c>
      <c r="T101" t="s">
        <v>368</v>
      </c>
      <c r="U101" t="s">
        <v>66</v>
      </c>
      <c r="V101" t="s">
        <v>369</v>
      </c>
      <c r="W101" t="s">
        <v>66</v>
      </c>
      <c r="X101">
        <v>160500</v>
      </c>
      <c r="Y101">
        <v>17655</v>
      </c>
      <c r="Z101">
        <v>22200</v>
      </c>
      <c r="AA101">
        <v>2442</v>
      </c>
      <c r="AB101">
        <v>178155</v>
      </c>
      <c r="AC101">
        <v>3</v>
      </c>
      <c r="AD101" t="s">
        <v>82</v>
      </c>
      <c r="AE101">
        <v>3</v>
      </c>
      <c r="AF101" t="s">
        <v>265</v>
      </c>
      <c r="AG101">
        <f>IFERROR(VLOOKUP(AF101,[1]STOK!J:O,6,0),"")</f>
        <v>24</v>
      </c>
      <c r="AH101" s="2">
        <f t="shared" si="2"/>
        <v>0.125</v>
      </c>
      <c r="AI101" t="s">
        <v>265</v>
      </c>
      <c r="AJ101" t="s">
        <v>266</v>
      </c>
      <c r="AK101" t="s">
        <v>267</v>
      </c>
      <c r="AL101" t="s">
        <v>86</v>
      </c>
      <c r="AM101">
        <v>8214</v>
      </c>
      <c r="AN101">
        <f t="shared" si="3"/>
        <v>8214</v>
      </c>
      <c r="AO101" t="s">
        <v>66</v>
      </c>
      <c r="AP101">
        <v>0</v>
      </c>
      <c r="AQ101" t="s">
        <v>66</v>
      </c>
      <c r="AR101">
        <v>0</v>
      </c>
      <c r="AS101" t="s">
        <v>66</v>
      </c>
      <c r="AT101">
        <v>0</v>
      </c>
      <c r="AU101" t="s">
        <v>66</v>
      </c>
      <c r="AV101">
        <v>0</v>
      </c>
      <c r="AW101" t="s">
        <v>66</v>
      </c>
      <c r="AX101">
        <v>0</v>
      </c>
      <c r="AY101" t="s">
        <v>66</v>
      </c>
      <c r="AZ101">
        <v>0</v>
      </c>
      <c r="BA101" t="s">
        <v>66</v>
      </c>
      <c r="BB101">
        <v>0</v>
      </c>
      <c r="BC101">
        <v>0</v>
      </c>
      <c r="BD101">
        <v>24642</v>
      </c>
      <c r="BE101">
        <v>6447.38</v>
      </c>
      <c r="BF101">
        <v>0</v>
      </c>
      <c r="BG101" t="s">
        <v>87</v>
      </c>
      <c r="BH101" t="s">
        <v>66</v>
      </c>
      <c r="BI101">
        <v>0</v>
      </c>
      <c r="BJ101" t="s">
        <v>66</v>
      </c>
      <c r="BK101" t="s">
        <v>88</v>
      </c>
      <c r="BL101" t="s">
        <v>66</v>
      </c>
      <c r="BM101" t="s">
        <v>89</v>
      </c>
    </row>
    <row r="102" spans="1:65" x14ac:dyDescent="0.25">
      <c r="A102">
        <v>100</v>
      </c>
      <c r="B102" t="s">
        <v>362</v>
      </c>
      <c r="C102" t="s">
        <v>68</v>
      </c>
      <c r="D102" s="1">
        <v>46219</v>
      </c>
      <c r="E102" t="s">
        <v>363</v>
      </c>
      <c r="F102" t="s">
        <v>68</v>
      </c>
      <c r="G102" t="s">
        <v>69</v>
      </c>
      <c r="H102" t="s">
        <v>70</v>
      </c>
      <c r="I102" t="s">
        <v>71</v>
      </c>
      <c r="J102" t="s">
        <v>72</v>
      </c>
      <c r="K102" t="s">
        <v>73</v>
      </c>
      <c r="L102" t="s">
        <v>74</v>
      </c>
      <c r="M102" t="s">
        <v>364</v>
      </c>
      <c r="N102" t="s">
        <v>76</v>
      </c>
      <c r="O102" t="s">
        <v>365</v>
      </c>
      <c r="P102" t="s">
        <v>366</v>
      </c>
      <c r="Q102" t="s">
        <v>66</v>
      </c>
      <c r="R102" s="1">
        <v>46219</v>
      </c>
      <c r="S102" t="s">
        <v>367</v>
      </c>
      <c r="T102" t="s">
        <v>368</v>
      </c>
      <c r="U102" t="s">
        <v>66</v>
      </c>
      <c r="V102" t="s">
        <v>369</v>
      </c>
      <c r="W102" t="s">
        <v>66</v>
      </c>
      <c r="X102">
        <v>160500</v>
      </c>
      <c r="Y102">
        <v>17655</v>
      </c>
      <c r="Z102">
        <v>22200</v>
      </c>
      <c r="AA102">
        <v>2442</v>
      </c>
      <c r="AB102">
        <v>178155</v>
      </c>
      <c r="AC102">
        <v>3</v>
      </c>
      <c r="AD102" t="s">
        <v>82</v>
      </c>
      <c r="AE102">
        <v>3</v>
      </c>
      <c r="AF102" t="s">
        <v>83</v>
      </c>
      <c r="AG102">
        <f>IFERROR(VLOOKUP(AF102,[1]STOK!J:O,6,0),"")</f>
        <v>24</v>
      </c>
      <c r="AH102" s="2">
        <f t="shared" si="2"/>
        <v>0.125</v>
      </c>
      <c r="AI102" t="s">
        <v>83</v>
      </c>
      <c r="AJ102" t="s">
        <v>84</v>
      </c>
      <c r="AK102" t="s">
        <v>85</v>
      </c>
      <c r="AL102" t="s">
        <v>86</v>
      </c>
      <c r="AM102">
        <v>8214</v>
      </c>
      <c r="AN102">
        <f t="shared" si="3"/>
        <v>8214</v>
      </c>
      <c r="AO102" t="s">
        <v>66</v>
      </c>
      <c r="AP102">
        <v>0</v>
      </c>
      <c r="AQ102" t="s">
        <v>66</v>
      </c>
      <c r="AR102">
        <v>0</v>
      </c>
      <c r="AS102" t="s">
        <v>66</v>
      </c>
      <c r="AT102">
        <v>0</v>
      </c>
      <c r="AU102" t="s">
        <v>66</v>
      </c>
      <c r="AV102">
        <v>0</v>
      </c>
      <c r="AW102" t="s">
        <v>66</v>
      </c>
      <c r="AX102">
        <v>0</v>
      </c>
      <c r="AY102" t="s">
        <v>66</v>
      </c>
      <c r="AZ102">
        <v>0</v>
      </c>
      <c r="BA102" t="s">
        <v>66</v>
      </c>
      <c r="BB102">
        <v>0</v>
      </c>
      <c r="BC102">
        <v>0</v>
      </c>
      <c r="BD102">
        <v>24642</v>
      </c>
      <c r="BE102">
        <v>6590.47</v>
      </c>
      <c r="BF102">
        <v>0</v>
      </c>
      <c r="BG102" t="s">
        <v>87</v>
      </c>
      <c r="BH102" t="s">
        <v>66</v>
      </c>
      <c r="BI102">
        <v>0</v>
      </c>
      <c r="BJ102" t="s">
        <v>66</v>
      </c>
      <c r="BK102" t="s">
        <v>88</v>
      </c>
      <c r="BL102" t="s">
        <v>66</v>
      </c>
      <c r="BM102" t="s">
        <v>89</v>
      </c>
    </row>
    <row r="103" spans="1:65" x14ac:dyDescent="0.25">
      <c r="A103">
        <v>101</v>
      </c>
      <c r="B103" t="s">
        <v>362</v>
      </c>
      <c r="C103" t="s">
        <v>68</v>
      </c>
      <c r="D103" s="1">
        <v>46219</v>
      </c>
      <c r="E103" t="s">
        <v>363</v>
      </c>
      <c r="F103" t="s">
        <v>68</v>
      </c>
      <c r="G103" t="s">
        <v>69</v>
      </c>
      <c r="H103" t="s">
        <v>70</v>
      </c>
      <c r="I103" t="s">
        <v>71</v>
      </c>
      <c r="J103" t="s">
        <v>72</v>
      </c>
      <c r="K103" t="s">
        <v>73</v>
      </c>
      <c r="L103" t="s">
        <v>74</v>
      </c>
      <c r="M103" t="s">
        <v>364</v>
      </c>
      <c r="N103" t="s">
        <v>76</v>
      </c>
      <c r="O103" t="s">
        <v>365</v>
      </c>
      <c r="P103" t="s">
        <v>366</v>
      </c>
      <c r="Q103" t="s">
        <v>66</v>
      </c>
      <c r="R103" s="1">
        <v>46219</v>
      </c>
      <c r="S103" t="s">
        <v>367</v>
      </c>
      <c r="T103" t="s">
        <v>368</v>
      </c>
      <c r="U103" t="s">
        <v>66</v>
      </c>
      <c r="V103" t="s">
        <v>369</v>
      </c>
      <c r="W103" t="s">
        <v>66</v>
      </c>
      <c r="X103">
        <v>160500</v>
      </c>
      <c r="Y103">
        <v>17655</v>
      </c>
      <c r="Z103">
        <v>39600</v>
      </c>
      <c r="AA103">
        <v>4356</v>
      </c>
      <c r="AB103">
        <v>178155</v>
      </c>
      <c r="AC103">
        <v>2</v>
      </c>
      <c r="AD103" t="s">
        <v>82</v>
      </c>
      <c r="AE103">
        <v>2</v>
      </c>
      <c r="AF103" t="s">
        <v>370</v>
      </c>
      <c r="AG103">
        <f>IFERROR(VLOOKUP(AF103,[1]STOK!J:O,6,0),"")</f>
        <v>12</v>
      </c>
      <c r="AH103" s="2">
        <f t="shared" si="2"/>
        <v>0.16666666666666666</v>
      </c>
      <c r="AI103" t="s">
        <v>370</v>
      </c>
      <c r="AJ103" t="s">
        <v>371</v>
      </c>
      <c r="AK103" t="s">
        <v>372</v>
      </c>
      <c r="AL103" t="s">
        <v>86</v>
      </c>
      <c r="AM103">
        <v>21978</v>
      </c>
      <c r="AN103">
        <f t="shared" si="3"/>
        <v>21978</v>
      </c>
      <c r="AO103" t="s">
        <v>66</v>
      </c>
      <c r="AP103">
        <v>0</v>
      </c>
      <c r="AQ103" t="s">
        <v>66</v>
      </c>
      <c r="AR103">
        <v>0</v>
      </c>
      <c r="AS103" t="s">
        <v>66</v>
      </c>
      <c r="AT103">
        <v>0</v>
      </c>
      <c r="AU103" t="s">
        <v>66</v>
      </c>
      <c r="AV103">
        <v>0</v>
      </c>
      <c r="AW103" t="s">
        <v>66</v>
      </c>
      <c r="AX103">
        <v>0</v>
      </c>
      <c r="AY103" t="s">
        <v>66</v>
      </c>
      <c r="AZ103">
        <v>0</v>
      </c>
      <c r="BA103" t="s">
        <v>66</v>
      </c>
      <c r="BB103">
        <v>0</v>
      </c>
      <c r="BC103">
        <v>0</v>
      </c>
      <c r="BD103">
        <v>43956</v>
      </c>
      <c r="BE103">
        <v>17687.46</v>
      </c>
      <c r="BF103">
        <v>0</v>
      </c>
      <c r="BG103" t="s">
        <v>87</v>
      </c>
      <c r="BH103" t="s">
        <v>66</v>
      </c>
      <c r="BI103">
        <v>0</v>
      </c>
      <c r="BJ103" t="s">
        <v>66</v>
      </c>
      <c r="BK103" t="s">
        <v>88</v>
      </c>
      <c r="BL103" t="s">
        <v>66</v>
      </c>
      <c r="BM103" t="s">
        <v>89</v>
      </c>
    </row>
    <row r="104" spans="1:65" x14ac:dyDescent="0.25">
      <c r="A104">
        <v>102</v>
      </c>
      <c r="B104" t="s">
        <v>362</v>
      </c>
      <c r="C104" t="s">
        <v>68</v>
      </c>
      <c r="D104" s="1">
        <v>46219</v>
      </c>
      <c r="E104" t="s">
        <v>363</v>
      </c>
      <c r="F104" t="s">
        <v>68</v>
      </c>
      <c r="G104" t="s">
        <v>69</v>
      </c>
      <c r="H104" t="s">
        <v>70</v>
      </c>
      <c r="I104" t="s">
        <v>71</v>
      </c>
      <c r="J104" t="s">
        <v>72</v>
      </c>
      <c r="K104" t="s">
        <v>73</v>
      </c>
      <c r="L104" t="s">
        <v>74</v>
      </c>
      <c r="M104" t="s">
        <v>364</v>
      </c>
      <c r="N104" t="s">
        <v>76</v>
      </c>
      <c r="O104" t="s">
        <v>365</v>
      </c>
      <c r="P104" t="s">
        <v>366</v>
      </c>
      <c r="Q104" t="s">
        <v>66</v>
      </c>
      <c r="R104" s="1">
        <v>46219</v>
      </c>
      <c r="S104" t="s">
        <v>367</v>
      </c>
      <c r="T104" t="s">
        <v>368</v>
      </c>
      <c r="U104" t="s">
        <v>66</v>
      </c>
      <c r="V104" t="s">
        <v>369</v>
      </c>
      <c r="W104" t="s">
        <v>66</v>
      </c>
      <c r="X104">
        <v>160500</v>
      </c>
      <c r="Y104">
        <v>17655</v>
      </c>
      <c r="Z104">
        <v>36600</v>
      </c>
      <c r="AA104">
        <v>4026</v>
      </c>
      <c r="AB104">
        <v>178155</v>
      </c>
      <c r="AC104">
        <v>6</v>
      </c>
      <c r="AD104" t="s">
        <v>82</v>
      </c>
      <c r="AE104">
        <v>6</v>
      </c>
      <c r="AF104" t="s">
        <v>125</v>
      </c>
      <c r="AG104">
        <f>IFERROR(VLOOKUP(AF104,[1]STOK!J:O,6,0),"")</f>
        <v>48</v>
      </c>
      <c r="AH104" s="2">
        <f t="shared" si="2"/>
        <v>0.125</v>
      </c>
      <c r="AI104" t="s">
        <v>125</v>
      </c>
      <c r="AJ104" t="s">
        <v>126</v>
      </c>
      <c r="AK104" t="s">
        <v>127</v>
      </c>
      <c r="AL104" t="s">
        <v>86</v>
      </c>
      <c r="AM104">
        <v>6771</v>
      </c>
      <c r="AN104">
        <f t="shared" si="3"/>
        <v>6771</v>
      </c>
      <c r="AO104" t="s">
        <v>66</v>
      </c>
      <c r="AP104">
        <v>0</v>
      </c>
      <c r="AQ104" t="s">
        <v>66</v>
      </c>
      <c r="AR104">
        <v>0</v>
      </c>
      <c r="AS104" t="s">
        <v>66</v>
      </c>
      <c r="AT104">
        <v>0</v>
      </c>
      <c r="AU104" t="s">
        <v>66</v>
      </c>
      <c r="AV104">
        <v>0</v>
      </c>
      <c r="AW104" t="s">
        <v>66</v>
      </c>
      <c r="AX104">
        <v>0</v>
      </c>
      <c r="AY104" t="s">
        <v>66</v>
      </c>
      <c r="AZ104">
        <v>0</v>
      </c>
      <c r="BA104" t="s">
        <v>66</v>
      </c>
      <c r="BB104">
        <v>0</v>
      </c>
      <c r="BC104">
        <v>0</v>
      </c>
      <c r="BD104">
        <v>40626</v>
      </c>
      <c r="BE104">
        <v>5181.7700000000004</v>
      </c>
      <c r="BF104">
        <v>0</v>
      </c>
      <c r="BG104" t="s">
        <v>87</v>
      </c>
      <c r="BH104" t="s">
        <v>66</v>
      </c>
      <c r="BI104">
        <v>0</v>
      </c>
      <c r="BJ104" t="s">
        <v>66</v>
      </c>
      <c r="BK104" t="s">
        <v>88</v>
      </c>
      <c r="BL104" t="s">
        <v>66</v>
      </c>
      <c r="BM104" t="s">
        <v>89</v>
      </c>
    </row>
    <row r="105" spans="1:65" x14ac:dyDescent="0.25">
      <c r="A105">
        <v>103</v>
      </c>
      <c r="B105" t="s">
        <v>362</v>
      </c>
      <c r="C105" t="s">
        <v>68</v>
      </c>
      <c r="D105" s="1">
        <v>46219</v>
      </c>
      <c r="E105" t="s">
        <v>363</v>
      </c>
      <c r="F105" t="s">
        <v>68</v>
      </c>
      <c r="G105" t="s">
        <v>69</v>
      </c>
      <c r="H105" t="s">
        <v>70</v>
      </c>
      <c r="I105" t="s">
        <v>71</v>
      </c>
      <c r="J105" t="s">
        <v>72</v>
      </c>
      <c r="K105" t="s">
        <v>73</v>
      </c>
      <c r="L105" t="s">
        <v>74</v>
      </c>
      <c r="M105" t="s">
        <v>364</v>
      </c>
      <c r="N105" t="s">
        <v>76</v>
      </c>
      <c r="O105" t="s">
        <v>365</v>
      </c>
      <c r="P105" t="s">
        <v>366</v>
      </c>
      <c r="Q105" t="s">
        <v>66</v>
      </c>
      <c r="R105" s="1">
        <v>46219</v>
      </c>
      <c r="S105" t="s">
        <v>367</v>
      </c>
      <c r="T105" t="s">
        <v>368</v>
      </c>
      <c r="U105" t="s">
        <v>66</v>
      </c>
      <c r="V105" t="s">
        <v>369</v>
      </c>
      <c r="W105" t="s">
        <v>66</v>
      </c>
      <c r="X105">
        <v>160500</v>
      </c>
      <c r="Y105">
        <v>17655</v>
      </c>
      <c r="Z105">
        <v>39900</v>
      </c>
      <c r="AA105">
        <v>4389</v>
      </c>
      <c r="AB105">
        <v>178155</v>
      </c>
      <c r="AC105">
        <v>3</v>
      </c>
      <c r="AD105" t="s">
        <v>82</v>
      </c>
      <c r="AE105">
        <v>3</v>
      </c>
      <c r="AF105" t="s">
        <v>135</v>
      </c>
      <c r="AG105">
        <f>IFERROR(VLOOKUP(AF105,[1]STOK!J:O,6,0),"")</f>
        <v>12</v>
      </c>
      <c r="AH105" s="2">
        <f t="shared" si="2"/>
        <v>0.25</v>
      </c>
      <c r="AI105" t="s">
        <v>135</v>
      </c>
      <c r="AJ105" t="s">
        <v>136</v>
      </c>
      <c r="AK105" t="s">
        <v>137</v>
      </c>
      <c r="AL105" t="s">
        <v>86</v>
      </c>
      <c r="AM105">
        <v>14763</v>
      </c>
      <c r="AN105">
        <f t="shared" si="3"/>
        <v>14763</v>
      </c>
      <c r="AO105" t="s">
        <v>66</v>
      </c>
      <c r="AP105">
        <v>0</v>
      </c>
      <c r="AQ105" t="s">
        <v>66</v>
      </c>
      <c r="AR105">
        <v>0</v>
      </c>
      <c r="AS105" t="s">
        <v>66</v>
      </c>
      <c r="AT105">
        <v>0</v>
      </c>
      <c r="AU105" t="s">
        <v>66</v>
      </c>
      <c r="AV105">
        <v>0</v>
      </c>
      <c r="AW105" t="s">
        <v>66</v>
      </c>
      <c r="AX105">
        <v>0</v>
      </c>
      <c r="AY105" t="s">
        <v>66</v>
      </c>
      <c r="AZ105">
        <v>0</v>
      </c>
      <c r="BA105" t="s">
        <v>66</v>
      </c>
      <c r="BB105">
        <v>0</v>
      </c>
      <c r="BC105">
        <v>0</v>
      </c>
      <c r="BD105">
        <v>44289</v>
      </c>
      <c r="BE105">
        <v>12032.04</v>
      </c>
      <c r="BF105">
        <v>0</v>
      </c>
      <c r="BG105" t="s">
        <v>87</v>
      </c>
      <c r="BH105" t="s">
        <v>66</v>
      </c>
      <c r="BI105">
        <v>0</v>
      </c>
      <c r="BJ105" t="s">
        <v>66</v>
      </c>
      <c r="BK105" t="s">
        <v>88</v>
      </c>
      <c r="BL105" t="s">
        <v>66</v>
      </c>
      <c r="BM105" t="s">
        <v>89</v>
      </c>
    </row>
    <row r="106" spans="1:65" x14ac:dyDescent="0.25">
      <c r="A106">
        <v>104</v>
      </c>
      <c r="B106" t="s">
        <v>373</v>
      </c>
      <c r="C106" t="s">
        <v>374</v>
      </c>
      <c r="D106" s="1">
        <v>46220</v>
      </c>
      <c r="E106" t="s">
        <v>375</v>
      </c>
      <c r="F106" t="s">
        <v>376</v>
      </c>
      <c r="G106" t="s">
        <v>69</v>
      </c>
      <c r="H106" t="s">
        <v>70</v>
      </c>
      <c r="I106" t="s">
        <v>71</v>
      </c>
      <c r="J106" t="s">
        <v>72</v>
      </c>
      <c r="K106" t="s">
        <v>73</v>
      </c>
      <c r="L106" t="s">
        <v>74</v>
      </c>
      <c r="M106" t="s">
        <v>148</v>
      </c>
      <c r="N106" t="s">
        <v>149</v>
      </c>
      <c r="O106" t="s">
        <v>150</v>
      </c>
      <c r="P106" t="s">
        <v>151</v>
      </c>
      <c r="Q106" t="s">
        <v>66</v>
      </c>
      <c r="R106" s="1">
        <v>46220</v>
      </c>
      <c r="S106" t="s">
        <v>150</v>
      </c>
      <c r="T106" t="s">
        <v>152</v>
      </c>
      <c r="U106" t="s">
        <v>153</v>
      </c>
      <c r="V106" t="s">
        <v>66</v>
      </c>
      <c r="W106" t="s">
        <v>66</v>
      </c>
      <c r="X106">
        <v>166500</v>
      </c>
      <c r="Y106">
        <v>18315</v>
      </c>
      <c r="Z106">
        <v>166500</v>
      </c>
      <c r="AA106">
        <v>18315</v>
      </c>
      <c r="AB106">
        <v>184815</v>
      </c>
      <c r="AC106">
        <v>1</v>
      </c>
      <c r="AD106" t="s">
        <v>134</v>
      </c>
      <c r="AE106">
        <v>72</v>
      </c>
      <c r="AF106" t="s">
        <v>185</v>
      </c>
      <c r="AG106">
        <f>IFERROR(VLOOKUP(AF106,[1]STOK!J:O,6,0),"")</f>
        <v>72</v>
      </c>
      <c r="AH106" s="2">
        <f t="shared" si="2"/>
        <v>1</v>
      </c>
      <c r="AI106" t="s">
        <v>185</v>
      </c>
      <c r="AJ106" t="s">
        <v>186</v>
      </c>
      <c r="AK106" t="s">
        <v>187</v>
      </c>
      <c r="AL106" t="s">
        <v>86</v>
      </c>
      <c r="AM106">
        <v>199800</v>
      </c>
      <c r="AN106">
        <f t="shared" si="3"/>
        <v>184815</v>
      </c>
      <c r="AO106" t="s">
        <v>66</v>
      </c>
      <c r="AP106">
        <v>0</v>
      </c>
      <c r="AQ106" t="s">
        <v>66</v>
      </c>
      <c r="AR106">
        <v>0</v>
      </c>
      <c r="AS106" t="s">
        <v>66</v>
      </c>
      <c r="AT106">
        <v>0</v>
      </c>
      <c r="AU106" t="s">
        <v>66</v>
      </c>
      <c r="AV106">
        <v>7.5</v>
      </c>
      <c r="AW106" t="s">
        <v>66</v>
      </c>
      <c r="AX106">
        <v>0</v>
      </c>
      <c r="AY106" t="s">
        <v>66</v>
      </c>
      <c r="AZ106">
        <v>0</v>
      </c>
      <c r="BA106" t="s">
        <v>66</v>
      </c>
      <c r="BB106">
        <v>0</v>
      </c>
      <c r="BC106">
        <v>0</v>
      </c>
      <c r="BD106">
        <v>184815</v>
      </c>
      <c r="BE106">
        <v>2253.1999999999998</v>
      </c>
      <c r="BF106">
        <v>0</v>
      </c>
      <c r="BG106" t="s">
        <v>87</v>
      </c>
      <c r="BH106" t="s">
        <v>66</v>
      </c>
      <c r="BI106">
        <v>0</v>
      </c>
      <c r="BJ106" t="s">
        <v>66</v>
      </c>
      <c r="BK106" t="s">
        <v>88</v>
      </c>
      <c r="BL106" t="s">
        <v>66</v>
      </c>
      <c r="BM106" t="s">
        <v>159</v>
      </c>
    </row>
    <row r="107" spans="1:65" x14ac:dyDescent="0.25">
      <c r="A107">
        <v>105</v>
      </c>
      <c r="B107" t="s">
        <v>377</v>
      </c>
      <c r="C107" t="s">
        <v>378</v>
      </c>
      <c r="D107" s="1">
        <v>46220</v>
      </c>
      <c r="E107" t="s">
        <v>379</v>
      </c>
      <c r="F107" t="s">
        <v>380</v>
      </c>
      <c r="G107" t="s">
        <v>69</v>
      </c>
      <c r="H107" t="s">
        <v>70</v>
      </c>
      <c r="I107" t="s">
        <v>71</v>
      </c>
      <c r="J107" t="s">
        <v>72</v>
      </c>
      <c r="K107" t="s">
        <v>73</v>
      </c>
      <c r="L107" t="s">
        <v>74</v>
      </c>
      <c r="M107" t="s">
        <v>148</v>
      </c>
      <c r="N107" t="s">
        <v>149</v>
      </c>
      <c r="O107" t="s">
        <v>150</v>
      </c>
      <c r="P107" t="s">
        <v>151</v>
      </c>
      <c r="Q107" t="s">
        <v>66</v>
      </c>
      <c r="R107" s="1">
        <v>46220</v>
      </c>
      <c r="S107" t="s">
        <v>150</v>
      </c>
      <c r="T107" t="s">
        <v>152</v>
      </c>
      <c r="U107" t="s">
        <v>153</v>
      </c>
      <c r="V107" t="s">
        <v>66</v>
      </c>
      <c r="W107" t="s">
        <v>66</v>
      </c>
      <c r="X107">
        <v>4820915</v>
      </c>
      <c r="Y107">
        <v>530300.65</v>
      </c>
      <c r="Z107">
        <v>122100</v>
      </c>
      <c r="AA107">
        <v>13431</v>
      </c>
      <c r="AB107">
        <v>5351215.6500000004</v>
      </c>
      <c r="AC107">
        <v>1</v>
      </c>
      <c r="AD107" t="s">
        <v>134</v>
      </c>
      <c r="AE107">
        <v>12</v>
      </c>
      <c r="AF107" t="s">
        <v>234</v>
      </c>
      <c r="AG107">
        <f>IFERROR(VLOOKUP(AF107,[1]STOK!J:O,6,0),"")</f>
        <v>12</v>
      </c>
      <c r="AH107" s="2">
        <f t="shared" si="2"/>
        <v>1</v>
      </c>
      <c r="AI107" t="s">
        <v>234</v>
      </c>
      <c r="AJ107" t="s">
        <v>235</v>
      </c>
      <c r="AK107" t="s">
        <v>236</v>
      </c>
      <c r="AL107" t="s">
        <v>86</v>
      </c>
      <c r="AM107">
        <v>146520</v>
      </c>
      <c r="AN107">
        <f t="shared" si="3"/>
        <v>135531</v>
      </c>
      <c r="AO107" t="s">
        <v>66</v>
      </c>
      <c r="AP107">
        <v>0</v>
      </c>
      <c r="AQ107" t="s">
        <v>66</v>
      </c>
      <c r="AR107">
        <v>0</v>
      </c>
      <c r="AS107" t="s">
        <v>66</v>
      </c>
      <c r="AT107">
        <v>0</v>
      </c>
      <c r="AU107" t="s">
        <v>66</v>
      </c>
      <c r="AV107">
        <v>7.5</v>
      </c>
      <c r="AW107" t="s">
        <v>66</v>
      </c>
      <c r="AX107">
        <v>0</v>
      </c>
      <c r="AY107" t="s">
        <v>66</v>
      </c>
      <c r="AZ107">
        <v>0</v>
      </c>
      <c r="BA107" t="s">
        <v>66</v>
      </c>
      <c r="BB107">
        <v>0</v>
      </c>
      <c r="BC107">
        <v>0</v>
      </c>
      <c r="BD107">
        <v>135531</v>
      </c>
      <c r="BE107">
        <v>9954.7900000000009</v>
      </c>
      <c r="BF107">
        <v>0</v>
      </c>
      <c r="BG107" t="s">
        <v>237</v>
      </c>
      <c r="BH107" t="s">
        <v>66</v>
      </c>
      <c r="BI107">
        <v>0</v>
      </c>
      <c r="BJ107" t="s">
        <v>66</v>
      </c>
      <c r="BK107" t="s">
        <v>88</v>
      </c>
      <c r="BL107" t="s">
        <v>66</v>
      </c>
      <c r="BM107" t="s">
        <v>159</v>
      </c>
    </row>
    <row r="108" spans="1:65" x14ac:dyDescent="0.25">
      <c r="A108">
        <v>106</v>
      </c>
      <c r="B108" t="s">
        <v>377</v>
      </c>
      <c r="C108" t="s">
        <v>378</v>
      </c>
      <c r="D108" s="1">
        <v>46220</v>
      </c>
      <c r="E108" t="s">
        <v>379</v>
      </c>
      <c r="F108" t="s">
        <v>380</v>
      </c>
      <c r="G108" t="s">
        <v>69</v>
      </c>
      <c r="H108" t="s">
        <v>70</v>
      </c>
      <c r="I108" t="s">
        <v>71</v>
      </c>
      <c r="J108" t="s">
        <v>72</v>
      </c>
      <c r="K108" t="s">
        <v>73</v>
      </c>
      <c r="L108" t="s">
        <v>74</v>
      </c>
      <c r="M108" t="s">
        <v>148</v>
      </c>
      <c r="N108" t="s">
        <v>149</v>
      </c>
      <c r="O108" t="s">
        <v>150</v>
      </c>
      <c r="P108" t="s">
        <v>151</v>
      </c>
      <c r="Q108" t="s">
        <v>66</v>
      </c>
      <c r="R108" s="1">
        <v>46220</v>
      </c>
      <c r="S108" t="s">
        <v>150</v>
      </c>
      <c r="T108" t="s">
        <v>152</v>
      </c>
      <c r="U108" t="s">
        <v>153</v>
      </c>
      <c r="V108" t="s">
        <v>66</v>
      </c>
      <c r="W108" t="s">
        <v>66</v>
      </c>
      <c r="X108">
        <v>4820915</v>
      </c>
      <c r="Y108">
        <v>530300.65</v>
      </c>
      <c r="Z108">
        <v>204240</v>
      </c>
      <c r="AA108">
        <v>22466.400000000001</v>
      </c>
      <c r="AB108">
        <v>5351215.6500000004</v>
      </c>
      <c r="AC108">
        <v>1</v>
      </c>
      <c r="AD108" t="s">
        <v>134</v>
      </c>
      <c r="AE108">
        <v>12</v>
      </c>
      <c r="AF108" t="s">
        <v>160</v>
      </c>
      <c r="AG108">
        <f>IFERROR(VLOOKUP(AF108,[1]STOK!J:O,6,0),"")</f>
        <v>12</v>
      </c>
      <c r="AH108" s="2">
        <f t="shared" si="2"/>
        <v>1</v>
      </c>
      <c r="AI108" t="s">
        <v>160</v>
      </c>
      <c r="AJ108" t="s">
        <v>161</v>
      </c>
      <c r="AK108" t="s">
        <v>162</v>
      </c>
      <c r="AL108" t="s">
        <v>86</v>
      </c>
      <c r="AM108">
        <v>245088</v>
      </c>
      <c r="AN108">
        <f t="shared" si="3"/>
        <v>226706.4</v>
      </c>
      <c r="AO108" t="s">
        <v>66</v>
      </c>
      <c r="AP108">
        <v>0</v>
      </c>
      <c r="AQ108" t="s">
        <v>66</v>
      </c>
      <c r="AR108">
        <v>0</v>
      </c>
      <c r="AS108" t="s">
        <v>66</v>
      </c>
      <c r="AT108">
        <v>0</v>
      </c>
      <c r="AU108" t="s">
        <v>66</v>
      </c>
      <c r="AV108">
        <v>7.5</v>
      </c>
      <c r="AW108" t="s">
        <v>66</v>
      </c>
      <c r="AX108">
        <v>0</v>
      </c>
      <c r="AY108" t="s">
        <v>66</v>
      </c>
      <c r="AZ108">
        <v>0</v>
      </c>
      <c r="BA108" t="s">
        <v>66</v>
      </c>
      <c r="BB108">
        <v>0</v>
      </c>
      <c r="BC108">
        <v>0</v>
      </c>
      <c r="BD108">
        <v>226706.4</v>
      </c>
      <c r="BE108">
        <v>16750.64</v>
      </c>
      <c r="BF108">
        <v>0</v>
      </c>
      <c r="BG108" t="s">
        <v>237</v>
      </c>
      <c r="BH108" t="s">
        <v>66</v>
      </c>
      <c r="BI108">
        <v>0</v>
      </c>
      <c r="BJ108" t="s">
        <v>66</v>
      </c>
      <c r="BK108" t="s">
        <v>88</v>
      </c>
      <c r="BL108" t="s">
        <v>66</v>
      </c>
      <c r="BM108" t="s">
        <v>159</v>
      </c>
    </row>
    <row r="109" spans="1:65" x14ac:dyDescent="0.25">
      <c r="A109">
        <v>107</v>
      </c>
      <c r="B109" t="s">
        <v>377</v>
      </c>
      <c r="C109" t="s">
        <v>378</v>
      </c>
      <c r="D109" s="1">
        <v>46220</v>
      </c>
      <c r="E109" t="s">
        <v>379</v>
      </c>
      <c r="F109" t="s">
        <v>380</v>
      </c>
      <c r="G109" t="s">
        <v>69</v>
      </c>
      <c r="H109" t="s">
        <v>70</v>
      </c>
      <c r="I109" t="s">
        <v>71</v>
      </c>
      <c r="J109" t="s">
        <v>72</v>
      </c>
      <c r="K109" t="s">
        <v>73</v>
      </c>
      <c r="L109" t="s">
        <v>74</v>
      </c>
      <c r="M109" t="s">
        <v>148</v>
      </c>
      <c r="N109" t="s">
        <v>149</v>
      </c>
      <c r="O109" t="s">
        <v>150</v>
      </c>
      <c r="P109" t="s">
        <v>151</v>
      </c>
      <c r="Q109" t="s">
        <v>66</v>
      </c>
      <c r="R109" s="1">
        <v>46220</v>
      </c>
      <c r="S109" t="s">
        <v>150</v>
      </c>
      <c r="T109" t="s">
        <v>152</v>
      </c>
      <c r="U109" t="s">
        <v>153</v>
      </c>
      <c r="V109" t="s">
        <v>66</v>
      </c>
      <c r="W109" t="s">
        <v>66</v>
      </c>
      <c r="X109">
        <v>4820915</v>
      </c>
      <c r="Y109">
        <v>530300.65</v>
      </c>
      <c r="Z109">
        <v>136160</v>
      </c>
      <c r="AA109">
        <v>14977.6</v>
      </c>
      <c r="AB109">
        <v>5351215.6500000004</v>
      </c>
      <c r="AC109">
        <v>8</v>
      </c>
      <c r="AD109" t="s">
        <v>82</v>
      </c>
      <c r="AE109">
        <v>8</v>
      </c>
      <c r="AF109" t="s">
        <v>116</v>
      </c>
      <c r="AG109">
        <f>IFERROR(VLOOKUP(AF109,[1]STOK!J:O,6,0),"")</f>
        <v>12</v>
      </c>
      <c r="AH109" s="2">
        <f t="shared" si="2"/>
        <v>0.66666666666666663</v>
      </c>
      <c r="AI109" t="s">
        <v>116</v>
      </c>
      <c r="AJ109" t="s">
        <v>117</v>
      </c>
      <c r="AK109" t="s">
        <v>118</v>
      </c>
      <c r="AL109" t="s">
        <v>86</v>
      </c>
      <c r="AM109">
        <v>20424</v>
      </c>
      <c r="AN109">
        <f t="shared" si="3"/>
        <v>18892.2</v>
      </c>
      <c r="AO109" t="s">
        <v>66</v>
      </c>
      <c r="AP109">
        <v>0</v>
      </c>
      <c r="AQ109" t="s">
        <v>66</v>
      </c>
      <c r="AR109">
        <v>0</v>
      </c>
      <c r="AS109" t="s">
        <v>66</v>
      </c>
      <c r="AT109">
        <v>0</v>
      </c>
      <c r="AU109" t="s">
        <v>66</v>
      </c>
      <c r="AV109">
        <v>7.5</v>
      </c>
      <c r="AW109" t="s">
        <v>66</v>
      </c>
      <c r="AX109">
        <v>0</v>
      </c>
      <c r="AY109" t="s">
        <v>66</v>
      </c>
      <c r="AZ109">
        <v>0</v>
      </c>
      <c r="BA109" t="s">
        <v>66</v>
      </c>
      <c r="BB109">
        <v>0</v>
      </c>
      <c r="BC109">
        <v>0</v>
      </c>
      <c r="BD109">
        <v>151137.60000000001</v>
      </c>
      <c r="BE109">
        <v>16637.05</v>
      </c>
      <c r="BF109">
        <v>0</v>
      </c>
      <c r="BG109" t="s">
        <v>237</v>
      </c>
      <c r="BH109" t="s">
        <v>66</v>
      </c>
      <c r="BI109">
        <v>0</v>
      </c>
      <c r="BJ109" t="s">
        <v>66</v>
      </c>
      <c r="BK109" t="s">
        <v>88</v>
      </c>
      <c r="BL109" t="s">
        <v>66</v>
      </c>
      <c r="BM109" t="s">
        <v>159</v>
      </c>
    </row>
    <row r="110" spans="1:65" x14ac:dyDescent="0.25">
      <c r="A110">
        <v>108</v>
      </c>
      <c r="B110" t="s">
        <v>377</v>
      </c>
      <c r="C110" t="s">
        <v>378</v>
      </c>
      <c r="D110" s="1">
        <v>46220</v>
      </c>
      <c r="E110" t="s">
        <v>379</v>
      </c>
      <c r="F110" t="s">
        <v>380</v>
      </c>
      <c r="G110" t="s">
        <v>69</v>
      </c>
      <c r="H110" t="s">
        <v>70</v>
      </c>
      <c r="I110" t="s">
        <v>71</v>
      </c>
      <c r="J110" t="s">
        <v>72</v>
      </c>
      <c r="K110" t="s">
        <v>73</v>
      </c>
      <c r="L110" t="s">
        <v>74</v>
      </c>
      <c r="M110" t="s">
        <v>148</v>
      </c>
      <c r="N110" t="s">
        <v>149</v>
      </c>
      <c r="O110" t="s">
        <v>150</v>
      </c>
      <c r="P110" t="s">
        <v>151</v>
      </c>
      <c r="Q110" t="s">
        <v>66</v>
      </c>
      <c r="R110" s="1">
        <v>46220</v>
      </c>
      <c r="S110" t="s">
        <v>150</v>
      </c>
      <c r="T110" t="s">
        <v>152</v>
      </c>
      <c r="U110" t="s">
        <v>153</v>
      </c>
      <c r="V110" t="s">
        <v>66</v>
      </c>
      <c r="W110" t="s">
        <v>66</v>
      </c>
      <c r="X110">
        <v>4820915</v>
      </c>
      <c r="Y110">
        <v>530300.65</v>
      </c>
      <c r="Z110">
        <v>333000</v>
      </c>
      <c r="AA110">
        <v>36630</v>
      </c>
      <c r="AB110">
        <v>5351215.6500000004</v>
      </c>
      <c r="AC110">
        <v>2</v>
      </c>
      <c r="AD110" t="s">
        <v>134</v>
      </c>
      <c r="AE110">
        <v>144</v>
      </c>
      <c r="AF110" t="s">
        <v>163</v>
      </c>
      <c r="AG110">
        <f>IFERROR(VLOOKUP(AF110,[1]STOK!J:O,6,0),"")</f>
        <v>72</v>
      </c>
      <c r="AH110" s="2">
        <f t="shared" si="2"/>
        <v>2</v>
      </c>
      <c r="AI110" t="s">
        <v>163</v>
      </c>
      <c r="AJ110" t="s">
        <v>164</v>
      </c>
      <c r="AK110" t="s">
        <v>165</v>
      </c>
      <c r="AL110" t="s">
        <v>86</v>
      </c>
      <c r="AM110">
        <v>199800</v>
      </c>
      <c r="AN110">
        <f t="shared" si="3"/>
        <v>184815</v>
      </c>
      <c r="AO110" t="s">
        <v>66</v>
      </c>
      <c r="AP110">
        <v>0</v>
      </c>
      <c r="AQ110" t="s">
        <v>66</v>
      </c>
      <c r="AR110">
        <v>0</v>
      </c>
      <c r="AS110" t="s">
        <v>66</v>
      </c>
      <c r="AT110">
        <v>0</v>
      </c>
      <c r="AU110" t="s">
        <v>66</v>
      </c>
      <c r="AV110">
        <v>7.5</v>
      </c>
      <c r="AW110" t="s">
        <v>66</v>
      </c>
      <c r="AX110">
        <v>0</v>
      </c>
      <c r="AY110" t="s">
        <v>66</v>
      </c>
      <c r="AZ110">
        <v>0</v>
      </c>
      <c r="BA110" t="s">
        <v>66</v>
      </c>
      <c r="BB110">
        <v>0</v>
      </c>
      <c r="BC110">
        <v>0</v>
      </c>
      <c r="BD110">
        <v>369630</v>
      </c>
      <c r="BE110">
        <v>2257.04</v>
      </c>
      <c r="BF110">
        <v>0</v>
      </c>
      <c r="BG110" t="s">
        <v>237</v>
      </c>
      <c r="BH110" t="s">
        <v>66</v>
      </c>
      <c r="BI110">
        <v>0</v>
      </c>
      <c r="BJ110" t="s">
        <v>66</v>
      </c>
      <c r="BK110" t="s">
        <v>88</v>
      </c>
      <c r="BL110" t="s">
        <v>66</v>
      </c>
      <c r="BM110" t="s">
        <v>159</v>
      </c>
    </row>
    <row r="111" spans="1:65" x14ac:dyDescent="0.25">
      <c r="A111">
        <v>109</v>
      </c>
      <c r="B111" t="s">
        <v>377</v>
      </c>
      <c r="C111" t="s">
        <v>378</v>
      </c>
      <c r="D111" s="1">
        <v>46220</v>
      </c>
      <c r="E111" t="s">
        <v>379</v>
      </c>
      <c r="F111" t="s">
        <v>380</v>
      </c>
      <c r="G111" t="s">
        <v>69</v>
      </c>
      <c r="H111" t="s">
        <v>70</v>
      </c>
      <c r="I111" t="s">
        <v>71</v>
      </c>
      <c r="J111" t="s">
        <v>72</v>
      </c>
      <c r="K111" t="s">
        <v>73</v>
      </c>
      <c r="L111" t="s">
        <v>74</v>
      </c>
      <c r="M111" t="s">
        <v>148</v>
      </c>
      <c r="N111" t="s">
        <v>149</v>
      </c>
      <c r="O111" t="s">
        <v>150</v>
      </c>
      <c r="P111" t="s">
        <v>151</v>
      </c>
      <c r="Q111" t="s">
        <v>66</v>
      </c>
      <c r="R111" s="1">
        <v>46220</v>
      </c>
      <c r="S111" t="s">
        <v>150</v>
      </c>
      <c r="T111" t="s">
        <v>152</v>
      </c>
      <c r="U111" t="s">
        <v>153</v>
      </c>
      <c r="V111" t="s">
        <v>66</v>
      </c>
      <c r="W111" t="s">
        <v>66</v>
      </c>
      <c r="X111">
        <v>4820915</v>
      </c>
      <c r="Y111">
        <v>530300.65</v>
      </c>
      <c r="Z111">
        <v>224220</v>
      </c>
      <c r="AA111">
        <v>24664.2</v>
      </c>
      <c r="AB111">
        <v>5351215.6500000004</v>
      </c>
      <c r="AC111">
        <v>1</v>
      </c>
      <c r="AD111" t="s">
        <v>134</v>
      </c>
      <c r="AE111">
        <v>12</v>
      </c>
      <c r="AF111" t="s">
        <v>239</v>
      </c>
      <c r="AG111">
        <f>IFERROR(VLOOKUP(AF111,[1]STOK!J:O,6,0),"")</f>
        <v>12</v>
      </c>
      <c r="AH111" s="2">
        <f t="shared" si="2"/>
        <v>1</v>
      </c>
      <c r="AI111" t="s">
        <v>239</v>
      </c>
      <c r="AJ111" t="s">
        <v>240</v>
      </c>
      <c r="AK111" t="s">
        <v>241</v>
      </c>
      <c r="AL111" t="s">
        <v>86</v>
      </c>
      <c r="AM111">
        <v>269064</v>
      </c>
      <c r="AN111">
        <f t="shared" si="3"/>
        <v>248884.2</v>
      </c>
      <c r="AO111" t="s">
        <v>66</v>
      </c>
      <c r="AP111">
        <v>0</v>
      </c>
      <c r="AQ111" t="s">
        <v>66</v>
      </c>
      <c r="AR111">
        <v>0</v>
      </c>
      <c r="AS111" t="s">
        <v>66</v>
      </c>
      <c r="AT111">
        <v>0</v>
      </c>
      <c r="AU111" t="s">
        <v>66</v>
      </c>
      <c r="AV111">
        <v>7.5</v>
      </c>
      <c r="AW111" t="s">
        <v>66</v>
      </c>
      <c r="AX111">
        <v>0</v>
      </c>
      <c r="AY111" t="s">
        <v>66</v>
      </c>
      <c r="AZ111">
        <v>0</v>
      </c>
      <c r="BA111" t="s">
        <v>66</v>
      </c>
      <c r="BB111">
        <v>0</v>
      </c>
      <c r="BC111">
        <v>0</v>
      </c>
      <c r="BD111">
        <v>248884.2</v>
      </c>
      <c r="BE111">
        <v>16652.39</v>
      </c>
      <c r="BF111">
        <v>0</v>
      </c>
      <c r="BG111" t="s">
        <v>237</v>
      </c>
      <c r="BH111" t="s">
        <v>66</v>
      </c>
      <c r="BI111">
        <v>0</v>
      </c>
      <c r="BJ111" t="s">
        <v>66</v>
      </c>
      <c r="BK111" t="s">
        <v>88</v>
      </c>
      <c r="BL111" t="s">
        <v>66</v>
      </c>
      <c r="BM111" t="s">
        <v>159</v>
      </c>
    </row>
    <row r="112" spans="1:65" x14ac:dyDescent="0.25">
      <c r="A112">
        <v>110</v>
      </c>
      <c r="B112" t="s">
        <v>377</v>
      </c>
      <c r="C112" t="s">
        <v>378</v>
      </c>
      <c r="D112" s="1">
        <v>46220</v>
      </c>
      <c r="E112" t="s">
        <v>379</v>
      </c>
      <c r="F112" t="s">
        <v>380</v>
      </c>
      <c r="G112" t="s">
        <v>69</v>
      </c>
      <c r="H112" t="s">
        <v>70</v>
      </c>
      <c r="I112" t="s">
        <v>71</v>
      </c>
      <c r="J112" t="s">
        <v>72</v>
      </c>
      <c r="K112" t="s">
        <v>73</v>
      </c>
      <c r="L112" t="s">
        <v>74</v>
      </c>
      <c r="M112" t="s">
        <v>148</v>
      </c>
      <c r="N112" t="s">
        <v>149</v>
      </c>
      <c r="O112" t="s">
        <v>150</v>
      </c>
      <c r="P112" t="s">
        <v>151</v>
      </c>
      <c r="Q112" t="s">
        <v>66</v>
      </c>
      <c r="R112" s="1">
        <v>46220</v>
      </c>
      <c r="S112" t="s">
        <v>150</v>
      </c>
      <c r="T112" t="s">
        <v>152</v>
      </c>
      <c r="U112" t="s">
        <v>153</v>
      </c>
      <c r="V112" t="s">
        <v>66</v>
      </c>
      <c r="W112" t="s">
        <v>66</v>
      </c>
      <c r="X112">
        <v>4820915</v>
      </c>
      <c r="Y112">
        <v>530300.65</v>
      </c>
      <c r="Z112">
        <v>224220</v>
      </c>
      <c r="AA112">
        <v>24664.2</v>
      </c>
      <c r="AB112">
        <v>5351215.6500000004</v>
      </c>
      <c r="AC112">
        <v>1</v>
      </c>
      <c r="AD112" t="s">
        <v>134</v>
      </c>
      <c r="AE112">
        <v>12</v>
      </c>
      <c r="AF112" t="s">
        <v>242</v>
      </c>
      <c r="AG112">
        <f>IFERROR(VLOOKUP(AF112,[1]STOK!J:O,6,0),"")</f>
        <v>12</v>
      </c>
      <c r="AH112" s="2">
        <f t="shared" si="2"/>
        <v>1</v>
      </c>
      <c r="AI112" t="s">
        <v>242</v>
      </c>
      <c r="AJ112" t="s">
        <v>243</v>
      </c>
      <c r="AK112" t="s">
        <v>244</v>
      </c>
      <c r="AL112" t="s">
        <v>86</v>
      </c>
      <c r="AM112">
        <v>269064</v>
      </c>
      <c r="AN112">
        <f t="shared" si="3"/>
        <v>248884.2</v>
      </c>
      <c r="AO112" t="s">
        <v>66</v>
      </c>
      <c r="AP112">
        <v>0</v>
      </c>
      <c r="AQ112" t="s">
        <v>66</v>
      </c>
      <c r="AR112">
        <v>0</v>
      </c>
      <c r="AS112" t="s">
        <v>66</v>
      </c>
      <c r="AT112">
        <v>0</v>
      </c>
      <c r="AU112" t="s">
        <v>66</v>
      </c>
      <c r="AV112">
        <v>7.5</v>
      </c>
      <c r="AW112" t="s">
        <v>66</v>
      </c>
      <c r="AX112">
        <v>0</v>
      </c>
      <c r="AY112" t="s">
        <v>66</v>
      </c>
      <c r="AZ112">
        <v>0</v>
      </c>
      <c r="BA112" t="s">
        <v>66</v>
      </c>
      <c r="BB112">
        <v>0</v>
      </c>
      <c r="BC112">
        <v>0</v>
      </c>
      <c r="BD112">
        <v>248884.2</v>
      </c>
      <c r="BE112">
        <v>16642.77</v>
      </c>
      <c r="BF112">
        <v>0</v>
      </c>
      <c r="BG112" t="s">
        <v>237</v>
      </c>
      <c r="BH112" t="s">
        <v>66</v>
      </c>
      <c r="BI112">
        <v>0</v>
      </c>
      <c r="BJ112" t="s">
        <v>66</v>
      </c>
      <c r="BK112" t="s">
        <v>88</v>
      </c>
      <c r="BL112" t="s">
        <v>66</v>
      </c>
      <c r="BM112" t="s">
        <v>159</v>
      </c>
    </row>
    <row r="113" spans="1:65" x14ac:dyDescent="0.25">
      <c r="A113">
        <v>111</v>
      </c>
      <c r="B113" t="s">
        <v>377</v>
      </c>
      <c r="C113" t="s">
        <v>378</v>
      </c>
      <c r="D113" s="1">
        <v>46220</v>
      </c>
      <c r="E113" t="s">
        <v>379</v>
      </c>
      <c r="F113" t="s">
        <v>380</v>
      </c>
      <c r="G113" t="s">
        <v>69</v>
      </c>
      <c r="H113" t="s">
        <v>70</v>
      </c>
      <c r="I113" t="s">
        <v>71</v>
      </c>
      <c r="J113" t="s">
        <v>72</v>
      </c>
      <c r="K113" t="s">
        <v>73</v>
      </c>
      <c r="L113" t="s">
        <v>74</v>
      </c>
      <c r="M113" t="s">
        <v>148</v>
      </c>
      <c r="N113" t="s">
        <v>149</v>
      </c>
      <c r="O113" t="s">
        <v>150</v>
      </c>
      <c r="P113" t="s">
        <v>151</v>
      </c>
      <c r="Q113" t="s">
        <v>66</v>
      </c>
      <c r="R113" s="1">
        <v>46220</v>
      </c>
      <c r="S113" t="s">
        <v>150</v>
      </c>
      <c r="T113" t="s">
        <v>152</v>
      </c>
      <c r="U113" t="s">
        <v>153</v>
      </c>
      <c r="V113" t="s">
        <v>66</v>
      </c>
      <c r="W113" t="s">
        <v>66</v>
      </c>
      <c r="X113">
        <v>4820915</v>
      </c>
      <c r="Y113">
        <v>530300.65</v>
      </c>
      <c r="Z113">
        <v>175380</v>
      </c>
      <c r="AA113">
        <v>19291.8</v>
      </c>
      <c r="AB113">
        <v>5351215.6500000004</v>
      </c>
      <c r="AC113">
        <v>1</v>
      </c>
      <c r="AD113" t="s">
        <v>134</v>
      </c>
      <c r="AE113">
        <v>24</v>
      </c>
      <c r="AF113" t="s">
        <v>248</v>
      </c>
      <c r="AG113">
        <f>IFERROR(VLOOKUP(AF113,[1]STOK!J:O,6,0),"")</f>
        <v>24</v>
      </c>
      <c r="AH113" s="2">
        <f t="shared" si="2"/>
        <v>1</v>
      </c>
      <c r="AI113" t="s">
        <v>248</v>
      </c>
      <c r="AJ113" t="s">
        <v>249</v>
      </c>
      <c r="AK113" t="s">
        <v>250</v>
      </c>
      <c r="AL113" t="s">
        <v>86</v>
      </c>
      <c r="AM113">
        <v>210456</v>
      </c>
      <c r="AN113">
        <f t="shared" si="3"/>
        <v>194671.8</v>
      </c>
      <c r="AO113" t="s">
        <v>66</v>
      </c>
      <c r="AP113">
        <v>0</v>
      </c>
      <c r="AQ113" t="s">
        <v>66</v>
      </c>
      <c r="AR113">
        <v>0</v>
      </c>
      <c r="AS113" t="s">
        <v>66</v>
      </c>
      <c r="AT113">
        <v>0</v>
      </c>
      <c r="AU113" t="s">
        <v>66</v>
      </c>
      <c r="AV113">
        <v>7.5</v>
      </c>
      <c r="AW113" t="s">
        <v>66</v>
      </c>
      <c r="AX113">
        <v>0</v>
      </c>
      <c r="AY113" t="s">
        <v>66</v>
      </c>
      <c r="AZ113">
        <v>0</v>
      </c>
      <c r="BA113" t="s">
        <v>66</v>
      </c>
      <c r="BB113">
        <v>0</v>
      </c>
      <c r="BC113">
        <v>0</v>
      </c>
      <c r="BD113">
        <v>194671.8</v>
      </c>
      <c r="BE113">
        <v>6516.01</v>
      </c>
      <c r="BF113">
        <v>0</v>
      </c>
      <c r="BG113" t="s">
        <v>237</v>
      </c>
      <c r="BH113" t="s">
        <v>66</v>
      </c>
      <c r="BI113">
        <v>0</v>
      </c>
      <c r="BJ113" t="s">
        <v>66</v>
      </c>
      <c r="BK113" t="s">
        <v>88</v>
      </c>
      <c r="BL113" t="s">
        <v>66</v>
      </c>
      <c r="BM113" t="s">
        <v>159</v>
      </c>
    </row>
    <row r="114" spans="1:65" x14ac:dyDescent="0.25">
      <c r="A114">
        <v>112</v>
      </c>
      <c r="B114" t="s">
        <v>377</v>
      </c>
      <c r="C114" t="s">
        <v>378</v>
      </c>
      <c r="D114" s="1">
        <v>46220</v>
      </c>
      <c r="E114" t="s">
        <v>379</v>
      </c>
      <c r="F114" t="s">
        <v>380</v>
      </c>
      <c r="G114" t="s">
        <v>69</v>
      </c>
      <c r="H114" t="s">
        <v>70</v>
      </c>
      <c r="I114" t="s">
        <v>71</v>
      </c>
      <c r="J114" t="s">
        <v>72</v>
      </c>
      <c r="K114" t="s">
        <v>73</v>
      </c>
      <c r="L114" t="s">
        <v>74</v>
      </c>
      <c r="M114" t="s">
        <v>148</v>
      </c>
      <c r="N114" t="s">
        <v>149</v>
      </c>
      <c r="O114" t="s">
        <v>150</v>
      </c>
      <c r="P114" t="s">
        <v>151</v>
      </c>
      <c r="Q114" t="s">
        <v>66</v>
      </c>
      <c r="R114" s="1">
        <v>46220</v>
      </c>
      <c r="S114" t="s">
        <v>150</v>
      </c>
      <c r="T114" t="s">
        <v>152</v>
      </c>
      <c r="U114" t="s">
        <v>153</v>
      </c>
      <c r="V114" t="s">
        <v>66</v>
      </c>
      <c r="W114" t="s">
        <v>66</v>
      </c>
      <c r="X114">
        <v>4820915</v>
      </c>
      <c r="Y114">
        <v>530300.65</v>
      </c>
      <c r="Z114">
        <v>224220</v>
      </c>
      <c r="AA114">
        <v>24664.2</v>
      </c>
      <c r="AB114">
        <v>5351215.6500000004</v>
      </c>
      <c r="AC114">
        <v>1</v>
      </c>
      <c r="AD114" t="s">
        <v>134</v>
      </c>
      <c r="AE114">
        <v>24</v>
      </c>
      <c r="AF114" t="s">
        <v>245</v>
      </c>
      <c r="AG114">
        <f>IFERROR(VLOOKUP(AF114,[1]STOK!J:O,6,0),"")</f>
        <v>24</v>
      </c>
      <c r="AH114" s="2">
        <f t="shared" si="2"/>
        <v>1</v>
      </c>
      <c r="AI114" t="s">
        <v>245</v>
      </c>
      <c r="AJ114" t="s">
        <v>246</v>
      </c>
      <c r="AK114" t="s">
        <v>247</v>
      </c>
      <c r="AL114" t="s">
        <v>86</v>
      </c>
      <c r="AM114">
        <v>269064</v>
      </c>
      <c r="AN114">
        <f t="shared" si="3"/>
        <v>248884.2</v>
      </c>
      <c r="AO114" t="s">
        <v>66</v>
      </c>
      <c r="AP114">
        <v>0</v>
      </c>
      <c r="AQ114" t="s">
        <v>66</v>
      </c>
      <c r="AR114">
        <v>0</v>
      </c>
      <c r="AS114" t="s">
        <v>66</v>
      </c>
      <c r="AT114">
        <v>0</v>
      </c>
      <c r="AU114" t="s">
        <v>66</v>
      </c>
      <c r="AV114">
        <v>7.5</v>
      </c>
      <c r="AW114" t="s">
        <v>66</v>
      </c>
      <c r="AX114">
        <v>0</v>
      </c>
      <c r="AY114" t="s">
        <v>66</v>
      </c>
      <c r="AZ114">
        <v>0</v>
      </c>
      <c r="BA114" t="s">
        <v>66</v>
      </c>
      <c r="BB114">
        <v>0</v>
      </c>
      <c r="BC114">
        <v>0</v>
      </c>
      <c r="BD114">
        <v>248884.2</v>
      </c>
      <c r="BE114">
        <v>8313.93</v>
      </c>
      <c r="BF114">
        <v>0</v>
      </c>
      <c r="BG114" t="s">
        <v>237</v>
      </c>
      <c r="BH114" t="s">
        <v>66</v>
      </c>
      <c r="BI114">
        <v>0</v>
      </c>
      <c r="BJ114" t="s">
        <v>66</v>
      </c>
      <c r="BK114" t="s">
        <v>88</v>
      </c>
      <c r="BL114" t="s">
        <v>66</v>
      </c>
      <c r="BM114" t="s">
        <v>159</v>
      </c>
    </row>
    <row r="115" spans="1:65" x14ac:dyDescent="0.25">
      <c r="A115">
        <v>113</v>
      </c>
      <c r="B115" t="s">
        <v>377</v>
      </c>
      <c r="C115" t="s">
        <v>378</v>
      </c>
      <c r="D115" s="1">
        <v>46220</v>
      </c>
      <c r="E115" t="s">
        <v>379</v>
      </c>
      <c r="F115" t="s">
        <v>380</v>
      </c>
      <c r="G115" t="s">
        <v>69</v>
      </c>
      <c r="H115" t="s">
        <v>70</v>
      </c>
      <c r="I115" t="s">
        <v>71</v>
      </c>
      <c r="J115" t="s">
        <v>72</v>
      </c>
      <c r="K115" t="s">
        <v>73</v>
      </c>
      <c r="L115" t="s">
        <v>74</v>
      </c>
      <c r="M115" t="s">
        <v>148</v>
      </c>
      <c r="N115" t="s">
        <v>149</v>
      </c>
      <c r="O115" t="s">
        <v>150</v>
      </c>
      <c r="P115" t="s">
        <v>151</v>
      </c>
      <c r="Q115" t="s">
        <v>66</v>
      </c>
      <c r="R115" s="1">
        <v>46220</v>
      </c>
      <c r="S115" t="s">
        <v>150</v>
      </c>
      <c r="T115" t="s">
        <v>152</v>
      </c>
      <c r="U115" t="s">
        <v>153</v>
      </c>
      <c r="V115" t="s">
        <v>66</v>
      </c>
      <c r="W115" t="s">
        <v>66</v>
      </c>
      <c r="X115">
        <v>4820915</v>
      </c>
      <c r="Y115">
        <v>530300.65</v>
      </c>
      <c r="Z115">
        <v>448440</v>
      </c>
      <c r="AA115">
        <v>49328.4</v>
      </c>
      <c r="AB115">
        <v>5351215.6500000004</v>
      </c>
      <c r="AC115">
        <v>2</v>
      </c>
      <c r="AD115" t="s">
        <v>134</v>
      </c>
      <c r="AE115">
        <v>48</v>
      </c>
      <c r="AF115" t="s">
        <v>166</v>
      </c>
      <c r="AG115">
        <f>IFERROR(VLOOKUP(AF115,[1]STOK!J:O,6,0),"")</f>
        <v>24</v>
      </c>
      <c r="AH115" s="2">
        <f t="shared" si="2"/>
        <v>2</v>
      </c>
      <c r="AI115" t="s">
        <v>166</v>
      </c>
      <c r="AJ115" t="s">
        <v>167</v>
      </c>
      <c r="AK115" t="s">
        <v>168</v>
      </c>
      <c r="AL115" t="s">
        <v>86</v>
      </c>
      <c r="AM115">
        <v>269064</v>
      </c>
      <c r="AN115">
        <f t="shared" si="3"/>
        <v>248884.2</v>
      </c>
      <c r="AO115" t="s">
        <v>66</v>
      </c>
      <c r="AP115">
        <v>0</v>
      </c>
      <c r="AQ115" t="s">
        <v>66</v>
      </c>
      <c r="AR115">
        <v>0</v>
      </c>
      <c r="AS115" t="s">
        <v>66</v>
      </c>
      <c r="AT115">
        <v>0</v>
      </c>
      <c r="AU115" t="s">
        <v>66</v>
      </c>
      <c r="AV115">
        <v>7.5</v>
      </c>
      <c r="AW115" t="s">
        <v>66</v>
      </c>
      <c r="AX115">
        <v>0</v>
      </c>
      <c r="AY115" t="s">
        <v>66</v>
      </c>
      <c r="AZ115">
        <v>0</v>
      </c>
      <c r="BA115" t="s">
        <v>66</v>
      </c>
      <c r="BB115">
        <v>0</v>
      </c>
      <c r="BC115">
        <v>0</v>
      </c>
      <c r="BD115">
        <v>497768.4</v>
      </c>
      <c r="BE115">
        <v>8326.0300000000007</v>
      </c>
      <c r="BF115">
        <v>0</v>
      </c>
      <c r="BG115" t="s">
        <v>237</v>
      </c>
      <c r="BH115" t="s">
        <v>66</v>
      </c>
      <c r="BI115">
        <v>0</v>
      </c>
      <c r="BJ115" t="s">
        <v>66</v>
      </c>
      <c r="BK115" t="s">
        <v>88</v>
      </c>
      <c r="BL115" t="s">
        <v>66</v>
      </c>
      <c r="BM115" t="s">
        <v>159</v>
      </c>
    </row>
    <row r="116" spans="1:65" x14ac:dyDescent="0.25">
      <c r="A116">
        <v>114</v>
      </c>
      <c r="B116" t="s">
        <v>377</v>
      </c>
      <c r="C116" t="s">
        <v>378</v>
      </c>
      <c r="D116" s="1">
        <v>46220</v>
      </c>
      <c r="E116" t="s">
        <v>379</v>
      </c>
      <c r="F116" t="s">
        <v>380</v>
      </c>
      <c r="G116" t="s">
        <v>69</v>
      </c>
      <c r="H116" t="s">
        <v>70</v>
      </c>
      <c r="I116" t="s">
        <v>71</v>
      </c>
      <c r="J116" t="s">
        <v>72</v>
      </c>
      <c r="K116" t="s">
        <v>73</v>
      </c>
      <c r="L116" t="s">
        <v>74</v>
      </c>
      <c r="M116" t="s">
        <v>148</v>
      </c>
      <c r="N116" t="s">
        <v>149</v>
      </c>
      <c r="O116" t="s">
        <v>150</v>
      </c>
      <c r="P116" t="s">
        <v>151</v>
      </c>
      <c r="Q116" t="s">
        <v>66</v>
      </c>
      <c r="R116" s="1">
        <v>46220</v>
      </c>
      <c r="S116" t="s">
        <v>150</v>
      </c>
      <c r="T116" t="s">
        <v>152</v>
      </c>
      <c r="U116" t="s">
        <v>153</v>
      </c>
      <c r="V116" t="s">
        <v>66</v>
      </c>
      <c r="W116" t="s">
        <v>66</v>
      </c>
      <c r="X116">
        <v>4820915</v>
      </c>
      <c r="Y116">
        <v>530300.65</v>
      </c>
      <c r="Z116">
        <v>1512375</v>
      </c>
      <c r="AA116">
        <v>166361.25</v>
      </c>
      <c r="AB116">
        <v>5351215.6500000004</v>
      </c>
      <c r="AC116">
        <v>5</v>
      </c>
      <c r="AD116" t="s">
        <v>134</v>
      </c>
      <c r="AE116">
        <v>30</v>
      </c>
      <c r="AF116" t="s">
        <v>251</v>
      </c>
      <c r="AG116">
        <f>IFERROR(VLOOKUP(AF116,[1]STOK!J:O,6,0),"")</f>
        <v>6</v>
      </c>
      <c r="AH116" s="2">
        <f t="shared" si="2"/>
        <v>5</v>
      </c>
      <c r="AI116" t="s">
        <v>251</v>
      </c>
      <c r="AJ116" t="s">
        <v>252</v>
      </c>
      <c r="AK116" t="s">
        <v>253</v>
      </c>
      <c r="AL116" t="s">
        <v>86</v>
      </c>
      <c r="AM116">
        <v>362970</v>
      </c>
      <c r="AN116">
        <f t="shared" si="3"/>
        <v>335747.25</v>
      </c>
      <c r="AO116" t="s">
        <v>66</v>
      </c>
      <c r="AP116">
        <v>0</v>
      </c>
      <c r="AQ116" t="s">
        <v>66</v>
      </c>
      <c r="AR116">
        <v>0</v>
      </c>
      <c r="AS116" t="s">
        <v>66</v>
      </c>
      <c r="AT116">
        <v>0</v>
      </c>
      <c r="AU116" t="s">
        <v>66</v>
      </c>
      <c r="AV116">
        <v>7.5</v>
      </c>
      <c r="AW116" t="s">
        <v>66</v>
      </c>
      <c r="AX116">
        <v>0</v>
      </c>
      <c r="AY116" t="s">
        <v>66</v>
      </c>
      <c r="AZ116">
        <v>0</v>
      </c>
      <c r="BA116" t="s">
        <v>66</v>
      </c>
      <c r="BB116">
        <v>0</v>
      </c>
      <c r="BC116">
        <v>0</v>
      </c>
      <c r="BD116">
        <v>1678736.25</v>
      </c>
      <c r="BE116">
        <v>45215.97</v>
      </c>
      <c r="BF116">
        <v>0</v>
      </c>
      <c r="BG116" t="s">
        <v>237</v>
      </c>
      <c r="BH116" t="s">
        <v>66</v>
      </c>
      <c r="BI116">
        <v>0</v>
      </c>
      <c r="BJ116" t="s">
        <v>66</v>
      </c>
      <c r="BK116" t="s">
        <v>88</v>
      </c>
      <c r="BL116" t="s">
        <v>66</v>
      </c>
      <c r="BM116" t="s">
        <v>159</v>
      </c>
    </row>
    <row r="117" spans="1:65" x14ac:dyDescent="0.25">
      <c r="A117">
        <v>115</v>
      </c>
      <c r="B117" t="s">
        <v>377</v>
      </c>
      <c r="C117" t="s">
        <v>378</v>
      </c>
      <c r="D117" s="1">
        <v>46220</v>
      </c>
      <c r="E117" t="s">
        <v>379</v>
      </c>
      <c r="F117" t="s">
        <v>380</v>
      </c>
      <c r="G117" t="s">
        <v>69</v>
      </c>
      <c r="H117" t="s">
        <v>70</v>
      </c>
      <c r="I117" t="s">
        <v>71</v>
      </c>
      <c r="J117" t="s">
        <v>72</v>
      </c>
      <c r="K117" t="s">
        <v>73</v>
      </c>
      <c r="L117" t="s">
        <v>74</v>
      </c>
      <c r="M117" t="s">
        <v>148</v>
      </c>
      <c r="N117" t="s">
        <v>149</v>
      </c>
      <c r="O117" t="s">
        <v>150</v>
      </c>
      <c r="P117" t="s">
        <v>151</v>
      </c>
      <c r="Q117" t="s">
        <v>66</v>
      </c>
      <c r="R117" s="1">
        <v>46220</v>
      </c>
      <c r="S117" t="s">
        <v>150</v>
      </c>
      <c r="T117" t="s">
        <v>152</v>
      </c>
      <c r="U117" t="s">
        <v>153</v>
      </c>
      <c r="V117" t="s">
        <v>66</v>
      </c>
      <c r="W117" t="s">
        <v>66</v>
      </c>
      <c r="X117">
        <v>4820915</v>
      </c>
      <c r="Y117">
        <v>530300.65</v>
      </c>
      <c r="Z117">
        <v>366300</v>
      </c>
      <c r="AA117">
        <v>40293</v>
      </c>
      <c r="AB117">
        <v>5351215.6500000004</v>
      </c>
      <c r="AC117">
        <v>1</v>
      </c>
      <c r="AD117" t="s">
        <v>134</v>
      </c>
      <c r="AE117">
        <v>24</v>
      </c>
      <c r="AF117" t="s">
        <v>93</v>
      </c>
      <c r="AG117">
        <f>IFERROR(VLOOKUP(AF117,[1]STOK!J:O,6,0),"")</f>
        <v>24</v>
      </c>
      <c r="AH117" s="2">
        <f t="shared" si="2"/>
        <v>1</v>
      </c>
      <c r="AI117" t="s">
        <v>93</v>
      </c>
      <c r="AJ117" t="s">
        <v>94</v>
      </c>
      <c r="AK117" t="s">
        <v>95</v>
      </c>
      <c r="AL117" t="s">
        <v>86</v>
      </c>
      <c r="AM117">
        <v>439560</v>
      </c>
      <c r="AN117">
        <f t="shared" si="3"/>
        <v>406593</v>
      </c>
      <c r="AO117" t="s">
        <v>66</v>
      </c>
      <c r="AP117">
        <v>0</v>
      </c>
      <c r="AQ117" t="s">
        <v>66</v>
      </c>
      <c r="AR117">
        <v>0</v>
      </c>
      <c r="AS117" t="s">
        <v>66</v>
      </c>
      <c r="AT117">
        <v>0</v>
      </c>
      <c r="AU117" t="s">
        <v>66</v>
      </c>
      <c r="AV117">
        <v>7.5</v>
      </c>
      <c r="AW117" t="s">
        <v>66</v>
      </c>
      <c r="AX117">
        <v>0</v>
      </c>
      <c r="AY117" t="s">
        <v>66</v>
      </c>
      <c r="AZ117">
        <v>0</v>
      </c>
      <c r="BA117" t="s">
        <v>66</v>
      </c>
      <c r="BB117">
        <v>0</v>
      </c>
      <c r="BC117">
        <v>0</v>
      </c>
      <c r="BD117">
        <v>406593</v>
      </c>
      <c r="BE117">
        <v>14878.51</v>
      </c>
      <c r="BF117">
        <v>0</v>
      </c>
      <c r="BG117" t="s">
        <v>237</v>
      </c>
      <c r="BH117" t="s">
        <v>66</v>
      </c>
      <c r="BI117">
        <v>0</v>
      </c>
      <c r="BJ117" t="s">
        <v>66</v>
      </c>
      <c r="BK117" t="s">
        <v>88</v>
      </c>
      <c r="BL117" t="s">
        <v>66</v>
      </c>
      <c r="BM117" t="s">
        <v>159</v>
      </c>
    </row>
    <row r="118" spans="1:65" x14ac:dyDescent="0.25">
      <c r="A118">
        <v>116</v>
      </c>
      <c r="B118" t="s">
        <v>377</v>
      </c>
      <c r="C118" t="s">
        <v>378</v>
      </c>
      <c r="D118" s="1">
        <v>46220</v>
      </c>
      <c r="E118" t="s">
        <v>379</v>
      </c>
      <c r="F118" t="s">
        <v>380</v>
      </c>
      <c r="G118" t="s">
        <v>69</v>
      </c>
      <c r="H118" t="s">
        <v>70</v>
      </c>
      <c r="I118" t="s">
        <v>71</v>
      </c>
      <c r="J118" t="s">
        <v>72</v>
      </c>
      <c r="K118" t="s">
        <v>73</v>
      </c>
      <c r="L118" t="s">
        <v>74</v>
      </c>
      <c r="M118" t="s">
        <v>148</v>
      </c>
      <c r="N118" t="s">
        <v>149</v>
      </c>
      <c r="O118" t="s">
        <v>150</v>
      </c>
      <c r="P118" t="s">
        <v>151</v>
      </c>
      <c r="Q118" t="s">
        <v>66</v>
      </c>
      <c r="R118" s="1">
        <v>46220</v>
      </c>
      <c r="S118" t="s">
        <v>150</v>
      </c>
      <c r="T118" t="s">
        <v>152</v>
      </c>
      <c r="U118" t="s">
        <v>153</v>
      </c>
      <c r="V118" t="s">
        <v>66</v>
      </c>
      <c r="W118" t="s">
        <v>66</v>
      </c>
      <c r="X118">
        <v>4820915</v>
      </c>
      <c r="Y118">
        <v>530300.65</v>
      </c>
      <c r="Z118">
        <v>147630</v>
      </c>
      <c r="AA118">
        <v>16239.3</v>
      </c>
      <c r="AB118">
        <v>5351215.6500000004</v>
      </c>
      <c r="AC118">
        <v>1</v>
      </c>
      <c r="AD118" t="s">
        <v>134</v>
      </c>
      <c r="AE118">
        <v>12</v>
      </c>
      <c r="AF118" t="s">
        <v>169</v>
      </c>
      <c r="AG118">
        <f>IFERROR(VLOOKUP(AF118,[1]STOK!J:O,6,0),"")</f>
        <v>12</v>
      </c>
      <c r="AH118" s="2">
        <f t="shared" si="2"/>
        <v>1</v>
      </c>
      <c r="AI118" t="s">
        <v>169</v>
      </c>
      <c r="AJ118" t="s">
        <v>170</v>
      </c>
      <c r="AK118" t="s">
        <v>171</v>
      </c>
      <c r="AL118" t="s">
        <v>86</v>
      </c>
      <c r="AM118">
        <v>177156</v>
      </c>
      <c r="AN118">
        <f t="shared" si="3"/>
        <v>163869.29999999999</v>
      </c>
      <c r="AO118" t="s">
        <v>66</v>
      </c>
      <c r="AP118">
        <v>0</v>
      </c>
      <c r="AQ118" t="s">
        <v>66</v>
      </c>
      <c r="AR118">
        <v>0</v>
      </c>
      <c r="AS118" t="s">
        <v>66</v>
      </c>
      <c r="AT118">
        <v>0</v>
      </c>
      <c r="AU118" t="s">
        <v>66</v>
      </c>
      <c r="AV118">
        <v>7.5</v>
      </c>
      <c r="AW118" t="s">
        <v>66</v>
      </c>
      <c r="AX118">
        <v>0</v>
      </c>
      <c r="AY118" t="s">
        <v>66</v>
      </c>
      <c r="AZ118">
        <v>0</v>
      </c>
      <c r="BA118" t="s">
        <v>66</v>
      </c>
      <c r="BB118">
        <v>0</v>
      </c>
      <c r="BC118">
        <v>0</v>
      </c>
      <c r="BD118">
        <v>163869.29999999999</v>
      </c>
      <c r="BE118">
        <v>12056.21</v>
      </c>
      <c r="BF118">
        <v>0</v>
      </c>
      <c r="BG118" t="s">
        <v>237</v>
      </c>
      <c r="BH118" t="s">
        <v>66</v>
      </c>
      <c r="BI118">
        <v>0</v>
      </c>
      <c r="BJ118" t="s">
        <v>66</v>
      </c>
      <c r="BK118" t="s">
        <v>88</v>
      </c>
      <c r="BL118" t="s">
        <v>66</v>
      </c>
      <c r="BM118" t="s">
        <v>159</v>
      </c>
    </row>
    <row r="119" spans="1:65" x14ac:dyDescent="0.25">
      <c r="A119">
        <v>117</v>
      </c>
      <c r="B119" t="s">
        <v>377</v>
      </c>
      <c r="C119" t="s">
        <v>378</v>
      </c>
      <c r="D119" s="1">
        <v>46220</v>
      </c>
      <c r="E119" t="s">
        <v>379</v>
      </c>
      <c r="F119" t="s">
        <v>380</v>
      </c>
      <c r="G119" t="s">
        <v>69</v>
      </c>
      <c r="H119" t="s">
        <v>70</v>
      </c>
      <c r="I119" t="s">
        <v>71</v>
      </c>
      <c r="J119" t="s">
        <v>72</v>
      </c>
      <c r="K119" t="s">
        <v>73</v>
      </c>
      <c r="L119" t="s">
        <v>74</v>
      </c>
      <c r="M119" t="s">
        <v>148</v>
      </c>
      <c r="N119" t="s">
        <v>149</v>
      </c>
      <c r="O119" t="s">
        <v>150</v>
      </c>
      <c r="P119" t="s">
        <v>151</v>
      </c>
      <c r="Q119" t="s">
        <v>66</v>
      </c>
      <c r="R119" s="1">
        <v>46220</v>
      </c>
      <c r="S119" t="s">
        <v>150</v>
      </c>
      <c r="T119" t="s">
        <v>152</v>
      </c>
      <c r="U119" t="s">
        <v>153</v>
      </c>
      <c r="V119" t="s">
        <v>66</v>
      </c>
      <c r="W119" t="s">
        <v>66</v>
      </c>
      <c r="X119">
        <v>4820915</v>
      </c>
      <c r="Y119">
        <v>530300.65</v>
      </c>
      <c r="Z119">
        <v>159840</v>
      </c>
      <c r="AA119">
        <v>17582.400000000001</v>
      </c>
      <c r="AB119">
        <v>5351215.6500000004</v>
      </c>
      <c r="AC119">
        <v>1</v>
      </c>
      <c r="AD119" t="s">
        <v>134</v>
      </c>
      <c r="AE119">
        <v>12</v>
      </c>
      <c r="AF119" t="s">
        <v>172</v>
      </c>
      <c r="AG119">
        <f>IFERROR(VLOOKUP(AF119,[1]STOK!J:O,6,0),"")</f>
        <v>12</v>
      </c>
      <c r="AH119" s="2">
        <f t="shared" si="2"/>
        <v>1</v>
      </c>
      <c r="AI119" t="s">
        <v>172</v>
      </c>
      <c r="AJ119" t="s">
        <v>173</v>
      </c>
      <c r="AK119" t="s">
        <v>174</v>
      </c>
      <c r="AL119" t="s">
        <v>86</v>
      </c>
      <c r="AM119">
        <v>191808</v>
      </c>
      <c r="AN119">
        <f t="shared" si="3"/>
        <v>177422.4</v>
      </c>
      <c r="AO119" t="s">
        <v>66</v>
      </c>
      <c r="AP119">
        <v>0</v>
      </c>
      <c r="AQ119" t="s">
        <v>66</v>
      </c>
      <c r="AR119">
        <v>0</v>
      </c>
      <c r="AS119" t="s">
        <v>66</v>
      </c>
      <c r="AT119">
        <v>0</v>
      </c>
      <c r="AU119" t="s">
        <v>66</v>
      </c>
      <c r="AV119">
        <v>7.5</v>
      </c>
      <c r="AW119" t="s">
        <v>66</v>
      </c>
      <c r="AX119">
        <v>0</v>
      </c>
      <c r="AY119" t="s">
        <v>66</v>
      </c>
      <c r="AZ119">
        <v>0</v>
      </c>
      <c r="BA119" t="s">
        <v>66</v>
      </c>
      <c r="BB119">
        <v>0</v>
      </c>
      <c r="BC119">
        <v>0</v>
      </c>
      <c r="BD119">
        <v>177422.4</v>
      </c>
      <c r="BE119">
        <v>12824.8</v>
      </c>
      <c r="BF119">
        <v>0</v>
      </c>
      <c r="BG119" t="s">
        <v>237</v>
      </c>
      <c r="BH119" t="s">
        <v>66</v>
      </c>
      <c r="BI119">
        <v>0</v>
      </c>
      <c r="BJ119" t="s">
        <v>66</v>
      </c>
      <c r="BK119" t="s">
        <v>88</v>
      </c>
      <c r="BL119" t="s">
        <v>66</v>
      </c>
      <c r="BM119" t="s">
        <v>159</v>
      </c>
    </row>
    <row r="120" spans="1:65" x14ac:dyDescent="0.25">
      <c r="A120">
        <v>118</v>
      </c>
      <c r="B120" t="s">
        <v>377</v>
      </c>
      <c r="C120" t="s">
        <v>378</v>
      </c>
      <c r="D120" s="1">
        <v>46220</v>
      </c>
      <c r="E120" t="s">
        <v>379</v>
      </c>
      <c r="F120" t="s">
        <v>380</v>
      </c>
      <c r="G120" t="s">
        <v>69</v>
      </c>
      <c r="H120" t="s">
        <v>70</v>
      </c>
      <c r="I120" t="s">
        <v>71</v>
      </c>
      <c r="J120" t="s">
        <v>72</v>
      </c>
      <c r="K120" t="s">
        <v>73</v>
      </c>
      <c r="L120" t="s">
        <v>74</v>
      </c>
      <c r="M120" t="s">
        <v>148</v>
      </c>
      <c r="N120" t="s">
        <v>149</v>
      </c>
      <c r="O120" t="s">
        <v>150</v>
      </c>
      <c r="P120" t="s">
        <v>151</v>
      </c>
      <c r="Q120" t="s">
        <v>66</v>
      </c>
      <c r="R120" s="1">
        <v>46220</v>
      </c>
      <c r="S120" t="s">
        <v>150</v>
      </c>
      <c r="T120" t="s">
        <v>152</v>
      </c>
      <c r="U120" t="s">
        <v>153</v>
      </c>
      <c r="V120" t="s">
        <v>66</v>
      </c>
      <c r="W120" t="s">
        <v>66</v>
      </c>
      <c r="X120">
        <v>4820915</v>
      </c>
      <c r="Y120">
        <v>530300.65</v>
      </c>
      <c r="Z120">
        <v>432900</v>
      </c>
      <c r="AA120">
        <v>47619</v>
      </c>
      <c r="AB120">
        <v>5351215.6500000004</v>
      </c>
      <c r="AC120">
        <v>10</v>
      </c>
      <c r="AD120" t="s">
        <v>134</v>
      </c>
      <c r="AE120">
        <v>120</v>
      </c>
      <c r="AF120" t="s">
        <v>175</v>
      </c>
      <c r="AG120">
        <f>IFERROR(VLOOKUP(AF120,[1]STOK!J:O,6,0),"")</f>
        <v>12</v>
      </c>
      <c r="AH120" s="2">
        <f t="shared" si="2"/>
        <v>10</v>
      </c>
      <c r="AI120" t="s">
        <v>175</v>
      </c>
      <c r="AJ120" t="s">
        <v>176</v>
      </c>
      <c r="AK120" t="s">
        <v>177</v>
      </c>
      <c r="AL120" t="s">
        <v>86</v>
      </c>
      <c r="AM120">
        <v>51948</v>
      </c>
      <c r="AN120">
        <f t="shared" si="3"/>
        <v>48051.9</v>
      </c>
      <c r="AO120" t="s">
        <v>66</v>
      </c>
      <c r="AP120">
        <v>0</v>
      </c>
      <c r="AQ120" t="s">
        <v>66</v>
      </c>
      <c r="AR120">
        <v>0</v>
      </c>
      <c r="AS120" t="s">
        <v>66</v>
      </c>
      <c r="AT120">
        <v>0</v>
      </c>
      <c r="AU120" t="s">
        <v>66</v>
      </c>
      <c r="AV120">
        <v>7.5</v>
      </c>
      <c r="AW120" t="s">
        <v>66</v>
      </c>
      <c r="AX120">
        <v>0</v>
      </c>
      <c r="AY120" t="s">
        <v>66</v>
      </c>
      <c r="AZ120">
        <v>0</v>
      </c>
      <c r="BA120" t="s">
        <v>66</v>
      </c>
      <c r="BB120">
        <v>0</v>
      </c>
      <c r="BC120">
        <v>0</v>
      </c>
      <c r="BD120">
        <v>480519</v>
      </c>
      <c r="BE120">
        <v>3522.54</v>
      </c>
      <c r="BF120">
        <v>0</v>
      </c>
      <c r="BG120" t="s">
        <v>237</v>
      </c>
      <c r="BH120" t="s">
        <v>66</v>
      </c>
      <c r="BI120">
        <v>0</v>
      </c>
      <c r="BJ120" t="s">
        <v>66</v>
      </c>
      <c r="BK120" t="s">
        <v>88</v>
      </c>
      <c r="BL120" t="s">
        <v>66</v>
      </c>
      <c r="BM120" t="s">
        <v>159</v>
      </c>
    </row>
    <row r="121" spans="1:65" x14ac:dyDescent="0.25">
      <c r="A121">
        <v>119</v>
      </c>
      <c r="B121" t="s">
        <v>377</v>
      </c>
      <c r="C121" t="s">
        <v>378</v>
      </c>
      <c r="D121" s="1">
        <v>46220</v>
      </c>
      <c r="E121" t="s">
        <v>379</v>
      </c>
      <c r="F121" t="s">
        <v>380</v>
      </c>
      <c r="G121" t="s">
        <v>69</v>
      </c>
      <c r="H121" t="s">
        <v>70</v>
      </c>
      <c r="I121" t="s">
        <v>71</v>
      </c>
      <c r="J121" t="s">
        <v>72</v>
      </c>
      <c r="K121" t="s">
        <v>73</v>
      </c>
      <c r="L121" t="s">
        <v>74</v>
      </c>
      <c r="M121" t="s">
        <v>148</v>
      </c>
      <c r="N121" t="s">
        <v>149</v>
      </c>
      <c r="O121" t="s">
        <v>150</v>
      </c>
      <c r="P121" t="s">
        <v>151</v>
      </c>
      <c r="Q121" t="s">
        <v>66</v>
      </c>
      <c r="R121" s="1">
        <v>46220</v>
      </c>
      <c r="S121" t="s">
        <v>150</v>
      </c>
      <c r="T121" t="s">
        <v>152</v>
      </c>
      <c r="U121" t="s">
        <v>153</v>
      </c>
      <c r="V121" t="s">
        <v>66</v>
      </c>
      <c r="W121" t="s">
        <v>66</v>
      </c>
      <c r="X121">
        <v>4820915</v>
      </c>
      <c r="Y121">
        <v>530300.65</v>
      </c>
      <c r="Z121">
        <v>109890</v>
      </c>
      <c r="AA121">
        <v>12087.9</v>
      </c>
      <c r="AB121">
        <v>5351215.6500000004</v>
      </c>
      <c r="AC121">
        <v>1</v>
      </c>
      <c r="AD121" t="s">
        <v>134</v>
      </c>
      <c r="AE121">
        <v>12</v>
      </c>
      <c r="AF121" t="s">
        <v>178</v>
      </c>
      <c r="AG121">
        <f>IFERROR(VLOOKUP(AF121,[1]STOK!J:O,6,0),"")</f>
        <v>12</v>
      </c>
      <c r="AH121" s="2">
        <f t="shared" si="2"/>
        <v>1</v>
      </c>
      <c r="AI121" t="s">
        <v>178</v>
      </c>
      <c r="AJ121" t="s">
        <v>179</v>
      </c>
      <c r="AK121" t="s">
        <v>180</v>
      </c>
      <c r="AL121" t="s">
        <v>86</v>
      </c>
      <c r="AM121">
        <v>131868</v>
      </c>
      <c r="AN121">
        <f t="shared" si="3"/>
        <v>121977.9</v>
      </c>
      <c r="AO121" t="s">
        <v>66</v>
      </c>
      <c r="AP121">
        <v>0</v>
      </c>
      <c r="AQ121" t="s">
        <v>66</v>
      </c>
      <c r="AR121">
        <v>0</v>
      </c>
      <c r="AS121" t="s">
        <v>66</v>
      </c>
      <c r="AT121">
        <v>0</v>
      </c>
      <c r="AU121" t="s">
        <v>66</v>
      </c>
      <c r="AV121">
        <v>7.5</v>
      </c>
      <c r="AW121" t="s">
        <v>66</v>
      </c>
      <c r="AX121">
        <v>0</v>
      </c>
      <c r="AY121" t="s">
        <v>66</v>
      </c>
      <c r="AZ121">
        <v>0</v>
      </c>
      <c r="BA121" t="s">
        <v>66</v>
      </c>
      <c r="BB121">
        <v>0</v>
      </c>
      <c r="BC121">
        <v>0</v>
      </c>
      <c r="BD121">
        <v>121977.9</v>
      </c>
      <c r="BE121">
        <v>0</v>
      </c>
      <c r="BF121">
        <v>0</v>
      </c>
      <c r="BG121" t="s">
        <v>237</v>
      </c>
      <c r="BH121" t="s">
        <v>66</v>
      </c>
      <c r="BI121">
        <v>0</v>
      </c>
      <c r="BJ121" t="s">
        <v>66</v>
      </c>
      <c r="BK121" t="s">
        <v>88</v>
      </c>
      <c r="BL121" t="s">
        <v>66</v>
      </c>
      <c r="BM121" t="s">
        <v>159</v>
      </c>
    </row>
    <row r="122" spans="1:65" x14ac:dyDescent="0.25">
      <c r="A122">
        <v>120</v>
      </c>
      <c r="B122" t="s">
        <v>381</v>
      </c>
      <c r="C122" t="s">
        <v>382</v>
      </c>
      <c r="D122" s="1">
        <v>46220</v>
      </c>
      <c r="E122" t="s">
        <v>383</v>
      </c>
      <c r="F122" t="s">
        <v>384</v>
      </c>
      <c r="G122" t="s">
        <v>69</v>
      </c>
      <c r="H122" t="s">
        <v>70</v>
      </c>
      <c r="I122" t="s">
        <v>71</v>
      </c>
      <c r="J122" t="s">
        <v>72</v>
      </c>
      <c r="K122" t="s">
        <v>73</v>
      </c>
      <c r="L122" t="s">
        <v>74</v>
      </c>
      <c r="M122" t="s">
        <v>148</v>
      </c>
      <c r="N122" t="s">
        <v>149</v>
      </c>
      <c r="O122" t="s">
        <v>150</v>
      </c>
      <c r="P122" t="s">
        <v>151</v>
      </c>
      <c r="Q122" t="s">
        <v>66</v>
      </c>
      <c r="R122" s="1">
        <v>46220</v>
      </c>
      <c r="S122" t="s">
        <v>150</v>
      </c>
      <c r="T122" t="s">
        <v>152</v>
      </c>
      <c r="U122" t="s">
        <v>153</v>
      </c>
      <c r="V122" t="s">
        <v>66</v>
      </c>
      <c r="W122" t="s">
        <v>66</v>
      </c>
      <c r="X122">
        <v>177600</v>
      </c>
      <c r="Y122">
        <v>19536</v>
      </c>
      <c r="Z122">
        <v>177600</v>
      </c>
      <c r="AA122">
        <v>19536</v>
      </c>
      <c r="AB122">
        <v>197136</v>
      </c>
      <c r="AC122">
        <v>2</v>
      </c>
      <c r="AD122" t="s">
        <v>134</v>
      </c>
      <c r="AE122">
        <v>48</v>
      </c>
      <c r="AF122" t="s">
        <v>385</v>
      </c>
      <c r="AG122">
        <f>IFERROR(VLOOKUP(AF122,[1]STOK!J:O,6,0),"")</f>
        <v>24</v>
      </c>
      <c r="AH122" s="2">
        <f t="shared" si="2"/>
        <v>2</v>
      </c>
      <c r="AI122" t="s">
        <v>385</v>
      </c>
      <c r="AJ122" t="s">
        <v>386</v>
      </c>
      <c r="AK122" t="s">
        <v>387</v>
      </c>
      <c r="AL122" t="s">
        <v>86</v>
      </c>
      <c r="AM122">
        <v>106560</v>
      </c>
      <c r="AN122">
        <f t="shared" si="3"/>
        <v>98568</v>
      </c>
      <c r="AO122" t="s">
        <v>66</v>
      </c>
      <c r="AP122">
        <v>0</v>
      </c>
      <c r="AQ122" t="s">
        <v>66</v>
      </c>
      <c r="AR122">
        <v>0</v>
      </c>
      <c r="AS122" t="s">
        <v>66</v>
      </c>
      <c r="AT122">
        <v>0</v>
      </c>
      <c r="AU122" t="s">
        <v>66</v>
      </c>
      <c r="AV122">
        <v>7.5</v>
      </c>
      <c r="AW122" t="s">
        <v>66</v>
      </c>
      <c r="AX122">
        <v>0</v>
      </c>
      <c r="AY122" t="s">
        <v>66</v>
      </c>
      <c r="AZ122">
        <v>0</v>
      </c>
      <c r="BA122" t="s">
        <v>66</v>
      </c>
      <c r="BB122">
        <v>0</v>
      </c>
      <c r="BC122">
        <v>0</v>
      </c>
      <c r="BD122">
        <v>197136</v>
      </c>
      <c r="BE122">
        <v>3348.13</v>
      </c>
      <c r="BF122">
        <v>0</v>
      </c>
      <c r="BG122" t="s">
        <v>87</v>
      </c>
      <c r="BH122" t="s">
        <v>66</v>
      </c>
      <c r="BI122">
        <v>0</v>
      </c>
      <c r="BJ122" t="s">
        <v>66</v>
      </c>
      <c r="BK122" t="s">
        <v>88</v>
      </c>
      <c r="BL122" t="s">
        <v>66</v>
      </c>
      <c r="BM122" t="s">
        <v>159</v>
      </c>
    </row>
    <row r="123" spans="1:65" x14ac:dyDescent="0.25">
      <c r="A123">
        <v>121</v>
      </c>
      <c r="B123" t="s">
        <v>388</v>
      </c>
      <c r="C123" t="s">
        <v>389</v>
      </c>
      <c r="D123" s="1">
        <v>46220</v>
      </c>
      <c r="E123" t="s">
        <v>390</v>
      </c>
      <c r="F123" t="s">
        <v>391</v>
      </c>
      <c r="G123" t="s">
        <v>69</v>
      </c>
      <c r="H123" t="s">
        <v>70</v>
      </c>
      <c r="I123" t="s">
        <v>71</v>
      </c>
      <c r="J123" t="s">
        <v>72</v>
      </c>
      <c r="K123" t="s">
        <v>73</v>
      </c>
      <c r="L123" t="s">
        <v>74</v>
      </c>
      <c r="M123" t="s">
        <v>148</v>
      </c>
      <c r="N123" t="s">
        <v>149</v>
      </c>
      <c r="O123" t="s">
        <v>150</v>
      </c>
      <c r="P123" t="s">
        <v>151</v>
      </c>
      <c r="Q123" t="s">
        <v>66</v>
      </c>
      <c r="R123" s="1">
        <v>46220</v>
      </c>
      <c r="S123" t="s">
        <v>150</v>
      </c>
      <c r="T123" t="s">
        <v>152</v>
      </c>
      <c r="U123" t="s">
        <v>153</v>
      </c>
      <c r="V123" t="s">
        <v>66</v>
      </c>
      <c r="W123" t="s">
        <v>66</v>
      </c>
      <c r="X123">
        <v>1356420</v>
      </c>
      <c r="Y123">
        <v>149206.20000000001</v>
      </c>
      <c r="Z123">
        <v>408480</v>
      </c>
      <c r="AA123">
        <v>44932.800000000003</v>
      </c>
      <c r="AB123">
        <v>1505626.2</v>
      </c>
      <c r="AC123">
        <v>2</v>
      </c>
      <c r="AD123" t="s">
        <v>134</v>
      </c>
      <c r="AE123">
        <v>24</v>
      </c>
      <c r="AF123" t="s">
        <v>116</v>
      </c>
      <c r="AG123">
        <f>IFERROR(VLOOKUP(AF123,[1]STOK!J:O,6,0),"")</f>
        <v>12</v>
      </c>
      <c r="AH123" s="2">
        <f t="shared" si="2"/>
        <v>2</v>
      </c>
      <c r="AI123" t="s">
        <v>116</v>
      </c>
      <c r="AJ123" t="s">
        <v>117</v>
      </c>
      <c r="AK123" t="s">
        <v>118</v>
      </c>
      <c r="AL123" t="s">
        <v>86</v>
      </c>
      <c r="AM123">
        <v>245088</v>
      </c>
      <c r="AN123">
        <f t="shared" si="3"/>
        <v>226706.4</v>
      </c>
      <c r="AO123" t="s">
        <v>66</v>
      </c>
      <c r="AP123">
        <v>0</v>
      </c>
      <c r="AQ123" t="s">
        <v>66</v>
      </c>
      <c r="AR123">
        <v>0</v>
      </c>
      <c r="AS123" t="s">
        <v>66</v>
      </c>
      <c r="AT123">
        <v>0</v>
      </c>
      <c r="AU123" t="s">
        <v>66</v>
      </c>
      <c r="AV123">
        <v>7.5</v>
      </c>
      <c r="AW123" t="s">
        <v>66</v>
      </c>
      <c r="AX123">
        <v>0</v>
      </c>
      <c r="AY123" t="s">
        <v>66</v>
      </c>
      <c r="AZ123">
        <v>0</v>
      </c>
      <c r="BA123" t="s">
        <v>66</v>
      </c>
      <c r="BB123">
        <v>0</v>
      </c>
      <c r="BC123">
        <v>0</v>
      </c>
      <c r="BD123">
        <v>453412.8</v>
      </c>
      <c r="BE123">
        <v>16637.05</v>
      </c>
      <c r="BF123">
        <v>0</v>
      </c>
      <c r="BG123" t="s">
        <v>87</v>
      </c>
      <c r="BH123" t="s">
        <v>66</v>
      </c>
      <c r="BI123">
        <v>0</v>
      </c>
      <c r="BJ123" t="s">
        <v>66</v>
      </c>
      <c r="BK123" t="s">
        <v>88</v>
      </c>
      <c r="BL123" t="s">
        <v>66</v>
      </c>
      <c r="BM123" t="s">
        <v>159</v>
      </c>
    </row>
    <row r="124" spans="1:65" x14ac:dyDescent="0.25">
      <c r="A124">
        <v>122</v>
      </c>
      <c r="B124" t="s">
        <v>388</v>
      </c>
      <c r="C124" t="s">
        <v>389</v>
      </c>
      <c r="D124" s="1">
        <v>46220</v>
      </c>
      <c r="E124" t="s">
        <v>390</v>
      </c>
      <c r="F124" t="s">
        <v>391</v>
      </c>
      <c r="G124" t="s">
        <v>69</v>
      </c>
      <c r="H124" t="s">
        <v>70</v>
      </c>
      <c r="I124" t="s">
        <v>71</v>
      </c>
      <c r="J124" t="s">
        <v>72</v>
      </c>
      <c r="K124" t="s">
        <v>73</v>
      </c>
      <c r="L124" t="s">
        <v>74</v>
      </c>
      <c r="M124" t="s">
        <v>148</v>
      </c>
      <c r="N124" t="s">
        <v>149</v>
      </c>
      <c r="O124" t="s">
        <v>150</v>
      </c>
      <c r="P124" t="s">
        <v>151</v>
      </c>
      <c r="Q124" t="s">
        <v>66</v>
      </c>
      <c r="R124" s="1">
        <v>46220</v>
      </c>
      <c r="S124" t="s">
        <v>150</v>
      </c>
      <c r="T124" t="s">
        <v>152</v>
      </c>
      <c r="U124" t="s">
        <v>153</v>
      </c>
      <c r="V124" t="s">
        <v>66</v>
      </c>
      <c r="W124" t="s">
        <v>66</v>
      </c>
      <c r="X124">
        <v>1356420</v>
      </c>
      <c r="Y124">
        <v>149206.20000000001</v>
      </c>
      <c r="Z124">
        <v>166500</v>
      </c>
      <c r="AA124">
        <v>18315</v>
      </c>
      <c r="AB124">
        <v>1505626.2</v>
      </c>
      <c r="AC124">
        <v>1</v>
      </c>
      <c r="AD124" t="s">
        <v>134</v>
      </c>
      <c r="AE124">
        <v>72</v>
      </c>
      <c r="AF124" t="s">
        <v>163</v>
      </c>
      <c r="AG124">
        <f>IFERROR(VLOOKUP(AF124,[1]STOK!J:O,6,0),"")</f>
        <v>72</v>
      </c>
      <c r="AH124" s="2">
        <f t="shared" si="2"/>
        <v>1</v>
      </c>
      <c r="AI124" t="s">
        <v>163</v>
      </c>
      <c r="AJ124" t="s">
        <v>164</v>
      </c>
      <c r="AK124" t="s">
        <v>165</v>
      </c>
      <c r="AL124" t="s">
        <v>86</v>
      </c>
      <c r="AM124">
        <v>199800</v>
      </c>
      <c r="AN124">
        <f t="shared" si="3"/>
        <v>184815</v>
      </c>
      <c r="AO124" t="s">
        <v>66</v>
      </c>
      <c r="AP124">
        <v>0</v>
      </c>
      <c r="AQ124" t="s">
        <v>66</v>
      </c>
      <c r="AR124">
        <v>0</v>
      </c>
      <c r="AS124" t="s">
        <v>66</v>
      </c>
      <c r="AT124">
        <v>0</v>
      </c>
      <c r="AU124" t="s">
        <v>66</v>
      </c>
      <c r="AV124">
        <v>7.5</v>
      </c>
      <c r="AW124" t="s">
        <v>66</v>
      </c>
      <c r="AX124">
        <v>0</v>
      </c>
      <c r="AY124" t="s">
        <v>66</v>
      </c>
      <c r="AZ124">
        <v>0</v>
      </c>
      <c r="BA124" t="s">
        <v>66</v>
      </c>
      <c r="BB124">
        <v>0</v>
      </c>
      <c r="BC124">
        <v>0</v>
      </c>
      <c r="BD124">
        <v>184815</v>
      </c>
      <c r="BE124">
        <v>2257.04</v>
      </c>
      <c r="BF124">
        <v>0</v>
      </c>
      <c r="BG124" t="s">
        <v>87</v>
      </c>
      <c r="BH124" t="s">
        <v>66</v>
      </c>
      <c r="BI124">
        <v>0</v>
      </c>
      <c r="BJ124" t="s">
        <v>66</v>
      </c>
      <c r="BK124" t="s">
        <v>88</v>
      </c>
      <c r="BL124" t="s">
        <v>66</v>
      </c>
      <c r="BM124" t="s">
        <v>159</v>
      </c>
    </row>
    <row r="125" spans="1:65" x14ac:dyDescent="0.25">
      <c r="A125">
        <v>123</v>
      </c>
      <c r="B125" t="s">
        <v>388</v>
      </c>
      <c r="C125" t="s">
        <v>389</v>
      </c>
      <c r="D125" s="1">
        <v>46220</v>
      </c>
      <c r="E125" t="s">
        <v>390</v>
      </c>
      <c r="F125" t="s">
        <v>391</v>
      </c>
      <c r="G125" t="s">
        <v>69</v>
      </c>
      <c r="H125" t="s">
        <v>70</v>
      </c>
      <c r="I125" t="s">
        <v>71</v>
      </c>
      <c r="J125" t="s">
        <v>72</v>
      </c>
      <c r="K125" t="s">
        <v>73</v>
      </c>
      <c r="L125" t="s">
        <v>74</v>
      </c>
      <c r="M125" t="s">
        <v>148</v>
      </c>
      <c r="N125" t="s">
        <v>149</v>
      </c>
      <c r="O125" t="s">
        <v>150</v>
      </c>
      <c r="P125" t="s">
        <v>151</v>
      </c>
      <c r="Q125" t="s">
        <v>66</v>
      </c>
      <c r="R125" s="1">
        <v>46220</v>
      </c>
      <c r="S125" t="s">
        <v>150</v>
      </c>
      <c r="T125" t="s">
        <v>152</v>
      </c>
      <c r="U125" t="s">
        <v>153</v>
      </c>
      <c r="V125" t="s">
        <v>66</v>
      </c>
      <c r="W125" t="s">
        <v>66</v>
      </c>
      <c r="X125">
        <v>1356420</v>
      </c>
      <c r="Y125">
        <v>149206.20000000001</v>
      </c>
      <c r="Z125">
        <v>333000</v>
      </c>
      <c r="AA125">
        <v>36630</v>
      </c>
      <c r="AB125">
        <v>1505626.2</v>
      </c>
      <c r="AC125">
        <v>2</v>
      </c>
      <c r="AD125" t="s">
        <v>134</v>
      </c>
      <c r="AE125">
        <v>144</v>
      </c>
      <c r="AF125" t="s">
        <v>392</v>
      </c>
      <c r="AG125">
        <f>IFERROR(VLOOKUP(AF125,[1]STOK!J:O,6,0),"")</f>
        <v>72</v>
      </c>
      <c r="AH125" s="2">
        <f t="shared" si="2"/>
        <v>2</v>
      </c>
      <c r="AI125" t="s">
        <v>392</v>
      </c>
      <c r="AJ125" t="s">
        <v>393</v>
      </c>
      <c r="AK125" t="s">
        <v>394</v>
      </c>
      <c r="AL125" t="s">
        <v>86</v>
      </c>
      <c r="AM125">
        <v>199800</v>
      </c>
      <c r="AN125">
        <f t="shared" si="3"/>
        <v>184815</v>
      </c>
      <c r="AO125" t="s">
        <v>66</v>
      </c>
      <c r="AP125">
        <v>0</v>
      </c>
      <c r="AQ125" t="s">
        <v>66</v>
      </c>
      <c r="AR125">
        <v>0</v>
      </c>
      <c r="AS125" t="s">
        <v>66</v>
      </c>
      <c r="AT125">
        <v>0</v>
      </c>
      <c r="AU125" t="s">
        <v>66</v>
      </c>
      <c r="AV125">
        <v>7.5</v>
      </c>
      <c r="AW125" t="s">
        <v>66</v>
      </c>
      <c r="AX125">
        <v>0</v>
      </c>
      <c r="AY125" t="s">
        <v>66</v>
      </c>
      <c r="AZ125">
        <v>0</v>
      </c>
      <c r="BA125" t="s">
        <v>66</v>
      </c>
      <c r="BB125">
        <v>0</v>
      </c>
      <c r="BC125">
        <v>0</v>
      </c>
      <c r="BD125">
        <v>369630</v>
      </c>
      <c r="BE125">
        <v>2253.12</v>
      </c>
      <c r="BF125">
        <v>0</v>
      </c>
      <c r="BG125" t="s">
        <v>87</v>
      </c>
      <c r="BH125" t="s">
        <v>66</v>
      </c>
      <c r="BI125">
        <v>0</v>
      </c>
      <c r="BJ125" t="s">
        <v>66</v>
      </c>
      <c r="BK125" t="s">
        <v>88</v>
      </c>
      <c r="BL125" t="s">
        <v>66</v>
      </c>
      <c r="BM125" t="s">
        <v>159</v>
      </c>
    </row>
    <row r="126" spans="1:65" x14ac:dyDescent="0.25">
      <c r="A126">
        <v>124</v>
      </c>
      <c r="B126" t="s">
        <v>388</v>
      </c>
      <c r="C126" t="s">
        <v>389</v>
      </c>
      <c r="D126" s="1">
        <v>46220</v>
      </c>
      <c r="E126" t="s">
        <v>390</v>
      </c>
      <c r="F126" t="s">
        <v>391</v>
      </c>
      <c r="G126" t="s">
        <v>69</v>
      </c>
      <c r="H126" t="s">
        <v>70</v>
      </c>
      <c r="I126" t="s">
        <v>71</v>
      </c>
      <c r="J126" t="s">
        <v>72</v>
      </c>
      <c r="K126" t="s">
        <v>73</v>
      </c>
      <c r="L126" t="s">
        <v>74</v>
      </c>
      <c r="M126" t="s">
        <v>148</v>
      </c>
      <c r="N126" t="s">
        <v>149</v>
      </c>
      <c r="O126" t="s">
        <v>150</v>
      </c>
      <c r="P126" t="s">
        <v>151</v>
      </c>
      <c r="Q126" t="s">
        <v>66</v>
      </c>
      <c r="R126" s="1">
        <v>46220</v>
      </c>
      <c r="S126" t="s">
        <v>150</v>
      </c>
      <c r="T126" t="s">
        <v>152</v>
      </c>
      <c r="U126" t="s">
        <v>153</v>
      </c>
      <c r="V126" t="s">
        <v>66</v>
      </c>
      <c r="W126" t="s">
        <v>66</v>
      </c>
      <c r="X126">
        <v>1356420</v>
      </c>
      <c r="Y126">
        <v>149206.20000000001</v>
      </c>
      <c r="Z126">
        <v>448440</v>
      </c>
      <c r="AA126">
        <v>49328.4</v>
      </c>
      <c r="AB126">
        <v>1505626.2</v>
      </c>
      <c r="AC126">
        <v>2</v>
      </c>
      <c r="AD126" t="s">
        <v>134</v>
      </c>
      <c r="AE126">
        <v>48</v>
      </c>
      <c r="AF126" t="s">
        <v>245</v>
      </c>
      <c r="AG126">
        <f>IFERROR(VLOOKUP(AF126,[1]STOK!J:O,6,0),"")</f>
        <v>24</v>
      </c>
      <c r="AH126" s="2">
        <f t="shared" si="2"/>
        <v>2</v>
      </c>
      <c r="AI126" t="s">
        <v>245</v>
      </c>
      <c r="AJ126" t="s">
        <v>246</v>
      </c>
      <c r="AK126" t="s">
        <v>247</v>
      </c>
      <c r="AL126" t="s">
        <v>86</v>
      </c>
      <c r="AM126">
        <v>269064</v>
      </c>
      <c r="AN126">
        <f t="shared" si="3"/>
        <v>248884.2</v>
      </c>
      <c r="AO126" t="s">
        <v>66</v>
      </c>
      <c r="AP126">
        <v>0</v>
      </c>
      <c r="AQ126" t="s">
        <v>66</v>
      </c>
      <c r="AR126">
        <v>0</v>
      </c>
      <c r="AS126" t="s">
        <v>66</v>
      </c>
      <c r="AT126">
        <v>0</v>
      </c>
      <c r="AU126" t="s">
        <v>66</v>
      </c>
      <c r="AV126">
        <v>7.5</v>
      </c>
      <c r="AW126" t="s">
        <v>66</v>
      </c>
      <c r="AX126">
        <v>0</v>
      </c>
      <c r="AY126" t="s">
        <v>66</v>
      </c>
      <c r="AZ126">
        <v>0</v>
      </c>
      <c r="BA126" t="s">
        <v>66</v>
      </c>
      <c r="BB126">
        <v>0</v>
      </c>
      <c r="BC126">
        <v>0</v>
      </c>
      <c r="BD126">
        <v>497768.4</v>
      </c>
      <c r="BE126">
        <v>8313.93</v>
      </c>
      <c r="BF126">
        <v>0</v>
      </c>
      <c r="BG126" t="s">
        <v>87</v>
      </c>
      <c r="BH126" t="s">
        <v>66</v>
      </c>
      <c r="BI126">
        <v>0</v>
      </c>
      <c r="BJ126" t="s">
        <v>66</v>
      </c>
      <c r="BK126" t="s">
        <v>88</v>
      </c>
      <c r="BL126" t="s">
        <v>66</v>
      </c>
      <c r="BM126" t="s">
        <v>159</v>
      </c>
    </row>
    <row r="127" spans="1:65" x14ac:dyDescent="0.25">
      <c r="A127">
        <v>125</v>
      </c>
      <c r="B127" t="s">
        <v>395</v>
      </c>
      <c r="C127" t="s">
        <v>396</v>
      </c>
      <c r="D127" s="1">
        <v>46220</v>
      </c>
      <c r="E127" t="s">
        <v>397</v>
      </c>
      <c r="F127" t="s">
        <v>398</v>
      </c>
      <c r="G127" t="s">
        <v>69</v>
      </c>
      <c r="H127" t="s">
        <v>70</v>
      </c>
      <c r="I127" t="s">
        <v>71</v>
      </c>
      <c r="J127" t="s">
        <v>72</v>
      </c>
      <c r="K127" t="s">
        <v>73</v>
      </c>
      <c r="L127" t="s">
        <v>74</v>
      </c>
      <c r="M127" t="s">
        <v>148</v>
      </c>
      <c r="N127" t="s">
        <v>149</v>
      </c>
      <c r="O127" t="s">
        <v>150</v>
      </c>
      <c r="P127" t="s">
        <v>151</v>
      </c>
      <c r="Q127" t="s">
        <v>66</v>
      </c>
      <c r="R127" s="1">
        <v>46220</v>
      </c>
      <c r="S127" t="s">
        <v>150</v>
      </c>
      <c r="T127" t="s">
        <v>152</v>
      </c>
      <c r="U127" t="s">
        <v>153</v>
      </c>
      <c r="V127" t="s">
        <v>66</v>
      </c>
      <c r="W127" t="s">
        <v>66</v>
      </c>
      <c r="X127">
        <v>2550595</v>
      </c>
      <c r="Y127">
        <v>280565.45</v>
      </c>
      <c r="Z127">
        <v>122100</v>
      </c>
      <c r="AA127">
        <v>13431</v>
      </c>
      <c r="AB127">
        <v>2831160.45</v>
      </c>
      <c r="AC127">
        <v>1</v>
      </c>
      <c r="AD127" t="s">
        <v>134</v>
      </c>
      <c r="AE127">
        <v>12</v>
      </c>
      <c r="AF127" t="s">
        <v>154</v>
      </c>
      <c r="AG127">
        <f>IFERROR(VLOOKUP(AF127,[1]STOK!J:O,6,0),"")</f>
        <v>12</v>
      </c>
      <c r="AH127" s="2">
        <f t="shared" si="2"/>
        <v>1</v>
      </c>
      <c r="AI127" t="s">
        <v>154</v>
      </c>
      <c r="AJ127" t="s">
        <v>155</v>
      </c>
      <c r="AK127" t="s">
        <v>156</v>
      </c>
      <c r="AL127" t="s">
        <v>86</v>
      </c>
      <c r="AM127">
        <v>146520</v>
      </c>
      <c r="AN127">
        <f t="shared" si="3"/>
        <v>135531</v>
      </c>
      <c r="AO127" t="s">
        <v>66</v>
      </c>
      <c r="AP127">
        <v>0</v>
      </c>
      <c r="AQ127" t="s">
        <v>66</v>
      </c>
      <c r="AR127">
        <v>0</v>
      </c>
      <c r="AS127" t="s">
        <v>66</v>
      </c>
      <c r="AT127">
        <v>0</v>
      </c>
      <c r="AU127" t="s">
        <v>66</v>
      </c>
      <c r="AV127">
        <v>7.5</v>
      </c>
      <c r="AW127" t="s">
        <v>66</v>
      </c>
      <c r="AX127">
        <v>0</v>
      </c>
      <c r="AY127" t="s">
        <v>66</v>
      </c>
      <c r="AZ127">
        <v>0</v>
      </c>
      <c r="BA127" t="s">
        <v>66</v>
      </c>
      <c r="BB127">
        <v>0</v>
      </c>
      <c r="BC127">
        <v>0</v>
      </c>
      <c r="BD127">
        <v>135531</v>
      </c>
      <c r="BE127">
        <v>9954.7900000000009</v>
      </c>
      <c r="BF127">
        <v>0</v>
      </c>
      <c r="BG127" t="s">
        <v>87</v>
      </c>
      <c r="BH127" t="s">
        <v>66</v>
      </c>
      <c r="BI127">
        <v>0</v>
      </c>
      <c r="BJ127" t="s">
        <v>66</v>
      </c>
      <c r="BK127" t="s">
        <v>88</v>
      </c>
      <c r="BL127" t="s">
        <v>66</v>
      </c>
      <c r="BM127" t="s">
        <v>159</v>
      </c>
    </row>
    <row r="128" spans="1:65" x14ac:dyDescent="0.25">
      <c r="A128">
        <v>126</v>
      </c>
      <c r="B128" t="s">
        <v>395</v>
      </c>
      <c r="C128" t="s">
        <v>396</v>
      </c>
      <c r="D128" s="1">
        <v>46220</v>
      </c>
      <c r="E128" t="s">
        <v>397</v>
      </c>
      <c r="F128" t="s">
        <v>398</v>
      </c>
      <c r="G128" t="s">
        <v>69</v>
      </c>
      <c r="H128" t="s">
        <v>70</v>
      </c>
      <c r="I128" t="s">
        <v>71</v>
      </c>
      <c r="J128" t="s">
        <v>72</v>
      </c>
      <c r="K128" t="s">
        <v>73</v>
      </c>
      <c r="L128" t="s">
        <v>74</v>
      </c>
      <c r="M128" t="s">
        <v>148</v>
      </c>
      <c r="N128" t="s">
        <v>149</v>
      </c>
      <c r="O128" t="s">
        <v>150</v>
      </c>
      <c r="P128" t="s">
        <v>151</v>
      </c>
      <c r="Q128" t="s">
        <v>66</v>
      </c>
      <c r="R128" s="1">
        <v>46220</v>
      </c>
      <c r="S128" t="s">
        <v>150</v>
      </c>
      <c r="T128" t="s">
        <v>152</v>
      </c>
      <c r="U128" t="s">
        <v>153</v>
      </c>
      <c r="V128" t="s">
        <v>66</v>
      </c>
      <c r="W128" t="s">
        <v>66</v>
      </c>
      <c r="X128">
        <v>2550595</v>
      </c>
      <c r="Y128">
        <v>280565.45</v>
      </c>
      <c r="Z128">
        <v>136160</v>
      </c>
      <c r="AA128">
        <v>14977.6</v>
      </c>
      <c r="AB128">
        <v>2831160.45</v>
      </c>
      <c r="AC128">
        <v>8</v>
      </c>
      <c r="AD128" t="s">
        <v>82</v>
      </c>
      <c r="AE128">
        <v>8</v>
      </c>
      <c r="AF128" t="s">
        <v>160</v>
      </c>
      <c r="AG128">
        <f>IFERROR(VLOOKUP(AF128,[1]STOK!J:O,6,0),"")</f>
        <v>12</v>
      </c>
      <c r="AH128" s="2">
        <f t="shared" si="2"/>
        <v>0.66666666666666663</v>
      </c>
      <c r="AI128" t="s">
        <v>160</v>
      </c>
      <c r="AJ128" t="s">
        <v>161</v>
      </c>
      <c r="AK128" t="s">
        <v>162</v>
      </c>
      <c r="AL128" t="s">
        <v>86</v>
      </c>
      <c r="AM128">
        <v>20424</v>
      </c>
      <c r="AN128">
        <f t="shared" si="3"/>
        <v>18892.2</v>
      </c>
      <c r="AO128" t="s">
        <v>66</v>
      </c>
      <c r="AP128">
        <v>0</v>
      </c>
      <c r="AQ128" t="s">
        <v>66</v>
      </c>
      <c r="AR128">
        <v>0</v>
      </c>
      <c r="AS128" t="s">
        <v>66</v>
      </c>
      <c r="AT128">
        <v>0</v>
      </c>
      <c r="AU128" t="s">
        <v>66</v>
      </c>
      <c r="AV128">
        <v>7.5</v>
      </c>
      <c r="AW128" t="s">
        <v>66</v>
      </c>
      <c r="AX128">
        <v>0</v>
      </c>
      <c r="AY128" t="s">
        <v>66</v>
      </c>
      <c r="AZ128">
        <v>0</v>
      </c>
      <c r="BA128" t="s">
        <v>66</v>
      </c>
      <c r="BB128">
        <v>0</v>
      </c>
      <c r="BC128">
        <v>0</v>
      </c>
      <c r="BD128">
        <v>151137.60000000001</v>
      </c>
      <c r="BE128">
        <v>16750.64</v>
      </c>
      <c r="BF128">
        <v>0</v>
      </c>
      <c r="BG128" t="s">
        <v>87</v>
      </c>
      <c r="BH128" t="s">
        <v>66</v>
      </c>
      <c r="BI128">
        <v>0</v>
      </c>
      <c r="BJ128" t="s">
        <v>66</v>
      </c>
      <c r="BK128" t="s">
        <v>88</v>
      </c>
      <c r="BL128" t="s">
        <v>66</v>
      </c>
      <c r="BM128" t="s">
        <v>159</v>
      </c>
    </row>
    <row r="129" spans="1:65" x14ac:dyDescent="0.25">
      <c r="A129">
        <v>127</v>
      </c>
      <c r="B129" t="s">
        <v>395</v>
      </c>
      <c r="C129" t="s">
        <v>396</v>
      </c>
      <c r="D129" s="1">
        <v>46220</v>
      </c>
      <c r="E129" t="s">
        <v>397</v>
      </c>
      <c r="F129" t="s">
        <v>398</v>
      </c>
      <c r="G129" t="s">
        <v>69</v>
      </c>
      <c r="H129" t="s">
        <v>70</v>
      </c>
      <c r="I129" t="s">
        <v>71</v>
      </c>
      <c r="J129" t="s">
        <v>72</v>
      </c>
      <c r="K129" t="s">
        <v>73</v>
      </c>
      <c r="L129" t="s">
        <v>74</v>
      </c>
      <c r="M129" t="s">
        <v>148</v>
      </c>
      <c r="N129" t="s">
        <v>149</v>
      </c>
      <c r="O129" t="s">
        <v>150</v>
      </c>
      <c r="P129" t="s">
        <v>151</v>
      </c>
      <c r="Q129" t="s">
        <v>66</v>
      </c>
      <c r="R129" s="1">
        <v>46220</v>
      </c>
      <c r="S129" t="s">
        <v>150</v>
      </c>
      <c r="T129" t="s">
        <v>152</v>
      </c>
      <c r="U129" t="s">
        <v>153</v>
      </c>
      <c r="V129" t="s">
        <v>66</v>
      </c>
      <c r="W129" t="s">
        <v>66</v>
      </c>
      <c r="X129">
        <v>2550595</v>
      </c>
      <c r="Y129">
        <v>280565.45</v>
      </c>
      <c r="Z129">
        <v>166500</v>
      </c>
      <c r="AA129">
        <v>18315</v>
      </c>
      <c r="AB129">
        <v>2831160.45</v>
      </c>
      <c r="AC129">
        <v>1</v>
      </c>
      <c r="AD129" t="s">
        <v>134</v>
      </c>
      <c r="AE129">
        <v>72</v>
      </c>
      <c r="AF129" t="s">
        <v>163</v>
      </c>
      <c r="AG129">
        <f>IFERROR(VLOOKUP(AF129,[1]STOK!J:O,6,0),"")</f>
        <v>72</v>
      </c>
      <c r="AH129" s="2">
        <f t="shared" si="2"/>
        <v>1</v>
      </c>
      <c r="AI129" t="s">
        <v>163</v>
      </c>
      <c r="AJ129" t="s">
        <v>164</v>
      </c>
      <c r="AK129" t="s">
        <v>165</v>
      </c>
      <c r="AL129" t="s">
        <v>86</v>
      </c>
      <c r="AM129">
        <v>199800</v>
      </c>
      <c r="AN129">
        <f t="shared" si="3"/>
        <v>184815</v>
      </c>
      <c r="AO129" t="s">
        <v>66</v>
      </c>
      <c r="AP129">
        <v>0</v>
      </c>
      <c r="AQ129" t="s">
        <v>66</v>
      </c>
      <c r="AR129">
        <v>0</v>
      </c>
      <c r="AS129" t="s">
        <v>66</v>
      </c>
      <c r="AT129">
        <v>0</v>
      </c>
      <c r="AU129" t="s">
        <v>66</v>
      </c>
      <c r="AV129">
        <v>7.5</v>
      </c>
      <c r="AW129" t="s">
        <v>66</v>
      </c>
      <c r="AX129">
        <v>0</v>
      </c>
      <c r="AY129" t="s">
        <v>66</v>
      </c>
      <c r="AZ129">
        <v>0</v>
      </c>
      <c r="BA129" t="s">
        <v>66</v>
      </c>
      <c r="BB129">
        <v>0</v>
      </c>
      <c r="BC129">
        <v>0</v>
      </c>
      <c r="BD129">
        <v>184815</v>
      </c>
      <c r="BE129">
        <v>2257.04</v>
      </c>
      <c r="BF129">
        <v>0</v>
      </c>
      <c r="BG129" t="s">
        <v>87</v>
      </c>
      <c r="BH129" t="s">
        <v>66</v>
      </c>
      <c r="BI129">
        <v>0</v>
      </c>
      <c r="BJ129" t="s">
        <v>66</v>
      </c>
      <c r="BK129" t="s">
        <v>88</v>
      </c>
      <c r="BL129" t="s">
        <v>66</v>
      </c>
      <c r="BM129" t="s">
        <v>159</v>
      </c>
    </row>
    <row r="130" spans="1:65" x14ac:dyDescent="0.25">
      <c r="A130">
        <v>128</v>
      </c>
      <c r="B130" t="s">
        <v>395</v>
      </c>
      <c r="C130" t="s">
        <v>396</v>
      </c>
      <c r="D130" s="1">
        <v>46220</v>
      </c>
      <c r="E130" t="s">
        <v>397</v>
      </c>
      <c r="F130" t="s">
        <v>398</v>
      </c>
      <c r="G130" t="s">
        <v>69</v>
      </c>
      <c r="H130" t="s">
        <v>70</v>
      </c>
      <c r="I130" t="s">
        <v>71</v>
      </c>
      <c r="J130" t="s">
        <v>72</v>
      </c>
      <c r="K130" t="s">
        <v>73</v>
      </c>
      <c r="L130" t="s">
        <v>74</v>
      </c>
      <c r="M130" t="s">
        <v>148</v>
      </c>
      <c r="N130" t="s">
        <v>149</v>
      </c>
      <c r="O130" t="s">
        <v>150</v>
      </c>
      <c r="P130" t="s">
        <v>151</v>
      </c>
      <c r="Q130" t="s">
        <v>66</v>
      </c>
      <c r="R130" s="1">
        <v>46220</v>
      </c>
      <c r="S130" t="s">
        <v>150</v>
      </c>
      <c r="T130" t="s">
        <v>152</v>
      </c>
      <c r="U130" t="s">
        <v>153</v>
      </c>
      <c r="V130" t="s">
        <v>66</v>
      </c>
      <c r="W130" t="s">
        <v>66</v>
      </c>
      <c r="X130">
        <v>2550595</v>
      </c>
      <c r="Y130">
        <v>280565.45</v>
      </c>
      <c r="Z130">
        <v>261590</v>
      </c>
      <c r="AA130">
        <v>28774.9</v>
      </c>
      <c r="AB130">
        <v>2831160.45</v>
      </c>
      <c r="AC130">
        <v>28</v>
      </c>
      <c r="AD130" t="s">
        <v>82</v>
      </c>
      <c r="AE130">
        <v>28</v>
      </c>
      <c r="AF130" t="s">
        <v>166</v>
      </c>
      <c r="AG130">
        <f>IFERROR(VLOOKUP(AF130,[1]STOK!J:O,6,0),"")</f>
        <v>24</v>
      </c>
      <c r="AH130" s="2">
        <f t="shared" si="2"/>
        <v>1.1666666666666667</v>
      </c>
      <c r="AI130" t="s">
        <v>166</v>
      </c>
      <c r="AJ130" t="s">
        <v>167</v>
      </c>
      <c r="AK130" t="s">
        <v>168</v>
      </c>
      <c r="AL130" t="s">
        <v>86</v>
      </c>
      <c r="AM130">
        <v>11211</v>
      </c>
      <c r="AN130">
        <f t="shared" si="3"/>
        <v>10370.175000000001</v>
      </c>
      <c r="AO130" t="s">
        <v>66</v>
      </c>
      <c r="AP130">
        <v>0</v>
      </c>
      <c r="AQ130" t="s">
        <v>66</v>
      </c>
      <c r="AR130">
        <v>0</v>
      </c>
      <c r="AS130" t="s">
        <v>66</v>
      </c>
      <c r="AT130">
        <v>0</v>
      </c>
      <c r="AU130" t="s">
        <v>66</v>
      </c>
      <c r="AV130">
        <v>7.5</v>
      </c>
      <c r="AW130" t="s">
        <v>66</v>
      </c>
      <c r="AX130">
        <v>0</v>
      </c>
      <c r="AY130" t="s">
        <v>66</v>
      </c>
      <c r="AZ130">
        <v>0</v>
      </c>
      <c r="BA130" t="s">
        <v>66</v>
      </c>
      <c r="BB130">
        <v>0</v>
      </c>
      <c r="BC130">
        <v>0</v>
      </c>
      <c r="BD130">
        <v>290364.90000000002</v>
      </c>
      <c r="BE130">
        <v>8326.0300000000007</v>
      </c>
      <c r="BF130">
        <v>0</v>
      </c>
      <c r="BG130" t="s">
        <v>87</v>
      </c>
      <c r="BH130" t="s">
        <v>66</v>
      </c>
      <c r="BI130">
        <v>0</v>
      </c>
      <c r="BJ130" t="s">
        <v>66</v>
      </c>
      <c r="BK130" t="s">
        <v>88</v>
      </c>
      <c r="BL130" t="s">
        <v>66</v>
      </c>
      <c r="BM130" t="s">
        <v>159</v>
      </c>
    </row>
    <row r="131" spans="1:65" x14ac:dyDescent="0.25">
      <c r="A131">
        <v>129</v>
      </c>
      <c r="B131" t="s">
        <v>395</v>
      </c>
      <c r="C131" t="s">
        <v>396</v>
      </c>
      <c r="D131" s="1">
        <v>46220</v>
      </c>
      <c r="E131" t="s">
        <v>397</v>
      </c>
      <c r="F131" t="s">
        <v>398</v>
      </c>
      <c r="G131" t="s">
        <v>69</v>
      </c>
      <c r="H131" t="s">
        <v>70</v>
      </c>
      <c r="I131" t="s">
        <v>71</v>
      </c>
      <c r="J131" t="s">
        <v>72</v>
      </c>
      <c r="K131" t="s">
        <v>73</v>
      </c>
      <c r="L131" t="s">
        <v>74</v>
      </c>
      <c r="M131" t="s">
        <v>148</v>
      </c>
      <c r="N131" t="s">
        <v>149</v>
      </c>
      <c r="O131" t="s">
        <v>150</v>
      </c>
      <c r="P131" t="s">
        <v>151</v>
      </c>
      <c r="Q131" t="s">
        <v>66</v>
      </c>
      <c r="R131" s="1">
        <v>46220</v>
      </c>
      <c r="S131" t="s">
        <v>150</v>
      </c>
      <c r="T131" t="s">
        <v>152</v>
      </c>
      <c r="U131" t="s">
        <v>153</v>
      </c>
      <c r="V131" t="s">
        <v>66</v>
      </c>
      <c r="W131" t="s">
        <v>66</v>
      </c>
      <c r="X131">
        <v>2550595</v>
      </c>
      <c r="Y131">
        <v>280565.45</v>
      </c>
      <c r="Z131">
        <v>213675</v>
      </c>
      <c r="AA131">
        <v>23504.25</v>
      </c>
      <c r="AB131">
        <v>2831160.45</v>
      </c>
      <c r="AC131">
        <v>14</v>
      </c>
      <c r="AD131" t="s">
        <v>82</v>
      </c>
      <c r="AE131">
        <v>14</v>
      </c>
      <c r="AF131" t="s">
        <v>93</v>
      </c>
      <c r="AG131">
        <f>IFERROR(VLOOKUP(AF131,[1]STOK!J:O,6,0),"")</f>
        <v>24</v>
      </c>
      <c r="AH131" s="2">
        <f t="shared" si="2"/>
        <v>0.58333333333333337</v>
      </c>
      <c r="AI131" t="s">
        <v>93</v>
      </c>
      <c r="AJ131" t="s">
        <v>94</v>
      </c>
      <c r="AK131" t="s">
        <v>95</v>
      </c>
      <c r="AL131" t="s">
        <v>86</v>
      </c>
      <c r="AM131">
        <v>18315</v>
      </c>
      <c r="AN131">
        <f t="shared" si="3"/>
        <v>16941.375</v>
      </c>
      <c r="AO131" t="s">
        <v>66</v>
      </c>
      <c r="AP131">
        <v>0</v>
      </c>
      <c r="AQ131" t="s">
        <v>66</v>
      </c>
      <c r="AR131">
        <v>0</v>
      </c>
      <c r="AS131" t="s">
        <v>66</v>
      </c>
      <c r="AT131">
        <v>0</v>
      </c>
      <c r="AU131" t="s">
        <v>66</v>
      </c>
      <c r="AV131">
        <v>7.5</v>
      </c>
      <c r="AW131" t="s">
        <v>66</v>
      </c>
      <c r="AX131">
        <v>0</v>
      </c>
      <c r="AY131" t="s">
        <v>66</v>
      </c>
      <c r="AZ131">
        <v>0</v>
      </c>
      <c r="BA131" t="s">
        <v>66</v>
      </c>
      <c r="BB131">
        <v>0</v>
      </c>
      <c r="BC131">
        <v>0</v>
      </c>
      <c r="BD131">
        <v>237179.25</v>
      </c>
      <c r="BE131">
        <v>14878.51</v>
      </c>
      <c r="BF131">
        <v>0</v>
      </c>
      <c r="BG131" t="s">
        <v>87</v>
      </c>
      <c r="BH131" t="s">
        <v>66</v>
      </c>
      <c r="BI131">
        <v>0</v>
      </c>
      <c r="BJ131" t="s">
        <v>66</v>
      </c>
      <c r="BK131" t="s">
        <v>88</v>
      </c>
      <c r="BL131" t="s">
        <v>66</v>
      </c>
      <c r="BM131" t="s">
        <v>159</v>
      </c>
    </row>
    <row r="132" spans="1:65" x14ac:dyDescent="0.25">
      <c r="A132">
        <v>130</v>
      </c>
      <c r="B132" t="s">
        <v>395</v>
      </c>
      <c r="C132" t="s">
        <v>396</v>
      </c>
      <c r="D132" s="1">
        <v>46220</v>
      </c>
      <c r="E132" t="s">
        <v>397</v>
      </c>
      <c r="F132" t="s">
        <v>398</v>
      </c>
      <c r="G132" t="s">
        <v>69</v>
      </c>
      <c r="H132" t="s">
        <v>70</v>
      </c>
      <c r="I132" t="s">
        <v>71</v>
      </c>
      <c r="J132" t="s">
        <v>72</v>
      </c>
      <c r="K132" t="s">
        <v>73</v>
      </c>
      <c r="L132" t="s">
        <v>74</v>
      </c>
      <c r="M132" t="s">
        <v>148</v>
      </c>
      <c r="N132" t="s">
        <v>149</v>
      </c>
      <c r="O132" t="s">
        <v>150</v>
      </c>
      <c r="P132" t="s">
        <v>151</v>
      </c>
      <c r="Q132" t="s">
        <v>66</v>
      </c>
      <c r="R132" s="1">
        <v>46220</v>
      </c>
      <c r="S132" t="s">
        <v>150</v>
      </c>
      <c r="T132" t="s">
        <v>152</v>
      </c>
      <c r="U132" t="s">
        <v>153</v>
      </c>
      <c r="V132" t="s">
        <v>66</v>
      </c>
      <c r="W132" t="s">
        <v>66</v>
      </c>
      <c r="X132">
        <v>2550595</v>
      </c>
      <c r="Y132">
        <v>280565.45</v>
      </c>
      <c r="Z132">
        <v>295260</v>
      </c>
      <c r="AA132">
        <v>32478.6</v>
      </c>
      <c r="AB132">
        <v>2831160.45</v>
      </c>
      <c r="AC132">
        <v>2</v>
      </c>
      <c r="AD132" t="s">
        <v>134</v>
      </c>
      <c r="AE132">
        <v>24</v>
      </c>
      <c r="AF132" t="s">
        <v>169</v>
      </c>
      <c r="AG132">
        <f>IFERROR(VLOOKUP(AF132,[1]STOK!J:O,6,0),"")</f>
        <v>12</v>
      </c>
      <c r="AH132" s="2">
        <f t="shared" ref="AH132:AH195" si="4">AE132/AG132</f>
        <v>2</v>
      </c>
      <c r="AI132" t="s">
        <v>169</v>
      </c>
      <c r="AJ132" t="s">
        <v>170</v>
      </c>
      <c r="AK132" t="s">
        <v>171</v>
      </c>
      <c r="AL132" t="s">
        <v>86</v>
      </c>
      <c r="AM132">
        <v>177156</v>
      </c>
      <c r="AN132">
        <f t="shared" ref="AN132:AN195" si="5">BD132/AC132</f>
        <v>163869.29999999999</v>
      </c>
      <c r="AO132" t="s">
        <v>66</v>
      </c>
      <c r="AP132">
        <v>0</v>
      </c>
      <c r="AQ132" t="s">
        <v>66</v>
      </c>
      <c r="AR132">
        <v>0</v>
      </c>
      <c r="AS132" t="s">
        <v>66</v>
      </c>
      <c r="AT132">
        <v>0</v>
      </c>
      <c r="AU132" t="s">
        <v>66</v>
      </c>
      <c r="AV132">
        <v>7.5</v>
      </c>
      <c r="AW132" t="s">
        <v>66</v>
      </c>
      <c r="AX132">
        <v>0</v>
      </c>
      <c r="AY132" t="s">
        <v>66</v>
      </c>
      <c r="AZ132">
        <v>0</v>
      </c>
      <c r="BA132" t="s">
        <v>66</v>
      </c>
      <c r="BB132">
        <v>0</v>
      </c>
      <c r="BC132">
        <v>0</v>
      </c>
      <c r="BD132">
        <v>327738.59999999998</v>
      </c>
      <c r="BE132">
        <v>12056.21</v>
      </c>
      <c r="BF132">
        <v>0</v>
      </c>
      <c r="BG132" t="s">
        <v>87</v>
      </c>
      <c r="BH132" t="s">
        <v>66</v>
      </c>
      <c r="BI132">
        <v>0</v>
      </c>
      <c r="BJ132" t="s">
        <v>66</v>
      </c>
      <c r="BK132" t="s">
        <v>88</v>
      </c>
      <c r="BL132" t="s">
        <v>66</v>
      </c>
      <c r="BM132" t="s">
        <v>159</v>
      </c>
    </row>
    <row r="133" spans="1:65" x14ac:dyDescent="0.25">
      <c r="A133">
        <v>131</v>
      </c>
      <c r="B133" t="s">
        <v>395</v>
      </c>
      <c r="C133" t="s">
        <v>396</v>
      </c>
      <c r="D133" s="1">
        <v>46220</v>
      </c>
      <c r="E133" t="s">
        <v>397</v>
      </c>
      <c r="F133" t="s">
        <v>398</v>
      </c>
      <c r="G133" t="s">
        <v>69</v>
      </c>
      <c r="H133" t="s">
        <v>70</v>
      </c>
      <c r="I133" t="s">
        <v>71</v>
      </c>
      <c r="J133" t="s">
        <v>72</v>
      </c>
      <c r="K133" t="s">
        <v>73</v>
      </c>
      <c r="L133" t="s">
        <v>74</v>
      </c>
      <c r="M133" t="s">
        <v>148</v>
      </c>
      <c r="N133" t="s">
        <v>149</v>
      </c>
      <c r="O133" t="s">
        <v>150</v>
      </c>
      <c r="P133" t="s">
        <v>151</v>
      </c>
      <c r="Q133" t="s">
        <v>66</v>
      </c>
      <c r="R133" s="1">
        <v>46220</v>
      </c>
      <c r="S133" t="s">
        <v>150</v>
      </c>
      <c r="T133" t="s">
        <v>152</v>
      </c>
      <c r="U133" t="s">
        <v>153</v>
      </c>
      <c r="V133" t="s">
        <v>66</v>
      </c>
      <c r="W133" t="s">
        <v>66</v>
      </c>
      <c r="X133">
        <v>2550595</v>
      </c>
      <c r="Y133">
        <v>280565.45</v>
      </c>
      <c r="Z133">
        <v>159840</v>
      </c>
      <c r="AA133">
        <v>17582.400000000001</v>
      </c>
      <c r="AB133">
        <v>2831160.45</v>
      </c>
      <c r="AC133">
        <v>1</v>
      </c>
      <c r="AD133" t="s">
        <v>134</v>
      </c>
      <c r="AE133">
        <v>12</v>
      </c>
      <c r="AF133" t="s">
        <v>172</v>
      </c>
      <c r="AG133">
        <f>IFERROR(VLOOKUP(AF133,[1]STOK!J:O,6,0),"")</f>
        <v>12</v>
      </c>
      <c r="AH133" s="2">
        <f t="shared" si="4"/>
        <v>1</v>
      </c>
      <c r="AI133" t="s">
        <v>172</v>
      </c>
      <c r="AJ133" t="s">
        <v>173</v>
      </c>
      <c r="AK133" t="s">
        <v>174</v>
      </c>
      <c r="AL133" t="s">
        <v>86</v>
      </c>
      <c r="AM133">
        <v>191808</v>
      </c>
      <c r="AN133">
        <f t="shared" si="5"/>
        <v>177422.4</v>
      </c>
      <c r="AO133" t="s">
        <v>66</v>
      </c>
      <c r="AP133">
        <v>0</v>
      </c>
      <c r="AQ133" t="s">
        <v>66</v>
      </c>
      <c r="AR133">
        <v>0</v>
      </c>
      <c r="AS133" t="s">
        <v>66</v>
      </c>
      <c r="AT133">
        <v>0</v>
      </c>
      <c r="AU133" t="s">
        <v>66</v>
      </c>
      <c r="AV133">
        <v>7.5</v>
      </c>
      <c r="AW133" t="s">
        <v>66</v>
      </c>
      <c r="AX133">
        <v>0</v>
      </c>
      <c r="AY133" t="s">
        <v>66</v>
      </c>
      <c r="AZ133">
        <v>0</v>
      </c>
      <c r="BA133" t="s">
        <v>66</v>
      </c>
      <c r="BB133">
        <v>0</v>
      </c>
      <c r="BC133">
        <v>0</v>
      </c>
      <c r="BD133">
        <v>177422.4</v>
      </c>
      <c r="BE133">
        <v>12824.8</v>
      </c>
      <c r="BF133">
        <v>0</v>
      </c>
      <c r="BG133" t="s">
        <v>87</v>
      </c>
      <c r="BH133" t="s">
        <v>66</v>
      </c>
      <c r="BI133">
        <v>0</v>
      </c>
      <c r="BJ133" t="s">
        <v>66</v>
      </c>
      <c r="BK133" t="s">
        <v>88</v>
      </c>
      <c r="BL133" t="s">
        <v>66</v>
      </c>
      <c r="BM133" t="s">
        <v>159</v>
      </c>
    </row>
    <row r="134" spans="1:65" x14ac:dyDescent="0.25">
      <c r="A134">
        <v>132</v>
      </c>
      <c r="B134" t="s">
        <v>395</v>
      </c>
      <c r="C134" t="s">
        <v>396</v>
      </c>
      <c r="D134" s="1">
        <v>46220</v>
      </c>
      <c r="E134" t="s">
        <v>397</v>
      </c>
      <c r="F134" t="s">
        <v>398</v>
      </c>
      <c r="G134" t="s">
        <v>69</v>
      </c>
      <c r="H134" t="s">
        <v>70</v>
      </c>
      <c r="I134" t="s">
        <v>71</v>
      </c>
      <c r="J134" t="s">
        <v>72</v>
      </c>
      <c r="K134" t="s">
        <v>73</v>
      </c>
      <c r="L134" t="s">
        <v>74</v>
      </c>
      <c r="M134" t="s">
        <v>148</v>
      </c>
      <c r="N134" t="s">
        <v>149</v>
      </c>
      <c r="O134" t="s">
        <v>150</v>
      </c>
      <c r="P134" t="s">
        <v>151</v>
      </c>
      <c r="Q134" t="s">
        <v>66</v>
      </c>
      <c r="R134" s="1">
        <v>46220</v>
      </c>
      <c r="S134" t="s">
        <v>150</v>
      </c>
      <c r="T134" t="s">
        <v>152</v>
      </c>
      <c r="U134" t="s">
        <v>153</v>
      </c>
      <c r="V134" t="s">
        <v>66</v>
      </c>
      <c r="W134" t="s">
        <v>66</v>
      </c>
      <c r="X134">
        <v>2550595</v>
      </c>
      <c r="Y134">
        <v>280565.45</v>
      </c>
      <c r="Z134">
        <v>865800</v>
      </c>
      <c r="AA134">
        <v>95238</v>
      </c>
      <c r="AB134">
        <v>2831160.45</v>
      </c>
      <c r="AC134">
        <v>20</v>
      </c>
      <c r="AD134" t="s">
        <v>134</v>
      </c>
      <c r="AE134">
        <v>240</v>
      </c>
      <c r="AF134" t="s">
        <v>175</v>
      </c>
      <c r="AG134">
        <f>IFERROR(VLOOKUP(AF134,[1]STOK!J:O,6,0),"")</f>
        <v>12</v>
      </c>
      <c r="AH134" s="2">
        <f t="shared" si="4"/>
        <v>20</v>
      </c>
      <c r="AI134" t="s">
        <v>175</v>
      </c>
      <c r="AJ134" t="s">
        <v>176</v>
      </c>
      <c r="AK134" t="s">
        <v>177</v>
      </c>
      <c r="AL134" t="s">
        <v>86</v>
      </c>
      <c r="AM134">
        <v>51948</v>
      </c>
      <c r="AN134">
        <f t="shared" si="5"/>
        <v>48051.9</v>
      </c>
      <c r="AO134" t="s">
        <v>66</v>
      </c>
      <c r="AP134">
        <v>0</v>
      </c>
      <c r="AQ134" t="s">
        <v>66</v>
      </c>
      <c r="AR134">
        <v>0</v>
      </c>
      <c r="AS134" t="s">
        <v>66</v>
      </c>
      <c r="AT134">
        <v>0</v>
      </c>
      <c r="AU134" t="s">
        <v>66</v>
      </c>
      <c r="AV134">
        <v>7.5</v>
      </c>
      <c r="AW134" t="s">
        <v>66</v>
      </c>
      <c r="AX134">
        <v>0</v>
      </c>
      <c r="AY134" t="s">
        <v>66</v>
      </c>
      <c r="AZ134">
        <v>0</v>
      </c>
      <c r="BA134" t="s">
        <v>66</v>
      </c>
      <c r="BB134">
        <v>0</v>
      </c>
      <c r="BC134">
        <v>0</v>
      </c>
      <c r="BD134">
        <v>961038</v>
      </c>
      <c r="BE134">
        <v>3522.54</v>
      </c>
      <c r="BF134">
        <v>0</v>
      </c>
      <c r="BG134" t="s">
        <v>87</v>
      </c>
      <c r="BH134" t="s">
        <v>66</v>
      </c>
      <c r="BI134">
        <v>0</v>
      </c>
      <c r="BJ134" t="s">
        <v>66</v>
      </c>
      <c r="BK134" t="s">
        <v>88</v>
      </c>
      <c r="BL134" t="s">
        <v>66</v>
      </c>
      <c r="BM134" t="s">
        <v>159</v>
      </c>
    </row>
    <row r="135" spans="1:65" x14ac:dyDescent="0.25">
      <c r="A135">
        <v>133</v>
      </c>
      <c r="B135" t="s">
        <v>395</v>
      </c>
      <c r="C135" t="s">
        <v>396</v>
      </c>
      <c r="D135" s="1">
        <v>46220</v>
      </c>
      <c r="E135" t="s">
        <v>397</v>
      </c>
      <c r="F135" t="s">
        <v>398</v>
      </c>
      <c r="G135" t="s">
        <v>69</v>
      </c>
      <c r="H135" t="s">
        <v>70</v>
      </c>
      <c r="I135" t="s">
        <v>71</v>
      </c>
      <c r="J135" t="s">
        <v>72</v>
      </c>
      <c r="K135" t="s">
        <v>73</v>
      </c>
      <c r="L135" t="s">
        <v>74</v>
      </c>
      <c r="M135" t="s">
        <v>148</v>
      </c>
      <c r="N135" t="s">
        <v>149</v>
      </c>
      <c r="O135" t="s">
        <v>150</v>
      </c>
      <c r="P135" t="s">
        <v>151</v>
      </c>
      <c r="Q135" t="s">
        <v>66</v>
      </c>
      <c r="R135" s="1">
        <v>46220</v>
      </c>
      <c r="S135" t="s">
        <v>150</v>
      </c>
      <c r="T135" t="s">
        <v>152</v>
      </c>
      <c r="U135" t="s">
        <v>153</v>
      </c>
      <c r="V135" t="s">
        <v>66</v>
      </c>
      <c r="W135" t="s">
        <v>66</v>
      </c>
      <c r="X135">
        <v>2550595</v>
      </c>
      <c r="Y135">
        <v>280565.45</v>
      </c>
      <c r="Z135">
        <v>329670</v>
      </c>
      <c r="AA135">
        <v>36263.699999999997</v>
      </c>
      <c r="AB135">
        <v>2831160.45</v>
      </c>
      <c r="AC135">
        <v>3</v>
      </c>
      <c r="AD135" t="s">
        <v>134</v>
      </c>
      <c r="AE135">
        <v>36</v>
      </c>
      <c r="AF135" t="s">
        <v>178</v>
      </c>
      <c r="AG135">
        <f>IFERROR(VLOOKUP(AF135,[1]STOK!J:O,6,0),"")</f>
        <v>12</v>
      </c>
      <c r="AH135" s="2">
        <f t="shared" si="4"/>
        <v>3</v>
      </c>
      <c r="AI135" t="s">
        <v>178</v>
      </c>
      <c r="AJ135" t="s">
        <v>179</v>
      </c>
      <c r="AK135" t="s">
        <v>180</v>
      </c>
      <c r="AL135" t="s">
        <v>86</v>
      </c>
      <c r="AM135">
        <v>131868</v>
      </c>
      <c r="AN135">
        <f t="shared" si="5"/>
        <v>121977.90000000001</v>
      </c>
      <c r="AO135" t="s">
        <v>66</v>
      </c>
      <c r="AP135">
        <v>0</v>
      </c>
      <c r="AQ135" t="s">
        <v>66</v>
      </c>
      <c r="AR135">
        <v>0</v>
      </c>
      <c r="AS135" t="s">
        <v>66</v>
      </c>
      <c r="AT135">
        <v>0</v>
      </c>
      <c r="AU135" t="s">
        <v>66</v>
      </c>
      <c r="AV135">
        <v>7.5</v>
      </c>
      <c r="AW135" t="s">
        <v>66</v>
      </c>
      <c r="AX135">
        <v>0</v>
      </c>
      <c r="AY135" t="s">
        <v>66</v>
      </c>
      <c r="AZ135">
        <v>0</v>
      </c>
      <c r="BA135" t="s">
        <v>66</v>
      </c>
      <c r="BB135">
        <v>0</v>
      </c>
      <c r="BC135">
        <v>0</v>
      </c>
      <c r="BD135">
        <v>365933.7</v>
      </c>
      <c r="BE135">
        <v>0</v>
      </c>
      <c r="BF135">
        <v>0</v>
      </c>
      <c r="BG135" t="s">
        <v>87</v>
      </c>
      <c r="BH135" t="s">
        <v>66</v>
      </c>
      <c r="BI135">
        <v>0</v>
      </c>
      <c r="BJ135" t="s">
        <v>66</v>
      </c>
      <c r="BK135" t="s">
        <v>88</v>
      </c>
      <c r="BL135" t="s">
        <v>66</v>
      </c>
      <c r="BM135" t="s">
        <v>159</v>
      </c>
    </row>
    <row r="136" spans="1:65" x14ac:dyDescent="0.25">
      <c r="A136">
        <v>134</v>
      </c>
      <c r="B136" t="s">
        <v>399</v>
      </c>
      <c r="C136" t="s">
        <v>68</v>
      </c>
      <c r="D136" s="1">
        <v>46226</v>
      </c>
      <c r="E136" t="s">
        <v>400</v>
      </c>
      <c r="F136" t="s">
        <v>68</v>
      </c>
      <c r="G136" t="s">
        <v>69</v>
      </c>
      <c r="H136" t="s">
        <v>70</v>
      </c>
      <c r="I136" t="s">
        <v>71</v>
      </c>
      <c r="J136" t="s">
        <v>72</v>
      </c>
      <c r="K136" t="s">
        <v>73</v>
      </c>
      <c r="L136" t="s">
        <v>74</v>
      </c>
      <c r="M136" t="s">
        <v>401</v>
      </c>
      <c r="N136" t="s">
        <v>111</v>
      </c>
      <c r="O136" t="s">
        <v>402</v>
      </c>
      <c r="P136" t="s">
        <v>403</v>
      </c>
      <c r="Q136" t="s">
        <v>66</v>
      </c>
      <c r="R136" s="1">
        <v>46226</v>
      </c>
      <c r="S136" t="s">
        <v>404</v>
      </c>
      <c r="T136" t="s">
        <v>405</v>
      </c>
      <c r="U136" t="s">
        <v>66</v>
      </c>
      <c r="V136" t="s">
        <v>406</v>
      </c>
      <c r="W136" t="s">
        <v>66</v>
      </c>
      <c r="X136">
        <v>314700</v>
      </c>
      <c r="Y136">
        <v>34617</v>
      </c>
      <c r="Z136">
        <v>55200</v>
      </c>
      <c r="AA136">
        <v>6072</v>
      </c>
      <c r="AB136">
        <v>349317</v>
      </c>
      <c r="AC136">
        <v>3</v>
      </c>
      <c r="AD136" t="s">
        <v>82</v>
      </c>
      <c r="AE136">
        <v>3</v>
      </c>
      <c r="AF136" t="s">
        <v>160</v>
      </c>
      <c r="AG136">
        <f>IFERROR(VLOOKUP(AF136,[1]STOK!J:O,6,0),"")</f>
        <v>12</v>
      </c>
      <c r="AH136" s="2">
        <f t="shared" si="4"/>
        <v>0.25</v>
      </c>
      <c r="AI136" t="s">
        <v>160</v>
      </c>
      <c r="AJ136" t="s">
        <v>161</v>
      </c>
      <c r="AK136" t="s">
        <v>162</v>
      </c>
      <c r="AL136" t="s">
        <v>86</v>
      </c>
      <c r="AM136">
        <v>20424</v>
      </c>
      <c r="AN136">
        <f t="shared" si="5"/>
        <v>20424</v>
      </c>
      <c r="AO136" t="s">
        <v>66</v>
      </c>
      <c r="AP136">
        <v>0</v>
      </c>
      <c r="AQ136" t="s">
        <v>66</v>
      </c>
      <c r="AR136">
        <v>0</v>
      </c>
      <c r="AS136" t="s">
        <v>66</v>
      </c>
      <c r="AT136">
        <v>0</v>
      </c>
      <c r="AU136" t="s">
        <v>66</v>
      </c>
      <c r="AV136">
        <v>0</v>
      </c>
      <c r="AW136" t="s">
        <v>66</v>
      </c>
      <c r="AX136">
        <v>0</v>
      </c>
      <c r="AY136" t="s">
        <v>66</v>
      </c>
      <c r="AZ136">
        <v>0</v>
      </c>
      <c r="BA136" t="s">
        <v>66</v>
      </c>
      <c r="BB136">
        <v>0</v>
      </c>
      <c r="BC136">
        <v>0</v>
      </c>
      <c r="BD136">
        <v>61272</v>
      </c>
      <c r="BE136">
        <v>16709.57</v>
      </c>
      <c r="BF136">
        <v>0</v>
      </c>
      <c r="BG136" t="s">
        <v>87</v>
      </c>
      <c r="BH136" t="s">
        <v>66</v>
      </c>
      <c r="BI136">
        <v>0</v>
      </c>
      <c r="BJ136" t="s">
        <v>66</v>
      </c>
      <c r="BK136" t="s">
        <v>88</v>
      </c>
      <c r="BL136" t="s">
        <v>66</v>
      </c>
      <c r="BM136" t="s">
        <v>89</v>
      </c>
    </row>
    <row r="137" spans="1:65" x14ac:dyDescent="0.25">
      <c r="A137">
        <v>135</v>
      </c>
      <c r="B137" t="s">
        <v>399</v>
      </c>
      <c r="C137" t="s">
        <v>68</v>
      </c>
      <c r="D137" s="1">
        <v>46226</v>
      </c>
      <c r="E137" t="s">
        <v>400</v>
      </c>
      <c r="F137" t="s">
        <v>68</v>
      </c>
      <c r="G137" t="s">
        <v>69</v>
      </c>
      <c r="H137" t="s">
        <v>70</v>
      </c>
      <c r="I137" t="s">
        <v>71</v>
      </c>
      <c r="J137" t="s">
        <v>72</v>
      </c>
      <c r="K137" t="s">
        <v>73</v>
      </c>
      <c r="L137" t="s">
        <v>74</v>
      </c>
      <c r="M137" t="s">
        <v>401</v>
      </c>
      <c r="N137" t="s">
        <v>111</v>
      </c>
      <c r="O137" t="s">
        <v>402</v>
      </c>
      <c r="P137" t="s">
        <v>403</v>
      </c>
      <c r="Q137" t="s">
        <v>66</v>
      </c>
      <c r="R137" s="1">
        <v>46226</v>
      </c>
      <c r="S137" t="s">
        <v>404</v>
      </c>
      <c r="T137" t="s">
        <v>405</v>
      </c>
      <c r="U137" t="s">
        <v>66</v>
      </c>
      <c r="V137" t="s">
        <v>406</v>
      </c>
      <c r="W137" t="s">
        <v>66</v>
      </c>
      <c r="X137">
        <v>314700</v>
      </c>
      <c r="Y137">
        <v>34617</v>
      </c>
      <c r="Z137">
        <v>55200</v>
      </c>
      <c r="AA137">
        <v>6072</v>
      </c>
      <c r="AB137">
        <v>349317</v>
      </c>
      <c r="AC137">
        <v>3</v>
      </c>
      <c r="AD137" t="s">
        <v>82</v>
      </c>
      <c r="AE137">
        <v>3</v>
      </c>
      <c r="AF137" t="s">
        <v>116</v>
      </c>
      <c r="AG137">
        <f>IFERROR(VLOOKUP(AF137,[1]STOK!J:O,6,0),"")</f>
        <v>12</v>
      </c>
      <c r="AH137" s="2">
        <f t="shared" si="4"/>
        <v>0.25</v>
      </c>
      <c r="AI137" t="s">
        <v>116</v>
      </c>
      <c r="AJ137" t="s">
        <v>117</v>
      </c>
      <c r="AK137" t="s">
        <v>118</v>
      </c>
      <c r="AL137" t="s">
        <v>86</v>
      </c>
      <c r="AM137">
        <v>20424</v>
      </c>
      <c r="AN137">
        <f t="shared" si="5"/>
        <v>20424</v>
      </c>
      <c r="AO137" t="s">
        <v>66</v>
      </c>
      <c r="AP137">
        <v>0</v>
      </c>
      <c r="AQ137" t="s">
        <v>66</v>
      </c>
      <c r="AR137">
        <v>0</v>
      </c>
      <c r="AS137" t="s">
        <v>66</v>
      </c>
      <c r="AT137">
        <v>0</v>
      </c>
      <c r="AU137" t="s">
        <v>66</v>
      </c>
      <c r="AV137">
        <v>0</v>
      </c>
      <c r="AW137" t="s">
        <v>66</v>
      </c>
      <c r="AX137">
        <v>0</v>
      </c>
      <c r="AY137" t="s">
        <v>66</v>
      </c>
      <c r="AZ137">
        <v>0</v>
      </c>
      <c r="BA137" t="s">
        <v>66</v>
      </c>
      <c r="BB137">
        <v>0</v>
      </c>
      <c r="BC137">
        <v>0</v>
      </c>
      <c r="BD137">
        <v>61272</v>
      </c>
      <c r="BE137">
        <v>16641.740000000002</v>
      </c>
      <c r="BF137">
        <v>0</v>
      </c>
      <c r="BG137" t="s">
        <v>87</v>
      </c>
      <c r="BH137" t="s">
        <v>66</v>
      </c>
      <c r="BI137">
        <v>0</v>
      </c>
      <c r="BJ137" t="s">
        <v>66</v>
      </c>
      <c r="BK137" t="s">
        <v>88</v>
      </c>
      <c r="BL137" t="s">
        <v>66</v>
      </c>
      <c r="BM137" t="s">
        <v>89</v>
      </c>
    </row>
    <row r="138" spans="1:65" x14ac:dyDescent="0.25">
      <c r="A138">
        <v>136</v>
      </c>
      <c r="B138" t="s">
        <v>399</v>
      </c>
      <c r="C138" t="s">
        <v>68</v>
      </c>
      <c r="D138" s="1">
        <v>46226</v>
      </c>
      <c r="E138" t="s">
        <v>400</v>
      </c>
      <c r="F138" t="s">
        <v>68</v>
      </c>
      <c r="G138" t="s">
        <v>69</v>
      </c>
      <c r="H138" t="s">
        <v>70</v>
      </c>
      <c r="I138" t="s">
        <v>71</v>
      </c>
      <c r="J138" t="s">
        <v>72</v>
      </c>
      <c r="K138" t="s">
        <v>73</v>
      </c>
      <c r="L138" t="s">
        <v>74</v>
      </c>
      <c r="M138" t="s">
        <v>401</v>
      </c>
      <c r="N138" t="s">
        <v>111</v>
      </c>
      <c r="O138" t="s">
        <v>402</v>
      </c>
      <c r="P138" t="s">
        <v>403</v>
      </c>
      <c r="Q138" t="s">
        <v>66</v>
      </c>
      <c r="R138" s="1">
        <v>46226</v>
      </c>
      <c r="S138" t="s">
        <v>404</v>
      </c>
      <c r="T138" t="s">
        <v>405</v>
      </c>
      <c r="U138" t="s">
        <v>66</v>
      </c>
      <c r="V138" t="s">
        <v>406</v>
      </c>
      <c r="W138" t="s">
        <v>66</v>
      </c>
      <c r="X138">
        <v>314700</v>
      </c>
      <c r="Y138">
        <v>34617</v>
      </c>
      <c r="Z138">
        <v>22200</v>
      </c>
      <c r="AA138">
        <v>2442</v>
      </c>
      <c r="AB138">
        <v>349317</v>
      </c>
      <c r="AC138">
        <v>3</v>
      </c>
      <c r="AD138" t="s">
        <v>82</v>
      </c>
      <c r="AE138">
        <v>3</v>
      </c>
      <c r="AF138" t="s">
        <v>262</v>
      </c>
      <c r="AG138">
        <f>IFERROR(VLOOKUP(AF138,[1]STOK!J:O,6,0),"")</f>
        <v>24</v>
      </c>
      <c r="AH138" s="2">
        <f t="shared" si="4"/>
        <v>0.125</v>
      </c>
      <c r="AI138" t="s">
        <v>262</v>
      </c>
      <c r="AJ138" t="s">
        <v>263</v>
      </c>
      <c r="AK138" t="s">
        <v>264</v>
      </c>
      <c r="AL138" t="s">
        <v>86</v>
      </c>
      <c r="AM138">
        <v>8214</v>
      </c>
      <c r="AN138">
        <f t="shared" si="5"/>
        <v>8214</v>
      </c>
      <c r="AO138" t="s">
        <v>66</v>
      </c>
      <c r="AP138">
        <v>0</v>
      </c>
      <c r="AQ138" t="s">
        <v>66</v>
      </c>
      <c r="AR138">
        <v>0</v>
      </c>
      <c r="AS138" t="s">
        <v>66</v>
      </c>
      <c r="AT138">
        <v>0</v>
      </c>
      <c r="AU138" t="s">
        <v>66</v>
      </c>
      <c r="AV138">
        <v>0</v>
      </c>
      <c r="AW138" t="s">
        <v>66</v>
      </c>
      <c r="AX138">
        <v>0</v>
      </c>
      <c r="AY138" t="s">
        <v>66</v>
      </c>
      <c r="AZ138">
        <v>0</v>
      </c>
      <c r="BA138" t="s">
        <v>66</v>
      </c>
      <c r="BB138">
        <v>0</v>
      </c>
      <c r="BC138">
        <v>0</v>
      </c>
      <c r="BD138">
        <v>24642</v>
      </c>
      <c r="BE138">
        <v>6681.53</v>
      </c>
      <c r="BF138">
        <v>0</v>
      </c>
      <c r="BG138" t="s">
        <v>87</v>
      </c>
      <c r="BH138" t="s">
        <v>66</v>
      </c>
      <c r="BI138">
        <v>0</v>
      </c>
      <c r="BJ138" t="s">
        <v>66</v>
      </c>
      <c r="BK138" t="s">
        <v>88</v>
      </c>
      <c r="BL138" t="s">
        <v>66</v>
      </c>
      <c r="BM138" t="s">
        <v>89</v>
      </c>
    </row>
    <row r="139" spans="1:65" x14ac:dyDescent="0.25">
      <c r="A139">
        <v>137</v>
      </c>
      <c r="B139" t="s">
        <v>399</v>
      </c>
      <c r="C139" t="s">
        <v>68</v>
      </c>
      <c r="D139" s="1">
        <v>46226</v>
      </c>
      <c r="E139" t="s">
        <v>400</v>
      </c>
      <c r="F139" t="s">
        <v>68</v>
      </c>
      <c r="G139" t="s">
        <v>69</v>
      </c>
      <c r="H139" t="s">
        <v>70</v>
      </c>
      <c r="I139" t="s">
        <v>71</v>
      </c>
      <c r="J139" t="s">
        <v>72</v>
      </c>
      <c r="K139" t="s">
        <v>73</v>
      </c>
      <c r="L139" t="s">
        <v>74</v>
      </c>
      <c r="M139" t="s">
        <v>401</v>
      </c>
      <c r="N139" t="s">
        <v>111</v>
      </c>
      <c r="O139" t="s">
        <v>402</v>
      </c>
      <c r="P139" t="s">
        <v>403</v>
      </c>
      <c r="Q139" t="s">
        <v>66</v>
      </c>
      <c r="R139" s="1">
        <v>46226</v>
      </c>
      <c r="S139" t="s">
        <v>404</v>
      </c>
      <c r="T139" t="s">
        <v>405</v>
      </c>
      <c r="U139" t="s">
        <v>66</v>
      </c>
      <c r="V139" t="s">
        <v>406</v>
      </c>
      <c r="W139" t="s">
        <v>66</v>
      </c>
      <c r="X139">
        <v>314700</v>
      </c>
      <c r="Y139">
        <v>34617</v>
      </c>
      <c r="Z139">
        <v>22200</v>
      </c>
      <c r="AA139">
        <v>2442</v>
      </c>
      <c r="AB139">
        <v>349317</v>
      </c>
      <c r="AC139">
        <v>3</v>
      </c>
      <c r="AD139" t="s">
        <v>82</v>
      </c>
      <c r="AE139">
        <v>3</v>
      </c>
      <c r="AF139" t="s">
        <v>265</v>
      </c>
      <c r="AG139">
        <f>IFERROR(VLOOKUP(AF139,[1]STOK!J:O,6,0),"")</f>
        <v>24</v>
      </c>
      <c r="AH139" s="2">
        <f t="shared" si="4"/>
        <v>0.125</v>
      </c>
      <c r="AI139" t="s">
        <v>265</v>
      </c>
      <c r="AJ139" t="s">
        <v>266</v>
      </c>
      <c r="AK139" t="s">
        <v>267</v>
      </c>
      <c r="AL139" t="s">
        <v>86</v>
      </c>
      <c r="AM139">
        <v>8214</v>
      </c>
      <c r="AN139">
        <f t="shared" si="5"/>
        <v>8214</v>
      </c>
      <c r="AO139" t="s">
        <v>66</v>
      </c>
      <c r="AP139">
        <v>0</v>
      </c>
      <c r="AQ139" t="s">
        <v>66</v>
      </c>
      <c r="AR139">
        <v>0</v>
      </c>
      <c r="AS139" t="s">
        <v>66</v>
      </c>
      <c r="AT139">
        <v>0</v>
      </c>
      <c r="AU139" t="s">
        <v>66</v>
      </c>
      <c r="AV139">
        <v>0</v>
      </c>
      <c r="AW139" t="s">
        <v>66</v>
      </c>
      <c r="AX139">
        <v>0</v>
      </c>
      <c r="AY139" t="s">
        <v>66</v>
      </c>
      <c r="AZ139">
        <v>0</v>
      </c>
      <c r="BA139" t="s">
        <v>66</v>
      </c>
      <c r="BB139">
        <v>0</v>
      </c>
      <c r="BC139">
        <v>0</v>
      </c>
      <c r="BD139">
        <v>24642</v>
      </c>
      <c r="BE139">
        <v>6447.38</v>
      </c>
      <c r="BF139">
        <v>0</v>
      </c>
      <c r="BG139" t="s">
        <v>87</v>
      </c>
      <c r="BH139" t="s">
        <v>66</v>
      </c>
      <c r="BI139">
        <v>0</v>
      </c>
      <c r="BJ139" t="s">
        <v>66</v>
      </c>
      <c r="BK139" t="s">
        <v>88</v>
      </c>
      <c r="BL139" t="s">
        <v>66</v>
      </c>
      <c r="BM139" t="s">
        <v>89</v>
      </c>
    </row>
    <row r="140" spans="1:65" x14ac:dyDescent="0.25">
      <c r="A140">
        <v>138</v>
      </c>
      <c r="B140" t="s">
        <v>399</v>
      </c>
      <c r="C140" t="s">
        <v>68</v>
      </c>
      <c r="D140" s="1">
        <v>46226</v>
      </c>
      <c r="E140" t="s">
        <v>400</v>
      </c>
      <c r="F140" t="s">
        <v>68</v>
      </c>
      <c r="G140" t="s">
        <v>69</v>
      </c>
      <c r="H140" t="s">
        <v>70</v>
      </c>
      <c r="I140" t="s">
        <v>71</v>
      </c>
      <c r="J140" t="s">
        <v>72</v>
      </c>
      <c r="K140" t="s">
        <v>73</v>
      </c>
      <c r="L140" t="s">
        <v>74</v>
      </c>
      <c r="M140" t="s">
        <v>401</v>
      </c>
      <c r="N140" t="s">
        <v>111</v>
      </c>
      <c r="O140" t="s">
        <v>402</v>
      </c>
      <c r="P140" t="s">
        <v>403</v>
      </c>
      <c r="Q140" t="s">
        <v>66</v>
      </c>
      <c r="R140" s="1">
        <v>46226</v>
      </c>
      <c r="S140" t="s">
        <v>404</v>
      </c>
      <c r="T140" t="s">
        <v>405</v>
      </c>
      <c r="U140" t="s">
        <v>66</v>
      </c>
      <c r="V140" t="s">
        <v>406</v>
      </c>
      <c r="W140" t="s">
        <v>66</v>
      </c>
      <c r="X140">
        <v>314700</v>
      </c>
      <c r="Y140">
        <v>34617</v>
      </c>
      <c r="Z140">
        <v>22200</v>
      </c>
      <c r="AA140">
        <v>2442</v>
      </c>
      <c r="AB140">
        <v>349317</v>
      </c>
      <c r="AC140">
        <v>3</v>
      </c>
      <c r="AD140" t="s">
        <v>82</v>
      </c>
      <c r="AE140">
        <v>3</v>
      </c>
      <c r="AF140" t="s">
        <v>83</v>
      </c>
      <c r="AG140">
        <f>IFERROR(VLOOKUP(AF140,[1]STOK!J:O,6,0),"")</f>
        <v>24</v>
      </c>
      <c r="AH140" s="2">
        <f t="shared" si="4"/>
        <v>0.125</v>
      </c>
      <c r="AI140" t="s">
        <v>83</v>
      </c>
      <c r="AJ140" t="s">
        <v>84</v>
      </c>
      <c r="AK140" t="s">
        <v>85</v>
      </c>
      <c r="AL140" t="s">
        <v>86</v>
      </c>
      <c r="AM140">
        <v>8214</v>
      </c>
      <c r="AN140">
        <f t="shared" si="5"/>
        <v>8214</v>
      </c>
      <c r="AO140" t="s">
        <v>66</v>
      </c>
      <c r="AP140">
        <v>0</v>
      </c>
      <c r="AQ140" t="s">
        <v>66</v>
      </c>
      <c r="AR140">
        <v>0</v>
      </c>
      <c r="AS140" t="s">
        <v>66</v>
      </c>
      <c r="AT140">
        <v>0</v>
      </c>
      <c r="AU140" t="s">
        <v>66</v>
      </c>
      <c r="AV140">
        <v>0</v>
      </c>
      <c r="AW140" t="s">
        <v>66</v>
      </c>
      <c r="AX140">
        <v>0</v>
      </c>
      <c r="AY140" t="s">
        <v>66</v>
      </c>
      <c r="AZ140">
        <v>0</v>
      </c>
      <c r="BA140" t="s">
        <v>66</v>
      </c>
      <c r="BB140">
        <v>0</v>
      </c>
      <c r="BC140">
        <v>0</v>
      </c>
      <c r="BD140">
        <v>24642</v>
      </c>
      <c r="BE140">
        <v>6590.47</v>
      </c>
      <c r="BF140">
        <v>0</v>
      </c>
      <c r="BG140" t="s">
        <v>87</v>
      </c>
      <c r="BH140" t="s">
        <v>66</v>
      </c>
      <c r="BI140">
        <v>0</v>
      </c>
      <c r="BJ140" t="s">
        <v>66</v>
      </c>
      <c r="BK140" t="s">
        <v>88</v>
      </c>
      <c r="BL140" t="s">
        <v>66</v>
      </c>
      <c r="BM140" t="s">
        <v>89</v>
      </c>
    </row>
    <row r="141" spans="1:65" x14ac:dyDescent="0.25">
      <c r="A141">
        <v>139</v>
      </c>
      <c r="B141" t="s">
        <v>399</v>
      </c>
      <c r="C141" t="s">
        <v>68</v>
      </c>
      <c r="D141" s="1">
        <v>46226</v>
      </c>
      <c r="E141" t="s">
        <v>400</v>
      </c>
      <c r="F141" t="s">
        <v>68</v>
      </c>
      <c r="G141" t="s">
        <v>69</v>
      </c>
      <c r="H141" t="s">
        <v>70</v>
      </c>
      <c r="I141" t="s">
        <v>71</v>
      </c>
      <c r="J141" t="s">
        <v>72</v>
      </c>
      <c r="K141" t="s">
        <v>73</v>
      </c>
      <c r="L141" t="s">
        <v>74</v>
      </c>
      <c r="M141" t="s">
        <v>401</v>
      </c>
      <c r="N141" t="s">
        <v>111</v>
      </c>
      <c r="O141" t="s">
        <v>402</v>
      </c>
      <c r="P141" t="s">
        <v>403</v>
      </c>
      <c r="Q141" t="s">
        <v>66</v>
      </c>
      <c r="R141" s="1">
        <v>46226</v>
      </c>
      <c r="S141" t="s">
        <v>404</v>
      </c>
      <c r="T141" t="s">
        <v>405</v>
      </c>
      <c r="U141" t="s">
        <v>66</v>
      </c>
      <c r="V141" t="s">
        <v>406</v>
      </c>
      <c r="W141" t="s">
        <v>66</v>
      </c>
      <c r="X141">
        <v>314700</v>
      </c>
      <c r="Y141">
        <v>34617</v>
      </c>
      <c r="Z141">
        <v>17100</v>
      </c>
      <c r="AA141">
        <v>1881</v>
      </c>
      <c r="AB141">
        <v>349317</v>
      </c>
      <c r="AC141">
        <v>3</v>
      </c>
      <c r="AD141" t="s">
        <v>82</v>
      </c>
      <c r="AE141">
        <v>3</v>
      </c>
      <c r="AF141" t="s">
        <v>90</v>
      </c>
      <c r="AG141">
        <f>IFERROR(VLOOKUP(AF141,[1]STOK!J:O,6,0),"")</f>
        <v>48</v>
      </c>
      <c r="AH141" s="2">
        <f t="shared" si="4"/>
        <v>6.25E-2</v>
      </c>
      <c r="AI141" t="s">
        <v>90</v>
      </c>
      <c r="AJ141" t="s">
        <v>91</v>
      </c>
      <c r="AK141" t="s">
        <v>92</v>
      </c>
      <c r="AL141" t="s">
        <v>86</v>
      </c>
      <c r="AM141">
        <v>6327</v>
      </c>
      <c r="AN141">
        <f t="shared" si="5"/>
        <v>6327</v>
      </c>
      <c r="AO141" t="s">
        <v>66</v>
      </c>
      <c r="AP141">
        <v>0</v>
      </c>
      <c r="AQ141" t="s">
        <v>66</v>
      </c>
      <c r="AR141">
        <v>0</v>
      </c>
      <c r="AS141" t="s">
        <v>66</v>
      </c>
      <c r="AT141">
        <v>0</v>
      </c>
      <c r="AU141" t="s">
        <v>66</v>
      </c>
      <c r="AV141">
        <v>0</v>
      </c>
      <c r="AW141" t="s">
        <v>66</v>
      </c>
      <c r="AX141">
        <v>0</v>
      </c>
      <c r="AY141" t="s">
        <v>66</v>
      </c>
      <c r="AZ141">
        <v>0</v>
      </c>
      <c r="BA141" t="s">
        <v>66</v>
      </c>
      <c r="BB141">
        <v>0</v>
      </c>
      <c r="BC141">
        <v>0</v>
      </c>
      <c r="BD141">
        <v>18981</v>
      </c>
      <c r="BE141">
        <v>4887.16</v>
      </c>
      <c r="BF141">
        <v>0</v>
      </c>
      <c r="BG141" t="s">
        <v>87</v>
      </c>
      <c r="BH141" t="s">
        <v>66</v>
      </c>
      <c r="BI141">
        <v>0</v>
      </c>
      <c r="BJ141" t="s">
        <v>66</v>
      </c>
      <c r="BK141" t="s">
        <v>88</v>
      </c>
      <c r="BL141" t="s">
        <v>66</v>
      </c>
      <c r="BM141" t="s">
        <v>89</v>
      </c>
    </row>
    <row r="142" spans="1:65" x14ac:dyDescent="0.25">
      <c r="A142">
        <v>140</v>
      </c>
      <c r="B142" t="s">
        <v>399</v>
      </c>
      <c r="C142" t="s">
        <v>68</v>
      </c>
      <c r="D142" s="1">
        <v>46226</v>
      </c>
      <c r="E142" t="s">
        <v>400</v>
      </c>
      <c r="F142" t="s">
        <v>68</v>
      </c>
      <c r="G142" t="s">
        <v>69</v>
      </c>
      <c r="H142" t="s">
        <v>70</v>
      </c>
      <c r="I142" t="s">
        <v>71</v>
      </c>
      <c r="J142" t="s">
        <v>72</v>
      </c>
      <c r="K142" t="s">
        <v>73</v>
      </c>
      <c r="L142" t="s">
        <v>74</v>
      </c>
      <c r="M142" t="s">
        <v>401</v>
      </c>
      <c r="N142" t="s">
        <v>111</v>
      </c>
      <c r="O142" t="s">
        <v>402</v>
      </c>
      <c r="P142" t="s">
        <v>403</v>
      </c>
      <c r="Q142" t="s">
        <v>66</v>
      </c>
      <c r="R142" s="1">
        <v>46226</v>
      </c>
      <c r="S142" t="s">
        <v>404</v>
      </c>
      <c r="T142" t="s">
        <v>405</v>
      </c>
      <c r="U142" t="s">
        <v>66</v>
      </c>
      <c r="V142" t="s">
        <v>406</v>
      </c>
      <c r="W142" t="s">
        <v>66</v>
      </c>
      <c r="X142">
        <v>314700</v>
      </c>
      <c r="Y142">
        <v>34617</v>
      </c>
      <c r="Z142">
        <v>17100</v>
      </c>
      <c r="AA142">
        <v>1881</v>
      </c>
      <c r="AB142">
        <v>349317</v>
      </c>
      <c r="AC142">
        <v>3</v>
      </c>
      <c r="AD142" t="s">
        <v>82</v>
      </c>
      <c r="AE142">
        <v>3</v>
      </c>
      <c r="AF142" t="s">
        <v>202</v>
      </c>
      <c r="AG142">
        <f>IFERROR(VLOOKUP(AF142,[1]STOK!J:O,6,0),"")</f>
        <v>48</v>
      </c>
      <c r="AH142" s="2">
        <f t="shared" si="4"/>
        <v>6.25E-2</v>
      </c>
      <c r="AI142" t="s">
        <v>202</v>
      </c>
      <c r="AJ142" t="s">
        <v>203</v>
      </c>
      <c r="AK142" t="s">
        <v>204</v>
      </c>
      <c r="AL142" t="s">
        <v>86</v>
      </c>
      <c r="AM142">
        <v>6327</v>
      </c>
      <c r="AN142">
        <f t="shared" si="5"/>
        <v>6327</v>
      </c>
      <c r="AO142" t="s">
        <v>66</v>
      </c>
      <c r="AP142">
        <v>0</v>
      </c>
      <c r="AQ142" t="s">
        <v>66</v>
      </c>
      <c r="AR142">
        <v>0</v>
      </c>
      <c r="AS142" t="s">
        <v>66</v>
      </c>
      <c r="AT142">
        <v>0</v>
      </c>
      <c r="AU142" t="s">
        <v>66</v>
      </c>
      <c r="AV142">
        <v>0</v>
      </c>
      <c r="AW142" t="s">
        <v>66</v>
      </c>
      <c r="AX142">
        <v>0</v>
      </c>
      <c r="AY142" t="s">
        <v>66</v>
      </c>
      <c r="AZ142">
        <v>0</v>
      </c>
      <c r="BA142" t="s">
        <v>66</v>
      </c>
      <c r="BB142">
        <v>0</v>
      </c>
      <c r="BC142">
        <v>0</v>
      </c>
      <c r="BD142">
        <v>18981</v>
      </c>
      <c r="BE142">
        <v>4914.4399999999996</v>
      </c>
      <c r="BF142">
        <v>0</v>
      </c>
      <c r="BG142" t="s">
        <v>87</v>
      </c>
      <c r="BH142" t="s">
        <v>66</v>
      </c>
      <c r="BI142">
        <v>0</v>
      </c>
      <c r="BJ142" t="s">
        <v>66</v>
      </c>
      <c r="BK142" t="s">
        <v>88</v>
      </c>
      <c r="BL142" t="s">
        <v>66</v>
      </c>
      <c r="BM142" t="s">
        <v>89</v>
      </c>
    </row>
    <row r="143" spans="1:65" x14ac:dyDescent="0.25">
      <c r="A143">
        <v>141</v>
      </c>
      <c r="B143" t="s">
        <v>399</v>
      </c>
      <c r="C143" t="s">
        <v>68</v>
      </c>
      <c r="D143" s="1">
        <v>46226</v>
      </c>
      <c r="E143" t="s">
        <v>400</v>
      </c>
      <c r="F143" t="s">
        <v>68</v>
      </c>
      <c r="G143" t="s">
        <v>69</v>
      </c>
      <c r="H143" t="s">
        <v>70</v>
      </c>
      <c r="I143" t="s">
        <v>71</v>
      </c>
      <c r="J143" t="s">
        <v>72</v>
      </c>
      <c r="K143" t="s">
        <v>73</v>
      </c>
      <c r="L143" t="s">
        <v>74</v>
      </c>
      <c r="M143" t="s">
        <v>401</v>
      </c>
      <c r="N143" t="s">
        <v>111</v>
      </c>
      <c r="O143" t="s">
        <v>402</v>
      </c>
      <c r="P143" t="s">
        <v>403</v>
      </c>
      <c r="Q143" t="s">
        <v>66</v>
      </c>
      <c r="R143" s="1">
        <v>46226</v>
      </c>
      <c r="S143" t="s">
        <v>404</v>
      </c>
      <c r="T143" t="s">
        <v>405</v>
      </c>
      <c r="U143" t="s">
        <v>66</v>
      </c>
      <c r="V143" t="s">
        <v>406</v>
      </c>
      <c r="W143" t="s">
        <v>66</v>
      </c>
      <c r="X143">
        <v>314700</v>
      </c>
      <c r="Y143">
        <v>34617</v>
      </c>
      <c r="Z143">
        <v>17100</v>
      </c>
      <c r="AA143">
        <v>1881</v>
      </c>
      <c r="AB143">
        <v>349317</v>
      </c>
      <c r="AC143">
        <v>3</v>
      </c>
      <c r="AD143" t="s">
        <v>82</v>
      </c>
      <c r="AE143">
        <v>3</v>
      </c>
      <c r="AF143" t="s">
        <v>350</v>
      </c>
      <c r="AG143">
        <f>IFERROR(VLOOKUP(AF143,[1]STOK!J:O,6,0),"")</f>
        <v>48</v>
      </c>
      <c r="AH143" s="2">
        <f t="shared" si="4"/>
        <v>6.25E-2</v>
      </c>
      <c r="AI143" t="s">
        <v>350</v>
      </c>
      <c r="AJ143" t="s">
        <v>351</v>
      </c>
      <c r="AK143" t="s">
        <v>352</v>
      </c>
      <c r="AL143" t="s">
        <v>86</v>
      </c>
      <c r="AM143">
        <v>6327</v>
      </c>
      <c r="AN143">
        <f t="shared" si="5"/>
        <v>6327</v>
      </c>
      <c r="AO143" t="s">
        <v>66</v>
      </c>
      <c r="AP143">
        <v>0</v>
      </c>
      <c r="AQ143" t="s">
        <v>66</v>
      </c>
      <c r="AR143">
        <v>0</v>
      </c>
      <c r="AS143" t="s">
        <v>66</v>
      </c>
      <c r="AT143">
        <v>0</v>
      </c>
      <c r="AU143" t="s">
        <v>66</v>
      </c>
      <c r="AV143">
        <v>0</v>
      </c>
      <c r="AW143" t="s">
        <v>66</v>
      </c>
      <c r="AX143">
        <v>0</v>
      </c>
      <c r="AY143" t="s">
        <v>66</v>
      </c>
      <c r="AZ143">
        <v>0</v>
      </c>
      <c r="BA143" t="s">
        <v>66</v>
      </c>
      <c r="BB143">
        <v>0</v>
      </c>
      <c r="BC143">
        <v>0</v>
      </c>
      <c r="BD143">
        <v>18981</v>
      </c>
      <c r="BE143">
        <v>4985.16</v>
      </c>
      <c r="BF143">
        <v>0</v>
      </c>
      <c r="BG143" t="s">
        <v>87</v>
      </c>
      <c r="BH143" t="s">
        <v>66</v>
      </c>
      <c r="BI143">
        <v>0</v>
      </c>
      <c r="BJ143" t="s">
        <v>66</v>
      </c>
      <c r="BK143" t="s">
        <v>88</v>
      </c>
      <c r="BL143" t="s">
        <v>66</v>
      </c>
      <c r="BM143" t="s">
        <v>89</v>
      </c>
    </row>
    <row r="144" spans="1:65" x14ac:dyDescent="0.25">
      <c r="A144">
        <v>142</v>
      </c>
      <c r="B144" t="s">
        <v>399</v>
      </c>
      <c r="C144" t="s">
        <v>68</v>
      </c>
      <c r="D144" s="1">
        <v>46226</v>
      </c>
      <c r="E144" t="s">
        <v>400</v>
      </c>
      <c r="F144" t="s">
        <v>68</v>
      </c>
      <c r="G144" t="s">
        <v>69</v>
      </c>
      <c r="H144" t="s">
        <v>70</v>
      </c>
      <c r="I144" t="s">
        <v>71</v>
      </c>
      <c r="J144" t="s">
        <v>72</v>
      </c>
      <c r="K144" t="s">
        <v>73</v>
      </c>
      <c r="L144" t="s">
        <v>74</v>
      </c>
      <c r="M144" t="s">
        <v>401</v>
      </c>
      <c r="N144" t="s">
        <v>111</v>
      </c>
      <c r="O144" t="s">
        <v>402</v>
      </c>
      <c r="P144" t="s">
        <v>403</v>
      </c>
      <c r="Q144" t="s">
        <v>66</v>
      </c>
      <c r="R144" s="1">
        <v>46226</v>
      </c>
      <c r="S144" t="s">
        <v>404</v>
      </c>
      <c r="T144" t="s">
        <v>405</v>
      </c>
      <c r="U144" t="s">
        <v>66</v>
      </c>
      <c r="V144" t="s">
        <v>406</v>
      </c>
      <c r="W144" t="s">
        <v>66</v>
      </c>
      <c r="X144">
        <v>314700</v>
      </c>
      <c r="Y144">
        <v>34617</v>
      </c>
      <c r="Z144">
        <v>43200</v>
      </c>
      <c r="AA144">
        <v>4752</v>
      </c>
      <c r="AB144">
        <v>349317</v>
      </c>
      <c r="AC144">
        <v>3</v>
      </c>
      <c r="AD144" t="s">
        <v>82</v>
      </c>
      <c r="AE144">
        <v>3</v>
      </c>
      <c r="AF144" t="s">
        <v>141</v>
      </c>
      <c r="AG144">
        <f>IFERROR(VLOOKUP(AF144,[1]STOK!J:O,6,0),"")</f>
        <v>12</v>
      </c>
      <c r="AH144" s="2">
        <f t="shared" si="4"/>
        <v>0.25</v>
      </c>
      <c r="AI144" t="s">
        <v>141</v>
      </c>
      <c r="AJ144" t="s">
        <v>142</v>
      </c>
      <c r="AK144" t="s">
        <v>143</v>
      </c>
      <c r="AL144" t="s">
        <v>86</v>
      </c>
      <c r="AM144">
        <v>15984</v>
      </c>
      <c r="AN144">
        <f t="shared" si="5"/>
        <v>15984</v>
      </c>
      <c r="AO144" t="s">
        <v>66</v>
      </c>
      <c r="AP144">
        <v>0</v>
      </c>
      <c r="AQ144" t="s">
        <v>66</v>
      </c>
      <c r="AR144">
        <v>0</v>
      </c>
      <c r="AS144" t="s">
        <v>66</v>
      </c>
      <c r="AT144">
        <v>0</v>
      </c>
      <c r="AU144" t="s">
        <v>66</v>
      </c>
      <c r="AV144">
        <v>0</v>
      </c>
      <c r="AW144" t="s">
        <v>66</v>
      </c>
      <c r="AX144">
        <v>0</v>
      </c>
      <c r="AY144" t="s">
        <v>66</v>
      </c>
      <c r="AZ144">
        <v>0</v>
      </c>
      <c r="BA144" t="s">
        <v>66</v>
      </c>
      <c r="BB144">
        <v>0</v>
      </c>
      <c r="BC144">
        <v>0</v>
      </c>
      <c r="BD144">
        <v>47952</v>
      </c>
      <c r="BE144">
        <v>13019.17</v>
      </c>
      <c r="BF144">
        <v>0</v>
      </c>
      <c r="BG144" t="s">
        <v>87</v>
      </c>
      <c r="BH144" t="s">
        <v>66</v>
      </c>
      <c r="BI144">
        <v>0</v>
      </c>
      <c r="BJ144" t="s">
        <v>66</v>
      </c>
      <c r="BK144" t="s">
        <v>88</v>
      </c>
      <c r="BL144" t="s">
        <v>66</v>
      </c>
      <c r="BM144" t="s">
        <v>89</v>
      </c>
    </row>
    <row r="145" spans="1:65" x14ac:dyDescent="0.25">
      <c r="A145">
        <v>143</v>
      </c>
      <c r="B145" t="s">
        <v>399</v>
      </c>
      <c r="C145" t="s">
        <v>68</v>
      </c>
      <c r="D145" s="1">
        <v>46226</v>
      </c>
      <c r="E145" t="s">
        <v>400</v>
      </c>
      <c r="F145" t="s">
        <v>68</v>
      </c>
      <c r="G145" t="s">
        <v>69</v>
      </c>
      <c r="H145" t="s">
        <v>70</v>
      </c>
      <c r="I145" t="s">
        <v>71</v>
      </c>
      <c r="J145" t="s">
        <v>72</v>
      </c>
      <c r="K145" t="s">
        <v>73</v>
      </c>
      <c r="L145" t="s">
        <v>74</v>
      </c>
      <c r="M145" t="s">
        <v>401</v>
      </c>
      <c r="N145" t="s">
        <v>111</v>
      </c>
      <c r="O145" t="s">
        <v>402</v>
      </c>
      <c r="P145" t="s">
        <v>403</v>
      </c>
      <c r="Q145" t="s">
        <v>66</v>
      </c>
      <c r="R145" s="1">
        <v>46226</v>
      </c>
      <c r="S145" t="s">
        <v>404</v>
      </c>
      <c r="T145" t="s">
        <v>405</v>
      </c>
      <c r="U145" t="s">
        <v>66</v>
      </c>
      <c r="V145" t="s">
        <v>406</v>
      </c>
      <c r="W145" t="s">
        <v>66</v>
      </c>
      <c r="X145">
        <v>314700</v>
      </c>
      <c r="Y145">
        <v>34617</v>
      </c>
      <c r="Z145">
        <v>43200</v>
      </c>
      <c r="AA145">
        <v>4752</v>
      </c>
      <c r="AB145">
        <v>349317</v>
      </c>
      <c r="AC145">
        <v>3</v>
      </c>
      <c r="AD145" t="s">
        <v>82</v>
      </c>
      <c r="AE145">
        <v>3</v>
      </c>
      <c r="AF145" t="s">
        <v>213</v>
      </c>
      <c r="AG145">
        <f>IFERROR(VLOOKUP(AF145,[1]STOK!J:O,6,0),"")</f>
        <v>12</v>
      </c>
      <c r="AH145" s="2">
        <f t="shared" si="4"/>
        <v>0.25</v>
      </c>
      <c r="AI145" t="s">
        <v>213</v>
      </c>
      <c r="AJ145" t="s">
        <v>214</v>
      </c>
      <c r="AK145" t="s">
        <v>215</v>
      </c>
      <c r="AL145" t="s">
        <v>86</v>
      </c>
      <c r="AM145">
        <v>15984</v>
      </c>
      <c r="AN145">
        <f t="shared" si="5"/>
        <v>15984</v>
      </c>
      <c r="AO145" t="s">
        <v>66</v>
      </c>
      <c r="AP145">
        <v>0</v>
      </c>
      <c r="AQ145" t="s">
        <v>66</v>
      </c>
      <c r="AR145">
        <v>0</v>
      </c>
      <c r="AS145" t="s">
        <v>66</v>
      </c>
      <c r="AT145">
        <v>0</v>
      </c>
      <c r="AU145" t="s">
        <v>66</v>
      </c>
      <c r="AV145">
        <v>0</v>
      </c>
      <c r="AW145" t="s">
        <v>66</v>
      </c>
      <c r="AX145">
        <v>0</v>
      </c>
      <c r="AY145" t="s">
        <v>66</v>
      </c>
      <c r="AZ145">
        <v>0</v>
      </c>
      <c r="BA145" t="s">
        <v>66</v>
      </c>
      <c r="BB145">
        <v>0</v>
      </c>
      <c r="BC145">
        <v>0</v>
      </c>
      <c r="BD145">
        <v>47952</v>
      </c>
      <c r="BE145">
        <v>13028.24</v>
      </c>
      <c r="BF145">
        <v>0</v>
      </c>
      <c r="BG145" t="s">
        <v>87</v>
      </c>
      <c r="BH145" t="s">
        <v>66</v>
      </c>
      <c r="BI145">
        <v>0</v>
      </c>
      <c r="BJ145" t="s">
        <v>66</v>
      </c>
      <c r="BK145" t="s">
        <v>88</v>
      </c>
      <c r="BL145" t="s">
        <v>66</v>
      </c>
      <c r="BM145" t="s">
        <v>89</v>
      </c>
    </row>
    <row r="146" spans="1:65" x14ac:dyDescent="0.25">
      <c r="A146">
        <v>144</v>
      </c>
      <c r="B146" t="s">
        <v>407</v>
      </c>
      <c r="C146" t="s">
        <v>68</v>
      </c>
      <c r="D146" s="1">
        <v>46227</v>
      </c>
      <c r="E146" t="s">
        <v>408</v>
      </c>
      <c r="F146" t="s">
        <v>68</v>
      </c>
      <c r="G146" t="s">
        <v>69</v>
      </c>
      <c r="H146" t="s">
        <v>70</v>
      </c>
      <c r="I146" t="s">
        <v>71</v>
      </c>
      <c r="J146" t="s">
        <v>72</v>
      </c>
      <c r="K146" t="s">
        <v>73</v>
      </c>
      <c r="L146" t="s">
        <v>74</v>
      </c>
      <c r="M146" t="s">
        <v>409</v>
      </c>
      <c r="N146" t="s">
        <v>76</v>
      </c>
      <c r="O146" t="s">
        <v>410</v>
      </c>
      <c r="P146" t="s">
        <v>411</v>
      </c>
      <c r="Q146" t="s">
        <v>66</v>
      </c>
      <c r="R146" s="1">
        <v>46227</v>
      </c>
      <c r="S146" t="s">
        <v>412</v>
      </c>
      <c r="T146" t="s">
        <v>413</v>
      </c>
      <c r="U146" t="s">
        <v>66</v>
      </c>
      <c r="V146" t="s">
        <v>414</v>
      </c>
      <c r="W146" t="s">
        <v>66</v>
      </c>
      <c r="X146">
        <v>490037.5</v>
      </c>
      <c r="Y146">
        <v>53904.13</v>
      </c>
      <c r="Z146">
        <v>7462.5</v>
      </c>
      <c r="AA146">
        <v>820.88</v>
      </c>
      <c r="AB146">
        <v>543941.63</v>
      </c>
      <c r="AC146">
        <v>3</v>
      </c>
      <c r="AD146" t="s">
        <v>82</v>
      </c>
      <c r="AE146">
        <v>3</v>
      </c>
      <c r="AF146" t="s">
        <v>163</v>
      </c>
      <c r="AG146">
        <f>IFERROR(VLOOKUP(AF146,[1]STOK!J:O,6,0),"")</f>
        <v>72</v>
      </c>
      <c r="AH146" s="2">
        <f t="shared" si="4"/>
        <v>4.1666666666666664E-2</v>
      </c>
      <c r="AI146" t="s">
        <v>163</v>
      </c>
      <c r="AJ146" t="s">
        <v>164</v>
      </c>
      <c r="AK146" t="s">
        <v>165</v>
      </c>
      <c r="AL146" t="s">
        <v>86</v>
      </c>
      <c r="AM146">
        <v>2775</v>
      </c>
      <c r="AN146">
        <f t="shared" si="5"/>
        <v>2761.1266666666666</v>
      </c>
      <c r="AO146" t="s">
        <v>66</v>
      </c>
      <c r="AP146">
        <v>0.5</v>
      </c>
      <c r="AQ146" t="s">
        <v>66</v>
      </c>
      <c r="AR146">
        <v>0</v>
      </c>
      <c r="AS146" t="s">
        <v>66</v>
      </c>
      <c r="AT146">
        <v>0</v>
      </c>
      <c r="AU146" t="s">
        <v>66</v>
      </c>
      <c r="AV146">
        <v>0</v>
      </c>
      <c r="AW146" t="s">
        <v>66</v>
      </c>
      <c r="AX146">
        <v>0</v>
      </c>
      <c r="AY146" t="s">
        <v>66</v>
      </c>
      <c r="AZ146">
        <v>0</v>
      </c>
      <c r="BA146" t="s">
        <v>66</v>
      </c>
      <c r="BB146">
        <v>0</v>
      </c>
      <c r="BC146">
        <v>0</v>
      </c>
      <c r="BD146">
        <v>8283.3799999999992</v>
      </c>
      <c r="BE146">
        <v>2148.17</v>
      </c>
      <c r="BF146">
        <v>0</v>
      </c>
      <c r="BG146" t="s">
        <v>87</v>
      </c>
      <c r="BH146" t="s">
        <v>66</v>
      </c>
      <c r="BI146">
        <v>0</v>
      </c>
      <c r="BJ146" t="s">
        <v>66</v>
      </c>
      <c r="BK146" t="s">
        <v>88</v>
      </c>
      <c r="BL146" t="s">
        <v>66</v>
      </c>
      <c r="BM146" t="s">
        <v>89</v>
      </c>
    </row>
    <row r="147" spans="1:65" x14ac:dyDescent="0.25">
      <c r="A147">
        <v>145</v>
      </c>
      <c r="B147" t="s">
        <v>407</v>
      </c>
      <c r="C147" t="s">
        <v>68</v>
      </c>
      <c r="D147" s="1">
        <v>46227</v>
      </c>
      <c r="E147" t="s">
        <v>408</v>
      </c>
      <c r="F147" t="s">
        <v>68</v>
      </c>
      <c r="G147" t="s">
        <v>69</v>
      </c>
      <c r="H147" t="s">
        <v>70</v>
      </c>
      <c r="I147" t="s">
        <v>71</v>
      </c>
      <c r="J147" t="s">
        <v>72</v>
      </c>
      <c r="K147" t="s">
        <v>73</v>
      </c>
      <c r="L147" t="s">
        <v>74</v>
      </c>
      <c r="M147" t="s">
        <v>409</v>
      </c>
      <c r="N147" t="s">
        <v>76</v>
      </c>
      <c r="O147" t="s">
        <v>410</v>
      </c>
      <c r="P147" t="s">
        <v>411</v>
      </c>
      <c r="Q147" t="s">
        <v>66</v>
      </c>
      <c r="R147" s="1">
        <v>46227</v>
      </c>
      <c r="S147" t="s">
        <v>412</v>
      </c>
      <c r="T147" t="s">
        <v>413</v>
      </c>
      <c r="U147" t="s">
        <v>66</v>
      </c>
      <c r="V147" t="s">
        <v>414</v>
      </c>
      <c r="W147" t="s">
        <v>66</v>
      </c>
      <c r="X147">
        <v>490037.5</v>
      </c>
      <c r="Y147">
        <v>53904.13</v>
      </c>
      <c r="Z147">
        <v>14726</v>
      </c>
      <c r="AA147">
        <v>1619.86</v>
      </c>
      <c r="AB147">
        <v>543941.63</v>
      </c>
      <c r="AC147">
        <v>2</v>
      </c>
      <c r="AD147" t="s">
        <v>82</v>
      </c>
      <c r="AE147">
        <v>2</v>
      </c>
      <c r="AF147" t="s">
        <v>415</v>
      </c>
      <c r="AG147">
        <f>IFERROR(VLOOKUP(AF147,[1]STOK!J:O,6,0),"")</f>
        <v>24</v>
      </c>
      <c r="AH147" s="2">
        <f t="shared" si="4"/>
        <v>8.3333333333333329E-2</v>
      </c>
      <c r="AI147" t="s">
        <v>415</v>
      </c>
      <c r="AJ147" t="s">
        <v>416</v>
      </c>
      <c r="AK147" t="s">
        <v>417</v>
      </c>
      <c r="AL147" t="s">
        <v>86</v>
      </c>
      <c r="AM147">
        <v>8214</v>
      </c>
      <c r="AN147">
        <f t="shared" si="5"/>
        <v>8172.93</v>
      </c>
      <c r="AO147" t="s">
        <v>66</v>
      </c>
      <c r="AP147">
        <v>0.5</v>
      </c>
      <c r="AQ147" t="s">
        <v>66</v>
      </c>
      <c r="AR147">
        <v>0</v>
      </c>
      <c r="AS147" t="s">
        <v>66</v>
      </c>
      <c r="AT147">
        <v>0</v>
      </c>
      <c r="AU147" t="s">
        <v>66</v>
      </c>
      <c r="AV147">
        <v>0</v>
      </c>
      <c r="AW147" t="s">
        <v>66</v>
      </c>
      <c r="AX147">
        <v>0</v>
      </c>
      <c r="AY147" t="s">
        <v>66</v>
      </c>
      <c r="AZ147">
        <v>0</v>
      </c>
      <c r="BA147" t="s">
        <v>66</v>
      </c>
      <c r="BB147">
        <v>0</v>
      </c>
      <c r="BC147">
        <v>0</v>
      </c>
      <c r="BD147">
        <v>16345.86</v>
      </c>
      <c r="BE147">
        <v>6151.34</v>
      </c>
      <c r="BF147">
        <v>0</v>
      </c>
      <c r="BG147" t="s">
        <v>87</v>
      </c>
      <c r="BH147" t="s">
        <v>66</v>
      </c>
      <c r="BI147">
        <v>0</v>
      </c>
      <c r="BJ147" t="s">
        <v>66</v>
      </c>
      <c r="BK147" t="s">
        <v>88</v>
      </c>
      <c r="BL147" t="s">
        <v>66</v>
      </c>
      <c r="BM147" t="s">
        <v>89</v>
      </c>
    </row>
    <row r="148" spans="1:65" x14ac:dyDescent="0.25">
      <c r="A148">
        <v>146</v>
      </c>
      <c r="B148" t="s">
        <v>407</v>
      </c>
      <c r="C148" t="s">
        <v>68</v>
      </c>
      <c r="D148" s="1">
        <v>46227</v>
      </c>
      <c r="E148" t="s">
        <v>408</v>
      </c>
      <c r="F148" t="s">
        <v>68</v>
      </c>
      <c r="G148" t="s">
        <v>69</v>
      </c>
      <c r="H148" t="s">
        <v>70</v>
      </c>
      <c r="I148" t="s">
        <v>71</v>
      </c>
      <c r="J148" t="s">
        <v>72</v>
      </c>
      <c r="K148" t="s">
        <v>73</v>
      </c>
      <c r="L148" t="s">
        <v>74</v>
      </c>
      <c r="M148" t="s">
        <v>409</v>
      </c>
      <c r="N148" t="s">
        <v>76</v>
      </c>
      <c r="O148" t="s">
        <v>410</v>
      </c>
      <c r="P148" t="s">
        <v>411</v>
      </c>
      <c r="Q148" t="s">
        <v>66</v>
      </c>
      <c r="R148" s="1">
        <v>46227</v>
      </c>
      <c r="S148" t="s">
        <v>412</v>
      </c>
      <c r="T148" t="s">
        <v>413</v>
      </c>
      <c r="U148" t="s">
        <v>66</v>
      </c>
      <c r="V148" t="s">
        <v>414</v>
      </c>
      <c r="W148" t="s">
        <v>66</v>
      </c>
      <c r="X148">
        <v>490037.5</v>
      </c>
      <c r="Y148">
        <v>53904.13</v>
      </c>
      <c r="Z148">
        <v>22089</v>
      </c>
      <c r="AA148">
        <v>2429.79</v>
      </c>
      <c r="AB148">
        <v>543941.63</v>
      </c>
      <c r="AC148">
        <v>3</v>
      </c>
      <c r="AD148" t="s">
        <v>82</v>
      </c>
      <c r="AE148">
        <v>3</v>
      </c>
      <c r="AF148" t="s">
        <v>262</v>
      </c>
      <c r="AG148">
        <f>IFERROR(VLOOKUP(AF148,[1]STOK!J:O,6,0),"")</f>
        <v>24</v>
      </c>
      <c r="AH148" s="2">
        <f t="shared" si="4"/>
        <v>0.125</v>
      </c>
      <c r="AI148" t="s">
        <v>262</v>
      </c>
      <c r="AJ148" t="s">
        <v>263</v>
      </c>
      <c r="AK148" t="s">
        <v>264</v>
      </c>
      <c r="AL148" t="s">
        <v>86</v>
      </c>
      <c r="AM148">
        <v>8214</v>
      </c>
      <c r="AN148">
        <f t="shared" si="5"/>
        <v>8172.93</v>
      </c>
      <c r="AO148" t="s">
        <v>66</v>
      </c>
      <c r="AP148">
        <v>0.5</v>
      </c>
      <c r="AQ148" t="s">
        <v>66</v>
      </c>
      <c r="AR148">
        <v>0</v>
      </c>
      <c r="AS148" t="s">
        <v>66</v>
      </c>
      <c r="AT148">
        <v>0</v>
      </c>
      <c r="AU148" t="s">
        <v>66</v>
      </c>
      <c r="AV148">
        <v>0</v>
      </c>
      <c r="AW148" t="s">
        <v>66</v>
      </c>
      <c r="AX148">
        <v>0</v>
      </c>
      <c r="AY148" t="s">
        <v>66</v>
      </c>
      <c r="AZ148">
        <v>0</v>
      </c>
      <c r="BA148" t="s">
        <v>66</v>
      </c>
      <c r="BB148">
        <v>0</v>
      </c>
      <c r="BC148">
        <v>0</v>
      </c>
      <c r="BD148">
        <v>24518.79</v>
      </c>
      <c r="BE148">
        <v>6604.45</v>
      </c>
      <c r="BF148">
        <v>0</v>
      </c>
      <c r="BG148" t="s">
        <v>87</v>
      </c>
      <c r="BH148" t="s">
        <v>66</v>
      </c>
      <c r="BI148">
        <v>0</v>
      </c>
      <c r="BJ148" t="s">
        <v>66</v>
      </c>
      <c r="BK148" t="s">
        <v>88</v>
      </c>
      <c r="BL148" t="s">
        <v>66</v>
      </c>
      <c r="BM148" t="s">
        <v>89</v>
      </c>
    </row>
    <row r="149" spans="1:65" x14ac:dyDescent="0.25">
      <c r="A149">
        <v>147</v>
      </c>
      <c r="B149" t="s">
        <v>407</v>
      </c>
      <c r="C149" t="s">
        <v>68</v>
      </c>
      <c r="D149" s="1">
        <v>46227</v>
      </c>
      <c r="E149" t="s">
        <v>408</v>
      </c>
      <c r="F149" t="s">
        <v>68</v>
      </c>
      <c r="G149" t="s">
        <v>69</v>
      </c>
      <c r="H149" t="s">
        <v>70</v>
      </c>
      <c r="I149" t="s">
        <v>71</v>
      </c>
      <c r="J149" t="s">
        <v>72</v>
      </c>
      <c r="K149" t="s">
        <v>73</v>
      </c>
      <c r="L149" t="s">
        <v>74</v>
      </c>
      <c r="M149" t="s">
        <v>409</v>
      </c>
      <c r="N149" t="s">
        <v>76</v>
      </c>
      <c r="O149" t="s">
        <v>410</v>
      </c>
      <c r="P149" t="s">
        <v>411</v>
      </c>
      <c r="Q149" t="s">
        <v>66</v>
      </c>
      <c r="R149" s="1">
        <v>46227</v>
      </c>
      <c r="S149" t="s">
        <v>412</v>
      </c>
      <c r="T149" t="s">
        <v>413</v>
      </c>
      <c r="U149" t="s">
        <v>66</v>
      </c>
      <c r="V149" t="s">
        <v>414</v>
      </c>
      <c r="W149" t="s">
        <v>66</v>
      </c>
      <c r="X149">
        <v>490037.5</v>
      </c>
      <c r="Y149">
        <v>53904.13</v>
      </c>
      <c r="Z149">
        <v>14726</v>
      </c>
      <c r="AA149">
        <v>1619.86</v>
      </c>
      <c r="AB149">
        <v>543941.63</v>
      </c>
      <c r="AC149">
        <v>2</v>
      </c>
      <c r="AD149" t="s">
        <v>82</v>
      </c>
      <c r="AE149">
        <v>2</v>
      </c>
      <c r="AF149" t="s">
        <v>265</v>
      </c>
      <c r="AG149">
        <f>IFERROR(VLOOKUP(AF149,[1]STOK!J:O,6,0),"")</f>
        <v>24</v>
      </c>
      <c r="AH149" s="2">
        <f t="shared" si="4"/>
        <v>8.3333333333333329E-2</v>
      </c>
      <c r="AI149" t="s">
        <v>265</v>
      </c>
      <c r="AJ149" t="s">
        <v>266</v>
      </c>
      <c r="AK149" t="s">
        <v>267</v>
      </c>
      <c r="AL149" t="s">
        <v>86</v>
      </c>
      <c r="AM149">
        <v>8214</v>
      </c>
      <c r="AN149">
        <f t="shared" si="5"/>
        <v>8172.93</v>
      </c>
      <c r="AO149" t="s">
        <v>66</v>
      </c>
      <c r="AP149">
        <v>0.5</v>
      </c>
      <c r="AQ149" t="s">
        <v>66</v>
      </c>
      <c r="AR149">
        <v>0</v>
      </c>
      <c r="AS149" t="s">
        <v>66</v>
      </c>
      <c r="AT149">
        <v>0</v>
      </c>
      <c r="AU149" t="s">
        <v>66</v>
      </c>
      <c r="AV149">
        <v>0</v>
      </c>
      <c r="AW149" t="s">
        <v>66</v>
      </c>
      <c r="AX149">
        <v>0</v>
      </c>
      <c r="AY149" t="s">
        <v>66</v>
      </c>
      <c r="AZ149">
        <v>0</v>
      </c>
      <c r="BA149" t="s">
        <v>66</v>
      </c>
      <c r="BB149">
        <v>0</v>
      </c>
      <c r="BC149">
        <v>0</v>
      </c>
      <c r="BD149">
        <v>16345.86</v>
      </c>
      <c r="BE149">
        <v>6447.38</v>
      </c>
      <c r="BF149">
        <v>0</v>
      </c>
      <c r="BG149" t="s">
        <v>87</v>
      </c>
      <c r="BH149" t="s">
        <v>66</v>
      </c>
      <c r="BI149">
        <v>0</v>
      </c>
      <c r="BJ149" t="s">
        <v>66</v>
      </c>
      <c r="BK149" t="s">
        <v>88</v>
      </c>
      <c r="BL149" t="s">
        <v>66</v>
      </c>
      <c r="BM149" t="s">
        <v>89</v>
      </c>
    </row>
    <row r="150" spans="1:65" x14ac:dyDescent="0.25">
      <c r="A150">
        <v>148</v>
      </c>
      <c r="B150" t="s">
        <v>407</v>
      </c>
      <c r="C150" t="s">
        <v>68</v>
      </c>
      <c r="D150" s="1">
        <v>46227</v>
      </c>
      <c r="E150" t="s">
        <v>408</v>
      </c>
      <c r="F150" t="s">
        <v>68</v>
      </c>
      <c r="G150" t="s">
        <v>69</v>
      </c>
      <c r="H150" t="s">
        <v>70</v>
      </c>
      <c r="I150" t="s">
        <v>71</v>
      </c>
      <c r="J150" t="s">
        <v>72</v>
      </c>
      <c r="K150" t="s">
        <v>73</v>
      </c>
      <c r="L150" t="s">
        <v>74</v>
      </c>
      <c r="M150" t="s">
        <v>409</v>
      </c>
      <c r="N150" t="s">
        <v>76</v>
      </c>
      <c r="O150" t="s">
        <v>410</v>
      </c>
      <c r="P150" t="s">
        <v>411</v>
      </c>
      <c r="Q150" t="s">
        <v>66</v>
      </c>
      <c r="R150" s="1">
        <v>46227</v>
      </c>
      <c r="S150" t="s">
        <v>412</v>
      </c>
      <c r="T150" t="s">
        <v>413</v>
      </c>
      <c r="U150" t="s">
        <v>66</v>
      </c>
      <c r="V150" t="s">
        <v>414</v>
      </c>
      <c r="W150" t="s">
        <v>66</v>
      </c>
      <c r="X150">
        <v>490037.5</v>
      </c>
      <c r="Y150">
        <v>53904.13</v>
      </c>
      <c r="Z150">
        <v>31939.5</v>
      </c>
      <c r="AA150">
        <v>3513.35</v>
      </c>
      <c r="AB150">
        <v>543941.63</v>
      </c>
      <c r="AC150">
        <v>3</v>
      </c>
      <c r="AD150" t="s">
        <v>82</v>
      </c>
      <c r="AE150">
        <v>3</v>
      </c>
      <c r="AF150" t="s">
        <v>418</v>
      </c>
      <c r="AG150">
        <f>IFERROR(VLOOKUP(AF150,[1]STOK!J:O,6,0),"")</f>
        <v>12</v>
      </c>
      <c r="AH150" s="2">
        <f t="shared" si="4"/>
        <v>0.25</v>
      </c>
      <c r="AI150" t="s">
        <v>418</v>
      </c>
      <c r="AJ150" t="s">
        <v>419</v>
      </c>
      <c r="AK150" t="s">
        <v>420</v>
      </c>
      <c r="AL150" t="s">
        <v>86</v>
      </c>
      <c r="AM150">
        <v>11877</v>
      </c>
      <c r="AN150">
        <f t="shared" si="5"/>
        <v>11817.616666666667</v>
      </c>
      <c r="AO150" t="s">
        <v>66</v>
      </c>
      <c r="AP150">
        <v>0.5</v>
      </c>
      <c r="AQ150" t="s">
        <v>66</v>
      </c>
      <c r="AR150">
        <v>0</v>
      </c>
      <c r="AS150" t="s">
        <v>66</v>
      </c>
      <c r="AT150">
        <v>0</v>
      </c>
      <c r="AU150" t="s">
        <v>66</v>
      </c>
      <c r="AV150">
        <v>0</v>
      </c>
      <c r="AW150" t="s">
        <v>66</v>
      </c>
      <c r="AX150">
        <v>0</v>
      </c>
      <c r="AY150" t="s">
        <v>66</v>
      </c>
      <c r="AZ150">
        <v>0</v>
      </c>
      <c r="BA150" t="s">
        <v>66</v>
      </c>
      <c r="BB150">
        <v>0</v>
      </c>
      <c r="BC150">
        <v>0</v>
      </c>
      <c r="BD150">
        <v>35452.85</v>
      </c>
      <c r="BE150">
        <v>9247.7099999999991</v>
      </c>
      <c r="BF150">
        <v>0</v>
      </c>
      <c r="BG150" t="s">
        <v>87</v>
      </c>
      <c r="BH150" t="s">
        <v>66</v>
      </c>
      <c r="BI150">
        <v>0</v>
      </c>
      <c r="BJ150" t="s">
        <v>66</v>
      </c>
      <c r="BK150" t="s">
        <v>88</v>
      </c>
      <c r="BL150" t="s">
        <v>66</v>
      </c>
      <c r="BM150" t="s">
        <v>89</v>
      </c>
    </row>
    <row r="151" spans="1:65" x14ac:dyDescent="0.25">
      <c r="A151">
        <v>149</v>
      </c>
      <c r="B151" t="s">
        <v>407</v>
      </c>
      <c r="C151" t="s">
        <v>68</v>
      </c>
      <c r="D151" s="1">
        <v>46227</v>
      </c>
      <c r="E151" t="s">
        <v>408</v>
      </c>
      <c r="F151" t="s">
        <v>68</v>
      </c>
      <c r="G151" t="s">
        <v>69</v>
      </c>
      <c r="H151" t="s">
        <v>70</v>
      </c>
      <c r="I151" t="s">
        <v>71</v>
      </c>
      <c r="J151" t="s">
        <v>72</v>
      </c>
      <c r="K151" t="s">
        <v>73</v>
      </c>
      <c r="L151" t="s">
        <v>74</v>
      </c>
      <c r="M151" t="s">
        <v>409</v>
      </c>
      <c r="N151" t="s">
        <v>76</v>
      </c>
      <c r="O151" t="s">
        <v>410</v>
      </c>
      <c r="P151" t="s">
        <v>411</v>
      </c>
      <c r="Q151" t="s">
        <v>66</v>
      </c>
      <c r="R151" s="1">
        <v>46227</v>
      </c>
      <c r="S151" t="s">
        <v>412</v>
      </c>
      <c r="T151" t="s">
        <v>413</v>
      </c>
      <c r="U151" t="s">
        <v>66</v>
      </c>
      <c r="V151" t="s">
        <v>414</v>
      </c>
      <c r="W151" t="s">
        <v>66</v>
      </c>
      <c r="X151">
        <v>490037.5</v>
      </c>
      <c r="Y151">
        <v>53904.13</v>
      </c>
      <c r="Z151">
        <v>31939.5</v>
      </c>
      <c r="AA151">
        <v>3513.35</v>
      </c>
      <c r="AB151">
        <v>543941.63</v>
      </c>
      <c r="AC151">
        <v>3</v>
      </c>
      <c r="AD151" t="s">
        <v>82</v>
      </c>
      <c r="AE151">
        <v>3</v>
      </c>
      <c r="AF151" t="s">
        <v>421</v>
      </c>
      <c r="AG151">
        <f>IFERROR(VLOOKUP(AF151,[1]STOK!J:O,6,0),"")</f>
        <v>12</v>
      </c>
      <c r="AH151" s="2">
        <f t="shared" si="4"/>
        <v>0.25</v>
      </c>
      <c r="AI151" t="s">
        <v>421</v>
      </c>
      <c r="AJ151" t="s">
        <v>422</v>
      </c>
      <c r="AK151" t="s">
        <v>423</v>
      </c>
      <c r="AL151" t="s">
        <v>86</v>
      </c>
      <c r="AM151">
        <v>11877</v>
      </c>
      <c r="AN151">
        <f t="shared" si="5"/>
        <v>11817.616666666667</v>
      </c>
      <c r="AO151" t="s">
        <v>66</v>
      </c>
      <c r="AP151">
        <v>0.5</v>
      </c>
      <c r="AQ151" t="s">
        <v>66</v>
      </c>
      <c r="AR151">
        <v>0</v>
      </c>
      <c r="AS151" t="s">
        <v>66</v>
      </c>
      <c r="AT151">
        <v>0</v>
      </c>
      <c r="AU151" t="s">
        <v>66</v>
      </c>
      <c r="AV151">
        <v>0</v>
      </c>
      <c r="AW151" t="s">
        <v>66</v>
      </c>
      <c r="AX151">
        <v>0</v>
      </c>
      <c r="AY151" t="s">
        <v>66</v>
      </c>
      <c r="AZ151">
        <v>0</v>
      </c>
      <c r="BA151" t="s">
        <v>66</v>
      </c>
      <c r="BB151">
        <v>0</v>
      </c>
      <c r="BC151">
        <v>0</v>
      </c>
      <c r="BD151">
        <v>35452.85</v>
      </c>
      <c r="BE151">
        <v>9166.24</v>
      </c>
      <c r="BF151">
        <v>0</v>
      </c>
      <c r="BG151" t="s">
        <v>87</v>
      </c>
      <c r="BH151" t="s">
        <v>66</v>
      </c>
      <c r="BI151">
        <v>0</v>
      </c>
      <c r="BJ151" t="s">
        <v>66</v>
      </c>
      <c r="BK151" t="s">
        <v>88</v>
      </c>
      <c r="BL151" t="s">
        <v>66</v>
      </c>
      <c r="BM151" t="s">
        <v>89</v>
      </c>
    </row>
    <row r="152" spans="1:65" x14ac:dyDescent="0.25">
      <c r="A152">
        <v>150</v>
      </c>
      <c r="B152" t="s">
        <v>407</v>
      </c>
      <c r="C152" t="s">
        <v>68</v>
      </c>
      <c r="D152" s="1">
        <v>46227</v>
      </c>
      <c r="E152" t="s">
        <v>408</v>
      </c>
      <c r="F152" t="s">
        <v>68</v>
      </c>
      <c r="G152" t="s">
        <v>69</v>
      </c>
      <c r="H152" t="s">
        <v>70</v>
      </c>
      <c r="I152" t="s">
        <v>71</v>
      </c>
      <c r="J152" t="s">
        <v>72</v>
      </c>
      <c r="K152" t="s">
        <v>73</v>
      </c>
      <c r="L152" t="s">
        <v>74</v>
      </c>
      <c r="M152" t="s">
        <v>409</v>
      </c>
      <c r="N152" t="s">
        <v>76</v>
      </c>
      <c r="O152" t="s">
        <v>410</v>
      </c>
      <c r="P152" t="s">
        <v>411</v>
      </c>
      <c r="Q152" t="s">
        <v>66</v>
      </c>
      <c r="R152" s="1">
        <v>46227</v>
      </c>
      <c r="S152" t="s">
        <v>412</v>
      </c>
      <c r="T152" t="s">
        <v>413</v>
      </c>
      <c r="U152" t="s">
        <v>66</v>
      </c>
      <c r="V152" t="s">
        <v>414</v>
      </c>
      <c r="W152" t="s">
        <v>66</v>
      </c>
      <c r="X152">
        <v>490037.5</v>
      </c>
      <c r="Y152">
        <v>53904.13</v>
      </c>
      <c r="Z152">
        <v>54028.5</v>
      </c>
      <c r="AA152">
        <v>5943.14</v>
      </c>
      <c r="AB152">
        <v>543941.63</v>
      </c>
      <c r="AC152">
        <v>3</v>
      </c>
      <c r="AD152" t="s">
        <v>82</v>
      </c>
      <c r="AE152">
        <v>3</v>
      </c>
      <c r="AF152" t="s">
        <v>356</v>
      </c>
      <c r="AG152">
        <f>IFERROR(VLOOKUP(AF152,[1]STOK!J:O,6,0),"")</f>
        <v>12</v>
      </c>
      <c r="AH152" s="2">
        <f t="shared" si="4"/>
        <v>0.25</v>
      </c>
      <c r="AI152" t="s">
        <v>356</v>
      </c>
      <c r="AJ152" t="s">
        <v>357</v>
      </c>
      <c r="AK152" t="s">
        <v>358</v>
      </c>
      <c r="AL152" t="s">
        <v>86</v>
      </c>
      <c r="AM152">
        <v>20091</v>
      </c>
      <c r="AN152">
        <f t="shared" si="5"/>
        <v>19990.546666666665</v>
      </c>
      <c r="AO152" t="s">
        <v>66</v>
      </c>
      <c r="AP152">
        <v>0.5</v>
      </c>
      <c r="AQ152" t="s">
        <v>66</v>
      </c>
      <c r="AR152">
        <v>0</v>
      </c>
      <c r="AS152" t="s">
        <v>66</v>
      </c>
      <c r="AT152">
        <v>0</v>
      </c>
      <c r="AU152" t="s">
        <v>66</v>
      </c>
      <c r="AV152">
        <v>0</v>
      </c>
      <c r="AW152" t="s">
        <v>66</v>
      </c>
      <c r="AX152">
        <v>0</v>
      </c>
      <c r="AY152" t="s">
        <v>66</v>
      </c>
      <c r="AZ152">
        <v>0</v>
      </c>
      <c r="BA152" t="s">
        <v>66</v>
      </c>
      <c r="BB152">
        <v>0</v>
      </c>
      <c r="BC152">
        <v>0</v>
      </c>
      <c r="BD152">
        <v>59971.64</v>
      </c>
      <c r="BE152">
        <v>15753.12</v>
      </c>
      <c r="BF152">
        <v>0</v>
      </c>
      <c r="BG152" t="s">
        <v>87</v>
      </c>
      <c r="BH152" t="s">
        <v>66</v>
      </c>
      <c r="BI152">
        <v>0</v>
      </c>
      <c r="BJ152" t="s">
        <v>66</v>
      </c>
      <c r="BK152" t="s">
        <v>88</v>
      </c>
      <c r="BL152" t="s">
        <v>66</v>
      </c>
      <c r="BM152" t="s">
        <v>89</v>
      </c>
    </row>
    <row r="153" spans="1:65" x14ac:dyDescent="0.25">
      <c r="A153">
        <v>151</v>
      </c>
      <c r="B153" t="s">
        <v>407</v>
      </c>
      <c r="C153" t="s">
        <v>68</v>
      </c>
      <c r="D153" s="1">
        <v>46227</v>
      </c>
      <c r="E153" t="s">
        <v>408</v>
      </c>
      <c r="F153" t="s">
        <v>68</v>
      </c>
      <c r="G153" t="s">
        <v>69</v>
      </c>
      <c r="H153" t="s">
        <v>70</v>
      </c>
      <c r="I153" t="s">
        <v>71</v>
      </c>
      <c r="J153" t="s">
        <v>72</v>
      </c>
      <c r="K153" t="s">
        <v>73</v>
      </c>
      <c r="L153" t="s">
        <v>74</v>
      </c>
      <c r="M153" t="s">
        <v>409</v>
      </c>
      <c r="N153" t="s">
        <v>76</v>
      </c>
      <c r="O153" t="s">
        <v>410</v>
      </c>
      <c r="P153" t="s">
        <v>411</v>
      </c>
      <c r="Q153" t="s">
        <v>66</v>
      </c>
      <c r="R153" s="1">
        <v>46227</v>
      </c>
      <c r="S153" t="s">
        <v>412</v>
      </c>
      <c r="T153" t="s">
        <v>413</v>
      </c>
      <c r="U153" t="s">
        <v>66</v>
      </c>
      <c r="V153" t="s">
        <v>414</v>
      </c>
      <c r="W153" t="s">
        <v>66</v>
      </c>
      <c r="X153">
        <v>490037.5</v>
      </c>
      <c r="Y153">
        <v>53904.13</v>
      </c>
      <c r="Z153">
        <v>39700.5</v>
      </c>
      <c r="AA153">
        <v>4367.0600000000004</v>
      </c>
      <c r="AB153">
        <v>543941.63</v>
      </c>
      <c r="AC153">
        <v>3</v>
      </c>
      <c r="AD153" t="s">
        <v>82</v>
      </c>
      <c r="AE153">
        <v>3</v>
      </c>
      <c r="AF153" t="s">
        <v>135</v>
      </c>
      <c r="AG153">
        <f>IFERROR(VLOOKUP(AF153,[1]STOK!J:O,6,0),"")</f>
        <v>12</v>
      </c>
      <c r="AH153" s="2">
        <f t="shared" si="4"/>
        <v>0.25</v>
      </c>
      <c r="AI153" t="s">
        <v>135</v>
      </c>
      <c r="AJ153" t="s">
        <v>136</v>
      </c>
      <c r="AK153" t="s">
        <v>137</v>
      </c>
      <c r="AL153" t="s">
        <v>86</v>
      </c>
      <c r="AM153">
        <v>14763</v>
      </c>
      <c r="AN153">
        <f t="shared" si="5"/>
        <v>14689.186666666666</v>
      </c>
      <c r="AO153" t="s">
        <v>66</v>
      </c>
      <c r="AP153">
        <v>0.5</v>
      </c>
      <c r="AQ153" t="s">
        <v>66</v>
      </c>
      <c r="AR153">
        <v>0</v>
      </c>
      <c r="AS153" t="s">
        <v>66</v>
      </c>
      <c r="AT153">
        <v>0</v>
      </c>
      <c r="AU153" t="s">
        <v>66</v>
      </c>
      <c r="AV153">
        <v>0</v>
      </c>
      <c r="AW153" t="s">
        <v>66</v>
      </c>
      <c r="AX153">
        <v>0</v>
      </c>
      <c r="AY153" t="s">
        <v>66</v>
      </c>
      <c r="AZ153">
        <v>0</v>
      </c>
      <c r="BA153" t="s">
        <v>66</v>
      </c>
      <c r="BB153">
        <v>0</v>
      </c>
      <c r="BC153">
        <v>0</v>
      </c>
      <c r="BD153">
        <v>44067.56</v>
      </c>
      <c r="BE153">
        <v>12032.04</v>
      </c>
      <c r="BF153">
        <v>0</v>
      </c>
      <c r="BG153" t="s">
        <v>87</v>
      </c>
      <c r="BH153" t="s">
        <v>66</v>
      </c>
      <c r="BI153">
        <v>0</v>
      </c>
      <c r="BJ153" t="s">
        <v>66</v>
      </c>
      <c r="BK153" t="s">
        <v>88</v>
      </c>
      <c r="BL153" t="s">
        <v>66</v>
      </c>
      <c r="BM153" t="s">
        <v>89</v>
      </c>
    </row>
    <row r="154" spans="1:65" x14ac:dyDescent="0.25">
      <c r="A154">
        <v>152</v>
      </c>
      <c r="B154" t="s">
        <v>407</v>
      </c>
      <c r="C154" t="s">
        <v>68</v>
      </c>
      <c r="D154" s="1">
        <v>46227</v>
      </c>
      <c r="E154" t="s">
        <v>408</v>
      </c>
      <c r="F154" t="s">
        <v>68</v>
      </c>
      <c r="G154" t="s">
        <v>69</v>
      </c>
      <c r="H154" t="s">
        <v>70</v>
      </c>
      <c r="I154" t="s">
        <v>71</v>
      </c>
      <c r="J154" t="s">
        <v>72</v>
      </c>
      <c r="K154" t="s">
        <v>73</v>
      </c>
      <c r="L154" t="s">
        <v>74</v>
      </c>
      <c r="M154" t="s">
        <v>409</v>
      </c>
      <c r="N154" t="s">
        <v>76</v>
      </c>
      <c r="O154" t="s">
        <v>410</v>
      </c>
      <c r="P154" t="s">
        <v>411</v>
      </c>
      <c r="Q154" t="s">
        <v>66</v>
      </c>
      <c r="R154" s="1">
        <v>46227</v>
      </c>
      <c r="S154" t="s">
        <v>412</v>
      </c>
      <c r="T154" t="s">
        <v>413</v>
      </c>
      <c r="U154" t="s">
        <v>66</v>
      </c>
      <c r="V154" t="s">
        <v>414</v>
      </c>
      <c r="W154" t="s">
        <v>66</v>
      </c>
      <c r="X154">
        <v>490037.5</v>
      </c>
      <c r="Y154">
        <v>53904.13</v>
      </c>
      <c r="Z154">
        <v>39700.5</v>
      </c>
      <c r="AA154">
        <v>4367.0600000000004</v>
      </c>
      <c r="AB154">
        <v>543941.63</v>
      </c>
      <c r="AC154">
        <v>3</v>
      </c>
      <c r="AD154" t="s">
        <v>82</v>
      </c>
      <c r="AE154">
        <v>3</v>
      </c>
      <c r="AF154" t="s">
        <v>210</v>
      </c>
      <c r="AG154">
        <f>IFERROR(VLOOKUP(AF154,[1]STOK!J:O,6,0),"")</f>
        <v>12</v>
      </c>
      <c r="AH154" s="2">
        <f t="shared" si="4"/>
        <v>0.25</v>
      </c>
      <c r="AI154" t="s">
        <v>210</v>
      </c>
      <c r="AJ154" t="s">
        <v>211</v>
      </c>
      <c r="AK154" t="s">
        <v>212</v>
      </c>
      <c r="AL154" t="s">
        <v>86</v>
      </c>
      <c r="AM154">
        <v>14763</v>
      </c>
      <c r="AN154">
        <f t="shared" si="5"/>
        <v>14689.186666666666</v>
      </c>
      <c r="AO154" t="s">
        <v>66</v>
      </c>
      <c r="AP154">
        <v>0.5</v>
      </c>
      <c r="AQ154" t="s">
        <v>66</v>
      </c>
      <c r="AR154">
        <v>0</v>
      </c>
      <c r="AS154" t="s">
        <v>66</v>
      </c>
      <c r="AT154">
        <v>0</v>
      </c>
      <c r="AU154" t="s">
        <v>66</v>
      </c>
      <c r="AV154">
        <v>0</v>
      </c>
      <c r="AW154" t="s">
        <v>66</v>
      </c>
      <c r="AX154">
        <v>0</v>
      </c>
      <c r="AY154" t="s">
        <v>66</v>
      </c>
      <c r="AZ154">
        <v>0</v>
      </c>
      <c r="BA154" t="s">
        <v>66</v>
      </c>
      <c r="BB154">
        <v>0</v>
      </c>
      <c r="BC154">
        <v>0</v>
      </c>
      <c r="BD154">
        <v>44067.56</v>
      </c>
      <c r="BE154">
        <v>11818.77</v>
      </c>
      <c r="BF154">
        <v>0</v>
      </c>
      <c r="BG154" t="s">
        <v>87</v>
      </c>
      <c r="BH154" t="s">
        <v>66</v>
      </c>
      <c r="BI154">
        <v>0</v>
      </c>
      <c r="BJ154" t="s">
        <v>66</v>
      </c>
      <c r="BK154" t="s">
        <v>88</v>
      </c>
      <c r="BL154" t="s">
        <v>66</v>
      </c>
      <c r="BM154" t="s">
        <v>89</v>
      </c>
    </row>
    <row r="155" spans="1:65" x14ac:dyDescent="0.25">
      <c r="A155">
        <v>153</v>
      </c>
      <c r="B155" t="s">
        <v>407</v>
      </c>
      <c r="C155" t="s">
        <v>68</v>
      </c>
      <c r="D155" s="1">
        <v>46227</v>
      </c>
      <c r="E155" t="s">
        <v>408</v>
      </c>
      <c r="F155" t="s">
        <v>68</v>
      </c>
      <c r="G155" t="s">
        <v>69</v>
      </c>
      <c r="H155" t="s">
        <v>70</v>
      </c>
      <c r="I155" t="s">
        <v>71</v>
      </c>
      <c r="J155" t="s">
        <v>72</v>
      </c>
      <c r="K155" t="s">
        <v>73</v>
      </c>
      <c r="L155" t="s">
        <v>74</v>
      </c>
      <c r="M155" t="s">
        <v>409</v>
      </c>
      <c r="N155" t="s">
        <v>76</v>
      </c>
      <c r="O155" t="s">
        <v>410</v>
      </c>
      <c r="P155" t="s">
        <v>411</v>
      </c>
      <c r="Q155" t="s">
        <v>66</v>
      </c>
      <c r="R155" s="1">
        <v>46227</v>
      </c>
      <c r="S155" t="s">
        <v>412</v>
      </c>
      <c r="T155" t="s">
        <v>413</v>
      </c>
      <c r="U155" t="s">
        <v>66</v>
      </c>
      <c r="V155" t="s">
        <v>414</v>
      </c>
      <c r="W155" t="s">
        <v>66</v>
      </c>
      <c r="X155">
        <v>490037.5</v>
      </c>
      <c r="Y155">
        <v>53904.13</v>
      </c>
      <c r="Z155">
        <v>59700</v>
      </c>
      <c r="AA155">
        <v>6567</v>
      </c>
      <c r="AB155">
        <v>543941.63</v>
      </c>
      <c r="AC155">
        <v>3</v>
      </c>
      <c r="AD155" t="s">
        <v>82</v>
      </c>
      <c r="AE155">
        <v>3</v>
      </c>
      <c r="AF155" t="s">
        <v>290</v>
      </c>
      <c r="AG155">
        <f>IFERROR(VLOOKUP(AF155,[1]STOK!J:O,6,0),"")</f>
        <v>12</v>
      </c>
      <c r="AH155" s="2">
        <f t="shared" si="4"/>
        <v>0.25</v>
      </c>
      <c r="AI155" t="s">
        <v>290</v>
      </c>
      <c r="AJ155" t="s">
        <v>291</v>
      </c>
      <c r="AK155" t="s">
        <v>292</v>
      </c>
      <c r="AL155" t="s">
        <v>86</v>
      </c>
      <c r="AM155">
        <v>22200</v>
      </c>
      <c r="AN155">
        <f t="shared" si="5"/>
        <v>22089</v>
      </c>
      <c r="AO155" t="s">
        <v>66</v>
      </c>
      <c r="AP155">
        <v>0.5</v>
      </c>
      <c r="AQ155" t="s">
        <v>66</v>
      </c>
      <c r="AR155">
        <v>0</v>
      </c>
      <c r="AS155" t="s">
        <v>66</v>
      </c>
      <c r="AT155">
        <v>0</v>
      </c>
      <c r="AU155" t="s">
        <v>66</v>
      </c>
      <c r="AV155">
        <v>0</v>
      </c>
      <c r="AW155" t="s">
        <v>66</v>
      </c>
      <c r="AX155">
        <v>0</v>
      </c>
      <c r="AY155" t="s">
        <v>66</v>
      </c>
      <c r="AZ155">
        <v>0</v>
      </c>
      <c r="BA155" t="s">
        <v>66</v>
      </c>
      <c r="BB155">
        <v>0</v>
      </c>
      <c r="BC155">
        <v>0</v>
      </c>
      <c r="BD155">
        <v>66267</v>
      </c>
      <c r="BE155">
        <v>18155.62</v>
      </c>
      <c r="BF155">
        <v>0</v>
      </c>
      <c r="BG155" t="s">
        <v>87</v>
      </c>
      <c r="BH155" t="s">
        <v>66</v>
      </c>
      <c r="BI155">
        <v>0</v>
      </c>
      <c r="BJ155" t="s">
        <v>66</v>
      </c>
      <c r="BK155" t="s">
        <v>88</v>
      </c>
      <c r="BL155" t="s">
        <v>66</v>
      </c>
      <c r="BM155" t="s">
        <v>89</v>
      </c>
    </row>
    <row r="156" spans="1:65" x14ac:dyDescent="0.25">
      <c r="A156">
        <v>154</v>
      </c>
      <c r="B156" t="s">
        <v>407</v>
      </c>
      <c r="C156" t="s">
        <v>68</v>
      </c>
      <c r="D156" s="1">
        <v>46227</v>
      </c>
      <c r="E156" t="s">
        <v>408</v>
      </c>
      <c r="F156" t="s">
        <v>68</v>
      </c>
      <c r="G156" t="s">
        <v>69</v>
      </c>
      <c r="H156" t="s">
        <v>70</v>
      </c>
      <c r="I156" t="s">
        <v>71</v>
      </c>
      <c r="J156" t="s">
        <v>72</v>
      </c>
      <c r="K156" t="s">
        <v>73</v>
      </c>
      <c r="L156" t="s">
        <v>74</v>
      </c>
      <c r="M156" t="s">
        <v>409</v>
      </c>
      <c r="N156" t="s">
        <v>76</v>
      </c>
      <c r="O156" t="s">
        <v>410</v>
      </c>
      <c r="P156" t="s">
        <v>411</v>
      </c>
      <c r="Q156" t="s">
        <v>66</v>
      </c>
      <c r="R156" s="1">
        <v>46227</v>
      </c>
      <c r="S156" t="s">
        <v>412</v>
      </c>
      <c r="T156" t="s">
        <v>413</v>
      </c>
      <c r="U156" t="s">
        <v>66</v>
      </c>
      <c r="V156" t="s">
        <v>414</v>
      </c>
      <c r="W156" t="s">
        <v>66</v>
      </c>
      <c r="X156">
        <v>490037.5</v>
      </c>
      <c r="Y156">
        <v>53904.13</v>
      </c>
      <c r="Z156">
        <v>59700</v>
      </c>
      <c r="AA156">
        <v>6567</v>
      </c>
      <c r="AB156">
        <v>543941.63</v>
      </c>
      <c r="AC156">
        <v>3</v>
      </c>
      <c r="AD156" t="s">
        <v>82</v>
      </c>
      <c r="AE156">
        <v>3</v>
      </c>
      <c r="AF156" t="s">
        <v>102</v>
      </c>
      <c r="AG156">
        <f>IFERROR(VLOOKUP(AF156,[1]STOK!J:O,6,0),"")</f>
        <v>12</v>
      </c>
      <c r="AH156" s="2">
        <f t="shared" si="4"/>
        <v>0.25</v>
      </c>
      <c r="AI156" t="s">
        <v>102</v>
      </c>
      <c r="AJ156" t="s">
        <v>103</v>
      </c>
      <c r="AK156" t="s">
        <v>104</v>
      </c>
      <c r="AL156" t="s">
        <v>86</v>
      </c>
      <c r="AM156">
        <v>22200</v>
      </c>
      <c r="AN156">
        <f t="shared" si="5"/>
        <v>22089</v>
      </c>
      <c r="AO156" t="s">
        <v>66</v>
      </c>
      <c r="AP156">
        <v>0.5</v>
      </c>
      <c r="AQ156" t="s">
        <v>66</v>
      </c>
      <c r="AR156">
        <v>0</v>
      </c>
      <c r="AS156" t="s">
        <v>66</v>
      </c>
      <c r="AT156">
        <v>0</v>
      </c>
      <c r="AU156" t="s">
        <v>66</v>
      </c>
      <c r="AV156">
        <v>0</v>
      </c>
      <c r="AW156" t="s">
        <v>66</v>
      </c>
      <c r="AX156">
        <v>0</v>
      </c>
      <c r="AY156" t="s">
        <v>66</v>
      </c>
      <c r="AZ156">
        <v>0</v>
      </c>
      <c r="BA156" t="s">
        <v>66</v>
      </c>
      <c r="BB156">
        <v>0</v>
      </c>
      <c r="BC156">
        <v>0</v>
      </c>
      <c r="BD156">
        <v>66267</v>
      </c>
      <c r="BE156">
        <v>17828.62</v>
      </c>
      <c r="BF156">
        <v>0</v>
      </c>
      <c r="BG156" t="s">
        <v>87</v>
      </c>
      <c r="BH156" t="s">
        <v>66</v>
      </c>
      <c r="BI156">
        <v>0</v>
      </c>
      <c r="BJ156" t="s">
        <v>66</v>
      </c>
      <c r="BK156" t="s">
        <v>88</v>
      </c>
      <c r="BL156" t="s">
        <v>66</v>
      </c>
      <c r="BM156" t="s">
        <v>89</v>
      </c>
    </row>
    <row r="157" spans="1:65" x14ac:dyDescent="0.25">
      <c r="A157">
        <v>155</v>
      </c>
      <c r="B157" t="s">
        <v>407</v>
      </c>
      <c r="C157" t="s">
        <v>68</v>
      </c>
      <c r="D157" s="1">
        <v>46227</v>
      </c>
      <c r="E157" t="s">
        <v>408</v>
      </c>
      <c r="F157" t="s">
        <v>68</v>
      </c>
      <c r="G157" t="s">
        <v>69</v>
      </c>
      <c r="H157" t="s">
        <v>70</v>
      </c>
      <c r="I157" t="s">
        <v>71</v>
      </c>
      <c r="J157" t="s">
        <v>72</v>
      </c>
      <c r="K157" t="s">
        <v>73</v>
      </c>
      <c r="L157" t="s">
        <v>74</v>
      </c>
      <c r="M157" t="s">
        <v>409</v>
      </c>
      <c r="N157" t="s">
        <v>76</v>
      </c>
      <c r="O157" t="s">
        <v>410</v>
      </c>
      <c r="P157" t="s">
        <v>411</v>
      </c>
      <c r="Q157" t="s">
        <v>66</v>
      </c>
      <c r="R157" s="1">
        <v>46227</v>
      </c>
      <c r="S157" t="s">
        <v>412</v>
      </c>
      <c r="T157" t="s">
        <v>413</v>
      </c>
      <c r="U157" t="s">
        <v>66</v>
      </c>
      <c r="V157" t="s">
        <v>414</v>
      </c>
      <c r="W157" t="s">
        <v>66</v>
      </c>
      <c r="X157">
        <v>490037.5</v>
      </c>
      <c r="Y157">
        <v>53904.13</v>
      </c>
      <c r="Z157">
        <v>114325.5</v>
      </c>
      <c r="AA157">
        <v>12575.81</v>
      </c>
      <c r="AB157">
        <v>543941.63</v>
      </c>
      <c r="AC157">
        <v>3</v>
      </c>
      <c r="AD157" t="s">
        <v>82</v>
      </c>
      <c r="AE157">
        <v>3</v>
      </c>
      <c r="AF157" t="s">
        <v>138</v>
      </c>
      <c r="AG157">
        <f>IFERROR(VLOOKUP(AF157,[1]STOK!J:O,6,0),"")</f>
        <v>6</v>
      </c>
      <c r="AH157" s="2">
        <f t="shared" si="4"/>
        <v>0.5</v>
      </c>
      <c r="AI157" t="s">
        <v>138</v>
      </c>
      <c r="AJ157" t="s">
        <v>139</v>
      </c>
      <c r="AK157" t="s">
        <v>140</v>
      </c>
      <c r="AL157" t="s">
        <v>86</v>
      </c>
      <c r="AM157">
        <v>42513</v>
      </c>
      <c r="AN157">
        <f t="shared" si="5"/>
        <v>42300.436666666668</v>
      </c>
      <c r="AO157" t="s">
        <v>66</v>
      </c>
      <c r="AP157">
        <v>0.5</v>
      </c>
      <c r="AQ157" t="s">
        <v>66</v>
      </c>
      <c r="AR157">
        <v>0</v>
      </c>
      <c r="AS157" t="s">
        <v>66</v>
      </c>
      <c r="AT157">
        <v>0</v>
      </c>
      <c r="AU157" t="s">
        <v>66</v>
      </c>
      <c r="AV157">
        <v>0</v>
      </c>
      <c r="AW157" t="s">
        <v>66</v>
      </c>
      <c r="AX157">
        <v>0</v>
      </c>
      <c r="AY157" t="s">
        <v>66</v>
      </c>
      <c r="AZ157">
        <v>0</v>
      </c>
      <c r="BA157" t="s">
        <v>66</v>
      </c>
      <c r="BB157">
        <v>0</v>
      </c>
      <c r="BC157">
        <v>0</v>
      </c>
      <c r="BD157">
        <v>126901.31</v>
      </c>
      <c r="BE157">
        <v>34619.379999999997</v>
      </c>
      <c r="BF157">
        <v>0</v>
      </c>
      <c r="BG157" t="s">
        <v>87</v>
      </c>
      <c r="BH157" t="s">
        <v>66</v>
      </c>
      <c r="BI157">
        <v>0</v>
      </c>
      <c r="BJ157" t="s">
        <v>66</v>
      </c>
      <c r="BK157" t="s">
        <v>88</v>
      </c>
      <c r="BL157" t="s">
        <v>66</v>
      </c>
      <c r="BM157" t="s">
        <v>89</v>
      </c>
    </row>
    <row r="158" spans="1:65" x14ac:dyDescent="0.25">
      <c r="A158">
        <v>156</v>
      </c>
      <c r="B158" t="s">
        <v>424</v>
      </c>
      <c r="C158" t="s">
        <v>66</v>
      </c>
      <c r="D158" s="1">
        <v>46230</v>
      </c>
      <c r="E158" t="s">
        <v>425</v>
      </c>
      <c r="F158" t="s">
        <v>68</v>
      </c>
      <c r="G158" t="s">
        <v>69</v>
      </c>
      <c r="H158" t="s">
        <v>70</v>
      </c>
      <c r="I158" t="s">
        <v>71</v>
      </c>
      <c r="J158" t="s">
        <v>72</v>
      </c>
      <c r="K158" t="s">
        <v>73</v>
      </c>
      <c r="L158" t="s">
        <v>74</v>
      </c>
      <c r="M158" t="s">
        <v>426</v>
      </c>
      <c r="N158" t="s">
        <v>111</v>
      </c>
      <c r="O158" t="s">
        <v>427</v>
      </c>
      <c r="P158" t="s">
        <v>428</v>
      </c>
      <c r="Q158" t="s">
        <v>66</v>
      </c>
      <c r="R158" s="1">
        <v>46230</v>
      </c>
      <c r="S158" t="s">
        <v>429</v>
      </c>
      <c r="T158" t="s">
        <v>430</v>
      </c>
      <c r="U158" t="s">
        <v>66</v>
      </c>
      <c r="V158" t="s">
        <v>431</v>
      </c>
      <c r="W158" t="s">
        <v>66</v>
      </c>
      <c r="X158">
        <v>7616808</v>
      </c>
      <c r="Y158">
        <v>837848.88</v>
      </c>
      <c r="Z158">
        <v>213351</v>
      </c>
      <c r="AA158">
        <v>23468.61</v>
      </c>
      <c r="AB158">
        <v>8454656.8800000008</v>
      </c>
      <c r="AC158">
        <v>6</v>
      </c>
      <c r="AD158" t="s">
        <v>82</v>
      </c>
      <c r="AE158">
        <v>6</v>
      </c>
      <c r="AF158" t="s">
        <v>432</v>
      </c>
      <c r="AG158">
        <f>IFERROR(VLOOKUP(AF158,[1]STOK!J:O,6,0),"")</f>
        <v>12</v>
      </c>
      <c r="AH158" s="2">
        <f t="shared" si="4"/>
        <v>0.5</v>
      </c>
      <c r="AI158" t="s">
        <v>432</v>
      </c>
      <c r="AJ158" t="s">
        <v>433</v>
      </c>
      <c r="AK158" t="s">
        <v>434</v>
      </c>
      <c r="AL158" t="s">
        <v>86</v>
      </c>
      <c r="AM158">
        <v>40071</v>
      </c>
      <c r="AN158">
        <f t="shared" si="5"/>
        <v>39469.934999999998</v>
      </c>
      <c r="AO158" t="s">
        <v>66</v>
      </c>
      <c r="AP158">
        <v>1.5</v>
      </c>
      <c r="AQ158" t="s">
        <v>66</v>
      </c>
      <c r="AR158">
        <v>0</v>
      </c>
      <c r="AS158" t="s">
        <v>66</v>
      </c>
      <c r="AT158">
        <v>0</v>
      </c>
      <c r="AU158" t="s">
        <v>66</v>
      </c>
      <c r="AV158">
        <v>0</v>
      </c>
      <c r="AW158" t="s">
        <v>66</v>
      </c>
      <c r="AX158">
        <v>0</v>
      </c>
      <c r="AY158" t="s">
        <v>66</v>
      </c>
      <c r="AZ158">
        <v>0</v>
      </c>
      <c r="BA158" t="s">
        <v>66</v>
      </c>
      <c r="BB158">
        <v>0</v>
      </c>
      <c r="BC158">
        <v>0</v>
      </c>
      <c r="BD158">
        <v>236819.61</v>
      </c>
      <c r="BE158">
        <v>32671.57</v>
      </c>
      <c r="BF158">
        <v>0</v>
      </c>
      <c r="BG158" t="s">
        <v>87</v>
      </c>
      <c r="BH158" t="s">
        <v>66</v>
      </c>
      <c r="BI158">
        <v>0</v>
      </c>
      <c r="BJ158" t="s">
        <v>66</v>
      </c>
      <c r="BK158" t="s">
        <v>88</v>
      </c>
      <c r="BL158" t="s">
        <v>435</v>
      </c>
      <c r="BM158" t="s">
        <v>89</v>
      </c>
    </row>
    <row r="159" spans="1:65" x14ac:dyDescent="0.25">
      <c r="A159">
        <v>157</v>
      </c>
      <c r="B159" t="s">
        <v>424</v>
      </c>
      <c r="C159" t="s">
        <v>66</v>
      </c>
      <c r="D159" s="1">
        <v>46230</v>
      </c>
      <c r="E159" t="s">
        <v>425</v>
      </c>
      <c r="F159" t="s">
        <v>68</v>
      </c>
      <c r="G159" t="s">
        <v>69</v>
      </c>
      <c r="H159" t="s">
        <v>70</v>
      </c>
      <c r="I159" t="s">
        <v>71</v>
      </c>
      <c r="J159" t="s">
        <v>72</v>
      </c>
      <c r="K159" t="s">
        <v>73</v>
      </c>
      <c r="L159" t="s">
        <v>74</v>
      </c>
      <c r="M159" t="s">
        <v>426</v>
      </c>
      <c r="N159" t="s">
        <v>111</v>
      </c>
      <c r="O159" t="s">
        <v>427</v>
      </c>
      <c r="P159" t="s">
        <v>428</v>
      </c>
      <c r="Q159" t="s">
        <v>66</v>
      </c>
      <c r="R159" s="1">
        <v>46230</v>
      </c>
      <c r="S159" t="s">
        <v>429</v>
      </c>
      <c r="T159" t="s">
        <v>430</v>
      </c>
      <c r="U159" t="s">
        <v>66</v>
      </c>
      <c r="V159" t="s">
        <v>431</v>
      </c>
      <c r="W159" t="s">
        <v>66</v>
      </c>
      <c r="X159">
        <v>7616808</v>
      </c>
      <c r="Y159">
        <v>837848.88</v>
      </c>
      <c r="Z159">
        <v>173754</v>
      </c>
      <c r="AA159">
        <v>19112.939999999999</v>
      </c>
      <c r="AB159">
        <v>8454656.8800000008</v>
      </c>
      <c r="AC159">
        <v>3</v>
      </c>
      <c r="AD159" t="s">
        <v>82</v>
      </c>
      <c r="AE159">
        <v>3</v>
      </c>
      <c r="AF159" t="s">
        <v>436</v>
      </c>
      <c r="AG159">
        <f>IFERROR(VLOOKUP(AF159,[1]STOK!J:O,6,0),"")</f>
        <v>6</v>
      </c>
      <c r="AH159" s="2">
        <f t="shared" si="4"/>
        <v>0.5</v>
      </c>
      <c r="AI159" t="s">
        <v>436</v>
      </c>
      <c r="AJ159" t="s">
        <v>437</v>
      </c>
      <c r="AK159" t="s">
        <v>438</v>
      </c>
      <c r="AL159" t="s">
        <v>86</v>
      </c>
      <c r="AM159">
        <v>65268</v>
      </c>
      <c r="AN159">
        <f t="shared" si="5"/>
        <v>64288.98</v>
      </c>
      <c r="AO159" t="s">
        <v>66</v>
      </c>
      <c r="AP159">
        <v>1.5</v>
      </c>
      <c r="AQ159" t="s">
        <v>66</v>
      </c>
      <c r="AR159">
        <v>0</v>
      </c>
      <c r="AS159" t="s">
        <v>66</v>
      </c>
      <c r="AT159">
        <v>0</v>
      </c>
      <c r="AU159" t="s">
        <v>66</v>
      </c>
      <c r="AV159">
        <v>0</v>
      </c>
      <c r="AW159" t="s">
        <v>66</v>
      </c>
      <c r="AX159">
        <v>0</v>
      </c>
      <c r="AY159" t="s">
        <v>66</v>
      </c>
      <c r="AZ159">
        <v>0</v>
      </c>
      <c r="BA159" t="s">
        <v>66</v>
      </c>
      <c r="BB159">
        <v>0</v>
      </c>
      <c r="BC159">
        <v>0</v>
      </c>
      <c r="BD159">
        <v>192866.94</v>
      </c>
      <c r="BE159">
        <v>46970.85</v>
      </c>
      <c r="BF159">
        <v>0</v>
      </c>
      <c r="BG159" t="s">
        <v>87</v>
      </c>
      <c r="BH159" t="s">
        <v>66</v>
      </c>
      <c r="BI159">
        <v>0</v>
      </c>
      <c r="BJ159" t="s">
        <v>66</v>
      </c>
      <c r="BK159" t="s">
        <v>88</v>
      </c>
      <c r="BL159" t="s">
        <v>435</v>
      </c>
      <c r="BM159" t="s">
        <v>89</v>
      </c>
    </row>
    <row r="160" spans="1:65" x14ac:dyDescent="0.25">
      <c r="A160">
        <v>158</v>
      </c>
      <c r="B160" t="s">
        <v>424</v>
      </c>
      <c r="C160" t="s">
        <v>66</v>
      </c>
      <c r="D160" s="1">
        <v>46230</v>
      </c>
      <c r="E160" t="s">
        <v>425</v>
      </c>
      <c r="F160" t="s">
        <v>68</v>
      </c>
      <c r="G160" t="s">
        <v>69</v>
      </c>
      <c r="H160" t="s">
        <v>70</v>
      </c>
      <c r="I160" t="s">
        <v>71</v>
      </c>
      <c r="J160" t="s">
        <v>72</v>
      </c>
      <c r="K160" t="s">
        <v>73</v>
      </c>
      <c r="L160" t="s">
        <v>74</v>
      </c>
      <c r="M160" t="s">
        <v>426</v>
      </c>
      <c r="N160" t="s">
        <v>111</v>
      </c>
      <c r="O160" t="s">
        <v>427</v>
      </c>
      <c r="P160" t="s">
        <v>428</v>
      </c>
      <c r="Q160" t="s">
        <v>66</v>
      </c>
      <c r="R160" s="1">
        <v>46230</v>
      </c>
      <c r="S160" t="s">
        <v>429</v>
      </c>
      <c r="T160" t="s">
        <v>430</v>
      </c>
      <c r="U160" t="s">
        <v>66</v>
      </c>
      <c r="V160" t="s">
        <v>431</v>
      </c>
      <c r="W160" t="s">
        <v>66</v>
      </c>
      <c r="X160">
        <v>7616808</v>
      </c>
      <c r="Y160">
        <v>837848.88</v>
      </c>
      <c r="Z160">
        <v>44325</v>
      </c>
      <c r="AA160">
        <v>4875.75</v>
      </c>
      <c r="AB160">
        <v>8454656.8800000008</v>
      </c>
      <c r="AC160">
        <v>18</v>
      </c>
      <c r="AD160" t="s">
        <v>82</v>
      </c>
      <c r="AE160">
        <v>18</v>
      </c>
      <c r="AF160" t="s">
        <v>163</v>
      </c>
      <c r="AG160">
        <f>IFERROR(VLOOKUP(AF160,[1]STOK!J:O,6,0),"")</f>
        <v>72</v>
      </c>
      <c r="AH160" s="2">
        <f t="shared" si="4"/>
        <v>0.25</v>
      </c>
      <c r="AI160" t="s">
        <v>163</v>
      </c>
      <c r="AJ160" t="s">
        <v>164</v>
      </c>
      <c r="AK160" t="s">
        <v>165</v>
      </c>
      <c r="AL160" t="s">
        <v>86</v>
      </c>
      <c r="AM160">
        <v>2775</v>
      </c>
      <c r="AN160">
        <f t="shared" si="5"/>
        <v>2733.375</v>
      </c>
      <c r="AO160" t="s">
        <v>66</v>
      </c>
      <c r="AP160">
        <v>1.5</v>
      </c>
      <c r="AQ160" t="s">
        <v>66</v>
      </c>
      <c r="AR160">
        <v>0</v>
      </c>
      <c r="AS160" t="s">
        <v>66</v>
      </c>
      <c r="AT160">
        <v>0</v>
      </c>
      <c r="AU160" t="s">
        <v>66</v>
      </c>
      <c r="AV160">
        <v>0</v>
      </c>
      <c r="AW160" t="s">
        <v>66</v>
      </c>
      <c r="AX160">
        <v>0</v>
      </c>
      <c r="AY160" t="s">
        <v>66</v>
      </c>
      <c r="AZ160">
        <v>0</v>
      </c>
      <c r="BA160" t="s">
        <v>66</v>
      </c>
      <c r="BB160">
        <v>0</v>
      </c>
      <c r="BC160">
        <v>0</v>
      </c>
      <c r="BD160">
        <v>49200.75</v>
      </c>
      <c r="BE160">
        <v>2190.6999999999998</v>
      </c>
      <c r="BF160">
        <v>0</v>
      </c>
      <c r="BG160" t="s">
        <v>87</v>
      </c>
      <c r="BH160" t="s">
        <v>66</v>
      </c>
      <c r="BI160">
        <v>0</v>
      </c>
      <c r="BJ160" t="s">
        <v>66</v>
      </c>
      <c r="BK160" t="s">
        <v>88</v>
      </c>
      <c r="BL160" t="s">
        <v>435</v>
      </c>
      <c r="BM160" t="s">
        <v>89</v>
      </c>
    </row>
    <row r="161" spans="1:65" x14ac:dyDescent="0.25">
      <c r="A161">
        <v>159</v>
      </c>
      <c r="B161" t="s">
        <v>424</v>
      </c>
      <c r="C161" t="s">
        <v>66</v>
      </c>
      <c r="D161" s="1">
        <v>46230</v>
      </c>
      <c r="E161" t="s">
        <v>425</v>
      </c>
      <c r="F161" t="s">
        <v>68</v>
      </c>
      <c r="G161" t="s">
        <v>69</v>
      </c>
      <c r="H161" t="s">
        <v>70</v>
      </c>
      <c r="I161" t="s">
        <v>71</v>
      </c>
      <c r="J161" t="s">
        <v>72</v>
      </c>
      <c r="K161" t="s">
        <v>73</v>
      </c>
      <c r="L161" t="s">
        <v>74</v>
      </c>
      <c r="M161" t="s">
        <v>426</v>
      </c>
      <c r="N161" t="s">
        <v>111</v>
      </c>
      <c r="O161" t="s">
        <v>427</v>
      </c>
      <c r="P161" t="s">
        <v>428</v>
      </c>
      <c r="Q161" t="s">
        <v>66</v>
      </c>
      <c r="R161" s="1">
        <v>46230</v>
      </c>
      <c r="S161" t="s">
        <v>429</v>
      </c>
      <c r="T161" t="s">
        <v>430</v>
      </c>
      <c r="U161" t="s">
        <v>66</v>
      </c>
      <c r="V161" t="s">
        <v>431</v>
      </c>
      <c r="W161" t="s">
        <v>66</v>
      </c>
      <c r="X161">
        <v>7616808</v>
      </c>
      <c r="Y161">
        <v>837848.88</v>
      </c>
      <c r="Z161">
        <v>59100</v>
      </c>
      <c r="AA161">
        <v>6501</v>
      </c>
      <c r="AB161">
        <v>8454656.8800000008</v>
      </c>
      <c r="AC161">
        <v>24</v>
      </c>
      <c r="AD161" t="s">
        <v>82</v>
      </c>
      <c r="AE161">
        <v>24</v>
      </c>
      <c r="AF161" t="s">
        <v>185</v>
      </c>
      <c r="AG161">
        <f>IFERROR(VLOOKUP(AF161,[1]STOK!J:O,6,0),"")</f>
        <v>72</v>
      </c>
      <c r="AH161" s="2">
        <f t="shared" si="4"/>
        <v>0.33333333333333331</v>
      </c>
      <c r="AI161" t="s">
        <v>185</v>
      </c>
      <c r="AJ161" t="s">
        <v>186</v>
      </c>
      <c r="AK161" t="s">
        <v>187</v>
      </c>
      <c r="AL161" t="s">
        <v>86</v>
      </c>
      <c r="AM161">
        <v>2775</v>
      </c>
      <c r="AN161">
        <f t="shared" si="5"/>
        <v>2733.375</v>
      </c>
      <c r="AO161" t="s">
        <v>66</v>
      </c>
      <c r="AP161">
        <v>1.5</v>
      </c>
      <c r="AQ161" t="s">
        <v>66</v>
      </c>
      <c r="AR161">
        <v>0</v>
      </c>
      <c r="AS161" t="s">
        <v>66</v>
      </c>
      <c r="AT161">
        <v>0</v>
      </c>
      <c r="AU161" t="s">
        <v>66</v>
      </c>
      <c r="AV161">
        <v>0</v>
      </c>
      <c r="AW161" t="s">
        <v>66</v>
      </c>
      <c r="AX161">
        <v>0</v>
      </c>
      <c r="AY161" t="s">
        <v>66</v>
      </c>
      <c r="AZ161">
        <v>0</v>
      </c>
      <c r="BA161" t="s">
        <v>66</v>
      </c>
      <c r="BB161">
        <v>0</v>
      </c>
      <c r="BC161">
        <v>0</v>
      </c>
      <c r="BD161">
        <v>65601</v>
      </c>
      <c r="BE161">
        <v>2241.11</v>
      </c>
      <c r="BF161">
        <v>0</v>
      </c>
      <c r="BG161" t="s">
        <v>87</v>
      </c>
      <c r="BH161" t="s">
        <v>66</v>
      </c>
      <c r="BI161">
        <v>0</v>
      </c>
      <c r="BJ161" t="s">
        <v>66</v>
      </c>
      <c r="BK161" t="s">
        <v>88</v>
      </c>
      <c r="BL161" t="s">
        <v>435</v>
      </c>
      <c r="BM161" t="s">
        <v>89</v>
      </c>
    </row>
    <row r="162" spans="1:65" x14ac:dyDescent="0.25">
      <c r="A162">
        <v>160</v>
      </c>
      <c r="B162" t="s">
        <v>424</v>
      </c>
      <c r="C162" t="s">
        <v>66</v>
      </c>
      <c r="D162" s="1">
        <v>46230</v>
      </c>
      <c r="E162" t="s">
        <v>425</v>
      </c>
      <c r="F162" t="s">
        <v>68</v>
      </c>
      <c r="G162" t="s">
        <v>69</v>
      </c>
      <c r="H162" t="s">
        <v>70</v>
      </c>
      <c r="I162" t="s">
        <v>71</v>
      </c>
      <c r="J162" t="s">
        <v>72</v>
      </c>
      <c r="K162" t="s">
        <v>73</v>
      </c>
      <c r="L162" t="s">
        <v>74</v>
      </c>
      <c r="M162" t="s">
        <v>426</v>
      </c>
      <c r="N162" t="s">
        <v>111</v>
      </c>
      <c r="O162" t="s">
        <v>427</v>
      </c>
      <c r="P162" t="s">
        <v>428</v>
      </c>
      <c r="Q162" t="s">
        <v>66</v>
      </c>
      <c r="R162" s="1">
        <v>46230</v>
      </c>
      <c r="S162" t="s">
        <v>429</v>
      </c>
      <c r="T162" t="s">
        <v>430</v>
      </c>
      <c r="U162" t="s">
        <v>66</v>
      </c>
      <c r="V162" t="s">
        <v>431</v>
      </c>
      <c r="W162" t="s">
        <v>66</v>
      </c>
      <c r="X162">
        <v>7616808</v>
      </c>
      <c r="Y162">
        <v>837848.88</v>
      </c>
      <c r="Z162">
        <v>29550</v>
      </c>
      <c r="AA162">
        <v>3250.5</v>
      </c>
      <c r="AB162">
        <v>8454656.8800000008</v>
      </c>
      <c r="AC162">
        <v>12</v>
      </c>
      <c r="AD162" t="s">
        <v>82</v>
      </c>
      <c r="AE162">
        <v>12</v>
      </c>
      <c r="AF162" t="s">
        <v>392</v>
      </c>
      <c r="AG162">
        <f>IFERROR(VLOOKUP(AF162,[1]STOK!J:O,6,0),"")</f>
        <v>72</v>
      </c>
      <c r="AH162" s="2">
        <f t="shared" si="4"/>
        <v>0.16666666666666666</v>
      </c>
      <c r="AI162" t="s">
        <v>392</v>
      </c>
      <c r="AJ162" t="s">
        <v>393</v>
      </c>
      <c r="AK162" t="s">
        <v>394</v>
      </c>
      <c r="AL162" t="s">
        <v>86</v>
      </c>
      <c r="AM162">
        <v>2775</v>
      </c>
      <c r="AN162">
        <f t="shared" si="5"/>
        <v>2733.375</v>
      </c>
      <c r="AO162" t="s">
        <v>66</v>
      </c>
      <c r="AP162">
        <v>1.5</v>
      </c>
      <c r="AQ162" t="s">
        <v>66</v>
      </c>
      <c r="AR162">
        <v>0</v>
      </c>
      <c r="AS162" t="s">
        <v>66</v>
      </c>
      <c r="AT162">
        <v>0</v>
      </c>
      <c r="AU162" t="s">
        <v>66</v>
      </c>
      <c r="AV162">
        <v>0</v>
      </c>
      <c r="AW162" t="s">
        <v>66</v>
      </c>
      <c r="AX162">
        <v>0</v>
      </c>
      <c r="AY162" t="s">
        <v>66</v>
      </c>
      <c r="AZ162">
        <v>0</v>
      </c>
      <c r="BA162" t="s">
        <v>66</v>
      </c>
      <c r="BB162">
        <v>0</v>
      </c>
      <c r="BC162">
        <v>0</v>
      </c>
      <c r="BD162">
        <v>32800.5</v>
      </c>
      <c r="BE162">
        <v>2214.85</v>
      </c>
      <c r="BF162">
        <v>0</v>
      </c>
      <c r="BG162" t="s">
        <v>87</v>
      </c>
      <c r="BH162" t="s">
        <v>66</v>
      </c>
      <c r="BI162">
        <v>0</v>
      </c>
      <c r="BJ162" t="s">
        <v>66</v>
      </c>
      <c r="BK162" t="s">
        <v>88</v>
      </c>
      <c r="BL162" t="s">
        <v>435</v>
      </c>
      <c r="BM162" t="s">
        <v>89</v>
      </c>
    </row>
    <row r="163" spans="1:65" x14ac:dyDescent="0.25">
      <c r="A163">
        <v>161</v>
      </c>
      <c r="B163" t="s">
        <v>424</v>
      </c>
      <c r="C163" t="s">
        <v>66</v>
      </c>
      <c r="D163" s="1">
        <v>46230</v>
      </c>
      <c r="E163" t="s">
        <v>425</v>
      </c>
      <c r="F163" t="s">
        <v>68</v>
      </c>
      <c r="G163" t="s">
        <v>69</v>
      </c>
      <c r="H163" t="s">
        <v>70</v>
      </c>
      <c r="I163" t="s">
        <v>71</v>
      </c>
      <c r="J163" t="s">
        <v>72</v>
      </c>
      <c r="K163" t="s">
        <v>73</v>
      </c>
      <c r="L163" t="s">
        <v>74</v>
      </c>
      <c r="M163" t="s">
        <v>426</v>
      </c>
      <c r="N163" t="s">
        <v>111</v>
      </c>
      <c r="O163" t="s">
        <v>427</v>
      </c>
      <c r="P163" t="s">
        <v>428</v>
      </c>
      <c r="Q163" t="s">
        <v>66</v>
      </c>
      <c r="R163" s="1">
        <v>46230</v>
      </c>
      <c r="S163" t="s">
        <v>429</v>
      </c>
      <c r="T163" t="s">
        <v>430</v>
      </c>
      <c r="U163" t="s">
        <v>66</v>
      </c>
      <c r="V163" t="s">
        <v>431</v>
      </c>
      <c r="W163" t="s">
        <v>66</v>
      </c>
      <c r="X163">
        <v>7616808</v>
      </c>
      <c r="Y163">
        <v>837848.88</v>
      </c>
      <c r="Z163">
        <v>59100</v>
      </c>
      <c r="AA163">
        <v>6501</v>
      </c>
      <c r="AB163">
        <v>8454656.8800000008</v>
      </c>
      <c r="AC163">
        <v>24</v>
      </c>
      <c r="AD163" t="s">
        <v>82</v>
      </c>
      <c r="AE163">
        <v>24</v>
      </c>
      <c r="AF163" t="s">
        <v>341</v>
      </c>
      <c r="AG163">
        <f>IFERROR(VLOOKUP(AF163,[1]STOK!J:O,6,0),"")</f>
        <v>72</v>
      </c>
      <c r="AH163" s="2">
        <f t="shared" si="4"/>
        <v>0.33333333333333331</v>
      </c>
      <c r="AI163" t="s">
        <v>341</v>
      </c>
      <c r="AJ163" t="s">
        <v>342</v>
      </c>
      <c r="AK163" t="s">
        <v>343</v>
      </c>
      <c r="AL163" t="s">
        <v>86</v>
      </c>
      <c r="AM163">
        <v>2775</v>
      </c>
      <c r="AN163">
        <f t="shared" si="5"/>
        <v>2733.375</v>
      </c>
      <c r="AO163" t="s">
        <v>66</v>
      </c>
      <c r="AP163">
        <v>1.5</v>
      </c>
      <c r="AQ163" t="s">
        <v>66</v>
      </c>
      <c r="AR163">
        <v>0</v>
      </c>
      <c r="AS163" t="s">
        <v>66</v>
      </c>
      <c r="AT163">
        <v>0</v>
      </c>
      <c r="AU163" t="s">
        <v>66</v>
      </c>
      <c r="AV163">
        <v>0</v>
      </c>
      <c r="AW163" t="s">
        <v>66</v>
      </c>
      <c r="AX163">
        <v>0</v>
      </c>
      <c r="AY163" t="s">
        <v>66</v>
      </c>
      <c r="AZ163">
        <v>0</v>
      </c>
      <c r="BA163" t="s">
        <v>66</v>
      </c>
      <c r="BB163">
        <v>0</v>
      </c>
      <c r="BC163">
        <v>0</v>
      </c>
      <c r="BD163">
        <v>65601</v>
      </c>
      <c r="BE163">
        <v>2228.91</v>
      </c>
      <c r="BF163">
        <v>0</v>
      </c>
      <c r="BG163" t="s">
        <v>87</v>
      </c>
      <c r="BH163" t="s">
        <v>66</v>
      </c>
      <c r="BI163">
        <v>0</v>
      </c>
      <c r="BJ163" t="s">
        <v>66</v>
      </c>
      <c r="BK163" t="s">
        <v>88</v>
      </c>
      <c r="BL163" t="s">
        <v>435</v>
      </c>
      <c r="BM163" t="s">
        <v>89</v>
      </c>
    </row>
    <row r="164" spans="1:65" x14ac:dyDescent="0.25">
      <c r="A164">
        <v>162</v>
      </c>
      <c r="B164" t="s">
        <v>424</v>
      </c>
      <c r="C164" t="s">
        <v>66</v>
      </c>
      <c r="D164" s="1">
        <v>46230</v>
      </c>
      <c r="E164" t="s">
        <v>425</v>
      </c>
      <c r="F164" t="s">
        <v>68</v>
      </c>
      <c r="G164" t="s">
        <v>69</v>
      </c>
      <c r="H164" t="s">
        <v>70</v>
      </c>
      <c r="I164" t="s">
        <v>71</v>
      </c>
      <c r="J164" t="s">
        <v>72</v>
      </c>
      <c r="K164" t="s">
        <v>73</v>
      </c>
      <c r="L164" t="s">
        <v>74</v>
      </c>
      <c r="M164" t="s">
        <v>426</v>
      </c>
      <c r="N164" t="s">
        <v>111</v>
      </c>
      <c r="O164" t="s">
        <v>427</v>
      </c>
      <c r="P164" t="s">
        <v>428</v>
      </c>
      <c r="Q164" t="s">
        <v>66</v>
      </c>
      <c r="R164" s="1">
        <v>46230</v>
      </c>
      <c r="S164" t="s">
        <v>429</v>
      </c>
      <c r="T164" t="s">
        <v>430</v>
      </c>
      <c r="U164" t="s">
        <v>66</v>
      </c>
      <c r="V164" t="s">
        <v>431</v>
      </c>
      <c r="W164" t="s">
        <v>66</v>
      </c>
      <c r="X164">
        <v>7616808</v>
      </c>
      <c r="Y164">
        <v>837848.88</v>
      </c>
      <c r="Z164">
        <v>21867</v>
      </c>
      <c r="AA164">
        <v>2405.37</v>
      </c>
      <c r="AB164">
        <v>8454656.8800000008</v>
      </c>
      <c r="AC164">
        <v>3</v>
      </c>
      <c r="AD164" t="s">
        <v>82</v>
      </c>
      <c r="AE164">
        <v>3</v>
      </c>
      <c r="AF164" t="s">
        <v>415</v>
      </c>
      <c r="AG164">
        <f>IFERROR(VLOOKUP(AF164,[1]STOK!J:O,6,0),"")</f>
        <v>24</v>
      </c>
      <c r="AH164" s="2">
        <f t="shared" si="4"/>
        <v>0.125</v>
      </c>
      <c r="AI164" t="s">
        <v>415</v>
      </c>
      <c r="AJ164" t="s">
        <v>416</v>
      </c>
      <c r="AK164" t="s">
        <v>417</v>
      </c>
      <c r="AL164" t="s">
        <v>86</v>
      </c>
      <c r="AM164">
        <v>8214</v>
      </c>
      <c r="AN164">
        <f t="shared" si="5"/>
        <v>8090.79</v>
      </c>
      <c r="AO164" t="s">
        <v>66</v>
      </c>
      <c r="AP164">
        <v>1.5</v>
      </c>
      <c r="AQ164" t="s">
        <v>66</v>
      </c>
      <c r="AR164">
        <v>0</v>
      </c>
      <c r="AS164" t="s">
        <v>66</v>
      </c>
      <c r="AT164">
        <v>0</v>
      </c>
      <c r="AU164" t="s">
        <v>66</v>
      </c>
      <c r="AV164">
        <v>0</v>
      </c>
      <c r="AW164" t="s">
        <v>66</v>
      </c>
      <c r="AX164">
        <v>0</v>
      </c>
      <c r="AY164" t="s">
        <v>66</v>
      </c>
      <c r="AZ164">
        <v>0</v>
      </c>
      <c r="BA164" t="s">
        <v>66</v>
      </c>
      <c r="BB164">
        <v>0</v>
      </c>
      <c r="BC164">
        <v>0</v>
      </c>
      <c r="BD164">
        <v>24272.37</v>
      </c>
      <c r="BE164">
        <v>6596.76</v>
      </c>
      <c r="BF164">
        <v>0</v>
      </c>
      <c r="BG164" t="s">
        <v>87</v>
      </c>
      <c r="BH164" t="s">
        <v>66</v>
      </c>
      <c r="BI164">
        <v>0</v>
      </c>
      <c r="BJ164" t="s">
        <v>66</v>
      </c>
      <c r="BK164" t="s">
        <v>88</v>
      </c>
      <c r="BL164" t="s">
        <v>435</v>
      </c>
      <c r="BM164" t="s">
        <v>89</v>
      </c>
    </row>
    <row r="165" spans="1:65" x14ac:dyDescent="0.25">
      <c r="A165">
        <v>163</v>
      </c>
      <c r="B165" t="s">
        <v>424</v>
      </c>
      <c r="C165" t="s">
        <v>66</v>
      </c>
      <c r="D165" s="1">
        <v>46230</v>
      </c>
      <c r="E165" t="s">
        <v>425</v>
      </c>
      <c r="F165" t="s">
        <v>68</v>
      </c>
      <c r="G165" t="s">
        <v>69</v>
      </c>
      <c r="H165" t="s">
        <v>70</v>
      </c>
      <c r="I165" t="s">
        <v>71</v>
      </c>
      <c r="J165" t="s">
        <v>72</v>
      </c>
      <c r="K165" t="s">
        <v>73</v>
      </c>
      <c r="L165" t="s">
        <v>74</v>
      </c>
      <c r="M165" t="s">
        <v>426</v>
      </c>
      <c r="N165" t="s">
        <v>111</v>
      </c>
      <c r="O165" t="s">
        <v>427</v>
      </c>
      <c r="P165" t="s">
        <v>428</v>
      </c>
      <c r="Q165" t="s">
        <v>66</v>
      </c>
      <c r="R165" s="1">
        <v>46230</v>
      </c>
      <c r="S165" t="s">
        <v>429</v>
      </c>
      <c r="T165" t="s">
        <v>430</v>
      </c>
      <c r="U165" t="s">
        <v>66</v>
      </c>
      <c r="V165" t="s">
        <v>431</v>
      </c>
      <c r="W165" t="s">
        <v>66</v>
      </c>
      <c r="X165">
        <v>7616808</v>
      </c>
      <c r="Y165">
        <v>837848.88</v>
      </c>
      <c r="Z165">
        <v>43734</v>
      </c>
      <c r="AA165">
        <v>4810.74</v>
      </c>
      <c r="AB165">
        <v>8454656.8800000008</v>
      </c>
      <c r="AC165">
        <v>6</v>
      </c>
      <c r="AD165" t="s">
        <v>82</v>
      </c>
      <c r="AE165">
        <v>6</v>
      </c>
      <c r="AF165" t="s">
        <v>262</v>
      </c>
      <c r="AG165">
        <f>IFERROR(VLOOKUP(AF165,[1]STOK!J:O,6,0),"")</f>
        <v>24</v>
      </c>
      <c r="AH165" s="2">
        <f t="shared" si="4"/>
        <v>0.25</v>
      </c>
      <c r="AI165" t="s">
        <v>262</v>
      </c>
      <c r="AJ165" t="s">
        <v>263</v>
      </c>
      <c r="AK165" t="s">
        <v>264</v>
      </c>
      <c r="AL165" t="s">
        <v>86</v>
      </c>
      <c r="AM165">
        <v>8214</v>
      </c>
      <c r="AN165">
        <f t="shared" si="5"/>
        <v>8090.79</v>
      </c>
      <c r="AO165" t="s">
        <v>66</v>
      </c>
      <c r="AP165">
        <v>1.5</v>
      </c>
      <c r="AQ165" t="s">
        <v>66</v>
      </c>
      <c r="AR165">
        <v>0</v>
      </c>
      <c r="AS165" t="s">
        <v>66</v>
      </c>
      <c r="AT165">
        <v>0</v>
      </c>
      <c r="AU165" t="s">
        <v>66</v>
      </c>
      <c r="AV165">
        <v>0</v>
      </c>
      <c r="AW165" t="s">
        <v>66</v>
      </c>
      <c r="AX165">
        <v>0</v>
      </c>
      <c r="AY165" t="s">
        <v>66</v>
      </c>
      <c r="AZ165">
        <v>0</v>
      </c>
      <c r="BA165" t="s">
        <v>66</v>
      </c>
      <c r="BB165">
        <v>0</v>
      </c>
      <c r="BC165">
        <v>0</v>
      </c>
      <c r="BD165">
        <v>48544.74</v>
      </c>
      <c r="BE165">
        <v>6675.26</v>
      </c>
      <c r="BF165">
        <v>0</v>
      </c>
      <c r="BG165" t="s">
        <v>87</v>
      </c>
      <c r="BH165" t="s">
        <v>66</v>
      </c>
      <c r="BI165">
        <v>0</v>
      </c>
      <c r="BJ165" t="s">
        <v>66</v>
      </c>
      <c r="BK165" t="s">
        <v>88</v>
      </c>
      <c r="BL165" t="s">
        <v>435</v>
      </c>
      <c r="BM165" t="s">
        <v>89</v>
      </c>
    </row>
    <row r="166" spans="1:65" x14ac:dyDescent="0.25">
      <c r="A166">
        <v>164</v>
      </c>
      <c r="B166" t="s">
        <v>424</v>
      </c>
      <c r="C166" t="s">
        <v>66</v>
      </c>
      <c r="D166" s="1">
        <v>46230</v>
      </c>
      <c r="E166" t="s">
        <v>425</v>
      </c>
      <c r="F166" t="s">
        <v>68</v>
      </c>
      <c r="G166" t="s">
        <v>69</v>
      </c>
      <c r="H166" t="s">
        <v>70</v>
      </c>
      <c r="I166" t="s">
        <v>71</v>
      </c>
      <c r="J166" t="s">
        <v>72</v>
      </c>
      <c r="K166" t="s">
        <v>73</v>
      </c>
      <c r="L166" t="s">
        <v>74</v>
      </c>
      <c r="M166" t="s">
        <v>426</v>
      </c>
      <c r="N166" t="s">
        <v>111</v>
      </c>
      <c r="O166" t="s">
        <v>427</v>
      </c>
      <c r="P166" t="s">
        <v>428</v>
      </c>
      <c r="Q166" t="s">
        <v>66</v>
      </c>
      <c r="R166" s="1">
        <v>46230</v>
      </c>
      <c r="S166" t="s">
        <v>429</v>
      </c>
      <c r="T166" t="s">
        <v>430</v>
      </c>
      <c r="U166" t="s">
        <v>66</v>
      </c>
      <c r="V166" t="s">
        <v>431</v>
      </c>
      <c r="W166" t="s">
        <v>66</v>
      </c>
      <c r="X166">
        <v>7616808</v>
      </c>
      <c r="Y166">
        <v>837848.88</v>
      </c>
      <c r="Z166">
        <v>87468</v>
      </c>
      <c r="AA166">
        <v>9621.48</v>
      </c>
      <c r="AB166">
        <v>8454656.8800000008</v>
      </c>
      <c r="AC166">
        <v>12</v>
      </c>
      <c r="AD166" t="s">
        <v>82</v>
      </c>
      <c r="AE166">
        <v>12</v>
      </c>
      <c r="AF166" t="s">
        <v>83</v>
      </c>
      <c r="AG166">
        <f>IFERROR(VLOOKUP(AF166,[1]STOK!J:O,6,0),"")</f>
        <v>24</v>
      </c>
      <c r="AH166" s="2">
        <f t="shared" si="4"/>
        <v>0.5</v>
      </c>
      <c r="AI166" t="s">
        <v>83</v>
      </c>
      <c r="AJ166" t="s">
        <v>84</v>
      </c>
      <c r="AK166" t="s">
        <v>85</v>
      </c>
      <c r="AL166" t="s">
        <v>86</v>
      </c>
      <c r="AM166">
        <v>8214</v>
      </c>
      <c r="AN166">
        <f t="shared" si="5"/>
        <v>8090.79</v>
      </c>
      <c r="AO166" t="s">
        <v>66</v>
      </c>
      <c r="AP166">
        <v>1.5</v>
      </c>
      <c r="AQ166" t="s">
        <v>66</v>
      </c>
      <c r="AR166">
        <v>0</v>
      </c>
      <c r="AS166" t="s">
        <v>66</v>
      </c>
      <c r="AT166">
        <v>0</v>
      </c>
      <c r="AU166" t="s">
        <v>66</v>
      </c>
      <c r="AV166">
        <v>0</v>
      </c>
      <c r="AW166" t="s">
        <v>66</v>
      </c>
      <c r="AX166">
        <v>0</v>
      </c>
      <c r="AY166" t="s">
        <v>66</v>
      </c>
      <c r="AZ166">
        <v>0</v>
      </c>
      <c r="BA166" t="s">
        <v>66</v>
      </c>
      <c r="BB166">
        <v>0</v>
      </c>
      <c r="BC166">
        <v>0</v>
      </c>
      <c r="BD166">
        <v>97089.48</v>
      </c>
      <c r="BE166">
        <v>6682.78</v>
      </c>
      <c r="BF166">
        <v>0</v>
      </c>
      <c r="BG166" t="s">
        <v>87</v>
      </c>
      <c r="BH166" t="s">
        <v>66</v>
      </c>
      <c r="BI166">
        <v>0</v>
      </c>
      <c r="BJ166" t="s">
        <v>66</v>
      </c>
      <c r="BK166" t="s">
        <v>88</v>
      </c>
      <c r="BL166" t="s">
        <v>435</v>
      </c>
      <c r="BM166" t="s">
        <v>89</v>
      </c>
    </row>
    <row r="167" spans="1:65" x14ac:dyDescent="0.25">
      <c r="A167">
        <v>165</v>
      </c>
      <c r="B167" t="s">
        <v>424</v>
      </c>
      <c r="C167" t="s">
        <v>66</v>
      </c>
      <c r="D167" s="1">
        <v>46230</v>
      </c>
      <c r="E167" t="s">
        <v>425</v>
      </c>
      <c r="F167" t="s">
        <v>68</v>
      </c>
      <c r="G167" t="s">
        <v>69</v>
      </c>
      <c r="H167" t="s">
        <v>70</v>
      </c>
      <c r="I167" t="s">
        <v>71</v>
      </c>
      <c r="J167" t="s">
        <v>72</v>
      </c>
      <c r="K167" t="s">
        <v>73</v>
      </c>
      <c r="L167" t="s">
        <v>74</v>
      </c>
      <c r="M167" t="s">
        <v>426</v>
      </c>
      <c r="N167" t="s">
        <v>111</v>
      </c>
      <c r="O167" t="s">
        <v>427</v>
      </c>
      <c r="P167" t="s">
        <v>428</v>
      </c>
      <c r="Q167" t="s">
        <v>66</v>
      </c>
      <c r="R167" s="1">
        <v>46230</v>
      </c>
      <c r="S167" t="s">
        <v>429</v>
      </c>
      <c r="T167" t="s">
        <v>430</v>
      </c>
      <c r="U167" t="s">
        <v>66</v>
      </c>
      <c r="V167" t="s">
        <v>431</v>
      </c>
      <c r="W167" t="s">
        <v>66</v>
      </c>
      <c r="X167">
        <v>7616808</v>
      </c>
      <c r="Y167">
        <v>837848.88</v>
      </c>
      <c r="Z167">
        <v>43734</v>
      </c>
      <c r="AA167">
        <v>4810.74</v>
      </c>
      <c r="AB167">
        <v>8454656.8800000008</v>
      </c>
      <c r="AC167">
        <v>3</v>
      </c>
      <c r="AD167" t="s">
        <v>82</v>
      </c>
      <c r="AE167">
        <v>3</v>
      </c>
      <c r="AF167" t="s">
        <v>119</v>
      </c>
      <c r="AG167">
        <f>IFERROR(VLOOKUP(AF167,[1]STOK!J:O,6,0),"")</f>
        <v>12</v>
      </c>
      <c r="AH167" s="2">
        <f t="shared" si="4"/>
        <v>0.25</v>
      </c>
      <c r="AI167" t="s">
        <v>119</v>
      </c>
      <c r="AJ167" t="s">
        <v>120</v>
      </c>
      <c r="AK167" t="s">
        <v>121</v>
      </c>
      <c r="AL167" t="s">
        <v>86</v>
      </c>
      <c r="AM167">
        <v>16428</v>
      </c>
      <c r="AN167">
        <f t="shared" si="5"/>
        <v>16181.58</v>
      </c>
      <c r="AO167" t="s">
        <v>66</v>
      </c>
      <c r="AP167">
        <v>1.5</v>
      </c>
      <c r="AQ167" t="s">
        <v>66</v>
      </c>
      <c r="AR167">
        <v>0</v>
      </c>
      <c r="AS167" t="s">
        <v>66</v>
      </c>
      <c r="AT167">
        <v>0</v>
      </c>
      <c r="AU167" t="s">
        <v>66</v>
      </c>
      <c r="AV167">
        <v>0</v>
      </c>
      <c r="AW167" t="s">
        <v>66</v>
      </c>
      <c r="AX167">
        <v>0</v>
      </c>
      <c r="AY167" t="s">
        <v>66</v>
      </c>
      <c r="AZ167">
        <v>0</v>
      </c>
      <c r="BA167" t="s">
        <v>66</v>
      </c>
      <c r="BB167">
        <v>0</v>
      </c>
      <c r="BC167">
        <v>0</v>
      </c>
      <c r="BD167">
        <v>48544.74</v>
      </c>
      <c r="BE167">
        <v>13255.47</v>
      </c>
      <c r="BF167">
        <v>0</v>
      </c>
      <c r="BG167" t="s">
        <v>87</v>
      </c>
      <c r="BH167" t="s">
        <v>66</v>
      </c>
      <c r="BI167">
        <v>0</v>
      </c>
      <c r="BJ167" t="s">
        <v>66</v>
      </c>
      <c r="BK167" t="s">
        <v>88</v>
      </c>
      <c r="BL167" t="s">
        <v>435</v>
      </c>
      <c r="BM167" t="s">
        <v>89</v>
      </c>
    </row>
    <row r="168" spans="1:65" x14ac:dyDescent="0.25">
      <c r="A168">
        <v>166</v>
      </c>
      <c r="B168" t="s">
        <v>424</v>
      </c>
      <c r="C168" t="s">
        <v>66</v>
      </c>
      <c r="D168" s="1">
        <v>46230</v>
      </c>
      <c r="E168" t="s">
        <v>425</v>
      </c>
      <c r="F168" t="s">
        <v>68</v>
      </c>
      <c r="G168" t="s">
        <v>69</v>
      </c>
      <c r="H168" t="s">
        <v>70</v>
      </c>
      <c r="I168" t="s">
        <v>71</v>
      </c>
      <c r="J168" t="s">
        <v>72</v>
      </c>
      <c r="K168" t="s">
        <v>73</v>
      </c>
      <c r="L168" t="s">
        <v>74</v>
      </c>
      <c r="M168" t="s">
        <v>426</v>
      </c>
      <c r="N168" t="s">
        <v>111</v>
      </c>
      <c r="O168" t="s">
        <v>427</v>
      </c>
      <c r="P168" t="s">
        <v>428</v>
      </c>
      <c r="Q168" t="s">
        <v>66</v>
      </c>
      <c r="R168" s="1">
        <v>46230</v>
      </c>
      <c r="S168" t="s">
        <v>429</v>
      </c>
      <c r="T168" t="s">
        <v>430</v>
      </c>
      <c r="U168" t="s">
        <v>66</v>
      </c>
      <c r="V168" t="s">
        <v>431</v>
      </c>
      <c r="W168" t="s">
        <v>66</v>
      </c>
      <c r="X168">
        <v>7616808</v>
      </c>
      <c r="Y168">
        <v>837848.88</v>
      </c>
      <c r="Z168">
        <v>93378</v>
      </c>
      <c r="AA168">
        <v>10271.58</v>
      </c>
      <c r="AB168">
        <v>8454656.8800000008</v>
      </c>
      <c r="AC168">
        <v>12</v>
      </c>
      <c r="AD168" t="s">
        <v>82</v>
      </c>
      <c r="AE168">
        <v>12</v>
      </c>
      <c r="AF168" t="s">
        <v>248</v>
      </c>
      <c r="AG168">
        <f>IFERROR(VLOOKUP(AF168,[1]STOK!J:O,6,0),"")</f>
        <v>24</v>
      </c>
      <c r="AH168" s="2">
        <f t="shared" si="4"/>
        <v>0.5</v>
      </c>
      <c r="AI168" t="s">
        <v>248</v>
      </c>
      <c r="AJ168" t="s">
        <v>249</v>
      </c>
      <c r="AK168" t="s">
        <v>250</v>
      </c>
      <c r="AL168" t="s">
        <v>86</v>
      </c>
      <c r="AM168">
        <v>8769</v>
      </c>
      <c r="AN168">
        <f t="shared" si="5"/>
        <v>8637.4650000000001</v>
      </c>
      <c r="AO168" t="s">
        <v>66</v>
      </c>
      <c r="AP168">
        <v>1.5</v>
      </c>
      <c r="AQ168" t="s">
        <v>66</v>
      </c>
      <c r="AR168">
        <v>0</v>
      </c>
      <c r="AS168" t="s">
        <v>66</v>
      </c>
      <c r="AT168">
        <v>0</v>
      </c>
      <c r="AU168" t="s">
        <v>66</v>
      </c>
      <c r="AV168">
        <v>0</v>
      </c>
      <c r="AW168" t="s">
        <v>66</v>
      </c>
      <c r="AX168">
        <v>0</v>
      </c>
      <c r="AY168" t="s">
        <v>66</v>
      </c>
      <c r="AZ168">
        <v>0</v>
      </c>
      <c r="BA168" t="s">
        <v>66</v>
      </c>
      <c r="BB168">
        <v>0</v>
      </c>
      <c r="BC168">
        <v>0</v>
      </c>
      <c r="BD168">
        <v>103649.58</v>
      </c>
      <c r="BE168">
        <v>7043.22</v>
      </c>
      <c r="BF168">
        <v>0</v>
      </c>
      <c r="BG168" t="s">
        <v>87</v>
      </c>
      <c r="BH168" t="s">
        <v>66</v>
      </c>
      <c r="BI168">
        <v>0</v>
      </c>
      <c r="BJ168" t="s">
        <v>66</v>
      </c>
      <c r="BK168" t="s">
        <v>88</v>
      </c>
      <c r="BL168" t="s">
        <v>435</v>
      </c>
      <c r="BM168" t="s">
        <v>89</v>
      </c>
    </row>
    <row r="169" spans="1:65" x14ac:dyDescent="0.25">
      <c r="A169">
        <v>167</v>
      </c>
      <c r="B169" t="s">
        <v>424</v>
      </c>
      <c r="C169" t="s">
        <v>66</v>
      </c>
      <c r="D169" s="1">
        <v>46230</v>
      </c>
      <c r="E169" t="s">
        <v>425</v>
      </c>
      <c r="F169" t="s">
        <v>68</v>
      </c>
      <c r="G169" t="s">
        <v>69</v>
      </c>
      <c r="H169" t="s">
        <v>70</v>
      </c>
      <c r="I169" t="s">
        <v>71</v>
      </c>
      <c r="J169" t="s">
        <v>72</v>
      </c>
      <c r="K169" t="s">
        <v>73</v>
      </c>
      <c r="L169" t="s">
        <v>74</v>
      </c>
      <c r="M169" t="s">
        <v>426</v>
      </c>
      <c r="N169" t="s">
        <v>111</v>
      </c>
      <c r="O169" t="s">
        <v>427</v>
      </c>
      <c r="P169" t="s">
        <v>428</v>
      </c>
      <c r="Q169" t="s">
        <v>66</v>
      </c>
      <c r="R169" s="1">
        <v>46230</v>
      </c>
      <c r="S169" t="s">
        <v>429</v>
      </c>
      <c r="T169" t="s">
        <v>430</v>
      </c>
      <c r="U169" t="s">
        <v>66</v>
      </c>
      <c r="V169" t="s">
        <v>431</v>
      </c>
      <c r="W169" t="s">
        <v>66</v>
      </c>
      <c r="X169">
        <v>7616808</v>
      </c>
      <c r="Y169">
        <v>837848.88</v>
      </c>
      <c r="Z169">
        <v>144204</v>
      </c>
      <c r="AA169">
        <v>15862.44</v>
      </c>
      <c r="AB169">
        <v>8454656.8800000008</v>
      </c>
      <c r="AC169">
        <v>24</v>
      </c>
      <c r="AD169" t="s">
        <v>82</v>
      </c>
      <c r="AE169">
        <v>24</v>
      </c>
      <c r="AF169" t="s">
        <v>125</v>
      </c>
      <c r="AG169">
        <f>IFERROR(VLOOKUP(AF169,[1]STOK!J:O,6,0),"")</f>
        <v>48</v>
      </c>
      <c r="AH169" s="2">
        <f t="shared" si="4"/>
        <v>0.5</v>
      </c>
      <c r="AI169" t="s">
        <v>125</v>
      </c>
      <c r="AJ169" t="s">
        <v>126</v>
      </c>
      <c r="AK169" t="s">
        <v>127</v>
      </c>
      <c r="AL169" t="s">
        <v>86</v>
      </c>
      <c r="AM169">
        <v>6771</v>
      </c>
      <c r="AN169">
        <f t="shared" si="5"/>
        <v>6669.4350000000004</v>
      </c>
      <c r="AO169" t="s">
        <v>66</v>
      </c>
      <c r="AP169">
        <v>1.5</v>
      </c>
      <c r="AQ169" t="s">
        <v>66</v>
      </c>
      <c r="AR169">
        <v>0</v>
      </c>
      <c r="AS169" t="s">
        <v>66</v>
      </c>
      <c r="AT169">
        <v>0</v>
      </c>
      <c r="AU169" t="s">
        <v>66</v>
      </c>
      <c r="AV169">
        <v>0</v>
      </c>
      <c r="AW169" t="s">
        <v>66</v>
      </c>
      <c r="AX169">
        <v>0</v>
      </c>
      <c r="AY169" t="s">
        <v>66</v>
      </c>
      <c r="AZ169">
        <v>0</v>
      </c>
      <c r="BA169" t="s">
        <v>66</v>
      </c>
      <c r="BB169">
        <v>0</v>
      </c>
      <c r="BC169">
        <v>0</v>
      </c>
      <c r="BD169">
        <v>160066.44</v>
      </c>
      <c r="BE169">
        <v>5333.96</v>
      </c>
      <c r="BF169">
        <v>0</v>
      </c>
      <c r="BG169" t="s">
        <v>87</v>
      </c>
      <c r="BH169" t="s">
        <v>66</v>
      </c>
      <c r="BI169">
        <v>0</v>
      </c>
      <c r="BJ169" t="s">
        <v>66</v>
      </c>
      <c r="BK169" t="s">
        <v>88</v>
      </c>
      <c r="BL169" t="s">
        <v>435</v>
      </c>
      <c r="BM169" t="s">
        <v>89</v>
      </c>
    </row>
    <row r="170" spans="1:65" x14ac:dyDescent="0.25">
      <c r="A170">
        <v>168</v>
      </c>
      <c r="B170" t="s">
        <v>424</v>
      </c>
      <c r="C170" t="s">
        <v>66</v>
      </c>
      <c r="D170" s="1">
        <v>46230</v>
      </c>
      <c r="E170" t="s">
        <v>425</v>
      </c>
      <c r="F170" t="s">
        <v>68</v>
      </c>
      <c r="G170" t="s">
        <v>69</v>
      </c>
      <c r="H170" t="s">
        <v>70</v>
      </c>
      <c r="I170" t="s">
        <v>71</v>
      </c>
      <c r="J170" t="s">
        <v>72</v>
      </c>
      <c r="K170" t="s">
        <v>73</v>
      </c>
      <c r="L170" t="s">
        <v>74</v>
      </c>
      <c r="M170" t="s">
        <v>426</v>
      </c>
      <c r="N170" t="s">
        <v>111</v>
      </c>
      <c r="O170" t="s">
        <v>427</v>
      </c>
      <c r="P170" t="s">
        <v>428</v>
      </c>
      <c r="Q170" t="s">
        <v>66</v>
      </c>
      <c r="R170" s="1">
        <v>46230</v>
      </c>
      <c r="S170" t="s">
        <v>429</v>
      </c>
      <c r="T170" t="s">
        <v>430</v>
      </c>
      <c r="U170" t="s">
        <v>66</v>
      </c>
      <c r="V170" t="s">
        <v>431</v>
      </c>
      <c r="W170" t="s">
        <v>66</v>
      </c>
      <c r="X170">
        <v>7616808</v>
      </c>
      <c r="Y170">
        <v>837848.88</v>
      </c>
      <c r="Z170">
        <v>11820</v>
      </c>
      <c r="AA170">
        <v>1300.2</v>
      </c>
      <c r="AB170">
        <v>8454656.8800000008</v>
      </c>
      <c r="AC170">
        <v>3</v>
      </c>
      <c r="AD170" t="s">
        <v>82</v>
      </c>
      <c r="AE170">
        <v>3</v>
      </c>
      <c r="AF170" t="s">
        <v>439</v>
      </c>
      <c r="AG170">
        <f>IFERROR(VLOOKUP(AF170,[1]STOK!J:O,6,0),"")</f>
        <v>24</v>
      </c>
      <c r="AH170" s="2">
        <f t="shared" si="4"/>
        <v>0.125</v>
      </c>
      <c r="AI170" t="s">
        <v>439</v>
      </c>
      <c r="AJ170" t="s">
        <v>440</v>
      </c>
      <c r="AK170" t="s">
        <v>441</v>
      </c>
      <c r="AL170" t="s">
        <v>86</v>
      </c>
      <c r="AM170">
        <v>4440</v>
      </c>
      <c r="AN170">
        <f t="shared" si="5"/>
        <v>4373.4000000000005</v>
      </c>
      <c r="AO170" t="s">
        <v>66</v>
      </c>
      <c r="AP170">
        <v>1.5</v>
      </c>
      <c r="AQ170" t="s">
        <v>66</v>
      </c>
      <c r="AR170">
        <v>0</v>
      </c>
      <c r="AS170" t="s">
        <v>66</v>
      </c>
      <c r="AT170">
        <v>0</v>
      </c>
      <c r="AU170" t="s">
        <v>66</v>
      </c>
      <c r="AV170">
        <v>0</v>
      </c>
      <c r="AW170" t="s">
        <v>66</v>
      </c>
      <c r="AX170">
        <v>0</v>
      </c>
      <c r="AY170" t="s">
        <v>66</v>
      </c>
      <c r="AZ170">
        <v>0</v>
      </c>
      <c r="BA170" t="s">
        <v>66</v>
      </c>
      <c r="BB170">
        <v>0</v>
      </c>
      <c r="BC170">
        <v>0</v>
      </c>
      <c r="BD170">
        <v>13120.2</v>
      </c>
      <c r="BE170">
        <v>3545.08</v>
      </c>
      <c r="BF170">
        <v>0</v>
      </c>
      <c r="BG170" t="s">
        <v>87</v>
      </c>
      <c r="BH170" t="s">
        <v>66</v>
      </c>
      <c r="BI170">
        <v>0</v>
      </c>
      <c r="BJ170" t="s">
        <v>66</v>
      </c>
      <c r="BK170" t="s">
        <v>88</v>
      </c>
      <c r="BL170" t="s">
        <v>435</v>
      </c>
      <c r="BM170" t="s">
        <v>89</v>
      </c>
    </row>
    <row r="171" spans="1:65" x14ac:dyDescent="0.25">
      <c r="A171">
        <v>169</v>
      </c>
      <c r="B171" t="s">
        <v>424</v>
      </c>
      <c r="C171" t="s">
        <v>66</v>
      </c>
      <c r="D171" s="1">
        <v>46230</v>
      </c>
      <c r="E171" t="s">
        <v>425</v>
      </c>
      <c r="F171" t="s">
        <v>68</v>
      </c>
      <c r="G171" t="s">
        <v>69</v>
      </c>
      <c r="H171" t="s">
        <v>70</v>
      </c>
      <c r="I171" t="s">
        <v>71</v>
      </c>
      <c r="J171" t="s">
        <v>72</v>
      </c>
      <c r="K171" t="s">
        <v>73</v>
      </c>
      <c r="L171" t="s">
        <v>74</v>
      </c>
      <c r="M171" t="s">
        <v>426</v>
      </c>
      <c r="N171" t="s">
        <v>111</v>
      </c>
      <c r="O171" t="s">
        <v>427</v>
      </c>
      <c r="P171" t="s">
        <v>428</v>
      </c>
      <c r="Q171" t="s">
        <v>66</v>
      </c>
      <c r="R171" s="1">
        <v>46230</v>
      </c>
      <c r="S171" t="s">
        <v>429</v>
      </c>
      <c r="T171" t="s">
        <v>430</v>
      </c>
      <c r="U171" t="s">
        <v>66</v>
      </c>
      <c r="V171" t="s">
        <v>431</v>
      </c>
      <c r="W171" t="s">
        <v>66</v>
      </c>
      <c r="X171">
        <v>7616808</v>
      </c>
      <c r="Y171">
        <v>837848.88</v>
      </c>
      <c r="Z171">
        <v>390060</v>
      </c>
      <c r="AA171">
        <v>42906.6</v>
      </c>
      <c r="AB171">
        <v>8454656.8800000008</v>
      </c>
      <c r="AC171">
        <v>1</v>
      </c>
      <c r="AD171" t="s">
        <v>134</v>
      </c>
      <c r="AE171">
        <v>24</v>
      </c>
      <c r="AF171" t="s">
        <v>128</v>
      </c>
      <c r="AG171">
        <f>IFERROR(VLOOKUP(AF171,[1]STOK!J:O,6,0),"")</f>
        <v>24</v>
      </c>
      <c r="AH171" s="2">
        <f t="shared" si="4"/>
        <v>1</v>
      </c>
      <c r="AI171" t="s">
        <v>128</v>
      </c>
      <c r="AJ171" t="s">
        <v>129</v>
      </c>
      <c r="AK171" t="s">
        <v>130</v>
      </c>
      <c r="AL171" t="s">
        <v>86</v>
      </c>
      <c r="AM171">
        <v>439560</v>
      </c>
      <c r="AN171">
        <f t="shared" si="5"/>
        <v>432966.6</v>
      </c>
      <c r="AO171" t="s">
        <v>66</v>
      </c>
      <c r="AP171">
        <v>1.5</v>
      </c>
      <c r="AQ171" t="s">
        <v>66</v>
      </c>
      <c r="AR171">
        <v>0</v>
      </c>
      <c r="AS171" t="s">
        <v>66</v>
      </c>
      <c r="AT171">
        <v>0</v>
      </c>
      <c r="AU171" t="s">
        <v>66</v>
      </c>
      <c r="AV171">
        <v>0</v>
      </c>
      <c r="AW171" t="s">
        <v>66</v>
      </c>
      <c r="AX171">
        <v>0</v>
      </c>
      <c r="AY171" t="s">
        <v>66</v>
      </c>
      <c r="AZ171">
        <v>0</v>
      </c>
      <c r="BA171" t="s">
        <v>66</v>
      </c>
      <c r="BB171">
        <v>0</v>
      </c>
      <c r="BC171">
        <v>0</v>
      </c>
      <c r="BD171">
        <v>432966.6</v>
      </c>
      <c r="BE171">
        <v>14887.43</v>
      </c>
      <c r="BF171">
        <v>0</v>
      </c>
      <c r="BG171" t="s">
        <v>87</v>
      </c>
      <c r="BH171" t="s">
        <v>66</v>
      </c>
      <c r="BI171">
        <v>0</v>
      </c>
      <c r="BJ171" t="s">
        <v>66</v>
      </c>
      <c r="BK171" t="s">
        <v>88</v>
      </c>
      <c r="BL171" t="s">
        <v>435</v>
      </c>
      <c r="BM171" t="s">
        <v>89</v>
      </c>
    </row>
    <row r="172" spans="1:65" x14ac:dyDescent="0.25">
      <c r="A172">
        <v>170</v>
      </c>
      <c r="B172" t="s">
        <v>424</v>
      </c>
      <c r="C172" t="s">
        <v>66</v>
      </c>
      <c r="D172" s="1">
        <v>46230</v>
      </c>
      <c r="E172" t="s">
        <v>425</v>
      </c>
      <c r="F172" t="s">
        <v>68</v>
      </c>
      <c r="G172" t="s">
        <v>69</v>
      </c>
      <c r="H172" t="s">
        <v>70</v>
      </c>
      <c r="I172" t="s">
        <v>71</v>
      </c>
      <c r="J172" t="s">
        <v>72</v>
      </c>
      <c r="K172" t="s">
        <v>73</v>
      </c>
      <c r="L172" t="s">
        <v>74</v>
      </c>
      <c r="M172" t="s">
        <v>426</v>
      </c>
      <c r="N172" t="s">
        <v>111</v>
      </c>
      <c r="O172" t="s">
        <v>427</v>
      </c>
      <c r="P172" t="s">
        <v>428</v>
      </c>
      <c r="Q172" t="s">
        <v>66</v>
      </c>
      <c r="R172" s="1">
        <v>46230</v>
      </c>
      <c r="S172" t="s">
        <v>429</v>
      </c>
      <c r="T172" t="s">
        <v>430</v>
      </c>
      <c r="U172" t="s">
        <v>66</v>
      </c>
      <c r="V172" t="s">
        <v>431</v>
      </c>
      <c r="W172" t="s">
        <v>66</v>
      </c>
      <c r="X172">
        <v>7616808</v>
      </c>
      <c r="Y172">
        <v>837848.88</v>
      </c>
      <c r="Z172">
        <v>390060</v>
      </c>
      <c r="AA172">
        <v>42906.6</v>
      </c>
      <c r="AB172">
        <v>8454656.8800000008</v>
      </c>
      <c r="AC172">
        <v>1</v>
      </c>
      <c r="AD172" t="s">
        <v>134</v>
      </c>
      <c r="AE172">
        <v>24</v>
      </c>
      <c r="AF172" t="s">
        <v>93</v>
      </c>
      <c r="AG172">
        <f>IFERROR(VLOOKUP(AF172,[1]STOK!J:O,6,0),"")</f>
        <v>24</v>
      </c>
      <c r="AH172" s="2">
        <f t="shared" si="4"/>
        <v>1</v>
      </c>
      <c r="AI172" t="s">
        <v>93</v>
      </c>
      <c r="AJ172" t="s">
        <v>94</v>
      </c>
      <c r="AK172" t="s">
        <v>95</v>
      </c>
      <c r="AL172" t="s">
        <v>86</v>
      </c>
      <c r="AM172">
        <v>439560</v>
      </c>
      <c r="AN172">
        <f t="shared" si="5"/>
        <v>432966.6</v>
      </c>
      <c r="AO172" t="s">
        <v>66</v>
      </c>
      <c r="AP172">
        <v>1.5</v>
      </c>
      <c r="AQ172" t="s">
        <v>66</v>
      </c>
      <c r="AR172">
        <v>0</v>
      </c>
      <c r="AS172" t="s">
        <v>66</v>
      </c>
      <c r="AT172">
        <v>0</v>
      </c>
      <c r="AU172" t="s">
        <v>66</v>
      </c>
      <c r="AV172">
        <v>0</v>
      </c>
      <c r="AW172" t="s">
        <v>66</v>
      </c>
      <c r="AX172">
        <v>0</v>
      </c>
      <c r="AY172" t="s">
        <v>66</v>
      </c>
      <c r="AZ172">
        <v>0</v>
      </c>
      <c r="BA172" t="s">
        <v>66</v>
      </c>
      <c r="BB172">
        <v>0</v>
      </c>
      <c r="BC172">
        <v>0</v>
      </c>
      <c r="BD172">
        <v>432966.6</v>
      </c>
      <c r="BE172">
        <v>14923.68</v>
      </c>
      <c r="BF172">
        <v>0</v>
      </c>
      <c r="BG172" t="s">
        <v>87</v>
      </c>
      <c r="BH172" t="s">
        <v>66</v>
      </c>
      <c r="BI172">
        <v>0</v>
      </c>
      <c r="BJ172" t="s">
        <v>66</v>
      </c>
      <c r="BK172" t="s">
        <v>88</v>
      </c>
      <c r="BL172" t="s">
        <v>435</v>
      </c>
      <c r="BM172" t="s">
        <v>89</v>
      </c>
    </row>
    <row r="173" spans="1:65" x14ac:dyDescent="0.25">
      <c r="A173">
        <v>171</v>
      </c>
      <c r="B173" t="s">
        <v>424</v>
      </c>
      <c r="C173" t="s">
        <v>66</v>
      </c>
      <c r="D173" s="1">
        <v>46230</v>
      </c>
      <c r="E173" t="s">
        <v>425</v>
      </c>
      <c r="F173" t="s">
        <v>68</v>
      </c>
      <c r="G173" t="s">
        <v>69</v>
      </c>
      <c r="H173" t="s">
        <v>70</v>
      </c>
      <c r="I173" t="s">
        <v>71</v>
      </c>
      <c r="J173" t="s">
        <v>72</v>
      </c>
      <c r="K173" t="s">
        <v>73</v>
      </c>
      <c r="L173" t="s">
        <v>74</v>
      </c>
      <c r="M173" t="s">
        <v>426</v>
      </c>
      <c r="N173" t="s">
        <v>111</v>
      </c>
      <c r="O173" t="s">
        <v>427</v>
      </c>
      <c r="P173" t="s">
        <v>428</v>
      </c>
      <c r="Q173" t="s">
        <v>66</v>
      </c>
      <c r="R173" s="1">
        <v>46230</v>
      </c>
      <c r="S173" t="s">
        <v>429</v>
      </c>
      <c r="T173" t="s">
        <v>430</v>
      </c>
      <c r="U173" t="s">
        <v>66</v>
      </c>
      <c r="V173" t="s">
        <v>431</v>
      </c>
      <c r="W173" t="s">
        <v>66</v>
      </c>
      <c r="X173">
        <v>7616808</v>
      </c>
      <c r="Y173">
        <v>837848.88</v>
      </c>
      <c r="Z173">
        <v>780120</v>
      </c>
      <c r="AA173">
        <v>85813.2</v>
      </c>
      <c r="AB173">
        <v>8454656.8800000008</v>
      </c>
      <c r="AC173">
        <v>2</v>
      </c>
      <c r="AD173" t="s">
        <v>134</v>
      </c>
      <c r="AE173">
        <v>48</v>
      </c>
      <c r="AF173" t="s">
        <v>99</v>
      </c>
      <c r="AG173">
        <f>IFERROR(VLOOKUP(AF173,[1]STOK!J:O,6,0),"")</f>
        <v>24</v>
      </c>
      <c r="AH173" s="2">
        <f t="shared" si="4"/>
        <v>2</v>
      </c>
      <c r="AI173" t="s">
        <v>99</v>
      </c>
      <c r="AJ173" t="s">
        <v>100</v>
      </c>
      <c r="AK173" t="s">
        <v>101</v>
      </c>
      <c r="AL173" t="s">
        <v>86</v>
      </c>
      <c r="AM173">
        <v>439560</v>
      </c>
      <c r="AN173">
        <f t="shared" si="5"/>
        <v>432966.6</v>
      </c>
      <c r="AO173" t="s">
        <v>66</v>
      </c>
      <c r="AP173">
        <v>1.5</v>
      </c>
      <c r="AQ173" t="s">
        <v>66</v>
      </c>
      <c r="AR173">
        <v>0</v>
      </c>
      <c r="AS173" t="s">
        <v>66</v>
      </c>
      <c r="AT173">
        <v>0</v>
      </c>
      <c r="AU173" t="s">
        <v>66</v>
      </c>
      <c r="AV173">
        <v>0</v>
      </c>
      <c r="AW173" t="s">
        <v>66</v>
      </c>
      <c r="AX173">
        <v>0</v>
      </c>
      <c r="AY173" t="s">
        <v>66</v>
      </c>
      <c r="AZ173">
        <v>0</v>
      </c>
      <c r="BA173" t="s">
        <v>66</v>
      </c>
      <c r="BB173">
        <v>0</v>
      </c>
      <c r="BC173">
        <v>0</v>
      </c>
      <c r="BD173">
        <v>865933.2</v>
      </c>
      <c r="BE173">
        <v>14925.98</v>
      </c>
      <c r="BF173">
        <v>0</v>
      </c>
      <c r="BG173" t="s">
        <v>87</v>
      </c>
      <c r="BH173" t="s">
        <v>66</v>
      </c>
      <c r="BI173">
        <v>0</v>
      </c>
      <c r="BJ173" t="s">
        <v>66</v>
      </c>
      <c r="BK173" t="s">
        <v>88</v>
      </c>
      <c r="BL173" t="s">
        <v>435</v>
      </c>
      <c r="BM173" t="s">
        <v>89</v>
      </c>
    </row>
    <row r="174" spans="1:65" x14ac:dyDescent="0.25">
      <c r="A174">
        <v>172</v>
      </c>
      <c r="B174" t="s">
        <v>424</v>
      </c>
      <c r="C174" t="s">
        <v>66</v>
      </c>
      <c r="D174" s="1">
        <v>46230</v>
      </c>
      <c r="E174" t="s">
        <v>425</v>
      </c>
      <c r="F174" t="s">
        <v>68</v>
      </c>
      <c r="G174" t="s">
        <v>69</v>
      </c>
      <c r="H174" t="s">
        <v>70</v>
      </c>
      <c r="I174" t="s">
        <v>71</v>
      </c>
      <c r="J174" t="s">
        <v>72</v>
      </c>
      <c r="K174" t="s">
        <v>73</v>
      </c>
      <c r="L174" t="s">
        <v>74</v>
      </c>
      <c r="M174" t="s">
        <v>426</v>
      </c>
      <c r="N174" t="s">
        <v>111</v>
      </c>
      <c r="O174" t="s">
        <v>427</v>
      </c>
      <c r="P174" t="s">
        <v>428</v>
      </c>
      <c r="Q174" t="s">
        <v>66</v>
      </c>
      <c r="R174" s="1">
        <v>46230</v>
      </c>
      <c r="S174" t="s">
        <v>429</v>
      </c>
      <c r="T174" t="s">
        <v>430</v>
      </c>
      <c r="U174" t="s">
        <v>66</v>
      </c>
      <c r="V174" t="s">
        <v>431</v>
      </c>
      <c r="W174" t="s">
        <v>66</v>
      </c>
      <c r="X174">
        <v>7616808</v>
      </c>
      <c r="Y174">
        <v>837848.88</v>
      </c>
      <c r="Z174">
        <v>57327</v>
      </c>
      <c r="AA174">
        <v>6305.97</v>
      </c>
      <c r="AB174">
        <v>8454656.8800000008</v>
      </c>
      <c r="AC174">
        <v>3</v>
      </c>
      <c r="AD174" t="s">
        <v>82</v>
      </c>
      <c r="AE174">
        <v>3</v>
      </c>
      <c r="AF174" t="s">
        <v>284</v>
      </c>
      <c r="AG174">
        <f>IFERROR(VLOOKUP(AF174,[1]STOK!J:O,6,0),"")</f>
        <v>12</v>
      </c>
      <c r="AH174" s="2">
        <f t="shared" si="4"/>
        <v>0.25</v>
      </c>
      <c r="AI174" t="s">
        <v>284</v>
      </c>
      <c r="AJ174" t="s">
        <v>285</v>
      </c>
      <c r="AK174" t="s">
        <v>286</v>
      </c>
      <c r="AL174" t="s">
        <v>86</v>
      </c>
      <c r="AM174">
        <v>21534</v>
      </c>
      <c r="AN174">
        <f t="shared" si="5"/>
        <v>21210.99</v>
      </c>
      <c r="AO174" t="s">
        <v>66</v>
      </c>
      <c r="AP174">
        <v>1.5</v>
      </c>
      <c r="AQ174" t="s">
        <v>66</v>
      </c>
      <c r="AR174">
        <v>0</v>
      </c>
      <c r="AS174" t="s">
        <v>66</v>
      </c>
      <c r="AT174">
        <v>0</v>
      </c>
      <c r="AU174" t="s">
        <v>66</v>
      </c>
      <c r="AV174">
        <v>0</v>
      </c>
      <c r="AW174" t="s">
        <v>66</v>
      </c>
      <c r="AX174">
        <v>0</v>
      </c>
      <c r="AY174" t="s">
        <v>66</v>
      </c>
      <c r="AZ174">
        <v>0</v>
      </c>
      <c r="BA174" t="s">
        <v>66</v>
      </c>
      <c r="BB174">
        <v>0</v>
      </c>
      <c r="BC174">
        <v>0</v>
      </c>
      <c r="BD174">
        <v>63632.97</v>
      </c>
      <c r="BE174">
        <v>17311.39</v>
      </c>
      <c r="BF174">
        <v>0</v>
      </c>
      <c r="BG174" t="s">
        <v>87</v>
      </c>
      <c r="BH174" t="s">
        <v>66</v>
      </c>
      <c r="BI174">
        <v>0</v>
      </c>
      <c r="BJ174" t="s">
        <v>66</v>
      </c>
      <c r="BK174" t="s">
        <v>88</v>
      </c>
      <c r="BL174" t="s">
        <v>435</v>
      </c>
      <c r="BM174" t="s">
        <v>89</v>
      </c>
    </row>
    <row r="175" spans="1:65" x14ac:dyDescent="0.25">
      <c r="A175">
        <v>173</v>
      </c>
      <c r="B175" t="s">
        <v>424</v>
      </c>
      <c r="C175" t="s">
        <v>66</v>
      </c>
      <c r="D175" s="1">
        <v>46230</v>
      </c>
      <c r="E175" t="s">
        <v>425</v>
      </c>
      <c r="F175" t="s">
        <v>68</v>
      </c>
      <c r="G175" t="s">
        <v>69</v>
      </c>
      <c r="H175" t="s">
        <v>70</v>
      </c>
      <c r="I175" t="s">
        <v>71</v>
      </c>
      <c r="J175" t="s">
        <v>72</v>
      </c>
      <c r="K175" t="s">
        <v>73</v>
      </c>
      <c r="L175" t="s">
        <v>74</v>
      </c>
      <c r="M175" t="s">
        <v>426</v>
      </c>
      <c r="N175" t="s">
        <v>111</v>
      </c>
      <c r="O175" t="s">
        <v>427</v>
      </c>
      <c r="P175" t="s">
        <v>428</v>
      </c>
      <c r="Q175" t="s">
        <v>66</v>
      </c>
      <c r="R175" s="1">
        <v>46230</v>
      </c>
      <c r="S175" t="s">
        <v>429</v>
      </c>
      <c r="T175" t="s">
        <v>430</v>
      </c>
      <c r="U175" t="s">
        <v>66</v>
      </c>
      <c r="V175" t="s">
        <v>431</v>
      </c>
      <c r="W175" t="s">
        <v>66</v>
      </c>
      <c r="X175">
        <v>7616808</v>
      </c>
      <c r="Y175">
        <v>837848.88</v>
      </c>
      <c r="Z175">
        <v>94560</v>
      </c>
      <c r="AA175">
        <v>10401.6</v>
      </c>
      <c r="AB175">
        <v>8454656.8800000008</v>
      </c>
      <c r="AC175">
        <v>24</v>
      </c>
      <c r="AD175" t="s">
        <v>82</v>
      </c>
      <c r="AE175">
        <v>24</v>
      </c>
      <c r="AF175" t="s">
        <v>442</v>
      </c>
      <c r="AG175">
        <f>IFERROR(VLOOKUP(AF175,[1]STOK!J:O,6,0),"")</f>
        <v>24</v>
      </c>
      <c r="AH175" s="2">
        <f t="shared" si="4"/>
        <v>1</v>
      </c>
      <c r="AI175" t="s">
        <v>442</v>
      </c>
      <c r="AJ175" t="s">
        <v>443</v>
      </c>
      <c r="AK175" t="s">
        <v>444</v>
      </c>
      <c r="AL175" t="s">
        <v>86</v>
      </c>
      <c r="AM175">
        <v>4440</v>
      </c>
      <c r="AN175">
        <f t="shared" si="5"/>
        <v>4373.4000000000005</v>
      </c>
      <c r="AO175" t="s">
        <v>66</v>
      </c>
      <c r="AP175">
        <v>1.5</v>
      </c>
      <c r="AQ175" t="s">
        <v>66</v>
      </c>
      <c r="AR175">
        <v>0</v>
      </c>
      <c r="AS175" t="s">
        <v>66</v>
      </c>
      <c r="AT175">
        <v>0</v>
      </c>
      <c r="AU175" t="s">
        <v>66</v>
      </c>
      <c r="AV175">
        <v>0</v>
      </c>
      <c r="AW175" t="s">
        <v>66</v>
      </c>
      <c r="AX175">
        <v>0</v>
      </c>
      <c r="AY175" t="s">
        <v>66</v>
      </c>
      <c r="AZ175">
        <v>0</v>
      </c>
      <c r="BA175" t="s">
        <v>66</v>
      </c>
      <c r="BB175">
        <v>0</v>
      </c>
      <c r="BC175">
        <v>0</v>
      </c>
      <c r="BD175">
        <v>104961.60000000001</v>
      </c>
      <c r="BE175">
        <v>3350.39</v>
      </c>
      <c r="BF175">
        <v>0</v>
      </c>
      <c r="BG175" t="s">
        <v>87</v>
      </c>
      <c r="BH175" t="s">
        <v>66</v>
      </c>
      <c r="BI175">
        <v>0</v>
      </c>
      <c r="BJ175" t="s">
        <v>66</v>
      </c>
      <c r="BK175" t="s">
        <v>88</v>
      </c>
      <c r="BL175" t="s">
        <v>435</v>
      </c>
      <c r="BM175" t="s">
        <v>89</v>
      </c>
    </row>
    <row r="176" spans="1:65" x14ac:dyDescent="0.25">
      <c r="A176">
        <v>174</v>
      </c>
      <c r="B176" t="s">
        <v>424</v>
      </c>
      <c r="C176" t="s">
        <v>66</v>
      </c>
      <c r="D176" s="1">
        <v>46230</v>
      </c>
      <c r="E176" t="s">
        <v>425</v>
      </c>
      <c r="F176" t="s">
        <v>68</v>
      </c>
      <c r="G176" t="s">
        <v>69</v>
      </c>
      <c r="H176" t="s">
        <v>70</v>
      </c>
      <c r="I176" t="s">
        <v>71</v>
      </c>
      <c r="J176" t="s">
        <v>72</v>
      </c>
      <c r="K176" t="s">
        <v>73</v>
      </c>
      <c r="L176" t="s">
        <v>74</v>
      </c>
      <c r="M176" t="s">
        <v>426</v>
      </c>
      <c r="N176" t="s">
        <v>111</v>
      </c>
      <c r="O176" t="s">
        <v>427</v>
      </c>
      <c r="P176" t="s">
        <v>428</v>
      </c>
      <c r="Q176" t="s">
        <v>66</v>
      </c>
      <c r="R176" s="1">
        <v>46230</v>
      </c>
      <c r="S176" t="s">
        <v>429</v>
      </c>
      <c r="T176" t="s">
        <v>430</v>
      </c>
      <c r="U176" t="s">
        <v>66</v>
      </c>
      <c r="V176" t="s">
        <v>431</v>
      </c>
      <c r="W176" t="s">
        <v>66</v>
      </c>
      <c r="X176">
        <v>7616808</v>
      </c>
      <c r="Y176">
        <v>837848.88</v>
      </c>
      <c r="Z176">
        <v>47280</v>
      </c>
      <c r="AA176">
        <v>5200.8</v>
      </c>
      <c r="AB176">
        <v>8454656.8800000008</v>
      </c>
      <c r="AC176">
        <v>12</v>
      </c>
      <c r="AD176" t="s">
        <v>82</v>
      </c>
      <c r="AE176">
        <v>12</v>
      </c>
      <c r="AF176" t="s">
        <v>385</v>
      </c>
      <c r="AG176">
        <f>IFERROR(VLOOKUP(AF176,[1]STOK!J:O,6,0),"")</f>
        <v>24</v>
      </c>
      <c r="AH176" s="2">
        <f t="shared" si="4"/>
        <v>0.5</v>
      </c>
      <c r="AI176" t="s">
        <v>385</v>
      </c>
      <c r="AJ176" t="s">
        <v>386</v>
      </c>
      <c r="AK176" t="s">
        <v>387</v>
      </c>
      <c r="AL176" t="s">
        <v>86</v>
      </c>
      <c r="AM176">
        <v>4440</v>
      </c>
      <c r="AN176">
        <f t="shared" si="5"/>
        <v>4373.4000000000005</v>
      </c>
      <c r="AO176" t="s">
        <v>66</v>
      </c>
      <c r="AP176">
        <v>1.5</v>
      </c>
      <c r="AQ176" t="s">
        <v>66</v>
      </c>
      <c r="AR176">
        <v>0</v>
      </c>
      <c r="AS176" t="s">
        <v>66</v>
      </c>
      <c r="AT176">
        <v>0</v>
      </c>
      <c r="AU176" t="s">
        <v>66</v>
      </c>
      <c r="AV176">
        <v>0</v>
      </c>
      <c r="AW176" t="s">
        <v>66</v>
      </c>
      <c r="AX176">
        <v>0</v>
      </c>
      <c r="AY176" t="s">
        <v>66</v>
      </c>
      <c r="AZ176">
        <v>0</v>
      </c>
      <c r="BA176" t="s">
        <v>66</v>
      </c>
      <c r="BB176">
        <v>0</v>
      </c>
      <c r="BC176">
        <v>0</v>
      </c>
      <c r="BD176">
        <v>52480.800000000003</v>
      </c>
      <c r="BE176">
        <v>3398.64</v>
      </c>
      <c r="BF176">
        <v>0</v>
      </c>
      <c r="BG176" t="s">
        <v>87</v>
      </c>
      <c r="BH176" t="s">
        <v>66</v>
      </c>
      <c r="BI176">
        <v>0</v>
      </c>
      <c r="BJ176" t="s">
        <v>66</v>
      </c>
      <c r="BK176" t="s">
        <v>88</v>
      </c>
      <c r="BL176" t="s">
        <v>435</v>
      </c>
      <c r="BM176" t="s">
        <v>89</v>
      </c>
    </row>
    <row r="177" spans="1:65" x14ac:dyDescent="0.25">
      <c r="A177">
        <v>175</v>
      </c>
      <c r="B177" t="s">
        <v>424</v>
      </c>
      <c r="C177" t="s">
        <v>66</v>
      </c>
      <c r="D177" s="1">
        <v>46230</v>
      </c>
      <c r="E177" t="s">
        <v>425</v>
      </c>
      <c r="F177" t="s">
        <v>68</v>
      </c>
      <c r="G177" t="s">
        <v>69</v>
      </c>
      <c r="H177" t="s">
        <v>70</v>
      </c>
      <c r="I177" t="s">
        <v>71</v>
      </c>
      <c r="J177" t="s">
        <v>72</v>
      </c>
      <c r="K177" t="s">
        <v>73</v>
      </c>
      <c r="L177" t="s">
        <v>74</v>
      </c>
      <c r="M177" t="s">
        <v>426</v>
      </c>
      <c r="N177" t="s">
        <v>111</v>
      </c>
      <c r="O177" t="s">
        <v>427</v>
      </c>
      <c r="P177" t="s">
        <v>428</v>
      </c>
      <c r="Q177" t="s">
        <v>66</v>
      </c>
      <c r="R177" s="1">
        <v>46230</v>
      </c>
      <c r="S177" t="s">
        <v>429</v>
      </c>
      <c r="T177" t="s">
        <v>430</v>
      </c>
      <c r="U177" t="s">
        <v>66</v>
      </c>
      <c r="V177" t="s">
        <v>431</v>
      </c>
      <c r="W177" t="s">
        <v>66</v>
      </c>
      <c r="X177">
        <v>7616808</v>
      </c>
      <c r="Y177">
        <v>837848.88</v>
      </c>
      <c r="Z177">
        <v>321504</v>
      </c>
      <c r="AA177">
        <v>35365.440000000002</v>
      </c>
      <c r="AB177">
        <v>8454656.8800000008</v>
      </c>
      <c r="AC177">
        <v>1</v>
      </c>
      <c r="AD177" t="s">
        <v>134</v>
      </c>
      <c r="AE177">
        <v>12</v>
      </c>
      <c r="AF177" t="s">
        <v>445</v>
      </c>
      <c r="AG177">
        <f>IFERROR(VLOOKUP(AF177,[1]STOK!J:O,6,0),"")</f>
        <v>12</v>
      </c>
      <c r="AH177" s="2">
        <f t="shared" si="4"/>
        <v>1</v>
      </c>
      <c r="AI177" t="s">
        <v>445</v>
      </c>
      <c r="AJ177" t="s">
        <v>446</v>
      </c>
      <c r="AK177" t="s">
        <v>447</v>
      </c>
      <c r="AL177" t="s">
        <v>86</v>
      </c>
      <c r="AM177">
        <v>362304</v>
      </c>
      <c r="AN177">
        <f t="shared" si="5"/>
        <v>356869.44</v>
      </c>
      <c r="AO177" t="s">
        <v>66</v>
      </c>
      <c r="AP177">
        <v>1.5</v>
      </c>
      <c r="AQ177" t="s">
        <v>66</v>
      </c>
      <c r="AR177">
        <v>0</v>
      </c>
      <c r="AS177" t="s">
        <v>66</v>
      </c>
      <c r="AT177">
        <v>0</v>
      </c>
      <c r="AU177" t="s">
        <v>66</v>
      </c>
      <c r="AV177">
        <v>0</v>
      </c>
      <c r="AW177" t="s">
        <v>66</v>
      </c>
      <c r="AX177">
        <v>0</v>
      </c>
      <c r="AY177" t="s">
        <v>66</v>
      </c>
      <c r="AZ177">
        <v>0</v>
      </c>
      <c r="BA177" t="s">
        <v>66</v>
      </c>
      <c r="BB177">
        <v>0</v>
      </c>
      <c r="BC177">
        <v>0</v>
      </c>
      <c r="BD177">
        <v>356869.44</v>
      </c>
      <c r="BE177">
        <v>24219.25</v>
      </c>
      <c r="BF177">
        <v>0</v>
      </c>
      <c r="BG177" t="s">
        <v>87</v>
      </c>
      <c r="BH177" t="s">
        <v>66</v>
      </c>
      <c r="BI177">
        <v>0</v>
      </c>
      <c r="BJ177" t="s">
        <v>66</v>
      </c>
      <c r="BK177" t="s">
        <v>88</v>
      </c>
      <c r="BL177" t="s">
        <v>435</v>
      </c>
      <c r="BM177" t="s">
        <v>89</v>
      </c>
    </row>
    <row r="178" spans="1:65" x14ac:dyDescent="0.25">
      <c r="A178">
        <v>176</v>
      </c>
      <c r="B178" t="s">
        <v>424</v>
      </c>
      <c r="C178" t="s">
        <v>66</v>
      </c>
      <c r="D178" s="1">
        <v>46230</v>
      </c>
      <c r="E178" t="s">
        <v>425</v>
      </c>
      <c r="F178" t="s">
        <v>68</v>
      </c>
      <c r="G178" t="s">
        <v>69</v>
      </c>
      <c r="H178" t="s">
        <v>70</v>
      </c>
      <c r="I178" t="s">
        <v>71</v>
      </c>
      <c r="J178" t="s">
        <v>72</v>
      </c>
      <c r="K178" t="s">
        <v>73</v>
      </c>
      <c r="L178" t="s">
        <v>74</v>
      </c>
      <c r="M178" t="s">
        <v>426</v>
      </c>
      <c r="N178" t="s">
        <v>111</v>
      </c>
      <c r="O178" t="s">
        <v>427</v>
      </c>
      <c r="P178" t="s">
        <v>428</v>
      </c>
      <c r="Q178" t="s">
        <v>66</v>
      </c>
      <c r="R178" s="1">
        <v>46230</v>
      </c>
      <c r="S178" t="s">
        <v>429</v>
      </c>
      <c r="T178" t="s">
        <v>430</v>
      </c>
      <c r="U178" t="s">
        <v>66</v>
      </c>
      <c r="V178" t="s">
        <v>431</v>
      </c>
      <c r="W178" t="s">
        <v>66</v>
      </c>
      <c r="X178">
        <v>7616808</v>
      </c>
      <c r="Y178">
        <v>837848.88</v>
      </c>
      <c r="Z178">
        <v>85104</v>
      </c>
      <c r="AA178">
        <v>9361.44</v>
      </c>
      <c r="AB178">
        <v>8454656.8800000008</v>
      </c>
      <c r="AC178">
        <v>6</v>
      </c>
      <c r="AD178" t="s">
        <v>82</v>
      </c>
      <c r="AE178">
        <v>6</v>
      </c>
      <c r="AF178" t="s">
        <v>448</v>
      </c>
      <c r="AG178">
        <f>IFERROR(VLOOKUP(AF178,[1]STOK!J:O,6,0),"")</f>
        <v>12</v>
      </c>
      <c r="AH178" s="2">
        <f t="shared" si="4"/>
        <v>0.5</v>
      </c>
      <c r="AI178" t="s">
        <v>448</v>
      </c>
      <c r="AJ178" t="s">
        <v>449</v>
      </c>
      <c r="AK178" t="s">
        <v>450</v>
      </c>
      <c r="AL178" t="s">
        <v>86</v>
      </c>
      <c r="AM178">
        <v>15984</v>
      </c>
      <c r="AN178">
        <f t="shared" si="5"/>
        <v>15744.24</v>
      </c>
      <c r="AO178" t="s">
        <v>66</v>
      </c>
      <c r="AP178">
        <v>1.5</v>
      </c>
      <c r="AQ178" t="s">
        <v>66</v>
      </c>
      <c r="AR178">
        <v>0</v>
      </c>
      <c r="AS178" t="s">
        <v>66</v>
      </c>
      <c r="AT178">
        <v>0</v>
      </c>
      <c r="AU178" t="s">
        <v>66</v>
      </c>
      <c r="AV178">
        <v>0</v>
      </c>
      <c r="AW178" t="s">
        <v>66</v>
      </c>
      <c r="AX178">
        <v>0</v>
      </c>
      <c r="AY178" t="s">
        <v>66</v>
      </c>
      <c r="AZ178">
        <v>0</v>
      </c>
      <c r="BA178" t="s">
        <v>66</v>
      </c>
      <c r="BB178">
        <v>0</v>
      </c>
      <c r="BC178">
        <v>0</v>
      </c>
      <c r="BD178">
        <v>94465.44</v>
      </c>
      <c r="BE178">
        <v>12851.1</v>
      </c>
      <c r="BF178">
        <v>0</v>
      </c>
      <c r="BG178" t="s">
        <v>87</v>
      </c>
      <c r="BH178" t="s">
        <v>66</v>
      </c>
      <c r="BI178">
        <v>0</v>
      </c>
      <c r="BJ178" t="s">
        <v>66</v>
      </c>
      <c r="BK178" t="s">
        <v>88</v>
      </c>
      <c r="BL178" t="s">
        <v>435</v>
      </c>
      <c r="BM178" t="s">
        <v>89</v>
      </c>
    </row>
    <row r="179" spans="1:65" x14ac:dyDescent="0.25">
      <c r="A179">
        <v>177</v>
      </c>
      <c r="B179" t="s">
        <v>424</v>
      </c>
      <c r="C179" t="s">
        <v>66</v>
      </c>
      <c r="D179" s="1">
        <v>46230</v>
      </c>
      <c r="E179" t="s">
        <v>425</v>
      </c>
      <c r="F179" t="s">
        <v>68</v>
      </c>
      <c r="G179" t="s">
        <v>69</v>
      </c>
      <c r="H179" t="s">
        <v>70</v>
      </c>
      <c r="I179" t="s">
        <v>71</v>
      </c>
      <c r="J179" t="s">
        <v>72</v>
      </c>
      <c r="K179" t="s">
        <v>73</v>
      </c>
      <c r="L179" t="s">
        <v>74</v>
      </c>
      <c r="M179" t="s">
        <v>426</v>
      </c>
      <c r="N179" t="s">
        <v>111</v>
      </c>
      <c r="O179" t="s">
        <v>427</v>
      </c>
      <c r="P179" t="s">
        <v>428</v>
      </c>
      <c r="Q179" t="s">
        <v>66</v>
      </c>
      <c r="R179" s="1">
        <v>46230</v>
      </c>
      <c r="S179" t="s">
        <v>429</v>
      </c>
      <c r="T179" t="s">
        <v>430</v>
      </c>
      <c r="U179" t="s">
        <v>66</v>
      </c>
      <c r="V179" t="s">
        <v>431</v>
      </c>
      <c r="W179" t="s">
        <v>66</v>
      </c>
      <c r="X179">
        <v>7616808</v>
      </c>
      <c r="Y179">
        <v>837848.88</v>
      </c>
      <c r="Z179">
        <v>213942</v>
      </c>
      <c r="AA179">
        <v>23533.62</v>
      </c>
      <c r="AB179">
        <v>8454656.8800000008</v>
      </c>
      <c r="AC179">
        <v>1</v>
      </c>
      <c r="AD179" t="s">
        <v>134</v>
      </c>
      <c r="AE179">
        <v>12</v>
      </c>
      <c r="AF179" t="s">
        <v>356</v>
      </c>
      <c r="AG179">
        <f>IFERROR(VLOOKUP(AF179,[1]STOK!J:O,6,0),"")</f>
        <v>12</v>
      </c>
      <c r="AH179" s="2">
        <f t="shared" si="4"/>
        <v>1</v>
      </c>
      <c r="AI179" t="s">
        <v>356</v>
      </c>
      <c r="AJ179" t="s">
        <v>357</v>
      </c>
      <c r="AK179" t="s">
        <v>358</v>
      </c>
      <c r="AL179" t="s">
        <v>86</v>
      </c>
      <c r="AM179">
        <v>241092</v>
      </c>
      <c r="AN179">
        <f t="shared" si="5"/>
        <v>237475.62</v>
      </c>
      <c r="AO179" t="s">
        <v>66</v>
      </c>
      <c r="AP179">
        <v>1.5</v>
      </c>
      <c r="AQ179" t="s">
        <v>66</v>
      </c>
      <c r="AR179">
        <v>0</v>
      </c>
      <c r="AS179" t="s">
        <v>66</v>
      </c>
      <c r="AT179">
        <v>0</v>
      </c>
      <c r="AU179" t="s">
        <v>66</v>
      </c>
      <c r="AV179">
        <v>0</v>
      </c>
      <c r="AW179" t="s">
        <v>66</v>
      </c>
      <c r="AX179">
        <v>0</v>
      </c>
      <c r="AY179" t="s">
        <v>66</v>
      </c>
      <c r="AZ179">
        <v>0</v>
      </c>
      <c r="BA179" t="s">
        <v>66</v>
      </c>
      <c r="BB179">
        <v>0</v>
      </c>
      <c r="BC179">
        <v>0</v>
      </c>
      <c r="BD179">
        <v>237475.62</v>
      </c>
      <c r="BE179">
        <v>16252.41</v>
      </c>
      <c r="BF179">
        <v>0</v>
      </c>
      <c r="BG179" t="s">
        <v>87</v>
      </c>
      <c r="BH179" t="s">
        <v>66</v>
      </c>
      <c r="BI179">
        <v>0</v>
      </c>
      <c r="BJ179" t="s">
        <v>66</v>
      </c>
      <c r="BK179" t="s">
        <v>88</v>
      </c>
      <c r="BL179" t="s">
        <v>435</v>
      </c>
      <c r="BM179" t="s">
        <v>89</v>
      </c>
    </row>
    <row r="180" spans="1:65" x14ac:dyDescent="0.25">
      <c r="A180">
        <v>178</v>
      </c>
      <c r="B180" t="s">
        <v>424</v>
      </c>
      <c r="C180" t="s">
        <v>66</v>
      </c>
      <c r="D180" s="1">
        <v>46230</v>
      </c>
      <c r="E180" t="s">
        <v>425</v>
      </c>
      <c r="F180" t="s">
        <v>68</v>
      </c>
      <c r="G180" t="s">
        <v>69</v>
      </c>
      <c r="H180" t="s">
        <v>70</v>
      </c>
      <c r="I180" t="s">
        <v>71</v>
      </c>
      <c r="J180" t="s">
        <v>72</v>
      </c>
      <c r="K180" t="s">
        <v>73</v>
      </c>
      <c r="L180" t="s">
        <v>74</v>
      </c>
      <c r="M180" t="s">
        <v>426</v>
      </c>
      <c r="N180" t="s">
        <v>111</v>
      </c>
      <c r="O180" t="s">
        <v>427</v>
      </c>
      <c r="P180" t="s">
        <v>428</v>
      </c>
      <c r="Q180" t="s">
        <v>66</v>
      </c>
      <c r="R180" s="1">
        <v>46230</v>
      </c>
      <c r="S180" t="s">
        <v>429</v>
      </c>
      <c r="T180" t="s">
        <v>430</v>
      </c>
      <c r="U180" t="s">
        <v>66</v>
      </c>
      <c r="V180" t="s">
        <v>431</v>
      </c>
      <c r="W180" t="s">
        <v>66</v>
      </c>
      <c r="X180">
        <v>7616808</v>
      </c>
      <c r="Y180">
        <v>837848.88</v>
      </c>
      <c r="Z180">
        <v>1572060</v>
      </c>
      <c r="AA180">
        <v>172926.6</v>
      </c>
      <c r="AB180">
        <v>8454656.8800000008</v>
      </c>
      <c r="AC180">
        <v>7</v>
      </c>
      <c r="AD180" t="s">
        <v>134</v>
      </c>
      <c r="AE180">
        <v>84</v>
      </c>
      <c r="AF180" t="s">
        <v>290</v>
      </c>
      <c r="AG180">
        <f>IFERROR(VLOOKUP(AF180,[1]STOK!J:O,6,0),"")</f>
        <v>12</v>
      </c>
      <c r="AH180" s="2">
        <f t="shared" si="4"/>
        <v>7</v>
      </c>
      <c r="AI180" t="s">
        <v>290</v>
      </c>
      <c r="AJ180" t="s">
        <v>291</v>
      </c>
      <c r="AK180" t="s">
        <v>292</v>
      </c>
      <c r="AL180" t="s">
        <v>86</v>
      </c>
      <c r="AM180">
        <v>266400</v>
      </c>
      <c r="AN180">
        <f t="shared" si="5"/>
        <v>249283.80000000002</v>
      </c>
      <c r="AO180" t="s">
        <v>66</v>
      </c>
      <c r="AP180">
        <v>1.5</v>
      </c>
      <c r="AQ180" t="s">
        <v>66</v>
      </c>
      <c r="AR180">
        <v>0</v>
      </c>
      <c r="AS180" t="s">
        <v>66</v>
      </c>
      <c r="AT180">
        <v>0</v>
      </c>
      <c r="AU180" t="s">
        <v>66</v>
      </c>
      <c r="AV180">
        <v>5</v>
      </c>
      <c r="AW180" t="s">
        <v>66</v>
      </c>
      <c r="AX180">
        <v>0</v>
      </c>
      <c r="AY180" t="s">
        <v>66</v>
      </c>
      <c r="AZ180">
        <v>0</v>
      </c>
      <c r="BA180" t="s">
        <v>66</v>
      </c>
      <c r="BB180">
        <v>0</v>
      </c>
      <c r="BC180">
        <v>0</v>
      </c>
      <c r="BD180">
        <v>1744986.6</v>
      </c>
      <c r="BE180">
        <v>18113.71</v>
      </c>
      <c r="BF180">
        <v>0</v>
      </c>
      <c r="BG180" t="s">
        <v>87</v>
      </c>
      <c r="BH180" t="s">
        <v>66</v>
      </c>
      <c r="BI180">
        <v>0</v>
      </c>
      <c r="BJ180" t="s">
        <v>66</v>
      </c>
      <c r="BK180" t="s">
        <v>88</v>
      </c>
      <c r="BL180" t="s">
        <v>435</v>
      </c>
      <c r="BM180" t="s">
        <v>89</v>
      </c>
    </row>
    <row r="181" spans="1:65" x14ac:dyDescent="0.25">
      <c r="A181">
        <v>179</v>
      </c>
      <c r="B181" t="s">
        <v>424</v>
      </c>
      <c r="C181" t="s">
        <v>66</v>
      </c>
      <c r="D181" s="1">
        <v>46230</v>
      </c>
      <c r="E181" t="s">
        <v>425</v>
      </c>
      <c r="F181" t="s">
        <v>68</v>
      </c>
      <c r="G181" t="s">
        <v>69</v>
      </c>
      <c r="H181" t="s">
        <v>70</v>
      </c>
      <c r="I181" t="s">
        <v>71</v>
      </c>
      <c r="J181" t="s">
        <v>72</v>
      </c>
      <c r="K181" t="s">
        <v>73</v>
      </c>
      <c r="L181" t="s">
        <v>74</v>
      </c>
      <c r="M181" t="s">
        <v>426</v>
      </c>
      <c r="N181" t="s">
        <v>111</v>
      </c>
      <c r="O181" t="s">
        <v>427</v>
      </c>
      <c r="P181" t="s">
        <v>428</v>
      </c>
      <c r="Q181" t="s">
        <v>66</v>
      </c>
      <c r="R181" s="1">
        <v>46230</v>
      </c>
      <c r="S181" t="s">
        <v>429</v>
      </c>
      <c r="T181" t="s">
        <v>430</v>
      </c>
      <c r="U181" t="s">
        <v>66</v>
      </c>
      <c r="V181" t="s">
        <v>431</v>
      </c>
      <c r="W181" t="s">
        <v>66</v>
      </c>
      <c r="X181">
        <v>7616808</v>
      </c>
      <c r="Y181">
        <v>837848.88</v>
      </c>
      <c r="Z181">
        <v>673740</v>
      </c>
      <c r="AA181">
        <v>74111.399999999994</v>
      </c>
      <c r="AB181">
        <v>8454656.8800000008</v>
      </c>
      <c r="AC181">
        <v>3</v>
      </c>
      <c r="AD181" t="s">
        <v>134</v>
      </c>
      <c r="AE181">
        <v>36</v>
      </c>
      <c r="AF181" t="s">
        <v>102</v>
      </c>
      <c r="AG181">
        <f>IFERROR(VLOOKUP(AF181,[1]STOK!J:O,6,0),"")</f>
        <v>12</v>
      </c>
      <c r="AH181" s="2">
        <f t="shared" si="4"/>
        <v>3</v>
      </c>
      <c r="AI181" t="s">
        <v>102</v>
      </c>
      <c r="AJ181" t="s">
        <v>103</v>
      </c>
      <c r="AK181" t="s">
        <v>104</v>
      </c>
      <c r="AL181" t="s">
        <v>86</v>
      </c>
      <c r="AM181">
        <v>266400</v>
      </c>
      <c r="AN181">
        <f t="shared" si="5"/>
        <v>249283.80000000002</v>
      </c>
      <c r="AO181" t="s">
        <v>66</v>
      </c>
      <c r="AP181">
        <v>1.5</v>
      </c>
      <c r="AQ181" t="s">
        <v>66</v>
      </c>
      <c r="AR181">
        <v>0</v>
      </c>
      <c r="AS181" t="s">
        <v>66</v>
      </c>
      <c r="AT181">
        <v>0</v>
      </c>
      <c r="AU181" t="s">
        <v>66</v>
      </c>
      <c r="AV181">
        <v>5</v>
      </c>
      <c r="AW181" t="s">
        <v>66</v>
      </c>
      <c r="AX181">
        <v>0</v>
      </c>
      <c r="AY181" t="s">
        <v>66</v>
      </c>
      <c r="AZ181">
        <v>0</v>
      </c>
      <c r="BA181" t="s">
        <v>66</v>
      </c>
      <c r="BB181">
        <v>0</v>
      </c>
      <c r="BC181">
        <v>0</v>
      </c>
      <c r="BD181">
        <v>747851.4</v>
      </c>
      <c r="BE181">
        <v>18005.03</v>
      </c>
      <c r="BF181">
        <v>0</v>
      </c>
      <c r="BG181" t="s">
        <v>87</v>
      </c>
      <c r="BH181" t="s">
        <v>66</v>
      </c>
      <c r="BI181">
        <v>0</v>
      </c>
      <c r="BJ181" t="s">
        <v>66</v>
      </c>
      <c r="BK181" t="s">
        <v>88</v>
      </c>
      <c r="BL181" t="s">
        <v>435</v>
      </c>
      <c r="BM181" t="s">
        <v>89</v>
      </c>
    </row>
    <row r="182" spans="1:65" x14ac:dyDescent="0.25">
      <c r="A182">
        <v>180</v>
      </c>
      <c r="B182" t="s">
        <v>424</v>
      </c>
      <c r="C182" t="s">
        <v>66</v>
      </c>
      <c r="D182" s="1">
        <v>46230</v>
      </c>
      <c r="E182" t="s">
        <v>425</v>
      </c>
      <c r="F182" t="s">
        <v>68</v>
      </c>
      <c r="G182" t="s">
        <v>69</v>
      </c>
      <c r="H182" t="s">
        <v>70</v>
      </c>
      <c r="I182" t="s">
        <v>71</v>
      </c>
      <c r="J182" t="s">
        <v>72</v>
      </c>
      <c r="K182" t="s">
        <v>73</v>
      </c>
      <c r="L182" t="s">
        <v>74</v>
      </c>
      <c r="M182" t="s">
        <v>426</v>
      </c>
      <c r="N182" t="s">
        <v>111</v>
      </c>
      <c r="O182" t="s">
        <v>427</v>
      </c>
      <c r="P182" t="s">
        <v>428</v>
      </c>
      <c r="Q182" t="s">
        <v>66</v>
      </c>
      <c r="R182" s="1">
        <v>46230</v>
      </c>
      <c r="S182" t="s">
        <v>429</v>
      </c>
      <c r="T182" t="s">
        <v>430</v>
      </c>
      <c r="U182" t="s">
        <v>66</v>
      </c>
      <c r="V182" t="s">
        <v>431</v>
      </c>
      <c r="W182" t="s">
        <v>66</v>
      </c>
      <c r="X182">
        <v>7616808</v>
      </c>
      <c r="Y182">
        <v>837848.88</v>
      </c>
      <c r="Z182">
        <v>1131765</v>
      </c>
      <c r="AA182">
        <v>124494.15</v>
      </c>
      <c r="AB182">
        <v>8454656.8800000008</v>
      </c>
      <c r="AC182">
        <v>5</v>
      </c>
      <c r="AD182" t="s">
        <v>134</v>
      </c>
      <c r="AE182">
        <v>30</v>
      </c>
      <c r="AF182" t="s">
        <v>138</v>
      </c>
      <c r="AG182">
        <f>IFERROR(VLOOKUP(AF182,[1]STOK!J:O,6,0),"")</f>
        <v>6</v>
      </c>
      <c r="AH182" s="2">
        <f t="shared" si="4"/>
        <v>5</v>
      </c>
      <c r="AI182" t="s">
        <v>138</v>
      </c>
      <c r="AJ182" t="s">
        <v>139</v>
      </c>
      <c r="AK182" t="s">
        <v>140</v>
      </c>
      <c r="AL182" t="s">
        <v>86</v>
      </c>
      <c r="AM182">
        <v>255078</v>
      </c>
      <c r="AN182">
        <f t="shared" si="5"/>
        <v>251251.83</v>
      </c>
      <c r="AO182" t="s">
        <v>66</v>
      </c>
      <c r="AP182">
        <v>1.5</v>
      </c>
      <c r="AQ182" t="s">
        <v>66</v>
      </c>
      <c r="AR182">
        <v>0</v>
      </c>
      <c r="AS182" t="s">
        <v>66</v>
      </c>
      <c r="AT182">
        <v>0</v>
      </c>
      <c r="AU182" t="s">
        <v>66</v>
      </c>
      <c r="AV182">
        <v>0</v>
      </c>
      <c r="AW182" t="s">
        <v>66</v>
      </c>
      <c r="AX182">
        <v>0</v>
      </c>
      <c r="AY182" t="s">
        <v>66</v>
      </c>
      <c r="AZ182">
        <v>0</v>
      </c>
      <c r="BA182" t="s">
        <v>66</v>
      </c>
      <c r="BB182">
        <v>0</v>
      </c>
      <c r="BC182">
        <v>0</v>
      </c>
      <c r="BD182">
        <v>1256259.1499999999</v>
      </c>
      <c r="BE182">
        <v>34652.559999999998</v>
      </c>
      <c r="BF182">
        <v>0</v>
      </c>
      <c r="BG182" t="s">
        <v>87</v>
      </c>
      <c r="BH182" t="s">
        <v>66</v>
      </c>
      <c r="BI182">
        <v>0</v>
      </c>
      <c r="BJ182" t="s">
        <v>66</v>
      </c>
      <c r="BK182" t="s">
        <v>88</v>
      </c>
      <c r="BL182" t="s">
        <v>435</v>
      </c>
      <c r="BM182" t="s">
        <v>89</v>
      </c>
    </row>
    <row r="183" spans="1:65" x14ac:dyDescent="0.25">
      <c r="A183">
        <v>181</v>
      </c>
      <c r="B183" t="s">
        <v>424</v>
      </c>
      <c r="C183" t="s">
        <v>66</v>
      </c>
      <c r="D183" s="1">
        <v>46230</v>
      </c>
      <c r="E183" t="s">
        <v>425</v>
      </c>
      <c r="F183" t="s">
        <v>68</v>
      </c>
      <c r="G183" t="s">
        <v>69</v>
      </c>
      <c r="H183" t="s">
        <v>70</v>
      </c>
      <c r="I183" t="s">
        <v>71</v>
      </c>
      <c r="J183" t="s">
        <v>72</v>
      </c>
      <c r="K183" t="s">
        <v>73</v>
      </c>
      <c r="L183" t="s">
        <v>74</v>
      </c>
      <c r="M183" t="s">
        <v>426</v>
      </c>
      <c r="N183" t="s">
        <v>111</v>
      </c>
      <c r="O183" t="s">
        <v>427</v>
      </c>
      <c r="P183" t="s">
        <v>428</v>
      </c>
      <c r="Q183" t="s">
        <v>66</v>
      </c>
      <c r="R183" s="1">
        <v>46230</v>
      </c>
      <c r="S183" t="s">
        <v>429</v>
      </c>
      <c r="T183" t="s">
        <v>430</v>
      </c>
      <c r="U183" t="s">
        <v>66</v>
      </c>
      <c r="V183" t="s">
        <v>431</v>
      </c>
      <c r="W183" t="s">
        <v>66</v>
      </c>
      <c r="X183">
        <v>7616808</v>
      </c>
      <c r="Y183">
        <v>837848.88</v>
      </c>
      <c r="Z183">
        <v>452706</v>
      </c>
      <c r="AA183">
        <v>49797.66</v>
      </c>
      <c r="AB183">
        <v>8454656.8800000008</v>
      </c>
      <c r="AC183">
        <v>2</v>
      </c>
      <c r="AD183" t="s">
        <v>134</v>
      </c>
      <c r="AE183">
        <v>12</v>
      </c>
      <c r="AF183" t="s">
        <v>323</v>
      </c>
      <c r="AG183">
        <f>IFERROR(VLOOKUP(AF183,[1]STOK!J:O,6,0),"")</f>
        <v>6</v>
      </c>
      <c r="AH183" s="2">
        <f t="shared" si="4"/>
        <v>2</v>
      </c>
      <c r="AI183" t="s">
        <v>323</v>
      </c>
      <c r="AJ183" t="s">
        <v>324</v>
      </c>
      <c r="AK183" t="s">
        <v>325</v>
      </c>
      <c r="AL183" t="s">
        <v>86</v>
      </c>
      <c r="AM183">
        <v>255078</v>
      </c>
      <c r="AN183">
        <f t="shared" si="5"/>
        <v>251251.83</v>
      </c>
      <c r="AO183" t="s">
        <v>66</v>
      </c>
      <c r="AP183">
        <v>1.5</v>
      </c>
      <c r="AQ183" t="s">
        <v>66</v>
      </c>
      <c r="AR183">
        <v>0</v>
      </c>
      <c r="AS183" t="s">
        <v>66</v>
      </c>
      <c r="AT183">
        <v>0</v>
      </c>
      <c r="AU183" t="s">
        <v>66</v>
      </c>
      <c r="AV183">
        <v>0</v>
      </c>
      <c r="AW183" t="s">
        <v>66</v>
      </c>
      <c r="AX183">
        <v>0</v>
      </c>
      <c r="AY183" t="s">
        <v>66</v>
      </c>
      <c r="AZ183">
        <v>0</v>
      </c>
      <c r="BA183" t="s">
        <v>66</v>
      </c>
      <c r="BB183">
        <v>0</v>
      </c>
      <c r="BC183">
        <v>0</v>
      </c>
      <c r="BD183">
        <v>502503.66</v>
      </c>
      <c r="BE183">
        <v>34360.79</v>
      </c>
      <c r="BF183">
        <v>0</v>
      </c>
      <c r="BG183" t="s">
        <v>87</v>
      </c>
      <c r="BH183" t="s">
        <v>66</v>
      </c>
      <c r="BI183">
        <v>0</v>
      </c>
      <c r="BJ183" t="s">
        <v>66</v>
      </c>
      <c r="BK183" t="s">
        <v>88</v>
      </c>
      <c r="BL183" t="s">
        <v>435</v>
      </c>
      <c r="BM183" t="s">
        <v>89</v>
      </c>
    </row>
    <row r="184" spans="1:65" x14ac:dyDescent="0.25">
      <c r="A184">
        <v>182</v>
      </c>
      <c r="B184" t="s">
        <v>424</v>
      </c>
      <c r="C184" t="s">
        <v>66</v>
      </c>
      <c r="D184" s="1">
        <v>46230</v>
      </c>
      <c r="E184" t="s">
        <v>425</v>
      </c>
      <c r="F184" t="s">
        <v>68</v>
      </c>
      <c r="G184" t="s">
        <v>69</v>
      </c>
      <c r="H184" t="s">
        <v>70</v>
      </c>
      <c r="I184" t="s">
        <v>71</v>
      </c>
      <c r="J184" t="s">
        <v>72</v>
      </c>
      <c r="K184" t="s">
        <v>73</v>
      </c>
      <c r="L184" t="s">
        <v>74</v>
      </c>
      <c r="M184" t="s">
        <v>426</v>
      </c>
      <c r="N184" t="s">
        <v>111</v>
      </c>
      <c r="O184" t="s">
        <v>427</v>
      </c>
      <c r="P184" t="s">
        <v>428</v>
      </c>
      <c r="Q184" t="s">
        <v>66</v>
      </c>
      <c r="R184" s="1">
        <v>46230</v>
      </c>
      <c r="S184" t="s">
        <v>429</v>
      </c>
      <c r="T184" t="s">
        <v>430</v>
      </c>
      <c r="U184" t="s">
        <v>66</v>
      </c>
      <c r="V184" t="s">
        <v>431</v>
      </c>
      <c r="W184" t="s">
        <v>66</v>
      </c>
      <c r="X184">
        <v>7616808</v>
      </c>
      <c r="Y184">
        <v>837848.88</v>
      </c>
      <c r="Z184">
        <v>340416</v>
      </c>
      <c r="AA184">
        <v>37445.760000000002</v>
      </c>
      <c r="AB184">
        <v>8454656.8800000008</v>
      </c>
      <c r="AC184">
        <v>2</v>
      </c>
      <c r="AD184" t="s">
        <v>134</v>
      </c>
      <c r="AE184">
        <v>24</v>
      </c>
      <c r="AF184" t="s">
        <v>213</v>
      </c>
      <c r="AG184">
        <f>IFERROR(VLOOKUP(AF184,[1]STOK!J:O,6,0),"")</f>
        <v>12</v>
      </c>
      <c r="AH184" s="2">
        <f t="shared" si="4"/>
        <v>2</v>
      </c>
      <c r="AI184" t="s">
        <v>213</v>
      </c>
      <c r="AJ184" t="s">
        <v>214</v>
      </c>
      <c r="AK184" t="s">
        <v>215</v>
      </c>
      <c r="AL184" t="s">
        <v>86</v>
      </c>
      <c r="AM184">
        <v>191808</v>
      </c>
      <c r="AN184">
        <f t="shared" si="5"/>
        <v>188930.88</v>
      </c>
      <c r="AO184" t="s">
        <v>66</v>
      </c>
      <c r="AP184">
        <v>1.5</v>
      </c>
      <c r="AQ184" t="s">
        <v>66</v>
      </c>
      <c r="AR184">
        <v>0</v>
      </c>
      <c r="AS184" t="s">
        <v>66</v>
      </c>
      <c r="AT184">
        <v>0</v>
      </c>
      <c r="AU184" t="s">
        <v>66</v>
      </c>
      <c r="AV184">
        <v>0</v>
      </c>
      <c r="AW184" t="s">
        <v>66</v>
      </c>
      <c r="AX184">
        <v>0</v>
      </c>
      <c r="AY184" t="s">
        <v>66</v>
      </c>
      <c r="AZ184">
        <v>0</v>
      </c>
      <c r="BA184" t="s">
        <v>66</v>
      </c>
      <c r="BB184">
        <v>0</v>
      </c>
      <c r="BC184">
        <v>0</v>
      </c>
      <c r="BD184">
        <v>377861.76</v>
      </c>
      <c r="BE184">
        <v>12925.49</v>
      </c>
      <c r="BF184">
        <v>0</v>
      </c>
      <c r="BG184" t="s">
        <v>87</v>
      </c>
      <c r="BH184" t="s">
        <v>66</v>
      </c>
      <c r="BI184">
        <v>0</v>
      </c>
      <c r="BJ184" t="s">
        <v>66</v>
      </c>
      <c r="BK184" t="s">
        <v>88</v>
      </c>
      <c r="BL184" t="s">
        <v>435</v>
      </c>
      <c r="BM184" t="s">
        <v>89</v>
      </c>
    </row>
    <row r="185" spans="1:65" x14ac:dyDescent="0.25">
      <c r="A185">
        <v>183</v>
      </c>
      <c r="B185" t="s">
        <v>424</v>
      </c>
      <c r="C185" t="s">
        <v>66</v>
      </c>
      <c r="D185" s="1">
        <v>46230</v>
      </c>
      <c r="E185" t="s">
        <v>425</v>
      </c>
      <c r="F185" t="s">
        <v>68</v>
      </c>
      <c r="G185" t="s">
        <v>69</v>
      </c>
      <c r="H185" t="s">
        <v>70</v>
      </c>
      <c r="I185" t="s">
        <v>71</v>
      </c>
      <c r="J185" t="s">
        <v>72</v>
      </c>
      <c r="K185" t="s">
        <v>73</v>
      </c>
      <c r="L185" t="s">
        <v>74</v>
      </c>
      <c r="M185" t="s">
        <v>426</v>
      </c>
      <c r="N185" t="s">
        <v>111</v>
      </c>
      <c r="O185" t="s">
        <v>427</v>
      </c>
      <c r="P185" t="s">
        <v>428</v>
      </c>
      <c r="Q185" t="s">
        <v>66</v>
      </c>
      <c r="R185" s="1">
        <v>46230</v>
      </c>
      <c r="S185" t="s">
        <v>429</v>
      </c>
      <c r="T185" t="s">
        <v>430</v>
      </c>
      <c r="U185" t="s">
        <v>66</v>
      </c>
      <c r="V185" t="s">
        <v>431</v>
      </c>
      <c r="W185" t="s">
        <v>66</v>
      </c>
      <c r="X185">
        <v>7616808</v>
      </c>
      <c r="Y185">
        <v>837848.88</v>
      </c>
      <c r="Z185">
        <v>40779</v>
      </c>
      <c r="AA185">
        <v>4485.6899999999996</v>
      </c>
      <c r="AB185">
        <v>8454656.8800000008</v>
      </c>
      <c r="AC185">
        <v>3</v>
      </c>
      <c r="AD185" t="s">
        <v>82</v>
      </c>
      <c r="AE185">
        <v>3</v>
      </c>
      <c r="AF185" t="s">
        <v>105</v>
      </c>
      <c r="AG185">
        <f>IFERROR(VLOOKUP(AF185,[1]STOK!J:O,6,0),"")</f>
        <v>12</v>
      </c>
      <c r="AH185" s="2">
        <f t="shared" si="4"/>
        <v>0.25</v>
      </c>
      <c r="AI185" t="s">
        <v>105</v>
      </c>
      <c r="AJ185" t="s">
        <v>106</v>
      </c>
      <c r="AK185" t="s">
        <v>107</v>
      </c>
      <c r="AL185" t="s">
        <v>86</v>
      </c>
      <c r="AM185">
        <v>15318</v>
      </c>
      <c r="AN185">
        <f t="shared" si="5"/>
        <v>15088.230000000001</v>
      </c>
      <c r="AO185" t="s">
        <v>66</v>
      </c>
      <c r="AP185">
        <v>1.5</v>
      </c>
      <c r="AQ185" t="s">
        <v>66</v>
      </c>
      <c r="AR185">
        <v>0</v>
      </c>
      <c r="AS185" t="s">
        <v>66</v>
      </c>
      <c r="AT185">
        <v>0</v>
      </c>
      <c r="AU185" t="s">
        <v>66</v>
      </c>
      <c r="AV185">
        <v>0</v>
      </c>
      <c r="AW185" t="s">
        <v>66</v>
      </c>
      <c r="AX185">
        <v>0</v>
      </c>
      <c r="AY185" t="s">
        <v>66</v>
      </c>
      <c r="AZ185">
        <v>0</v>
      </c>
      <c r="BA185" t="s">
        <v>66</v>
      </c>
      <c r="BB185">
        <v>0</v>
      </c>
      <c r="BC185">
        <v>0</v>
      </c>
      <c r="BD185">
        <v>45264.69</v>
      </c>
      <c r="BE185">
        <v>12470.34</v>
      </c>
      <c r="BF185">
        <v>0</v>
      </c>
      <c r="BG185" t="s">
        <v>87</v>
      </c>
      <c r="BH185" t="s">
        <v>66</v>
      </c>
      <c r="BI185">
        <v>0</v>
      </c>
      <c r="BJ185" t="s">
        <v>66</v>
      </c>
      <c r="BK185" t="s">
        <v>88</v>
      </c>
      <c r="BL185" t="s">
        <v>435</v>
      </c>
      <c r="BM185" t="s">
        <v>89</v>
      </c>
    </row>
    <row r="186" spans="1:65" x14ac:dyDescent="0.25">
      <c r="A186">
        <v>184</v>
      </c>
      <c r="B186" t="s">
        <v>451</v>
      </c>
      <c r="C186" t="s">
        <v>68</v>
      </c>
      <c r="D186" s="1">
        <v>46230</v>
      </c>
      <c r="E186" t="s">
        <v>452</v>
      </c>
      <c r="F186" t="s">
        <v>68</v>
      </c>
      <c r="G186" t="s">
        <v>69</v>
      </c>
      <c r="H186" t="s">
        <v>70</v>
      </c>
      <c r="I186" t="s">
        <v>71</v>
      </c>
      <c r="J186" t="s">
        <v>72</v>
      </c>
      <c r="K186" t="s">
        <v>73</v>
      </c>
      <c r="L186" t="s">
        <v>74</v>
      </c>
      <c r="M186" t="s">
        <v>453</v>
      </c>
      <c r="N186" t="s">
        <v>76</v>
      </c>
      <c r="O186" t="s">
        <v>454</v>
      </c>
      <c r="P186" t="s">
        <v>455</v>
      </c>
      <c r="Q186" t="s">
        <v>66</v>
      </c>
      <c r="R186" s="1">
        <v>46230</v>
      </c>
      <c r="S186" t="s">
        <v>456</v>
      </c>
      <c r="T186" t="s">
        <v>457</v>
      </c>
      <c r="U186" t="s">
        <v>66</v>
      </c>
      <c r="V186" t="s">
        <v>458</v>
      </c>
      <c r="W186" t="s">
        <v>66</v>
      </c>
      <c r="X186">
        <v>208500</v>
      </c>
      <c r="Y186">
        <v>22935</v>
      </c>
      <c r="Z186">
        <v>49500</v>
      </c>
      <c r="AA186">
        <v>5445</v>
      </c>
      <c r="AB186">
        <v>231435</v>
      </c>
      <c r="AC186">
        <v>3</v>
      </c>
      <c r="AD186" t="s">
        <v>82</v>
      </c>
      <c r="AE186">
        <v>3</v>
      </c>
      <c r="AF186" t="s">
        <v>128</v>
      </c>
      <c r="AG186">
        <f>IFERROR(VLOOKUP(AF186,[1]STOK!J:O,6,0),"")</f>
        <v>24</v>
      </c>
      <c r="AH186" s="2">
        <f t="shared" si="4"/>
        <v>0.125</v>
      </c>
      <c r="AI186" t="s">
        <v>128</v>
      </c>
      <c r="AJ186" t="s">
        <v>129</v>
      </c>
      <c r="AK186" t="s">
        <v>130</v>
      </c>
      <c r="AL186" t="s">
        <v>86</v>
      </c>
      <c r="AM186">
        <v>18315</v>
      </c>
      <c r="AN186">
        <f t="shared" si="5"/>
        <v>18315</v>
      </c>
      <c r="AO186" t="s">
        <v>66</v>
      </c>
      <c r="AP186">
        <v>0</v>
      </c>
      <c r="AQ186" t="s">
        <v>66</v>
      </c>
      <c r="AR186">
        <v>0</v>
      </c>
      <c r="AS186" t="s">
        <v>66</v>
      </c>
      <c r="AT186">
        <v>0</v>
      </c>
      <c r="AU186" t="s">
        <v>66</v>
      </c>
      <c r="AV186">
        <v>0</v>
      </c>
      <c r="AW186" t="s">
        <v>66</v>
      </c>
      <c r="AX186">
        <v>0</v>
      </c>
      <c r="AY186" t="s">
        <v>66</v>
      </c>
      <c r="AZ186">
        <v>0</v>
      </c>
      <c r="BA186" t="s">
        <v>66</v>
      </c>
      <c r="BB186">
        <v>0</v>
      </c>
      <c r="BC186">
        <v>0</v>
      </c>
      <c r="BD186">
        <v>54945</v>
      </c>
      <c r="BE186">
        <v>14887.43</v>
      </c>
      <c r="BF186">
        <v>0</v>
      </c>
      <c r="BG186" t="s">
        <v>87</v>
      </c>
      <c r="BH186" t="s">
        <v>66</v>
      </c>
      <c r="BI186">
        <v>0</v>
      </c>
      <c r="BJ186" t="s">
        <v>66</v>
      </c>
      <c r="BK186" t="s">
        <v>88</v>
      </c>
      <c r="BL186" t="s">
        <v>66</v>
      </c>
      <c r="BM186" t="s">
        <v>89</v>
      </c>
    </row>
    <row r="187" spans="1:65" x14ac:dyDescent="0.25">
      <c r="A187">
        <v>185</v>
      </c>
      <c r="B187" t="s">
        <v>451</v>
      </c>
      <c r="C187" t="s">
        <v>68</v>
      </c>
      <c r="D187" s="1">
        <v>46230</v>
      </c>
      <c r="E187" t="s">
        <v>452</v>
      </c>
      <c r="F187" t="s">
        <v>68</v>
      </c>
      <c r="G187" t="s">
        <v>69</v>
      </c>
      <c r="H187" t="s">
        <v>70</v>
      </c>
      <c r="I187" t="s">
        <v>71</v>
      </c>
      <c r="J187" t="s">
        <v>72</v>
      </c>
      <c r="K187" t="s">
        <v>73</v>
      </c>
      <c r="L187" t="s">
        <v>74</v>
      </c>
      <c r="M187" t="s">
        <v>453</v>
      </c>
      <c r="N187" t="s">
        <v>76</v>
      </c>
      <c r="O187" t="s">
        <v>454</v>
      </c>
      <c r="P187" t="s">
        <v>455</v>
      </c>
      <c r="Q187" t="s">
        <v>66</v>
      </c>
      <c r="R187" s="1">
        <v>46230</v>
      </c>
      <c r="S187" t="s">
        <v>456</v>
      </c>
      <c r="T187" t="s">
        <v>457</v>
      </c>
      <c r="U187" t="s">
        <v>66</v>
      </c>
      <c r="V187" t="s">
        <v>458</v>
      </c>
      <c r="W187" t="s">
        <v>66</v>
      </c>
      <c r="X187">
        <v>208500</v>
      </c>
      <c r="Y187">
        <v>22935</v>
      </c>
      <c r="Z187">
        <v>49500</v>
      </c>
      <c r="AA187">
        <v>5445</v>
      </c>
      <c r="AB187">
        <v>231435</v>
      </c>
      <c r="AC187">
        <v>3</v>
      </c>
      <c r="AD187" t="s">
        <v>82</v>
      </c>
      <c r="AE187">
        <v>3</v>
      </c>
      <c r="AF187" t="s">
        <v>205</v>
      </c>
      <c r="AG187">
        <f>IFERROR(VLOOKUP(AF187,[1]STOK!J:O,6,0),"")</f>
        <v>24</v>
      </c>
      <c r="AH187" s="2">
        <f t="shared" si="4"/>
        <v>0.125</v>
      </c>
      <c r="AI187" t="s">
        <v>205</v>
      </c>
      <c r="AJ187" t="s">
        <v>206</v>
      </c>
      <c r="AK187" t="s">
        <v>207</v>
      </c>
      <c r="AL187" t="s">
        <v>86</v>
      </c>
      <c r="AM187">
        <v>18315</v>
      </c>
      <c r="AN187">
        <f t="shared" si="5"/>
        <v>18315</v>
      </c>
      <c r="AO187" t="s">
        <v>66</v>
      </c>
      <c r="AP187">
        <v>0</v>
      </c>
      <c r="AQ187" t="s">
        <v>66</v>
      </c>
      <c r="AR187">
        <v>0</v>
      </c>
      <c r="AS187" t="s">
        <v>66</v>
      </c>
      <c r="AT187">
        <v>0</v>
      </c>
      <c r="AU187" t="s">
        <v>66</v>
      </c>
      <c r="AV187">
        <v>0</v>
      </c>
      <c r="AW187" t="s">
        <v>66</v>
      </c>
      <c r="AX187">
        <v>0</v>
      </c>
      <c r="AY187" t="s">
        <v>66</v>
      </c>
      <c r="AZ187">
        <v>0</v>
      </c>
      <c r="BA187" t="s">
        <v>66</v>
      </c>
      <c r="BB187">
        <v>0</v>
      </c>
      <c r="BC187">
        <v>0</v>
      </c>
      <c r="BD187">
        <v>54945</v>
      </c>
      <c r="BE187">
        <v>14893.33</v>
      </c>
      <c r="BF187">
        <v>0</v>
      </c>
      <c r="BG187" t="s">
        <v>87</v>
      </c>
      <c r="BH187" t="s">
        <v>66</v>
      </c>
      <c r="BI187">
        <v>0</v>
      </c>
      <c r="BJ187" t="s">
        <v>66</v>
      </c>
      <c r="BK187" t="s">
        <v>88</v>
      </c>
      <c r="BL187" t="s">
        <v>66</v>
      </c>
      <c r="BM187" t="s">
        <v>89</v>
      </c>
    </row>
    <row r="188" spans="1:65" x14ac:dyDescent="0.25">
      <c r="A188">
        <v>186</v>
      </c>
      <c r="B188" t="s">
        <v>451</v>
      </c>
      <c r="C188" t="s">
        <v>68</v>
      </c>
      <c r="D188" s="1">
        <v>46230</v>
      </c>
      <c r="E188" t="s">
        <v>452</v>
      </c>
      <c r="F188" t="s">
        <v>68</v>
      </c>
      <c r="G188" t="s">
        <v>69</v>
      </c>
      <c r="H188" t="s">
        <v>70</v>
      </c>
      <c r="I188" t="s">
        <v>71</v>
      </c>
      <c r="J188" t="s">
        <v>72</v>
      </c>
      <c r="K188" t="s">
        <v>73</v>
      </c>
      <c r="L188" t="s">
        <v>74</v>
      </c>
      <c r="M188" t="s">
        <v>453</v>
      </c>
      <c r="N188" t="s">
        <v>76</v>
      </c>
      <c r="O188" t="s">
        <v>454</v>
      </c>
      <c r="P188" t="s">
        <v>455</v>
      </c>
      <c r="Q188" t="s">
        <v>66</v>
      </c>
      <c r="R188" s="1">
        <v>46230</v>
      </c>
      <c r="S188" t="s">
        <v>456</v>
      </c>
      <c r="T188" t="s">
        <v>457</v>
      </c>
      <c r="U188" t="s">
        <v>66</v>
      </c>
      <c r="V188" t="s">
        <v>458</v>
      </c>
      <c r="W188" t="s">
        <v>66</v>
      </c>
      <c r="X188">
        <v>208500</v>
      </c>
      <c r="Y188">
        <v>22935</v>
      </c>
      <c r="Z188">
        <v>49500</v>
      </c>
      <c r="AA188">
        <v>5445</v>
      </c>
      <c r="AB188">
        <v>231435</v>
      </c>
      <c r="AC188">
        <v>3</v>
      </c>
      <c r="AD188" t="s">
        <v>82</v>
      </c>
      <c r="AE188">
        <v>3</v>
      </c>
      <c r="AF188" t="s">
        <v>99</v>
      </c>
      <c r="AG188">
        <f>IFERROR(VLOOKUP(AF188,[1]STOK!J:O,6,0),"")</f>
        <v>24</v>
      </c>
      <c r="AH188" s="2">
        <f t="shared" si="4"/>
        <v>0.125</v>
      </c>
      <c r="AI188" t="s">
        <v>99</v>
      </c>
      <c r="AJ188" t="s">
        <v>100</v>
      </c>
      <c r="AK188" t="s">
        <v>101</v>
      </c>
      <c r="AL188" t="s">
        <v>86</v>
      </c>
      <c r="AM188">
        <v>18315</v>
      </c>
      <c r="AN188">
        <f t="shared" si="5"/>
        <v>18315</v>
      </c>
      <c r="AO188" t="s">
        <v>66</v>
      </c>
      <c r="AP188">
        <v>0</v>
      </c>
      <c r="AQ188" t="s">
        <v>66</v>
      </c>
      <c r="AR188">
        <v>0</v>
      </c>
      <c r="AS188" t="s">
        <v>66</v>
      </c>
      <c r="AT188">
        <v>0</v>
      </c>
      <c r="AU188" t="s">
        <v>66</v>
      </c>
      <c r="AV188">
        <v>0</v>
      </c>
      <c r="AW188" t="s">
        <v>66</v>
      </c>
      <c r="AX188">
        <v>0</v>
      </c>
      <c r="AY188" t="s">
        <v>66</v>
      </c>
      <c r="AZ188">
        <v>0</v>
      </c>
      <c r="BA188" t="s">
        <v>66</v>
      </c>
      <c r="BB188">
        <v>0</v>
      </c>
      <c r="BC188">
        <v>0</v>
      </c>
      <c r="BD188">
        <v>54945</v>
      </c>
      <c r="BE188">
        <v>14925.98</v>
      </c>
      <c r="BF188">
        <v>0</v>
      </c>
      <c r="BG188" t="s">
        <v>87</v>
      </c>
      <c r="BH188" t="s">
        <v>66</v>
      </c>
      <c r="BI188">
        <v>0</v>
      </c>
      <c r="BJ188" t="s">
        <v>66</v>
      </c>
      <c r="BK188" t="s">
        <v>88</v>
      </c>
      <c r="BL188" t="s">
        <v>66</v>
      </c>
      <c r="BM188" t="s">
        <v>89</v>
      </c>
    </row>
    <row r="189" spans="1:65" x14ac:dyDescent="0.25">
      <c r="A189">
        <v>187</v>
      </c>
      <c r="B189" t="s">
        <v>451</v>
      </c>
      <c r="C189" t="s">
        <v>68</v>
      </c>
      <c r="D189" s="1">
        <v>46230</v>
      </c>
      <c r="E189" t="s">
        <v>452</v>
      </c>
      <c r="F189" t="s">
        <v>68</v>
      </c>
      <c r="G189" t="s">
        <v>69</v>
      </c>
      <c r="H189" t="s">
        <v>70</v>
      </c>
      <c r="I189" t="s">
        <v>71</v>
      </c>
      <c r="J189" t="s">
        <v>72</v>
      </c>
      <c r="K189" t="s">
        <v>73</v>
      </c>
      <c r="L189" t="s">
        <v>74</v>
      </c>
      <c r="M189" t="s">
        <v>453</v>
      </c>
      <c r="N189" t="s">
        <v>76</v>
      </c>
      <c r="O189" t="s">
        <v>454</v>
      </c>
      <c r="P189" t="s">
        <v>455</v>
      </c>
      <c r="Q189" t="s">
        <v>66</v>
      </c>
      <c r="R189" s="1">
        <v>46230</v>
      </c>
      <c r="S189" t="s">
        <v>456</v>
      </c>
      <c r="T189" t="s">
        <v>457</v>
      </c>
      <c r="U189" t="s">
        <v>66</v>
      </c>
      <c r="V189" t="s">
        <v>458</v>
      </c>
      <c r="W189" t="s">
        <v>66</v>
      </c>
      <c r="X189">
        <v>208500</v>
      </c>
      <c r="Y189">
        <v>22935</v>
      </c>
      <c r="Z189">
        <v>60000</v>
      </c>
      <c r="AA189">
        <v>6600</v>
      </c>
      <c r="AB189">
        <v>231435</v>
      </c>
      <c r="AC189">
        <v>3</v>
      </c>
      <c r="AD189" t="s">
        <v>82</v>
      </c>
      <c r="AE189">
        <v>3</v>
      </c>
      <c r="AF189" t="s">
        <v>290</v>
      </c>
      <c r="AG189">
        <f>IFERROR(VLOOKUP(AF189,[1]STOK!J:O,6,0),"")</f>
        <v>12</v>
      </c>
      <c r="AH189" s="2">
        <f t="shared" si="4"/>
        <v>0.25</v>
      </c>
      <c r="AI189" t="s">
        <v>290</v>
      </c>
      <c r="AJ189" t="s">
        <v>291</v>
      </c>
      <c r="AK189" t="s">
        <v>292</v>
      </c>
      <c r="AL189" t="s">
        <v>86</v>
      </c>
      <c r="AM189">
        <v>22200</v>
      </c>
      <c r="AN189">
        <f t="shared" si="5"/>
        <v>22200</v>
      </c>
      <c r="AO189" t="s">
        <v>66</v>
      </c>
      <c r="AP189">
        <v>0</v>
      </c>
      <c r="AQ189" t="s">
        <v>66</v>
      </c>
      <c r="AR189">
        <v>0</v>
      </c>
      <c r="AS189" t="s">
        <v>66</v>
      </c>
      <c r="AT189">
        <v>0</v>
      </c>
      <c r="AU189" t="s">
        <v>66</v>
      </c>
      <c r="AV189">
        <v>0</v>
      </c>
      <c r="AW189" t="s">
        <v>66</v>
      </c>
      <c r="AX189">
        <v>0</v>
      </c>
      <c r="AY189" t="s">
        <v>66</v>
      </c>
      <c r="AZ189">
        <v>0</v>
      </c>
      <c r="BA189" t="s">
        <v>66</v>
      </c>
      <c r="BB189">
        <v>0</v>
      </c>
      <c r="BC189">
        <v>0</v>
      </c>
      <c r="BD189">
        <v>66600</v>
      </c>
      <c r="BE189">
        <v>18113.71</v>
      </c>
      <c r="BF189">
        <v>0</v>
      </c>
      <c r="BG189" t="s">
        <v>87</v>
      </c>
      <c r="BH189" t="s">
        <v>66</v>
      </c>
      <c r="BI189">
        <v>0</v>
      </c>
      <c r="BJ189" t="s">
        <v>66</v>
      </c>
      <c r="BK189" t="s">
        <v>88</v>
      </c>
      <c r="BL189" t="s">
        <v>66</v>
      </c>
      <c r="BM189" t="s">
        <v>89</v>
      </c>
    </row>
    <row r="190" spans="1:65" x14ac:dyDescent="0.25">
      <c r="A190">
        <v>188</v>
      </c>
      <c r="B190" t="s">
        <v>459</v>
      </c>
      <c r="C190" t="s">
        <v>68</v>
      </c>
      <c r="D190" s="1">
        <v>46230</v>
      </c>
      <c r="E190" t="s">
        <v>460</v>
      </c>
      <c r="F190" t="s">
        <v>68</v>
      </c>
      <c r="G190" t="s">
        <v>295</v>
      </c>
      <c r="H190" t="s">
        <v>296</v>
      </c>
      <c r="I190" t="s">
        <v>71</v>
      </c>
      <c r="J190" t="s">
        <v>72</v>
      </c>
      <c r="K190" t="s">
        <v>73</v>
      </c>
      <c r="L190" t="s">
        <v>74</v>
      </c>
      <c r="M190" t="s">
        <v>461</v>
      </c>
      <c r="N190" t="s">
        <v>111</v>
      </c>
      <c r="O190" t="s">
        <v>462</v>
      </c>
      <c r="P190" t="s">
        <v>463</v>
      </c>
      <c r="Q190" t="s">
        <v>66</v>
      </c>
      <c r="R190" s="1">
        <v>46230</v>
      </c>
      <c r="S190" t="s">
        <v>464</v>
      </c>
      <c r="T190" t="s">
        <v>465</v>
      </c>
      <c r="U190" t="s">
        <v>66</v>
      </c>
      <c r="V190" t="s">
        <v>466</v>
      </c>
      <c r="W190" t="s">
        <v>66</v>
      </c>
      <c r="X190">
        <v>465900</v>
      </c>
      <c r="Y190">
        <v>51249</v>
      </c>
      <c r="Z190">
        <v>49500</v>
      </c>
      <c r="AA190">
        <v>5445</v>
      </c>
      <c r="AB190">
        <v>517149</v>
      </c>
      <c r="AC190">
        <v>3</v>
      </c>
      <c r="AD190" t="s">
        <v>82</v>
      </c>
      <c r="AE190">
        <v>3</v>
      </c>
      <c r="AF190" t="s">
        <v>128</v>
      </c>
      <c r="AG190">
        <f>IFERROR(VLOOKUP(AF190,[1]STOK!J:O,6,0),"")</f>
        <v>24</v>
      </c>
      <c r="AH190" s="2">
        <f t="shared" si="4"/>
        <v>0.125</v>
      </c>
      <c r="AI190" t="s">
        <v>128</v>
      </c>
      <c r="AJ190" t="s">
        <v>129</v>
      </c>
      <c r="AK190" t="s">
        <v>130</v>
      </c>
      <c r="AL190" t="s">
        <v>86</v>
      </c>
      <c r="AM190">
        <v>18315</v>
      </c>
      <c r="AN190">
        <f t="shared" si="5"/>
        <v>18315</v>
      </c>
      <c r="AO190" t="s">
        <v>66</v>
      </c>
      <c r="AP190">
        <v>0</v>
      </c>
      <c r="AQ190" t="s">
        <v>66</v>
      </c>
      <c r="AR190">
        <v>0</v>
      </c>
      <c r="AS190" t="s">
        <v>66</v>
      </c>
      <c r="AT190">
        <v>0</v>
      </c>
      <c r="AU190" t="s">
        <v>66</v>
      </c>
      <c r="AV190">
        <v>0</v>
      </c>
      <c r="AW190" t="s">
        <v>66</v>
      </c>
      <c r="AX190">
        <v>0</v>
      </c>
      <c r="AY190" t="s">
        <v>66</v>
      </c>
      <c r="AZ190">
        <v>0</v>
      </c>
      <c r="BA190" t="s">
        <v>66</v>
      </c>
      <c r="BB190">
        <v>0</v>
      </c>
      <c r="BC190">
        <v>0</v>
      </c>
      <c r="BD190">
        <v>54945</v>
      </c>
      <c r="BE190">
        <v>14887.43</v>
      </c>
      <c r="BF190">
        <v>0</v>
      </c>
      <c r="BG190" t="s">
        <v>87</v>
      </c>
      <c r="BH190" t="s">
        <v>66</v>
      </c>
      <c r="BI190">
        <v>0</v>
      </c>
      <c r="BJ190" t="s">
        <v>66</v>
      </c>
      <c r="BK190" t="s">
        <v>88</v>
      </c>
      <c r="BL190" t="s">
        <v>66</v>
      </c>
      <c r="BM190" t="s">
        <v>89</v>
      </c>
    </row>
    <row r="191" spans="1:65" x14ac:dyDescent="0.25">
      <c r="A191">
        <v>189</v>
      </c>
      <c r="B191" t="s">
        <v>459</v>
      </c>
      <c r="C191" t="s">
        <v>68</v>
      </c>
      <c r="D191" s="1">
        <v>46230</v>
      </c>
      <c r="E191" t="s">
        <v>460</v>
      </c>
      <c r="F191" t="s">
        <v>68</v>
      </c>
      <c r="G191" t="s">
        <v>295</v>
      </c>
      <c r="H191" t="s">
        <v>296</v>
      </c>
      <c r="I191" t="s">
        <v>71</v>
      </c>
      <c r="J191" t="s">
        <v>72</v>
      </c>
      <c r="K191" t="s">
        <v>73</v>
      </c>
      <c r="L191" t="s">
        <v>74</v>
      </c>
      <c r="M191" t="s">
        <v>461</v>
      </c>
      <c r="N191" t="s">
        <v>111</v>
      </c>
      <c r="O191" t="s">
        <v>462</v>
      </c>
      <c r="P191" t="s">
        <v>463</v>
      </c>
      <c r="Q191" t="s">
        <v>66</v>
      </c>
      <c r="R191" s="1">
        <v>46230</v>
      </c>
      <c r="S191" t="s">
        <v>464</v>
      </c>
      <c r="T191" t="s">
        <v>465</v>
      </c>
      <c r="U191" t="s">
        <v>66</v>
      </c>
      <c r="V191" t="s">
        <v>466</v>
      </c>
      <c r="W191" t="s">
        <v>66</v>
      </c>
      <c r="X191">
        <v>465900</v>
      </c>
      <c r="Y191">
        <v>51249</v>
      </c>
      <c r="Z191">
        <v>49500</v>
      </c>
      <c r="AA191">
        <v>5445</v>
      </c>
      <c r="AB191">
        <v>517149</v>
      </c>
      <c r="AC191">
        <v>3</v>
      </c>
      <c r="AD191" t="s">
        <v>82</v>
      </c>
      <c r="AE191">
        <v>3</v>
      </c>
      <c r="AF191" t="s">
        <v>93</v>
      </c>
      <c r="AG191">
        <f>IFERROR(VLOOKUP(AF191,[1]STOK!J:O,6,0),"")</f>
        <v>24</v>
      </c>
      <c r="AH191" s="2">
        <f t="shared" si="4"/>
        <v>0.125</v>
      </c>
      <c r="AI191" t="s">
        <v>93</v>
      </c>
      <c r="AJ191" t="s">
        <v>94</v>
      </c>
      <c r="AK191" t="s">
        <v>95</v>
      </c>
      <c r="AL191" t="s">
        <v>86</v>
      </c>
      <c r="AM191">
        <v>18315</v>
      </c>
      <c r="AN191">
        <f t="shared" si="5"/>
        <v>18315</v>
      </c>
      <c r="AO191" t="s">
        <v>66</v>
      </c>
      <c r="AP191">
        <v>0</v>
      </c>
      <c r="AQ191" t="s">
        <v>66</v>
      </c>
      <c r="AR191">
        <v>0</v>
      </c>
      <c r="AS191" t="s">
        <v>66</v>
      </c>
      <c r="AT191">
        <v>0</v>
      </c>
      <c r="AU191" t="s">
        <v>66</v>
      </c>
      <c r="AV191">
        <v>0</v>
      </c>
      <c r="AW191" t="s">
        <v>66</v>
      </c>
      <c r="AX191">
        <v>0</v>
      </c>
      <c r="AY191" t="s">
        <v>66</v>
      </c>
      <c r="AZ191">
        <v>0</v>
      </c>
      <c r="BA191" t="s">
        <v>66</v>
      </c>
      <c r="BB191">
        <v>0</v>
      </c>
      <c r="BC191">
        <v>0</v>
      </c>
      <c r="BD191">
        <v>54945</v>
      </c>
      <c r="BE191">
        <v>14923.68</v>
      </c>
      <c r="BF191">
        <v>0</v>
      </c>
      <c r="BG191" t="s">
        <v>87</v>
      </c>
      <c r="BH191" t="s">
        <v>66</v>
      </c>
      <c r="BI191">
        <v>0</v>
      </c>
      <c r="BJ191" t="s">
        <v>66</v>
      </c>
      <c r="BK191" t="s">
        <v>88</v>
      </c>
      <c r="BL191" t="s">
        <v>66</v>
      </c>
      <c r="BM191" t="s">
        <v>89</v>
      </c>
    </row>
    <row r="192" spans="1:65" x14ac:dyDescent="0.25">
      <c r="A192">
        <v>190</v>
      </c>
      <c r="B192" t="s">
        <v>459</v>
      </c>
      <c r="C192" t="s">
        <v>68</v>
      </c>
      <c r="D192" s="1">
        <v>46230</v>
      </c>
      <c r="E192" t="s">
        <v>460</v>
      </c>
      <c r="F192" t="s">
        <v>68</v>
      </c>
      <c r="G192" t="s">
        <v>295</v>
      </c>
      <c r="H192" t="s">
        <v>296</v>
      </c>
      <c r="I192" t="s">
        <v>71</v>
      </c>
      <c r="J192" t="s">
        <v>72</v>
      </c>
      <c r="K192" t="s">
        <v>73</v>
      </c>
      <c r="L192" t="s">
        <v>74</v>
      </c>
      <c r="M192" t="s">
        <v>461</v>
      </c>
      <c r="N192" t="s">
        <v>111</v>
      </c>
      <c r="O192" t="s">
        <v>462</v>
      </c>
      <c r="P192" t="s">
        <v>463</v>
      </c>
      <c r="Q192" t="s">
        <v>66</v>
      </c>
      <c r="R192" s="1">
        <v>46230</v>
      </c>
      <c r="S192" t="s">
        <v>464</v>
      </c>
      <c r="T192" t="s">
        <v>465</v>
      </c>
      <c r="U192" t="s">
        <v>66</v>
      </c>
      <c r="V192" t="s">
        <v>466</v>
      </c>
      <c r="W192" t="s">
        <v>66</v>
      </c>
      <c r="X192">
        <v>465900</v>
      </c>
      <c r="Y192">
        <v>51249</v>
      </c>
      <c r="Z192">
        <v>49500</v>
      </c>
      <c r="AA192">
        <v>5445</v>
      </c>
      <c r="AB192">
        <v>517149</v>
      </c>
      <c r="AC192">
        <v>3</v>
      </c>
      <c r="AD192" t="s">
        <v>82</v>
      </c>
      <c r="AE192">
        <v>3</v>
      </c>
      <c r="AF192" t="s">
        <v>205</v>
      </c>
      <c r="AG192">
        <f>IFERROR(VLOOKUP(AF192,[1]STOK!J:O,6,0),"")</f>
        <v>24</v>
      </c>
      <c r="AH192" s="2">
        <f t="shared" si="4"/>
        <v>0.125</v>
      </c>
      <c r="AI192" t="s">
        <v>205</v>
      </c>
      <c r="AJ192" t="s">
        <v>206</v>
      </c>
      <c r="AK192" t="s">
        <v>207</v>
      </c>
      <c r="AL192" t="s">
        <v>86</v>
      </c>
      <c r="AM192">
        <v>18315</v>
      </c>
      <c r="AN192">
        <f t="shared" si="5"/>
        <v>18315</v>
      </c>
      <c r="AO192" t="s">
        <v>66</v>
      </c>
      <c r="AP192">
        <v>0</v>
      </c>
      <c r="AQ192" t="s">
        <v>66</v>
      </c>
      <c r="AR192">
        <v>0</v>
      </c>
      <c r="AS192" t="s">
        <v>66</v>
      </c>
      <c r="AT192">
        <v>0</v>
      </c>
      <c r="AU192" t="s">
        <v>66</v>
      </c>
      <c r="AV192">
        <v>0</v>
      </c>
      <c r="AW192" t="s">
        <v>66</v>
      </c>
      <c r="AX192">
        <v>0</v>
      </c>
      <c r="AY192" t="s">
        <v>66</v>
      </c>
      <c r="AZ192">
        <v>0</v>
      </c>
      <c r="BA192" t="s">
        <v>66</v>
      </c>
      <c r="BB192">
        <v>0</v>
      </c>
      <c r="BC192">
        <v>0</v>
      </c>
      <c r="BD192">
        <v>54945</v>
      </c>
      <c r="BE192">
        <v>14893.33</v>
      </c>
      <c r="BF192">
        <v>0</v>
      </c>
      <c r="BG192" t="s">
        <v>87</v>
      </c>
      <c r="BH192" t="s">
        <v>66</v>
      </c>
      <c r="BI192">
        <v>0</v>
      </c>
      <c r="BJ192" t="s">
        <v>66</v>
      </c>
      <c r="BK192" t="s">
        <v>88</v>
      </c>
      <c r="BL192" t="s">
        <v>66</v>
      </c>
      <c r="BM192" t="s">
        <v>89</v>
      </c>
    </row>
    <row r="193" spans="1:65" x14ac:dyDescent="0.25">
      <c r="A193">
        <v>191</v>
      </c>
      <c r="B193" t="s">
        <v>459</v>
      </c>
      <c r="C193" t="s">
        <v>68</v>
      </c>
      <c r="D193" s="1">
        <v>46230</v>
      </c>
      <c r="E193" t="s">
        <v>460</v>
      </c>
      <c r="F193" t="s">
        <v>68</v>
      </c>
      <c r="G193" t="s">
        <v>295</v>
      </c>
      <c r="H193" t="s">
        <v>296</v>
      </c>
      <c r="I193" t="s">
        <v>71</v>
      </c>
      <c r="J193" t="s">
        <v>72</v>
      </c>
      <c r="K193" t="s">
        <v>73</v>
      </c>
      <c r="L193" t="s">
        <v>74</v>
      </c>
      <c r="M193" t="s">
        <v>461</v>
      </c>
      <c r="N193" t="s">
        <v>111</v>
      </c>
      <c r="O193" t="s">
        <v>462</v>
      </c>
      <c r="P193" t="s">
        <v>463</v>
      </c>
      <c r="Q193" t="s">
        <v>66</v>
      </c>
      <c r="R193" s="1">
        <v>46230</v>
      </c>
      <c r="S193" t="s">
        <v>464</v>
      </c>
      <c r="T193" t="s">
        <v>465</v>
      </c>
      <c r="U193" t="s">
        <v>66</v>
      </c>
      <c r="V193" t="s">
        <v>466</v>
      </c>
      <c r="W193" t="s">
        <v>66</v>
      </c>
      <c r="X193">
        <v>465900</v>
      </c>
      <c r="Y193">
        <v>51249</v>
      </c>
      <c r="Z193">
        <v>49500</v>
      </c>
      <c r="AA193">
        <v>5445</v>
      </c>
      <c r="AB193">
        <v>517149</v>
      </c>
      <c r="AC193">
        <v>3</v>
      </c>
      <c r="AD193" t="s">
        <v>82</v>
      </c>
      <c r="AE193">
        <v>3</v>
      </c>
      <c r="AF193" t="s">
        <v>99</v>
      </c>
      <c r="AG193">
        <f>IFERROR(VLOOKUP(AF193,[1]STOK!J:O,6,0),"")</f>
        <v>24</v>
      </c>
      <c r="AH193" s="2">
        <f t="shared" si="4"/>
        <v>0.125</v>
      </c>
      <c r="AI193" t="s">
        <v>99</v>
      </c>
      <c r="AJ193" t="s">
        <v>100</v>
      </c>
      <c r="AK193" t="s">
        <v>101</v>
      </c>
      <c r="AL193" t="s">
        <v>86</v>
      </c>
      <c r="AM193">
        <v>18315</v>
      </c>
      <c r="AN193">
        <f t="shared" si="5"/>
        <v>18315</v>
      </c>
      <c r="AO193" t="s">
        <v>66</v>
      </c>
      <c r="AP193">
        <v>0</v>
      </c>
      <c r="AQ193" t="s">
        <v>66</v>
      </c>
      <c r="AR193">
        <v>0</v>
      </c>
      <c r="AS193" t="s">
        <v>66</v>
      </c>
      <c r="AT193">
        <v>0</v>
      </c>
      <c r="AU193" t="s">
        <v>66</v>
      </c>
      <c r="AV193">
        <v>0</v>
      </c>
      <c r="AW193" t="s">
        <v>66</v>
      </c>
      <c r="AX193">
        <v>0</v>
      </c>
      <c r="AY193" t="s">
        <v>66</v>
      </c>
      <c r="AZ193">
        <v>0</v>
      </c>
      <c r="BA193" t="s">
        <v>66</v>
      </c>
      <c r="BB193">
        <v>0</v>
      </c>
      <c r="BC193">
        <v>0</v>
      </c>
      <c r="BD193">
        <v>54945</v>
      </c>
      <c r="BE193">
        <v>14925.98</v>
      </c>
      <c r="BF193">
        <v>0</v>
      </c>
      <c r="BG193" t="s">
        <v>87</v>
      </c>
      <c r="BH193" t="s">
        <v>66</v>
      </c>
      <c r="BI193">
        <v>0</v>
      </c>
      <c r="BJ193" t="s">
        <v>66</v>
      </c>
      <c r="BK193" t="s">
        <v>88</v>
      </c>
      <c r="BL193" t="s">
        <v>66</v>
      </c>
      <c r="BM193" t="s">
        <v>89</v>
      </c>
    </row>
    <row r="194" spans="1:65" x14ac:dyDescent="0.25">
      <c r="A194">
        <v>192</v>
      </c>
      <c r="B194" t="s">
        <v>459</v>
      </c>
      <c r="C194" t="s">
        <v>68</v>
      </c>
      <c r="D194" s="1">
        <v>46230</v>
      </c>
      <c r="E194" t="s">
        <v>460</v>
      </c>
      <c r="F194" t="s">
        <v>68</v>
      </c>
      <c r="G194" t="s">
        <v>295</v>
      </c>
      <c r="H194" t="s">
        <v>296</v>
      </c>
      <c r="I194" t="s">
        <v>71</v>
      </c>
      <c r="J194" t="s">
        <v>72</v>
      </c>
      <c r="K194" t="s">
        <v>73</v>
      </c>
      <c r="L194" t="s">
        <v>74</v>
      </c>
      <c r="M194" t="s">
        <v>461</v>
      </c>
      <c r="N194" t="s">
        <v>111</v>
      </c>
      <c r="O194" t="s">
        <v>462</v>
      </c>
      <c r="P194" t="s">
        <v>463</v>
      </c>
      <c r="Q194" t="s">
        <v>66</v>
      </c>
      <c r="R194" s="1">
        <v>46230</v>
      </c>
      <c r="S194" t="s">
        <v>464</v>
      </c>
      <c r="T194" t="s">
        <v>465</v>
      </c>
      <c r="U194" t="s">
        <v>66</v>
      </c>
      <c r="V194" t="s">
        <v>466</v>
      </c>
      <c r="W194" t="s">
        <v>66</v>
      </c>
      <c r="X194">
        <v>465900</v>
      </c>
      <c r="Y194">
        <v>51249</v>
      </c>
      <c r="Z194">
        <v>38800</v>
      </c>
      <c r="AA194">
        <v>4268</v>
      </c>
      <c r="AB194">
        <v>517149</v>
      </c>
      <c r="AC194">
        <v>2</v>
      </c>
      <c r="AD194" t="s">
        <v>82</v>
      </c>
      <c r="AE194">
        <v>2</v>
      </c>
      <c r="AF194" t="s">
        <v>467</v>
      </c>
      <c r="AG194">
        <f>IFERROR(VLOOKUP(AF194,[1]STOK!J:O,6,0),"")</f>
        <v>24</v>
      </c>
      <c r="AH194" s="2">
        <f t="shared" si="4"/>
        <v>8.3333333333333329E-2</v>
      </c>
      <c r="AI194" t="s">
        <v>467</v>
      </c>
      <c r="AJ194" t="s">
        <v>468</v>
      </c>
      <c r="AK194" t="s">
        <v>469</v>
      </c>
      <c r="AL194" t="s">
        <v>86</v>
      </c>
      <c r="AM194">
        <v>21534</v>
      </c>
      <c r="AN194">
        <f t="shared" si="5"/>
        <v>21534</v>
      </c>
      <c r="AO194" t="s">
        <v>66</v>
      </c>
      <c r="AP194">
        <v>0</v>
      </c>
      <c r="AQ194" t="s">
        <v>66</v>
      </c>
      <c r="AR194">
        <v>0</v>
      </c>
      <c r="AS194" t="s">
        <v>66</v>
      </c>
      <c r="AT194">
        <v>0</v>
      </c>
      <c r="AU194" t="s">
        <v>66</v>
      </c>
      <c r="AV194">
        <v>0</v>
      </c>
      <c r="AW194" t="s">
        <v>66</v>
      </c>
      <c r="AX194">
        <v>0</v>
      </c>
      <c r="AY194" t="s">
        <v>66</v>
      </c>
      <c r="AZ194">
        <v>0</v>
      </c>
      <c r="BA194" t="s">
        <v>66</v>
      </c>
      <c r="BB194">
        <v>0</v>
      </c>
      <c r="BC194">
        <v>0</v>
      </c>
      <c r="BD194">
        <v>43068</v>
      </c>
      <c r="BE194">
        <v>17169.53</v>
      </c>
      <c r="BF194">
        <v>0</v>
      </c>
      <c r="BG194" t="s">
        <v>87</v>
      </c>
      <c r="BH194" t="s">
        <v>66</v>
      </c>
      <c r="BI194">
        <v>0</v>
      </c>
      <c r="BJ194" t="s">
        <v>66</v>
      </c>
      <c r="BK194" t="s">
        <v>88</v>
      </c>
      <c r="BL194" t="s">
        <v>66</v>
      </c>
      <c r="BM194" t="s">
        <v>89</v>
      </c>
    </row>
    <row r="195" spans="1:65" x14ac:dyDescent="0.25">
      <c r="A195">
        <v>193</v>
      </c>
      <c r="B195" t="s">
        <v>459</v>
      </c>
      <c r="C195" t="s">
        <v>68</v>
      </c>
      <c r="D195" s="1">
        <v>46230</v>
      </c>
      <c r="E195" t="s">
        <v>460</v>
      </c>
      <c r="F195" t="s">
        <v>68</v>
      </c>
      <c r="G195" t="s">
        <v>295</v>
      </c>
      <c r="H195" t="s">
        <v>296</v>
      </c>
      <c r="I195" t="s">
        <v>71</v>
      </c>
      <c r="J195" t="s">
        <v>72</v>
      </c>
      <c r="K195" t="s">
        <v>73</v>
      </c>
      <c r="L195" t="s">
        <v>74</v>
      </c>
      <c r="M195" t="s">
        <v>461</v>
      </c>
      <c r="N195" t="s">
        <v>111</v>
      </c>
      <c r="O195" t="s">
        <v>462</v>
      </c>
      <c r="P195" t="s">
        <v>463</v>
      </c>
      <c r="Q195" t="s">
        <v>66</v>
      </c>
      <c r="R195" s="1">
        <v>46230</v>
      </c>
      <c r="S195" t="s">
        <v>464</v>
      </c>
      <c r="T195" t="s">
        <v>465</v>
      </c>
      <c r="U195" t="s">
        <v>66</v>
      </c>
      <c r="V195" t="s">
        <v>466</v>
      </c>
      <c r="W195" t="s">
        <v>66</v>
      </c>
      <c r="X195">
        <v>465900</v>
      </c>
      <c r="Y195">
        <v>51249</v>
      </c>
      <c r="Z195">
        <v>38800</v>
      </c>
      <c r="AA195">
        <v>4268</v>
      </c>
      <c r="AB195">
        <v>517149</v>
      </c>
      <c r="AC195">
        <v>2</v>
      </c>
      <c r="AD195" t="s">
        <v>82</v>
      </c>
      <c r="AE195">
        <v>2</v>
      </c>
      <c r="AF195" t="s">
        <v>470</v>
      </c>
      <c r="AG195">
        <f>IFERROR(VLOOKUP(AF195,[1]STOK!J:O,6,0),"")</f>
        <v>24</v>
      </c>
      <c r="AH195" s="2">
        <f t="shared" si="4"/>
        <v>8.3333333333333329E-2</v>
      </c>
      <c r="AI195" t="s">
        <v>470</v>
      </c>
      <c r="AJ195" t="s">
        <v>471</v>
      </c>
      <c r="AK195" t="s">
        <v>472</v>
      </c>
      <c r="AL195" t="s">
        <v>86</v>
      </c>
      <c r="AM195">
        <v>21534</v>
      </c>
      <c r="AN195">
        <f t="shared" si="5"/>
        <v>21534</v>
      </c>
      <c r="AO195" t="s">
        <v>66</v>
      </c>
      <c r="AP195">
        <v>0</v>
      </c>
      <c r="AQ195" t="s">
        <v>66</v>
      </c>
      <c r="AR195">
        <v>0</v>
      </c>
      <c r="AS195" t="s">
        <v>66</v>
      </c>
      <c r="AT195">
        <v>0</v>
      </c>
      <c r="AU195" t="s">
        <v>66</v>
      </c>
      <c r="AV195">
        <v>0</v>
      </c>
      <c r="AW195" t="s">
        <v>66</v>
      </c>
      <c r="AX195">
        <v>0</v>
      </c>
      <c r="AY195" t="s">
        <v>66</v>
      </c>
      <c r="AZ195">
        <v>0</v>
      </c>
      <c r="BA195" t="s">
        <v>66</v>
      </c>
      <c r="BB195">
        <v>0</v>
      </c>
      <c r="BC195">
        <v>0</v>
      </c>
      <c r="BD195">
        <v>43068</v>
      </c>
      <c r="BE195">
        <v>17322.240000000002</v>
      </c>
      <c r="BF195">
        <v>0</v>
      </c>
      <c r="BG195" t="s">
        <v>87</v>
      </c>
      <c r="BH195" t="s">
        <v>66</v>
      </c>
      <c r="BI195">
        <v>0</v>
      </c>
      <c r="BJ195" t="s">
        <v>66</v>
      </c>
      <c r="BK195" t="s">
        <v>88</v>
      </c>
      <c r="BL195" t="s">
        <v>66</v>
      </c>
      <c r="BM195" t="s">
        <v>89</v>
      </c>
    </row>
    <row r="196" spans="1:65" x14ac:dyDescent="0.25">
      <c r="A196">
        <v>194</v>
      </c>
      <c r="B196" t="s">
        <v>459</v>
      </c>
      <c r="C196" t="s">
        <v>68</v>
      </c>
      <c r="D196" s="1">
        <v>46230</v>
      </c>
      <c r="E196" t="s">
        <v>460</v>
      </c>
      <c r="F196" t="s">
        <v>68</v>
      </c>
      <c r="G196" t="s">
        <v>295</v>
      </c>
      <c r="H196" t="s">
        <v>296</v>
      </c>
      <c r="I196" t="s">
        <v>71</v>
      </c>
      <c r="J196" t="s">
        <v>72</v>
      </c>
      <c r="K196" t="s">
        <v>73</v>
      </c>
      <c r="L196" t="s">
        <v>74</v>
      </c>
      <c r="M196" t="s">
        <v>461</v>
      </c>
      <c r="N196" t="s">
        <v>111</v>
      </c>
      <c r="O196" t="s">
        <v>462</v>
      </c>
      <c r="P196" t="s">
        <v>463</v>
      </c>
      <c r="Q196" t="s">
        <v>66</v>
      </c>
      <c r="R196" s="1">
        <v>46230</v>
      </c>
      <c r="S196" t="s">
        <v>464</v>
      </c>
      <c r="T196" t="s">
        <v>465</v>
      </c>
      <c r="U196" t="s">
        <v>66</v>
      </c>
      <c r="V196" t="s">
        <v>466</v>
      </c>
      <c r="W196" t="s">
        <v>66</v>
      </c>
      <c r="X196">
        <v>465900</v>
      </c>
      <c r="Y196">
        <v>51249</v>
      </c>
      <c r="Z196">
        <v>38800</v>
      </c>
      <c r="AA196">
        <v>4268</v>
      </c>
      <c r="AB196">
        <v>517149</v>
      </c>
      <c r="AC196">
        <v>2</v>
      </c>
      <c r="AD196" t="s">
        <v>82</v>
      </c>
      <c r="AE196">
        <v>2</v>
      </c>
      <c r="AF196" t="s">
        <v>281</v>
      </c>
      <c r="AG196">
        <f>IFERROR(VLOOKUP(AF196,[1]STOK!J:O,6,0),"")</f>
        <v>24</v>
      </c>
      <c r="AH196" s="2">
        <f t="shared" ref="AH196:AH259" si="6">AE196/AG196</f>
        <v>8.3333333333333329E-2</v>
      </c>
      <c r="AI196" t="s">
        <v>281</v>
      </c>
      <c r="AJ196" t="s">
        <v>282</v>
      </c>
      <c r="AK196" t="s">
        <v>283</v>
      </c>
      <c r="AL196" t="s">
        <v>86</v>
      </c>
      <c r="AM196">
        <v>21534</v>
      </c>
      <c r="AN196">
        <f t="shared" ref="AN196:AN259" si="7">BD196/AC196</f>
        <v>21534</v>
      </c>
      <c r="AO196" t="s">
        <v>66</v>
      </c>
      <c r="AP196">
        <v>0</v>
      </c>
      <c r="AQ196" t="s">
        <v>66</v>
      </c>
      <c r="AR196">
        <v>0</v>
      </c>
      <c r="AS196" t="s">
        <v>66</v>
      </c>
      <c r="AT196">
        <v>0</v>
      </c>
      <c r="AU196" t="s">
        <v>66</v>
      </c>
      <c r="AV196">
        <v>0</v>
      </c>
      <c r="AW196" t="s">
        <v>66</v>
      </c>
      <c r="AX196">
        <v>0</v>
      </c>
      <c r="AY196" t="s">
        <v>66</v>
      </c>
      <c r="AZ196">
        <v>0</v>
      </c>
      <c r="BA196" t="s">
        <v>66</v>
      </c>
      <c r="BB196">
        <v>0</v>
      </c>
      <c r="BC196">
        <v>0</v>
      </c>
      <c r="BD196">
        <v>43068</v>
      </c>
      <c r="BE196">
        <v>17182.330000000002</v>
      </c>
      <c r="BF196">
        <v>0</v>
      </c>
      <c r="BG196" t="s">
        <v>87</v>
      </c>
      <c r="BH196" t="s">
        <v>66</v>
      </c>
      <c r="BI196">
        <v>0</v>
      </c>
      <c r="BJ196" t="s">
        <v>66</v>
      </c>
      <c r="BK196" t="s">
        <v>88</v>
      </c>
      <c r="BL196" t="s">
        <v>66</v>
      </c>
      <c r="BM196" t="s">
        <v>89</v>
      </c>
    </row>
    <row r="197" spans="1:65" x14ac:dyDescent="0.25">
      <c r="A197">
        <v>195</v>
      </c>
      <c r="B197" t="s">
        <v>459</v>
      </c>
      <c r="C197" t="s">
        <v>68</v>
      </c>
      <c r="D197" s="1">
        <v>46230</v>
      </c>
      <c r="E197" t="s">
        <v>460</v>
      </c>
      <c r="F197" t="s">
        <v>68</v>
      </c>
      <c r="G197" t="s">
        <v>295</v>
      </c>
      <c r="H197" t="s">
        <v>296</v>
      </c>
      <c r="I197" t="s">
        <v>71</v>
      </c>
      <c r="J197" t="s">
        <v>72</v>
      </c>
      <c r="K197" t="s">
        <v>73</v>
      </c>
      <c r="L197" t="s">
        <v>74</v>
      </c>
      <c r="M197" t="s">
        <v>461</v>
      </c>
      <c r="N197" t="s">
        <v>111</v>
      </c>
      <c r="O197" t="s">
        <v>462</v>
      </c>
      <c r="P197" t="s">
        <v>463</v>
      </c>
      <c r="Q197" t="s">
        <v>66</v>
      </c>
      <c r="R197" s="1">
        <v>46230</v>
      </c>
      <c r="S197" t="s">
        <v>464</v>
      </c>
      <c r="T197" t="s">
        <v>465</v>
      </c>
      <c r="U197" t="s">
        <v>66</v>
      </c>
      <c r="V197" t="s">
        <v>466</v>
      </c>
      <c r="W197" t="s">
        <v>66</v>
      </c>
      <c r="X197">
        <v>465900</v>
      </c>
      <c r="Y197">
        <v>51249</v>
      </c>
      <c r="Z197">
        <v>44100</v>
      </c>
      <c r="AA197">
        <v>4851</v>
      </c>
      <c r="AB197">
        <v>517149</v>
      </c>
      <c r="AC197">
        <v>3</v>
      </c>
      <c r="AD197" t="s">
        <v>82</v>
      </c>
      <c r="AE197">
        <v>3</v>
      </c>
      <c r="AF197" t="s">
        <v>473</v>
      </c>
      <c r="AG197">
        <f>IFERROR(VLOOKUP(AF197,[1]STOK!J:O,6,0),"")</f>
        <v>12</v>
      </c>
      <c r="AH197" s="2">
        <f t="shared" si="6"/>
        <v>0.25</v>
      </c>
      <c r="AI197" t="s">
        <v>473</v>
      </c>
      <c r="AJ197" t="s">
        <v>474</v>
      </c>
      <c r="AK197" t="s">
        <v>475</v>
      </c>
      <c r="AL197" t="s">
        <v>86</v>
      </c>
      <c r="AM197">
        <v>16317</v>
      </c>
      <c r="AN197">
        <f t="shared" si="7"/>
        <v>16317</v>
      </c>
      <c r="AO197" t="s">
        <v>66</v>
      </c>
      <c r="AP197">
        <v>0</v>
      </c>
      <c r="AQ197" t="s">
        <v>66</v>
      </c>
      <c r="AR197">
        <v>0</v>
      </c>
      <c r="AS197" t="s">
        <v>66</v>
      </c>
      <c r="AT197">
        <v>0</v>
      </c>
      <c r="AU197" t="s">
        <v>66</v>
      </c>
      <c r="AV197">
        <v>0</v>
      </c>
      <c r="AW197" t="s">
        <v>66</v>
      </c>
      <c r="AX197">
        <v>0</v>
      </c>
      <c r="AY197" t="s">
        <v>66</v>
      </c>
      <c r="AZ197">
        <v>0</v>
      </c>
      <c r="BA197" t="s">
        <v>66</v>
      </c>
      <c r="BB197">
        <v>0</v>
      </c>
      <c r="BC197">
        <v>0</v>
      </c>
      <c r="BD197">
        <v>48951</v>
      </c>
      <c r="BE197">
        <v>13001.8</v>
      </c>
      <c r="BF197">
        <v>0</v>
      </c>
      <c r="BG197" t="s">
        <v>87</v>
      </c>
      <c r="BH197" t="s">
        <v>66</v>
      </c>
      <c r="BI197">
        <v>0</v>
      </c>
      <c r="BJ197" t="s">
        <v>66</v>
      </c>
      <c r="BK197" t="s">
        <v>88</v>
      </c>
      <c r="BL197" t="s">
        <v>66</v>
      </c>
      <c r="BM197" t="s">
        <v>89</v>
      </c>
    </row>
    <row r="198" spans="1:65" x14ac:dyDescent="0.25">
      <c r="A198">
        <v>196</v>
      </c>
      <c r="B198" t="s">
        <v>459</v>
      </c>
      <c r="C198" t="s">
        <v>68</v>
      </c>
      <c r="D198" s="1">
        <v>46230</v>
      </c>
      <c r="E198" t="s">
        <v>460</v>
      </c>
      <c r="F198" t="s">
        <v>68</v>
      </c>
      <c r="G198" t="s">
        <v>295</v>
      </c>
      <c r="H198" t="s">
        <v>296</v>
      </c>
      <c r="I198" t="s">
        <v>71</v>
      </c>
      <c r="J198" t="s">
        <v>72</v>
      </c>
      <c r="K198" t="s">
        <v>73</v>
      </c>
      <c r="L198" t="s">
        <v>74</v>
      </c>
      <c r="M198" t="s">
        <v>461</v>
      </c>
      <c r="N198" t="s">
        <v>111</v>
      </c>
      <c r="O198" t="s">
        <v>462</v>
      </c>
      <c r="P198" t="s">
        <v>463</v>
      </c>
      <c r="Q198" t="s">
        <v>66</v>
      </c>
      <c r="R198" s="1">
        <v>46230</v>
      </c>
      <c r="S198" t="s">
        <v>464</v>
      </c>
      <c r="T198" t="s">
        <v>465</v>
      </c>
      <c r="U198" t="s">
        <v>66</v>
      </c>
      <c r="V198" t="s">
        <v>466</v>
      </c>
      <c r="W198" t="s">
        <v>66</v>
      </c>
      <c r="X198">
        <v>465900</v>
      </c>
      <c r="Y198">
        <v>51249</v>
      </c>
      <c r="Z198">
        <v>39900</v>
      </c>
      <c r="AA198">
        <v>4389</v>
      </c>
      <c r="AB198">
        <v>517149</v>
      </c>
      <c r="AC198">
        <v>3</v>
      </c>
      <c r="AD198" t="s">
        <v>82</v>
      </c>
      <c r="AE198">
        <v>3</v>
      </c>
      <c r="AF198" t="s">
        <v>135</v>
      </c>
      <c r="AG198">
        <f>IFERROR(VLOOKUP(AF198,[1]STOK!J:O,6,0),"")</f>
        <v>12</v>
      </c>
      <c r="AH198" s="2">
        <f t="shared" si="6"/>
        <v>0.25</v>
      </c>
      <c r="AI198" t="s">
        <v>135</v>
      </c>
      <c r="AJ198" t="s">
        <v>136</v>
      </c>
      <c r="AK198" t="s">
        <v>137</v>
      </c>
      <c r="AL198" t="s">
        <v>86</v>
      </c>
      <c r="AM198">
        <v>14763</v>
      </c>
      <c r="AN198">
        <f t="shared" si="7"/>
        <v>14763</v>
      </c>
      <c r="AO198" t="s">
        <v>66</v>
      </c>
      <c r="AP198">
        <v>0</v>
      </c>
      <c r="AQ198" t="s">
        <v>66</v>
      </c>
      <c r="AR198">
        <v>0</v>
      </c>
      <c r="AS198" t="s">
        <v>66</v>
      </c>
      <c r="AT198">
        <v>0</v>
      </c>
      <c r="AU198" t="s">
        <v>66</v>
      </c>
      <c r="AV198">
        <v>0</v>
      </c>
      <c r="AW198" t="s">
        <v>66</v>
      </c>
      <c r="AX198">
        <v>0</v>
      </c>
      <c r="AY198" t="s">
        <v>66</v>
      </c>
      <c r="AZ198">
        <v>0</v>
      </c>
      <c r="BA198" t="s">
        <v>66</v>
      </c>
      <c r="BB198">
        <v>0</v>
      </c>
      <c r="BC198">
        <v>0</v>
      </c>
      <c r="BD198">
        <v>44289</v>
      </c>
      <c r="BE198">
        <v>12034.95</v>
      </c>
      <c r="BF198">
        <v>0</v>
      </c>
      <c r="BG198" t="s">
        <v>87</v>
      </c>
      <c r="BH198" t="s">
        <v>66</v>
      </c>
      <c r="BI198">
        <v>0</v>
      </c>
      <c r="BJ198" t="s">
        <v>66</v>
      </c>
      <c r="BK198" t="s">
        <v>88</v>
      </c>
      <c r="BL198" t="s">
        <v>66</v>
      </c>
      <c r="BM198" t="s">
        <v>89</v>
      </c>
    </row>
    <row r="199" spans="1:65" x14ac:dyDescent="0.25">
      <c r="A199">
        <v>197</v>
      </c>
      <c r="B199" t="s">
        <v>459</v>
      </c>
      <c r="C199" t="s">
        <v>68</v>
      </c>
      <c r="D199" s="1">
        <v>46230</v>
      </c>
      <c r="E199" t="s">
        <v>460</v>
      </c>
      <c r="F199" t="s">
        <v>68</v>
      </c>
      <c r="G199" t="s">
        <v>295</v>
      </c>
      <c r="H199" t="s">
        <v>296</v>
      </c>
      <c r="I199" t="s">
        <v>71</v>
      </c>
      <c r="J199" t="s">
        <v>72</v>
      </c>
      <c r="K199" t="s">
        <v>73</v>
      </c>
      <c r="L199" t="s">
        <v>74</v>
      </c>
      <c r="M199" t="s">
        <v>461</v>
      </c>
      <c r="N199" t="s">
        <v>111</v>
      </c>
      <c r="O199" t="s">
        <v>462</v>
      </c>
      <c r="P199" t="s">
        <v>463</v>
      </c>
      <c r="Q199" t="s">
        <v>66</v>
      </c>
      <c r="R199" s="1">
        <v>46230</v>
      </c>
      <c r="S199" t="s">
        <v>464</v>
      </c>
      <c r="T199" t="s">
        <v>465</v>
      </c>
      <c r="U199" t="s">
        <v>66</v>
      </c>
      <c r="V199" t="s">
        <v>466</v>
      </c>
      <c r="W199" t="s">
        <v>66</v>
      </c>
      <c r="X199">
        <v>465900</v>
      </c>
      <c r="Y199">
        <v>51249</v>
      </c>
      <c r="Z199">
        <v>67500</v>
      </c>
      <c r="AA199">
        <v>7425</v>
      </c>
      <c r="AB199">
        <v>517149</v>
      </c>
      <c r="AC199">
        <v>1</v>
      </c>
      <c r="AD199" t="s">
        <v>82</v>
      </c>
      <c r="AE199">
        <v>1</v>
      </c>
      <c r="AF199" t="s">
        <v>476</v>
      </c>
      <c r="AG199">
        <f>IFERROR(VLOOKUP(AF199,[1]STOK!J:O,6,0),"")</f>
        <v>4</v>
      </c>
      <c r="AH199" s="2">
        <f t="shared" si="6"/>
        <v>0.25</v>
      </c>
      <c r="AI199" t="s">
        <v>476</v>
      </c>
      <c r="AJ199" t="s">
        <v>477</v>
      </c>
      <c r="AK199" t="s">
        <v>478</v>
      </c>
      <c r="AL199" t="s">
        <v>86</v>
      </c>
      <c r="AM199">
        <v>74925</v>
      </c>
      <c r="AN199">
        <f t="shared" si="7"/>
        <v>74925</v>
      </c>
      <c r="AO199" t="s">
        <v>66</v>
      </c>
      <c r="AP199">
        <v>0</v>
      </c>
      <c r="AQ199" t="s">
        <v>66</v>
      </c>
      <c r="AR199">
        <v>0</v>
      </c>
      <c r="AS199" t="s">
        <v>66</v>
      </c>
      <c r="AT199">
        <v>0</v>
      </c>
      <c r="AU199" t="s">
        <v>66</v>
      </c>
      <c r="AV199">
        <v>0</v>
      </c>
      <c r="AW199" t="s">
        <v>66</v>
      </c>
      <c r="AX199">
        <v>0</v>
      </c>
      <c r="AY199" t="s">
        <v>66</v>
      </c>
      <c r="AZ199">
        <v>0</v>
      </c>
      <c r="BA199" t="s">
        <v>66</v>
      </c>
      <c r="BB199">
        <v>0</v>
      </c>
      <c r="BC199">
        <v>0</v>
      </c>
      <c r="BD199">
        <v>74925</v>
      </c>
      <c r="BE199">
        <v>59954.28</v>
      </c>
      <c r="BF199">
        <v>0</v>
      </c>
      <c r="BG199" t="s">
        <v>87</v>
      </c>
      <c r="BH199" t="s">
        <v>66</v>
      </c>
      <c r="BI199">
        <v>0</v>
      </c>
      <c r="BJ199" t="s">
        <v>66</v>
      </c>
      <c r="BK199" t="s">
        <v>88</v>
      </c>
      <c r="BL199" t="s">
        <v>66</v>
      </c>
      <c r="BM199" t="s">
        <v>89</v>
      </c>
    </row>
    <row r="200" spans="1:65" x14ac:dyDescent="0.25">
      <c r="A200">
        <v>198</v>
      </c>
      <c r="B200" t="s">
        <v>479</v>
      </c>
      <c r="C200" t="s">
        <v>68</v>
      </c>
      <c r="D200" s="1">
        <v>46234</v>
      </c>
      <c r="E200" t="s">
        <v>480</v>
      </c>
      <c r="F200" t="s">
        <v>68</v>
      </c>
      <c r="G200" t="s">
        <v>69</v>
      </c>
      <c r="H200" t="s">
        <v>70</v>
      </c>
      <c r="I200" t="s">
        <v>71</v>
      </c>
      <c r="J200" t="s">
        <v>72</v>
      </c>
      <c r="K200" t="s">
        <v>73</v>
      </c>
      <c r="L200" t="s">
        <v>74</v>
      </c>
      <c r="M200" t="s">
        <v>481</v>
      </c>
      <c r="N200" t="s">
        <v>111</v>
      </c>
      <c r="O200" t="s">
        <v>482</v>
      </c>
      <c r="P200" t="s">
        <v>483</v>
      </c>
      <c r="Q200" t="s">
        <v>66</v>
      </c>
      <c r="R200" s="1">
        <v>46234</v>
      </c>
      <c r="S200" t="s">
        <v>484</v>
      </c>
      <c r="T200" t="s">
        <v>483</v>
      </c>
      <c r="U200" t="s">
        <v>66</v>
      </c>
      <c r="V200" t="s">
        <v>485</v>
      </c>
      <c r="W200" t="s">
        <v>66</v>
      </c>
      <c r="X200">
        <v>1198278.5</v>
      </c>
      <c r="Y200">
        <v>131810.64000000001</v>
      </c>
      <c r="Z200">
        <v>22089</v>
      </c>
      <c r="AA200">
        <v>2429.79</v>
      </c>
      <c r="AB200">
        <v>1330089.1399999999</v>
      </c>
      <c r="AC200">
        <v>3</v>
      </c>
      <c r="AD200" t="s">
        <v>82</v>
      </c>
      <c r="AE200">
        <v>3</v>
      </c>
      <c r="AF200" t="s">
        <v>415</v>
      </c>
      <c r="AG200">
        <f>IFERROR(VLOOKUP(AF200,[1]STOK!J:O,6,0),"")</f>
        <v>24</v>
      </c>
      <c r="AH200" s="2">
        <f t="shared" si="6"/>
        <v>0.125</v>
      </c>
      <c r="AI200" t="s">
        <v>415</v>
      </c>
      <c r="AJ200" t="s">
        <v>416</v>
      </c>
      <c r="AK200" t="s">
        <v>417</v>
      </c>
      <c r="AL200" t="s">
        <v>86</v>
      </c>
      <c r="AM200">
        <v>8214</v>
      </c>
      <c r="AN200">
        <f t="shared" si="7"/>
        <v>8172.93</v>
      </c>
      <c r="AO200" t="s">
        <v>66</v>
      </c>
      <c r="AP200">
        <v>0.5</v>
      </c>
      <c r="AQ200" t="s">
        <v>66</v>
      </c>
      <c r="AR200">
        <v>0</v>
      </c>
      <c r="AS200" t="s">
        <v>66</v>
      </c>
      <c r="AT200">
        <v>0</v>
      </c>
      <c r="AU200" t="s">
        <v>66</v>
      </c>
      <c r="AV200">
        <v>0</v>
      </c>
      <c r="AW200" t="s">
        <v>66</v>
      </c>
      <c r="AX200">
        <v>0</v>
      </c>
      <c r="AY200" t="s">
        <v>66</v>
      </c>
      <c r="AZ200">
        <v>0</v>
      </c>
      <c r="BA200" t="s">
        <v>66</v>
      </c>
      <c r="BB200">
        <v>0</v>
      </c>
      <c r="BC200">
        <v>0</v>
      </c>
      <c r="BD200">
        <v>24518.79</v>
      </c>
      <c r="BE200">
        <v>6596.76</v>
      </c>
      <c r="BF200">
        <v>0</v>
      </c>
      <c r="BG200" t="s">
        <v>87</v>
      </c>
      <c r="BH200" t="s">
        <v>66</v>
      </c>
      <c r="BI200">
        <v>0</v>
      </c>
      <c r="BJ200" t="s">
        <v>66</v>
      </c>
      <c r="BK200" t="s">
        <v>88</v>
      </c>
      <c r="BL200" t="s">
        <v>66</v>
      </c>
      <c r="BM200" t="s">
        <v>89</v>
      </c>
    </row>
    <row r="201" spans="1:65" x14ac:dyDescent="0.25">
      <c r="A201">
        <v>199</v>
      </c>
      <c r="B201" t="s">
        <v>479</v>
      </c>
      <c r="C201" t="s">
        <v>68</v>
      </c>
      <c r="D201" s="1">
        <v>46234</v>
      </c>
      <c r="E201" t="s">
        <v>480</v>
      </c>
      <c r="F201" t="s">
        <v>68</v>
      </c>
      <c r="G201" t="s">
        <v>69</v>
      </c>
      <c r="H201" t="s">
        <v>70</v>
      </c>
      <c r="I201" t="s">
        <v>71</v>
      </c>
      <c r="J201" t="s">
        <v>72</v>
      </c>
      <c r="K201" t="s">
        <v>73</v>
      </c>
      <c r="L201" t="s">
        <v>74</v>
      </c>
      <c r="M201" t="s">
        <v>481</v>
      </c>
      <c r="N201" t="s">
        <v>111</v>
      </c>
      <c r="O201" t="s">
        <v>482</v>
      </c>
      <c r="P201" t="s">
        <v>483</v>
      </c>
      <c r="Q201" t="s">
        <v>66</v>
      </c>
      <c r="R201" s="1">
        <v>46234</v>
      </c>
      <c r="S201" t="s">
        <v>484</v>
      </c>
      <c r="T201" t="s">
        <v>483</v>
      </c>
      <c r="U201" t="s">
        <v>66</v>
      </c>
      <c r="V201" t="s">
        <v>485</v>
      </c>
      <c r="W201" t="s">
        <v>66</v>
      </c>
      <c r="X201">
        <v>1198278.5</v>
      </c>
      <c r="Y201">
        <v>131810.64000000001</v>
      </c>
      <c r="Z201">
        <v>22089</v>
      </c>
      <c r="AA201">
        <v>2429.79</v>
      </c>
      <c r="AB201">
        <v>1330089.1399999999</v>
      </c>
      <c r="AC201">
        <v>3</v>
      </c>
      <c r="AD201" t="s">
        <v>82</v>
      </c>
      <c r="AE201">
        <v>3</v>
      </c>
      <c r="AF201" t="s">
        <v>262</v>
      </c>
      <c r="AG201">
        <f>IFERROR(VLOOKUP(AF201,[1]STOK!J:O,6,0),"")</f>
        <v>24</v>
      </c>
      <c r="AH201" s="2">
        <f t="shared" si="6"/>
        <v>0.125</v>
      </c>
      <c r="AI201" t="s">
        <v>262</v>
      </c>
      <c r="AJ201" t="s">
        <v>263</v>
      </c>
      <c r="AK201" t="s">
        <v>264</v>
      </c>
      <c r="AL201" t="s">
        <v>86</v>
      </c>
      <c r="AM201">
        <v>8214</v>
      </c>
      <c r="AN201">
        <f t="shared" si="7"/>
        <v>8172.93</v>
      </c>
      <c r="AO201" t="s">
        <v>66</v>
      </c>
      <c r="AP201">
        <v>0.5</v>
      </c>
      <c r="AQ201" t="s">
        <v>66</v>
      </c>
      <c r="AR201">
        <v>0</v>
      </c>
      <c r="AS201" t="s">
        <v>66</v>
      </c>
      <c r="AT201">
        <v>0</v>
      </c>
      <c r="AU201" t="s">
        <v>66</v>
      </c>
      <c r="AV201">
        <v>0</v>
      </c>
      <c r="AW201" t="s">
        <v>66</v>
      </c>
      <c r="AX201">
        <v>0</v>
      </c>
      <c r="AY201" t="s">
        <v>66</v>
      </c>
      <c r="AZ201">
        <v>0</v>
      </c>
      <c r="BA201" t="s">
        <v>66</v>
      </c>
      <c r="BB201">
        <v>0</v>
      </c>
      <c r="BC201">
        <v>0</v>
      </c>
      <c r="BD201">
        <v>24518.79</v>
      </c>
      <c r="BE201">
        <v>6675.26</v>
      </c>
      <c r="BF201">
        <v>0</v>
      </c>
      <c r="BG201" t="s">
        <v>87</v>
      </c>
      <c r="BH201" t="s">
        <v>66</v>
      </c>
      <c r="BI201">
        <v>0</v>
      </c>
      <c r="BJ201" t="s">
        <v>66</v>
      </c>
      <c r="BK201" t="s">
        <v>88</v>
      </c>
      <c r="BL201" t="s">
        <v>66</v>
      </c>
      <c r="BM201" t="s">
        <v>89</v>
      </c>
    </row>
    <row r="202" spans="1:65" x14ac:dyDescent="0.25">
      <c r="A202">
        <v>200</v>
      </c>
      <c r="B202" t="s">
        <v>479</v>
      </c>
      <c r="C202" t="s">
        <v>68</v>
      </c>
      <c r="D202" s="1">
        <v>46234</v>
      </c>
      <c r="E202" t="s">
        <v>480</v>
      </c>
      <c r="F202" t="s">
        <v>68</v>
      </c>
      <c r="G202" t="s">
        <v>69</v>
      </c>
      <c r="H202" t="s">
        <v>70</v>
      </c>
      <c r="I202" t="s">
        <v>71</v>
      </c>
      <c r="J202" t="s">
        <v>72</v>
      </c>
      <c r="K202" t="s">
        <v>73</v>
      </c>
      <c r="L202" t="s">
        <v>74</v>
      </c>
      <c r="M202" t="s">
        <v>481</v>
      </c>
      <c r="N202" t="s">
        <v>111</v>
      </c>
      <c r="O202" t="s">
        <v>482</v>
      </c>
      <c r="P202" t="s">
        <v>483</v>
      </c>
      <c r="Q202" t="s">
        <v>66</v>
      </c>
      <c r="R202" s="1">
        <v>46234</v>
      </c>
      <c r="S202" t="s">
        <v>484</v>
      </c>
      <c r="T202" t="s">
        <v>483</v>
      </c>
      <c r="U202" t="s">
        <v>66</v>
      </c>
      <c r="V202" t="s">
        <v>485</v>
      </c>
      <c r="W202" t="s">
        <v>66</v>
      </c>
      <c r="X202">
        <v>1198278.5</v>
      </c>
      <c r="Y202">
        <v>131810.64000000001</v>
      </c>
      <c r="Z202">
        <v>22089</v>
      </c>
      <c r="AA202">
        <v>2429.79</v>
      </c>
      <c r="AB202">
        <v>1330089.1399999999</v>
      </c>
      <c r="AC202">
        <v>3</v>
      </c>
      <c r="AD202" t="s">
        <v>82</v>
      </c>
      <c r="AE202">
        <v>3</v>
      </c>
      <c r="AF202" t="s">
        <v>265</v>
      </c>
      <c r="AG202">
        <f>IFERROR(VLOOKUP(AF202,[1]STOK!J:O,6,0),"")</f>
        <v>24</v>
      </c>
      <c r="AH202" s="2">
        <f t="shared" si="6"/>
        <v>0.125</v>
      </c>
      <c r="AI202" t="s">
        <v>265</v>
      </c>
      <c r="AJ202" t="s">
        <v>266</v>
      </c>
      <c r="AK202" t="s">
        <v>267</v>
      </c>
      <c r="AL202" t="s">
        <v>86</v>
      </c>
      <c r="AM202">
        <v>8214</v>
      </c>
      <c r="AN202">
        <f t="shared" si="7"/>
        <v>8172.93</v>
      </c>
      <c r="AO202" t="s">
        <v>66</v>
      </c>
      <c r="AP202">
        <v>0.5</v>
      </c>
      <c r="AQ202" t="s">
        <v>66</v>
      </c>
      <c r="AR202">
        <v>0</v>
      </c>
      <c r="AS202" t="s">
        <v>66</v>
      </c>
      <c r="AT202">
        <v>0</v>
      </c>
      <c r="AU202" t="s">
        <v>66</v>
      </c>
      <c r="AV202">
        <v>0</v>
      </c>
      <c r="AW202" t="s">
        <v>66</v>
      </c>
      <c r="AX202">
        <v>0</v>
      </c>
      <c r="AY202" t="s">
        <v>66</v>
      </c>
      <c r="AZ202">
        <v>0</v>
      </c>
      <c r="BA202" t="s">
        <v>66</v>
      </c>
      <c r="BB202">
        <v>0</v>
      </c>
      <c r="BC202">
        <v>0</v>
      </c>
      <c r="BD202">
        <v>24518.79</v>
      </c>
      <c r="BE202">
        <v>6567.79</v>
      </c>
      <c r="BF202">
        <v>0</v>
      </c>
      <c r="BG202" t="s">
        <v>87</v>
      </c>
      <c r="BH202" t="s">
        <v>66</v>
      </c>
      <c r="BI202">
        <v>0</v>
      </c>
      <c r="BJ202" t="s">
        <v>66</v>
      </c>
      <c r="BK202" t="s">
        <v>88</v>
      </c>
      <c r="BL202" t="s">
        <v>66</v>
      </c>
      <c r="BM202" t="s">
        <v>89</v>
      </c>
    </row>
    <row r="203" spans="1:65" x14ac:dyDescent="0.25">
      <c r="A203">
        <v>201</v>
      </c>
      <c r="B203" t="s">
        <v>479</v>
      </c>
      <c r="C203" t="s">
        <v>68</v>
      </c>
      <c r="D203" s="1">
        <v>46234</v>
      </c>
      <c r="E203" t="s">
        <v>480</v>
      </c>
      <c r="F203" t="s">
        <v>68</v>
      </c>
      <c r="G203" t="s">
        <v>69</v>
      </c>
      <c r="H203" t="s">
        <v>70</v>
      </c>
      <c r="I203" t="s">
        <v>71</v>
      </c>
      <c r="J203" t="s">
        <v>72</v>
      </c>
      <c r="K203" t="s">
        <v>73</v>
      </c>
      <c r="L203" t="s">
        <v>74</v>
      </c>
      <c r="M203" t="s">
        <v>481</v>
      </c>
      <c r="N203" t="s">
        <v>111</v>
      </c>
      <c r="O203" t="s">
        <v>482</v>
      </c>
      <c r="P203" t="s">
        <v>483</v>
      </c>
      <c r="Q203" t="s">
        <v>66</v>
      </c>
      <c r="R203" s="1">
        <v>46234</v>
      </c>
      <c r="S203" t="s">
        <v>484</v>
      </c>
      <c r="T203" t="s">
        <v>483</v>
      </c>
      <c r="U203" t="s">
        <v>66</v>
      </c>
      <c r="V203" t="s">
        <v>485</v>
      </c>
      <c r="W203" t="s">
        <v>66</v>
      </c>
      <c r="X203">
        <v>1198278.5</v>
      </c>
      <c r="Y203">
        <v>131810.64000000001</v>
      </c>
      <c r="Z203">
        <v>44178</v>
      </c>
      <c r="AA203">
        <v>4859.58</v>
      </c>
      <c r="AB203">
        <v>1330089.1399999999</v>
      </c>
      <c r="AC203">
        <v>3</v>
      </c>
      <c r="AD203" t="s">
        <v>82</v>
      </c>
      <c r="AE203">
        <v>3</v>
      </c>
      <c r="AF203" t="s">
        <v>486</v>
      </c>
      <c r="AG203">
        <f>IFERROR(VLOOKUP(AF203,[1]STOK!J:O,6,0),"")</f>
        <v>12</v>
      </c>
      <c r="AH203" s="2">
        <f t="shared" si="6"/>
        <v>0.25</v>
      </c>
      <c r="AI203" t="s">
        <v>486</v>
      </c>
      <c r="AJ203" t="s">
        <v>487</v>
      </c>
      <c r="AK203" t="s">
        <v>488</v>
      </c>
      <c r="AL203" t="s">
        <v>86</v>
      </c>
      <c r="AM203">
        <v>16428</v>
      </c>
      <c r="AN203">
        <f t="shared" si="7"/>
        <v>16345.86</v>
      </c>
      <c r="AO203" t="s">
        <v>66</v>
      </c>
      <c r="AP203">
        <v>0.5</v>
      </c>
      <c r="AQ203" t="s">
        <v>66</v>
      </c>
      <c r="AR203">
        <v>0</v>
      </c>
      <c r="AS203" t="s">
        <v>66</v>
      </c>
      <c r="AT203">
        <v>0</v>
      </c>
      <c r="AU203" t="s">
        <v>66</v>
      </c>
      <c r="AV203">
        <v>0</v>
      </c>
      <c r="AW203" t="s">
        <v>66</v>
      </c>
      <c r="AX203">
        <v>0</v>
      </c>
      <c r="AY203" t="s">
        <v>66</v>
      </c>
      <c r="AZ203">
        <v>0</v>
      </c>
      <c r="BA203" t="s">
        <v>66</v>
      </c>
      <c r="BB203">
        <v>0</v>
      </c>
      <c r="BC203">
        <v>0</v>
      </c>
      <c r="BD203">
        <v>49037.58</v>
      </c>
      <c r="BE203">
        <v>12867.01</v>
      </c>
      <c r="BF203">
        <v>0</v>
      </c>
      <c r="BG203" t="s">
        <v>87</v>
      </c>
      <c r="BH203" t="s">
        <v>66</v>
      </c>
      <c r="BI203">
        <v>0</v>
      </c>
      <c r="BJ203" t="s">
        <v>66</v>
      </c>
      <c r="BK203" t="s">
        <v>88</v>
      </c>
      <c r="BL203" t="s">
        <v>66</v>
      </c>
      <c r="BM203" t="s">
        <v>89</v>
      </c>
    </row>
    <row r="204" spans="1:65" x14ac:dyDescent="0.25">
      <c r="A204">
        <v>202</v>
      </c>
      <c r="B204" t="s">
        <v>479</v>
      </c>
      <c r="C204" t="s">
        <v>68</v>
      </c>
      <c r="D204" s="1">
        <v>46234</v>
      </c>
      <c r="E204" t="s">
        <v>480</v>
      </c>
      <c r="F204" t="s">
        <v>68</v>
      </c>
      <c r="G204" t="s">
        <v>69</v>
      </c>
      <c r="H204" t="s">
        <v>70</v>
      </c>
      <c r="I204" t="s">
        <v>71</v>
      </c>
      <c r="J204" t="s">
        <v>72</v>
      </c>
      <c r="K204" t="s">
        <v>73</v>
      </c>
      <c r="L204" t="s">
        <v>74</v>
      </c>
      <c r="M204" t="s">
        <v>481</v>
      </c>
      <c r="N204" t="s">
        <v>111</v>
      </c>
      <c r="O204" t="s">
        <v>482</v>
      </c>
      <c r="P204" t="s">
        <v>483</v>
      </c>
      <c r="Q204" t="s">
        <v>66</v>
      </c>
      <c r="R204" s="1">
        <v>46234</v>
      </c>
      <c r="S204" t="s">
        <v>484</v>
      </c>
      <c r="T204" t="s">
        <v>483</v>
      </c>
      <c r="U204" t="s">
        <v>66</v>
      </c>
      <c r="V204" t="s">
        <v>485</v>
      </c>
      <c r="W204" t="s">
        <v>66</v>
      </c>
      <c r="X204">
        <v>1198278.5</v>
      </c>
      <c r="Y204">
        <v>131810.64000000001</v>
      </c>
      <c r="Z204">
        <v>11940</v>
      </c>
      <c r="AA204">
        <v>1313.4</v>
      </c>
      <c r="AB204">
        <v>1330089.1399999999</v>
      </c>
      <c r="AC204">
        <v>24</v>
      </c>
      <c r="AD204" t="s">
        <v>82</v>
      </c>
      <c r="AE204">
        <v>24</v>
      </c>
      <c r="AF204" t="s">
        <v>489</v>
      </c>
      <c r="AG204">
        <f>IFERROR(VLOOKUP(AF204,[1]STOK!J:O,6,0),"")</f>
        <v>432</v>
      </c>
      <c r="AH204" s="2">
        <f t="shared" si="6"/>
        <v>5.5555555555555552E-2</v>
      </c>
      <c r="AI204" t="s">
        <v>489</v>
      </c>
      <c r="AJ204" t="s">
        <v>490</v>
      </c>
      <c r="AK204" t="s">
        <v>491</v>
      </c>
      <c r="AL204" t="s">
        <v>86</v>
      </c>
      <c r="AM204">
        <v>555</v>
      </c>
      <c r="AN204">
        <f t="shared" si="7"/>
        <v>552.22500000000002</v>
      </c>
      <c r="AO204" t="s">
        <v>66</v>
      </c>
      <c r="AP204">
        <v>0.5</v>
      </c>
      <c r="AQ204" t="s">
        <v>66</v>
      </c>
      <c r="AR204">
        <v>0</v>
      </c>
      <c r="AS204" t="s">
        <v>66</v>
      </c>
      <c r="AT204">
        <v>0</v>
      </c>
      <c r="AU204" t="s">
        <v>66</v>
      </c>
      <c r="AV204">
        <v>0</v>
      </c>
      <c r="AW204" t="s">
        <v>66</v>
      </c>
      <c r="AX204">
        <v>0</v>
      </c>
      <c r="AY204" t="s">
        <v>66</v>
      </c>
      <c r="AZ204">
        <v>0</v>
      </c>
      <c r="BA204" t="s">
        <v>66</v>
      </c>
      <c r="BB204">
        <v>0</v>
      </c>
      <c r="BC204">
        <v>0</v>
      </c>
      <c r="BD204">
        <v>13253.4</v>
      </c>
      <c r="BE204">
        <v>407.22</v>
      </c>
      <c r="BF204">
        <v>0</v>
      </c>
      <c r="BG204" t="s">
        <v>87</v>
      </c>
      <c r="BH204" t="s">
        <v>66</v>
      </c>
      <c r="BI204">
        <v>0</v>
      </c>
      <c r="BJ204" t="s">
        <v>66</v>
      </c>
      <c r="BK204" t="s">
        <v>88</v>
      </c>
      <c r="BL204" t="s">
        <v>66</v>
      </c>
      <c r="BM204" t="s">
        <v>89</v>
      </c>
    </row>
    <row r="205" spans="1:65" x14ac:dyDescent="0.25">
      <c r="A205">
        <v>203</v>
      </c>
      <c r="B205" t="s">
        <v>479</v>
      </c>
      <c r="C205" t="s">
        <v>68</v>
      </c>
      <c r="D205" s="1">
        <v>46234</v>
      </c>
      <c r="E205" t="s">
        <v>480</v>
      </c>
      <c r="F205" t="s">
        <v>68</v>
      </c>
      <c r="G205" t="s">
        <v>69</v>
      </c>
      <c r="H205" t="s">
        <v>70</v>
      </c>
      <c r="I205" t="s">
        <v>71</v>
      </c>
      <c r="J205" t="s">
        <v>72</v>
      </c>
      <c r="K205" t="s">
        <v>73</v>
      </c>
      <c r="L205" t="s">
        <v>74</v>
      </c>
      <c r="M205" t="s">
        <v>481</v>
      </c>
      <c r="N205" t="s">
        <v>111</v>
      </c>
      <c r="O205" t="s">
        <v>482</v>
      </c>
      <c r="P205" t="s">
        <v>483</v>
      </c>
      <c r="Q205" t="s">
        <v>66</v>
      </c>
      <c r="R205" s="1">
        <v>46234</v>
      </c>
      <c r="S205" t="s">
        <v>484</v>
      </c>
      <c r="T205" t="s">
        <v>483</v>
      </c>
      <c r="U205" t="s">
        <v>66</v>
      </c>
      <c r="V205" t="s">
        <v>485</v>
      </c>
      <c r="W205" t="s">
        <v>66</v>
      </c>
      <c r="X205">
        <v>1198278.5</v>
      </c>
      <c r="Y205">
        <v>131810.64000000001</v>
      </c>
      <c r="Z205">
        <v>11940</v>
      </c>
      <c r="AA205">
        <v>1313.4</v>
      </c>
      <c r="AB205">
        <v>1330089.1399999999</v>
      </c>
      <c r="AC205">
        <v>24</v>
      </c>
      <c r="AD205" t="s">
        <v>82</v>
      </c>
      <c r="AE205">
        <v>24</v>
      </c>
      <c r="AF205" t="s">
        <v>492</v>
      </c>
      <c r="AG205">
        <f>IFERROR(VLOOKUP(AF205,[1]STOK!J:O,6,0),"")</f>
        <v>432</v>
      </c>
      <c r="AH205" s="2">
        <f t="shared" si="6"/>
        <v>5.5555555555555552E-2</v>
      </c>
      <c r="AI205" t="s">
        <v>492</v>
      </c>
      <c r="AJ205" t="s">
        <v>493</v>
      </c>
      <c r="AK205" t="s">
        <v>494</v>
      </c>
      <c r="AL205" t="s">
        <v>86</v>
      </c>
      <c r="AM205">
        <v>555</v>
      </c>
      <c r="AN205">
        <f t="shared" si="7"/>
        <v>552.22500000000002</v>
      </c>
      <c r="AO205" t="s">
        <v>66</v>
      </c>
      <c r="AP205">
        <v>0.5</v>
      </c>
      <c r="AQ205" t="s">
        <v>66</v>
      </c>
      <c r="AR205">
        <v>0</v>
      </c>
      <c r="AS205" t="s">
        <v>66</v>
      </c>
      <c r="AT205">
        <v>0</v>
      </c>
      <c r="AU205" t="s">
        <v>66</v>
      </c>
      <c r="AV205">
        <v>0</v>
      </c>
      <c r="AW205" t="s">
        <v>66</v>
      </c>
      <c r="AX205">
        <v>0</v>
      </c>
      <c r="AY205" t="s">
        <v>66</v>
      </c>
      <c r="AZ205">
        <v>0</v>
      </c>
      <c r="BA205" t="s">
        <v>66</v>
      </c>
      <c r="BB205">
        <v>0</v>
      </c>
      <c r="BC205">
        <v>0</v>
      </c>
      <c r="BD205">
        <v>13253.4</v>
      </c>
      <c r="BE205">
        <v>407.45</v>
      </c>
      <c r="BF205">
        <v>0</v>
      </c>
      <c r="BG205" t="s">
        <v>87</v>
      </c>
      <c r="BH205" t="s">
        <v>66</v>
      </c>
      <c r="BI205">
        <v>0</v>
      </c>
      <c r="BJ205" t="s">
        <v>66</v>
      </c>
      <c r="BK205" t="s">
        <v>88</v>
      </c>
      <c r="BL205" t="s">
        <v>66</v>
      </c>
      <c r="BM205" t="s">
        <v>89</v>
      </c>
    </row>
    <row r="206" spans="1:65" x14ac:dyDescent="0.25">
      <c r="A206">
        <v>204</v>
      </c>
      <c r="B206" t="s">
        <v>479</v>
      </c>
      <c r="C206" t="s">
        <v>68</v>
      </c>
      <c r="D206" s="1">
        <v>46234</v>
      </c>
      <c r="E206" t="s">
        <v>480</v>
      </c>
      <c r="F206" t="s">
        <v>68</v>
      </c>
      <c r="G206" t="s">
        <v>69</v>
      </c>
      <c r="H206" t="s">
        <v>70</v>
      </c>
      <c r="I206" t="s">
        <v>71</v>
      </c>
      <c r="J206" t="s">
        <v>72</v>
      </c>
      <c r="K206" t="s">
        <v>73</v>
      </c>
      <c r="L206" t="s">
        <v>74</v>
      </c>
      <c r="M206" t="s">
        <v>481</v>
      </c>
      <c r="N206" t="s">
        <v>111</v>
      </c>
      <c r="O206" t="s">
        <v>482</v>
      </c>
      <c r="P206" t="s">
        <v>483</v>
      </c>
      <c r="Q206" t="s">
        <v>66</v>
      </c>
      <c r="R206" s="1">
        <v>46234</v>
      </c>
      <c r="S206" t="s">
        <v>484</v>
      </c>
      <c r="T206" t="s">
        <v>483</v>
      </c>
      <c r="U206" t="s">
        <v>66</v>
      </c>
      <c r="V206" t="s">
        <v>485</v>
      </c>
      <c r="W206" t="s">
        <v>66</v>
      </c>
      <c r="X206">
        <v>1198278.5</v>
      </c>
      <c r="Y206">
        <v>131810.64000000001</v>
      </c>
      <c r="Z206">
        <v>33730.5</v>
      </c>
      <c r="AA206">
        <v>3710.36</v>
      </c>
      <c r="AB206">
        <v>1330089.1399999999</v>
      </c>
      <c r="AC206">
        <v>3</v>
      </c>
      <c r="AD206" t="s">
        <v>82</v>
      </c>
      <c r="AE206">
        <v>3</v>
      </c>
      <c r="AF206" t="s">
        <v>122</v>
      </c>
      <c r="AG206">
        <f>IFERROR(VLOOKUP(AF206,[1]STOK!J:O,6,0),"")</f>
        <v>24</v>
      </c>
      <c r="AH206" s="2">
        <f t="shared" si="6"/>
        <v>0.125</v>
      </c>
      <c r="AI206" t="s">
        <v>122</v>
      </c>
      <c r="AJ206" t="s">
        <v>123</v>
      </c>
      <c r="AK206" t="s">
        <v>124</v>
      </c>
      <c r="AL206" t="s">
        <v>86</v>
      </c>
      <c r="AM206">
        <v>12543</v>
      </c>
      <c r="AN206">
        <f t="shared" si="7"/>
        <v>12480.286666666667</v>
      </c>
      <c r="AO206" t="s">
        <v>66</v>
      </c>
      <c r="AP206">
        <v>0.5</v>
      </c>
      <c r="AQ206" t="s">
        <v>66</v>
      </c>
      <c r="AR206">
        <v>0</v>
      </c>
      <c r="AS206" t="s">
        <v>66</v>
      </c>
      <c r="AT206">
        <v>0</v>
      </c>
      <c r="AU206" t="s">
        <v>66</v>
      </c>
      <c r="AV206">
        <v>0</v>
      </c>
      <c r="AW206" t="s">
        <v>66</v>
      </c>
      <c r="AX206">
        <v>0</v>
      </c>
      <c r="AY206" t="s">
        <v>66</v>
      </c>
      <c r="AZ206">
        <v>0</v>
      </c>
      <c r="BA206" t="s">
        <v>66</v>
      </c>
      <c r="BB206">
        <v>0</v>
      </c>
      <c r="BC206">
        <v>0</v>
      </c>
      <c r="BD206">
        <v>37440.86</v>
      </c>
      <c r="BE206">
        <v>10097.709999999999</v>
      </c>
      <c r="BF206">
        <v>0</v>
      </c>
      <c r="BG206" t="s">
        <v>87</v>
      </c>
      <c r="BH206" t="s">
        <v>66</v>
      </c>
      <c r="BI206">
        <v>0</v>
      </c>
      <c r="BJ206" t="s">
        <v>66</v>
      </c>
      <c r="BK206" t="s">
        <v>88</v>
      </c>
      <c r="BL206" t="s">
        <v>66</v>
      </c>
      <c r="BM206" t="s">
        <v>89</v>
      </c>
    </row>
    <row r="207" spans="1:65" x14ac:dyDescent="0.25">
      <c r="A207">
        <v>205</v>
      </c>
      <c r="B207" t="s">
        <v>479</v>
      </c>
      <c r="C207" t="s">
        <v>68</v>
      </c>
      <c r="D207" s="1">
        <v>46234</v>
      </c>
      <c r="E207" t="s">
        <v>480</v>
      </c>
      <c r="F207" t="s">
        <v>68</v>
      </c>
      <c r="G207" t="s">
        <v>69</v>
      </c>
      <c r="H207" t="s">
        <v>70</v>
      </c>
      <c r="I207" t="s">
        <v>71</v>
      </c>
      <c r="J207" t="s">
        <v>72</v>
      </c>
      <c r="K207" t="s">
        <v>73</v>
      </c>
      <c r="L207" t="s">
        <v>74</v>
      </c>
      <c r="M207" t="s">
        <v>481</v>
      </c>
      <c r="N207" t="s">
        <v>111</v>
      </c>
      <c r="O207" t="s">
        <v>482</v>
      </c>
      <c r="P207" t="s">
        <v>483</v>
      </c>
      <c r="Q207" t="s">
        <v>66</v>
      </c>
      <c r="R207" s="1">
        <v>46234</v>
      </c>
      <c r="S207" t="s">
        <v>484</v>
      </c>
      <c r="T207" t="s">
        <v>483</v>
      </c>
      <c r="U207" t="s">
        <v>66</v>
      </c>
      <c r="V207" t="s">
        <v>485</v>
      </c>
      <c r="W207" t="s">
        <v>66</v>
      </c>
      <c r="X207">
        <v>1198278.5</v>
      </c>
      <c r="Y207">
        <v>131810.64000000001</v>
      </c>
      <c r="Z207">
        <v>17014.5</v>
      </c>
      <c r="AA207">
        <v>1871.6</v>
      </c>
      <c r="AB207">
        <v>1330089.1399999999</v>
      </c>
      <c r="AC207">
        <v>3</v>
      </c>
      <c r="AD207" t="s">
        <v>82</v>
      </c>
      <c r="AE207">
        <v>3</v>
      </c>
      <c r="AF207" t="s">
        <v>90</v>
      </c>
      <c r="AG207">
        <f>IFERROR(VLOOKUP(AF207,[1]STOK!J:O,6,0),"")</f>
        <v>48</v>
      </c>
      <c r="AH207" s="2">
        <f t="shared" si="6"/>
        <v>6.25E-2</v>
      </c>
      <c r="AI207" t="s">
        <v>90</v>
      </c>
      <c r="AJ207" t="s">
        <v>91</v>
      </c>
      <c r="AK207" t="s">
        <v>92</v>
      </c>
      <c r="AL207" t="s">
        <v>86</v>
      </c>
      <c r="AM207">
        <v>6327</v>
      </c>
      <c r="AN207">
        <f t="shared" si="7"/>
        <v>6295.3666666666659</v>
      </c>
      <c r="AO207" t="s">
        <v>66</v>
      </c>
      <c r="AP207">
        <v>0.5</v>
      </c>
      <c r="AQ207" t="s">
        <v>66</v>
      </c>
      <c r="AR207">
        <v>0</v>
      </c>
      <c r="AS207" t="s">
        <v>66</v>
      </c>
      <c r="AT207">
        <v>0</v>
      </c>
      <c r="AU207" t="s">
        <v>66</v>
      </c>
      <c r="AV207">
        <v>0</v>
      </c>
      <c r="AW207" t="s">
        <v>66</v>
      </c>
      <c r="AX207">
        <v>0</v>
      </c>
      <c r="AY207" t="s">
        <v>66</v>
      </c>
      <c r="AZ207">
        <v>0</v>
      </c>
      <c r="BA207" t="s">
        <v>66</v>
      </c>
      <c r="BB207">
        <v>0</v>
      </c>
      <c r="BC207">
        <v>0</v>
      </c>
      <c r="BD207">
        <v>18886.099999999999</v>
      </c>
      <c r="BE207">
        <v>4964.97</v>
      </c>
      <c r="BF207">
        <v>0</v>
      </c>
      <c r="BG207" t="s">
        <v>87</v>
      </c>
      <c r="BH207" t="s">
        <v>66</v>
      </c>
      <c r="BI207">
        <v>0</v>
      </c>
      <c r="BJ207" t="s">
        <v>66</v>
      </c>
      <c r="BK207" t="s">
        <v>88</v>
      </c>
      <c r="BL207" t="s">
        <v>66</v>
      </c>
      <c r="BM207" t="s">
        <v>89</v>
      </c>
    </row>
    <row r="208" spans="1:65" x14ac:dyDescent="0.25">
      <c r="A208">
        <v>206</v>
      </c>
      <c r="B208" t="s">
        <v>479</v>
      </c>
      <c r="C208" t="s">
        <v>68</v>
      </c>
      <c r="D208" s="1">
        <v>46234</v>
      </c>
      <c r="E208" t="s">
        <v>480</v>
      </c>
      <c r="F208" t="s">
        <v>68</v>
      </c>
      <c r="G208" t="s">
        <v>69</v>
      </c>
      <c r="H208" t="s">
        <v>70</v>
      </c>
      <c r="I208" t="s">
        <v>71</v>
      </c>
      <c r="J208" t="s">
        <v>72</v>
      </c>
      <c r="K208" t="s">
        <v>73</v>
      </c>
      <c r="L208" t="s">
        <v>74</v>
      </c>
      <c r="M208" t="s">
        <v>481</v>
      </c>
      <c r="N208" t="s">
        <v>111</v>
      </c>
      <c r="O208" t="s">
        <v>482</v>
      </c>
      <c r="P208" t="s">
        <v>483</v>
      </c>
      <c r="Q208" t="s">
        <v>66</v>
      </c>
      <c r="R208" s="1">
        <v>46234</v>
      </c>
      <c r="S208" t="s">
        <v>484</v>
      </c>
      <c r="T208" t="s">
        <v>483</v>
      </c>
      <c r="U208" t="s">
        <v>66</v>
      </c>
      <c r="V208" t="s">
        <v>485</v>
      </c>
      <c r="W208" t="s">
        <v>66</v>
      </c>
      <c r="X208">
        <v>1198278.5</v>
      </c>
      <c r="Y208">
        <v>131810.64000000001</v>
      </c>
      <c r="Z208">
        <v>49252.5</v>
      </c>
      <c r="AA208">
        <v>5417.78</v>
      </c>
      <c r="AB208">
        <v>1330089.1399999999</v>
      </c>
      <c r="AC208">
        <v>3</v>
      </c>
      <c r="AD208" t="s">
        <v>82</v>
      </c>
      <c r="AE208">
        <v>3</v>
      </c>
      <c r="AF208" t="s">
        <v>128</v>
      </c>
      <c r="AG208">
        <f>IFERROR(VLOOKUP(AF208,[1]STOK!J:O,6,0),"")</f>
        <v>24</v>
      </c>
      <c r="AH208" s="2">
        <f t="shared" si="6"/>
        <v>0.125</v>
      </c>
      <c r="AI208" t="s">
        <v>128</v>
      </c>
      <c r="AJ208" t="s">
        <v>129</v>
      </c>
      <c r="AK208" t="s">
        <v>130</v>
      </c>
      <c r="AL208" t="s">
        <v>86</v>
      </c>
      <c r="AM208">
        <v>18315</v>
      </c>
      <c r="AN208">
        <f t="shared" si="7"/>
        <v>18223.426666666666</v>
      </c>
      <c r="AO208" t="s">
        <v>66</v>
      </c>
      <c r="AP208">
        <v>0.5</v>
      </c>
      <c r="AQ208" t="s">
        <v>66</v>
      </c>
      <c r="AR208">
        <v>0</v>
      </c>
      <c r="AS208" t="s">
        <v>66</v>
      </c>
      <c r="AT208">
        <v>0</v>
      </c>
      <c r="AU208" t="s">
        <v>66</v>
      </c>
      <c r="AV208">
        <v>0</v>
      </c>
      <c r="AW208" t="s">
        <v>66</v>
      </c>
      <c r="AX208">
        <v>0</v>
      </c>
      <c r="AY208" t="s">
        <v>66</v>
      </c>
      <c r="AZ208">
        <v>0</v>
      </c>
      <c r="BA208" t="s">
        <v>66</v>
      </c>
      <c r="BB208">
        <v>0</v>
      </c>
      <c r="BC208">
        <v>0</v>
      </c>
      <c r="BD208">
        <v>54670.28</v>
      </c>
      <c r="BE208">
        <v>14887.43</v>
      </c>
      <c r="BF208">
        <v>0</v>
      </c>
      <c r="BG208" t="s">
        <v>87</v>
      </c>
      <c r="BH208" t="s">
        <v>66</v>
      </c>
      <c r="BI208">
        <v>0</v>
      </c>
      <c r="BJ208" t="s">
        <v>66</v>
      </c>
      <c r="BK208" t="s">
        <v>88</v>
      </c>
      <c r="BL208" t="s">
        <v>66</v>
      </c>
      <c r="BM208" t="s">
        <v>89</v>
      </c>
    </row>
    <row r="209" spans="1:65" x14ac:dyDescent="0.25">
      <c r="A209">
        <v>207</v>
      </c>
      <c r="B209" t="s">
        <v>479</v>
      </c>
      <c r="C209" t="s">
        <v>68</v>
      </c>
      <c r="D209" s="1">
        <v>46234</v>
      </c>
      <c r="E209" t="s">
        <v>480</v>
      </c>
      <c r="F209" t="s">
        <v>68</v>
      </c>
      <c r="G209" t="s">
        <v>69</v>
      </c>
      <c r="H209" t="s">
        <v>70</v>
      </c>
      <c r="I209" t="s">
        <v>71</v>
      </c>
      <c r="J209" t="s">
        <v>72</v>
      </c>
      <c r="K209" t="s">
        <v>73</v>
      </c>
      <c r="L209" t="s">
        <v>74</v>
      </c>
      <c r="M209" t="s">
        <v>481</v>
      </c>
      <c r="N209" t="s">
        <v>111</v>
      </c>
      <c r="O209" t="s">
        <v>482</v>
      </c>
      <c r="P209" t="s">
        <v>483</v>
      </c>
      <c r="Q209" t="s">
        <v>66</v>
      </c>
      <c r="R209" s="1">
        <v>46234</v>
      </c>
      <c r="S209" t="s">
        <v>484</v>
      </c>
      <c r="T209" t="s">
        <v>483</v>
      </c>
      <c r="U209" t="s">
        <v>66</v>
      </c>
      <c r="V209" t="s">
        <v>485</v>
      </c>
      <c r="W209" t="s">
        <v>66</v>
      </c>
      <c r="X209">
        <v>1198278.5</v>
      </c>
      <c r="Y209">
        <v>131810.64000000001</v>
      </c>
      <c r="Z209">
        <v>49252.5</v>
      </c>
      <c r="AA209">
        <v>5417.78</v>
      </c>
      <c r="AB209">
        <v>1330089.1399999999</v>
      </c>
      <c r="AC209">
        <v>3</v>
      </c>
      <c r="AD209" t="s">
        <v>82</v>
      </c>
      <c r="AE209">
        <v>3</v>
      </c>
      <c r="AF209" t="s">
        <v>205</v>
      </c>
      <c r="AG209">
        <f>IFERROR(VLOOKUP(AF209,[1]STOK!J:O,6,0),"")</f>
        <v>24</v>
      </c>
      <c r="AH209" s="2">
        <f t="shared" si="6"/>
        <v>0.125</v>
      </c>
      <c r="AI209" t="s">
        <v>205</v>
      </c>
      <c r="AJ209" t="s">
        <v>206</v>
      </c>
      <c r="AK209" t="s">
        <v>207</v>
      </c>
      <c r="AL209" t="s">
        <v>86</v>
      </c>
      <c r="AM209">
        <v>18315</v>
      </c>
      <c r="AN209">
        <f t="shared" si="7"/>
        <v>18223.426666666666</v>
      </c>
      <c r="AO209" t="s">
        <v>66</v>
      </c>
      <c r="AP209">
        <v>0.5</v>
      </c>
      <c r="AQ209" t="s">
        <v>66</v>
      </c>
      <c r="AR209">
        <v>0</v>
      </c>
      <c r="AS209" t="s">
        <v>66</v>
      </c>
      <c r="AT209">
        <v>0</v>
      </c>
      <c r="AU209" t="s">
        <v>66</v>
      </c>
      <c r="AV209">
        <v>0</v>
      </c>
      <c r="AW209" t="s">
        <v>66</v>
      </c>
      <c r="AX209">
        <v>0</v>
      </c>
      <c r="AY209" t="s">
        <v>66</v>
      </c>
      <c r="AZ209">
        <v>0</v>
      </c>
      <c r="BA209" t="s">
        <v>66</v>
      </c>
      <c r="BB209">
        <v>0</v>
      </c>
      <c r="BC209">
        <v>0</v>
      </c>
      <c r="BD209">
        <v>54670.28</v>
      </c>
      <c r="BE209">
        <v>14893.33</v>
      </c>
      <c r="BF209">
        <v>0</v>
      </c>
      <c r="BG209" t="s">
        <v>87</v>
      </c>
      <c r="BH209" t="s">
        <v>66</v>
      </c>
      <c r="BI209">
        <v>0</v>
      </c>
      <c r="BJ209" t="s">
        <v>66</v>
      </c>
      <c r="BK209" t="s">
        <v>88</v>
      </c>
      <c r="BL209" t="s">
        <v>66</v>
      </c>
      <c r="BM209" t="s">
        <v>89</v>
      </c>
    </row>
    <row r="210" spans="1:65" x14ac:dyDescent="0.25">
      <c r="A210">
        <v>208</v>
      </c>
      <c r="B210" t="s">
        <v>479</v>
      </c>
      <c r="C210" t="s">
        <v>68</v>
      </c>
      <c r="D210" s="1">
        <v>46234</v>
      </c>
      <c r="E210" t="s">
        <v>480</v>
      </c>
      <c r="F210" t="s">
        <v>68</v>
      </c>
      <c r="G210" t="s">
        <v>69</v>
      </c>
      <c r="H210" t="s">
        <v>70</v>
      </c>
      <c r="I210" t="s">
        <v>71</v>
      </c>
      <c r="J210" t="s">
        <v>72</v>
      </c>
      <c r="K210" t="s">
        <v>73</v>
      </c>
      <c r="L210" t="s">
        <v>74</v>
      </c>
      <c r="M210" t="s">
        <v>481</v>
      </c>
      <c r="N210" t="s">
        <v>111</v>
      </c>
      <c r="O210" t="s">
        <v>482</v>
      </c>
      <c r="P210" t="s">
        <v>483</v>
      </c>
      <c r="Q210" t="s">
        <v>66</v>
      </c>
      <c r="R210" s="1">
        <v>46234</v>
      </c>
      <c r="S210" t="s">
        <v>484</v>
      </c>
      <c r="T210" t="s">
        <v>483</v>
      </c>
      <c r="U210" t="s">
        <v>66</v>
      </c>
      <c r="V210" t="s">
        <v>485</v>
      </c>
      <c r="W210" t="s">
        <v>66</v>
      </c>
      <c r="X210">
        <v>1198278.5</v>
      </c>
      <c r="Y210">
        <v>131810.64000000001</v>
      </c>
      <c r="Z210">
        <v>49252.5</v>
      </c>
      <c r="AA210">
        <v>5417.78</v>
      </c>
      <c r="AB210">
        <v>1330089.1399999999</v>
      </c>
      <c r="AC210">
        <v>3</v>
      </c>
      <c r="AD210" t="s">
        <v>82</v>
      </c>
      <c r="AE210">
        <v>3</v>
      </c>
      <c r="AF210" t="s">
        <v>99</v>
      </c>
      <c r="AG210">
        <f>IFERROR(VLOOKUP(AF210,[1]STOK!J:O,6,0),"")</f>
        <v>24</v>
      </c>
      <c r="AH210" s="2">
        <f t="shared" si="6"/>
        <v>0.125</v>
      </c>
      <c r="AI210" t="s">
        <v>99</v>
      </c>
      <c r="AJ210" t="s">
        <v>100</v>
      </c>
      <c r="AK210" t="s">
        <v>101</v>
      </c>
      <c r="AL210" t="s">
        <v>86</v>
      </c>
      <c r="AM210">
        <v>18315</v>
      </c>
      <c r="AN210">
        <f t="shared" si="7"/>
        <v>18223.426666666666</v>
      </c>
      <c r="AO210" t="s">
        <v>66</v>
      </c>
      <c r="AP210">
        <v>0.5</v>
      </c>
      <c r="AQ210" t="s">
        <v>66</v>
      </c>
      <c r="AR210">
        <v>0</v>
      </c>
      <c r="AS210" t="s">
        <v>66</v>
      </c>
      <c r="AT210">
        <v>0</v>
      </c>
      <c r="AU210" t="s">
        <v>66</v>
      </c>
      <c r="AV210">
        <v>0</v>
      </c>
      <c r="AW210" t="s">
        <v>66</v>
      </c>
      <c r="AX210">
        <v>0</v>
      </c>
      <c r="AY210" t="s">
        <v>66</v>
      </c>
      <c r="AZ210">
        <v>0</v>
      </c>
      <c r="BA210" t="s">
        <v>66</v>
      </c>
      <c r="BB210">
        <v>0</v>
      </c>
      <c r="BC210">
        <v>0</v>
      </c>
      <c r="BD210">
        <v>54670.28</v>
      </c>
      <c r="BE210">
        <v>14925.98</v>
      </c>
      <c r="BF210">
        <v>0</v>
      </c>
      <c r="BG210" t="s">
        <v>87</v>
      </c>
      <c r="BH210" t="s">
        <v>66</v>
      </c>
      <c r="BI210">
        <v>0</v>
      </c>
      <c r="BJ210" t="s">
        <v>66</v>
      </c>
      <c r="BK210" t="s">
        <v>88</v>
      </c>
      <c r="BL210" t="s">
        <v>66</v>
      </c>
      <c r="BM210" t="s">
        <v>89</v>
      </c>
    </row>
    <row r="211" spans="1:65" x14ac:dyDescent="0.25">
      <c r="A211">
        <v>209</v>
      </c>
      <c r="B211" t="s">
        <v>479</v>
      </c>
      <c r="C211" t="s">
        <v>68</v>
      </c>
      <c r="D211" s="1">
        <v>46234</v>
      </c>
      <c r="E211" t="s">
        <v>480</v>
      </c>
      <c r="F211" t="s">
        <v>68</v>
      </c>
      <c r="G211" t="s">
        <v>69</v>
      </c>
      <c r="H211" t="s">
        <v>70</v>
      </c>
      <c r="I211" t="s">
        <v>71</v>
      </c>
      <c r="J211" t="s">
        <v>72</v>
      </c>
      <c r="K211" t="s">
        <v>73</v>
      </c>
      <c r="L211" t="s">
        <v>74</v>
      </c>
      <c r="M211" t="s">
        <v>481</v>
      </c>
      <c r="N211" t="s">
        <v>111</v>
      </c>
      <c r="O211" t="s">
        <v>482</v>
      </c>
      <c r="P211" t="s">
        <v>483</v>
      </c>
      <c r="Q211" t="s">
        <v>66</v>
      </c>
      <c r="R211" s="1">
        <v>46234</v>
      </c>
      <c r="S211" t="s">
        <v>484</v>
      </c>
      <c r="T211" t="s">
        <v>483</v>
      </c>
      <c r="U211" t="s">
        <v>66</v>
      </c>
      <c r="V211" t="s">
        <v>485</v>
      </c>
      <c r="W211" t="s">
        <v>66</v>
      </c>
      <c r="X211">
        <v>1198278.5</v>
      </c>
      <c r="Y211">
        <v>131810.64000000001</v>
      </c>
      <c r="Z211">
        <v>20596.5</v>
      </c>
      <c r="AA211">
        <v>2265.62</v>
      </c>
      <c r="AB211">
        <v>1330089.1399999999</v>
      </c>
      <c r="AC211">
        <v>3</v>
      </c>
      <c r="AD211" t="s">
        <v>82</v>
      </c>
      <c r="AE211">
        <v>3</v>
      </c>
      <c r="AF211" t="s">
        <v>495</v>
      </c>
      <c r="AG211">
        <f>IFERROR(VLOOKUP(AF211,[1]STOK!J:O,6,0),"")</f>
        <v>24</v>
      </c>
      <c r="AH211" s="2">
        <f t="shared" si="6"/>
        <v>0.125</v>
      </c>
      <c r="AI211" t="s">
        <v>495</v>
      </c>
      <c r="AJ211" t="s">
        <v>496</v>
      </c>
      <c r="AK211" t="s">
        <v>497</v>
      </c>
      <c r="AL211" t="s">
        <v>86</v>
      </c>
      <c r="AM211">
        <v>7659</v>
      </c>
      <c r="AN211">
        <f t="shared" si="7"/>
        <v>7620.706666666666</v>
      </c>
      <c r="AO211" t="s">
        <v>66</v>
      </c>
      <c r="AP211">
        <v>0.5</v>
      </c>
      <c r="AQ211" t="s">
        <v>66</v>
      </c>
      <c r="AR211">
        <v>0</v>
      </c>
      <c r="AS211" t="s">
        <v>66</v>
      </c>
      <c r="AT211">
        <v>0</v>
      </c>
      <c r="AU211" t="s">
        <v>66</v>
      </c>
      <c r="AV211">
        <v>0</v>
      </c>
      <c r="AW211" t="s">
        <v>66</v>
      </c>
      <c r="AX211">
        <v>0</v>
      </c>
      <c r="AY211" t="s">
        <v>66</v>
      </c>
      <c r="AZ211">
        <v>0</v>
      </c>
      <c r="BA211" t="s">
        <v>66</v>
      </c>
      <c r="BB211">
        <v>0</v>
      </c>
      <c r="BC211">
        <v>0</v>
      </c>
      <c r="BD211">
        <v>22862.12</v>
      </c>
      <c r="BE211">
        <v>6234.51</v>
      </c>
      <c r="BF211">
        <v>0</v>
      </c>
      <c r="BG211" t="s">
        <v>87</v>
      </c>
      <c r="BH211" t="s">
        <v>66</v>
      </c>
      <c r="BI211">
        <v>0</v>
      </c>
      <c r="BJ211" t="s">
        <v>66</v>
      </c>
      <c r="BK211" t="s">
        <v>88</v>
      </c>
      <c r="BL211" t="s">
        <v>66</v>
      </c>
      <c r="BM211" t="s">
        <v>89</v>
      </c>
    </row>
    <row r="212" spans="1:65" x14ac:dyDescent="0.25">
      <c r="A212">
        <v>210</v>
      </c>
      <c r="B212" t="s">
        <v>479</v>
      </c>
      <c r="C212" t="s">
        <v>68</v>
      </c>
      <c r="D212" s="1">
        <v>46234</v>
      </c>
      <c r="E212" t="s">
        <v>480</v>
      </c>
      <c r="F212" t="s">
        <v>68</v>
      </c>
      <c r="G212" t="s">
        <v>69</v>
      </c>
      <c r="H212" t="s">
        <v>70</v>
      </c>
      <c r="I212" t="s">
        <v>71</v>
      </c>
      <c r="J212" t="s">
        <v>72</v>
      </c>
      <c r="K212" t="s">
        <v>73</v>
      </c>
      <c r="L212" t="s">
        <v>74</v>
      </c>
      <c r="M212" t="s">
        <v>481</v>
      </c>
      <c r="N212" t="s">
        <v>111</v>
      </c>
      <c r="O212" t="s">
        <v>482</v>
      </c>
      <c r="P212" t="s">
        <v>483</v>
      </c>
      <c r="Q212" t="s">
        <v>66</v>
      </c>
      <c r="R212" s="1">
        <v>46234</v>
      </c>
      <c r="S212" t="s">
        <v>484</v>
      </c>
      <c r="T212" t="s">
        <v>483</v>
      </c>
      <c r="U212" t="s">
        <v>66</v>
      </c>
      <c r="V212" t="s">
        <v>485</v>
      </c>
      <c r="W212" t="s">
        <v>66</v>
      </c>
      <c r="X212">
        <v>1198278.5</v>
      </c>
      <c r="Y212">
        <v>131810.64000000001</v>
      </c>
      <c r="Z212">
        <v>54128</v>
      </c>
      <c r="AA212">
        <v>5954.08</v>
      </c>
      <c r="AB212">
        <v>1330089.1399999999</v>
      </c>
      <c r="AC212">
        <v>2</v>
      </c>
      <c r="AD212" t="s">
        <v>82</v>
      </c>
      <c r="AE212">
        <v>2</v>
      </c>
      <c r="AF212" t="s">
        <v>498</v>
      </c>
      <c r="AG212">
        <f>IFERROR(VLOOKUP(AF212,[1]STOK!J:O,6,0),"")</f>
        <v>12</v>
      </c>
      <c r="AH212" s="2">
        <f t="shared" si="6"/>
        <v>0.16666666666666666</v>
      </c>
      <c r="AI212" t="s">
        <v>498</v>
      </c>
      <c r="AJ212" t="s">
        <v>499</v>
      </c>
      <c r="AK212" t="s">
        <v>500</v>
      </c>
      <c r="AL212" t="s">
        <v>86</v>
      </c>
      <c r="AM212">
        <v>30192</v>
      </c>
      <c r="AN212">
        <f t="shared" si="7"/>
        <v>30041.040000000001</v>
      </c>
      <c r="AO212" t="s">
        <v>66</v>
      </c>
      <c r="AP212">
        <v>0.5</v>
      </c>
      <c r="AQ212" t="s">
        <v>66</v>
      </c>
      <c r="AR212">
        <v>0</v>
      </c>
      <c r="AS212" t="s">
        <v>66</v>
      </c>
      <c r="AT212">
        <v>0</v>
      </c>
      <c r="AU212" t="s">
        <v>66</v>
      </c>
      <c r="AV212">
        <v>0</v>
      </c>
      <c r="AW212" t="s">
        <v>66</v>
      </c>
      <c r="AX212">
        <v>0</v>
      </c>
      <c r="AY212" t="s">
        <v>66</v>
      </c>
      <c r="AZ212">
        <v>0</v>
      </c>
      <c r="BA212" t="s">
        <v>66</v>
      </c>
      <c r="BB212">
        <v>0</v>
      </c>
      <c r="BC212">
        <v>0</v>
      </c>
      <c r="BD212">
        <v>60082.080000000002</v>
      </c>
      <c r="BE212">
        <v>24254.560000000001</v>
      </c>
      <c r="BF212">
        <v>0</v>
      </c>
      <c r="BG212" t="s">
        <v>87</v>
      </c>
      <c r="BH212" t="s">
        <v>66</v>
      </c>
      <c r="BI212">
        <v>0</v>
      </c>
      <c r="BJ212" t="s">
        <v>66</v>
      </c>
      <c r="BK212" t="s">
        <v>88</v>
      </c>
      <c r="BL212" t="s">
        <v>66</v>
      </c>
      <c r="BM212" t="s">
        <v>89</v>
      </c>
    </row>
    <row r="213" spans="1:65" x14ac:dyDescent="0.25">
      <c r="A213">
        <v>211</v>
      </c>
      <c r="B213" t="s">
        <v>479</v>
      </c>
      <c r="C213" t="s">
        <v>68</v>
      </c>
      <c r="D213" s="1">
        <v>46234</v>
      </c>
      <c r="E213" t="s">
        <v>480</v>
      </c>
      <c r="F213" t="s">
        <v>68</v>
      </c>
      <c r="G213" t="s">
        <v>69</v>
      </c>
      <c r="H213" t="s">
        <v>70</v>
      </c>
      <c r="I213" t="s">
        <v>71</v>
      </c>
      <c r="J213" t="s">
        <v>72</v>
      </c>
      <c r="K213" t="s">
        <v>73</v>
      </c>
      <c r="L213" t="s">
        <v>74</v>
      </c>
      <c r="M213" t="s">
        <v>481</v>
      </c>
      <c r="N213" t="s">
        <v>111</v>
      </c>
      <c r="O213" t="s">
        <v>482</v>
      </c>
      <c r="P213" t="s">
        <v>483</v>
      </c>
      <c r="Q213" t="s">
        <v>66</v>
      </c>
      <c r="R213" s="1">
        <v>46234</v>
      </c>
      <c r="S213" t="s">
        <v>484</v>
      </c>
      <c r="T213" t="s">
        <v>483</v>
      </c>
      <c r="U213" t="s">
        <v>66</v>
      </c>
      <c r="V213" t="s">
        <v>485</v>
      </c>
      <c r="W213" t="s">
        <v>66</v>
      </c>
      <c r="X213">
        <v>1198278.5</v>
      </c>
      <c r="Y213">
        <v>131810.64000000001</v>
      </c>
      <c r="Z213">
        <v>108057</v>
      </c>
      <c r="AA213">
        <v>11886.27</v>
      </c>
      <c r="AB213">
        <v>1330089.1399999999</v>
      </c>
      <c r="AC213">
        <v>6</v>
      </c>
      <c r="AD213" t="s">
        <v>82</v>
      </c>
      <c r="AE213">
        <v>6</v>
      </c>
      <c r="AF213" t="s">
        <v>356</v>
      </c>
      <c r="AG213">
        <f>IFERROR(VLOOKUP(AF213,[1]STOK!J:O,6,0),"")</f>
        <v>12</v>
      </c>
      <c r="AH213" s="2">
        <f t="shared" si="6"/>
        <v>0.5</v>
      </c>
      <c r="AI213" t="s">
        <v>356</v>
      </c>
      <c r="AJ213" t="s">
        <v>357</v>
      </c>
      <c r="AK213" t="s">
        <v>358</v>
      </c>
      <c r="AL213" t="s">
        <v>86</v>
      </c>
      <c r="AM213">
        <v>20091</v>
      </c>
      <c r="AN213">
        <f t="shared" si="7"/>
        <v>19990.545000000002</v>
      </c>
      <c r="AO213" t="s">
        <v>66</v>
      </c>
      <c r="AP213">
        <v>0.5</v>
      </c>
      <c r="AQ213" t="s">
        <v>66</v>
      </c>
      <c r="AR213">
        <v>0</v>
      </c>
      <c r="AS213" t="s">
        <v>66</v>
      </c>
      <c r="AT213">
        <v>0</v>
      </c>
      <c r="AU213" t="s">
        <v>66</v>
      </c>
      <c r="AV213">
        <v>0</v>
      </c>
      <c r="AW213" t="s">
        <v>66</v>
      </c>
      <c r="AX213">
        <v>0</v>
      </c>
      <c r="AY213" t="s">
        <v>66</v>
      </c>
      <c r="AZ213">
        <v>0</v>
      </c>
      <c r="BA213" t="s">
        <v>66</v>
      </c>
      <c r="BB213">
        <v>0</v>
      </c>
      <c r="BC213">
        <v>0</v>
      </c>
      <c r="BD213">
        <v>119943.27</v>
      </c>
      <c r="BE213">
        <v>16252.41</v>
      </c>
      <c r="BF213">
        <v>0</v>
      </c>
      <c r="BG213" t="s">
        <v>87</v>
      </c>
      <c r="BH213" t="s">
        <v>66</v>
      </c>
      <c r="BI213">
        <v>0</v>
      </c>
      <c r="BJ213" t="s">
        <v>66</v>
      </c>
      <c r="BK213" t="s">
        <v>88</v>
      </c>
      <c r="BL213" t="s">
        <v>66</v>
      </c>
      <c r="BM213" t="s">
        <v>89</v>
      </c>
    </row>
    <row r="214" spans="1:65" x14ac:dyDescent="0.25">
      <c r="A214">
        <v>212</v>
      </c>
      <c r="B214" t="s">
        <v>479</v>
      </c>
      <c r="C214" t="s">
        <v>68</v>
      </c>
      <c r="D214" s="1">
        <v>46234</v>
      </c>
      <c r="E214" t="s">
        <v>480</v>
      </c>
      <c r="F214" t="s">
        <v>68</v>
      </c>
      <c r="G214" t="s">
        <v>69</v>
      </c>
      <c r="H214" t="s">
        <v>70</v>
      </c>
      <c r="I214" t="s">
        <v>71</v>
      </c>
      <c r="J214" t="s">
        <v>72</v>
      </c>
      <c r="K214" t="s">
        <v>73</v>
      </c>
      <c r="L214" t="s">
        <v>74</v>
      </c>
      <c r="M214" t="s">
        <v>481</v>
      </c>
      <c r="N214" t="s">
        <v>111</v>
      </c>
      <c r="O214" t="s">
        <v>482</v>
      </c>
      <c r="P214" t="s">
        <v>483</v>
      </c>
      <c r="Q214" t="s">
        <v>66</v>
      </c>
      <c r="R214" s="1">
        <v>46234</v>
      </c>
      <c r="S214" t="s">
        <v>484</v>
      </c>
      <c r="T214" t="s">
        <v>483</v>
      </c>
      <c r="U214" t="s">
        <v>66</v>
      </c>
      <c r="V214" t="s">
        <v>485</v>
      </c>
      <c r="W214" t="s">
        <v>66</v>
      </c>
      <c r="X214">
        <v>1198278.5</v>
      </c>
      <c r="Y214">
        <v>131810.64000000001</v>
      </c>
      <c r="Z214">
        <v>39700.5</v>
      </c>
      <c r="AA214">
        <v>4367.0600000000004</v>
      </c>
      <c r="AB214">
        <v>1330089.1399999999</v>
      </c>
      <c r="AC214">
        <v>3</v>
      </c>
      <c r="AD214" t="s">
        <v>82</v>
      </c>
      <c r="AE214">
        <v>3</v>
      </c>
      <c r="AF214" t="s">
        <v>135</v>
      </c>
      <c r="AG214">
        <f>IFERROR(VLOOKUP(AF214,[1]STOK!J:O,6,0),"")</f>
        <v>12</v>
      </c>
      <c r="AH214" s="2">
        <f t="shared" si="6"/>
        <v>0.25</v>
      </c>
      <c r="AI214" t="s">
        <v>135</v>
      </c>
      <c r="AJ214" t="s">
        <v>136</v>
      </c>
      <c r="AK214" t="s">
        <v>137</v>
      </c>
      <c r="AL214" t="s">
        <v>86</v>
      </c>
      <c r="AM214">
        <v>14763</v>
      </c>
      <c r="AN214">
        <f t="shared" si="7"/>
        <v>14689.186666666666</v>
      </c>
      <c r="AO214" t="s">
        <v>66</v>
      </c>
      <c r="AP214">
        <v>0.5</v>
      </c>
      <c r="AQ214" t="s">
        <v>66</v>
      </c>
      <c r="AR214">
        <v>0</v>
      </c>
      <c r="AS214" t="s">
        <v>66</v>
      </c>
      <c r="AT214">
        <v>0</v>
      </c>
      <c r="AU214" t="s">
        <v>66</v>
      </c>
      <c r="AV214">
        <v>0</v>
      </c>
      <c r="AW214" t="s">
        <v>66</v>
      </c>
      <c r="AX214">
        <v>0</v>
      </c>
      <c r="AY214" t="s">
        <v>66</v>
      </c>
      <c r="AZ214">
        <v>0</v>
      </c>
      <c r="BA214" t="s">
        <v>66</v>
      </c>
      <c r="BB214">
        <v>0</v>
      </c>
      <c r="BC214">
        <v>0</v>
      </c>
      <c r="BD214">
        <v>44067.56</v>
      </c>
      <c r="BE214">
        <v>12034.95</v>
      </c>
      <c r="BF214">
        <v>0</v>
      </c>
      <c r="BG214" t="s">
        <v>87</v>
      </c>
      <c r="BH214" t="s">
        <v>66</v>
      </c>
      <c r="BI214">
        <v>0</v>
      </c>
      <c r="BJ214" t="s">
        <v>66</v>
      </c>
      <c r="BK214" t="s">
        <v>88</v>
      </c>
      <c r="BL214" t="s">
        <v>66</v>
      </c>
      <c r="BM214" t="s">
        <v>89</v>
      </c>
    </row>
    <row r="215" spans="1:65" x14ac:dyDescent="0.25">
      <c r="A215">
        <v>213</v>
      </c>
      <c r="B215" t="s">
        <v>479</v>
      </c>
      <c r="C215" t="s">
        <v>68</v>
      </c>
      <c r="D215" s="1">
        <v>46234</v>
      </c>
      <c r="E215" t="s">
        <v>480</v>
      </c>
      <c r="F215" t="s">
        <v>68</v>
      </c>
      <c r="G215" t="s">
        <v>69</v>
      </c>
      <c r="H215" t="s">
        <v>70</v>
      </c>
      <c r="I215" t="s">
        <v>71</v>
      </c>
      <c r="J215" t="s">
        <v>72</v>
      </c>
      <c r="K215" t="s">
        <v>73</v>
      </c>
      <c r="L215" t="s">
        <v>74</v>
      </c>
      <c r="M215" t="s">
        <v>481</v>
      </c>
      <c r="N215" t="s">
        <v>111</v>
      </c>
      <c r="O215" t="s">
        <v>482</v>
      </c>
      <c r="P215" t="s">
        <v>483</v>
      </c>
      <c r="Q215" t="s">
        <v>66</v>
      </c>
      <c r="R215" s="1">
        <v>46234</v>
      </c>
      <c r="S215" t="s">
        <v>484</v>
      </c>
      <c r="T215" t="s">
        <v>483</v>
      </c>
      <c r="U215" t="s">
        <v>66</v>
      </c>
      <c r="V215" t="s">
        <v>485</v>
      </c>
      <c r="W215" t="s">
        <v>66</v>
      </c>
      <c r="X215">
        <v>1198278.5</v>
      </c>
      <c r="Y215">
        <v>131810.64000000001</v>
      </c>
      <c r="Z215">
        <v>39700.5</v>
      </c>
      <c r="AA215">
        <v>4367.0600000000004</v>
      </c>
      <c r="AB215">
        <v>1330089.1399999999</v>
      </c>
      <c r="AC215">
        <v>3</v>
      </c>
      <c r="AD215" t="s">
        <v>82</v>
      </c>
      <c r="AE215">
        <v>3</v>
      </c>
      <c r="AF215" t="s">
        <v>210</v>
      </c>
      <c r="AG215">
        <f>IFERROR(VLOOKUP(AF215,[1]STOK!J:O,6,0),"")</f>
        <v>12</v>
      </c>
      <c r="AH215" s="2">
        <f t="shared" si="6"/>
        <v>0.25</v>
      </c>
      <c r="AI215" t="s">
        <v>210</v>
      </c>
      <c r="AJ215" t="s">
        <v>211</v>
      </c>
      <c r="AK215" t="s">
        <v>212</v>
      </c>
      <c r="AL215" t="s">
        <v>86</v>
      </c>
      <c r="AM215">
        <v>14763</v>
      </c>
      <c r="AN215">
        <f t="shared" si="7"/>
        <v>14689.186666666666</v>
      </c>
      <c r="AO215" t="s">
        <v>66</v>
      </c>
      <c r="AP215">
        <v>0.5</v>
      </c>
      <c r="AQ215" t="s">
        <v>66</v>
      </c>
      <c r="AR215">
        <v>0</v>
      </c>
      <c r="AS215" t="s">
        <v>66</v>
      </c>
      <c r="AT215">
        <v>0</v>
      </c>
      <c r="AU215" t="s">
        <v>66</v>
      </c>
      <c r="AV215">
        <v>0</v>
      </c>
      <c r="AW215" t="s">
        <v>66</v>
      </c>
      <c r="AX215">
        <v>0</v>
      </c>
      <c r="AY215" t="s">
        <v>66</v>
      </c>
      <c r="AZ215">
        <v>0</v>
      </c>
      <c r="BA215" t="s">
        <v>66</v>
      </c>
      <c r="BB215">
        <v>0</v>
      </c>
      <c r="BC215">
        <v>0</v>
      </c>
      <c r="BD215">
        <v>44067.56</v>
      </c>
      <c r="BE215">
        <v>11976.03</v>
      </c>
      <c r="BF215">
        <v>0</v>
      </c>
      <c r="BG215" t="s">
        <v>87</v>
      </c>
      <c r="BH215" t="s">
        <v>66</v>
      </c>
      <c r="BI215">
        <v>0</v>
      </c>
      <c r="BJ215" t="s">
        <v>66</v>
      </c>
      <c r="BK215" t="s">
        <v>88</v>
      </c>
      <c r="BL215" t="s">
        <v>66</v>
      </c>
      <c r="BM215" t="s">
        <v>89</v>
      </c>
    </row>
    <row r="216" spans="1:65" x14ac:dyDescent="0.25">
      <c r="A216">
        <v>214</v>
      </c>
      <c r="B216" t="s">
        <v>479</v>
      </c>
      <c r="C216" t="s">
        <v>68</v>
      </c>
      <c r="D216" s="1">
        <v>46234</v>
      </c>
      <c r="E216" t="s">
        <v>480</v>
      </c>
      <c r="F216" t="s">
        <v>68</v>
      </c>
      <c r="G216" t="s">
        <v>69</v>
      </c>
      <c r="H216" t="s">
        <v>70</v>
      </c>
      <c r="I216" t="s">
        <v>71</v>
      </c>
      <c r="J216" t="s">
        <v>72</v>
      </c>
      <c r="K216" t="s">
        <v>73</v>
      </c>
      <c r="L216" t="s">
        <v>74</v>
      </c>
      <c r="M216" t="s">
        <v>481</v>
      </c>
      <c r="N216" t="s">
        <v>111</v>
      </c>
      <c r="O216" t="s">
        <v>482</v>
      </c>
      <c r="P216" t="s">
        <v>483</v>
      </c>
      <c r="Q216" t="s">
        <v>66</v>
      </c>
      <c r="R216" s="1">
        <v>46234</v>
      </c>
      <c r="S216" t="s">
        <v>484</v>
      </c>
      <c r="T216" t="s">
        <v>483</v>
      </c>
      <c r="U216" t="s">
        <v>66</v>
      </c>
      <c r="V216" t="s">
        <v>485</v>
      </c>
      <c r="W216" t="s">
        <v>66</v>
      </c>
      <c r="X216">
        <v>1198278.5</v>
      </c>
      <c r="Y216">
        <v>131810.64000000001</v>
      </c>
      <c r="Z216">
        <v>51640.5</v>
      </c>
      <c r="AA216">
        <v>5680.46</v>
      </c>
      <c r="AB216">
        <v>1330089.1399999999</v>
      </c>
      <c r="AC216">
        <v>3</v>
      </c>
      <c r="AD216" t="s">
        <v>82</v>
      </c>
      <c r="AE216">
        <v>3</v>
      </c>
      <c r="AF216" t="s">
        <v>359</v>
      </c>
      <c r="AG216">
        <f>IFERROR(VLOOKUP(AF216,[1]STOK!J:O,6,0),"")</f>
        <v>12</v>
      </c>
      <c r="AH216" s="2">
        <f t="shared" si="6"/>
        <v>0.25</v>
      </c>
      <c r="AI216" t="s">
        <v>359</v>
      </c>
      <c r="AJ216" t="s">
        <v>360</v>
      </c>
      <c r="AK216" t="s">
        <v>361</v>
      </c>
      <c r="AL216" t="s">
        <v>86</v>
      </c>
      <c r="AM216">
        <v>19203</v>
      </c>
      <c r="AN216">
        <f t="shared" si="7"/>
        <v>19106.986666666668</v>
      </c>
      <c r="AO216" t="s">
        <v>66</v>
      </c>
      <c r="AP216">
        <v>0.5</v>
      </c>
      <c r="AQ216" t="s">
        <v>66</v>
      </c>
      <c r="AR216">
        <v>0</v>
      </c>
      <c r="AS216" t="s">
        <v>66</v>
      </c>
      <c r="AT216">
        <v>0</v>
      </c>
      <c r="AU216" t="s">
        <v>66</v>
      </c>
      <c r="AV216">
        <v>0</v>
      </c>
      <c r="AW216" t="s">
        <v>66</v>
      </c>
      <c r="AX216">
        <v>0</v>
      </c>
      <c r="AY216" t="s">
        <v>66</v>
      </c>
      <c r="AZ216">
        <v>0</v>
      </c>
      <c r="BA216" t="s">
        <v>66</v>
      </c>
      <c r="BB216">
        <v>0</v>
      </c>
      <c r="BC216">
        <v>0</v>
      </c>
      <c r="BD216">
        <v>57320.959999999999</v>
      </c>
      <c r="BE216">
        <v>15617.48</v>
      </c>
      <c r="BF216">
        <v>0</v>
      </c>
      <c r="BG216" t="s">
        <v>87</v>
      </c>
      <c r="BH216" t="s">
        <v>66</v>
      </c>
      <c r="BI216">
        <v>0</v>
      </c>
      <c r="BJ216" t="s">
        <v>66</v>
      </c>
      <c r="BK216" t="s">
        <v>88</v>
      </c>
      <c r="BL216" t="s">
        <v>66</v>
      </c>
      <c r="BM216" t="s">
        <v>89</v>
      </c>
    </row>
    <row r="217" spans="1:65" x14ac:dyDescent="0.25">
      <c r="A217">
        <v>215</v>
      </c>
      <c r="B217" t="s">
        <v>479</v>
      </c>
      <c r="C217" t="s">
        <v>68</v>
      </c>
      <c r="D217" s="1">
        <v>46234</v>
      </c>
      <c r="E217" t="s">
        <v>480</v>
      </c>
      <c r="F217" t="s">
        <v>68</v>
      </c>
      <c r="G217" t="s">
        <v>69</v>
      </c>
      <c r="H217" t="s">
        <v>70</v>
      </c>
      <c r="I217" t="s">
        <v>71</v>
      </c>
      <c r="J217" t="s">
        <v>72</v>
      </c>
      <c r="K217" t="s">
        <v>73</v>
      </c>
      <c r="L217" t="s">
        <v>74</v>
      </c>
      <c r="M217" t="s">
        <v>481</v>
      </c>
      <c r="N217" t="s">
        <v>111</v>
      </c>
      <c r="O217" t="s">
        <v>482</v>
      </c>
      <c r="P217" t="s">
        <v>483</v>
      </c>
      <c r="Q217" t="s">
        <v>66</v>
      </c>
      <c r="R217" s="1">
        <v>46234</v>
      </c>
      <c r="S217" t="s">
        <v>484</v>
      </c>
      <c r="T217" t="s">
        <v>483</v>
      </c>
      <c r="U217" t="s">
        <v>66</v>
      </c>
      <c r="V217" t="s">
        <v>485</v>
      </c>
      <c r="W217" t="s">
        <v>66</v>
      </c>
      <c r="X217">
        <v>1198278.5</v>
      </c>
      <c r="Y217">
        <v>131810.64000000001</v>
      </c>
      <c r="Z217">
        <v>119400</v>
      </c>
      <c r="AA217">
        <v>13134</v>
      </c>
      <c r="AB217">
        <v>1330089.1399999999</v>
      </c>
      <c r="AC217">
        <v>6</v>
      </c>
      <c r="AD217" t="s">
        <v>82</v>
      </c>
      <c r="AE217">
        <v>6</v>
      </c>
      <c r="AF217" t="s">
        <v>290</v>
      </c>
      <c r="AG217">
        <f>IFERROR(VLOOKUP(AF217,[1]STOK!J:O,6,0),"")</f>
        <v>12</v>
      </c>
      <c r="AH217" s="2">
        <f t="shared" si="6"/>
        <v>0.5</v>
      </c>
      <c r="AI217" t="s">
        <v>290</v>
      </c>
      <c r="AJ217" t="s">
        <v>291</v>
      </c>
      <c r="AK217" t="s">
        <v>292</v>
      </c>
      <c r="AL217" t="s">
        <v>86</v>
      </c>
      <c r="AM217">
        <v>22200</v>
      </c>
      <c r="AN217">
        <f t="shared" si="7"/>
        <v>22089</v>
      </c>
      <c r="AO217" t="s">
        <v>66</v>
      </c>
      <c r="AP217">
        <v>0.5</v>
      </c>
      <c r="AQ217" t="s">
        <v>66</v>
      </c>
      <c r="AR217">
        <v>0</v>
      </c>
      <c r="AS217" t="s">
        <v>66</v>
      </c>
      <c r="AT217">
        <v>0</v>
      </c>
      <c r="AU217" t="s">
        <v>66</v>
      </c>
      <c r="AV217">
        <v>0</v>
      </c>
      <c r="AW217" t="s">
        <v>66</v>
      </c>
      <c r="AX217">
        <v>0</v>
      </c>
      <c r="AY217" t="s">
        <v>66</v>
      </c>
      <c r="AZ217">
        <v>0</v>
      </c>
      <c r="BA217" t="s">
        <v>66</v>
      </c>
      <c r="BB217">
        <v>0</v>
      </c>
      <c r="BC217">
        <v>0</v>
      </c>
      <c r="BD217">
        <v>132534</v>
      </c>
      <c r="BE217">
        <v>18113.71</v>
      </c>
      <c r="BF217">
        <v>0</v>
      </c>
      <c r="BG217" t="s">
        <v>87</v>
      </c>
      <c r="BH217" t="s">
        <v>66</v>
      </c>
      <c r="BI217">
        <v>0</v>
      </c>
      <c r="BJ217" t="s">
        <v>66</v>
      </c>
      <c r="BK217" t="s">
        <v>88</v>
      </c>
      <c r="BL217" t="s">
        <v>66</v>
      </c>
      <c r="BM217" t="s">
        <v>89</v>
      </c>
    </row>
    <row r="218" spans="1:65" x14ac:dyDescent="0.25">
      <c r="A218">
        <v>216</v>
      </c>
      <c r="B218" t="s">
        <v>479</v>
      </c>
      <c r="C218" t="s">
        <v>68</v>
      </c>
      <c r="D218" s="1">
        <v>46234</v>
      </c>
      <c r="E218" t="s">
        <v>480</v>
      </c>
      <c r="F218" t="s">
        <v>68</v>
      </c>
      <c r="G218" t="s">
        <v>69</v>
      </c>
      <c r="H218" t="s">
        <v>70</v>
      </c>
      <c r="I218" t="s">
        <v>71</v>
      </c>
      <c r="J218" t="s">
        <v>72</v>
      </c>
      <c r="K218" t="s">
        <v>73</v>
      </c>
      <c r="L218" t="s">
        <v>74</v>
      </c>
      <c r="M218" t="s">
        <v>481</v>
      </c>
      <c r="N218" t="s">
        <v>111</v>
      </c>
      <c r="O218" t="s">
        <v>482</v>
      </c>
      <c r="P218" t="s">
        <v>483</v>
      </c>
      <c r="Q218" t="s">
        <v>66</v>
      </c>
      <c r="R218" s="1">
        <v>46234</v>
      </c>
      <c r="S218" t="s">
        <v>484</v>
      </c>
      <c r="T218" t="s">
        <v>483</v>
      </c>
      <c r="U218" t="s">
        <v>66</v>
      </c>
      <c r="V218" t="s">
        <v>485</v>
      </c>
      <c r="W218" t="s">
        <v>66</v>
      </c>
      <c r="X218">
        <v>1198278.5</v>
      </c>
      <c r="Y218">
        <v>131810.64000000001</v>
      </c>
      <c r="Z218">
        <v>119400</v>
      </c>
      <c r="AA218">
        <v>13134</v>
      </c>
      <c r="AB218">
        <v>1330089.1399999999</v>
      </c>
      <c r="AC218">
        <v>6</v>
      </c>
      <c r="AD218" t="s">
        <v>82</v>
      </c>
      <c r="AE218">
        <v>6</v>
      </c>
      <c r="AF218" t="s">
        <v>102</v>
      </c>
      <c r="AG218">
        <f>IFERROR(VLOOKUP(AF218,[1]STOK!J:O,6,0),"")</f>
        <v>12</v>
      </c>
      <c r="AH218" s="2">
        <f t="shared" si="6"/>
        <v>0.5</v>
      </c>
      <c r="AI218" t="s">
        <v>102</v>
      </c>
      <c r="AJ218" t="s">
        <v>103</v>
      </c>
      <c r="AK218" t="s">
        <v>104</v>
      </c>
      <c r="AL218" t="s">
        <v>86</v>
      </c>
      <c r="AM218">
        <v>22200</v>
      </c>
      <c r="AN218">
        <f t="shared" si="7"/>
        <v>22089</v>
      </c>
      <c r="AO218" t="s">
        <v>66</v>
      </c>
      <c r="AP218">
        <v>0.5</v>
      </c>
      <c r="AQ218" t="s">
        <v>66</v>
      </c>
      <c r="AR218">
        <v>0</v>
      </c>
      <c r="AS218" t="s">
        <v>66</v>
      </c>
      <c r="AT218">
        <v>0</v>
      </c>
      <c r="AU218" t="s">
        <v>66</v>
      </c>
      <c r="AV218">
        <v>0</v>
      </c>
      <c r="AW218" t="s">
        <v>66</v>
      </c>
      <c r="AX218">
        <v>0</v>
      </c>
      <c r="AY218" t="s">
        <v>66</v>
      </c>
      <c r="AZ218">
        <v>0</v>
      </c>
      <c r="BA218" t="s">
        <v>66</v>
      </c>
      <c r="BB218">
        <v>0</v>
      </c>
      <c r="BC218">
        <v>0</v>
      </c>
      <c r="BD218">
        <v>132534</v>
      </c>
      <c r="BE218">
        <v>18005.03</v>
      </c>
      <c r="BF218">
        <v>0</v>
      </c>
      <c r="BG218" t="s">
        <v>87</v>
      </c>
      <c r="BH218" t="s">
        <v>66</v>
      </c>
      <c r="BI218">
        <v>0</v>
      </c>
      <c r="BJ218" t="s">
        <v>66</v>
      </c>
      <c r="BK218" t="s">
        <v>88</v>
      </c>
      <c r="BL218" t="s">
        <v>66</v>
      </c>
      <c r="BM218" t="s">
        <v>89</v>
      </c>
    </row>
    <row r="219" spans="1:65" x14ac:dyDescent="0.25">
      <c r="A219">
        <v>217</v>
      </c>
      <c r="B219" t="s">
        <v>479</v>
      </c>
      <c r="C219" t="s">
        <v>68</v>
      </c>
      <c r="D219" s="1">
        <v>46234</v>
      </c>
      <c r="E219" t="s">
        <v>480</v>
      </c>
      <c r="F219" t="s">
        <v>68</v>
      </c>
      <c r="G219" t="s">
        <v>69</v>
      </c>
      <c r="H219" t="s">
        <v>70</v>
      </c>
      <c r="I219" t="s">
        <v>71</v>
      </c>
      <c r="J219" t="s">
        <v>72</v>
      </c>
      <c r="K219" t="s">
        <v>73</v>
      </c>
      <c r="L219" t="s">
        <v>74</v>
      </c>
      <c r="M219" t="s">
        <v>481</v>
      </c>
      <c r="N219" t="s">
        <v>111</v>
      </c>
      <c r="O219" t="s">
        <v>482</v>
      </c>
      <c r="P219" t="s">
        <v>483</v>
      </c>
      <c r="Q219" t="s">
        <v>66</v>
      </c>
      <c r="R219" s="1">
        <v>46234</v>
      </c>
      <c r="S219" t="s">
        <v>484</v>
      </c>
      <c r="T219" t="s">
        <v>483</v>
      </c>
      <c r="U219" t="s">
        <v>66</v>
      </c>
      <c r="V219" t="s">
        <v>485</v>
      </c>
      <c r="W219" t="s">
        <v>66</v>
      </c>
      <c r="X219">
        <v>1198278.5</v>
      </c>
      <c r="Y219">
        <v>131810.64000000001</v>
      </c>
      <c r="Z219">
        <v>228651</v>
      </c>
      <c r="AA219">
        <v>25151.61</v>
      </c>
      <c r="AB219">
        <v>1330089.1399999999</v>
      </c>
      <c r="AC219">
        <v>6</v>
      </c>
      <c r="AD219" t="s">
        <v>82</v>
      </c>
      <c r="AE219">
        <v>6</v>
      </c>
      <c r="AF219" t="s">
        <v>323</v>
      </c>
      <c r="AG219">
        <f>IFERROR(VLOOKUP(AF219,[1]STOK!J:O,6,0),"")</f>
        <v>6</v>
      </c>
      <c r="AH219" s="2">
        <f t="shared" si="6"/>
        <v>1</v>
      </c>
      <c r="AI219" t="s">
        <v>323</v>
      </c>
      <c r="AJ219" t="s">
        <v>324</v>
      </c>
      <c r="AK219" t="s">
        <v>325</v>
      </c>
      <c r="AL219" t="s">
        <v>86</v>
      </c>
      <c r="AM219">
        <v>42513</v>
      </c>
      <c r="AN219">
        <f t="shared" si="7"/>
        <v>42300.434999999998</v>
      </c>
      <c r="AO219" t="s">
        <v>66</v>
      </c>
      <c r="AP219">
        <v>0.5</v>
      </c>
      <c r="AQ219" t="s">
        <v>66</v>
      </c>
      <c r="AR219">
        <v>0</v>
      </c>
      <c r="AS219" t="s">
        <v>66</v>
      </c>
      <c r="AT219">
        <v>0</v>
      </c>
      <c r="AU219" t="s">
        <v>66</v>
      </c>
      <c r="AV219">
        <v>0</v>
      </c>
      <c r="AW219" t="s">
        <v>66</v>
      </c>
      <c r="AX219">
        <v>0</v>
      </c>
      <c r="AY219" t="s">
        <v>66</v>
      </c>
      <c r="AZ219">
        <v>0</v>
      </c>
      <c r="BA219" t="s">
        <v>66</v>
      </c>
      <c r="BB219">
        <v>0</v>
      </c>
      <c r="BC219">
        <v>0</v>
      </c>
      <c r="BD219">
        <v>253802.61</v>
      </c>
      <c r="BE219">
        <v>34360.79</v>
      </c>
      <c r="BF219">
        <v>0</v>
      </c>
      <c r="BG219" t="s">
        <v>87</v>
      </c>
      <c r="BH219" t="s">
        <v>66</v>
      </c>
      <c r="BI219">
        <v>0</v>
      </c>
      <c r="BJ219" t="s">
        <v>66</v>
      </c>
      <c r="BK219" t="s">
        <v>88</v>
      </c>
      <c r="BL219" t="s">
        <v>66</v>
      </c>
      <c r="BM219" t="s">
        <v>89</v>
      </c>
    </row>
    <row r="220" spans="1:65" x14ac:dyDescent="0.25">
      <c r="A220">
        <v>218</v>
      </c>
      <c r="B220" t="s">
        <v>479</v>
      </c>
      <c r="C220" t="s">
        <v>68</v>
      </c>
      <c r="D220" s="1">
        <v>46234</v>
      </c>
      <c r="E220" t="s">
        <v>480</v>
      </c>
      <c r="F220" t="s">
        <v>68</v>
      </c>
      <c r="G220" t="s">
        <v>69</v>
      </c>
      <c r="H220" t="s">
        <v>70</v>
      </c>
      <c r="I220" t="s">
        <v>71</v>
      </c>
      <c r="J220" t="s">
        <v>72</v>
      </c>
      <c r="K220" t="s">
        <v>73</v>
      </c>
      <c r="L220" t="s">
        <v>74</v>
      </c>
      <c r="M220" t="s">
        <v>481</v>
      </c>
      <c r="N220" t="s">
        <v>111</v>
      </c>
      <c r="O220" t="s">
        <v>482</v>
      </c>
      <c r="P220" t="s">
        <v>483</v>
      </c>
      <c r="Q220" t="s">
        <v>66</v>
      </c>
      <c r="R220" s="1">
        <v>46234</v>
      </c>
      <c r="S220" t="s">
        <v>484</v>
      </c>
      <c r="T220" t="s">
        <v>483</v>
      </c>
      <c r="U220" t="s">
        <v>66</v>
      </c>
      <c r="V220" t="s">
        <v>485</v>
      </c>
      <c r="W220" t="s">
        <v>66</v>
      </c>
      <c r="X220">
        <v>1198278.5</v>
      </c>
      <c r="Y220">
        <v>131810.64000000001</v>
      </c>
      <c r="Z220">
        <v>42984</v>
      </c>
      <c r="AA220">
        <v>4728.24</v>
      </c>
      <c r="AB220">
        <v>1330089.1399999999</v>
      </c>
      <c r="AC220">
        <v>3</v>
      </c>
      <c r="AD220" t="s">
        <v>82</v>
      </c>
      <c r="AE220">
        <v>3</v>
      </c>
      <c r="AF220" t="s">
        <v>141</v>
      </c>
      <c r="AG220">
        <f>IFERROR(VLOOKUP(AF220,[1]STOK!J:O,6,0),"")</f>
        <v>12</v>
      </c>
      <c r="AH220" s="2">
        <f t="shared" si="6"/>
        <v>0.25</v>
      </c>
      <c r="AI220" t="s">
        <v>141</v>
      </c>
      <c r="AJ220" t="s">
        <v>142</v>
      </c>
      <c r="AK220" t="s">
        <v>143</v>
      </c>
      <c r="AL220" t="s">
        <v>86</v>
      </c>
      <c r="AM220">
        <v>15984</v>
      </c>
      <c r="AN220">
        <f t="shared" si="7"/>
        <v>15904.08</v>
      </c>
      <c r="AO220" t="s">
        <v>66</v>
      </c>
      <c r="AP220">
        <v>0.5</v>
      </c>
      <c r="AQ220" t="s">
        <v>66</v>
      </c>
      <c r="AR220">
        <v>0</v>
      </c>
      <c r="AS220" t="s">
        <v>66</v>
      </c>
      <c r="AT220">
        <v>0</v>
      </c>
      <c r="AU220" t="s">
        <v>66</v>
      </c>
      <c r="AV220">
        <v>0</v>
      </c>
      <c r="AW220" t="s">
        <v>66</v>
      </c>
      <c r="AX220">
        <v>0</v>
      </c>
      <c r="AY220" t="s">
        <v>66</v>
      </c>
      <c r="AZ220">
        <v>0</v>
      </c>
      <c r="BA220" t="s">
        <v>66</v>
      </c>
      <c r="BB220">
        <v>0</v>
      </c>
      <c r="BC220">
        <v>0</v>
      </c>
      <c r="BD220">
        <v>47712.24</v>
      </c>
      <c r="BE220">
        <v>13029.29</v>
      </c>
      <c r="BF220">
        <v>0</v>
      </c>
      <c r="BG220" t="s">
        <v>87</v>
      </c>
      <c r="BH220" t="s">
        <v>66</v>
      </c>
      <c r="BI220">
        <v>0</v>
      </c>
      <c r="BJ220" t="s">
        <v>66</v>
      </c>
      <c r="BK220" t="s">
        <v>88</v>
      </c>
      <c r="BL220" t="s">
        <v>66</v>
      </c>
      <c r="BM220" t="s">
        <v>89</v>
      </c>
    </row>
    <row r="221" spans="1:65" x14ac:dyDescent="0.25">
      <c r="A221">
        <v>219</v>
      </c>
      <c r="B221" t="s">
        <v>479</v>
      </c>
      <c r="C221" t="s">
        <v>68</v>
      </c>
      <c r="D221" s="1">
        <v>46234</v>
      </c>
      <c r="E221" t="s">
        <v>480</v>
      </c>
      <c r="F221" t="s">
        <v>68</v>
      </c>
      <c r="G221" t="s">
        <v>69</v>
      </c>
      <c r="H221" t="s">
        <v>70</v>
      </c>
      <c r="I221" t="s">
        <v>71</v>
      </c>
      <c r="J221" t="s">
        <v>72</v>
      </c>
      <c r="K221" t="s">
        <v>73</v>
      </c>
      <c r="L221" t="s">
        <v>74</v>
      </c>
      <c r="M221" t="s">
        <v>481</v>
      </c>
      <c r="N221" t="s">
        <v>111</v>
      </c>
      <c r="O221" t="s">
        <v>482</v>
      </c>
      <c r="P221" t="s">
        <v>483</v>
      </c>
      <c r="Q221" t="s">
        <v>66</v>
      </c>
      <c r="R221" s="1">
        <v>46234</v>
      </c>
      <c r="S221" t="s">
        <v>484</v>
      </c>
      <c r="T221" t="s">
        <v>483</v>
      </c>
      <c r="U221" t="s">
        <v>66</v>
      </c>
      <c r="V221" t="s">
        <v>485</v>
      </c>
      <c r="W221" t="s">
        <v>66</v>
      </c>
      <c r="X221">
        <v>1198278.5</v>
      </c>
      <c r="Y221">
        <v>131810.64000000001</v>
      </c>
      <c r="Z221">
        <v>41193</v>
      </c>
      <c r="AA221">
        <v>4531.2299999999996</v>
      </c>
      <c r="AB221">
        <v>1330089.1399999999</v>
      </c>
      <c r="AC221">
        <v>3</v>
      </c>
      <c r="AD221" t="s">
        <v>82</v>
      </c>
      <c r="AE221">
        <v>3</v>
      </c>
      <c r="AF221" t="s">
        <v>105</v>
      </c>
      <c r="AG221">
        <f>IFERROR(VLOOKUP(AF221,[1]STOK!J:O,6,0),"")</f>
        <v>12</v>
      </c>
      <c r="AH221" s="2">
        <f t="shared" si="6"/>
        <v>0.25</v>
      </c>
      <c r="AI221" t="s">
        <v>105</v>
      </c>
      <c r="AJ221" t="s">
        <v>106</v>
      </c>
      <c r="AK221" t="s">
        <v>107</v>
      </c>
      <c r="AL221" t="s">
        <v>86</v>
      </c>
      <c r="AM221">
        <v>15318</v>
      </c>
      <c r="AN221">
        <f t="shared" si="7"/>
        <v>15241.410000000002</v>
      </c>
      <c r="AO221" t="s">
        <v>66</v>
      </c>
      <c r="AP221">
        <v>0.5</v>
      </c>
      <c r="AQ221" t="s">
        <v>66</v>
      </c>
      <c r="AR221">
        <v>0</v>
      </c>
      <c r="AS221" t="s">
        <v>66</v>
      </c>
      <c r="AT221">
        <v>0</v>
      </c>
      <c r="AU221" t="s">
        <v>66</v>
      </c>
      <c r="AV221">
        <v>0</v>
      </c>
      <c r="AW221" t="s">
        <v>66</v>
      </c>
      <c r="AX221">
        <v>0</v>
      </c>
      <c r="AY221" t="s">
        <v>66</v>
      </c>
      <c r="AZ221">
        <v>0</v>
      </c>
      <c r="BA221" t="s">
        <v>66</v>
      </c>
      <c r="BB221">
        <v>0</v>
      </c>
      <c r="BC221">
        <v>0</v>
      </c>
      <c r="BD221">
        <v>45724.23</v>
      </c>
      <c r="BE221">
        <v>12470.34</v>
      </c>
      <c r="BF221">
        <v>0</v>
      </c>
      <c r="BG221" t="s">
        <v>87</v>
      </c>
      <c r="BH221" t="s">
        <v>66</v>
      </c>
      <c r="BI221">
        <v>0</v>
      </c>
      <c r="BJ221" t="s">
        <v>66</v>
      </c>
      <c r="BK221" t="s">
        <v>88</v>
      </c>
      <c r="BL221" t="s">
        <v>66</v>
      </c>
      <c r="BM221" t="s">
        <v>89</v>
      </c>
    </row>
    <row r="222" spans="1:65" x14ac:dyDescent="0.25">
      <c r="A222">
        <v>220</v>
      </c>
      <c r="B222" t="s">
        <v>501</v>
      </c>
      <c r="C222" t="s">
        <v>68</v>
      </c>
      <c r="D222" s="1">
        <v>46204</v>
      </c>
      <c r="E222" t="s">
        <v>502</v>
      </c>
      <c r="F222" t="s">
        <v>68</v>
      </c>
      <c r="G222" t="s">
        <v>295</v>
      </c>
      <c r="H222" t="s">
        <v>296</v>
      </c>
      <c r="I222" t="s">
        <v>71</v>
      </c>
      <c r="J222" t="s">
        <v>72</v>
      </c>
      <c r="K222" t="s">
        <v>73</v>
      </c>
      <c r="L222" t="s">
        <v>74</v>
      </c>
      <c r="M222" t="s">
        <v>503</v>
      </c>
      <c r="N222" t="s">
        <v>111</v>
      </c>
      <c r="O222" t="s">
        <v>504</v>
      </c>
      <c r="P222" t="s">
        <v>505</v>
      </c>
      <c r="Q222" t="s">
        <v>506</v>
      </c>
      <c r="R222" s="1">
        <v>46205</v>
      </c>
      <c r="S222" t="s">
        <v>507</v>
      </c>
      <c r="T222" t="s">
        <v>508</v>
      </c>
      <c r="U222" t="s">
        <v>509</v>
      </c>
      <c r="V222" t="s">
        <v>66</v>
      </c>
      <c r="W222" t="s">
        <v>66</v>
      </c>
      <c r="X222">
        <v>2250072</v>
      </c>
      <c r="Y222">
        <v>247507.92</v>
      </c>
      <c r="Z222">
        <v>460944</v>
      </c>
      <c r="AA222">
        <v>50703.839999999997</v>
      </c>
      <c r="AB222">
        <v>2497579.92</v>
      </c>
      <c r="AC222">
        <v>2</v>
      </c>
      <c r="AD222" t="s">
        <v>134</v>
      </c>
      <c r="AE222">
        <v>24</v>
      </c>
      <c r="AF222" t="s">
        <v>284</v>
      </c>
      <c r="AG222">
        <f>IFERROR(VLOOKUP(AF222,[1]STOK!J:O,6,0),"")</f>
        <v>12</v>
      </c>
      <c r="AH222" s="2">
        <f t="shared" si="6"/>
        <v>2</v>
      </c>
      <c r="AI222" t="s">
        <v>284</v>
      </c>
      <c r="AJ222" t="s">
        <v>285</v>
      </c>
      <c r="AK222" t="s">
        <v>286</v>
      </c>
      <c r="AL222" t="s">
        <v>86</v>
      </c>
      <c r="AM222">
        <v>258408</v>
      </c>
      <c r="AN222">
        <f t="shared" si="7"/>
        <v>255823.92</v>
      </c>
      <c r="AO222" t="s">
        <v>66</v>
      </c>
      <c r="AP222">
        <v>1</v>
      </c>
      <c r="AQ222" t="s">
        <v>66</v>
      </c>
      <c r="AR222">
        <v>0</v>
      </c>
      <c r="AS222" t="s">
        <v>66</v>
      </c>
      <c r="AT222">
        <v>0</v>
      </c>
      <c r="AU222" t="s">
        <v>66</v>
      </c>
      <c r="AV222">
        <v>0</v>
      </c>
      <c r="AW222" t="s">
        <v>66</v>
      </c>
      <c r="AX222">
        <v>0</v>
      </c>
      <c r="AY222" t="s">
        <v>66</v>
      </c>
      <c r="AZ222">
        <v>0</v>
      </c>
      <c r="BA222" t="s">
        <v>66</v>
      </c>
      <c r="BB222">
        <v>0</v>
      </c>
      <c r="BC222">
        <v>0</v>
      </c>
      <c r="BD222">
        <v>511647.84</v>
      </c>
      <c r="BE222">
        <v>17371.36</v>
      </c>
      <c r="BF222">
        <v>0</v>
      </c>
      <c r="BG222" t="s">
        <v>87</v>
      </c>
      <c r="BH222" t="s">
        <v>66</v>
      </c>
      <c r="BI222">
        <v>0</v>
      </c>
      <c r="BJ222" t="s">
        <v>66</v>
      </c>
      <c r="BK222" t="s">
        <v>88</v>
      </c>
      <c r="BL222" t="s">
        <v>66</v>
      </c>
      <c r="BM222" t="s">
        <v>159</v>
      </c>
    </row>
    <row r="223" spans="1:65" x14ac:dyDescent="0.25">
      <c r="A223">
        <v>221</v>
      </c>
      <c r="B223" t="s">
        <v>501</v>
      </c>
      <c r="C223" t="s">
        <v>68</v>
      </c>
      <c r="D223" s="1">
        <v>46204</v>
      </c>
      <c r="E223" t="s">
        <v>502</v>
      </c>
      <c r="F223" t="s">
        <v>68</v>
      </c>
      <c r="G223" t="s">
        <v>295</v>
      </c>
      <c r="H223" t="s">
        <v>296</v>
      </c>
      <c r="I223" t="s">
        <v>71</v>
      </c>
      <c r="J223" t="s">
        <v>72</v>
      </c>
      <c r="K223" t="s">
        <v>73</v>
      </c>
      <c r="L223" t="s">
        <v>74</v>
      </c>
      <c r="M223" t="s">
        <v>503</v>
      </c>
      <c r="N223" t="s">
        <v>111</v>
      </c>
      <c r="O223" t="s">
        <v>504</v>
      </c>
      <c r="P223" t="s">
        <v>505</v>
      </c>
      <c r="Q223" t="s">
        <v>506</v>
      </c>
      <c r="R223" s="1">
        <v>46205</v>
      </c>
      <c r="S223" t="s">
        <v>507</v>
      </c>
      <c r="T223" t="s">
        <v>508</v>
      </c>
      <c r="U223" t="s">
        <v>509</v>
      </c>
      <c r="V223" t="s">
        <v>66</v>
      </c>
      <c r="W223" t="s">
        <v>66</v>
      </c>
      <c r="X223">
        <v>2250072</v>
      </c>
      <c r="Y223">
        <v>247507.92</v>
      </c>
      <c r="Z223">
        <v>230472</v>
      </c>
      <c r="AA223">
        <v>25351.919999999998</v>
      </c>
      <c r="AB223">
        <v>2497579.92</v>
      </c>
      <c r="AC223">
        <v>1</v>
      </c>
      <c r="AD223" t="s">
        <v>134</v>
      </c>
      <c r="AE223">
        <v>12</v>
      </c>
      <c r="AF223" t="s">
        <v>287</v>
      </c>
      <c r="AG223">
        <f>IFERROR(VLOOKUP(AF223,[1]STOK!J:O,6,0),"")</f>
        <v>12</v>
      </c>
      <c r="AH223" s="2">
        <f t="shared" si="6"/>
        <v>1</v>
      </c>
      <c r="AI223" t="s">
        <v>287</v>
      </c>
      <c r="AJ223" t="s">
        <v>288</v>
      </c>
      <c r="AK223" t="s">
        <v>289</v>
      </c>
      <c r="AL223" t="s">
        <v>86</v>
      </c>
      <c r="AM223">
        <v>258408</v>
      </c>
      <c r="AN223">
        <f t="shared" si="7"/>
        <v>255823.92</v>
      </c>
      <c r="AO223" t="s">
        <v>66</v>
      </c>
      <c r="AP223">
        <v>1</v>
      </c>
      <c r="AQ223" t="s">
        <v>66</v>
      </c>
      <c r="AR223">
        <v>0</v>
      </c>
      <c r="AS223" t="s">
        <v>66</v>
      </c>
      <c r="AT223">
        <v>0</v>
      </c>
      <c r="AU223" t="s">
        <v>66</v>
      </c>
      <c r="AV223">
        <v>0</v>
      </c>
      <c r="AW223" t="s">
        <v>66</v>
      </c>
      <c r="AX223">
        <v>0</v>
      </c>
      <c r="AY223" t="s">
        <v>66</v>
      </c>
      <c r="AZ223">
        <v>0</v>
      </c>
      <c r="BA223" t="s">
        <v>66</v>
      </c>
      <c r="BB223">
        <v>0</v>
      </c>
      <c r="BC223">
        <v>0</v>
      </c>
      <c r="BD223">
        <v>255823.92</v>
      </c>
      <c r="BE223">
        <v>17422.02</v>
      </c>
      <c r="BF223">
        <v>0</v>
      </c>
      <c r="BG223" t="s">
        <v>87</v>
      </c>
      <c r="BH223" t="s">
        <v>66</v>
      </c>
      <c r="BI223">
        <v>0</v>
      </c>
      <c r="BJ223" t="s">
        <v>66</v>
      </c>
      <c r="BK223" t="s">
        <v>88</v>
      </c>
      <c r="BL223" t="s">
        <v>66</v>
      </c>
      <c r="BM223" t="s">
        <v>159</v>
      </c>
    </row>
    <row r="224" spans="1:65" x14ac:dyDescent="0.25">
      <c r="A224">
        <v>222</v>
      </c>
      <c r="B224" t="s">
        <v>501</v>
      </c>
      <c r="C224" t="s">
        <v>68</v>
      </c>
      <c r="D224" s="1">
        <v>46204</v>
      </c>
      <c r="E224" t="s">
        <v>502</v>
      </c>
      <c r="F224" t="s">
        <v>68</v>
      </c>
      <c r="G224" t="s">
        <v>295</v>
      </c>
      <c r="H224" t="s">
        <v>296</v>
      </c>
      <c r="I224" t="s">
        <v>71</v>
      </c>
      <c r="J224" t="s">
        <v>72</v>
      </c>
      <c r="K224" t="s">
        <v>73</v>
      </c>
      <c r="L224" t="s">
        <v>74</v>
      </c>
      <c r="M224" t="s">
        <v>503</v>
      </c>
      <c r="N224" t="s">
        <v>111</v>
      </c>
      <c r="O224" t="s">
        <v>504</v>
      </c>
      <c r="P224" t="s">
        <v>505</v>
      </c>
      <c r="Q224" t="s">
        <v>506</v>
      </c>
      <c r="R224" s="1">
        <v>46205</v>
      </c>
      <c r="S224" t="s">
        <v>507</v>
      </c>
      <c r="T224" t="s">
        <v>508</v>
      </c>
      <c r="U224" t="s">
        <v>509</v>
      </c>
      <c r="V224" t="s">
        <v>66</v>
      </c>
      <c r="W224" t="s">
        <v>66</v>
      </c>
      <c r="X224">
        <v>2250072</v>
      </c>
      <c r="Y224">
        <v>247507.92</v>
      </c>
      <c r="Z224">
        <v>127116</v>
      </c>
      <c r="AA224">
        <v>13982.76</v>
      </c>
      <c r="AB224">
        <v>2497579.92</v>
      </c>
      <c r="AC224">
        <v>1</v>
      </c>
      <c r="AD224" t="s">
        <v>134</v>
      </c>
      <c r="AE224">
        <v>12</v>
      </c>
      <c r="AF224" t="s">
        <v>418</v>
      </c>
      <c r="AG224">
        <f>IFERROR(VLOOKUP(AF224,[1]STOK!J:O,6,0),"")</f>
        <v>12</v>
      </c>
      <c r="AH224" s="2">
        <f t="shared" si="6"/>
        <v>1</v>
      </c>
      <c r="AI224" t="s">
        <v>418</v>
      </c>
      <c r="AJ224" t="s">
        <v>419</v>
      </c>
      <c r="AK224" t="s">
        <v>420</v>
      </c>
      <c r="AL224" t="s">
        <v>86</v>
      </c>
      <c r="AM224">
        <v>142524</v>
      </c>
      <c r="AN224">
        <f t="shared" si="7"/>
        <v>141098.76</v>
      </c>
      <c r="AO224" t="s">
        <v>66</v>
      </c>
      <c r="AP224">
        <v>1</v>
      </c>
      <c r="AQ224" t="s">
        <v>66</v>
      </c>
      <c r="AR224">
        <v>0</v>
      </c>
      <c r="AS224" t="s">
        <v>66</v>
      </c>
      <c r="AT224">
        <v>0</v>
      </c>
      <c r="AU224" t="s">
        <v>66</v>
      </c>
      <c r="AV224">
        <v>0</v>
      </c>
      <c r="AW224" t="s">
        <v>66</v>
      </c>
      <c r="AX224">
        <v>0</v>
      </c>
      <c r="AY224" t="s">
        <v>66</v>
      </c>
      <c r="AZ224">
        <v>0</v>
      </c>
      <c r="BA224" t="s">
        <v>66</v>
      </c>
      <c r="BB224">
        <v>0</v>
      </c>
      <c r="BC224">
        <v>0</v>
      </c>
      <c r="BD224">
        <v>141098.76</v>
      </c>
      <c r="BE224">
        <v>9260.9599999999991</v>
      </c>
      <c r="BF224">
        <v>0</v>
      </c>
      <c r="BG224" t="s">
        <v>87</v>
      </c>
      <c r="BH224" t="s">
        <v>66</v>
      </c>
      <c r="BI224">
        <v>0</v>
      </c>
      <c r="BJ224" t="s">
        <v>66</v>
      </c>
      <c r="BK224" t="s">
        <v>88</v>
      </c>
      <c r="BL224" t="s">
        <v>66</v>
      </c>
      <c r="BM224" t="s">
        <v>159</v>
      </c>
    </row>
    <row r="225" spans="1:65" x14ac:dyDescent="0.25">
      <c r="A225">
        <v>223</v>
      </c>
      <c r="B225" t="s">
        <v>501</v>
      </c>
      <c r="C225" t="s">
        <v>68</v>
      </c>
      <c r="D225" s="1">
        <v>46204</v>
      </c>
      <c r="E225" t="s">
        <v>502</v>
      </c>
      <c r="F225" t="s">
        <v>68</v>
      </c>
      <c r="G225" t="s">
        <v>295</v>
      </c>
      <c r="H225" t="s">
        <v>296</v>
      </c>
      <c r="I225" t="s">
        <v>71</v>
      </c>
      <c r="J225" t="s">
        <v>72</v>
      </c>
      <c r="K225" t="s">
        <v>73</v>
      </c>
      <c r="L225" t="s">
        <v>74</v>
      </c>
      <c r="M225" t="s">
        <v>503</v>
      </c>
      <c r="N225" t="s">
        <v>111</v>
      </c>
      <c r="O225" t="s">
        <v>504</v>
      </c>
      <c r="P225" t="s">
        <v>505</v>
      </c>
      <c r="Q225" t="s">
        <v>506</v>
      </c>
      <c r="R225" s="1">
        <v>46205</v>
      </c>
      <c r="S225" t="s">
        <v>507</v>
      </c>
      <c r="T225" t="s">
        <v>508</v>
      </c>
      <c r="U225" t="s">
        <v>509</v>
      </c>
      <c r="V225" t="s">
        <v>66</v>
      </c>
      <c r="W225" t="s">
        <v>66</v>
      </c>
      <c r="X225">
        <v>2250072</v>
      </c>
      <c r="Y225">
        <v>247507.92</v>
      </c>
      <c r="Z225">
        <v>168102</v>
      </c>
      <c r="AA225">
        <v>18491.22</v>
      </c>
      <c r="AB225">
        <v>2497579.92</v>
      </c>
      <c r="AC225">
        <v>1</v>
      </c>
      <c r="AD225" t="s">
        <v>134</v>
      </c>
      <c r="AE225">
        <v>6</v>
      </c>
      <c r="AF225" t="s">
        <v>510</v>
      </c>
      <c r="AG225">
        <f>IFERROR(VLOOKUP(AF225,[1]STOK!J:O,6,0),"")</f>
        <v>6</v>
      </c>
      <c r="AH225" s="2">
        <f t="shared" si="6"/>
        <v>1</v>
      </c>
      <c r="AI225" t="s">
        <v>510</v>
      </c>
      <c r="AJ225" t="s">
        <v>511</v>
      </c>
      <c r="AK225" t="s">
        <v>512</v>
      </c>
      <c r="AL225" t="s">
        <v>86</v>
      </c>
      <c r="AM225">
        <v>188478</v>
      </c>
      <c r="AN225">
        <f t="shared" si="7"/>
        <v>186593.22</v>
      </c>
      <c r="AO225" t="s">
        <v>66</v>
      </c>
      <c r="AP225">
        <v>1</v>
      </c>
      <c r="AQ225" t="s">
        <v>66</v>
      </c>
      <c r="AR225">
        <v>0</v>
      </c>
      <c r="AS225" t="s">
        <v>66</v>
      </c>
      <c r="AT225">
        <v>0</v>
      </c>
      <c r="AU225" t="s">
        <v>66</v>
      </c>
      <c r="AV225">
        <v>0</v>
      </c>
      <c r="AW225" t="s">
        <v>66</v>
      </c>
      <c r="AX225">
        <v>0</v>
      </c>
      <c r="AY225" t="s">
        <v>66</v>
      </c>
      <c r="AZ225">
        <v>0</v>
      </c>
      <c r="BA225" t="s">
        <v>66</v>
      </c>
      <c r="BB225">
        <v>0</v>
      </c>
      <c r="BC225">
        <v>0</v>
      </c>
      <c r="BD225">
        <v>186593.22</v>
      </c>
      <c r="BE225">
        <v>24132.89</v>
      </c>
      <c r="BF225">
        <v>0</v>
      </c>
      <c r="BG225" t="s">
        <v>87</v>
      </c>
      <c r="BH225" t="s">
        <v>66</v>
      </c>
      <c r="BI225">
        <v>0</v>
      </c>
      <c r="BJ225" t="s">
        <v>66</v>
      </c>
      <c r="BK225" t="s">
        <v>88</v>
      </c>
      <c r="BL225" t="s">
        <v>66</v>
      </c>
      <c r="BM225" t="s">
        <v>159</v>
      </c>
    </row>
    <row r="226" spans="1:65" x14ac:dyDescent="0.25">
      <c r="A226">
        <v>224</v>
      </c>
      <c r="B226" t="s">
        <v>501</v>
      </c>
      <c r="C226" t="s">
        <v>68</v>
      </c>
      <c r="D226" s="1">
        <v>46204</v>
      </c>
      <c r="E226" t="s">
        <v>502</v>
      </c>
      <c r="F226" t="s">
        <v>68</v>
      </c>
      <c r="G226" t="s">
        <v>295</v>
      </c>
      <c r="H226" t="s">
        <v>296</v>
      </c>
      <c r="I226" t="s">
        <v>71</v>
      </c>
      <c r="J226" t="s">
        <v>72</v>
      </c>
      <c r="K226" t="s">
        <v>73</v>
      </c>
      <c r="L226" t="s">
        <v>74</v>
      </c>
      <c r="M226" t="s">
        <v>503</v>
      </c>
      <c r="N226" t="s">
        <v>111</v>
      </c>
      <c r="O226" t="s">
        <v>504</v>
      </c>
      <c r="P226" t="s">
        <v>505</v>
      </c>
      <c r="Q226" t="s">
        <v>506</v>
      </c>
      <c r="R226" s="1">
        <v>46205</v>
      </c>
      <c r="S226" t="s">
        <v>507</v>
      </c>
      <c r="T226" t="s">
        <v>508</v>
      </c>
      <c r="U226" t="s">
        <v>509</v>
      </c>
      <c r="V226" t="s">
        <v>66</v>
      </c>
      <c r="W226" t="s">
        <v>66</v>
      </c>
      <c r="X226">
        <v>2250072</v>
      </c>
      <c r="Y226">
        <v>247507.92</v>
      </c>
      <c r="Z226">
        <v>122364</v>
      </c>
      <c r="AA226">
        <v>13460.04</v>
      </c>
      <c r="AB226">
        <v>2497579.92</v>
      </c>
      <c r="AC226">
        <v>1</v>
      </c>
      <c r="AD226" t="s">
        <v>134</v>
      </c>
      <c r="AE226">
        <v>12</v>
      </c>
      <c r="AF226" t="s">
        <v>513</v>
      </c>
      <c r="AG226">
        <f>IFERROR(VLOOKUP(AF226,[1]STOK!J:O,6,0),"")</f>
        <v>12</v>
      </c>
      <c r="AH226" s="2">
        <f t="shared" si="6"/>
        <v>1</v>
      </c>
      <c r="AI226" t="s">
        <v>513</v>
      </c>
      <c r="AJ226" t="s">
        <v>514</v>
      </c>
      <c r="AK226" t="s">
        <v>515</v>
      </c>
      <c r="AL226" t="s">
        <v>86</v>
      </c>
      <c r="AM226">
        <v>137196</v>
      </c>
      <c r="AN226">
        <f t="shared" si="7"/>
        <v>135824.04</v>
      </c>
      <c r="AO226" t="s">
        <v>66</v>
      </c>
      <c r="AP226">
        <v>1</v>
      </c>
      <c r="AQ226" t="s">
        <v>66</v>
      </c>
      <c r="AR226">
        <v>0</v>
      </c>
      <c r="AS226" t="s">
        <v>66</v>
      </c>
      <c r="AT226">
        <v>0</v>
      </c>
      <c r="AU226" t="s">
        <v>66</v>
      </c>
      <c r="AV226">
        <v>0</v>
      </c>
      <c r="AW226" t="s">
        <v>66</v>
      </c>
      <c r="AX226">
        <v>0</v>
      </c>
      <c r="AY226" t="s">
        <v>66</v>
      </c>
      <c r="AZ226">
        <v>0</v>
      </c>
      <c r="BA226" t="s">
        <v>66</v>
      </c>
      <c r="BB226">
        <v>0</v>
      </c>
      <c r="BC226">
        <v>0</v>
      </c>
      <c r="BD226">
        <v>135824.04</v>
      </c>
      <c r="BE226">
        <v>8589.5</v>
      </c>
      <c r="BF226">
        <v>0</v>
      </c>
      <c r="BG226" t="s">
        <v>87</v>
      </c>
      <c r="BH226" t="s">
        <v>66</v>
      </c>
      <c r="BI226">
        <v>0</v>
      </c>
      <c r="BJ226" t="s">
        <v>66</v>
      </c>
      <c r="BK226" t="s">
        <v>88</v>
      </c>
      <c r="BL226" t="s">
        <v>66</v>
      </c>
      <c r="BM226" t="s">
        <v>159</v>
      </c>
    </row>
    <row r="227" spans="1:65" x14ac:dyDescent="0.25">
      <c r="A227">
        <v>225</v>
      </c>
      <c r="B227" t="s">
        <v>501</v>
      </c>
      <c r="C227" t="s">
        <v>68</v>
      </c>
      <c r="D227" s="1">
        <v>46204</v>
      </c>
      <c r="E227" t="s">
        <v>502</v>
      </c>
      <c r="F227" t="s">
        <v>68</v>
      </c>
      <c r="G227" t="s">
        <v>295</v>
      </c>
      <c r="H227" t="s">
        <v>296</v>
      </c>
      <c r="I227" t="s">
        <v>71</v>
      </c>
      <c r="J227" t="s">
        <v>72</v>
      </c>
      <c r="K227" t="s">
        <v>73</v>
      </c>
      <c r="L227" t="s">
        <v>74</v>
      </c>
      <c r="M227" t="s">
        <v>503</v>
      </c>
      <c r="N227" t="s">
        <v>111</v>
      </c>
      <c r="O227" t="s">
        <v>504</v>
      </c>
      <c r="P227" t="s">
        <v>505</v>
      </c>
      <c r="Q227" t="s">
        <v>506</v>
      </c>
      <c r="R227" s="1">
        <v>46205</v>
      </c>
      <c r="S227" t="s">
        <v>507</v>
      </c>
      <c r="T227" t="s">
        <v>508</v>
      </c>
      <c r="U227" t="s">
        <v>509</v>
      </c>
      <c r="V227" t="s">
        <v>66</v>
      </c>
      <c r="W227" t="s">
        <v>66</v>
      </c>
      <c r="X227">
        <v>2250072</v>
      </c>
      <c r="Y227">
        <v>247507.92</v>
      </c>
      <c r="Z227">
        <v>475200</v>
      </c>
      <c r="AA227">
        <v>52272</v>
      </c>
      <c r="AB227">
        <v>2497579.92</v>
      </c>
      <c r="AC227">
        <v>2</v>
      </c>
      <c r="AD227" t="s">
        <v>134</v>
      </c>
      <c r="AE227">
        <v>24</v>
      </c>
      <c r="AF227" t="s">
        <v>290</v>
      </c>
      <c r="AG227">
        <f>IFERROR(VLOOKUP(AF227,[1]STOK!J:O,6,0),"")</f>
        <v>12</v>
      </c>
      <c r="AH227" s="2">
        <f t="shared" si="6"/>
        <v>2</v>
      </c>
      <c r="AI227" t="s">
        <v>290</v>
      </c>
      <c r="AJ227" t="s">
        <v>291</v>
      </c>
      <c r="AK227" t="s">
        <v>292</v>
      </c>
      <c r="AL227" t="s">
        <v>86</v>
      </c>
      <c r="AM227">
        <v>266400</v>
      </c>
      <c r="AN227">
        <f t="shared" si="7"/>
        <v>263736</v>
      </c>
      <c r="AO227" t="s">
        <v>66</v>
      </c>
      <c r="AP227">
        <v>1</v>
      </c>
      <c r="AQ227" t="s">
        <v>66</v>
      </c>
      <c r="AR227">
        <v>0</v>
      </c>
      <c r="AS227" t="s">
        <v>66</v>
      </c>
      <c r="AT227">
        <v>0</v>
      </c>
      <c r="AU227" t="s">
        <v>66</v>
      </c>
      <c r="AV227">
        <v>0</v>
      </c>
      <c r="AW227" t="s">
        <v>66</v>
      </c>
      <c r="AX227">
        <v>0</v>
      </c>
      <c r="AY227" t="s">
        <v>66</v>
      </c>
      <c r="AZ227">
        <v>0</v>
      </c>
      <c r="BA227" t="s">
        <v>66</v>
      </c>
      <c r="BB227">
        <v>0</v>
      </c>
      <c r="BC227">
        <v>0</v>
      </c>
      <c r="BD227">
        <v>527472</v>
      </c>
      <c r="BE227">
        <v>18106.89</v>
      </c>
      <c r="BF227">
        <v>0</v>
      </c>
      <c r="BG227" t="s">
        <v>87</v>
      </c>
      <c r="BH227" t="s">
        <v>66</v>
      </c>
      <c r="BI227">
        <v>0</v>
      </c>
      <c r="BJ227" t="s">
        <v>66</v>
      </c>
      <c r="BK227" t="s">
        <v>88</v>
      </c>
      <c r="BL227" t="s">
        <v>66</v>
      </c>
      <c r="BM227" t="s">
        <v>159</v>
      </c>
    </row>
    <row r="228" spans="1:65" x14ac:dyDescent="0.25">
      <c r="A228">
        <v>226</v>
      </c>
      <c r="B228" t="s">
        <v>501</v>
      </c>
      <c r="C228" t="s">
        <v>68</v>
      </c>
      <c r="D228" s="1">
        <v>46204</v>
      </c>
      <c r="E228" t="s">
        <v>502</v>
      </c>
      <c r="F228" t="s">
        <v>68</v>
      </c>
      <c r="G228" t="s">
        <v>295</v>
      </c>
      <c r="H228" t="s">
        <v>296</v>
      </c>
      <c r="I228" t="s">
        <v>71</v>
      </c>
      <c r="J228" t="s">
        <v>72</v>
      </c>
      <c r="K228" t="s">
        <v>73</v>
      </c>
      <c r="L228" t="s">
        <v>74</v>
      </c>
      <c r="M228" t="s">
        <v>503</v>
      </c>
      <c r="N228" t="s">
        <v>111</v>
      </c>
      <c r="O228" t="s">
        <v>504</v>
      </c>
      <c r="P228" t="s">
        <v>505</v>
      </c>
      <c r="Q228" t="s">
        <v>506</v>
      </c>
      <c r="R228" s="1">
        <v>46205</v>
      </c>
      <c r="S228" t="s">
        <v>507</v>
      </c>
      <c r="T228" t="s">
        <v>508</v>
      </c>
      <c r="U228" t="s">
        <v>509</v>
      </c>
      <c r="V228" t="s">
        <v>66</v>
      </c>
      <c r="W228" t="s">
        <v>66</v>
      </c>
      <c r="X228">
        <v>2250072</v>
      </c>
      <c r="Y228">
        <v>247507.92</v>
      </c>
      <c r="Z228">
        <v>227502</v>
      </c>
      <c r="AA228">
        <v>25025.22</v>
      </c>
      <c r="AB228">
        <v>2497579.92</v>
      </c>
      <c r="AC228">
        <v>1</v>
      </c>
      <c r="AD228" t="s">
        <v>134</v>
      </c>
      <c r="AE228">
        <v>6</v>
      </c>
      <c r="AF228" t="s">
        <v>323</v>
      </c>
      <c r="AG228">
        <f>IFERROR(VLOOKUP(AF228,[1]STOK!J:O,6,0),"")</f>
        <v>6</v>
      </c>
      <c r="AH228" s="2">
        <f t="shared" si="6"/>
        <v>1</v>
      </c>
      <c r="AI228" t="s">
        <v>323</v>
      </c>
      <c r="AJ228" t="s">
        <v>324</v>
      </c>
      <c r="AK228" t="s">
        <v>325</v>
      </c>
      <c r="AL228" t="s">
        <v>86</v>
      </c>
      <c r="AM228">
        <v>255078</v>
      </c>
      <c r="AN228">
        <f t="shared" si="7"/>
        <v>252527.22</v>
      </c>
      <c r="AO228" t="s">
        <v>66</v>
      </c>
      <c r="AP228">
        <v>1</v>
      </c>
      <c r="AQ228" t="s">
        <v>66</v>
      </c>
      <c r="AR228">
        <v>0</v>
      </c>
      <c r="AS228" t="s">
        <v>66</v>
      </c>
      <c r="AT228">
        <v>0</v>
      </c>
      <c r="AU228" t="s">
        <v>66</v>
      </c>
      <c r="AV228">
        <v>0</v>
      </c>
      <c r="AW228" t="s">
        <v>66</v>
      </c>
      <c r="AX228">
        <v>0</v>
      </c>
      <c r="AY228" t="s">
        <v>66</v>
      </c>
      <c r="AZ228">
        <v>0</v>
      </c>
      <c r="BA228" t="s">
        <v>66</v>
      </c>
      <c r="BB228">
        <v>0</v>
      </c>
      <c r="BC228">
        <v>0</v>
      </c>
      <c r="BD228">
        <v>252527.22</v>
      </c>
      <c r="BE228">
        <v>34469.339999999997</v>
      </c>
      <c r="BF228">
        <v>0</v>
      </c>
      <c r="BG228" t="s">
        <v>87</v>
      </c>
      <c r="BH228" t="s">
        <v>66</v>
      </c>
      <c r="BI228">
        <v>0</v>
      </c>
      <c r="BJ228" t="s">
        <v>66</v>
      </c>
      <c r="BK228" t="s">
        <v>88</v>
      </c>
      <c r="BL228" t="s">
        <v>66</v>
      </c>
      <c r="BM228" t="s">
        <v>159</v>
      </c>
    </row>
    <row r="229" spans="1:65" x14ac:dyDescent="0.25">
      <c r="A229">
        <v>227</v>
      </c>
      <c r="B229" t="s">
        <v>501</v>
      </c>
      <c r="C229" t="s">
        <v>68</v>
      </c>
      <c r="D229" s="1">
        <v>46204</v>
      </c>
      <c r="E229" t="s">
        <v>502</v>
      </c>
      <c r="F229" t="s">
        <v>68</v>
      </c>
      <c r="G229" t="s">
        <v>295</v>
      </c>
      <c r="H229" t="s">
        <v>296</v>
      </c>
      <c r="I229" t="s">
        <v>71</v>
      </c>
      <c r="J229" t="s">
        <v>72</v>
      </c>
      <c r="K229" t="s">
        <v>73</v>
      </c>
      <c r="L229" t="s">
        <v>74</v>
      </c>
      <c r="M229" t="s">
        <v>503</v>
      </c>
      <c r="N229" t="s">
        <v>111</v>
      </c>
      <c r="O229" t="s">
        <v>504</v>
      </c>
      <c r="P229" t="s">
        <v>505</v>
      </c>
      <c r="Q229" t="s">
        <v>506</v>
      </c>
      <c r="R229" s="1">
        <v>46205</v>
      </c>
      <c r="S229" t="s">
        <v>507</v>
      </c>
      <c r="T229" t="s">
        <v>508</v>
      </c>
      <c r="U229" t="s">
        <v>509</v>
      </c>
      <c r="V229" t="s">
        <v>66</v>
      </c>
      <c r="W229" t="s">
        <v>66</v>
      </c>
      <c r="X229">
        <v>2250072</v>
      </c>
      <c r="Y229">
        <v>247507.92</v>
      </c>
      <c r="Z229">
        <v>267300</v>
      </c>
      <c r="AA229">
        <v>29403</v>
      </c>
      <c r="AB229">
        <v>2497579.92</v>
      </c>
      <c r="AC229">
        <v>1</v>
      </c>
      <c r="AD229" t="s">
        <v>134</v>
      </c>
      <c r="AE229">
        <v>4</v>
      </c>
      <c r="AF229" t="s">
        <v>312</v>
      </c>
      <c r="AG229">
        <f>IFERROR(VLOOKUP(AF229,[1]STOK!J:O,6,0),"")</f>
        <v>4</v>
      </c>
      <c r="AH229" s="2">
        <f t="shared" si="6"/>
        <v>1</v>
      </c>
      <c r="AI229" t="s">
        <v>312</v>
      </c>
      <c r="AJ229" t="s">
        <v>313</v>
      </c>
      <c r="AK229" t="s">
        <v>314</v>
      </c>
      <c r="AL229" t="s">
        <v>86</v>
      </c>
      <c r="AM229">
        <v>299700</v>
      </c>
      <c r="AN229">
        <f t="shared" si="7"/>
        <v>296703</v>
      </c>
      <c r="AO229" t="s">
        <v>66</v>
      </c>
      <c r="AP229">
        <v>1</v>
      </c>
      <c r="AQ229" t="s">
        <v>66</v>
      </c>
      <c r="AR229">
        <v>0</v>
      </c>
      <c r="AS229" t="s">
        <v>66</v>
      </c>
      <c r="AT229">
        <v>0</v>
      </c>
      <c r="AU229" t="s">
        <v>66</v>
      </c>
      <c r="AV229">
        <v>0</v>
      </c>
      <c r="AW229" t="s">
        <v>66</v>
      </c>
      <c r="AX229">
        <v>0</v>
      </c>
      <c r="AY229" t="s">
        <v>66</v>
      </c>
      <c r="AZ229">
        <v>0</v>
      </c>
      <c r="BA229" t="s">
        <v>66</v>
      </c>
      <c r="BB229">
        <v>0</v>
      </c>
      <c r="BC229">
        <v>0</v>
      </c>
      <c r="BD229">
        <v>296703</v>
      </c>
      <c r="BE229">
        <v>60292.27</v>
      </c>
      <c r="BF229">
        <v>0</v>
      </c>
      <c r="BG229" t="s">
        <v>87</v>
      </c>
      <c r="BH229" t="s">
        <v>66</v>
      </c>
      <c r="BI229">
        <v>0</v>
      </c>
      <c r="BJ229" t="s">
        <v>66</v>
      </c>
      <c r="BK229" t="s">
        <v>88</v>
      </c>
      <c r="BL229" t="s">
        <v>66</v>
      </c>
      <c r="BM229" t="s">
        <v>159</v>
      </c>
    </row>
    <row r="230" spans="1:65" x14ac:dyDescent="0.25">
      <c r="A230">
        <v>228</v>
      </c>
      <c r="B230" t="s">
        <v>501</v>
      </c>
      <c r="C230" t="s">
        <v>68</v>
      </c>
      <c r="D230" s="1">
        <v>46204</v>
      </c>
      <c r="E230" t="s">
        <v>502</v>
      </c>
      <c r="F230" t="s">
        <v>68</v>
      </c>
      <c r="G230" t="s">
        <v>295</v>
      </c>
      <c r="H230" t="s">
        <v>296</v>
      </c>
      <c r="I230" t="s">
        <v>71</v>
      </c>
      <c r="J230" t="s">
        <v>72</v>
      </c>
      <c r="K230" t="s">
        <v>73</v>
      </c>
      <c r="L230" t="s">
        <v>74</v>
      </c>
      <c r="M230" t="s">
        <v>503</v>
      </c>
      <c r="N230" t="s">
        <v>111</v>
      </c>
      <c r="O230" t="s">
        <v>504</v>
      </c>
      <c r="P230" t="s">
        <v>505</v>
      </c>
      <c r="Q230" t="s">
        <v>506</v>
      </c>
      <c r="R230" s="1">
        <v>46205</v>
      </c>
      <c r="S230" t="s">
        <v>507</v>
      </c>
      <c r="T230" t="s">
        <v>508</v>
      </c>
      <c r="U230" t="s">
        <v>509</v>
      </c>
      <c r="V230" t="s">
        <v>66</v>
      </c>
      <c r="W230" t="s">
        <v>66</v>
      </c>
      <c r="X230">
        <v>2250072</v>
      </c>
      <c r="Y230">
        <v>247507.92</v>
      </c>
      <c r="Z230">
        <v>171072</v>
      </c>
      <c r="AA230">
        <v>18817.919999999998</v>
      </c>
      <c r="AB230">
        <v>2497579.92</v>
      </c>
      <c r="AC230">
        <v>1</v>
      </c>
      <c r="AD230" t="s">
        <v>134</v>
      </c>
      <c r="AE230">
        <v>12</v>
      </c>
      <c r="AF230" t="s">
        <v>141</v>
      </c>
      <c r="AG230">
        <f>IFERROR(VLOOKUP(AF230,[1]STOK!J:O,6,0),"")</f>
        <v>12</v>
      </c>
      <c r="AH230" s="2">
        <f t="shared" si="6"/>
        <v>1</v>
      </c>
      <c r="AI230" t="s">
        <v>141</v>
      </c>
      <c r="AJ230" t="s">
        <v>142</v>
      </c>
      <c r="AK230" t="s">
        <v>143</v>
      </c>
      <c r="AL230" t="s">
        <v>86</v>
      </c>
      <c r="AM230">
        <v>191808</v>
      </c>
      <c r="AN230">
        <f t="shared" si="7"/>
        <v>189889.92000000001</v>
      </c>
      <c r="AO230" t="s">
        <v>66</v>
      </c>
      <c r="AP230">
        <v>1</v>
      </c>
      <c r="AQ230" t="s">
        <v>66</v>
      </c>
      <c r="AR230">
        <v>0</v>
      </c>
      <c r="AS230" t="s">
        <v>66</v>
      </c>
      <c r="AT230">
        <v>0</v>
      </c>
      <c r="AU230" t="s">
        <v>66</v>
      </c>
      <c r="AV230">
        <v>0</v>
      </c>
      <c r="AW230" t="s">
        <v>66</v>
      </c>
      <c r="AX230">
        <v>0</v>
      </c>
      <c r="AY230" t="s">
        <v>66</v>
      </c>
      <c r="AZ230">
        <v>0</v>
      </c>
      <c r="BA230" t="s">
        <v>66</v>
      </c>
      <c r="BB230">
        <v>0</v>
      </c>
      <c r="BC230">
        <v>0</v>
      </c>
      <c r="BD230">
        <v>189889.92000000001</v>
      </c>
      <c r="BE230">
        <v>13012.92</v>
      </c>
      <c r="BF230">
        <v>0</v>
      </c>
      <c r="BG230" t="s">
        <v>87</v>
      </c>
      <c r="BH230" t="s">
        <v>66</v>
      </c>
      <c r="BI230">
        <v>0</v>
      </c>
      <c r="BJ230" t="s">
        <v>66</v>
      </c>
      <c r="BK230" t="s">
        <v>88</v>
      </c>
      <c r="BL230" t="s">
        <v>66</v>
      </c>
      <c r="BM230" t="s">
        <v>159</v>
      </c>
    </row>
    <row r="231" spans="1:65" x14ac:dyDescent="0.25">
      <c r="A231">
        <v>229</v>
      </c>
      <c r="B231" t="s">
        <v>516</v>
      </c>
      <c r="C231" t="s">
        <v>68</v>
      </c>
      <c r="D231" s="1">
        <v>46204</v>
      </c>
      <c r="E231" t="s">
        <v>517</v>
      </c>
      <c r="F231" t="s">
        <v>68</v>
      </c>
      <c r="G231" t="s">
        <v>295</v>
      </c>
      <c r="H231" t="s">
        <v>296</v>
      </c>
      <c r="I231" t="s">
        <v>71</v>
      </c>
      <c r="J231" t="s">
        <v>72</v>
      </c>
      <c r="K231" t="s">
        <v>73</v>
      </c>
      <c r="L231" t="s">
        <v>74</v>
      </c>
      <c r="M231" t="s">
        <v>503</v>
      </c>
      <c r="N231" t="s">
        <v>111</v>
      </c>
      <c r="O231" t="s">
        <v>504</v>
      </c>
      <c r="P231" t="s">
        <v>505</v>
      </c>
      <c r="Q231" t="s">
        <v>518</v>
      </c>
      <c r="R231" s="1">
        <v>46205</v>
      </c>
      <c r="S231" t="s">
        <v>507</v>
      </c>
      <c r="T231" t="s">
        <v>508</v>
      </c>
      <c r="U231" t="s">
        <v>509</v>
      </c>
      <c r="V231" t="s">
        <v>66</v>
      </c>
      <c r="W231" t="s">
        <v>66</v>
      </c>
      <c r="X231">
        <v>3115728</v>
      </c>
      <c r="Y231">
        <v>342730.08</v>
      </c>
      <c r="Z231">
        <v>392040</v>
      </c>
      <c r="AA231">
        <v>43124.4</v>
      </c>
      <c r="AB231">
        <v>3458458.08</v>
      </c>
      <c r="AC231">
        <v>1</v>
      </c>
      <c r="AD231" t="s">
        <v>134</v>
      </c>
      <c r="AE231">
        <v>24</v>
      </c>
      <c r="AF231" t="s">
        <v>93</v>
      </c>
      <c r="AG231">
        <f>IFERROR(VLOOKUP(AF231,[1]STOK!J:O,6,0),"")</f>
        <v>24</v>
      </c>
      <c r="AH231" s="2">
        <f t="shared" si="6"/>
        <v>1</v>
      </c>
      <c r="AI231" t="s">
        <v>93</v>
      </c>
      <c r="AJ231" t="s">
        <v>94</v>
      </c>
      <c r="AK231" t="s">
        <v>95</v>
      </c>
      <c r="AL231" t="s">
        <v>86</v>
      </c>
      <c r="AM231">
        <v>439560</v>
      </c>
      <c r="AN231">
        <f t="shared" si="7"/>
        <v>435164.4</v>
      </c>
      <c r="AO231" t="s">
        <v>66</v>
      </c>
      <c r="AP231">
        <v>1</v>
      </c>
      <c r="AQ231" t="s">
        <v>66</v>
      </c>
      <c r="AR231">
        <v>0</v>
      </c>
      <c r="AS231" t="s">
        <v>66</v>
      </c>
      <c r="AT231">
        <v>0</v>
      </c>
      <c r="AU231" t="s">
        <v>66</v>
      </c>
      <c r="AV231">
        <v>0</v>
      </c>
      <c r="AW231" t="s">
        <v>66</v>
      </c>
      <c r="AX231">
        <v>0</v>
      </c>
      <c r="AY231" t="s">
        <v>66</v>
      </c>
      <c r="AZ231">
        <v>0</v>
      </c>
      <c r="BA231" t="s">
        <v>66</v>
      </c>
      <c r="BB231">
        <v>0</v>
      </c>
      <c r="BC231">
        <v>0</v>
      </c>
      <c r="BD231">
        <v>435164.4</v>
      </c>
      <c r="BE231">
        <v>14931.72</v>
      </c>
      <c r="BF231">
        <v>0</v>
      </c>
      <c r="BG231" t="s">
        <v>87</v>
      </c>
      <c r="BH231" t="s">
        <v>66</v>
      </c>
      <c r="BI231">
        <v>0</v>
      </c>
      <c r="BJ231" t="s">
        <v>66</v>
      </c>
      <c r="BK231" t="s">
        <v>88</v>
      </c>
      <c r="BL231" t="s">
        <v>66</v>
      </c>
      <c r="BM231" t="s">
        <v>159</v>
      </c>
    </row>
    <row r="232" spans="1:65" x14ac:dyDescent="0.25">
      <c r="A232">
        <v>230</v>
      </c>
      <c r="B232" t="s">
        <v>516</v>
      </c>
      <c r="C232" t="s">
        <v>68</v>
      </c>
      <c r="D232" s="1">
        <v>46204</v>
      </c>
      <c r="E232" t="s">
        <v>517</v>
      </c>
      <c r="F232" t="s">
        <v>68</v>
      </c>
      <c r="G232" t="s">
        <v>295</v>
      </c>
      <c r="H232" t="s">
        <v>296</v>
      </c>
      <c r="I232" t="s">
        <v>71</v>
      </c>
      <c r="J232" t="s">
        <v>72</v>
      </c>
      <c r="K232" t="s">
        <v>73</v>
      </c>
      <c r="L232" t="s">
        <v>74</v>
      </c>
      <c r="M232" t="s">
        <v>503</v>
      </c>
      <c r="N232" t="s">
        <v>111</v>
      </c>
      <c r="O232" t="s">
        <v>504</v>
      </c>
      <c r="P232" t="s">
        <v>505</v>
      </c>
      <c r="Q232" t="s">
        <v>518</v>
      </c>
      <c r="R232" s="1">
        <v>46205</v>
      </c>
      <c r="S232" t="s">
        <v>507</v>
      </c>
      <c r="T232" t="s">
        <v>508</v>
      </c>
      <c r="U232" t="s">
        <v>509</v>
      </c>
      <c r="V232" t="s">
        <v>66</v>
      </c>
      <c r="W232" t="s">
        <v>66</v>
      </c>
      <c r="X232">
        <v>3115728</v>
      </c>
      <c r="Y232">
        <v>342730.08</v>
      </c>
      <c r="Z232">
        <v>512424</v>
      </c>
      <c r="AA232">
        <v>56366.64</v>
      </c>
      <c r="AB232">
        <v>3458458.08</v>
      </c>
      <c r="AC232">
        <v>1</v>
      </c>
      <c r="AD232" t="s">
        <v>134</v>
      </c>
      <c r="AE232">
        <v>4</v>
      </c>
      <c r="AF232" t="s">
        <v>519</v>
      </c>
      <c r="AG232">
        <f>IFERROR(VLOOKUP(AF232,[1]STOK!J:O,6,0),"")</f>
        <v>4</v>
      </c>
      <c r="AH232" s="2">
        <f t="shared" si="6"/>
        <v>1</v>
      </c>
      <c r="AI232" t="s">
        <v>519</v>
      </c>
      <c r="AJ232" t="s">
        <v>520</v>
      </c>
      <c r="AK232" t="s">
        <v>521</v>
      </c>
      <c r="AL232" t="s">
        <v>86</v>
      </c>
      <c r="AM232">
        <v>574536</v>
      </c>
      <c r="AN232">
        <f t="shared" si="7"/>
        <v>568790.64</v>
      </c>
      <c r="AO232" t="s">
        <v>66</v>
      </c>
      <c r="AP232">
        <v>1</v>
      </c>
      <c r="AQ232" t="s">
        <v>66</v>
      </c>
      <c r="AR232">
        <v>0</v>
      </c>
      <c r="AS232" t="s">
        <v>66</v>
      </c>
      <c r="AT232">
        <v>0</v>
      </c>
      <c r="AU232" t="s">
        <v>66</v>
      </c>
      <c r="AV232">
        <v>0</v>
      </c>
      <c r="AW232" t="s">
        <v>66</v>
      </c>
      <c r="AX232">
        <v>0</v>
      </c>
      <c r="AY232" t="s">
        <v>66</v>
      </c>
      <c r="AZ232">
        <v>0</v>
      </c>
      <c r="BA232" t="s">
        <v>66</v>
      </c>
      <c r="BB232">
        <v>0</v>
      </c>
      <c r="BC232">
        <v>0</v>
      </c>
      <c r="BD232">
        <v>568790.64</v>
      </c>
      <c r="BE232">
        <v>114637.35</v>
      </c>
      <c r="BF232">
        <v>0</v>
      </c>
      <c r="BG232" t="s">
        <v>87</v>
      </c>
      <c r="BH232" t="s">
        <v>66</v>
      </c>
      <c r="BI232">
        <v>0</v>
      </c>
      <c r="BJ232" t="s">
        <v>66</v>
      </c>
      <c r="BK232" t="s">
        <v>88</v>
      </c>
      <c r="BL232" t="s">
        <v>66</v>
      </c>
      <c r="BM232" t="s">
        <v>159</v>
      </c>
    </row>
    <row r="233" spans="1:65" x14ac:dyDescent="0.25">
      <c r="A233">
        <v>231</v>
      </c>
      <c r="B233" t="s">
        <v>516</v>
      </c>
      <c r="C233" t="s">
        <v>68</v>
      </c>
      <c r="D233" s="1">
        <v>46204</v>
      </c>
      <c r="E233" t="s">
        <v>517</v>
      </c>
      <c r="F233" t="s">
        <v>68</v>
      </c>
      <c r="G233" t="s">
        <v>295</v>
      </c>
      <c r="H233" t="s">
        <v>296</v>
      </c>
      <c r="I233" t="s">
        <v>71</v>
      </c>
      <c r="J233" t="s">
        <v>72</v>
      </c>
      <c r="K233" t="s">
        <v>73</v>
      </c>
      <c r="L233" t="s">
        <v>74</v>
      </c>
      <c r="M233" t="s">
        <v>503</v>
      </c>
      <c r="N233" t="s">
        <v>111</v>
      </c>
      <c r="O233" t="s">
        <v>504</v>
      </c>
      <c r="P233" t="s">
        <v>505</v>
      </c>
      <c r="Q233" t="s">
        <v>518</v>
      </c>
      <c r="R233" s="1">
        <v>46205</v>
      </c>
      <c r="S233" t="s">
        <v>507</v>
      </c>
      <c r="T233" t="s">
        <v>508</v>
      </c>
      <c r="U233" t="s">
        <v>509</v>
      </c>
      <c r="V233" t="s">
        <v>66</v>
      </c>
      <c r="W233" t="s">
        <v>66</v>
      </c>
      <c r="X233">
        <v>3115728</v>
      </c>
      <c r="Y233">
        <v>342730.08</v>
      </c>
      <c r="Z233">
        <v>512424</v>
      </c>
      <c r="AA233">
        <v>56366.64</v>
      </c>
      <c r="AB233">
        <v>3458458.08</v>
      </c>
      <c r="AC233">
        <v>1</v>
      </c>
      <c r="AD233" t="s">
        <v>134</v>
      </c>
      <c r="AE233">
        <v>4</v>
      </c>
      <c r="AF233" t="s">
        <v>522</v>
      </c>
      <c r="AG233">
        <f>IFERROR(VLOOKUP(AF233,[1]STOK!J:O,6,0),"")</f>
        <v>4</v>
      </c>
      <c r="AH233" s="2">
        <f t="shared" si="6"/>
        <v>1</v>
      </c>
      <c r="AI233" t="s">
        <v>522</v>
      </c>
      <c r="AJ233" t="s">
        <v>523</v>
      </c>
      <c r="AK233" t="s">
        <v>524</v>
      </c>
      <c r="AL233" t="s">
        <v>86</v>
      </c>
      <c r="AM233">
        <v>574536</v>
      </c>
      <c r="AN233">
        <f t="shared" si="7"/>
        <v>568790.64</v>
      </c>
      <c r="AO233" t="s">
        <v>66</v>
      </c>
      <c r="AP233">
        <v>1</v>
      </c>
      <c r="AQ233" t="s">
        <v>66</v>
      </c>
      <c r="AR233">
        <v>0</v>
      </c>
      <c r="AS233" t="s">
        <v>66</v>
      </c>
      <c r="AT233">
        <v>0</v>
      </c>
      <c r="AU233" t="s">
        <v>66</v>
      </c>
      <c r="AV233">
        <v>0</v>
      </c>
      <c r="AW233" t="s">
        <v>66</v>
      </c>
      <c r="AX233">
        <v>0</v>
      </c>
      <c r="AY233" t="s">
        <v>66</v>
      </c>
      <c r="AZ233">
        <v>0</v>
      </c>
      <c r="BA233" t="s">
        <v>66</v>
      </c>
      <c r="BB233">
        <v>0</v>
      </c>
      <c r="BC233">
        <v>0</v>
      </c>
      <c r="BD233">
        <v>568790.64</v>
      </c>
      <c r="BE233">
        <v>113522.8</v>
      </c>
      <c r="BF233">
        <v>0</v>
      </c>
      <c r="BG233" t="s">
        <v>87</v>
      </c>
      <c r="BH233" t="s">
        <v>66</v>
      </c>
      <c r="BI233">
        <v>0</v>
      </c>
      <c r="BJ233" t="s">
        <v>66</v>
      </c>
      <c r="BK233" t="s">
        <v>88</v>
      </c>
      <c r="BL233" t="s">
        <v>66</v>
      </c>
      <c r="BM233" t="s">
        <v>159</v>
      </c>
    </row>
    <row r="234" spans="1:65" x14ac:dyDescent="0.25">
      <c r="A234">
        <v>232</v>
      </c>
      <c r="B234" t="s">
        <v>516</v>
      </c>
      <c r="C234" t="s">
        <v>68</v>
      </c>
      <c r="D234" s="1">
        <v>46204</v>
      </c>
      <c r="E234" t="s">
        <v>517</v>
      </c>
      <c r="F234" t="s">
        <v>68</v>
      </c>
      <c r="G234" t="s">
        <v>295</v>
      </c>
      <c r="H234" t="s">
        <v>296</v>
      </c>
      <c r="I234" t="s">
        <v>71</v>
      </c>
      <c r="J234" t="s">
        <v>72</v>
      </c>
      <c r="K234" t="s">
        <v>73</v>
      </c>
      <c r="L234" t="s">
        <v>74</v>
      </c>
      <c r="M234" t="s">
        <v>503</v>
      </c>
      <c r="N234" t="s">
        <v>111</v>
      </c>
      <c r="O234" t="s">
        <v>504</v>
      </c>
      <c r="P234" t="s">
        <v>505</v>
      </c>
      <c r="Q234" t="s">
        <v>518</v>
      </c>
      <c r="R234" s="1">
        <v>46205</v>
      </c>
      <c r="S234" t="s">
        <v>507</v>
      </c>
      <c r="T234" t="s">
        <v>508</v>
      </c>
      <c r="U234" t="s">
        <v>509</v>
      </c>
      <c r="V234" t="s">
        <v>66</v>
      </c>
      <c r="W234" t="s">
        <v>66</v>
      </c>
      <c r="X234">
        <v>3115728</v>
      </c>
      <c r="Y234">
        <v>342730.08</v>
      </c>
      <c r="Z234">
        <v>639144</v>
      </c>
      <c r="AA234">
        <v>70305.84</v>
      </c>
      <c r="AB234">
        <v>3458458.08</v>
      </c>
      <c r="AC234">
        <v>2</v>
      </c>
      <c r="AD234" t="s">
        <v>134</v>
      </c>
      <c r="AE234">
        <v>12</v>
      </c>
      <c r="AF234" t="s">
        <v>525</v>
      </c>
      <c r="AG234">
        <f>IFERROR(VLOOKUP(AF234,[1]STOK!J:O,6,0),"")</f>
        <v>6</v>
      </c>
      <c r="AH234" s="2">
        <f t="shared" si="6"/>
        <v>2</v>
      </c>
      <c r="AI234" t="s">
        <v>525</v>
      </c>
      <c r="AJ234" t="s">
        <v>526</v>
      </c>
      <c r="AK234" t="s">
        <v>527</v>
      </c>
      <c r="AL234" t="s">
        <v>86</v>
      </c>
      <c r="AM234">
        <v>358308</v>
      </c>
      <c r="AN234">
        <f t="shared" si="7"/>
        <v>354724.92</v>
      </c>
      <c r="AO234" t="s">
        <v>66</v>
      </c>
      <c r="AP234">
        <v>1</v>
      </c>
      <c r="AQ234" t="s">
        <v>66</v>
      </c>
      <c r="AR234">
        <v>0</v>
      </c>
      <c r="AS234" t="s">
        <v>66</v>
      </c>
      <c r="AT234">
        <v>0</v>
      </c>
      <c r="AU234" t="s">
        <v>66</v>
      </c>
      <c r="AV234">
        <v>0</v>
      </c>
      <c r="AW234" t="s">
        <v>66</v>
      </c>
      <c r="AX234">
        <v>0</v>
      </c>
      <c r="AY234" t="s">
        <v>66</v>
      </c>
      <c r="AZ234">
        <v>0</v>
      </c>
      <c r="BA234" t="s">
        <v>66</v>
      </c>
      <c r="BB234">
        <v>0</v>
      </c>
      <c r="BC234">
        <v>0</v>
      </c>
      <c r="BD234">
        <v>709449.84</v>
      </c>
      <c r="BE234">
        <v>47919.33</v>
      </c>
      <c r="BF234">
        <v>0</v>
      </c>
      <c r="BG234" t="s">
        <v>87</v>
      </c>
      <c r="BH234" t="s">
        <v>66</v>
      </c>
      <c r="BI234">
        <v>0</v>
      </c>
      <c r="BJ234" t="s">
        <v>66</v>
      </c>
      <c r="BK234" t="s">
        <v>88</v>
      </c>
      <c r="BL234" t="s">
        <v>66</v>
      </c>
      <c r="BM234" t="s">
        <v>159</v>
      </c>
    </row>
    <row r="235" spans="1:65" x14ac:dyDescent="0.25">
      <c r="A235">
        <v>233</v>
      </c>
      <c r="B235" t="s">
        <v>516</v>
      </c>
      <c r="C235" t="s">
        <v>68</v>
      </c>
      <c r="D235" s="1">
        <v>46204</v>
      </c>
      <c r="E235" t="s">
        <v>517</v>
      </c>
      <c r="F235" t="s">
        <v>68</v>
      </c>
      <c r="G235" t="s">
        <v>295</v>
      </c>
      <c r="H235" t="s">
        <v>296</v>
      </c>
      <c r="I235" t="s">
        <v>71</v>
      </c>
      <c r="J235" t="s">
        <v>72</v>
      </c>
      <c r="K235" t="s">
        <v>73</v>
      </c>
      <c r="L235" t="s">
        <v>74</v>
      </c>
      <c r="M235" t="s">
        <v>503</v>
      </c>
      <c r="N235" t="s">
        <v>111</v>
      </c>
      <c r="O235" t="s">
        <v>504</v>
      </c>
      <c r="P235" t="s">
        <v>505</v>
      </c>
      <c r="Q235" t="s">
        <v>518</v>
      </c>
      <c r="R235" s="1">
        <v>46205</v>
      </c>
      <c r="S235" t="s">
        <v>507</v>
      </c>
      <c r="T235" t="s">
        <v>508</v>
      </c>
      <c r="U235" t="s">
        <v>509</v>
      </c>
      <c r="V235" t="s">
        <v>66</v>
      </c>
      <c r="W235" t="s">
        <v>66</v>
      </c>
      <c r="X235">
        <v>3115728</v>
      </c>
      <c r="Y235">
        <v>342730.08</v>
      </c>
      <c r="Z235">
        <v>319572</v>
      </c>
      <c r="AA235">
        <v>35152.92</v>
      </c>
      <c r="AB235">
        <v>3458458.08</v>
      </c>
      <c r="AC235">
        <v>1</v>
      </c>
      <c r="AD235" t="s">
        <v>134</v>
      </c>
      <c r="AE235">
        <v>6</v>
      </c>
      <c r="AF235" t="s">
        <v>528</v>
      </c>
      <c r="AG235">
        <f>IFERROR(VLOOKUP(AF235,[1]STOK!J:O,6,0),"")</f>
        <v>6</v>
      </c>
      <c r="AH235" s="2">
        <f t="shared" si="6"/>
        <v>1</v>
      </c>
      <c r="AI235" t="s">
        <v>528</v>
      </c>
      <c r="AJ235" t="s">
        <v>529</v>
      </c>
      <c r="AK235" t="s">
        <v>530</v>
      </c>
      <c r="AL235" t="s">
        <v>86</v>
      </c>
      <c r="AM235">
        <v>358308</v>
      </c>
      <c r="AN235">
        <f t="shared" si="7"/>
        <v>354724.92</v>
      </c>
      <c r="AO235" t="s">
        <v>66</v>
      </c>
      <c r="AP235">
        <v>1</v>
      </c>
      <c r="AQ235" t="s">
        <v>66</v>
      </c>
      <c r="AR235">
        <v>0</v>
      </c>
      <c r="AS235" t="s">
        <v>66</v>
      </c>
      <c r="AT235">
        <v>0</v>
      </c>
      <c r="AU235" t="s">
        <v>66</v>
      </c>
      <c r="AV235">
        <v>0</v>
      </c>
      <c r="AW235" t="s">
        <v>66</v>
      </c>
      <c r="AX235">
        <v>0</v>
      </c>
      <c r="AY235" t="s">
        <v>66</v>
      </c>
      <c r="AZ235">
        <v>0</v>
      </c>
      <c r="BA235" t="s">
        <v>66</v>
      </c>
      <c r="BB235">
        <v>0</v>
      </c>
      <c r="BC235">
        <v>0</v>
      </c>
      <c r="BD235">
        <v>354724.92</v>
      </c>
      <c r="BE235">
        <v>48615.15</v>
      </c>
      <c r="BF235">
        <v>0</v>
      </c>
      <c r="BG235" t="s">
        <v>87</v>
      </c>
      <c r="BH235" t="s">
        <v>66</v>
      </c>
      <c r="BI235">
        <v>0</v>
      </c>
      <c r="BJ235" t="s">
        <v>66</v>
      </c>
      <c r="BK235" t="s">
        <v>88</v>
      </c>
      <c r="BL235" t="s">
        <v>66</v>
      </c>
      <c r="BM235" t="s">
        <v>159</v>
      </c>
    </row>
    <row r="236" spans="1:65" x14ac:dyDescent="0.25">
      <c r="A236">
        <v>234</v>
      </c>
      <c r="B236" t="s">
        <v>516</v>
      </c>
      <c r="C236" t="s">
        <v>68</v>
      </c>
      <c r="D236" s="1">
        <v>46204</v>
      </c>
      <c r="E236" t="s">
        <v>517</v>
      </c>
      <c r="F236" t="s">
        <v>68</v>
      </c>
      <c r="G236" t="s">
        <v>295</v>
      </c>
      <c r="H236" t="s">
        <v>296</v>
      </c>
      <c r="I236" t="s">
        <v>71</v>
      </c>
      <c r="J236" t="s">
        <v>72</v>
      </c>
      <c r="K236" t="s">
        <v>73</v>
      </c>
      <c r="L236" t="s">
        <v>74</v>
      </c>
      <c r="M236" t="s">
        <v>503</v>
      </c>
      <c r="N236" t="s">
        <v>111</v>
      </c>
      <c r="O236" t="s">
        <v>504</v>
      </c>
      <c r="P236" t="s">
        <v>505</v>
      </c>
      <c r="Q236" t="s">
        <v>518</v>
      </c>
      <c r="R236" s="1">
        <v>46205</v>
      </c>
      <c r="S236" t="s">
        <v>507</v>
      </c>
      <c r="T236" t="s">
        <v>508</v>
      </c>
      <c r="U236" t="s">
        <v>509</v>
      </c>
      <c r="V236" t="s">
        <v>66</v>
      </c>
      <c r="W236" t="s">
        <v>66</v>
      </c>
      <c r="X236">
        <v>3115728</v>
      </c>
      <c r="Y236">
        <v>342730.08</v>
      </c>
      <c r="Z236">
        <v>180576</v>
      </c>
      <c r="AA236">
        <v>19863.36</v>
      </c>
      <c r="AB236">
        <v>3458458.08</v>
      </c>
      <c r="AC236">
        <v>1</v>
      </c>
      <c r="AD236" t="s">
        <v>134</v>
      </c>
      <c r="AE236">
        <v>12</v>
      </c>
      <c r="AF236" t="s">
        <v>531</v>
      </c>
      <c r="AG236">
        <f>IFERROR(VLOOKUP(AF236,[1]STOK!J:O,6,0),"")</f>
        <v>12</v>
      </c>
      <c r="AH236" s="2">
        <f t="shared" si="6"/>
        <v>1</v>
      </c>
      <c r="AI236" t="s">
        <v>531</v>
      </c>
      <c r="AJ236" t="s">
        <v>532</v>
      </c>
      <c r="AK236" t="s">
        <v>533</v>
      </c>
      <c r="AL236" t="s">
        <v>86</v>
      </c>
      <c r="AM236">
        <v>202464</v>
      </c>
      <c r="AN236">
        <f t="shared" si="7"/>
        <v>200439.36</v>
      </c>
      <c r="AO236" t="s">
        <v>66</v>
      </c>
      <c r="AP236">
        <v>1</v>
      </c>
      <c r="AQ236" t="s">
        <v>66</v>
      </c>
      <c r="AR236">
        <v>0</v>
      </c>
      <c r="AS236" t="s">
        <v>66</v>
      </c>
      <c r="AT236">
        <v>0</v>
      </c>
      <c r="AU236" t="s">
        <v>66</v>
      </c>
      <c r="AV236">
        <v>0</v>
      </c>
      <c r="AW236" t="s">
        <v>66</v>
      </c>
      <c r="AX236">
        <v>0</v>
      </c>
      <c r="AY236" t="s">
        <v>66</v>
      </c>
      <c r="AZ236">
        <v>0</v>
      </c>
      <c r="BA236" t="s">
        <v>66</v>
      </c>
      <c r="BB236">
        <v>0</v>
      </c>
      <c r="BC236">
        <v>0</v>
      </c>
      <c r="BD236">
        <v>200439.36</v>
      </c>
      <c r="BE236">
        <v>13310.36</v>
      </c>
      <c r="BF236">
        <v>0</v>
      </c>
      <c r="BG236" t="s">
        <v>87</v>
      </c>
      <c r="BH236" t="s">
        <v>66</v>
      </c>
      <c r="BI236">
        <v>0</v>
      </c>
      <c r="BJ236" t="s">
        <v>66</v>
      </c>
      <c r="BK236" t="s">
        <v>88</v>
      </c>
      <c r="BL236" t="s">
        <v>66</v>
      </c>
      <c r="BM236" t="s">
        <v>159</v>
      </c>
    </row>
    <row r="237" spans="1:65" x14ac:dyDescent="0.25">
      <c r="A237">
        <v>235</v>
      </c>
      <c r="B237" t="s">
        <v>516</v>
      </c>
      <c r="C237" t="s">
        <v>68</v>
      </c>
      <c r="D237" s="1">
        <v>46204</v>
      </c>
      <c r="E237" t="s">
        <v>517</v>
      </c>
      <c r="F237" t="s">
        <v>68</v>
      </c>
      <c r="G237" t="s">
        <v>295</v>
      </c>
      <c r="H237" t="s">
        <v>296</v>
      </c>
      <c r="I237" t="s">
        <v>71</v>
      </c>
      <c r="J237" t="s">
        <v>72</v>
      </c>
      <c r="K237" t="s">
        <v>73</v>
      </c>
      <c r="L237" t="s">
        <v>74</v>
      </c>
      <c r="M237" t="s">
        <v>503</v>
      </c>
      <c r="N237" t="s">
        <v>111</v>
      </c>
      <c r="O237" t="s">
        <v>504</v>
      </c>
      <c r="P237" t="s">
        <v>505</v>
      </c>
      <c r="Q237" t="s">
        <v>518</v>
      </c>
      <c r="R237" s="1">
        <v>46205</v>
      </c>
      <c r="S237" t="s">
        <v>507</v>
      </c>
      <c r="T237" t="s">
        <v>508</v>
      </c>
      <c r="U237" t="s">
        <v>509</v>
      </c>
      <c r="V237" t="s">
        <v>66</v>
      </c>
      <c r="W237" t="s">
        <v>66</v>
      </c>
      <c r="X237">
        <v>3115728</v>
      </c>
      <c r="Y237">
        <v>342730.08</v>
      </c>
      <c r="Z237">
        <v>292248</v>
      </c>
      <c r="AA237">
        <v>32147.279999999999</v>
      </c>
      <c r="AB237">
        <v>3458458.08</v>
      </c>
      <c r="AC237">
        <v>1</v>
      </c>
      <c r="AD237" t="s">
        <v>134</v>
      </c>
      <c r="AE237">
        <v>12</v>
      </c>
      <c r="AF237" t="s">
        <v>534</v>
      </c>
      <c r="AG237">
        <f>IFERROR(VLOOKUP(AF237,[1]STOK!J:O,6,0),"")</f>
        <v>12</v>
      </c>
      <c r="AH237" s="2">
        <f t="shared" si="6"/>
        <v>1</v>
      </c>
      <c r="AI237" t="s">
        <v>534</v>
      </c>
      <c r="AJ237" t="s">
        <v>535</v>
      </c>
      <c r="AK237" t="s">
        <v>536</v>
      </c>
      <c r="AL237" t="s">
        <v>86</v>
      </c>
      <c r="AM237">
        <v>327672</v>
      </c>
      <c r="AN237">
        <f t="shared" si="7"/>
        <v>324395.28000000003</v>
      </c>
      <c r="AO237" t="s">
        <v>66</v>
      </c>
      <c r="AP237">
        <v>1</v>
      </c>
      <c r="AQ237" t="s">
        <v>66</v>
      </c>
      <c r="AR237">
        <v>0</v>
      </c>
      <c r="AS237" t="s">
        <v>66</v>
      </c>
      <c r="AT237">
        <v>0</v>
      </c>
      <c r="AU237" t="s">
        <v>66</v>
      </c>
      <c r="AV237">
        <v>0</v>
      </c>
      <c r="AW237" t="s">
        <v>66</v>
      </c>
      <c r="AX237">
        <v>0</v>
      </c>
      <c r="AY237" t="s">
        <v>66</v>
      </c>
      <c r="AZ237">
        <v>0</v>
      </c>
      <c r="BA237" t="s">
        <v>66</v>
      </c>
      <c r="BB237">
        <v>0</v>
      </c>
      <c r="BC237">
        <v>0</v>
      </c>
      <c r="BD237">
        <v>324395.28000000003</v>
      </c>
      <c r="BE237">
        <v>22297.43</v>
      </c>
      <c r="BF237">
        <v>0</v>
      </c>
      <c r="BG237" t="s">
        <v>87</v>
      </c>
      <c r="BH237" t="s">
        <v>66</v>
      </c>
      <c r="BI237">
        <v>0</v>
      </c>
      <c r="BJ237" t="s">
        <v>66</v>
      </c>
      <c r="BK237" t="s">
        <v>88</v>
      </c>
      <c r="BL237" t="s">
        <v>66</v>
      </c>
      <c r="BM237" t="s">
        <v>159</v>
      </c>
    </row>
    <row r="238" spans="1:65" x14ac:dyDescent="0.25">
      <c r="A238">
        <v>236</v>
      </c>
      <c r="B238" t="s">
        <v>516</v>
      </c>
      <c r="C238" t="s">
        <v>68</v>
      </c>
      <c r="D238" s="1">
        <v>46204</v>
      </c>
      <c r="E238" t="s">
        <v>517</v>
      </c>
      <c r="F238" t="s">
        <v>68</v>
      </c>
      <c r="G238" t="s">
        <v>295</v>
      </c>
      <c r="H238" t="s">
        <v>296</v>
      </c>
      <c r="I238" t="s">
        <v>71</v>
      </c>
      <c r="J238" t="s">
        <v>72</v>
      </c>
      <c r="K238" t="s">
        <v>73</v>
      </c>
      <c r="L238" t="s">
        <v>74</v>
      </c>
      <c r="M238" t="s">
        <v>503</v>
      </c>
      <c r="N238" t="s">
        <v>111</v>
      </c>
      <c r="O238" t="s">
        <v>504</v>
      </c>
      <c r="P238" t="s">
        <v>505</v>
      </c>
      <c r="Q238" t="s">
        <v>518</v>
      </c>
      <c r="R238" s="1">
        <v>46205</v>
      </c>
      <c r="S238" t="s">
        <v>507</v>
      </c>
      <c r="T238" t="s">
        <v>508</v>
      </c>
      <c r="U238" t="s">
        <v>509</v>
      </c>
      <c r="V238" t="s">
        <v>66</v>
      </c>
      <c r="W238" t="s">
        <v>66</v>
      </c>
      <c r="X238">
        <v>3115728</v>
      </c>
      <c r="Y238">
        <v>342730.08</v>
      </c>
      <c r="Z238">
        <v>267300</v>
      </c>
      <c r="AA238">
        <v>29403</v>
      </c>
      <c r="AB238">
        <v>3458458.08</v>
      </c>
      <c r="AC238">
        <v>1</v>
      </c>
      <c r="AD238" t="s">
        <v>134</v>
      </c>
      <c r="AE238">
        <v>4</v>
      </c>
      <c r="AF238" t="s">
        <v>312</v>
      </c>
      <c r="AG238">
        <f>IFERROR(VLOOKUP(AF238,[1]STOK!J:O,6,0),"")</f>
        <v>4</v>
      </c>
      <c r="AH238" s="2">
        <f t="shared" si="6"/>
        <v>1</v>
      </c>
      <c r="AI238" t="s">
        <v>312</v>
      </c>
      <c r="AJ238" t="s">
        <v>313</v>
      </c>
      <c r="AK238" t="s">
        <v>314</v>
      </c>
      <c r="AL238" t="s">
        <v>86</v>
      </c>
      <c r="AM238">
        <v>299700</v>
      </c>
      <c r="AN238">
        <f t="shared" si="7"/>
        <v>296703</v>
      </c>
      <c r="AO238" t="s">
        <v>66</v>
      </c>
      <c r="AP238">
        <v>1</v>
      </c>
      <c r="AQ238" t="s">
        <v>66</v>
      </c>
      <c r="AR238">
        <v>0</v>
      </c>
      <c r="AS238" t="s">
        <v>66</v>
      </c>
      <c r="AT238">
        <v>0</v>
      </c>
      <c r="AU238" t="s">
        <v>66</v>
      </c>
      <c r="AV238">
        <v>0</v>
      </c>
      <c r="AW238" t="s">
        <v>66</v>
      </c>
      <c r="AX238">
        <v>0</v>
      </c>
      <c r="AY238" t="s">
        <v>66</v>
      </c>
      <c r="AZ238">
        <v>0</v>
      </c>
      <c r="BA238" t="s">
        <v>66</v>
      </c>
      <c r="BB238">
        <v>0</v>
      </c>
      <c r="BC238">
        <v>0</v>
      </c>
      <c r="BD238">
        <v>296703</v>
      </c>
      <c r="BE238">
        <v>60292.27</v>
      </c>
      <c r="BF238">
        <v>0</v>
      </c>
      <c r="BG238" t="s">
        <v>87</v>
      </c>
      <c r="BH238" t="s">
        <v>537</v>
      </c>
      <c r="BI238">
        <v>4</v>
      </c>
      <c r="BJ238" t="s">
        <v>209</v>
      </c>
      <c r="BK238" t="s">
        <v>88</v>
      </c>
      <c r="BL238" t="s">
        <v>66</v>
      </c>
      <c r="BM238" t="s">
        <v>159</v>
      </c>
    </row>
    <row r="239" spans="1:65" x14ac:dyDescent="0.25">
      <c r="A239">
        <v>237</v>
      </c>
      <c r="B239" t="s">
        <v>538</v>
      </c>
      <c r="C239" t="s">
        <v>68</v>
      </c>
      <c r="D239" s="1">
        <v>46204</v>
      </c>
      <c r="E239" t="s">
        <v>539</v>
      </c>
      <c r="F239" t="s">
        <v>68</v>
      </c>
      <c r="G239" t="s">
        <v>295</v>
      </c>
      <c r="H239" t="s">
        <v>296</v>
      </c>
      <c r="I239" t="s">
        <v>71</v>
      </c>
      <c r="J239" t="s">
        <v>72</v>
      </c>
      <c r="K239" t="s">
        <v>73</v>
      </c>
      <c r="L239" t="s">
        <v>74</v>
      </c>
      <c r="M239" t="s">
        <v>540</v>
      </c>
      <c r="N239" t="s">
        <v>111</v>
      </c>
      <c r="O239" t="s">
        <v>541</v>
      </c>
      <c r="P239" t="s">
        <v>542</v>
      </c>
      <c r="Q239" t="s">
        <v>543</v>
      </c>
      <c r="R239" s="1">
        <v>46205</v>
      </c>
      <c r="S239" t="s">
        <v>544</v>
      </c>
      <c r="T239" t="s">
        <v>545</v>
      </c>
      <c r="U239" t="s">
        <v>546</v>
      </c>
      <c r="V239" t="s">
        <v>66</v>
      </c>
      <c r="W239" t="s">
        <v>66</v>
      </c>
      <c r="X239">
        <v>459600</v>
      </c>
      <c r="Y239">
        <v>50556</v>
      </c>
      <c r="Z239">
        <v>22200</v>
      </c>
      <c r="AA239">
        <v>2442</v>
      </c>
      <c r="AB239">
        <v>510156</v>
      </c>
      <c r="AC239">
        <v>3</v>
      </c>
      <c r="AD239" t="s">
        <v>82</v>
      </c>
      <c r="AE239">
        <v>3</v>
      </c>
      <c r="AF239" t="s">
        <v>415</v>
      </c>
      <c r="AG239">
        <f>IFERROR(VLOOKUP(AF239,[1]STOK!J:O,6,0),"")</f>
        <v>24</v>
      </c>
      <c r="AH239" s="2">
        <f t="shared" si="6"/>
        <v>0.125</v>
      </c>
      <c r="AI239" t="s">
        <v>415</v>
      </c>
      <c r="AJ239" t="s">
        <v>416</v>
      </c>
      <c r="AK239" t="s">
        <v>417</v>
      </c>
      <c r="AL239" t="s">
        <v>86</v>
      </c>
      <c r="AM239">
        <v>8214</v>
      </c>
      <c r="AN239">
        <f t="shared" si="7"/>
        <v>8214</v>
      </c>
      <c r="AO239" t="s">
        <v>66</v>
      </c>
      <c r="AP239">
        <v>0</v>
      </c>
      <c r="AQ239" t="s">
        <v>66</v>
      </c>
      <c r="AR239">
        <v>0</v>
      </c>
      <c r="AS239" t="s">
        <v>66</v>
      </c>
      <c r="AT239">
        <v>0</v>
      </c>
      <c r="AU239" t="s">
        <v>66</v>
      </c>
      <c r="AV239">
        <v>0</v>
      </c>
      <c r="AW239" t="s">
        <v>66</v>
      </c>
      <c r="AX239">
        <v>0</v>
      </c>
      <c r="AY239" t="s">
        <v>66</v>
      </c>
      <c r="AZ239">
        <v>0</v>
      </c>
      <c r="BA239" t="s">
        <v>66</v>
      </c>
      <c r="BB239">
        <v>0</v>
      </c>
      <c r="BC239">
        <v>0</v>
      </c>
      <c r="BD239">
        <v>24642</v>
      </c>
      <c r="BE239">
        <v>6632.9</v>
      </c>
      <c r="BF239">
        <v>0</v>
      </c>
      <c r="BG239" t="s">
        <v>87</v>
      </c>
      <c r="BH239" t="s">
        <v>66</v>
      </c>
      <c r="BI239">
        <v>0</v>
      </c>
      <c r="BJ239" t="s">
        <v>66</v>
      </c>
      <c r="BK239" t="s">
        <v>88</v>
      </c>
      <c r="BL239" t="s">
        <v>547</v>
      </c>
      <c r="BM239" t="s">
        <v>159</v>
      </c>
    </row>
    <row r="240" spans="1:65" x14ac:dyDescent="0.25">
      <c r="A240">
        <v>238</v>
      </c>
      <c r="B240" t="s">
        <v>538</v>
      </c>
      <c r="C240" t="s">
        <v>68</v>
      </c>
      <c r="D240" s="1">
        <v>46204</v>
      </c>
      <c r="E240" t="s">
        <v>539</v>
      </c>
      <c r="F240" t="s">
        <v>68</v>
      </c>
      <c r="G240" t="s">
        <v>295</v>
      </c>
      <c r="H240" t="s">
        <v>296</v>
      </c>
      <c r="I240" t="s">
        <v>71</v>
      </c>
      <c r="J240" t="s">
        <v>72</v>
      </c>
      <c r="K240" t="s">
        <v>73</v>
      </c>
      <c r="L240" t="s">
        <v>74</v>
      </c>
      <c r="M240" t="s">
        <v>540</v>
      </c>
      <c r="N240" t="s">
        <v>111</v>
      </c>
      <c r="O240" t="s">
        <v>541</v>
      </c>
      <c r="P240" t="s">
        <v>542</v>
      </c>
      <c r="Q240" t="s">
        <v>543</v>
      </c>
      <c r="R240" s="1">
        <v>46205</v>
      </c>
      <c r="S240" t="s">
        <v>544</v>
      </c>
      <c r="T240" t="s">
        <v>545</v>
      </c>
      <c r="U240" t="s">
        <v>546</v>
      </c>
      <c r="V240" t="s">
        <v>66</v>
      </c>
      <c r="W240" t="s">
        <v>66</v>
      </c>
      <c r="X240">
        <v>459600</v>
      </c>
      <c r="Y240">
        <v>50556</v>
      </c>
      <c r="Z240">
        <v>22200</v>
      </c>
      <c r="AA240">
        <v>2442</v>
      </c>
      <c r="AB240">
        <v>510156</v>
      </c>
      <c r="AC240">
        <v>3</v>
      </c>
      <c r="AD240" t="s">
        <v>82</v>
      </c>
      <c r="AE240">
        <v>3</v>
      </c>
      <c r="AF240" t="s">
        <v>262</v>
      </c>
      <c r="AG240">
        <f>IFERROR(VLOOKUP(AF240,[1]STOK!J:O,6,0),"")</f>
        <v>24</v>
      </c>
      <c r="AH240" s="2">
        <f t="shared" si="6"/>
        <v>0.125</v>
      </c>
      <c r="AI240" t="s">
        <v>262</v>
      </c>
      <c r="AJ240" t="s">
        <v>263</v>
      </c>
      <c r="AK240" t="s">
        <v>264</v>
      </c>
      <c r="AL240" t="s">
        <v>86</v>
      </c>
      <c r="AM240">
        <v>8214</v>
      </c>
      <c r="AN240">
        <f t="shared" si="7"/>
        <v>8214</v>
      </c>
      <c r="AO240" t="s">
        <v>66</v>
      </c>
      <c r="AP240">
        <v>0</v>
      </c>
      <c r="AQ240" t="s">
        <v>66</v>
      </c>
      <c r="AR240">
        <v>0</v>
      </c>
      <c r="AS240" t="s">
        <v>66</v>
      </c>
      <c r="AT240">
        <v>0</v>
      </c>
      <c r="AU240" t="s">
        <v>66</v>
      </c>
      <c r="AV240">
        <v>0</v>
      </c>
      <c r="AW240" t="s">
        <v>66</v>
      </c>
      <c r="AX240">
        <v>0</v>
      </c>
      <c r="AY240" t="s">
        <v>66</v>
      </c>
      <c r="AZ240">
        <v>0</v>
      </c>
      <c r="BA240" t="s">
        <v>66</v>
      </c>
      <c r="BB240">
        <v>0</v>
      </c>
      <c r="BC240">
        <v>0</v>
      </c>
      <c r="BD240">
        <v>24642</v>
      </c>
      <c r="BE240">
        <v>6693.78</v>
      </c>
      <c r="BF240">
        <v>0</v>
      </c>
      <c r="BG240" t="s">
        <v>87</v>
      </c>
      <c r="BH240" t="s">
        <v>66</v>
      </c>
      <c r="BI240">
        <v>0</v>
      </c>
      <c r="BJ240" t="s">
        <v>66</v>
      </c>
      <c r="BK240" t="s">
        <v>88</v>
      </c>
      <c r="BL240" t="s">
        <v>547</v>
      </c>
      <c r="BM240" t="s">
        <v>159</v>
      </c>
    </row>
    <row r="241" spans="1:65" x14ac:dyDescent="0.25">
      <c r="A241">
        <v>239</v>
      </c>
      <c r="B241" t="s">
        <v>538</v>
      </c>
      <c r="C241" t="s">
        <v>68</v>
      </c>
      <c r="D241" s="1">
        <v>46204</v>
      </c>
      <c r="E241" t="s">
        <v>539</v>
      </c>
      <c r="F241" t="s">
        <v>68</v>
      </c>
      <c r="G241" t="s">
        <v>295</v>
      </c>
      <c r="H241" t="s">
        <v>296</v>
      </c>
      <c r="I241" t="s">
        <v>71</v>
      </c>
      <c r="J241" t="s">
        <v>72</v>
      </c>
      <c r="K241" t="s">
        <v>73</v>
      </c>
      <c r="L241" t="s">
        <v>74</v>
      </c>
      <c r="M241" t="s">
        <v>540</v>
      </c>
      <c r="N241" t="s">
        <v>111</v>
      </c>
      <c r="O241" t="s">
        <v>541</v>
      </c>
      <c r="P241" t="s">
        <v>542</v>
      </c>
      <c r="Q241" t="s">
        <v>543</v>
      </c>
      <c r="R241" s="1">
        <v>46205</v>
      </c>
      <c r="S241" t="s">
        <v>544</v>
      </c>
      <c r="T241" t="s">
        <v>545</v>
      </c>
      <c r="U241" t="s">
        <v>546</v>
      </c>
      <c r="V241" t="s">
        <v>66</v>
      </c>
      <c r="W241" t="s">
        <v>66</v>
      </c>
      <c r="X241">
        <v>459600</v>
      </c>
      <c r="Y241">
        <v>50556</v>
      </c>
      <c r="Z241">
        <v>22200</v>
      </c>
      <c r="AA241">
        <v>2442</v>
      </c>
      <c r="AB241">
        <v>510156</v>
      </c>
      <c r="AC241">
        <v>3</v>
      </c>
      <c r="AD241" t="s">
        <v>82</v>
      </c>
      <c r="AE241">
        <v>3</v>
      </c>
      <c r="AF241" t="s">
        <v>265</v>
      </c>
      <c r="AG241">
        <f>IFERROR(VLOOKUP(AF241,[1]STOK!J:O,6,0),"")</f>
        <v>24</v>
      </c>
      <c r="AH241" s="2">
        <f t="shared" si="6"/>
        <v>0.125</v>
      </c>
      <c r="AI241" t="s">
        <v>265</v>
      </c>
      <c r="AJ241" t="s">
        <v>266</v>
      </c>
      <c r="AK241" t="s">
        <v>267</v>
      </c>
      <c r="AL241" t="s">
        <v>86</v>
      </c>
      <c r="AM241">
        <v>8214</v>
      </c>
      <c r="AN241">
        <f t="shared" si="7"/>
        <v>8214</v>
      </c>
      <c r="AO241" t="s">
        <v>66</v>
      </c>
      <c r="AP241">
        <v>0</v>
      </c>
      <c r="AQ241" t="s">
        <v>66</v>
      </c>
      <c r="AR241">
        <v>0</v>
      </c>
      <c r="AS241" t="s">
        <v>66</v>
      </c>
      <c r="AT241">
        <v>0</v>
      </c>
      <c r="AU241" t="s">
        <v>66</v>
      </c>
      <c r="AV241">
        <v>0</v>
      </c>
      <c r="AW241" t="s">
        <v>66</v>
      </c>
      <c r="AX241">
        <v>0</v>
      </c>
      <c r="AY241" t="s">
        <v>66</v>
      </c>
      <c r="AZ241">
        <v>0</v>
      </c>
      <c r="BA241" t="s">
        <v>66</v>
      </c>
      <c r="BB241">
        <v>0</v>
      </c>
      <c r="BC241">
        <v>0</v>
      </c>
      <c r="BD241">
        <v>24642</v>
      </c>
      <c r="BE241">
        <v>6661.46</v>
      </c>
      <c r="BF241">
        <v>0</v>
      </c>
      <c r="BG241" t="s">
        <v>87</v>
      </c>
      <c r="BH241" t="s">
        <v>66</v>
      </c>
      <c r="BI241">
        <v>0</v>
      </c>
      <c r="BJ241" t="s">
        <v>66</v>
      </c>
      <c r="BK241" t="s">
        <v>88</v>
      </c>
      <c r="BL241" t="s">
        <v>547</v>
      </c>
      <c r="BM241" t="s">
        <v>159</v>
      </c>
    </row>
    <row r="242" spans="1:65" x14ac:dyDescent="0.25">
      <c r="A242">
        <v>240</v>
      </c>
      <c r="B242" t="s">
        <v>538</v>
      </c>
      <c r="C242" t="s">
        <v>68</v>
      </c>
      <c r="D242" s="1">
        <v>46204</v>
      </c>
      <c r="E242" t="s">
        <v>539</v>
      </c>
      <c r="F242" t="s">
        <v>68</v>
      </c>
      <c r="G242" t="s">
        <v>295</v>
      </c>
      <c r="H242" t="s">
        <v>296</v>
      </c>
      <c r="I242" t="s">
        <v>71</v>
      </c>
      <c r="J242" t="s">
        <v>72</v>
      </c>
      <c r="K242" t="s">
        <v>73</v>
      </c>
      <c r="L242" t="s">
        <v>74</v>
      </c>
      <c r="M242" t="s">
        <v>540</v>
      </c>
      <c r="N242" t="s">
        <v>111</v>
      </c>
      <c r="O242" t="s">
        <v>541</v>
      </c>
      <c r="P242" t="s">
        <v>542</v>
      </c>
      <c r="Q242" t="s">
        <v>543</v>
      </c>
      <c r="R242" s="1">
        <v>46205</v>
      </c>
      <c r="S242" t="s">
        <v>544</v>
      </c>
      <c r="T242" t="s">
        <v>545</v>
      </c>
      <c r="U242" t="s">
        <v>546</v>
      </c>
      <c r="V242" t="s">
        <v>66</v>
      </c>
      <c r="W242" t="s">
        <v>66</v>
      </c>
      <c r="X242">
        <v>459600</v>
      </c>
      <c r="Y242">
        <v>50556</v>
      </c>
      <c r="Z242">
        <v>22200</v>
      </c>
      <c r="AA242">
        <v>2442</v>
      </c>
      <c r="AB242">
        <v>510156</v>
      </c>
      <c r="AC242">
        <v>3</v>
      </c>
      <c r="AD242" t="s">
        <v>82</v>
      </c>
      <c r="AE242">
        <v>3</v>
      </c>
      <c r="AF242" t="s">
        <v>83</v>
      </c>
      <c r="AG242">
        <f>IFERROR(VLOOKUP(AF242,[1]STOK!J:O,6,0),"")</f>
        <v>24</v>
      </c>
      <c r="AH242" s="2">
        <f t="shared" si="6"/>
        <v>0.125</v>
      </c>
      <c r="AI242" t="s">
        <v>83</v>
      </c>
      <c r="AJ242" t="s">
        <v>84</v>
      </c>
      <c r="AK242" t="s">
        <v>85</v>
      </c>
      <c r="AL242" t="s">
        <v>86</v>
      </c>
      <c r="AM242">
        <v>8214</v>
      </c>
      <c r="AN242">
        <f t="shared" si="7"/>
        <v>8214</v>
      </c>
      <c r="AO242" t="s">
        <v>66</v>
      </c>
      <c r="AP242">
        <v>0</v>
      </c>
      <c r="AQ242" t="s">
        <v>66</v>
      </c>
      <c r="AR242">
        <v>0</v>
      </c>
      <c r="AS242" t="s">
        <v>66</v>
      </c>
      <c r="AT242">
        <v>0</v>
      </c>
      <c r="AU242" t="s">
        <v>66</v>
      </c>
      <c r="AV242">
        <v>0</v>
      </c>
      <c r="AW242" t="s">
        <v>66</v>
      </c>
      <c r="AX242">
        <v>0</v>
      </c>
      <c r="AY242" t="s">
        <v>66</v>
      </c>
      <c r="AZ242">
        <v>0</v>
      </c>
      <c r="BA242" t="s">
        <v>66</v>
      </c>
      <c r="BB242">
        <v>0</v>
      </c>
      <c r="BC242">
        <v>0</v>
      </c>
      <c r="BD242">
        <v>24642</v>
      </c>
      <c r="BE242">
        <v>6704.84</v>
      </c>
      <c r="BF242">
        <v>0</v>
      </c>
      <c r="BG242" t="s">
        <v>87</v>
      </c>
      <c r="BH242" t="s">
        <v>66</v>
      </c>
      <c r="BI242">
        <v>0</v>
      </c>
      <c r="BJ242" t="s">
        <v>66</v>
      </c>
      <c r="BK242" t="s">
        <v>88</v>
      </c>
      <c r="BL242" t="s">
        <v>547</v>
      </c>
      <c r="BM242" t="s">
        <v>159</v>
      </c>
    </row>
    <row r="243" spans="1:65" x14ac:dyDescent="0.25">
      <c r="A243">
        <v>241</v>
      </c>
      <c r="B243" t="s">
        <v>538</v>
      </c>
      <c r="C243" t="s">
        <v>68</v>
      </c>
      <c r="D243" s="1">
        <v>46204</v>
      </c>
      <c r="E243" t="s">
        <v>539</v>
      </c>
      <c r="F243" t="s">
        <v>68</v>
      </c>
      <c r="G243" t="s">
        <v>295</v>
      </c>
      <c r="H243" t="s">
        <v>296</v>
      </c>
      <c r="I243" t="s">
        <v>71</v>
      </c>
      <c r="J243" t="s">
        <v>72</v>
      </c>
      <c r="K243" t="s">
        <v>73</v>
      </c>
      <c r="L243" t="s">
        <v>74</v>
      </c>
      <c r="M243" t="s">
        <v>540</v>
      </c>
      <c r="N243" t="s">
        <v>111</v>
      </c>
      <c r="O243" t="s">
        <v>541</v>
      </c>
      <c r="P243" t="s">
        <v>542</v>
      </c>
      <c r="Q243" t="s">
        <v>543</v>
      </c>
      <c r="R243" s="1">
        <v>46205</v>
      </c>
      <c r="S243" t="s">
        <v>544</v>
      </c>
      <c r="T243" t="s">
        <v>545</v>
      </c>
      <c r="U243" t="s">
        <v>546</v>
      </c>
      <c r="V243" t="s">
        <v>66</v>
      </c>
      <c r="W243" t="s">
        <v>66</v>
      </c>
      <c r="X243">
        <v>459600</v>
      </c>
      <c r="Y243">
        <v>50556</v>
      </c>
      <c r="Z243">
        <v>44400</v>
      </c>
      <c r="AA243">
        <v>4884</v>
      </c>
      <c r="AB243">
        <v>510156</v>
      </c>
      <c r="AC243">
        <v>3</v>
      </c>
      <c r="AD243" t="s">
        <v>82</v>
      </c>
      <c r="AE243">
        <v>3</v>
      </c>
      <c r="AF243" t="s">
        <v>486</v>
      </c>
      <c r="AG243">
        <f>IFERROR(VLOOKUP(AF243,[1]STOK!J:O,6,0),"")</f>
        <v>12</v>
      </c>
      <c r="AH243" s="2">
        <f t="shared" si="6"/>
        <v>0.25</v>
      </c>
      <c r="AI243" t="s">
        <v>486</v>
      </c>
      <c r="AJ243" t="s">
        <v>487</v>
      </c>
      <c r="AK243" t="s">
        <v>488</v>
      </c>
      <c r="AL243" t="s">
        <v>86</v>
      </c>
      <c r="AM243">
        <v>16428</v>
      </c>
      <c r="AN243">
        <f t="shared" si="7"/>
        <v>16428</v>
      </c>
      <c r="AO243" t="s">
        <v>66</v>
      </c>
      <c r="AP243">
        <v>0</v>
      </c>
      <c r="AQ243" t="s">
        <v>66</v>
      </c>
      <c r="AR243">
        <v>0</v>
      </c>
      <c r="AS243" t="s">
        <v>66</v>
      </c>
      <c r="AT243">
        <v>0</v>
      </c>
      <c r="AU243" t="s">
        <v>66</v>
      </c>
      <c r="AV243">
        <v>0</v>
      </c>
      <c r="AW243" t="s">
        <v>66</v>
      </c>
      <c r="AX243">
        <v>0</v>
      </c>
      <c r="AY243" t="s">
        <v>66</v>
      </c>
      <c r="AZ243">
        <v>0</v>
      </c>
      <c r="BA243" t="s">
        <v>66</v>
      </c>
      <c r="BB243">
        <v>0</v>
      </c>
      <c r="BC243">
        <v>0</v>
      </c>
      <c r="BD243">
        <v>49284</v>
      </c>
      <c r="BE243">
        <v>12939.01</v>
      </c>
      <c r="BF243">
        <v>0</v>
      </c>
      <c r="BG243" t="s">
        <v>87</v>
      </c>
      <c r="BH243" t="s">
        <v>66</v>
      </c>
      <c r="BI243">
        <v>0</v>
      </c>
      <c r="BJ243" t="s">
        <v>66</v>
      </c>
      <c r="BK243" t="s">
        <v>88</v>
      </c>
      <c r="BL243" t="s">
        <v>547</v>
      </c>
      <c r="BM243" t="s">
        <v>159</v>
      </c>
    </row>
    <row r="244" spans="1:65" x14ac:dyDescent="0.25">
      <c r="A244">
        <v>242</v>
      </c>
      <c r="B244" t="s">
        <v>538</v>
      </c>
      <c r="C244" t="s">
        <v>68</v>
      </c>
      <c r="D244" s="1">
        <v>46204</v>
      </c>
      <c r="E244" t="s">
        <v>539</v>
      </c>
      <c r="F244" t="s">
        <v>68</v>
      </c>
      <c r="G244" t="s">
        <v>295</v>
      </c>
      <c r="H244" t="s">
        <v>296</v>
      </c>
      <c r="I244" t="s">
        <v>71</v>
      </c>
      <c r="J244" t="s">
        <v>72</v>
      </c>
      <c r="K244" t="s">
        <v>73</v>
      </c>
      <c r="L244" t="s">
        <v>74</v>
      </c>
      <c r="M244" t="s">
        <v>540</v>
      </c>
      <c r="N244" t="s">
        <v>111</v>
      </c>
      <c r="O244" t="s">
        <v>541</v>
      </c>
      <c r="P244" t="s">
        <v>542</v>
      </c>
      <c r="Q244" t="s">
        <v>543</v>
      </c>
      <c r="R244" s="1">
        <v>46205</v>
      </c>
      <c r="S244" t="s">
        <v>544</v>
      </c>
      <c r="T244" t="s">
        <v>545</v>
      </c>
      <c r="U244" t="s">
        <v>546</v>
      </c>
      <c r="V244" t="s">
        <v>66</v>
      </c>
      <c r="W244" t="s">
        <v>66</v>
      </c>
      <c r="X244">
        <v>459600</v>
      </c>
      <c r="Y244">
        <v>50556</v>
      </c>
      <c r="Z244">
        <v>44400</v>
      </c>
      <c r="AA244">
        <v>4884</v>
      </c>
      <c r="AB244">
        <v>510156</v>
      </c>
      <c r="AC244">
        <v>3</v>
      </c>
      <c r="AD244" t="s">
        <v>82</v>
      </c>
      <c r="AE244">
        <v>3</v>
      </c>
      <c r="AF244" t="s">
        <v>548</v>
      </c>
      <c r="AG244">
        <f>IFERROR(VLOOKUP(AF244,[1]STOK!J:O,6,0),"")</f>
        <v>12</v>
      </c>
      <c r="AH244" s="2">
        <f t="shared" si="6"/>
        <v>0.25</v>
      </c>
      <c r="AI244" t="s">
        <v>548</v>
      </c>
      <c r="AJ244" t="s">
        <v>549</v>
      </c>
      <c r="AK244" t="s">
        <v>550</v>
      </c>
      <c r="AL244" t="s">
        <v>86</v>
      </c>
      <c r="AM244">
        <v>16428</v>
      </c>
      <c r="AN244">
        <f t="shared" si="7"/>
        <v>16428</v>
      </c>
      <c r="AO244" t="s">
        <v>66</v>
      </c>
      <c r="AP244">
        <v>0</v>
      </c>
      <c r="AQ244" t="s">
        <v>66</v>
      </c>
      <c r="AR244">
        <v>0</v>
      </c>
      <c r="AS244" t="s">
        <v>66</v>
      </c>
      <c r="AT244">
        <v>0</v>
      </c>
      <c r="AU244" t="s">
        <v>66</v>
      </c>
      <c r="AV244">
        <v>0</v>
      </c>
      <c r="AW244" t="s">
        <v>66</v>
      </c>
      <c r="AX244">
        <v>0</v>
      </c>
      <c r="AY244" t="s">
        <v>66</v>
      </c>
      <c r="AZ244">
        <v>0</v>
      </c>
      <c r="BA244" t="s">
        <v>66</v>
      </c>
      <c r="BB244">
        <v>0</v>
      </c>
      <c r="BC244">
        <v>0</v>
      </c>
      <c r="BD244">
        <v>49284</v>
      </c>
      <c r="BE244">
        <v>12746.03</v>
      </c>
      <c r="BF244">
        <v>0</v>
      </c>
      <c r="BG244" t="s">
        <v>87</v>
      </c>
      <c r="BH244" t="s">
        <v>66</v>
      </c>
      <c r="BI244">
        <v>0</v>
      </c>
      <c r="BJ244" t="s">
        <v>66</v>
      </c>
      <c r="BK244" t="s">
        <v>88</v>
      </c>
      <c r="BL244" t="s">
        <v>547</v>
      </c>
      <c r="BM244" t="s">
        <v>159</v>
      </c>
    </row>
    <row r="245" spans="1:65" x14ac:dyDescent="0.25">
      <c r="A245">
        <v>243</v>
      </c>
      <c r="B245" t="s">
        <v>538</v>
      </c>
      <c r="C245" t="s">
        <v>68</v>
      </c>
      <c r="D245" s="1">
        <v>46204</v>
      </c>
      <c r="E245" t="s">
        <v>539</v>
      </c>
      <c r="F245" t="s">
        <v>68</v>
      </c>
      <c r="G245" t="s">
        <v>295</v>
      </c>
      <c r="H245" t="s">
        <v>296</v>
      </c>
      <c r="I245" t="s">
        <v>71</v>
      </c>
      <c r="J245" t="s">
        <v>72</v>
      </c>
      <c r="K245" t="s">
        <v>73</v>
      </c>
      <c r="L245" t="s">
        <v>74</v>
      </c>
      <c r="M245" t="s">
        <v>540</v>
      </c>
      <c r="N245" t="s">
        <v>111</v>
      </c>
      <c r="O245" t="s">
        <v>541</v>
      </c>
      <c r="P245" t="s">
        <v>542</v>
      </c>
      <c r="Q245" t="s">
        <v>543</v>
      </c>
      <c r="R245" s="1">
        <v>46205</v>
      </c>
      <c r="S245" t="s">
        <v>544</v>
      </c>
      <c r="T245" t="s">
        <v>545</v>
      </c>
      <c r="U245" t="s">
        <v>546</v>
      </c>
      <c r="V245" t="s">
        <v>66</v>
      </c>
      <c r="W245" t="s">
        <v>66</v>
      </c>
      <c r="X245">
        <v>459600</v>
      </c>
      <c r="Y245">
        <v>50556</v>
      </c>
      <c r="Z245">
        <v>49500</v>
      </c>
      <c r="AA245">
        <v>5445</v>
      </c>
      <c r="AB245">
        <v>510156</v>
      </c>
      <c r="AC245">
        <v>3</v>
      </c>
      <c r="AD245" t="s">
        <v>82</v>
      </c>
      <c r="AE245">
        <v>3</v>
      </c>
      <c r="AF245" t="s">
        <v>205</v>
      </c>
      <c r="AG245">
        <f>IFERROR(VLOOKUP(AF245,[1]STOK!J:O,6,0),"")</f>
        <v>24</v>
      </c>
      <c r="AH245" s="2">
        <f t="shared" si="6"/>
        <v>0.125</v>
      </c>
      <c r="AI245" t="s">
        <v>205</v>
      </c>
      <c r="AJ245" t="s">
        <v>206</v>
      </c>
      <c r="AK245" t="s">
        <v>207</v>
      </c>
      <c r="AL245" t="s">
        <v>86</v>
      </c>
      <c r="AM245">
        <v>18315</v>
      </c>
      <c r="AN245">
        <f t="shared" si="7"/>
        <v>18315</v>
      </c>
      <c r="AO245" t="s">
        <v>66</v>
      </c>
      <c r="AP245">
        <v>0</v>
      </c>
      <c r="AQ245" t="s">
        <v>66</v>
      </c>
      <c r="AR245">
        <v>0</v>
      </c>
      <c r="AS245" t="s">
        <v>66</v>
      </c>
      <c r="AT245">
        <v>0</v>
      </c>
      <c r="AU245" t="s">
        <v>66</v>
      </c>
      <c r="AV245">
        <v>0</v>
      </c>
      <c r="AW245" t="s">
        <v>66</v>
      </c>
      <c r="AX245">
        <v>0</v>
      </c>
      <c r="AY245" t="s">
        <v>66</v>
      </c>
      <c r="AZ245">
        <v>0</v>
      </c>
      <c r="BA245" t="s">
        <v>66</v>
      </c>
      <c r="BB245">
        <v>0</v>
      </c>
      <c r="BC245">
        <v>0</v>
      </c>
      <c r="BD245">
        <v>54945</v>
      </c>
      <c r="BE245">
        <v>14865.57</v>
      </c>
      <c r="BF245">
        <v>0</v>
      </c>
      <c r="BG245" t="s">
        <v>87</v>
      </c>
      <c r="BH245" t="s">
        <v>66</v>
      </c>
      <c r="BI245">
        <v>0</v>
      </c>
      <c r="BJ245" t="s">
        <v>66</v>
      </c>
      <c r="BK245" t="s">
        <v>88</v>
      </c>
      <c r="BL245" t="s">
        <v>547</v>
      </c>
      <c r="BM245" t="s">
        <v>159</v>
      </c>
    </row>
    <row r="246" spans="1:65" x14ac:dyDescent="0.25">
      <c r="A246">
        <v>244</v>
      </c>
      <c r="B246" t="s">
        <v>538</v>
      </c>
      <c r="C246" t="s">
        <v>68</v>
      </c>
      <c r="D246" s="1">
        <v>46204</v>
      </c>
      <c r="E246" t="s">
        <v>539</v>
      </c>
      <c r="F246" t="s">
        <v>68</v>
      </c>
      <c r="G246" t="s">
        <v>295</v>
      </c>
      <c r="H246" t="s">
        <v>296</v>
      </c>
      <c r="I246" t="s">
        <v>71</v>
      </c>
      <c r="J246" t="s">
        <v>72</v>
      </c>
      <c r="K246" t="s">
        <v>73</v>
      </c>
      <c r="L246" t="s">
        <v>74</v>
      </c>
      <c r="M246" t="s">
        <v>540</v>
      </c>
      <c r="N246" t="s">
        <v>111</v>
      </c>
      <c r="O246" t="s">
        <v>541</v>
      </c>
      <c r="P246" t="s">
        <v>542</v>
      </c>
      <c r="Q246" t="s">
        <v>543</v>
      </c>
      <c r="R246" s="1">
        <v>46205</v>
      </c>
      <c r="S246" t="s">
        <v>544</v>
      </c>
      <c r="T246" t="s">
        <v>545</v>
      </c>
      <c r="U246" t="s">
        <v>546</v>
      </c>
      <c r="V246" t="s">
        <v>66</v>
      </c>
      <c r="W246" t="s">
        <v>66</v>
      </c>
      <c r="X246">
        <v>459600</v>
      </c>
      <c r="Y246">
        <v>50556</v>
      </c>
      <c r="Z246">
        <v>49500</v>
      </c>
      <c r="AA246">
        <v>5445</v>
      </c>
      <c r="AB246">
        <v>510156</v>
      </c>
      <c r="AC246">
        <v>3</v>
      </c>
      <c r="AD246" t="s">
        <v>82</v>
      </c>
      <c r="AE246">
        <v>3</v>
      </c>
      <c r="AF246" t="s">
        <v>96</v>
      </c>
      <c r="AG246">
        <f>IFERROR(VLOOKUP(AF246,[1]STOK!J:O,6,0),"")</f>
        <v>24</v>
      </c>
      <c r="AH246" s="2">
        <f t="shared" si="6"/>
        <v>0.125</v>
      </c>
      <c r="AI246" t="s">
        <v>96</v>
      </c>
      <c r="AJ246" t="s">
        <v>97</v>
      </c>
      <c r="AK246" t="s">
        <v>98</v>
      </c>
      <c r="AL246" t="s">
        <v>86</v>
      </c>
      <c r="AM246">
        <v>18315</v>
      </c>
      <c r="AN246">
        <f t="shared" si="7"/>
        <v>18315</v>
      </c>
      <c r="AO246" t="s">
        <v>66</v>
      </c>
      <c r="AP246">
        <v>0</v>
      </c>
      <c r="AQ246" t="s">
        <v>66</v>
      </c>
      <c r="AR246">
        <v>0</v>
      </c>
      <c r="AS246" t="s">
        <v>66</v>
      </c>
      <c r="AT246">
        <v>0</v>
      </c>
      <c r="AU246" t="s">
        <v>66</v>
      </c>
      <c r="AV246">
        <v>0</v>
      </c>
      <c r="AW246" t="s">
        <v>66</v>
      </c>
      <c r="AX246">
        <v>0</v>
      </c>
      <c r="AY246" t="s">
        <v>66</v>
      </c>
      <c r="AZ246">
        <v>0</v>
      </c>
      <c r="BA246" t="s">
        <v>66</v>
      </c>
      <c r="BB246">
        <v>0</v>
      </c>
      <c r="BC246">
        <v>0</v>
      </c>
      <c r="BD246">
        <v>54945</v>
      </c>
      <c r="BE246">
        <v>14932.79</v>
      </c>
      <c r="BF246">
        <v>0</v>
      </c>
      <c r="BG246" t="s">
        <v>87</v>
      </c>
      <c r="BH246" t="s">
        <v>66</v>
      </c>
      <c r="BI246">
        <v>0</v>
      </c>
      <c r="BJ246" t="s">
        <v>66</v>
      </c>
      <c r="BK246" t="s">
        <v>88</v>
      </c>
      <c r="BL246" t="s">
        <v>547</v>
      </c>
      <c r="BM246" t="s">
        <v>159</v>
      </c>
    </row>
    <row r="247" spans="1:65" x14ac:dyDescent="0.25">
      <c r="A247">
        <v>245</v>
      </c>
      <c r="B247" t="s">
        <v>538</v>
      </c>
      <c r="C247" t="s">
        <v>68</v>
      </c>
      <c r="D247" s="1">
        <v>46204</v>
      </c>
      <c r="E247" t="s">
        <v>539</v>
      </c>
      <c r="F247" t="s">
        <v>68</v>
      </c>
      <c r="G247" t="s">
        <v>295</v>
      </c>
      <c r="H247" t="s">
        <v>296</v>
      </c>
      <c r="I247" t="s">
        <v>71</v>
      </c>
      <c r="J247" t="s">
        <v>72</v>
      </c>
      <c r="K247" t="s">
        <v>73</v>
      </c>
      <c r="L247" t="s">
        <v>74</v>
      </c>
      <c r="M247" t="s">
        <v>540</v>
      </c>
      <c r="N247" t="s">
        <v>111</v>
      </c>
      <c r="O247" t="s">
        <v>541</v>
      </c>
      <c r="P247" t="s">
        <v>542</v>
      </c>
      <c r="Q247" t="s">
        <v>543</v>
      </c>
      <c r="R247" s="1">
        <v>46205</v>
      </c>
      <c r="S247" t="s">
        <v>544</v>
      </c>
      <c r="T247" t="s">
        <v>545</v>
      </c>
      <c r="U247" t="s">
        <v>546</v>
      </c>
      <c r="V247" t="s">
        <v>66</v>
      </c>
      <c r="W247" t="s">
        <v>66</v>
      </c>
      <c r="X247">
        <v>459600</v>
      </c>
      <c r="Y247">
        <v>50556</v>
      </c>
      <c r="Z247">
        <v>43200</v>
      </c>
      <c r="AA247">
        <v>4752</v>
      </c>
      <c r="AB247">
        <v>510156</v>
      </c>
      <c r="AC247">
        <v>3</v>
      </c>
      <c r="AD247" t="s">
        <v>82</v>
      </c>
      <c r="AE247">
        <v>3</v>
      </c>
      <c r="AF247" t="s">
        <v>551</v>
      </c>
      <c r="AG247">
        <f>IFERROR(VLOOKUP(AF247,[1]STOK!J:O,6,0),"")</f>
        <v>12</v>
      </c>
      <c r="AH247" s="2">
        <f t="shared" si="6"/>
        <v>0.25</v>
      </c>
      <c r="AI247" t="s">
        <v>551</v>
      </c>
      <c r="AJ247" t="s">
        <v>552</v>
      </c>
      <c r="AK247" t="s">
        <v>553</v>
      </c>
      <c r="AL247" t="s">
        <v>86</v>
      </c>
      <c r="AM247">
        <v>15984</v>
      </c>
      <c r="AN247">
        <f t="shared" si="7"/>
        <v>15984</v>
      </c>
      <c r="AO247" t="s">
        <v>66</v>
      </c>
      <c r="AP247">
        <v>0</v>
      </c>
      <c r="AQ247" t="s">
        <v>66</v>
      </c>
      <c r="AR247">
        <v>0</v>
      </c>
      <c r="AS247" t="s">
        <v>66</v>
      </c>
      <c r="AT247">
        <v>0</v>
      </c>
      <c r="AU247" t="s">
        <v>66</v>
      </c>
      <c r="AV247">
        <v>0</v>
      </c>
      <c r="AW247" t="s">
        <v>66</v>
      </c>
      <c r="AX247">
        <v>0</v>
      </c>
      <c r="AY247" t="s">
        <v>66</v>
      </c>
      <c r="AZ247">
        <v>0</v>
      </c>
      <c r="BA247" t="s">
        <v>66</v>
      </c>
      <c r="BB247">
        <v>0</v>
      </c>
      <c r="BC247">
        <v>0</v>
      </c>
      <c r="BD247">
        <v>47952</v>
      </c>
      <c r="BE247">
        <v>12730.62</v>
      </c>
      <c r="BF247">
        <v>0</v>
      </c>
      <c r="BG247" t="s">
        <v>87</v>
      </c>
      <c r="BH247" t="s">
        <v>66</v>
      </c>
      <c r="BI247">
        <v>0</v>
      </c>
      <c r="BJ247" t="s">
        <v>66</v>
      </c>
      <c r="BK247" t="s">
        <v>88</v>
      </c>
      <c r="BL247" t="s">
        <v>547</v>
      </c>
      <c r="BM247" t="s">
        <v>159</v>
      </c>
    </row>
    <row r="248" spans="1:65" x14ac:dyDescent="0.25">
      <c r="A248">
        <v>246</v>
      </c>
      <c r="B248" t="s">
        <v>538</v>
      </c>
      <c r="C248" t="s">
        <v>68</v>
      </c>
      <c r="D248" s="1">
        <v>46204</v>
      </c>
      <c r="E248" t="s">
        <v>539</v>
      </c>
      <c r="F248" t="s">
        <v>68</v>
      </c>
      <c r="G248" t="s">
        <v>295</v>
      </c>
      <c r="H248" t="s">
        <v>296</v>
      </c>
      <c r="I248" t="s">
        <v>71</v>
      </c>
      <c r="J248" t="s">
        <v>72</v>
      </c>
      <c r="K248" t="s">
        <v>73</v>
      </c>
      <c r="L248" t="s">
        <v>74</v>
      </c>
      <c r="M248" t="s">
        <v>540</v>
      </c>
      <c r="N248" t="s">
        <v>111</v>
      </c>
      <c r="O248" t="s">
        <v>541</v>
      </c>
      <c r="P248" t="s">
        <v>542</v>
      </c>
      <c r="Q248" t="s">
        <v>543</v>
      </c>
      <c r="R248" s="1">
        <v>46205</v>
      </c>
      <c r="S248" t="s">
        <v>544</v>
      </c>
      <c r="T248" t="s">
        <v>545</v>
      </c>
      <c r="U248" t="s">
        <v>546</v>
      </c>
      <c r="V248" t="s">
        <v>66</v>
      </c>
      <c r="W248" t="s">
        <v>66</v>
      </c>
      <c r="X248">
        <v>459600</v>
      </c>
      <c r="Y248">
        <v>50556</v>
      </c>
      <c r="Z248">
        <v>79800</v>
      </c>
      <c r="AA248">
        <v>8778</v>
      </c>
      <c r="AB248">
        <v>510156</v>
      </c>
      <c r="AC248">
        <v>6</v>
      </c>
      <c r="AD248" t="s">
        <v>82</v>
      </c>
      <c r="AE248">
        <v>6</v>
      </c>
      <c r="AF248" t="s">
        <v>135</v>
      </c>
      <c r="AG248">
        <f>IFERROR(VLOOKUP(AF248,[1]STOK!J:O,6,0),"")</f>
        <v>12</v>
      </c>
      <c r="AH248" s="2">
        <f t="shared" si="6"/>
        <v>0.5</v>
      </c>
      <c r="AI248" t="s">
        <v>135</v>
      </c>
      <c r="AJ248" t="s">
        <v>136</v>
      </c>
      <c r="AK248" t="s">
        <v>137</v>
      </c>
      <c r="AL248" t="s">
        <v>86</v>
      </c>
      <c r="AM248">
        <v>14763</v>
      </c>
      <c r="AN248">
        <f t="shared" si="7"/>
        <v>14763</v>
      </c>
      <c r="AO248" t="s">
        <v>66</v>
      </c>
      <c r="AP248">
        <v>0</v>
      </c>
      <c r="AQ248" t="s">
        <v>66</v>
      </c>
      <c r="AR248">
        <v>0</v>
      </c>
      <c r="AS248" t="s">
        <v>66</v>
      </c>
      <c r="AT248">
        <v>0</v>
      </c>
      <c r="AU248" t="s">
        <v>66</v>
      </c>
      <c r="AV248">
        <v>0</v>
      </c>
      <c r="AW248" t="s">
        <v>66</v>
      </c>
      <c r="AX248">
        <v>0</v>
      </c>
      <c r="AY248" t="s">
        <v>66</v>
      </c>
      <c r="AZ248">
        <v>0</v>
      </c>
      <c r="BA248" t="s">
        <v>66</v>
      </c>
      <c r="BB248">
        <v>0</v>
      </c>
      <c r="BC248">
        <v>0</v>
      </c>
      <c r="BD248">
        <v>88578</v>
      </c>
      <c r="BE248">
        <v>12026.74</v>
      </c>
      <c r="BF248">
        <v>0</v>
      </c>
      <c r="BG248" t="s">
        <v>87</v>
      </c>
      <c r="BH248" t="s">
        <v>66</v>
      </c>
      <c r="BI248">
        <v>0</v>
      </c>
      <c r="BJ248" t="s">
        <v>66</v>
      </c>
      <c r="BK248" t="s">
        <v>88</v>
      </c>
      <c r="BL248" t="s">
        <v>547</v>
      </c>
      <c r="BM248" t="s">
        <v>159</v>
      </c>
    </row>
    <row r="249" spans="1:65" x14ac:dyDescent="0.25">
      <c r="A249">
        <v>247</v>
      </c>
      <c r="B249" t="s">
        <v>538</v>
      </c>
      <c r="C249" t="s">
        <v>68</v>
      </c>
      <c r="D249" s="1">
        <v>46204</v>
      </c>
      <c r="E249" t="s">
        <v>539</v>
      </c>
      <c r="F249" t="s">
        <v>68</v>
      </c>
      <c r="G249" t="s">
        <v>295</v>
      </c>
      <c r="H249" t="s">
        <v>296</v>
      </c>
      <c r="I249" t="s">
        <v>71</v>
      </c>
      <c r="J249" t="s">
        <v>72</v>
      </c>
      <c r="K249" t="s">
        <v>73</v>
      </c>
      <c r="L249" t="s">
        <v>74</v>
      </c>
      <c r="M249" t="s">
        <v>540</v>
      </c>
      <c r="N249" t="s">
        <v>111</v>
      </c>
      <c r="O249" t="s">
        <v>541</v>
      </c>
      <c r="P249" t="s">
        <v>542</v>
      </c>
      <c r="Q249" t="s">
        <v>543</v>
      </c>
      <c r="R249" s="1">
        <v>46205</v>
      </c>
      <c r="S249" t="s">
        <v>544</v>
      </c>
      <c r="T249" t="s">
        <v>545</v>
      </c>
      <c r="U249" t="s">
        <v>546</v>
      </c>
      <c r="V249" t="s">
        <v>66</v>
      </c>
      <c r="W249" t="s">
        <v>66</v>
      </c>
      <c r="X249">
        <v>459600</v>
      </c>
      <c r="Y249">
        <v>50556</v>
      </c>
      <c r="Z249">
        <v>60000</v>
      </c>
      <c r="AA249">
        <v>6600</v>
      </c>
      <c r="AB249">
        <v>510156</v>
      </c>
      <c r="AC249">
        <v>3</v>
      </c>
      <c r="AD249" t="s">
        <v>82</v>
      </c>
      <c r="AE249">
        <v>3</v>
      </c>
      <c r="AF249" t="s">
        <v>102</v>
      </c>
      <c r="AG249">
        <f>IFERROR(VLOOKUP(AF249,[1]STOK!J:O,6,0),"")</f>
        <v>12</v>
      </c>
      <c r="AH249" s="2">
        <f t="shared" si="6"/>
        <v>0.25</v>
      </c>
      <c r="AI249" t="s">
        <v>102</v>
      </c>
      <c r="AJ249" t="s">
        <v>103</v>
      </c>
      <c r="AK249" t="s">
        <v>104</v>
      </c>
      <c r="AL249" t="s">
        <v>86</v>
      </c>
      <c r="AM249">
        <v>22200</v>
      </c>
      <c r="AN249">
        <f t="shared" si="7"/>
        <v>22200</v>
      </c>
      <c r="AO249" t="s">
        <v>66</v>
      </c>
      <c r="AP249">
        <v>0</v>
      </c>
      <c r="AQ249" t="s">
        <v>66</v>
      </c>
      <c r="AR249">
        <v>0</v>
      </c>
      <c r="AS249" t="s">
        <v>66</v>
      </c>
      <c r="AT249">
        <v>0</v>
      </c>
      <c r="AU249" t="s">
        <v>66</v>
      </c>
      <c r="AV249">
        <v>0</v>
      </c>
      <c r="AW249" t="s">
        <v>66</v>
      </c>
      <c r="AX249">
        <v>0</v>
      </c>
      <c r="AY249" t="s">
        <v>66</v>
      </c>
      <c r="AZ249">
        <v>0</v>
      </c>
      <c r="BA249" t="s">
        <v>66</v>
      </c>
      <c r="BB249">
        <v>0</v>
      </c>
      <c r="BC249">
        <v>0</v>
      </c>
      <c r="BD249">
        <v>66600</v>
      </c>
      <c r="BE249">
        <v>18040.98</v>
      </c>
      <c r="BF249">
        <v>0</v>
      </c>
      <c r="BG249" t="s">
        <v>87</v>
      </c>
      <c r="BH249" t="s">
        <v>66</v>
      </c>
      <c r="BI249">
        <v>0</v>
      </c>
      <c r="BJ249" t="s">
        <v>66</v>
      </c>
      <c r="BK249" t="s">
        <v>88</v>
      </c>
      <c r="BL249" t="s">
        <v>547</v>
      </c>
      <c r="BM249" t="s">
        <v>159</v>
      </c>
    </row>
    <row r="250" spans="1:65" x14ac:dyDescent="0.25">
      <c r="A250">
        <v>248</v>
      </c>
      <c r="B250" t="s">
        <v>554</v>
      </c>
      <c r="C250" t="s">
        <v>66</v>
      </c>
      <c r="D250" s="1">
        <v>46204</v>
      </c>
      <c r="E250" t="s">
        <v>555</v>
      </c>
      <c r="F250" t="s">
        <v>68</v>
      </c>
      <c r="G250" t="s">
        <v>69</v>
      </c>
      <c r="H250" t="s">
        <v>70</v>
      </c>
      <c r="I250" t="s">
        <v>71</v>
      </c>
      <c r="J250" t="s">
        <v>72</v>
      </c>
      <c r="K250" t="s">
        <v>73</v>
      </c>
      <c r="L250" t="s">
        <v>74</v>
      </c>
      <c r="M250" t="s">
        <v>556</v>
      </c>
      <c r="N250" t="s">
        <v>111</v>
      </c>
      <c r="O250" t="s">
        <v>557</v>
      </c>
      <c r="P250" t="s">
        <v>558</v>
      </c>
      <c r="Q250" t="s">
        <v>559</v>
      </c>
      <c r="R250" s="1">
        <v>46206</v>
      </c>
      <c r="S250" t="s">
        <v>560</v>
      </c>
      <c r="T250" t="s">
        <v>561</v>
      </c>
      <c r="U250" t="s">
        <v>562</v>
      </c>
      <c r="V250" t="s">
        <v>66</v>
      </c>
      <c r="W250" t="s">
        <v>66</v>
      </c>
      <c r="X250">
        <v>2613006</v>
      </c>
      <c r="Y250">
        <v>287430.65999999997</v>
      </c>
      <c r="Z250">
        <v>392040</v>
      </c>
      <c r="AA250">
        <v>43124.4</v>
      </c>
      <c r="AB250">
        <v>2900436.66</v>
      </c>
      <c r="AC250">
        <v>1</v>
      </c>
      <c r="AD250" t="s">
        <v>134</v>
      </c>
      <c r="AE250">
        <v>24</v>
      </c>
      <c r="AF250" t="s">
        <v>99</v>
      </c>
      <c r="AG250">
        <f>IFERROR(VLOOKUP(AF250,[1]STOK!J:O,6,0),"")</f>
        <v>24</v>
      </c>
      <c r="AH250" s="2">
        <f t="shared" si="6"/>
        <v>1</v>
      </c>
      <c r="AI250" t="s">
        <v>99</v>
      </c>
      <c r="AJ250" t="s">
        <v>100</v>
      </c>
      <c r="AK250" t="s">
        <v>101</v>
      </c>
      <c r="AL250" t="s">
        <v>86</v>
      </c>
      <c r="AM250">
        <v>439560</v>
      </c>
      <c r="AN250">
        <f t="shared" si="7"/>
        <v>435164.4</v>
      </c>
      <c r="AO250" t="s">
        <v>66</v>
      </c>
      <c r="AP250">
        <v>1</v>
      </c>
      <c r="AQ250" t="s">
        <v>66</v>
      </c>
      <c r="AR250">
        <v>0</v>
      </c>
      <c r="AS250" t="s">
        <v>66</v>
      </c>
      <c r="AT250">
        <v>0</v>
      </c>
      <c r="AU250" t="s">
        <v>66</v>
      </c>
      <c r="AV250">
        <v>0</v>
      </c>
      <c r="AW250" t="s">
        <v>66</v>
      </c>
      <c r="AX250">
        <v>0</v>
      </c>
      <c r="AY250" t="s">
        <v>66</v>
      </c>
      <c r="AZ250">
        <v>0</v>
      </c>
      <c r="BA250" t="s">
        <v>66</v>
      </c>
      <c r="BB250">
        <v>0</v>
      </c>
      <c r="BC250">
        <v>0</v>
      </c>
      <c r="BD250">
        <v>435164.4</v>
      </c>
      <c r="BE250">
        <v>14915.33</v>
      </c>
      <c r="BF250">
        <v>0</v>
      </c>
      <c r="BG250" t="s">
        <v>87</v>
      </c>
      <c r="BH250" t="s">
        <v>66</v>
      </c>
      <c r="BI250">
        <v>0</v>
      </c>
      <c r="BJ250" t="s">
        <v>66</v>
      </c>
      <c r="BK250" t="s">
        <v>88</v>
      </c>
      <c r="BL250" t="s">
        <v>66</v>
      </c>
      <c r="BM250" t="s">
        <v>159</v>
      </c>
    </row>
    <row r="251" spans="1:65" x14ac:dyDescent="0.25">
      <c r="A251">
        <v>249</v>
      </c>
      <c r="B251" t="s">
        <v>554</v>
      </c>
      <c r="C251" t="s">
        <v>66</v>
      </c>
      <c r="D251" s="1">
        <v>46204</v>
      </c>
      <c r="E251" t="s">
        <v>555</v>
      </c>
      <c r="F251" t="s">
        <v>68</v>
      </c>
      <c r="G251" t="s">
        <v>69</v>
      </c>
      <c r="H251" t="s">
        <v>70</v>
      </c>
      <c r="I251" t="s">
        <v>71</v>
      </c>
      <c r="J251" t="s">
        <v>72</v>
      </c>
      <c r="K251" t="s">
        <v>73</v>
      </c>
      <c r="L251" t="s">
        <v>74</v>
      </c>
      <c r="M251" t="s">
        <v>556</v>
      </c>
      <c r="N251" t="s">
        <v>111</v>
      </c>
      <c r="O251" t="s">
        <v>557</v>
      </c>
      <c r="P251" t="s">
        <v>558</v>
      </c>
      <c r="Q251" t="s">
        <v>559</v>
      </c>
      <c r="R251" s="1">
        <v>46206</v>
      </c>
      <c r="S251" t="s">
        <v>560</v>
      </c>
      <c r="T251" t="s">
        <v>561</v>
      </c>
      <c r="U251" t="s">
        <v>562</v>
      </c>
      <c r="V251" t="s">
        <v>66</v>
      </c>
      <c r="W251" t="s">
        <v>66</v>
      </c>
      <c r="X251">
        <v>2613006</v>
      </c>
      <c r="Y251">
        <v>287430.65999999997</v>
      </c>
      <c r="Z251">
        <v>324324</v>
      </c>
      <c r="AA251">
        <v>35675.64</v>
      </c>
      <c r="AB251">
        <v>2900436.66</v>
      </c>
      <c r="AC251">
        <v>1</v>
      </c>
      <c r="AD251" t="s">
        <v>134</v>
      </c>
      <c r="AE251">
        <v>12</v>
      </c>
      <c r="AF251" t="s">
        <v>303</v>
      </c>
      <c r="AG251">
        <f>IFERROR(VLOOKUP(AF251,[1]STOK!J:O,6,0),"")</f>
        <v>12</v>
      </c>
      <c r="AH251" s="2">
        <f t="shared" si="6"/>
        <v>1</v>
      </c>
      <c r="AI251" t="s">
        <v>303</v>
      </c>
      <c r="AJ251" t="s">
        <v>304</v>
      </c>
      <c r="AK251" t="s">
        <v>305</v>
      </c>
      <c r="AL251" t="s">
        <v>86</v>
      </c>
      <c r="AM251">
        <v>363636</v>
      </c>
      <c r="AN251">
        <f t="shared" si="7"/>
        <v>359999.64</v>
      </c>
      <c r="AO251" t="s">
        <v>66</v>
      </c>
      <c r="AP251">
        <v>1</v>
      </c>
      <c r="AQ251" t="s">
        <v>66</v>
      </c>
      <c r="AR251">
        <v>0</v>
      </c>
      <c r="AS251" t="s">
        <v>66</v>
      </c>
      <c r="AT251">
        <v>0</v>
      </c>
      <c r="AU251" t="s">
        <v>66</v>
      </c>
      <c r="AV251">
        <v>0</v>
      </c>
      <c r="AW251" t="s">
        <v>66</v>
      </c>
      <c r="AX251">
        <v>0</v>
      </c>
      <c r="AY251" t="s">
        <v>66</v>
      </c>
      <c r="AZ251">
        <v>0</v>
      </c>
      <c r="BA251" t="s">
        <v>66</v>
      </c>
      <c r="BB251">
        <v>0</v>
      </c>
      <c r="BC251">
        <v>0</v>
      </c>
      <c r="BD251">
        <v>359999.64</v>
      </c>
      <c r="BE251">
        <v>24631.7</v>
      </c>
      <c r="BF251">
        <v>0</v>
      </c>
      <c r="BG251" t="s">
        <v>87</v>
      </c>
      <c r="BH251" t="s">
        <v>66</v>
      </c>
      <c r="BI251">
        <v>0</v>
      </c>
      <c r="BJ251" t="s">
        <v>66</v>
      </c>
      <c r="BK251" t="s">
        <v>88</v>
      </c>
      <c r="BL251" t="s">
        <v>66</v>
      </c>
      <c r="BM251" t="s">
        <v>159</v>
      </c>
    </row>
    <row r="252" spans="1:65" x14ac:dyDescent="0.25">
      <c r="A252">
        <v>250</v>
      </c>
      <c r="B252" t="s">
        <v>554</v>
      </c>
      <c r="C252" t="s">
        <v>66</v>
      </c>
      <c r="D252" s="1">
        <v>46204</v>
      </c>
      <c r="E252" t="s">
        <v>555</v>
      </c>
      <c r="F252" t="s">
        <v>68</v>
      </c>
      <c r="G252" t="s">
        <v>69</v>
      </c>
      <c r="H252" t="s">
        <v>70</v>
      </c>
      <c r="I252" t="s">
        <v>71</v>
      </c>
      <c r="J252" t="s">
        <v>72</v>
      </c>
      <c r="K252" t="s">
        <v>73</v>
      </c>
      <c r="L252" t="s">
        <v>74</v>
      </c>
      <c r="M252" t="s">
        <v>556</v>
      </c>
      <c r="N252" t="s">
        <v>111</v>
      </c>
      <c r="O252" t="s">
        <v>557</v>
      </c>
      <c r="P252" t="s">
        <v>558</v>
      </c>
      <c r="Q252" t="s">
        <v>559</v>
      </c>
      <c r="R252" s="1">
        <v>46206</v>
      </c>
      <c r="S252" t="s">
        <v>560</v>
      </c>
      <c r="T252" t="s">
        <v>561</v>
      </c>
      <c r="U252" t="s">
        <v>562</v>
      </c>
      <c r="V252" t="s">
        <v>66</v>
      </c>
      <c r="W252" t="s">
        <v>66</v>
      </c>
      <c r="X252">
        <v>2613006</v>
      </c>
      <c r="Y252">
        <v>287430.65999999997</v>
      </c>
      <c r="Z252">
        <v>324324</v>
      </c>
      <c r="AA252">
        <v>35675.64</v>
      </c>
      <c r="AB252">
        <v>2900436.66</v>
      </c>
      <c r="AC252">
        <v>1</v>
      </c>
      <c r="AD252" t="s">
        <v>134</v>
      </c>
      <c r="AE252">
        <v>12</v>
      </c>
      <c r="AF252" t="s">
        <v>563</v>
      </c>
      <c r="AG252">
        <f>IFERROR(VLOOKUP(AF252,[1]STOK!J:O,6,0),"")</f>
        <v>12</v>
      </c>
      <c r="AH252" s="2">
        <f t="shared" si="6"/>
        <v>1</v>
      </c>
      <c r="AI252" t="s">
        <v>563</v>
      </c>
      <c r="AJ252" t="s">
        <v>564</v>
      </c>
      <c r="AK252" t="s">
        <v>565</v>
      </c>
      <c r="AL252" t="s">
        <v>86</v>
      </c>
      <c r="AM252">
        <v>363636</v>
      </c>
      <c r="AN252">
        <f t="shared" si="7"/>
        <v>359999.64</v>
      </c>
      <c r="AO252" t="s">
        <v>66</v>
      </c>
      <c r="AP252">
        <v>1</v>
      </c>
      <c r="AQ252" t="s">
        <v>66</v>
      </c>
      <c r="AR252">
        <v>0</v>
      </c>
      <c r="AS252" t="s">
        <v>66</v>
      </c>
      <c r="AT252">
        <v>0</v>
      </c>
      <c r="AU252" t="s">
        <v>66</v>
      </c>
      <c r="AV252">
        <v>0</v>
      </c>
      <c r="AW252" t="s">
        <v>66</v>
      </c>
      <c r="AX252">
        <v>0</v>
      </c>
      <c r="AY252" t="s">
        <v>66</v>
      </c>
      <c r="AZ252">
        <v>0</v>
      </c>
      <c r="BA252" t="s">
        <v>66</v>
      </c>
      <c r="BB252">
        <v>0</v>
      </c>
      <c r="BC252">
        <v>0</v>
      </c>
      <c r="BD252">
        <v>359999.64</v>
      </c>
      <c r="BE252">
        <v>24678.61</v>
      </c>
      <c r="BF252">
        <v>0</v>
      </c>
      <c r="BG252" t="s">
        <v>87</v>
      </c>
      <c r="BH252" t="s">
        <v>66</v>
      </c>
      <c r="BI252">
        <v>0</v>
      </c>
      <c r="BJ252" t="s">
        <v>66</v>
      </c>
      <c r="BK252" t="s">
        <v>88</v>
      </c>
      <c r="BL252" t="s">
        <v>66</v>
      </c>
      <c r="BM252" t="s">
        <v>159</v>
      </c>
    </row>
    <row r="253" spans="1:65" x14ac:dyDescent="0.25">
      <c r="A253">
        <v>251</v>
      </c>
      <c r="B253" t="s">
        <v>554</v>
      </c>
      <c r="C253" t="s">
        <v>66</v>
      </c>
      <c r="D253" s="1">
        <v>46204</v>
      </c>
      <c r="E253" t="s">
        <v>555</v>
      </c>
      <c r="F253" t="s">
        <v>68</v>
      </c>
      <c r="G253" t="s">
        <v>69</v>
      </c>
      <c r="H253" t="s">
        <v>70</v>
      </c>
      <c r="I253" t="s">
        <v>71</v>
      </c>
      <c r="J253" t="s">
        <v>72</v>
      </c>
      <c r="K253" t="s">
        <v>73</v>
      </c>
      <c r="L253" t="s">
        <v>74</v>
      </c>
      <c r="M253" t="s">
        <v>556</v>
      </c>
      <c r="N253" t="s">
        <v>111</v>
      </c>
      <c r="O253" t="s">
        <v>557</v>
      </c>
      <c r="P253" t="s">
        <v>558</v>
      </c>
      <c r="Q253" t="s">
        <v>559</v>
      </c>
      <c r="R253" s="1">
        <v>46206</v>
      </c>
      <c r="S253" t="s">
        <v>560</v>
      </c>
      <c r="T253" t="s">
        <v>561</v>
      </c>
      <c r="U253" t="s">
        <v>562</v>
      </c>
      <c r="V253" t="s">
        <v>66</v>
      </c>
      <c r="W253" t="s">
        <v>66</v>
      </c>
      <c r="X253">
        <v>2613006</v>
      </c>
      <c r="Y253">
        <v>287430.65999999997</v>
      </c>
      <c r="Z253">
        <v>460944</v>
      </c>
      <c r="AA253">
        <v>50703.839999999997</v>
      </c>
      <c r="AB253">
        <v>2900436.66</v>
      </c>
      <c r="AC253">
        <v>2</v>
      </c>
      <c r="AD253" t="s">
        <v>134</v>
      </c>
      <c r="AE253">
        <v>24</v>
      </c>
      <c r="AF253" t="s">
        <v>284</v>
      </c>
      <c r="AG253">
        <f>IFERROR(VLOOKUP(AF253,[1]STOK!J:O,6,0),"")</f>
        <v>12</v>
      </c>
      <c r="AH253" s="2">
        <f t="shared" si="6"/>
        <v>2</v>
      </c>
      <c r="AI253" t="s">
        <v>284</v>
      </c>
      <c r="AJ253" t="s">
        <v>285</v>
      </c>
      <c r="AK253" t="s">
        <v>286</v>
      </c>
      <c r="AL253" t="s">
        <v>86</v>
      </c>
      <c r="AM253">
        <v>258408</v>
      </c>
      <c r="AN253">
        <f t="shared" si="7"/>
        <v>255823.92</v>
      </c>
      <c r="AO253" t="s">
        <v>66</v>
      </c>
      <c r="AP253">
        <v>1</v>
      </c>
      <c r="AQ253" t="s">
        <v>66</v>
      </c>
      <c r="AR253">
        <v>0</v>
      </c>
      <c r="AS253" t="s">
        <v>66</v>
      </c>
      <c r="AT253">
        <v>0</v>
      </c>
      <c r="AU253" t="s">
        <v>66</v>
      </c>
      <c r="AV253">
        <v>0</v>
      </c>
      <c r="AW253" t="s">
        <v>66</v>
      </c>
      <c r="AX253">
        <v>0</v>
      </c>
      <c r="AY253" t="s">
        <v>66</v>
      </c>
      <c r="AZ253">
        <v>0</v>
      </c>
      <c r="BA253" t="s">
        <v>66</v>
      </c>
      <c r="BB253">
        <v>0</v>
      </c>
      <c r="BC253">
        <v>0</v>
      </c>
      <c r="BD253">
        <v>511647.84</v>
      </c>
      <c r="BE253">
        <v>17371.36</v>
      </c>
      <c r="BF253">
        <v>0</v>
      </c>
      <c r="BG253" t="s">
        <v>87</v>
      </c>
      <c r="BH253" t="s">
        <v>66</v>
      </c>
      <c r="BI253">
        <v>0</v>
      </c>
      <c r="BJ253" t="s">
        <v>66</v>
      </c>
      <c r="BK253" t="s">
        <v>88</v>
      </c>
      <c r="BL253" t="s">
        <v>66</v>
      </c>
      <c r="BM253" t="s">
        <v>159</v>
      </c>
    </row>
    <row r="254" spans="1:65" x14ac:dyDescent="0.25">
      <c r="A254">
        <v>252</v>
      </c>
      <c r="B254" t="s">
        <v>554</v>
      </c>
      <c r="C254" t="s">
        <v>66</v>
      </c>
      <c r="D254" s="1">
        <v>46204</v>
      </c>
      <c r="E254" t="s">
        <v>555</v>
      </c>
      <c r="F254" t="s">
        <v>68</v>
      </c>
      <c r="G254" t="s">
        <v>69</v>
      </c>
      <c r="H254" t="s">
        <v>70</v>
      </c>
      <c r="I254" t="s">
        <v>71</v>
      </c>
      <c r="J254" t="s">
        <v>72</v>
      </c>
      <c r="K254" t="s">
        <v>73</v>
      </c>
      <c r="L254" t="s">
        <v>74</v>
      </c>
      <c r="M254" t="s">
        <v>556</v>
      </c>
      <c r="N254" t="s">
        <v>111</v>
      </c>
      <c r="O254" t="s">
        <v>557</v>
      </c>
      <c r="P254" t="s">
        <v>558</v>
      </c>
      <c r="Q254" t="s">
        <v>559</v>
      </c>
      <c r="R254" s="1">
        <v>46206</v>
      </c>
      <c r="S254" t="s">
        <v>560</v>
      </c>
      <c r="T254" t="s">
        <v>561</v>
      </c>
      <c r="U254" t="s">
        <v>562</v>
      </c>
      <c r="V254" t="s">
        <v>66</v>
      </c>
      <c r="W254" t="s">
        <v>66</v>
      </c>
      <c r="X254">
        <v>2613006</v>
      </c>
      <c r="Y254">
        <v>287430.65999999997</v>
      </c>
      <c r="Z254">
        <v>171072</v>
      </c>
      <c r="AA254">
        <v>18817.919999999998</v>
      </c>
      <c r="AB254">
        <v>2900436.66</v>
      </c>
      <c r="AC254">
        <v>1</v>
      </c>
      <c r="AD254" t="s">
        <v>134</v>
      </c>
      <c r="AE254">
        <v>12</v>
      </c>
      <c r="AF254" t="s">
        <v>551</v>
      </c>
      <c r="AG254">
        <f>IFERROR(VLOOKUP(AF254,[1]STOK!J:O,6,0),"")</f>
        <v>12</v>
      </c>
      <c r="AH254" s="2">
        <f t="shared" si="6"/>
        <v>1</v>
      </c>
      <c r="AI254" t="s">
        <v>551</v>
      </c>
      <c r="AJ254" t="s">
        <v>552</v>
      </c>
      <c r="AK254" t="s">
        <v>553</v>
      </c>
      <c r="AL254" t="s">
        <v>86</v>
      </c>
      <c r="AM254">
        <v>191808</v>
      </c>
      <c r="AN254">
        <f t="shared" si="7"/>
        <v>189889.92000000001</v>
      </c>
      <c r="AO254" t="s">
        <v>66</v>
      </c>
      <c r="AP254">
        <v>1</v>
      </c>
      <c r="AQ254" t="s">
        <v>66</v>
      </c>
      <c r="AR254">
        <v>0</v>
      </c>
      <c r="AS254" t="s">
        <v>66</v>
      </c>
      <c r="AT254">
        <v>0</v>
      </c>
      <c r="AU254" t="s">
        <v>66</v>
      </c>
      <c r="AV254">
        <v>0</v>
      </c>
      <c r="AW254" t="s">
        <v>66</v>
      </c>
      <c r="AX254">
        <v>0</v>
      </c>
      <c r="AY254" t="s">
        <v>66</v>
      </c>
      <c r="AZ254">
        <v>0</v>
      </c>
      <c r="BA254" t="s">
        <v>66</v>
      </c>
      <c r="BB254">
        <v>0</v>
      </c>
      <c r="BC254">
        <v>0</v>
      </c>
      <c r="BD254">
        <v>189889.92000000001</v>
      </c>
      <c r="BE254">
        <v>12730.62</v>
      </c>
      <c r="BF254">
        <v>0</v>
      </c>
      <c r="BG254" t="s">
        <v>87</v>
      </c>
      <c r="BH254" t="s">
        <v>66</v>
      </c>
      <c r="BI254">
        <v>0</v>
      </c>
      <c r="BJ254" t="s">
        <v>66</v>
      </c>
      <c r="BK254" t="s">
        <v>88</v>
      </c>
      <c r="BL254" t="s">
        <v>66</v>
      </c>
      <c r="BM254" t="s">
        <v>159</v>
      </c>
    </row>
    <row r="255" spans="1:65" x14ac:dyDescent="0.25">
      <c r="A255">
        <v>253</v>
      </c>
      <c r="B255" t="s">
        <v>554</v>
      </c>
      <c r="C255" t="s">
        <v>66</v>
      </c>
      <c r="D255" s="1">
        <v>46204</v>
      </c>
      <c r="E255" t="s">
        <v>555</v>
      </c>
      <c r="F255" t="s">
        <v>68</v>
      </c>
      <c r="G255" t="s">
        <v>69</v>
      </c>
      <c r="H255" t="s">
        <v>70</v>
      </c>
      <c r="I255" t="s">
        <v>71</v>
      </c>
      <c r="J255" t="s">
        <v>72</v>
      </c>
      <c r="K255" t="s">
        <v>73</v>
      </c>
      <c r="L255" t="s">
        <v>74</v>
      </c>
      <c r="M255" t="s">
        <v>556</v>
      </c>
      <c r="N255" t="s">
        <v>111</v>
      </c>
      <c r="O255" t="s">
        <v>557</v>
      </c>
      <c r="P255" t="s">
        <v>558</v>
      </c>
      <c r="Q255" t="s">
        <v>559</v>
      </c>
      <c r="R255" s="1">
        <v>46206</v>
      </c>
      <c r="S255" t="s">
        <v>560</v>
      </c>
      <c r="T255" t="s">
        <v>561</v>
      </c>
      <c r="U255" t="s">
        <v>562</v>
      </c>
      <c r="V255" t="s">
        <v>66</v>
      </c>
      <c r="W255" t="s">
        <v>66</v>
      </c>
      <c r="X255">
        <v>2613006</v>
      </c>
      <c r="Y255">
        <v>287430.65999999997</v>
      </c>
      <c r="Z255">
        <v>168102</v>
      </c>
      <c r="AA255">
        <v>18491.22</v>
      </c>
      <c r="AB255">
        <v>2900436.66</v>
      </c>
      <c r="AC255">
        <v>1</v>
      </c>
      <c r="AD255" t="s">
        <v>134</v>
      </c>
      <c r="AE255">
        <v>6</v>
      </c>
      <c r="AF255" t="s">
        <v>510</v>
      </c>
      <c r="AG255">
        <f>IFERROR(VLOOKUP(AF255,[1]STOK!J:O,6,0),"")</f>
        <v>6</v>
      </c>
      <c r="AH255" s="2">
        <f t="shared" si="6"/>
        <v>1</v>
      </c>
      <c r="AI255" t="s">
        <v>510</v>
      </c>
      <c r="AJ255" t="s">
        <v>511</v>
      </c>
      <c r="AK255" t="s">
        <v>512</v>
      </c>
      <c r="AL255" t="s">
        <v>86</v>
      </c>
      <c r="AM255">
        <v>188478</v>
      </c>
      <c r="AN255">
        <f t="shared" si="7"/>
        <v>186593.22</v>
      </c>
      <c r="AO255" t="s">
        <v>66</v>
      </c>
      <c r="AP255">
        <v>1</v>
      </c>
      <c r="AQ255" t="s">
        <v>66</v>
      </c>
      <c r="AR255">
        <v>0</v>
      </c>
      <c r="AS255" t="s">
        <v>66</v>
      </c>
      <c r="AT255">
        <v>0</v>
      </c>
      <c r="AU255" t="s">
        <v>66</v>
      </c>
      <c r="AV255">
        <v>0</v>
      </c>
      <c r="AW255" t="s">
        <v>66</v>
      </c>
      <c r="AX255">
        <v>0</v>
      </c>
      <c r="AY255" t="s">
        <v>66</v>
      </c>
      <c r="AZ255">
        <v>0</v>
      </c>
      <c r="BA255" t="s">
        <v>66</v>
      </c>
      <c r="BB255">
        <v>0</v>
      </c>
      <c r="BC255">
        <v>0</v>
      </c>
      <c r="BD255">
        <v>186593.22</v>
      </c>
      <c r="BE255">
        <v>24132.89</v>
      </c>
      <c r="BF255">
        <v>0</v>
      </c>
      <c r="BG255" t="s">
        <v>87</v>
      </c>
      <c r="BH255" t="s">
        <v>66</v>
      </c>
      <c r="BI255">
        <v>0</v>
      </c>
      <c r="BJ255" t="s">
        <v>66</v>
      </c>
      <c r="BK255" t="s">
        <v>88</v>
      </c>
      <c r="BL255" t="s">
        <v>66</v>
      </c>
      <c r="BM255" t="s">
        <v>159</v>
      </c>
    </row>
    <row r="256" spans="1:65" x14ac:dyDescent="0.25">
      <c r="A256">
        <v>254</v>
      </c>
      <c r="B256" t="s">
        <v>554</v>
      </c>
      <c r="C256" t="s">
        <v>66</v>
      </c>
      <c r="D256" s="1">
        <v>46204</v>
      </c>
      <c r="E256" t="s">
        <v>555</v>
      </c>
      <c r="F256" t="s">
        <v>68</v>
      </c>
      <c r="G256" t="s">
        <v>69</v>
      </c>
      <c r="H256" t="s">
        <v>70</v>
      </c>
      <c r="I256" t="s">
        <v>71</v>
      </c>
      <c r="J256" t="s">
        <v>72</v>
      </c>
      <c r="K256" t="s">
        <v>73</v>
      </c>
      <c r="L256" t="s">
        <v>74</v>
      </c>
      <c r="M256" t="s">
        <v>556</v>
      </c>
      <c r="N256" t="s">
        <v>111</v>
      </c>
      <c r="O256" t="s">
        <v>557</v>
      </c>
      <c r="P256" t="s">
        <v>558</v>
      </c>
      <c r="Q256" t="s">
        <v>559</v>
      </c>
      <c r="R256" s="1">
        <v>46206</v>
      </c>
      <c r="S256" t="s">
        <v>560</v>
      </c>
      <c r="T256" t="s">
        <v>561</v>
      </c>
      <c r="U256" t="s">
        <v>562</v>
      </c>
      <c r="V256" t="s">
        <v>66</v>
      </c>
      <c r="W256" t="s">
        <v>66</v>
      </c>
      <c r="X256">
        <v>2613006</v>
      </c>
      <c r="Y256">
        <v>287430.65999999997</v>
      </c>
      <c r="Z256">
        <v>430056</v>
      </c>
      <c r="AA256">
        <v>47306.16</v>
      </c>
      <c r="AB256">
        <v>2900436.66</v>
      </c>
      <c r="AC256">
        <v>2</v>
      </c>
      <c r="AD256" t="s">
        <v>134</v>
      </c>
      <c r="AE256">
        <v>24</v>
      </c>
      <c r="AF256" t="s">
        <v>356</v>
      </c>
      <c r="AG256">
        <f>IFERROR(VLOOKUP(AF256,[1]STOK!J:O,6,0),"")</f>
        <v>12</v>
      </c>
      <c r="AH256" s="2">
        <f t="shared" si="6"/>
        <v>2</v>
      </c>
      <c r="AI256" t="s">
        <v>356</v>
      </c>
      <c r="AJ256" t="s">
        <v>357</v>
      </c>
      <c r="AK256" t="s">
        <v>358</v>
      </c>
      <c r="AL256" t="s">
        <v>86</v>
      </c>
      <c r="AM256">
        <v>241092</v>
      </c>
      <c r="AN256">
        <f t="shared" si="7"/>
        <v>238681.08</v>
      </c>
      <c r="AO256" t="s">
        <v>66</v>
      </c>
      <c r="AP256">
        <v>1</v>
      </c>
      <c r="AQ256" t="s">
        <v>66</v>
      </c>
      <c r="AR256">
        <v>0</v>
      </c>
      <c r="AS256" t="s">
        <v>66</v>
      </c>
      <c r="AT256">
        <v>0</v>
      </c>
      <c r="AU256" t="s">
        <v>66</v>
      </c>
      <c r="AV256">
        <v>0</v>
      </c>
      <c r="AW256" t="s">
        <v>66</v>
      </c>
      <c r="AX256">
        <v>0</v>
      </c>
      <c r="AY256" t="s">
        <v>66</v>
      </c>
      <c r="AZ256">
        <v>0</v>
      </c>
      <c r="BA256" t="s">
        <v>66</v>
      </c>
      <c r="BB256">
        <v>0</v>
      </c>
      <c r="BC256">
        <v>0</v>
      </c>
      <c r="BD256">
        <v>477362.16</v>
      </c>
      <c r="BE256">
        <v>16282.92</v>
      </c>
      <c r="BF256">
        <v>0</v>
      </c>
      <c r="BG256" t="s">
        <v>87</v>
      </c>
      <c r="BH256" t="s">
        <v>66</v>
      </c>
      <c r="BI256">
        <v>0</v>
      </c>
      <c r="BJ256" t="s">
        <v>66</v>
      </c>
      <c r="BK256" t="s">
        <v>88</v>
      </c>
      <c r="BL256" t="s">
        <v>66</v>
      </c>
      <c r="BM256" t="s">
        <v>159</v>
      </c>
    </row>
    <row r="257" spans="1:65" x14ac:dyDescent="0.25">
      <c r="A257">
        <v>255</v>
      </c>
      <c r="B257" t="s">
        <v>554</v>
      </c>
      <c r="C257" t="s">
        <v>66</v>
      </c>
      <c r="D257" s="1">
        <v>46204</v>
      </c>
      <c r="E257" t="s">
        <v>555</v>
      </c>
      <c r="F257" t="s">
        <v>68</v>
      </c>
      <c r="G257" t="s">
        <v>69</v>
      </c>
      <c r="H257" t="s">
        <v>70</v>
      </c>
      <c r="I257" t="s">
        <v>71</v>
      </c>
      <c r="J257" t="s">
        <v>72</v>
      </c>
      <c r="K257" t="s">
        <v>73</v>
      </c>
      <c r="L257" t="s">
        <v>74</v>
      </c>
      <c r="M257" t="s">
        <v>556</v>
      </c>
      <c r="N257" t="s">
        <v>111</v>
      </c>
      <c r="O257" t="s">
        <v>557</v>
      </c>
      <c r="P257" t="s">
        <v>558</v>
      </c>
      <c r="Q257" t="s">
        <v>559</v>
      </c>
      <c r="R257" s="1">
        <v>46206</v>
      </c>
      <c r="S257" t="s">
        <v>560</v>
      </c>
      <c r="T257" t="s">
        <v>561</v>
      </c>
      <c r="U257" t="s">
        <v>562</v>
      </c>
      <c r="V257" t="s">
        <v>66</v>
      </c>
      <c r="W257" t="s">
        <v>66</v>
      </c>
      <c r="X257">
        <v>2613006</v>
      </c>
      <c r="Y257">
        <v>287430.65999999997</v>
      </c>
      <c r="Z257">
        <v>342144</v>
      </c>
      <c r="AA257">
        <v>37635.839999999997</v>
      </c>
      <c r="AB257">
        <v>2900436.66</v>
      </c>
      <c r="AC257">
        <v>2</v>
      </c>
      <c r="AD257" t="s">
        <v>134</v>
      </c>
      <c r="AE257">
        <v>24</v>
      </c>
      <c r="AF257" t="s">
        <v>141</v>
      </c>
      <c r="AG257">
        <f>IFERROR(VLOOKUP(AF257,[1]STOK!J:O,6,0),"")</f>
        <v>12</v>
      </c>
      <c r="AH257" s="2">
        <f t="shared" si="6"/>
        <v>2</v>
      </c>
      <c r="AI257" t="s">
        <v>141</v>
      </c>
      <c r="AJ257" t="s">
        <v>142</v>
      </c>
      <c r="AK257" t="s">
        <v>143</v>
      </c>
      <c r="AL257" t="s">
        <v>86</v>
      </c>
      <c r="AM257">
        <v>191808</v>
      </c>
      <c r="AN257">
        <f t="shared" si="7"/>
        <v>189889.92000000001</v>
      </c>
      <c r="AO257" t="s">
        <v>66</v>
      </c>
      <c r="AP257">
        <v>1</v>
      </c>
      <c r="AQ257" t="s">
        <v>66</v>
      </c>
      <c r="AR257">
        <v>0</v>
      </c>
      <c r="AS257" t="s">
        <v>66</v>
      </c>
      <c r="AT257">
        <v>0</v>
      </c>
      <c r="AU257" t="s">
        <v>66</v>
      </c>
      <c r="AV257">
        <v>0</v>
      </c>
      <c r="AW257" t="s">
        <v>66</v>
      </c>
      <c r="AX257">
        <v>0</v>
      </c>
      <c r="AY257" t="s">
        <v>66</v>
      </c>
      <c r="AZ257">
        <v>0</v>
      </c>
      <c r="BA257" t="s">
        <v>66</v>
      </c>
      <c r="BB257">
        <v>0</v>
      </c>
      <c r="BC257">
        <v>0</v>
      </c>
      <c r="BD257">
        <v>379779.84000000003</v>
      </c>
      <c r="BE257">
        <v>13012.92</v>
      </c>
      <c r="BF257">
        <v>0</v>
      </c>
      <c r="BG257" t="s">
        <v>87</v>
      </c>
      <c r="BH257" t="s">
        <v>66</v>
      </c>
      <c r="BI257">
        <v>0</v>
      </c>
      <c r="BJ257" t="s">
        <v>66</v>
      </c>
      <c r="BK257" t="s">
        <v>88</v>
      </c>
      <c r="BL257" t="s">
        <v>66</v>
      </c>
      <c r="BM257" t="s">
        <v>159</v>
      </c>
    </row>
    <row r="258" spans="1:65" x14ac:dyDescent="0.25">
      <c r="A258">
        <v>256</v>
      </c>
      <c r="B258" t="s">
        <v>566</v>
      </c>
      <c r="C258" t="s">
        <v>66</v>
      </c>
      <c r="D258" s="1">
        <v>46204</v>
      </c>
      <c r="E258" t="s">
        <v>567</v>
      </c>
      <c r="F258" t="s">
        <v>68</v>
      </c>
      <c r="G258" t="s">
        <v>69</v>
      </c>
      <c r="H258" t="s">
        <v>70</v>
      </c>
      <c r="I258" t="s">
        <v>71</v>
      </c>
      <c r="J258" t="s">
        <v>72</v>
      </c>
      <c r="K258" t="s">
        <v>73</v>
      </c>
      <c r="L258" t="s">
        <v>74</v>
      </c>
      <c r="M258" t="s">
        <v>556</v>
      </c>
      <c r="N258" t="s">
        <v>111</v>
      </c>
      <c r="O258" t="s">
        <v>557</v>
      </c>
      <c r="P258" t="s">
        <v>558</v>
      </c>
      <c r="Q258" t="s">
        <v>568</v>
      </c>
      <c r="R258" s="1">
        <v>46206</v>
      </c>
      <c r="S258" t="s">
        <v>560</v>
      </c>
      <c r="T258" t="s">
        <v>561</v>
      </c>
      <c r="U258" t="s">
        <v>562</v>
      </c>
      <c r="V258" t="s">
        <v>66</v>
      </c>
      <c r="W258" t="s">
        <v>66</v>
      </c>
      <c r="X258">
        <v>205524</v>
      </c>
      <c r="Y258">
        <v>22607.64</v>
      </c>
      <c r="Z258">
        <v>205524</v>
      </c>
      <c r="AA258">
        <v>22607.64</v>
      </c>
      <c r="AB258">
        <v>228131.64</v>
      </c>
      <c r="AC258">
        <v>1</v>
      </c>
      <c r="AD258" t="s">
        <v>134</v>
      </c>
      <c r="AE258">
        <v>12</v>
      </c>
      <c r="AF258" t="s">
        <v>359</v>
      </c>
      <c r="AG258">
        <f>IFERROR(VLOOKUP(AF258,[1]STOK!J:O,6,0),"")</f>
        <v>12</v>
      </c>
      <c r="AH258" s="2">
        <f t="shared" si="6"/>
        <v>1</v>
      </c>
      <c r="AI258" t="s">
        <v>359</v>
      </c>
      <c r="AJ258" t="s">
        <v>360</v>
      </c>
      <c r="AK258" t="s">
        <v>361</v>
      </c>
      <c r="AL258" t="s">
        <v>86</v>
      </c>
      <c r="AM258">
        <v>230436</v>
      </c>
      <c r="AN258">
        <f t="shared" si="7"/>
        <v>228131.64</v>
      </c>
      <c r="AO258" t="s">
        <v>66</v>
      </c>
      <c r="AP258">
        <v>1</v>
      </c>
      <c r="AQ258" t="s">
        <v>66</v>
      </c>
      <c r="AR258">
        <v>0</v>
      </c>
      <c r="AS258" t="s">
        <v>66</v>
      </c>
      <c r="AT258">
        <v>0</v>
      </c>
      <c r="AU258" t="s">
        <v>66</v>
      </c>
      <c r="AV258">
        <v>0</v>
      </c>
      <c r="AW258" t="s">
        <v>66</v>
      </c>
      <c r="AX258">
        <v>0</v>
      </c>
      <c r="AY258" t="s">
        <v>66</v>
      </c>
      <c r="AZ258">
        <v>0</v>
      </c>
      <c r="BA258" t="s">
        <v>66</v>
      </c>
      <c r="BB258">
        <v>0</v>
      </c>
      <c r="BC258">
        <v>0</v>
      </c>
      <c r="BD258">
        <v>228131.64</v>
      </c>
      <c r="BE258">
        <v>15607.61</v>
      </c>
      <c r="BF258">
        <v>0</v>
      </c>
      <c r="BG258" t="s">
        <v>87</v>
      </c>
      <c r="BH258" t="s">
        <v>66</v>
      </c>
      <c r="BI258">
        <v>0</v>
      </c>
      <c r="BJ258" t="s">
        <v>66</v>
      </c>
      <c r="BK258" t="s">
        <v>88</v>
      </c>
      <c r="BL258" t="s">
        <v>66</v>
      </c>
      <c r="BM258" t="s">
        <v>159</v>
      </c>
    </row>
    <row r="259" spans="1:65" x14ac:dyDescent="0.25">
      <c r="A259">
        <v>257</v>
      </c>
      <c r="B259" t="s">
        <v>569</v>
      </c>
      <c r="C259" t="s">
        <v>68</v>
      </c>
      <c r="D259" s="1">
        <v>46204</v>
      </c>
      <c r="E259" t="s">
        <v>570</v>
      </c>
      <c r="F259" t="s">
        <v>68</v>
      </c>
      <c r="G259" t="s">
        <v>69</v>
      </c>
      <c r="H259" t="s">
        <v>70</v>
      </c>
      <c r="I259" t="s">
        <v>71</v>
      </c>
      <c r="J259" t="s">
        <v>72</v>
      </c>
      <c r="K259" t="s">
        <v>73</v>
      </c>
      <c r="L259" t="s">
        <v>74</v>
      </c>
      <c r="M259" t="s">
        <v>571</v>
      </c>
      <c r="N259" t="s">
        <v>76</v>
      </c>
      <c r="O259" t="s">
        <v>572</v>
      </c>
      <c r="P259" t="s">
        <v>573</v>
      </c>
      <c r="Q259" t="s">
        <v>574</v>
      </c>
      <c r="R259" s="1">
        <v>46205</v>
      </c>
      <c r="S259" t="s">
        <v>575</v>
      </c>
      <c r="T259" t="s">
        <v>576</v>
      </c>
      <c r="U259" t="s">
        <v>577</v>
      </c>
      <c r="V259" t="s">
        <v>66</v>
      </c>
      <c r="W259" t="s">
        <v>66</v>
      </c>
      <c r="X259">
        <v>4332408</v>
      </c>
      <c r="Y259">
        <v>476564.88</v>
      </c>
      <c r="Z259">
        <v>1129080</v>
      </c>
      <c r="AA259">
        <v>124198.8</v>
      </c>
      <c r="AB259">
        <v>4808972.88</v>
      </c>
      <c r="AC259">
        <v>5</v>
      </c>
      <c r="AD259" t="s">
        <v>134</v>
      </c>
      <c r="AE259">
        <v>60</v>
      </c>
      <c r="AF259" t="s">
        <v>284</v>
      </c>
      <c r="AG259">
        <f>IFERROR(VLOOKUP(AF259,[1]STOK!J:O,6,0),"")</f>
        <v>12</v>
      </c>
      <c r="AH259" s="2">
        <f t="shared" si="6"/>
        <v>5</v>
      </c>
      <c r="AI259" t="s">
        <v>284</v>
      </c>
      <c r="AJ259" t="s">
        <v>285</v>
      </c>
      <c r="AK259" t="s">
        <v>286</v>
      </c>
      <c r="AL259" t="s">
        <v>86</v>
      </c>
      <c r="AM259">
        <v>258408</v>
      </c>
      <c r="AN259">
        <f t="shared" si="7"/>
        <v>250655.76</v>
      </c>
      <c r="AO259" t="s">
        <v>66</v>
      </c>
      <c r="AP259">
        <v>3</v>
      </c>
      <c r="AQ259" t="s">
        <v>66</v>
      </c>
      <c r="AR259">
        <v>0</v>
      </c>
      <c r="AS259" t="s">
        <v>66</v>
      </c>
      <c r="AT259">
        <v>0</v>
      </c>
      <c r="AU259" t="s">
        <v>66</v>
      </c>
      <c r="AV259">
        <v>0</v>
      </c>
      <c r="AW259" t="s">
        <v>66</v>
      </c>
      <c r="AX259">
        <v>0</v>
      </c>
      <c r="AY259" t="s">
        <v>66</v>
      </c>
      <c r="AZ259">
        <v>0</v>
      </c>
      <c r="BA259" t="s">
        <v>66</v>
      </c>
      <c r="BB259">
        <v>0</v>
      </c>
      <c r="BC259">
        <v>0</v>
      </c>
      <c r="BD259">
        <v>1253278.8</v>
      </c>
      <c r="BE259">
        <v>17371.36</v>
      </c>
      <c r="BF259">
        <v>0</v>
      </c>
      <c r="BG259" t="s">
        <v>87</v>
      </c>
      <c r="BH259" t="s">
        <v>66</v>
      </c>
      <c r="BI259">
        <v>0</v>
      </c>
      <c r="BJ259" t="s">
        <v>66</v>
      </c>
      <c r="BK259" t="s">
        <v>88</v>
      </c>
      <c r="BL259" t="s">
        <v>66</v>
      </c>
      <c r="BM259" t="s">
        <v>159</v>
      </c>
    </row>
    <row r="260" spans="1:65" x14ac:dyDescent="0.25">
      <c r="A260">
        <v>258</v>
      </c>
      <c r="B260" t="s">
        <v>569</v>
      </c>
      <c r="C260" t="s">
        <v>68</v>
      </c>
      <c r="D260" s="1">
        <v>46204</v>
      </c>
      <c r="E260" t="s">
        <v>570</v>
      </c>
      <c r="F260" t="s">
        <v>68</v>
      </c>
      <c r="G260" t="s">
        <v>69</v>
      </c>
      <c r="H260" t="s">
        <v>70</v>
      </c>
      <c r="I260" t="s">
        <v>71</v>
      </c>
      <c r="J260" t="s">
        <v>72</v>
      </c>
      <c r="K260" t="s">
        <v>73</v>
      </c>
      <c r="L260" t="s">
        <v>74</v>
      </c>
      <c r="M260" t="s">
        <v>571</v>
      </c>
      <c r="N260" t="s">
        <v>76</v>
      </c>
      <c r="O260" t="s">
        <v>572</v>
      </c>
      <c r="P260" t="s">
        <v>573</v>
      </c>
      <c r="Q260" t="s">
        <v>574</v>
      </c>
      <c r="R260" s="1">
        <v>46205</v>
      </c>
      <c r="S260" t="s">
        <v>575</v>
      </c>
      <c r="T260" t="s">
        <v>576</v>
      </c>
      <c r="U260" t="s">
        <v>577</v>
      </c>
      <c r="V260" t="s">
        <v>66</v>
      </c>
      <c r="W260" t="s">
        <v>66</v>
      </c>
      <c r="X260">
        <v>4332408</v>
      </c>
      <c r="Y260">
        <v>476564.88</v>
      </c>
      <c r="Z260">
        <v>677448</v>
      </c>
      <c r="AA260">
        <v>74519.28</v>
      </c>
      <c r="AB260">
        <v>4808972.88</v>
      </c>
      <c r="AC260">
        <v>3</v>
      </c>
      <c r="AD260" t="s">
        <v>134</v>
      </c>
      <c r="AE260">
        <v>36</v>
      </c>
      <c r="AF260" t="s">
        <v>287</v>
      </c>
      <c r="AG260">
        <f>IFERROR(VLOOKUP(AF260,[1]STOK!J:O,6,0),"")</f>
        <v>12</v>
      </c>
      <c r="AH260" s="2">
        <f t="shared" ref="AH260:AH323" si="8">AE260/AG260</f>
        <v>3</v>
      </c>
      <c r="AI260" t="s">
        <v>287</v>
      </c>
      <c r="AJ260" t="s">
        <v>288</v>
      </c>
      <c r="AK260" t="s">
        <v>289</v>
      </c>
      <c r="AL260" t="s">
        <v>86</v>
      </c>
      <c r="AM260">
        <v>258408</v>
      </c>
      <c r="AN260">
        <f t="shared" ref="AN260:AN323" si="9">BD260/AC260</f>
        <v>250655.76</v>
      </c>
      <c r="AO260" t="s">
        <v>66</v>
      </c>
      <c r="AP260">
        <v>3</v>
      </c>
      <c r="AQ260" t="s">
        <v>66</v>
      </c>
      <c r="AR260">
        <v>0</v>
      </c>
      <c r="AS260" t="s">
        <v>66</v>
      </c>
      <c r="AT260">
        <v>0</v>
      </c>
      <c r="AU260" t="s">
        <v>66</v>
      </c>
      <c r="AV260">
        <v>0</v>
      </c>
      <c r="AW260" t="s">
        <v>66</v>
      </c>
      <c r="AX260">
        <v>0</v>
      </c>
      <c r="AY260" t="s">
        <v>66</v>
      </c>
      <c r="AZ260">
        <v>0</v>
      </c>
      <c r="BA260" t="s">
        <v>66</v>
      </c>
      <c r="BB260">
        <v>0</v>
      </c>
      <c r="BC260">
        <v>0</v>
      </c>
      <c r="BD260">
        <v>751967.28</v>
      </c>
      <c r="BE260">
        <v>17422.02</v>
      </c>
      <c r="BF260">
        <v>0</v>
      </c>
      <c r="BG260" t="s">
        <v>87</v>
      </c>
      <c r="BH260" t="s">
        <v>66</v>
      </c>
      <c r="BI260">
        <v>0</v>
      </c>
      <c r="BJ260" t="s">
        <v>66</v>
      </c>
      <c r="BK260" t="s">
        <v>88</v>
      </c>
      <c r="BL260" t="s">
        <v>66</v>
      </c>
      <c r="BM260" t="s">
        <v>159</v>
      </c>
    </row>
    <row r="261" spans="1:65" x14ac:dyDescent="0.25">
      <c r="A261">
        <v>259</v>
      </c>
      <c r="B261" t="s">
        <v>569</v>
      </c>
      <c r="C261" t="s">
        <v>68</v>
      </c>
      <c r="D261" s="1">
        <v>46204</v>
      </c>
      <c r="E261" t="s">
        <v>570</v>
      </c>
      <c r="F261" t="s">
        <v>68</v>
      </c>
      <c r="G261" t="s">
        <v>69</v>
      </c>
      <c r="H261" t="s">
        <v>70</v>
      </c>
      <c r="I261" t="s">
        <v>71</v>
      </c>
      <c r="J261" t="s">
        <v>72</v>
      </c>
      <c r="K261" t="s">
        <v>73</v>
      </c>
      <c r="L261" t="s">
        <v>74</v>
      </c>
      <c r="M261" t="s">
        <v>571</v>
      </c>
      <c r="N261" t="s">
        <v>76</v>
      </c>
      <c r="O261" t="s">
        <v>572</v>
      </c>
      <c r="P261" t="s">
        <v>573</v>
      </c>
      <c r="Q261" t="s">
        <v>574</v>
      </c>
      <c r="R261" s="1">
        <v>46205</v>
      </c>
      <c r="S261" t="s">
        <v>575</v>
      </c>
      <c r="T261" t="s">
        <v>576</v>
      </c>
      <c r="U261" t="s">
        <v>577</v>
      </c>
      <c r="V261" t="s">
        <v>66</v>
      </c>
      <c r="W261" t="s">
        <v>66</v>
      </c>
      <c r="X261">
        <v>4332408</v>
      </c>
      <c r="Y261">
        <v>476564.88</v>
      </c>
      <c r="Z261">
        <v>124548</v>
      </c>
      <c r="AA261">
        <v>13700.28</v>
      </c>
      <c r="AB261">
        <v>4808972.88</v>
      </c>
      <c r="AC261">
        <v>1</v>
      </c>
      <c r="AD261" t="s">
        <v>134</v>
      </c>
      <c r="AE261">
        <v>12</v>
      </c>
      <c r="AF261" t="s">
        <v>578</v>
      </c>
      <c r="AG261">
        <f>IFERROR(VLOOKUP(AF261,[1]STOK!J:O,6,0),"")</f>
        <v>12</v>
      </c>
      <c r="AH261" s="2">
        <f t="shared" si="8"/>
        <v>1</v>
      </c>
      <c r="AI261" t="s">
        <v>578</v>
      </c>
      <c r="AJ261" t="s">
        <v>579</v>
      </c>
      <c r="AK261" t="s">
        <v>580</v>
      </c>
      <c r="AL261" t="s">
        <v>86</v>
      </c>
      <c r="AM261">
        <v>142524</v>
      </c>
      <c r="AN261">
        <f t="shared" si="9"/>
        <v>138248.28</v>
      </c>
      <c r="AO261" t="s">
        <v>66</v>
      </c>
      <c r="AP261">
        <v>3</v>
      </c>
      <c r="AQ261" t="s">
        <v>66</v>
      </c>
      <c r="AR261">
        <v>0</v>
      </c>
      <c r="AS261" t="s">
        <v>66</v>
      </c>
      <c r="AT261">
        <v>0</v>
      </c>
      <c r="AU261" t="s">
        <v>66</v>
      </c>
      <c r="AV261">
        <v>0</v>
      </c>
      <c r="AW261" t="s">
        <v>66</v>
      </c>
      <c r="AX261">
        <v>0</v>
      </c>
      <c r="AY261" t="s">
        <v>66</v>
      </c>
      <c r="AZ261">
        <v>0</v>
      </c>
      <c r="BA261" t="s">
        <v>66</v>
      </c>
      <c r="BB261">
        <v>0</v>
      </c>
      <c r="BC261">
        <v>0</v>
      </c>
      <c r="BD261">
        <v>138248.28</v>
      </c>
      <c r="BE261">
        <v>9646.18</v>
      </c>
      <c r="BF261">
        <v>0</v>
      </c>
      <c r="BG261" t="s">
        <v>87</v>
      </c>
      <c r="BH261" t="s">
        <v>66</v>
      </c>
      <c r="BI261">
        <v>0</v>
      </c>
      <c r="BJ261" t="s">
        <v>66</v>
      </c>
      <c r="BK261" t="s">
        <v>88</v>
      </c>
      <c r="BL261" t="s">
        <v>66</v>
      </c>
      <c r="BM261" t="s">
        <v>159</v>
      </c>
    </row>
    <row r="262" spans="1:65" x14ac:dyDescent="0.25">
      <c r="A262">
        <v>260</v>
      </c>
      <c r="B262" t="s">
        <v>569</v>
      </c>
      <c r="C262" t="s">
        <v>68</v>
      </c>
      <c r="D262" s="1">
        <v>46204</v>
      </c>
      <c r="E262" t="s">
        <v>570</v>
      </c>
      <c r="F262" t="s">
        <v>68</v>
      </c>
      <c r="G262" t="s">
        <v>69</v>
      </c>
      <c r="H262" t="s">
        <v>70</v>
      </c>
      <c r="I262" t="s">
        <v>71</v>
      </c>
      <c r="J262" t="s">
        <v>72</v>
      </c>
      <c r="K262" t="s">
        <v>73</v>
      </c>
      <c r="L262" t="s">
        <v>74</v>
      </c>
      <c r="M262" t="s">
        <v>571</v>
      </c>
      <c r="N262" t="s">
        <v>76</v>
      </c>
      <c r="O262" t="s">
        <v>572</v>
      </c>
      <c r="P262" t="s">
        <v>573</v>
      </c>
      <c r="Q262" t="s">
        <v>574</v>
      </c>
      <c r="R262" s="1">
        <v>46205</v>
      </c>
      <c r="S262" t="s">
        <v>575</v>
      </c>
      <c r="T262" t="s">
        <v>576</v>
      </c>
      <c r="U262" t="s">
        <v>577</v>
      </c>
      <c r="V262" t="s">
        <v>66</v>
      </c>
      <c r="W262" t="s">
        <v>66</v>
      </c>
      <c r="X262">
        <v>4332408</v>
      </c>
      <c r="Y262">
        <v>476564.88</v>
      </c>
      <c r="Z262">
        <v>195552</v>
      </c>
      <c r="AA262">
        <v>21510.720000000001</v>
      </c>
      <c r="AB262">
        <v>4808972.88</v>
      </c>
      <c r="AC262">
        <v>1</v>
      </c>
      <c r="AD262" t="s">
        <v>134</v>
      </c>
      <c r="AE262">
        <v>4</v>
      </c>
      <c r="AF262" t="s">
        <v>581</v>
      </c>
      <c r="AG262">
        <f>IFERROR(VLOOKUP(AF262,[1]STOK!J:O,6,0),"")</f>
        <v>4</v>
      </c>
      <c r="AH262" s="2">
        <f t="shared" si="8"/>
        <v>1</v>
      </c>
      <c r="AI262" t="s">
        <v>581</v>
      </c>
      <c r="AJ262" t="s">
        <v>582</v>
      </c>
      <c r="AK262" t="s">
        <v>583</v>
      </c>
      <c r="AL262" t="s">
        <v>86</v>
      </c>
      <c r="AM262">
        <v>223776</v>
      </c>
      <c r="AN262">
        <f t="shared" si="9"/>
        <v>217062.72</v>
      </c>
      <c r="AO262" t="s">
        <v>66</v>
      </c>
      <c r="AP262">
        <v>3</v>
      </c>
      <c r="AQ262" t="s">
        <v>66</v>
      </c>
      <c r="AR262">
        <v>0</v>
      </c>
      <c r="AS262" t="s">
        <v>66</v>
      </c>
      <c r="AT262">
        <v>0</v>
      </c>
      <c r="AU262" t="s">
        <v>66</v>
      </c>
      <c r="AV262">
        <v>0</v>
      </c>
      <c r="AW262" t="s">
        <v>66</v>
      </c>
      <c r="AX262">
        <v>0</v>
      </c>
      <c r="AY262" t="s">
        <v>66</v>
      </c>
      <c r="AZ262">
        <v>0</v>
      </c>
      <c r="BA262" t="s">
        <v>66</v>
      </c>
      <c r="BB262">
        <v>0</v>
      </c>
      <c r="BC262">
        <v>0</v>
      </c>
      <c r="BD262">
        <v>217062.72</v>
      </c>
      <c r="BE262">
        <v>44158.77</v>
      </c>
      <c r="BF262">
        <v>0</v>
      </c>
      <c r="BG262" t="s">
        <v>87</v>
      </c>
      <c r="BH262" t="s">
        <v>66</v>
      </c>
      <c r="BI262">
        <v>0</v>
      </c>
      <c r="BJ262" t="s">
        <v>66</v>
      </c>
      <c r="BK262" t="s">
        <v>88</v>
      </c>
      <c r="BL262" t="s">
        <v>66</v>
      </c>
      <c r="BM262" t="s">
        <v>159</v>
      </c>
    </row>
    <row r="263" spans="1:65" x14ac:dyDescent="0.25">
      <c r="A263">
        <v>261</v>
      </c>
      <c r="B263" t="s">
        <v>569</v>
      </c>
      <c r="C263" t="s">
        <v>68</v>
      </c>
      <c r="D263" s="1">
        <v>46204</v>
      </c>
      <c r="E263" t="s">
        <v>570</v>
      </c>
      <c r="F263" t="s">
        <v>68</v>
      </c>
      <c r="G263" t="s">
        <v>69</v>
      </c>
      <c r="H263" t="s">
        <v>70</v>
      </c>
      <c r="I263" t="s">
        <v>71</v>
      </c>
      <c r="J263" t="s">
        <v>72</v>
      </c>
      <c r="K263" t="s">
        <v>73</v>
      </c>
      <c r="L263" t="s">
        <v>74</v>
      </c>
      <c r="M263" t="s">
        <v>571</v>
      </c>
      <c r="N263" t="s">
        <v>76</v>
      </c>
      <c r="O263" t="s">
        <v>572</v>
      </c>
      <c r="P263" t="s">
        <v>573</v>
      </c>
      <c r="Q263" t="s">
        <v>574</v>
      </c>
      <c r="R263" s="1">
        <v>46205</v>
      </c>
      <c r="S263" t="s">
        <v>575</v>
      </c>
      <c r="T263" t="s">
        <v>576</v>
      </c>
      <c r="U263" t="s">
        <v>577</v>
      </c>
      <c r="V263" t="s">
        <v>66</v>
      </c>
      <c r="W263" t="s">
        <v>66</v>
      </c>
      <c r="X263">
        <v>4332408</v>
      </c>
      <c r="Y263">
        <v>476564.88</v>
      </c>
      <c r="Z263">
        <v>309624</v>
      </c>
      <c r="AA263">
        <v>34058.639999999999</v>
      </c>
      <c r="AB263">
        <v>4808972.88</v>
      </c>
      <c r="AC263">
        <v>2</v>
      </c>
      <c r="AD263" t="s">
        <v>134</v>
      </c>
      <c r="AE263">
        <v>24</v>
      </c>
      <c r="AF263" t="s">
        <v>135</v>
      </c>
      <c r="AG263">
        <f>IFERROR(VLOOKUP(AF263,[1]STOK!J:O,6,0),"")</f>
        <v>12</v>
      </c>
      <c r="AH263" s="2">
        <f t="shared" si="8"/>
        <v>2</v>
      </c>
      <c r="AI263" t="s">
        <v>135</v>
      </c>
      <c r="AJ263" t="s">
        <v>136</v>
      </c>
      <c r="AK263" t="s">
        <v>137</v>
      </c>
      <c r="AL263" t="s">
        <v>86</v>
      </c>
      <c r="AM263">
        <v>177156</v>
      </c>
      <c r="AN263">
        <f t="shared" si="9"/>
        <v>171841.32</v>
      </c>
      <c r="AO263" t="s">
        <v>66</v>
      </c>
      <c r="AP263">
        <v>3</v>
      </c>
      <c r="AQ263" t="s">
        <v>66</v>
      </c>
      <c r="AR263">
        <v>0</v>
      </c>
      <c r="AS263" t="s">
        <v>66</v>
      </c>
      <c r="AT263">
        <v>0</v>
      </c>
      <c r="AU263" t="s">
        <v>66</v>
      </c>
      <c r="AV263">
        <v>0</v>
      </c>
      <c r="AW263" t="s">
        <v>66</v>
      </c>
      <c r="AX263">
        <v>0</v>
      </c>
      <c r="AY263" t="s">
        <v>66</v>
      </c>
      <c r="AZ263">
        <v>0</v>
      </c>
      <c r="BA263" t="s">
        <v>66</v>
      </c>
      <c r="BB263">
        <v>0</v>
      </c>
      <c r="BC263">
        <v>0</v>
      </c>
      <c r="BD263">
        <v>343682.64</v>
      </c>
      <c r="BE263">
        <v>12026.74</v>
      </c>
      <c r="BF263">
        <v>0</v>
      </c>
      <c r="BG263" t="s">
        <v>87</v>
      </c>
      <c r="BH263" t="s">
        <v>66</v>
      </c>
      <c r="BI263">
        <v>0</v>
      </c>
      <c r="BJ263" t="s">
        <v>66</v>
      </c>
      <c r="BK263" t="s">
        <v>88</v>
      </c>
      <c r="BL263" t="s">
        <v>66</v>
      </c>
      <c r="BM263" t="s">
        <v>159</v>
      </c>
    </row>
    <row r="264" spans="1:65" x14ac:dyDescent="0.25">
      <c r="A264">
        <v>262</v>
      </c>
      <c r="B264" t="s">
        <v>569</v>
      </c>
      <c r="C264" t="s">
        <v>68</v>
      </c>
      <c r="D264" s="1">
        <v>46204</v>
      </c>
      <c r="E264" t="s">
        <v>570</v>
      </c>
      <c r="F264" t="s">
        <v>68</v>
      </c>
      <c r="G264" t="s">
        <v>69</v>
      </c>
      <c r="H264" t="s">
        <v>70</v>
      </c>
      <c r="I264" t="s">
        <v>71</v>
      </c>
      <c r="J264" t="s">
        <v>72</v>
      </c>
      <c r="K264" t="s">
        <v>73</v>
      </c>
      <c r="L264" t="s">
        <v>74</v>
      </c>
      <c r="M264" t="s">
        <v>571</v>
      </c>
      <c r="N264" t="s">
        <v>76</v>
      </c>
      <c r="O264" t="s">
        <v>572</v>
      </c>
      <c r="P264" t="s">
        <v>573</v>
      </c>
      <c r="Q264" t="s">
        <v>574</v>
      </c>
      <c r="R264" s="1">
        <v>46205</v>
      </c>
      <c r="S264" t="s">
        <v>575</v>
      </c>
      <c r="T264" t="s">
        <v>576</v>
      </c>
      <c r="U264" t="s">
        <v>577</v>
      </c>
      <c r="V264" t="s">
        <v>66</v>
      </c>
      <c r="W264" t="s">
        <v>66</v>
      </c>
      <c r="X264">
        <v>4332408</v>
      </c>
      <c r="Y264">
        <v>476564.88</v>
      </c>
      <c r="Z264">
        <v>402744</v>
      </c>
      <c r="AA264">
        <v>44301.84</v>
      </c>
      <c r="AB264">
        <v>4808972.88</v>
      </c>
      <c r="AC264">
        <v>2</v>
      </c>
      <c r="AD264" t="s">
        <v>134</v>
      </c>
      <c r="AE264">
        <v>24</v>
      </c>
      <c r="AF264" t="s">
        <v>359</v>
      </c>
      <c r="AG264">
        <f>IFERROR(VLOOKUP(AF264,[1]STOK!J:O,6,0),"")</f>
        <v>12</v>
      </c>
      <c r="AH264" s="2">
        <f t="shared" si="8"/>
        <v>2</v>
      </c>
      <c r="AI264" t="s">
        <v>359</v>
      </c>
      <c r="AJ264" t="s">
        <v>360</v>
      </c>
      <c r="AK264" t="s">
        <v>361</v>
      </c>
      <c r="AL264" t="s">
        <v>86</v>
      </c>
      <c r="AM264">
        <v>230436</v>
      </c>
      <c r="AN264">
        <f t="shared" si="9"/>
        <v>223522.92</v>
      </c>
      <c r="AO264" t="s">
        <v>66</v>
      </c>
      <c r="AP264">
        <v>3</v>
      </c>
      <c r="AQ264" t="s">
        <v>66</v>
      </c>
      <c r="AR264">
        <v>0</v>
      </c>
      <c r="AS264" t="s">
        <v>66</v>
      </c>
      <c r="AT264">
        <v>0</v>
      </c>
      <c r="AU264" t="s">
        <v>66</v>
      </c>
      <c r="AV264">
        <v>0</v>
      </c>
      <c r="AW264" t="s">
        <v>66</v>
      </c>
      <c r="AX264">
        <v>0</v>
      </c>
      <c r="AY264" t="s">
        <v>66</v>
      </c>
      <c r="AZ264">
        <v>0</v>
      </c>
      <c r="BA264" t="s">
        <v>66</v>
      </c>
      <c r="BB264">
        <v>0</v>
      </c>
      <c r="BC264">
        <v>0</v>
      </c>
      <c r="BD264">
        <v>447045.84</v>
      </c>
      <c r="BE264">
        <v>15607.61</v>
      </c>
      <c r="BF264">
        <v>0</v>
      </c>
      <c r="BG264" t="s">
        <v>87</v>
      </c>
      <c r="BH264" t="s">
        <v>66</v>
      </c>
      <c r="BI264">
        <v>0</v>
      </c>
      <c r="BJ264" t="s">
        <v>66</v>
      </c>
      <c r="BK264" t="s">
        <v>88</v>
      </c>
      <c r="BL264" t="s">
        <v>66</v>
      </c>
      <c r="BM264" t="s">
        <v>159</v>
      </c>
    </row>
    <row r="265" spans="1:65" x14ac:dyDescent="0.25">
      <c r="A265">
        <v>263</v>
      </c>
      <c r="B265" t="s">
        <v>569</v>
      </c>
      <c r="C265" t="s">
        <v>68</v>
      </c>
      <c r="D265" s="1">
        <v>46204</v>
      </c>
      <c r="E265" t="s">
        <v>570</v>
      </c>
      <c r="F265" t="s">
        <v>68</v>
      </c>
      <c r="G265" t="s">
        <v>69</v>
      </c>
      <c r="H265" t="s">
        <v>70</v>
      </c>
      <c r="I265" t="s">
        <v>71</v>
      </c>
      <c r="J265" t="s">
        <v>72</v>
      </c>
      <c r="K265" t="s">
        <v>73</v>
      </c>
      <c r="L265" t="s">
        <v>74</v>
      </c>
      <c r="M265" t="s">
        <v>571</v>
      </c>
      <c r="N265" t="s">
        <v>76</v>
      </c>
      <c r="O265" t="s">
        <v>572</v>
      </c>
      <c r="P265" t="s">
        <v>573</v>
      </c>
      <c r="Q265" t="s">
        <v>574</v>
      </c>
      <c r="R265" s="1">
        <v>46205</v>
      </c>
      <c r="S265" t="s">
        <v>575</v>
      </c>
      <c r="T265" t="s">
        <v>576</v>
      </c>
      <c r="U265" t="s">
        <v>577</v>
      </c>
      <c r="V265" t="s">
        <v>66</v>
      </c>
      <c r="W265" t="s">
        <v>66</v>
      </c>
      <c r="X265">
        <v>4332408</v>
      </c>
      <c r="Y265">
        <v>476564.88</v>
      </c>
      <c r="Z265">
        <v>445812</v>
      </c>
      <c r="AA265">
        <v>49039.32</v>
      </c>
      <c r="AB265">
        <v>4808972.88</v>
      </c>
      <c r="AC265">
        <v>2</v>
      </c>
      <c r="AD265" t="s">
        <v>134</v>
      </c>
      <c r="AE265">
        <v>12</v>
      </c>
      <c r="AF265" t="s">
        <v>138</v>
      </c>
      <c r="AG265">
        <f>IFERROR(VLOOKUP(AF265,[1]STOK!J:O,6,0),"")</f>
        <v>6</v>
      </c>
      <c r="AH265" s="2">
        <f t="shared" si="8"/>
        <v>2</v>
      </c>
      <c r="AI265" t="s">
        <v>138</v>
      </c>
      <c r="AJ265" t="s">
        <v>139</v>
      </c>
      <c r="AK265" t="s">
        <v>140</v>
      </c>
      <c r="AL265" t="s">
        <v>86</v>
      </c>
      <c r="AM265">
        <v>255078</v>
      </c>
      <c r="AN265">
        <f t="shared" si="9"/>
        <v>247425.66</v>
      </c>
      <c r="AO265" t="s">
        <v>66</v>
      </c>
      <c r="AP265">
        <v>3</v>
      </c>
      <c r="AQ265" t="s">
        <v>66</v>
      </c>
      <c r="AR265">
        <v>0</v>
      </c>
      <c r="AS265" t="s">
        <v>66</v>
      </c>
      <c r="AT265">
        <v>0</v>
      </c>
      <c r="AU265" t="s">
        <v>66</v>
      </c>
      <c r="AV265">
        <v>0</v>
      </c>
      <c r="AW265" t="s">
        <v>66</v>
      </c>
      <c r="AX265">
        <v>0</v>
      </c>
      <c r="AY265" t="s">
        <v>66</v>
      </c>
      <c r="AZ265">
        <v>0</v>
      </c>
      <c r="BA265" t="s">
        <v>66</v>
      </c>
      <c r="BB265">
        <v>0</v>
      </c>
      <c r="BC265">
        <v>0</v>
      </c>
      <c r="BD265">
        <v>494851.32</v>
      </c>
      <c r="BE265">
        <v>34660.32</v>
      </c>
      <c r="BF265">
        <v>0</v>
      </c>
      <c r="BG265" t="s">
        <v>87</v>
      </c>
      <c r="BH265" t="s">
        <v>66</v>
      </c>
      <c r="BI265">
        <v>0</v>
      </c>
      <c r="BJ265" t="s">
        <v>66</v>
      </c>
      <c r="BK265" t="s">
        <v>88</v>
      </c>
      <c r="BL265" t="s">
        <v>66</v>
      </c>
      <c r="BM265" t="s">
        <v>159</v>
      </c>
    </row>
    <row r="266" spans="1:65" x14ac:dyDescent="0.25">
      <c r="A266">
        <v>264</v>
      </c>
      <c r="B266" t="s">
        <v>569</v>
      </c>
      <c r="C266" t="s">
        <v>68</v>
      </c>
      <c r="D266" s="1">
        <v>46204</v>
      </c>
      <c r="E266" t="s">
        <v>570</v>
      </c>
      <c r="F266" t="s">
        <v>68</v>
      </c>
      <c r="G266" t="s">
        <v>69</v>
      </c>
      <c r="H266" t="s">
        <v>70</v>
      </c>
      <c r="I266" t="s">
        <v>71</v>
      </c>
      <c r="J266" t="s">
        <v>72</v>
      </c>
      <c r="K266" t="s">
        <v>73</v>
      </c>
      <c r="L266" t="s">
        <v>74</v>
      </c>
      <c r="M266" t="s">
        <v>571</v>
      </c>
      <c r="N266" t="s">
        <v>76</v>
      </c>
      <c r="O266" t="s">
        <v>572</v>
      </c>
      <c r="P266" t="s">
        <v>573</v>
      </c>
      <c r="Q266" t="s">
        <v>574</v>
      </c>
      <c r="R266" s="1">
        <v>46205</v>
      </c>
      <c r="S266" t="s">
        <v>575</v>
      </c>
      <c r="T266" t="s">
        <v>576</v>
      </c>
      <c r="U266" t="s">
        <v>577</v>
      </c>
      <c r="V266" t="s">
        <v>66</v>
      </c>
      <c r="W266" t="s">
        <v>66</v>
      </c>
      <c r="X266">
        <v>4332408</v>
      </c>
      <c r="Y266">
        <v>476564.88</v>
      </c>
      <c r="Z266">
        <v>1047600</v>
      </c>
      <c r="AA266">
        <v>115236</v>
      </c>
      <c r="AB266">
        <v>4808972.88</v>
      </c>
      <c r="AC266">
        <v>4</v>
      </c>
      <c r="AD266" t="s">
        <v>134</v>
      </c>
      <c r="AE266">
        <v>16</v>
      </c>
      <c r="AF266" t="s">
        <v>312</v>
      </c>
      <c r="AG266">
        <f>IFERROR(VLOOKUP(AF266,[1]STOK!J:O,6,0),"")</f>
        <v>4</v>
      </c>
      <c r="AH266" s="2">
        <f t="shared" si="8"/>
        <v>4</v>
      </c>
      <c r="AI266" t="s">
        <v>312</v>
      </c>
      <c r="AJ266" t="s">
        <v>313</v>
      </c>
      <c r="AK266" t="s">
        <v>314</v>
      </c>
      <c r="AL266" t="s">
        <v>86</v>
      </c>
      <c r="AM266">
        <v>299700</v>
      </c>
      <c r="AN266">
        <f t="shared" si="9"/>
        <v>290709</v>
      </c>
      <c r="AO266" t="s">
        <v>66</v>
      </c>
      <c r="AP266">
        <v>3</v>
      </c>
      <c r="AQ266" t="s">
        <v>66</v>
      </c>
      <c r="AR266">
        <v>0</v>
      </c>
      <c r="AS266" t="s">
        <v>66</v>
      </c>
      <c r="AT266">
        <v>0</v>
      </c>
      <c r="AU266" t="s">
        <v>66</v>
      </c>
      <c r="AV266">
        <v>0</v>
      </c>
      <c r="AW266" t="s">
        <v>66</v>
      </c>
      <c r="AX266">
        <v>0</v>
      </c>
      <c r="AY266" t="s">
        <v>66</v>
      </c>
      <c r="AZ266">
        <v>0</v>
      </c>
      <c r="BA266" t="s">
        <v>66</v>
      </c>
      <c r="BB266">
        <v>0</v>
      </c>
      <c r="BC266">
        <v>0</v>
      </c>
      <c r="BD266">
        <v>1162836</v>
      </c>
      <c r="BE266">
        <v>60292.27</v>
      </c>
      <c r="BF266">
        <v>0</v>
      </c>
      <c r="BG266" t="s">
        <v>87</v>
      </c>
      <c r="BH266" t="s">
        <v>66</v>
      </c>
      <c r="BI266">
        <v>0</v>
      </c>
      <c r="BJ266" t="s">
        <v>66</v>
      </c>
      <c r="BK266" t="s">
        <v>88</v>
      </c>
      <c r="BL266" t="s">
        <v>66</v>
      </c>
      <c r="BM266" t="s">
        <v>159</v>
      </c>
    </row>
    <row r="267" spans="1:65" x14ac:dyDescent="0.25">
      <c r="A267">
        <v>265</v>
      </c>
      <c r="B267" t="s">
        <v>584</v>
      </c>
      <c r="C267" t="s">
        <v>68</v>
      </c>
      <c r="D267" s="1">
        <v>46204</v>
      </c>
      <c r="E267" t="s">
        <v>585</v>
      </c>
      <c r="F267" t="s">
        <v>68</v>
      </c>
      <c r="G267" t="s">
        <v>69</v>
      </c>
      <c r="H267" t="s">
        <v>70</v>
      </c>
      <c r="I267" t="s">
        <v>71</v>
      </c>
      <c r="J267" t="s">
        <v>72</v>
      </c>
      <c r="K267" t="s">
        <v>73</v>
      </c>
      <c r="L267" t="s">
        <v>74</v>
      </c>
      <c r="M267" t="s">
        <v>586</v>
      </c>
      <c r="N267" t="s">
        <v>111</v>
      </c>
      <c r="O267" t="s">
        <v>587</v>
      </c>
      <c r="P267" t="s">
        <v>588</v>
      </c>
      <c r="Q267" t="s">
        <v>589</v>
      </c>
      <c r="R267" s="1">
        <v>46206</v>
      </c>
      <c r="S267" t="s">
        <v>590</v>
      </c>
      <c r="T267" t="s">
        <v>591</v>
      </c>
      <c r="U267" t="s">
        <v>592</v>
      </c>
      <c r="V267" t="s">
        <v>66</v>
      </c>
      <c r="W267" t="s">
        <v>66</v>
      </c>
      <c r="X267">
        <v>3195734</v>
      </c>
      <c r="Y267">
        <v>351530.74</v>
      </c>
      <c r="Z267">
        <v>645372</v>
      </c>
      <c r="AA267">
        <v>70990.92</v>
      </c>
      <c r="AB267">
        <v>3547264.74</v>
      </c>
      <c r="AC267">
        <v>2</v>
      </c>
      <c r="AD267" t="s">
        <v>134</v>
      </c>
      <c r="AE267">
        <v>24</v>
      </c>
      <c r="AF267" t="s">
        <v>593</v>
      </c>
      <c r="AG267">
        <f>IFERROR(VLOOKUP(AF267,[1]STOK!J:O,6,0),"")</f>
        <v>12</v>
      </c>
      <c r="AH267" s="2">
        <f t="shared" si="8"/>
        <v>2</v>
      </c>
      <c r="AI267" t="s">
        <v>593</v>
      </c>
      <c r="AJ267" t="s">
        <v>594</v>
      </c>
      <c r="AK267" t="s">
        <v>595</v>
      </c>
      <c r="AL267" t="s">
        <v>86</v>
      </c>
      <c r="AM267">
        <v>363636</v>
      </c>
      <c r="AN267">
        <f t="shared" si="9"/>
        <v>358181.46</v>
      </c>
      <c r="AO267" t="s">
        <v>66</v>
      </c>
      <c r="AP267">
        <v>1.5</v>
      </c>
      <c r="AQ267" t="s">
        <v>66</v>
      </c>
      <c r="AR267">
        <v>0</v>
      </c>
      <c r="AS267" t="s">
        <v>66</v>
      </c>
      <c r="AT267">
        <v>0</v>
      </c>
      <c r="AU267" t="s">
        <v>66</v>
      </c>
      <c r="AV267">
        <v>0</v>
      </c>
      <c r="AW267" t="s">
        <v>66</v>
      </c>
      <c r="AX267">
        <v>0</v>
      </c>
      <c r="AY267" t="s">
        <v>66</v>
      </c>
      <c r="AZ267">
        <v>0</v>
      </c>
      <c r="BA267" t="s">
        <v>66</v>
      </c>
      <c r="BB267">
        <v>0</v>
      </c>
      <c r="BC267">
        <v>0</v>
      </c>
      <c r="BD267">
        <v>716362.92</v>
      </c>
      <c r="BE267">
        <v>24635.68</v>
      </c>
      <c r="BF267">
        <v>0</v>
      </c>
      <c r="BG267" t="s">
        <v>87</v>
      </c>
      <c r="BH267" t="s">
        <v>66</v>
      </c>
      <c r="BI267">
        <v>0</v>
      </c>
      <c r="BJ267" t="s">
        <v>66</v>
      </c>
      <c r="BK267" t="s">
        <v>88</v>
      </c>
      <c r="BL267" t="s">
        <v>66</v>
      </c>
      <c r="BM267" t="s">
        <v>159</v>
      </c>
    </row>
    <row r="268" spans="1:65" x14ac:dyDescent="0.25">
      <c r="A268">
        <v>266</v>
      </c>
      <c r="B268" t="s">
        <v>584</v>
      </c>
      <c r="C268" t="s">
        <v>68</v>
      </c>
      <c r="D268" s="1">
        <v>46204</v>
      </c>
      <c r="E268" t="s">
        <v>585</v>
      </c>
      <c r="F268" t="s">
        <v>68</v>
      </c>
      <c r="G268" t="s">
        <v>69</v>
      </c>
      <c r="H268" t="s">
        <v>70</v>
      </c>
      <c r="I268" t="s">
        <v>71</v>
      </c>
      <c r="J268" t="s">
        <v>72</v>
      </c>
      <c r="K268" t="s">
        <v>73</v>
      </c>
      <c r="L268" t="s">
        <v>74</v>
      </c>
      <c r="M268" t="s">
        <v>586</v>
      </c>
      <c r="N268" t="s">
        <v>111</v>
      </c>
      <c r="O268" t="s">
        <v>587</v>
      </c>
      <c r="P268" t="s">
        <v>588</v>
      </c>
      <c r="Q268" t="s">
        <v>589</v>
      </c>
      <c r="R268" s="1">
        <v>46206</v>
      </c>
      <c r="S268" t="s">
        <v>590</v>
      </c>
      <c r="T268" t="s">
        <v>591</v>
      </c>
      <c r="U268" t="s">
        <v>592</v>
      </c>
      <c r="V268" t="s">
        <v>66</v>
      </c>
      <c r="W268" t="s">
        <v>66</v>
      </c>
      <c r="X268">
        <v>3195734</v>
      </c>
      <c r="Y268">
        <v>351530.74</v>
      </c>
      <c r="Z268">
        <v>1019672</v>
      </c>
      <c r="AA268">
        <v>112163.92</v>
      </c>
      <c r="AB268">
        <v>3547264.74</v>
      </c>
      <c r="AC268">
        <v>2</v>
      </c>
      <c r="AD268" t="s">
        <v>134</v>
      </c>
      <c r="AE268">
        <v>8</v>
      </c>
      <c r="AF268" t="s">
        <v>596</v>
      </c>
      <c r="AG268">
        <f>IFERROR(VLOOKUP(AF268,[1]STOK!J:O,6,0),"")</f>
        <v>4</v>
      </c>
      <c r="AH268" s="2">
        <f t="shared" si="8"/>
        <v>2</v>
      </c>
      <c r="AI268" t="s">
        <v>596</v>
      </c>
      <c r="AJ268" t="s">
        <v>597</v>
      </c>
      <c r="AK268" t="s">
        <v>598</v>
      </c>
      <c r="AL268" t="s">
        <v>86</v>
      </c>
      <c r="AM268">
        <v>574536</v>
      </c>
      <c r="AN268">
        <f t="shared" si="9"/>
        <v>565917.96</v>
      </c>
      <c r="AO268" t="s">
        <v>66</v>
      </c>
      <c r="AP268">
        <v>1.5</v>
      </c>
      <c r="AQ268" t="s">
        <v>66</v>
      </c>
      <c r="AR268">
        <v>0</v>
      </c>
      <c r="AS268" t="s">
        <v>66</v>
      </c>
      <c r="AT268">
        <v>0</v>
      </c>
      <c r="AU268" t="s">
        <v>66</v>
      </c>
      <c r="AV268">
        <v>0</v>
      </c>
      <c r="AW268" t="s">
        <v>66</v>
      </c>
      <c r="AX268">
        <v>0</v>
      </c>
      <c r="AY268" t="s">
        <v>66</v>
      </c>
      <c r="AZ268">
        <v>0</v>
      </c>
      <c r="BA268" t="s">
        <v>66</v>
      </c>
      <c r="BB268">
        <v>0</v>
      </c>
      <c r="BC268">
        <v>0</v>
      </c>
      <c r="BD268">
        <v>1131835.92</v>
      </c>
      <c r="BE268">
        <v>115328.93</v>
      </c>
      <c r="BF268">
        <v>0</v>
      </c>
      <c r="BG268" t="s">
        <v>87</v>
      </c>
      <c r="BH268" t="s">
        <v>66</v>
      </c>
      <c r="BI268">
        <v>0</v>
      </c>
      <c r="BJ268" t="s">
        <v>66</v>
      </c>
      <c r="BK268" t="s">
        <v>88</v>
      </c>
      <c r="BL268" t="s">
        <v>66</v>
      </c>
      <c r="BM268" t="s">
        <v>159</v>
      </c>
    </row>
    <row r="269" spans="1:65" x14ac:dyDescent="0.25">
      <c r="A269">
        <v>267</v>
      </c>
      <c r="B269" t="s">
        <v>584</v>
      </c>
      <c r="C269" t="s">
        <v>68</v>
      </c>
      <c r="D269" s="1">
        <v>46204</v>
      </c>
      <c r="E269" t="s">
        <v>585</v>
      </c>
      <c r="F269" t="s">
        <v>68</v>
      </c>
      <c r="G269" t="s">
        <v>69</v>
      </c>
      <c r="H269" t="s">
        <v>70</v>
      </c>
      <c r="I269" t="s">
        <v>71</v>
      </c>
      <c r="J269" t="s">
        <v>72</v>
      </c>
      <c r="K269" t="s">
        <v>73</v>
      </c>
      <c r="L269" t="s">
        <v>74</v>
      </c>
      <c r="M269" t="s">
        <v>586</v>
      </c>
      <c r="N269" t="s">
        <v>111</v>
      </c>
      <c r="O269" t="s">
        <v>587</v>
      </c>
      <c r="P269" t="s">
        <v>588</v>
      </c>
      <c r="Q269" t="s">
        <v>589</v>
      </c>
      <c r="R269" s="1">
        <v>46206</v>
      </c>
      <c r="S269" t="s">
        <v>590</v>
      </c>
      <c r="T269" t="s">
        <v>591</v>
      </c>
      <c r="U269" t="s">
        <v>592</v>
      </c>
      <c r="V269" t="s">
        <v>66</v>
      </c>
      <c r="W269" t="s">
        <v>66</v>
      </c>
      <c r="X269">
        <v>3195734</v>
      </c>
      <c r="Y269">
        <v>351530.74</v>
      </c>
      <c r="Z269">
        <v>458616</v>
      </c>
      <c r="AA269">
        <v>50447.76</v>
      </c>
      <c r="AB269">
        <v>3547264.74</v>
      </c>
      <c r="AC269">
        <v>2</v>
      </c>
      <c r="AD269" t="s">
        <v>134</v>
      </c>
      <c r="AE269">
        <v>24</v>
      </c>
      <c r="AF269" t="s">
        <v>284</v>
      </c>
      <c r="AG269">
        <f>IFERROR(VLOOKUP(AF269,[1]STOK!J:O,6,0),"")</f>
        <v>12</v>
      </c>
      <c r="AH269" s="2">
        <f t="shared" si="8"/>
        <v>2</v>
      </c>
      <c r="AI269" t="s">
        <v>284</v>
      </c>
      <c r="AJ269" t="s">
        <v>285</v>
      </c>
      <c r="AK269" t="s">
        <v>286</v>
      </c>
      <c r="AL269" t="s">
        <v>86</v>
      </c>
      <c r="AM269">
        <v>258408</v>
      </c>
      <c r="AN269">
        <f t="shared" si="9"/>
        <v>254531.88</v>
      </c>
      <c r="AO269" t="s">
        <v>66</v>
      </c>
      <c r="AP269">
        <v>1.5</v>
      </c>
      <c r="AQ269" t="s">
        <v>66</v>
      </c>
      <c r="AR269">
        <v>0</v>
      </c>
      <c r="AS269" t="s">
        <v>66</v>
      </c>
      <c r="AT269">
        <v>0</v>
      </c>
      <c r="AU269" t="s">
        <v>66</v>
      </c>
      <c r="AV269">
        <v>0</v>
      </c>
      <c r="AW269" t="s">
        <v>66</v>
      </c>
      <c r="AX269">
        <v>0</v>
      </c>
      <c r="AY269" t="s">
        <v>66</v>
      </c>
      <c r="AZ269">
        <v>0</v>
      </c>
      <c r="BA269" t="s">
        <v>66</v>
      </c>
      <c r="BB269">
        <v>0</v>
      </c>
      <c r="BC269">
        <v>0</v>
      </c>
      <c r="BD269">
        <v>509063.76</v>
      </c>
      <c r="BE269">
        <v>17371.36</v>
      </c>
      <c r="BF269">
        <v>0</v>
      </c>
      <c r="BG269" t="s">
        <v>87</v>
      </c>
      <c r="BH269" t="s">
        <v>66</v>
      </c>
      <c r="BI269">
        <v>0</v>
      </c>
      <c r="BJ269" t="s">
        <v>66</v>
      </c>
      <c r="BK269" t="s">
        <v>88</v>
      </c>
      <c r="BL269" t="s">
        <v>66</v>
      </c>
      <c r="BM269" t="s">
        <v>159</v>
      </c>
    </row>
    <row r="270" spans="1:65" x14ac:dyDescent="0.25">
      <c r="A270">
        <v>268</v>
      </c>
      <c r="B270" t="s">
        <v>584</v>
      </c>
      <c r="C270" t="s">
        <v>68</v>
      </c>
      <c r="D270" s="1">
        <v>46204</v>
      </c>
      <c r="E270" t="s">
        <v>585</v>
      </c>
      <c r="F270" t="s">
        <v>68</v>
      </c>
      <c r="G270" t="s">
        <v>69</v>
      </c>
      <c r="H270" t="s">
        <v>70</v>
      </c>
      <c r="I270" t="s">
        <v>71</v>
      </c>
      <c r="J270" t="s">
        <v>72</v>
      </c>
      <c r="K270" t="s">
        <v>73</v>
      </c>
      <c r="L270" t="s">
        <v>74</v>
      </c>
      <c r="M270" t="s">
        <v>586</v>
      </c>
      <c r="N270" t="s">
        <v>111</v>
      </c>
      <c r="O270" t="s">
        <v>587</v>
      </c>
      <c r="P270" t="s">
        <v>588</v>
      </c>
      <c r="Q270" t="s">
        <v>589</v>
      </c>
      <c r="R270" s="1">
        <v>46206</v>
      </c>
      <c r="S270" t="s">
        <v>590</v>
      </c>
      <c r="T270" t="s">
        <v>591</v>
      </c>
      <c r="U270" t="s">
        <v>592</v>
      </c>
      <c r="V270" t="s">
        <v>66</v>
      </c>
      <c r="W270" t="s">
        <v>66</v>
      </c>
      <c r="X270">
        <v>3195734</v>
      </c>
      <c r="Y270">
        <v>351530.74</v>
      </c>
      <c r="Z270">
        <v>126474</v>
      </c>
      <c r="AA270">
        <v>13912.14</v>
      </c>
      <c r="AB270">
        <v>3547264.74</v>
      </c>
      <c r="AC270">
        <v>12</v>
      </c>
      <c r="AD270" t="s">
        <v>82</v>
      </c>
      <c r="AE270">
        <v>12</v>
      </c>
      <c r="AF270" t="s">
        <v>578</v>
      </c>
      <c r="AG270">
        <f>IFERROR(VLOOKUP(AF270,[1]STOK!J:O,6,0),"")</f>
        <v>12</v>
      </c>
      <c r="AH270" s="2">
        <f t="shared" si="8"/>
        <v>1</v>
      </c>
      <c r="AI270" t="s">
        <v>578</v>
      </c>
      <c r="AJ270" t="s">
        <v>579</v>
      </c>
      <c r="AK270" t="s">
        <v>580</v>
      </c>
      <c r="AL270" t="s">
        <v>86</v>
      </c>
      <c r="AM270">
        <v>11877</v>
      </c>
      <c r="AN270">
        <f t="shared" si="9"/>
        <v>11698.845000000001</v>
      </c>
      <c r="AO270" t="s">
        <v>66</v>
      </c>
      <c r="AP270">
        <v>1.5</v>
      </c>
      <c r="AQ270" t="s">
        <v>66</v>
      </c>
      <c r="AR270">
        <v>0</v>
      </c>
      <c r="AS270" t="s">
        <v>66</v>
      </c>
      <c r="AT270">
        <v>0</v>
      </c>
      <c r="AU270" t="s">
        <v>66</v>
      </c>
      <c r="AV270">
        <v>0</v>
      </c>
      <c r="AW270" t="s">
        <v>66</v>
      </c>
      <c r="AX270">
        <v>0</v>
      </c>
      <c r="AY270" t="s">
        <v>66</v>
      </c>
      <c r="AZ270">
        <v>0</v>
      </c>
      <c r="BA270" t="s">
        <v>66</v>
      </c>
      <c r="BB270">
        <v>0</v>
      </c>
      <c r="BC270">
        <v>0</v>
      </c>
      <c r="BD270">
        <v>140386.14000000001</v>
      </c>
      <c r="BE270">
        <v>9646.18</v>
      </c>
      <c r="BF270">
        <v>0</v>
      </c>
      <c r="BG270" t="s">
        <v>87</v>
      </c>
      <c r="BH270" t="s">
        <v>66</v>
      </c>
      <c r="BI270">
        <v>0</v>
      </c>
      <c r="BJ270" t="s">
        <v>66</v>
      </c>
      <c r="BK270" t="s">
        <v>88</v>
      </c>
      <c r="BL270" t="s">
        <v>66</v>
      </c>
      <c r="BM270" t="s">
        <v>159</v>
      </c>
    </row>
    <row r="271" spans="1:65" x14ac:dyDescent="0.25">
      <c r="A271">
        <v>269</v>
      </c>
      <c r="B271" t="s">
        <v>584</v>
      </c>
      <c r="C271" t="s">
        <v>68</v>
      </c>
      <c r="D271" s="1">
        <v>46204</v>
      </c>
      <c r="E271" t="s">
        <v>585</v>
      </c>
      <c r="F271" t="s">
        <v>68</v>
      </c>
      <c r="G271" t="s">
        <v>69</v>
      </c>
      <c r="H271" t="s">
        <v>70</v>
      </c>
      <c r="I271" t="s">
        <v>71</v>
      </c>
      <c r="J271" t="s">
        <v>72</v>
      </c>
      <c r="K271" t="s">
        <v>73</v>
      </c>
      <c r="L271" t="s">
        <v>74</v>
      </c>
      <c r="M271" t="s">
        <v>586</v>
      </c>
      <c r="N271" t="s">
        <v>111</v>
      </c>
      <c r="O271" t="s">
        <v>587</v>
      </c>
      <c r="P271" t="s">
        <v>588</v>
      </c>
      <c r="Q271" t="s">
        <v>589</v>
      </c>
      <c r="R271" s="1">
        <v>46206</v>
      </c>
      <c r="S271" t="s">
        <v>590</v>
      </c>
      <c r="T271" t="s">
        <v>591</v>
      </c>
      <c r="U271" t="s">
        <v>592</v>
      </c>
      <c r="V271" t="s">
        <v>66</v>
      </c>
      <c r="W271" t="s">
        <v>66</v>
      </c>
      <c r="X271">
        <v>3195734</v>
      </c>
      <c r="Y271">
        <v>351530.74</v>
      </c>
      <c r="Z271">
        <v>472800</v>
      </c>
      <c r="AA271">
        <v>52008</v>
      </c>
      <c r="AB271">
        <v>3547264.74</v>
      </c>
      <c r="AC271">
        <v>2</v>
      </c>
      <c r="AD271" t="s">
        <v>134</v>
      </c>
      <c r="AE271">
        <v>24</v>
      </c>
      <c r="AF271" t="s">
        <v>290</v>
      </c>
      <c r="AG271">
        <f>IFERROR(VLOOKUP(AF271,[1]STOK!J:O,6,0),"")</f>
        <v>12</v>
      </c>
      <c r="AH271" s="2">
        <f t="shared" si="8"/>
        <v>2</v>
      </c>
      <c r="AI271" t="s">
        <v>290</v>
      </c>
      <c r="AJ271" t="s">
        <v>291</v>
      </c>
      <c r="AK271" t="s">
        <v>292</v>
      </c>
      <c r="AL271" t="s">
        <v>86</v>
      </c>
      <c r="AM271">
        <v>266400</v>
      </c>
      <c r="AN271">
        <f t="shared" si="9"/>
        <v>262404</v>
      </c>
      <c r="AO271" t="s">
        <v>66</v>
      </c>
      <c r="AP271">
        <v>1.5</v>
      </c>
      <c r="AQ271" t="s">
        <v>66</v>
      </c>
      <c r="AR271">
        <v>0</v>
      </c>
      <c r="AS271" t="s">
        <v>66</v>
      </c>
      <c r="AT271">
        <v>0</v>
      </c>
      <c r="AU271" t="s">
        <v>66</v>
      </c>
      <c r="AV271">
        <v>0</v>
      </c>
      <c r="AW271" t="s">
        <v>66</v>
      </c>
      <c r="AX271">
        <v>0</v>
      </c>
      <c r="AY271" t="s">
        <v>66</v>
      </c>
      <c r="AZ271">
        <v>0</v>
      </c>
      <c r="BA271" t="s">
        <v>66</v>
      </c>
      <c r="BB271">
        <v>0</v>
      </c>
      <c r="BC271">
        <v>0</v>
      </c>
      <c r="BD271">
        <v>524808</v>
      </c>
      <c r="BE271">
        <v>18106.89</v>
      </c>
      <c r="BF271">
        <v>0</v>
      </c>
      <c r="BG271" t="s">
        <v>87</v>
      </c>
      <c r="BH271" t="s">
        <v>66</v>
      </c>
      <c r="BI271">
        <v>0</v>
      </c>
      <c r="BJ271" t="s">
        <v>66</v>
      </c>
      <c r="BK271" t="s">
        <v>88</v>
      </c>
      <c r="BL271" t="s">
        <v>66</v>
      </c>
      <c r="BM271" t="s">
        <v>159</v>
      </c>
    </row>
    <row r="272" spans="1:65" x14ac:dyDescent="0.25">
      <c r="A272">
        <v>270</v>
      </c>
      <c r="B272" t="s">
        <v>584</v>
      </c>
      <c r="C272" t="s">
        <v>68</v>
      </c>
      <c r="D272" s="1">
        <v>46204</v>
      </c>
      <c r="E272" t="s">
        <v>585</v>
      </c>
      <c r="F272" t="s">
        <v>68</v>
      </c>
      <c r="G272" t="s">
        <v>69</v>
      </c>
      <c r="H272" t="s">
        <v>70</v>
      </c>
      <c r="I272" t="s">
        <v>71</v>
      </c>
      <c r="J272" t="s">
        <v>72</v>
      </c>
      <c r="K272" t="s">
        <v>73</v>
      </c>
      <c r="L272" t="s">
        <v>74</v>
      </c>
      <c r="M272" t="s">
        <v>586</v>
      </c>
      <c r="N272" t="s">
        <v>111</v>
      </c>
      <c r="O272" t="s">
        <v>587</v>
      </c>
      <c r="P272" t="s">
        <v>588</v>
      </c>
      <c r="Q272" t="s">
        <v>589</v>
      </c>
      <c r="R272" s="1">
        <v>46206</v>
      </c>
      <c r="S272" t="s">
        <v>590</v>
      </c>
      <c r="T272" t="s">
        <v>591</v>
      </c>
      <c r="U272" t="s">
        <v>592</v>
      </c>
      <c r="V272" t="s">
        <v>66</v>
      </c>
      <c r="W272" t="s">
        <v>66</v>
      </c>
      <c r="X272">
        <v>3195734</v>
      </c>
      <c r="Y272">
        <v>351530.74</v>
      </c>
      <c r="Z272">
        <v>472800</v>
      </c>
      <c r="AA272">
        <v>52008</v>
      </c>
      <c r="AB272">
        <v>3547264.74</v>
      </c>
      <c r="AC272">
        <v>2</v>
      </c>
      <c r="AD272" t="s">
        <v>134</v>
      </c>
      <c r="AE272">
        <v>24</v>
      </c>
      <c r="AF272" t="s">
        <v>102</v>
      </c>
      <c r="AG272">
        <f>IFERROR(VLOOKUP(AF272,[1]STOK!J:O,6,0),"")</f>
        <v>12</v>
      </c>
      <c r="AH272" s="2">
        <f t="shared" si="8"/>
        <v>2</v>
      </c>
      <c r="AI272" t="s">
        <v>102</v>
      </c>
      <c r="AJ272" t="s">
        <v>103</v>
      </c>
      <c r="AK272" t="s">
        <v>104</v>
      </c>
      <c r="AL272" t="s">
        <v>86</v>
      </c>
      <c r="AM272">
        <v>266400</v>
      </c>
      <c r="AN272">
        <f t="shared" si="9"/>
        <v>262404</v>
      </c>
      <c r="AO272" t="s">
        <v>66</v>
      </c>
      <c r="AP272">
        <v>1.5</v>
      </c>
      <c r="AQ272" t="s">
        <v>66</v>
      </c>
      <c r="AR272">
        <v>0</v>
      </c>
      <c r="AS272" t="s">
        <v>66</v>
      </c>
      <c r="AT272">
        <v>0</v>
      </c>
      <c r="AU272" t="s">
        <v>66</v>
      </c>
      <c r="AV272">
        <v>0</v>
      </c>
      <c r="AW272" t="s">
        <v>66</v>
      </c>
      <c r="AX272">
        <v>0</v>
      </c>
      <c r="AY272" t="s">
        <v>66</v>
      </c>
      <c r="AZ272">
        <v>0</v>
      </c>
      <c r="BA272" t="s">
        <v>66</v>
      </c>
      <c r="BB272">
        <v>0</v>
      </c>
      <c r="BC272">
        <v>0</v>
      </c>
      <c r="BD272">
        <v>524808</v>
      </c>
      <c r="BE272">
        <v>18040.98</v>
      </c>
      <c r="BF272">
        <v>0</v>
      </c>
      <c r="BG272" t="s">
        <v>87</v>
      </c>
      <c r="BH272" t="s">
        <v>66</v>
      </c>
      <c r="BI272">
        <v>0</v>
      </c>
      <c r="BJ272" t="s">
        <v>66</v>
      </c>
      <c r="BK272" t="s">
        <v>88</v>
      </c>
      <c r="BL272" t="s">
        <v>66</v>
      </c>
      <c r="BM272" t="s">
        <v>159</v>
      </c>
    </row>
    <row r="273" spans="1:65" x14ac:dyDescent="0.25">
      <c r="A273">
        <v>271</v>
      </c>
      <c r="B273" t="s">
        <v>599</v>
      </c>
      <c r="C273" t="s">
        <v>68</v>
      </c>
      <c r="D273" s="1">
        <v>46204</v>
      </c>
      <c r="E273" t="s">
        <v>600</v>
      </c>
      <c r="F273" t="s">
        <v>68</v>
      </c>
      <c r="G273" t="s">
        <v>295</v>
      </c>
      <c r="H273" t="s">
        <v>296</v>
      </c>
      <c r="I273" t="s">
        <v>71</v>
      </c>
      <c r="J273" t="s">
        <v>72</v>
      </c>
      <c r="K273" t="s">
        <v>73</v>
      </c>
      <c r="L273" t="s">
        <v>74</v>
      </c>
      <c r="M273" t="s">
        <v>601</v>
      </c>
      <c r="N273" t="s">
        <v>76</v>
      </c>
      <c r="O273" t="s">
        <v>602</v>
      </c>
      <c r="P273" t="s">
        <v>603</v>
      </c>
      <c r="Q273" t="s">
        <v>604</v>
      </c>
      <c r="R273" s="1">
        <v>46206</v>
      </c>
      <c r="S273" t="s">
        <v>605</v>
      </c>
      <c r="T273" t="s">
        <v>606</v>
      </c>
      <c r="U273" t="s">
        <v>607</v>
      </c>
      <c r="V273" t="s">
        <v>66</v>
      </c>
      <c r="W273" t="s">
        <v>66</v>
      </c>
      <c r="X273">
        <v>2432148</v>
      </c>
      <c r="Y273">
        <v>267536.28000000003</v>
      </c>
      <c r="Z273">
        <v>124548</v>
      </c>
      <c r="AA273">
        <v>13700.28</v>
      </c>
      <c r="AB273">
        <v>2699684.28</v>
      </c>
      <c r="AC273">
        <v>12</v>
      </c>
      <c r="AD273" t="s">
        <v>82</v>
      </c>
      <c r="AE273">
        <v>12</v>
      </c>
      <c r="AF273" t="s">
        <v>578</v>
      </c>
      <c r="AG273">
        <f>IFERROR(VLOOKUP(AF273,[1]STOK!J:O,6,0),"")</f>
        <v>12</v>
      </c>
      <c r="AH273" s="2">
        <f t="shared" si="8"/>
        <v>1</v>
      </c>
      <c r="AI273" t="s">
        <v>578</v>
      </c>
      <c r="AJ273" t="s">
        <v>579</v>
      </c>
      <c r="AK273" t="s">
        <v>580</v>
      </c>
      <c r="AL273" t="s">
        <v>86</v>
      </c>
      <c r="AM273">
        <v>11877</v>
      </c>
      <c r="AN273">
        <f t="shared" si="9"/>
        <v>11520.69</v>
      </c>
      <c r="AO273" t="s">
        <v>66</v>
      </c>
      <c r="AP273">
        <v>0</v>
      </c>
      <c r="AQ273" t="s">
        <v>66</v>
      </c>
      <c r="AR273">
        <v>0</v>
      </c>
      <c r="AS273" t="s">
        <v>66</v>
      </c>
      <c r="AT273">
        <v>0</v>
      </c>
      <c r="AU273" t="s">
        <v>66</v>
      </c>
      <c r="AV273">
        <v>3</v>
      </c>
      <c r="AW273" t="s">
        <v>66</v>
      </c>
      <c r="AX273">
        <v>0</v>
      </c>
      <c r="AY273" t="s">
        <v>66</v>
      </c>
      <c r="AZ273">
        <v>0</v>
      </c>
      <c r="BA273" t="s">
        <v>66</v>
      </c>
      <c r="BB273">
        <v>0</v>
      </c>
      <c r="BC273">
        <v>0</v>
      </c>
      <c r="BD273">
        <v>138248.28</v>
      </c>
      <c r="BE273">
        <v>9646.18</v>
      </c>
      <c r="BF273">
        <v>0</v>
      </c>
      <c r="BG273" t="s">
        <v>87</v>
      </c>
      <c r="BH273" t="s">
        <v>66</v>
      </c>
      <c r="BI273">
        <v>0</v>
      </c>
      <c r="BJ273" t="s">
        <v>66</v>
      </c>
      <c r="BK273" t="s">
        <v>88</v>
      </c>
      <c r="BL273" t="s">
        <v>608</v>
      </c>
      <c r="BM273" t="s">
        <v>159</v>
      </c>
    </row>
    <row r="274" spans="1:65" x14ac:dyDescent="0.25">
      <c r="A274">
        <v>272</v>
      </c>
      <c r="B274" t="s">
        <v>599</v>
      </c>
      <c r="C274" t="s">
        <v>68</v>
      </c>
      <c r="D274" s="1">
        <v>46204</v>
      </c>
      <c r="E274" t="s">
        <v>600</v>
      </c>
      <c r="F274" t="s">
        <v>68</v>
      </c>
      <c r="G274" t="s">
        <v>295</v>
      </c>
      <c r="H274" t="s">
        <v>296</v>
      </c>
      <c r="I274" t="s">
        <v>71</v>
      </c>
      <c r="J274" t="s">
        <v>72</v>
      </c>
      <c r="K274" t="s">
        <v>73</v>
      </c>
      <c r="L274" t="s">
        <v>74</v>
      </c>
      <c r="M274" t="s">
        <v>601</v>
      </c>
      <c r="N274" t="s">
        <v>76</v>
      </c>
      <c r="O274" t="s">
        <v>602</v>
      </c>
      <c r="P274" t="s">
        <v>603</v>
      </c>
      <c r="Q274" t="s">
        <v>604</v>
      </c>
      <c r="R274" s="1">
        <v>46206</v>
      </c>
      <c r="S274" t="s">
        <v>605</v>
      </c>
      <c r="T274" t="s">
        <v>606</v>
      </c>
      <c r="U274" t="s">
        <v>607</v>
      </c>
      <c r="V274" t="s">
        <v>66</v>
      </c>
      <c r="W274" t="s">
        <v>66</v>
      </c>
      <c r="X274">
        <v>2432148</v>
      </c>
      <c r="Y274">
        <v>267536.28000000003</v>
      </c>
      <c r="Z274">
        <v>1038000</v>
      </c>
      <c r="AA274">
        <v>114180</v>
      </c>
      <c r="AB274">
        <v>2699684.28</v>
      </c>
      <c r="AC274">
        <v>60</v>
      </c>
      <c r="AD274" t="s">
        <v>82</v>
      </c>
      <c r="AE274">
        <v>60</v>
      </c>
      <c r="AF274" t="s">
        <v>359</v>
      </c>
      <c r="AG274">
        <f>IFERROR(VLOOKUP(AF274,[1]STOK!J:O,6,0),"")</f>
        <v>12</v>
      </c>
      <c r="AH274" s="2">
        <f t="shared" si="8"/>
        <v>5</v>
      </c>
      <c r="AI274" t="s">
        <v>359</v>
      </c>
      <c r="AJ274" t="s">
        <v>360</v>
      </c>
      <c r="AK274" t="s">
        <v>361</v>
      </c>
      <c r="AL274" t="s">
        <v>86</v>
      </c>
      <c r="AM274">
        <v>19203</v>
      </c>
      <c r="AN274">
        <f t="shared" si="9"/>
        <v>19203</v>
      </c>
      <c r="AO274" t="s">
        <v>66</v>
      </c>
      <c r="AP274">
        <v>0</v>
      </c>
      <c r="AQ274" t="s">
        <v>66</v>
      </c>
      <c r="AR274">
        <v>0</v>
      </c>
      <c r="AS274" t="s">
        <v>66</v>
      </c>
      <c r="AT274">
        <v>0</v>
      </c>
      <c r="AU274" t="s">
        <v>66</v>
      </c>
      <c r="AV274">
        <v>0</v>
      </c>
      <c r="AW274" t="s">
        <v>66</v>
      </c>
      <c r="AX274">
        <v>0</v>
      </c>
      <c r="AY274" t="s">
        <v>66</v>
      </c>
      <c r="AZ274">
        <v>0</v>
      </c>
      <c r="BA274" t="s">
        <v>66</v>
      </c>
      <c r="BB274">
        <v>0</v>
      </c>
      <c r="BC274">
        <v>0</v>
      </c>
      <c r="BD274">
        <v>1152180</v>
      </c>
      <c r="BE274">
        <v>15607.61</v>
      </c>
      <c r="BF274">
        <v>0</v>
      </c>
      <c r="BG274" t="s">
        <v>87</v>
      </c>
      <c r="BH274" t="s">
        <v>66</v>
      </c>
      <c r="BI274">
        <v>0</v>
      </c>
      <c r="BJ274" t="s">
        <v>66</v>
      </c>
      <c r="BK274" t="s">
        <v>88</v>
      </c>
      <c r="BL274" t="s">
        <v>608</v>
      </c>
      <c r="BM274" t="s">
        <v>159</v>
      </c>
    </row>
    <row r="275" spans="1:65" x14ac:dyDescent="0.25">
      <c r="A275">
        <v>273</v>
      </c>
      <c r="B275" t="s">
        <v>599</v>
      </c>
      <c r="C275" t="s">
        <v>68</v>
      </c>
      <c r="D275" s="1">
        <v>46204</v>
      </c>
      <c r="E275" t="s">
        <v>600</v>
      </c>
      <c r="F275" t="s">
        <v>68</v>
      </c>
      <c r="G275" t="s">
        <v>295</v>
      </c>
      <c r="H275" t="s">
        <v>296</v>
      </c>
      <c r="I275" t="s">
        <v>71</v>
      </c>
      <c r="J275" t="s">
        <v>72</v>
      </c>
      <c r="K275" t="s">
        <v>73</v>
      </c>
      <c r="L275" t="s">
        <v>74</v>
      </c>
      <c r="M275" t="s">
        <v>601</v>
      </c>
      <c r="N275" t="s">
        <v>76</v>
      </c>
      <c r="O275" t="s">
        <v>602</v>
      </c>
      <c r="P275" t="s">
        <v>603</v>
      </c>
      <c r="Q275" t="s">
        <v>604</v>
      </c>
      <c r="R275" s="1">
        <v>46206</v>
      </c>
      <c r="S275" t="s">
        <v>605</v>
      </c>
      <c r="T275" t="s">
        <v>606</v>
      </c>
      <c r="U275" t="s">
        <v>607</v>
      </c>
      <c r="V275" t="s">
        <v>66</v>
      </c>
      <c r="W275" t="s">
        <v>66</v>
      </c>
      <c r="X275">
        <v>2432148</v>
      </c>
      <c r="Y275">
        <v>267536.28000000003</v>
      </c>
      <c r="Z275">
        <v>232800</v>
      </c>
      <c r="AA275">
        <v>25608</v>
      </c>
      <c r="AB275">
        <v>2699684.28</v>
      </c>
      <c r="AC275">
        <v>12</v>
      </c>
      <c r="AD275" t="s">
        <v>82</v>
      </c>
      <c r="AE275">
        <v>12</v>
      </c>
      <c r="AF275" t="s">
        <v>290</v>
      </c>
      <c r="AG275">
        <f>IFERROR(VLOOKUP(AF275,[1]STOK!J:O,6,0),"")</f>
        <v>12</v>
      </c>
      <c r="AH275" s="2">
        <f t="shared" si="8"/>
        <v>1</v>
      </c>
      <c r="AI275" t="s">
        <v>290</v>
      </c>
      <c r="AJ275" t="s">
        <v>291</v>
      </c>
      <c r="AK275" t="s">
        <v>292</v>
      </c>
      <c r="AL275" t="s">
        <v>86</v>
      </c>
      <c r="AM275">
        <v>22200</v>
      </c>
      <c r="AN275">
        <f t="shared" si="9"/>
        <v>21534</v>
      </c>
      <c r="AO275" t="s">
        <v>66</v>
      </c>
      <c r="AP275">
        <v>0</v>
      </c>
      <c r="AQ275" t="s">
        <v>66</v>
      </c>
      <c r="AR275">
        <v>0</v>
      </c>
      <c r="AS275" t="s">
        <v>66</v>
      </c>
      <c r="AT275">
        <v>0</v>
      </c>
      <c r="AU275" t="s">
        <v>66</v>
      </c>
      <c r="AV275">
        <v>3</v>
      </c>
      <c r="AW275" t="s">
        <v>66</v>
      </c>
      <c r="AX275">
        <v>0</v>
      </c>
      <c r="AY275" t="s">
        <v>66</v>
      </c>
      <c r="AZ275">
        <v>0</v>
      </c>
      <c r="BA275" t="s">
        <v>66</v>
      </c>
      <c r="BB275">
        <v>0</v>
      </c>
      <c r="BC275">
        <v>0</v>
      </c>
      <c r="BD275">
        <v>258408</v>
      </c>
      <c r="BE275">
        <v>18106.89</v>
      </c>
      <c r="BF275">
        <v>0</v>
      </c>
      <c r="BG275" t="s">
        <v>87</v>
      </c>
      <c r="BH275" t="s">
        <v>66</v>
      </c>
      <c r="BI275">
        <v>0</v>
      </c>
      <c r="BJ275" t="s">
        <v>66</v>
      </c>
      <c r="BK275" t="s">
        <v>88</v>
      </c>
      <c r="BL275" t="s">
        <v>608</v>
      </c>
      <c r="BM275" t="s">
        <v>159</v>
      </c>
    </row>
    <row r="276" spans="1:65" x14ac:dyDescent="0.25">
      <c r="A276">
        <v>274</v>
      </c>
      <c r="B276" t="s">
        <v>599</v>
      </c>
      <c r="C276" t="s">
        <v>68</v>
      </c>
      <c r="D276" s="1">
        <v>46204</v>
      </c>
      <c r="E276" t="s">
        <v>600</v>
      </c>
      <c r="F276" t="s">
        <v>68</v>
      </c>
      <c r="G276" t="s">
        <v>295</v>
      </c>
      <c r="H276" t="s">
        <v>296</v>
      </c>
      <c r="I276" t="s">
        <v>71</v>
      </c>
      <c r="J276" t="s">
        <v>72</v>
      </c>
      <c r="K276" t="s">
        <v>73</v>
      </c>
      <c r="L276" t="s">
        <v>74</v>
      </c>
      <c r="M276" t="s">
        <v>601</v>
      </c>
      <c r="N276" t="s">
        <v>76</v>
      </c>
      <c r="O276" t="s">
        <v>602</v>
      </c>
      <c r="P276" t="s">
        <v>603</v>
      </c>
      <c r="Q276" t="s">
        <v>604</v>
      </c>
      <c r="R276" s="1">
        <v>46206</v>
      </c>
      <c r="S276" t="s">
        <v>605</v>
      </c>
      <c r="T276" t="s">
        <v>606</v>
      </c>
      <c r="U276" t="s">
        <v>607</v>
      </c>
      <c r="V276" t="s">
        <v>66</v>
      </c>
      <c r="W276" t="s">
        <v>66</v>
      </c>
      <c r="X276">
        <v>2432148</v>
      </c>
      <c r="Y276">
        <v>267536.28000000003</v>
      </c>
      <c r="Z276">
        <v>1036800</v>
      </c>
      <c r="AA276">
        <v>114048</v>
      </c>
      <c r="AB276">
        <v>2699684.28</v>
      </c>
      <c r="AC276">
        <v>72</v>
      </c>
      <c r="AD276" t="s">
        <v>82</v>
      </c>
      <c r="AE276">
        <v>72</v>
      </c>
      <c r="AF276" t="s">
        <v>141</v>
      </c>
      <c r="AG276">
        <f>IFERROR(VLOOKUP(AF276,[1]STOK!J:O,6,0),"")</f>
        <v>12</v>
      </c>
      <c r="AH276" s="2">
        <f t="shared" si="8"/>
        <v>6</v>
      </c>
      <c r="AI276" t="s">
        <v>141</v>
      </c>
      <c r="AJ276" t="s">
        <v>142</v>
      </c>
      <c r="AK276" t="s">
        <v>143</v>
      </c>
      <c r="AL276" t="s">
        <v>86</v>
      </c>
      <c r="AM276">
        <v>15984</v>
      </c>
      <c r="AN276">
        <f t="shared" si="9"/>
        <v>15984</v>
      </c>
      <c r="AO276" t="s">
        <v>66</v>
      </c>
      <c r="AP276">
        <v>0</v>
      </c>
      <c r="AQ276" t="s">
        <v>66</v>
      </c>
      <c r="AR276">
        <v>0</v>
      </c>
      <c r="AS276" t="s">
        <v>66</v>
      </c>
      <c r="AT276">
        <v>0</v>
      </c>
      <c r="AU276" t="s">
        <v>66</v>
      </c>
      <c r="AV276">
        <v>0</v>
      </c>
      <c r="AW276" t="s">
        <v>66</v>
      </c>
      <c r="AX276">
        <v>0</v>
      </c>
      <c r="AY276" t="s">
        <v>66</v>
      </c>
      <c r="AZ276">
        <v>0</v>
      </c>
      <c r="BA276" t="s">
        <v>66</v>
      </c>
      <c r="BB276">
        <v>0</v>
      </c>
      <c r="BC276">
        <v>0</v>
      </c>
      <c r="BD276">
        <v>1150848</v>
      </c>
      <c r="BE276">
        <v>13012.92</v>
      </c>
      <c r="BF276">
        <v>0</v>
      </c>
      <c r="BG276" t="s">
        <v>87</v>
      </c>
      <c r="BH276" t="s">
        <v>66</v>
      </c>
      <c r="BI276">
        <v>0</v>
      </c>
      <c r="BJ276" t="s">
        <v>66</v>
      </c>
      <c r="BK276" t="s">
        <v>88</v>
      </c>
      <c r="BL276" t="s">
        <v>608</v>
      </c>
      <c r="BM276" t="s">
        <v>159</v>
      </c>
    </row>
    <row r="277" spans="1:65" x14ac:dyDescent="0.25">
      <c r="A277">
        <v>275</v>
      </c>
      <c r="B277" t="s">
        <v>609</v>
      </c>
      <c r="C277" t="s">
        <v>68</v>
      </c>
      <c r="D277" s="1">
        <v>46204</v>
      </c>
      <c r="E277" t="s">
        <v>610</v>
      </c>
      <c r="F277" t="s">
        <v>68</v>
      </c>
      <c r="G277" t="s">
        <v>69</v>
      </c>
      <c r="H277" t="s">
        <v>70</v>
      </c>
      <c r="I277" t="s">
        <v>71</v>
      </c>
      <c r="J277" t="s">
        <v>72</v>
      </c>
      <c r="K277" t="s">
        <v>73</v>
      </c>
      <c r="L277" t="s">
        <v>74</v>
      </c>
      <c r="M277" t="s">
        <v>611</v>
      </c>
      <c r="N277" t="s">
        <v>76</v>
      </c>
      <c r="O277" t="s">
        <v>612</v>
      </c>
      <c r="P277" t="s">
        <v>613</v>
      </c>
      <c r="Q277" t="s">
        <v>66</v>
      </c>
      <c r="R277" s="1">
        <v>46204</v>
      </c>
      <c r="S277" t="s">
        <v>614</v>
      </c>
      <c r="T277" t="s">
        <v>615</v>
      </c>
      <c r="U277" t="s">
        <v>616</v>
      </c>
      <c r="V277" t="s">
        <v>66</v>
      </c>
      <c r="W277" t="s">
        <v>66</v>
      </c>
      <c r="X277">
        <v>5565644</v>
      </c>
      <c r="Y277">
        <v>612220.84</v>
      </c>
      <c r="Z277">
        <v>390060</v>
      </c>
      <c r="AA277">
        <v>42906.6</v>
      </c>
      <c r="AB277">
        <v>6177864.8399999999</v>
      </c>
      <c r="AC277">
        <v>1</v>
      </c>
      <c r="AD277" t="s">
        <v>134</v>
      </c>
      <c r="AE277">
        <v>24</v>
      </c>
      <c r="AF277" t="s">
        <v>128</v>
      </c>
      <c r="AG277">
        <f>IFERROR(VLOOKUP(AF277,[1]STOK!J:O,6,0),"")</f>
        <v>24</v>
      </c>
      <c r="AH277" s="2">
        <f t="shared" si="8"/>
        <v>1</v>
      </c>
      <c r="AI277" t="s">
        <v>128</v>
      </c>
      <c r="AJ277" t="s">
        <v>129</v>
      </c>
      <c r="AK277" t="s">
        <v>130</v>
      </c>
      <c r="AL277" t="s">
        <v>86</v>
      </c>
      <c r="AM277">
        <v>439560</v>
      </c>
      <c r="AN277">
        <f t="shared" si="9"/>
        <v>432966.6</v>
      </c>
      <c r="AO277" t="s">
        <v>66</v>
      </c>
      <c r="AP277">
        <v>1.5</v>
      </c>
      <c r="AQ277" t="s">
        <v>66</v>
      </c>
      <c r="AR277">
        <v>0</v>
      </c>
      <c r="AS277" t="s">
        <v>66</v>
      </c>
      <c r="AT277">
        <v>0</v>
      </c>
      <c r="AU277" t="s">
        <v>66</v>
      </c>
      <c r="AV277">
        <v>0</v>
      </c>
      <c r="AW277" t="s">
        <v>66</v>
      </c>
      <c r="AX277">
        <v>0</v>
      </c>
      <c r="AY277" t="s">
        <v>66</v>
      </c>
      <c r="AZ277">
        <v>0</v>
      </c>
      <c r="BA277" t="s">
        <v>66</v>
      </c>
      <c r="BB277">
        <v>0</v>
      </c>
      <c r="BC277">
        <v>0</v>
      </c>
      <c r="BD277">
        <v>432966.6</v>
      </c>
      <c r="BE277">
        <v>14907.75</v>
      </c>
      <c r="BF277">
        <v>0</v>
      </c>
      <c r="BG277" t="s">
        <v>87</v>
      </c>
      <c r="BH277" t="s">
        <v>617</v>
      </c>
      <c r="BI277">
        <v>24</v>
      </c>
      <c r="BJ277" t="s">
        <v>158</v>
      </c>
      <c r="BK277" t="s">
        <v>88</v>
      </c>
      <c r="BL277" t="s">
        <v>618</v>
      </c>
      <c r="BM277" t="s">
        <v>159</v>
      </c>
    </row>
    <row r="278" spans="1:65" x14ac:dyDescent="0.25">
      <c r="A278">
        <v>276</v>
      </c>
      <c r="B278" t="s">
        <v>609</v>
      </c>
      <c r="C278" t="s">
        <v>68</v>
      </c>
      <c r="D278" s="1">
        <v>46204</v>
      </c>
      <c r="E278" t="s">
        <v>610</v>
      </c>
      <c r="F278" t="s">
        <v>68</v>
      </c>
      <c r="G278" t="s">
        <v>69</v>
      </c>
      <c r="H278" t="s">
        <v>70</v>
      </c>
      <c r="I278" t="s">
        <v>71</v>
      </c>
      <c r="J278" t="s">
        <v>72</v>
      </c>
      <c r="K278" t="s">
        <v>73</v>
      </c>
      <c r="L278" t="s">
        <v>74</v>
      </c>
      <c r="M278" t="s">
        <v>611</v>
      </c>
      <c r="N278" t="s">
        <v>76</v>
      </c>
      <c r="O278" t="s">
        <v>612</v>
      </c>
      <c r="P278" t="s">
        <v>613</v>
      </c>
      <c r="Q278" t="s">
        <v>66</v>
      </c>
      <c r="R278" s="1">
        <v>46204</v>
      </c>
      <c r="S278" t="s">
        <v>614</v>
      </c>
      <c r="T278" t="s">
        <v>615</v>
      </c>
      <c r="U278" t="s">
        <v>616</v>
      </c>
      <c r="V278" t="s">
        <v>66</v>
      </c>
      <c r="W278" t="s">
        <v>66</v>
      </c>
      <c r="X278">
        <v>5565644</v>
      </c>
      <c r="Y278">
        <v>612220.84</v>
      </c>
      <c r="Z278">
        <v>390060</v>
      </c>
      <c r="AA278">
        <v>42906.6</v>
      </c>
      <c r="AB278">
        <v>6177864.8399999999</v>
      </c>
      <c r="AC278">
        <v>1</v>
      </c>
      <c r="AD278" t="s">
        <v>134</v>
      </c>
      <c r="AE278">
        <v>24</v>
      </c>
      <c r="AF278" t="s">
        <v>93</v>
      </c>
      <c r="AG278">
        <f>IFERROR(VLOOKUP(AF278,[1]STOK!J:O,6,0),"")</f>
        <v>24</v>
      </c>
      <c r="AH278" s="2">
        <f t="shared" si="8"/>
        <v>1</v>
      </c>
      <c r="AI278" t="s">
        <v>93</v>
      </c>
      <c r="AJ278" t="s">
        <v>94</v>
      </c>
      <c r="AK278" t="s">
        <v>95</v>
      </c>
      <c r="AL278" t="s">
        <v>86</v>
      </c>
      <c r="AM278">
        <v>439560</v>
      </c>
      <c r="AN278">
        <f t="shared" si="9"/>
        <v>432966.6</v>
      </c>
      <c r="AO278" t="s">
        <v>66</v>
      </c>
      <c r="AP278">
        <v>1.5</v>
      </c>
      <c r="AQ278" t="s">
        <v>66</v>
      </c>
      <c r="AR278">
        <v>0</v>
      </c>
      <c r="AS278" t="s">
        <v>66</v>
      </c>
      <c r="AT278">
        <v>0</v>
      </c>
      <c r="AU278" t="s">
        <v>66</v>
      </c>
      <c r="AV278">
        <v>0</v>
      </c>
      <c r="AW278" t="s">
        <v>66</v>
      </c>
      <c r="AX278">
        <v>0</v>
      </c>
      <c r="AY278" t="s">
        <v>66</v>
      </c>
      <c r="AZ278">
        <v>0</v>
      </c>
      <c r="BA278" t="s">
        <v>66</v>
      </c>
      <c r="BB278">
        <v>0</v>
      </c>
      <c r="BC278">
        <v>0</v>
      </c>
      <c r="BD278">
        <v>432966.6</v>
      </c>
      <c r="BE278">
        <v>14931.72</v>
      </c>
      <c r="BF278">
        <v>0</v>
      </c>
      <c r="BG278" t="s">
        <v>87</v>
      </c>
      <c r="BH278" t="s">
        <v>617</v>
      </c>
      <c r="BI278">
        <v>24</v>
      </c>
      <c r="BJ278" t="s">
        <v>158</v>
      </c>
      <c r="BK278" t="s">
        <v>88</v>
      </c>
      <c r="BL278" t="s">
        <v>618</v>
      </c>
      <c r="BM278" t="s">
        <v>159</v>
      </c>
    </row>
    <row r="279" spans="1:65" x14ac:dyDescent="0.25">
      <c r="A279">
        <v>277</v>
      </c>
      <c r="B279" t="s">
        <v>609</v>
      </c>
      <c r="C279" t="s">
        <v>68</v>
      </c>
      <c r="D279" s="1">
        <v>46204</v>
      </c>
      <c r="E279" t="s">
        <v>610</v>
      </c>
      <c r="F279" t="s">
        <v>68</v>
      </c>
      <c r="G279" t="s">
        <v>69</v>
      </c>
      <c r="H279" t="s">
        <v>70</v>
      </c>
      <c r="I279" t="s">
        <v>71</v>
      </c>
      <c r="J279" t="s">
        <v>72</v>
      </c>
      <c r="K279" t="s">
        <v>73</v>
      </c>
      <c r="L279" t="s">
        <v>74</v>
      </c>
      <c r="M279" t="s">
        <v>611</v>
      </c>
      <c r="N279" t="s">
        <v>76</v>
      </c>
      <c r="O279" t="s">
        <v>612</v>
      </c>
      <c r="P279" t="s">
        <v>613</v>
      </c>
      <c r="Q279" t="s">
        <v>66</v>
      </c>
      <c r="R279" s="1">
        <v>46204</v>
      </c>
      <c r="S279" t="s">
        <v>614</v>
      </c>
      <c r="T279" t="s">
        <v>615</v>
      </c>
      <c r="U279" t="s">
        <v>616</v>
      </c>
      <c r="V279" t="s">
        <v>66</v>
      </c>
      <c r="W279" t="s">
        <v>66</v>
      </c>
      <c r="X279">
        <v>5565644</v>
      </c>
      <c r="Y279">
        <v>612220.84</v>
      </c>
      <c r="Z279">
        <v>322686</v>
      </c>
      <c r="AA279">
        <v>35495.46</v>
      </c>
      <c r="AB279">
        <v>6177864.8399999999</v>
      </c>
      <c r="AC279">
        <v>1</v>
      </c>
      <c r="AD279" t="s">
        <v>134</v>
      </c>
      <c r="AE279">
        <v>12</v>
      </c>
      <c r="AF279" t="s">
        <v>563</v>
      </c>
      <c r="AG279">
        <f>IFERROR(VLOOKUP(AF279,[1]STOK!J:O,6,0),"")</f>
        <v>12</v>
      </c>
      <c r="AH279" s="2">
        <f t="shared" si="8"/>
        <v>1</v>
      </c>
      <c r="AI279" t="s">
        <v>563</v>
      </c>
      <c r="AJ279" t="s">
        <v>564</v>
      </c>
      <c r="AK279" t="s">
        <v>565</v>
      </c>
      <c r="AL279" t="s">
        <v>86</v>
      </c>
      <c r="AM279">
        <v>363636</v>
      </c>
      <c r="AN279">
        <f t="shared" si="9"/>
        <v>358181.46</v>
      </c>
      <c r="AO279" t="s">
        <v>66</v>
      </c>
      <c r="AP279">
        <v>1.5</v>
      </c>
      <c r="AQ279" t="s">
        <v>66</v>
      </c>
      <c r="AR279">
        <v>0</v>
      </c>
      <c r="AS279" t="s">
        <v>66</v>
      </c>
      <c r="AT279">
        <v>0</v>
      </c>
      <c r="AU279" t="s">
        <v>66</v>
      </c>
      <c r="AV279">
        <v>0</v>
      </c>
      <c r="AW279" t="s">
        <v>66</v>
      </c>
      <c r="AX279">
        <v>0</v>
      </c>
      <c r="AY279" t="s">
        <v>66</v>
      </c>
      <c r="AZ279">
        <v>0</v>
      </c>
      <c r="BA279" t="s">
        <v>66</v>
      </c>
      <c r="BB279">
        <v>0</v>
      </c>
      <c r="BC279">
        <v>0</v>
      </c>
      <c r="BD279">
        <v>358181.46</v>
      </c>
      <c r="BE279">
        <v>24678.61</v>
      </c>
      <c r="BF279">
        <v>0</v>
      </c>
      <c r="BG279" t="s">
        <v>87</v>
      </c>
      <c r="BH279" t="s">
        <v>617</v>
      </c>
      <c r="BI279">
        <v>12</v>
      </c>
      <c r="BJ279" t="s">
        <v>158</v>
      </c>
      <c r="BK279" t="s">
        <v>88</v>
      </c>
      <c r="BL279" t="s">
        <v>618</v>
      </c>
      <c r="BM279" t="s">
        <v>159</v>
      </c>
    </row>
    <row r="280" spans="1:65" x14ac:dyDescent="0.25">
      <c r="A280">
        <v>278</v>
      </c>
      <c r="B280" t="s">
        <v>609</v>
      </c>
      <c r="C280" t="s">
        <v>68</v>
      </c>
      <c r="D280" s="1">
        <v>46204</v>
      </c>
      <c r="E280" t="s">
        <v>610</v>
      </c>
      <c r="F280" t="s">
        <v>68</v>
      </c>
      <c r="G280" t="s">
        <v>69</v>
      </c>
      <c r="H280" t="s">
        <v>70</v>
      </c>
      <c r="I280" t="s">
        <v>71</v>
      </c>
      <c r="J280" t="s">
        <v>72</v>
      </c>
      <c r="K280" t="s">
        <v>73</v>
      </c>
      <c r="L280" t="s">
        <v>74</v>
      </c>
      <c r="M280" t="s">
        <v>611</v>
      </c>
      <c r="N280" t="s">
        <v>76</v>
      </c>
      <c r="O280" t="s">
        <v>612</v>
      </c>
      <c r="P280" t="s">
        <v>613</v>
      </c>
      <c r="Q280" t="s">
        <v>66</v>
      </c>
      <c r="R280" s="1">
        <v>46204</v>
      </c>
      <c r="S280" t="s">
        <v>614</v>
      </c>
      <c r="T280" t="s">
        <v>615</v>
      </c>
      <c r="U280" t="s">
        <v>616</v>
      </c>
      <c r="V280" t="s">
        <v>66</v>
      </c>
      <c r="W280" t="s">
        <v>66</v>
      </c>
      <c r="X280">
        <v>5565644</v>
      </c>
      <c r="Y280">
        <v>612220.84</v>
      </c>
      <c r="Z280">
        <v>509836</v>
      </c>
      <c r="AA280">
        <v>56081.96</v>
      </c>
      <c r="AB280">
        <v>6177864.8399999999</v>
      </c>
      <c r="AC280">
        <v>1</v>
      </c>
      <c r="AD280" t="s">
        <v>134</v>
      </c>
      <c r="AE280">
        <v>4</v>
      </c>
      <c r="AF280" t="s">
        <v>596</v>
      </c>
      <c r="AG280">
        <f>IFERROR(VLOOKUP(AF280,[1]STOK!J:O,6,0),"")</f>
        <v>4</v>
      </c>
      <c r="AH280" s="2">
        <f t="shared" si="8"/>
        <v>1</v>
      </c>
      <c r="AI280" t="s">
        <v>596</v>
      </c>
      <c r="AJ280" t="s">
        <v>597</v>
      </c>
      <c r="AK280" t="s">
        <v>598</v>
      </c>
      <c r="AL280" t="s">
        <v>86</v>
      </c>
      <c r="AM280">
        <v>574536</v>
      </c>
      <c r="AN280">
        <f t="shared" si="9"/>
        <v>565917.96</v>
      </c>
      <c r="AO280" t="s">
        <v>66</v>
      </c>
      <c r="AP280">
        <v>1.5</v>
      </c>
      <c r="AQ280" t="s">
        <v>66</v>
      </c>
      <c r="AR280">
        <v>0</v>
      </c>
      <c r="AS280" t="s">
        <v>66</v>
      </c>
      <c r="AT280">
        <v>0</v>
      </c>
      <c r="AU280" t="s">
        <v>66</v>
      </c>
      <c r="AV280">
        <v>0</v>
      </c>
      <c r="AW280" t="s">
        <v>66</v>
      </c>
      <c r="AX280">
        <v>0</v>
      </c>
      <c r="AY280" t="s">
        <v>66</v>
      </c>
      <c r="AZ280">
        <v>0</v>
      </c>
      <c r="BA280" t="s">
        <v>66</v>
      </c>
      <c r="BB280">
        <v>0</v>
      </c>
      <c r="BC280">
        <v>0</v>
      </c>
      <c r="BD280">
        <v>565917.96</v>
      </c>
      <c r="BE280">
        <v>115328.93</v>
      </c>
      <c r="BF280">
        <v>0</v>
      </c>
      <c r="BG280" t="s">
        <v>87</v>
      </c>
      <c r="BH280" t="s">
        <v>617</v>
      </c>
      <c r="BI280">
        <v>4</v>
      </c>
      <c r="BJ280" t="s">
        <v>158</v>
      </c>
      <c r="BK280" t="s">
        <v>88</v>
      </c>
      <c r="BL280" t="s">
        <v>618</v>
      </c>
      <c r="BM280" t="s">
        <v>159</v>
      </c>
    </row>
    <row r="281" spans="1:65" x14ac:dyDescent="0.25">
      <c r="A281">
        <v>279</v>
      </c>
      <c r="B281" t="s">
        <v>609</v>
      </c>
      <c r="C281" t="s">
        <v>68</v>
      </c>
      <c r="D281" s="1">
        <v>46204</v>
      </c>
      <c r="E281" t="s">
        <v>610</v>
      </c>
      <c r="F281" t="s">
        <v>68</v>
      </c>
      <c r="G281" t="s">
        <v>69</v>
      </c>
      <c r="H281" t="s">
        <v>70</v>
      </c>
      <c r="I281" t="s">
        <v>71</v>
      </c>
      <c r="J281" t="s">
        <v>72</v>
      </c>
      <c r="K281" t="s">
        <v>73</v>
      </c>
      <c r="L281" t="s">
        <v>74</v>
      </c>
      <c r="M281" t="s">
        <v>611</v>
      </c>
      <c r="N281" t="s">
        <v>76</v>
      </c>
      <c r="O281" t="s">
        <v>612</v>
      </c>
      <c r="P281" t="s">
        <v>613</v>
      </c>
      <c r="Q281" t="s">
        <v>66</v>
      </c>
      <c r="R281" s="1">
        <v>46204</v>
      </c>
      <c r="S281" t="s">
        <v>614</v>
      </c>
      <c r="T281" t="s">
        <v>615</v>
      </c>
      <c r="U281" t="s">
        <v>616</v>
      </c>
      <c r="V281" t="s">
        <v>66</v>
      </c>
      <c r="W281" t="s">
        <v>66</v>
      </c>
      <c r="X281">
        <v>5565644</v>
      </c>
      <c r="Y281">
        <v>612220.84</v>
      </c>
      <c r="Z281">
        <v>509836</v>
      </c>
      <c r="AA281">
        <v>56081.96</v>
      </c>
      <c r="AB281">
        <v>6177864.8399999999</v>
      </c>
      <c r="AC281">
        <v>1</v>
      </c>
      <c r="AD281" t="s">
        <v>134</v>
      </c>
      <c r="AE281">
        <v>4</v>
      </c>
      <c r="AF281" t="s">
        <v>522</v>
      </c>
      <c r="AG281">
        <f>IFERROR(VLOOKUP(AF281,[1]STOK!J:O,6,0),"")</f>
        <v>4</v>
      </c>
      <c r="AH281" s="2">
        <f t="shared" si="8"/>
        <v>1</v>
      </c>
      <c r="AI281" t="s">
        <v>522</v>
      </c>
      <c r="AJ281" t="s">
        <v>523</v>
      </c>
      <c r="AK281" t="s">
        <v>524</v>
      </c>
      <c r="AL281" t="s">
        <v>86</v>
      </c>
      <c r="AM281">
        <v>574536</v>
      </c>
      <c r="AN281">
        <f t="shared" si="9"/>
        <v>565917.96</v>
      </c>
      <c r="AO281" t="s">
        <v>66</v>
      </c>
      <c r="AP281">
        <v>1.5</v>
      </c>
      <c r="AQ281" t="s">
        <v>66</v>
      </c>
      <c r="AR281">
        <v>0</v>
      </c>
      <c r="AS281" t="s">
        <v>66</v>
      </c>
      <c r="AT281">
        <v>0</v>
      </c>
      <c r="AU281" t="s">
        <v>66</v>
      </c>
      <c r="AV281">
        <v>0</v>
      </c>
      <c r="AW281" t="s">
        <v>66</v>
      </c>
      <c r="AX281">
        <v>0</v>
      </c>
      <c r="AY281" t="s">
        <v>66</v>
      </c>
      <c r="AZ281">
        <v>0</v>
      </c>
      <c r="BA281" t="s">
        <v>66</v>
      </c>
      <c r="BB281">
        <v>0</v>
      </c>
      <c r="BC281">
        <v>0</v>
      </c>
      <c r="BD281">
        <v>565917.96</v>
      </c>
      <c r="BE281">
        <v>113522.8</v>
      </c>
      <c r="BF281">
        <v>0</v>
      </c>
      <c r="BG281" t="s">
        <v>87</v>
      </c>
      <c r="BH281" t="s">
        <v>617</v>
      </c>
      <c r="BI281">
        <v>4</v>
      </c>
      <c r="BJ281" t="s">
        <v>158</v>
      </c>
      <c r="BK281" t="s">
        <v>88</v>
      </c>
      <c r="BL281" t="s">
        <v>618</v>
      </c>
      <c r="BM281" t="s">
        <v>159</v>
      </c>
    </row>
    <row r="282" spans="1:65" x14ac:dyDescent="0.25">
      <c r="A282">
        <v>280</v>
      </c>
      <c r="B282" t="s">
        <v>609</v>
      </c>
      <c r="C282" t="s">
        <v>68</v>
      </c>
      <c r="D282" s="1">
        <v>46204</v>
      </c>
      <c r="E282" t="s">
        <v>610</v>
      </c>
      <c r="F282" t="s">
        <v>68</v>
      </c>
      <c r="G282" t="s">
        <v>69</v>
      </c>
      <c r="H282" t="s">
        <v>70</v>
      </c>
      <c r="I282" t="s">
        <v>71</v>
      </c>
      <c r="J282" t="s">
        <v>72</v>
      </c>
      <c r="K282" t="s">
        <v>73</v>
      </c>
      <c r="L282" t="s">
        <v>74</v>
      </c>
      <c r="M282" t="s">
        <v>611</v>
      </c>
      <c r="N282" t="s">
        <v>76</v>
      </c>
      <c r="O282" t="s">
        <v>612</v>
      </c>
      <c r="P282" t="s">
        <v>613</v>
      </c>
      <c r="Q282" t="s">
        <v>66</v>
      </c>
      <c r="R282" s="1">
        <v>46204</v>
      </c>
      <c r="S282" t="s">
        <v>614</v>
      </c>
      <c r="T282" t="s">
        <v>615</v>
      </c>
      <c r="U282" t="s">
        <v>616</v>
      </c>
      <c r="V282" t="s">
        <v>66</v>
      </c>
      <c r="W282" t="s">
        <v>66</v>
      </c>
      <c r="X282">
        <v>5565644</v>
      </c>
      <c r="Y282">
        <v>612220.84</v>
      </c>
      <c r="Z282">
        <v>458616</v>
      </c>
      <c r="AA282">
        <v>50447.76</v>
      </c>
      <c r="AB282">
        <v>6177864.8399999999</v>
      </c>
      <c r="AC282">
        <v>1</v>
      </c>
      <c r="AD282" t="s">
        <v>134</v>
      </c>
      <c r="AE282">
        <v>24</v>
      </c>
      <c r="AF282" t="s">
        <v>470</v>
      </c>
      <c r="AG282">
        <f>IFERROR(VLOOKUP(AF282,[1]STOK!J:O,6,0),"")</f>
        <v>24</v>
      </c>
      <c r="AH282" s="2">
        <f t="shared" si="8"/>
        <v>1</v>
      </c>
      <c r="AI282" t="s">
        <v>470</v>
      </c>
      <c r="AJ282" t="s">
        <v>471</v>
      </c>
      <c r="AK282" t="s">
        <v>472</v>
      </c>
      <c r="AL282" t="s">
        <v>86</v>
      </c>
      <c r="AM282">
        <v>516816</v>
      </c>
      <c r="AN282">
        <f t="shared" si="9"/>
        <v>509063.76</v>
      </c>
      <c r="AO282" t="s">
        <v>66</v>
      </c>
      <c r="AP282">
        <v>1.5</v>
      </c>
      <c r="AQ282" t="s">
        <v>66</v>
      </c>
      <c r="AR282">
        <v>0</v>
      </c>
      <c r="AS282" t="s">
        <v>66</v>
      </c>
      <c r="AT282">
        <v>0</v>
      </c>
      <c r="AU282" t="s">
        <v>66</v>
      </c>
      <c r="AV282">
        <v>0</v>
      </c>
      <c r="AW282" t="s">
        <v>66</v>
      </c>
      <c r="AX282">
        <v>0</v>
      </c>
      <c r="AY282" t="s">
        <v>66</v>
      </c>
      <c r="AZ282">
        <v>0</v>
      </c>
      <c r="BA282" t="s">
        <v>66</v>
      </c>
      <c r="BB282">
        <v>0</v>
      </c>
      <c r="BC282">
        <v>0</v>
      </c>
      <c r="BD282">
        <v>509063.76</v>
      </c>
      <c r="BE282">
        <v>17421.95</v>
      </c>
      <c r="BF282">
        <v>0</v>
      </c>
      <c r="BG282" t="s">
        <v>87</v>
      </c>
      <c r="BH282" t="s">
        <v>617</v>
      </c>
      <c r="BI282">
        <v>24</v>
      </c>
      <c r="BJ282" t="s">
        <v>158</v>
      </c>
      <c r="BK282" t="s">
        <v>88</v>
      </c>
      <c r="BL282" t="s">
        <v>618</v>
      </c>
      <c r="BM282" t="s">
        <v>159</v>
      </c>
    </row>
    <row r="283" spans="1:65" x14ac:dyDescent="0.25">
      <c r="A283">
        <v>281</v>
      </c>
      <c r="B283" t="s">
        <v>609</v>
      </c>
      <c r="C283" t="s">
        <v>68</v>
      </c>
      <c r="D283" s="1">
        <v>46204</v>
      </c>
      <c r="E283" t="s">
        <v>610</v>
      </c>
      <c r="F283" t="s">
        <v>68</v>
      </c>
      <c r="G283" t="s">
        <v>69</v>
      </c>
      <c r="H283" t="s">
        <v>70</v>
      </c>
      <c r="I283" t="s">
        <v>71</v>
      </c>
      <c r="J283" t="s">
        <v>72</v>
      </c>
      <c r="K283" t="s">
        <v>73</v>
      </c>
      <c r="L283" t="s">
        <v>74</v>
      </c>
      <c r="M283" t="s">
        <v>611</v>
      </c>
      <c r="N283" t="s">
        <v>76</v>
      </c>
      <c r="O283" t="s">
        <v>612</v>
      </c>
      <c r="P283" t="s">
        <v>613</v>
      </c>
      <c r="Q283" t="s">
        <v>66</v>
      </c>
      <c r="R283" s="1">
        <v>46204</v>
      </c>
      <c r="S283" t="s">
        <v>614</v>
      </c>
      <c r="T283" t="s">
        <v>615</v>
      </c>
      <c r="U283" t="s">
        <v>616</v>
      </c>
      <c r="V283" t="s">
        <v>66</v>
      </c>
      <c r="W283" t="s">
        <v>66</v>
      </c>
      <c r="X283">
        <v>5565644</v>
      </c>
      <c r="Y283">
        <v>612220.84</v>
      </c>
      <c r="Z283">
        <v>458616</v>
      </c>
      <c r="AA283">
        <v>50447.76</v>
      </c>
      <c r="AB283">
        <v>6177864.8399999999</v>
      </c>
      <c r="AC283">
        <v>1</v>
      </c>
      <c r="AD283" t="s">
        <v>134</v>
      </c>
      <c r="AE283">
        <v>24</v>
      </c>
      <c r="AF283" t="s">
        <v>467</v>
      </c>
      <c r="AG283">
        <f>IFERROR(VLOOKUP(AF283,[1]STOK!J:O,6,0),"")</f>
        <v>24</v>
      </c>
      <c r="AH283" s="2">
        <f t="shared" si="8"/>
        <v>1</v>
      </c>
      <c r="AI283" t="s">
        <v>467</v>
      </c>
      <c r="AJ283" t="s">
        <v>468</v>
      </c>
      <c r="AK283" t="s">
        <v>469</v>
      </c>
      <c r="AL283" t="s">
        <v>86</v>
      </c>
      <c r="AM283">
        <v>516816</v>
      </c>
      <c r="AN283">
        <f t="shared" si="9"/>
        <v>509063.76</v>
      </c>
      <c r="AO283" t="s">
        <v>66</v>
      </c>
      <c r="AP283">
        <v>1.5</v>
      </c>
      <c r="AQ283" t="s">
        <v>66</v>
      </c>
      <c r="AR283">
        <v>0</v>
      </c>
      <c r="AS283" t="s">
        <v>66</v>
      </c>
      <c r="AT283">
        <v>0</v>
      </c>
      <c r="AU283" t="s">
        <v>66</v>
      </c>
      <c r="AV283">
        <v>0</v>
      </c>
      <c r="AW283" t="s">
        <v>66</v>
      </c>
      <c r="AX283">
        <v>0</v>
      </c>
      <c r="AY283" t="s">
        <v>66</v>
      </c>
      <c r="AZ283">
        <v>0</v>
      </c>
      <c r="BA283" t="s">
        <v>66</v>
      </c>
      <c r="BB283">
        <v>0</v>
      </c>
      <c r="BC283">
        <v>0</v>
      </c>
      <c r="BD283">
        <v>509063.76</v>
      </c>
      <c r="BE283">
        <v>17318.07</v>
      </c>
      <c r="BF283">
        <v>0</v>
      </c>
      <c r="BG283" t="s">
        <v>87</v>
      </c>
      <c r="BH283" t="s">
        <v>617</v>
      </c>
      <c r="BI283">
        <v>24</v>
      </c>
      <c r="BJ283" t="s">
        <v>158</v>
      </c>
      <c r="BK283" t="s">
        <v>88</v>
      </c>
      <c r="BL283" t="s">
        <v>618</v>
      </c>
      <c r="BM283" t="s">
        <v>159</v>
      </c>
    </row>
    <row r="284" spans="1:65" x14ac:dyDescent="0.25">
      <c r="A284">
        <v>282</v>
      </c>
      <c r="B284" t="s">
        <v>609</v>
      </c>
      <c r="C284" t="s">
        <v>68</v>
      </c>
      <c r="D284" s="1">
        <v>46204</v>
      </c>
      <c r="E284" t="s">
        <v>610</v>
      </c>
      <c r="F284" t="s">
        <v>68</v>
      </c>
      <c r="G284" t="s">
        <v>69</v>
      </c>
      <c r="H284" t="s">
        <v>70</v>
      </c>
      <c r="I284" t="s">
        <v>71</v>
      </c>
      <c r="J284" t="s">
        <v>72</v>
      </c>
      <c r="K284" t="s">
        <v>73</v>
      </c>
      <c r="L284" t="s">
        <v>74</v>
      </c>
      <c r="M284" t="s">
        <v>611</v>
      </c>
      <c r="N284" t="s">
        <v>76</v>
      </c>
      <c r="O284" t="s">
        <v>612</v>
      </c>
      <c r="P284" t="s">
        <v>613</v>
      </c>
      <c r="Q284" t="s">
        <v>66</v>
      </c>
      <c r="R284" s="1">
        <v>46204</v>
      </c>
      <c r="S284" t="s">
        <v>614</v>
      </c>
      <c r="T284" t="s">
        <v>615</v>
      </c>
      <c r="U284" t="s">
        <v>616</v>
      </c>
      <c r="V284" t="s">
        <v>66</v>
      </c>
      <c r="W284" t="s">
        <v>66</v>
      </c>
      <c r="X284">
        <v>5565644</v>
      </c>
      <c r="Y284">
        <v>612220.84</v>
      </c>
      <c r="Z284">
        <v>458616</v>
      </c>
      <c r="AA284">
        <v>50447.76</v>
      </c>
      <c r="AB284">
        <v>6177864.8399999999</v>
      </c>
      <c r="AC284">
        <v>1</v>
      </c>
      <c r="AD284" t="s">
        <v>134</v>
      </c>
      <c r="AE284">
        <v>24</v>
      </c>
      <c r="AF284" t="s">
        <v>281</v>
      </c>
      <c r="AG284">
        <f>IFERROR(VLOOKUP(AF284,[1]STOK!J:O,6,0),"")</f>
        <v>24</v>
      </c>
      <c r="AH284" s="2">
        <f t="shared" si="8"/>
        <v>1</v>
      </c>
      <c r="AI284" t="s">
        <v>281</v>
      </c>
      <c r="AJ284" t="s">
        <v>282</v>
      </c>
      <c r="AK284" t="s">
        <v>283</v>
      </c>
      <c r="AL284" t="s">
        <v>86</v>
      </c>
      <c r="AM284">
        <v>516816</v>
      </c>
      <c r="AN284">
        <f t="shared" si="9"/>
        <v>509063.76</v>
      </c>
      <c r="AO284" t="s">
        <v>66</v>
      </c>
      <c r="AP284">
        <v>1.5</v>
      </c>
      <c r="AQ284" t="s">
        <v>66</v>
      </c>
      <c r="AR284">
        <v>0</v>
      </c>
      <c r="AS284" t="s">
        <v>66</v>
      </c>
      <c r="AT284">
        <v>0</v>
      </c>
      <c r="AU284" t="s">
        <v>66</v>
      </c>
      <c r="AV284">
        <v>0</v>
      </c>
      <c r="AW284" t="s">
        <v>66</v>
      </c>
      <c r="AX284">
        <v>0</v>
      </c>
      <c r="AY284" t="s">
        <v>66</v>
      </c>
      <c r="AZ284">
        <v>0</v>
      </c>
      <c r="BA284" t="s">
        <v>66</v>
      </c>
      <c r="BB284">
        <v>0</v>
      </c>
      <c r="BC284">
        <v>0</v>
      </c>
      <c r="BD284">
        <v>509063.76</v>
      </c>
      <c r="BE284">
        <v>17290.14</v>
      </c>
      <c r="BF284">
        <v>0</v>
      </c>
      <c r="BG284" t="s">
        <v>87</v>
      </c>
      <c r="BH284" t="s">
        <v>617</v>
      </c>
      <c r="BI284">
        <v>24</v>
      </c>
      <c r="BJ284" t="s">
        <v>158</v>
      </c>
      <c r="BK284" t="s">
        <v>88</v>
      </c>
      <c r="BL284" t="s">
        <v>618</v>
      </c>
      <c r="BM284" t="s">
        <v>159</v>
      </c>
    </row>
    <row r="285" spans="1:65" x14ac:dyDescent="0.25">
      <c r="A285">
        <v>283</v>
      </c>
      <c r="B285" t="s">
        <v>609</v>
      </c>
      <c r="C285" t="s">
        <v>68</v>
      </c>
      <c r="D285" s="1">
        <v>46204</v>
      </c>
      <c r="E285" t="s">
        <v>610</v>
      </c>
      <c r="F285" t="s">
        <v>68</v>
      </c>
      <c r="G285" t="s">
        <v>69</v>
      </c>
      <c r="H285" t="s">
        <v>70</v>
      </c>
      <c r="I285" t="s">
        <v>71</v>
      </c>
      <c r="J285" t="s">
        <v>72</v>
      </c>
      <c r="K285" t="s">
        <v>73</v>
      </c>
      <c r="L285" t="s">
        <v>74</v>
      </c>
      <c r="M285" t="s">
        <v>611</v>
      </c>
      <c r="N285" t="s">
        <v>76</v>
      </c>
      <c r="O285" t="s">
        <v>612</v>
      </c>
      <c r="P285" t="s">
        <v>613</v>
      </c>
      <c r="Q285" t="s">
        <v>66</v>
      </c>
      <c r="R285" s="1">
        <v>46204</v>
      </c>
      <c r="S285" t="s">
        <v>614</v>
      </c>
      <c r="T285" t="s">
        <v>615</v>
      </c>
      <c r="U285" t="s">
        <v>616</v>
      </c>
      <c r="V285" t="s">
        <v>66</v>
      </c>
      <c r="W285" t="s">
        <v>66</v>
      </c>
      <c r="X285">
        <v>5565644</v>
      </c>
      <c r="Y285">
        <v>612220.84</v>
      </c>
      <c r="Z285">
        <v>229308</v>
      </c>
      <c r="AA285">
        <v>25223.88</v>
      </c>
      <c r="AB285">
        <v>6177864.8399999999</v>
      </c>
      <c r="AC285">
        <v>1</v>
      </c>
      <c r="AD285" t="s">
        <v>134</v>
      </c>
      <c r="AE285">
        <v>12</v>
      </c>
      <c r="AF285" t="s">
        <v>284</v>
      </c>
      <c r="AG285">
        <f>IFERROR(VLOOKUP(AF285,[1]STOK!J:O,6,0),"")</f>
        <v>12</v>
      </c>
      <c r="AH285" s="2">
        <f t="shared" si="8"/>
        <v>1</v>
      </c>
      <c r="AI285" t="s">
        <v>284</v>
      </c>
      <c r="AJ285" t="s">
        <v>285</v>
      </c>
      <c r="AK285" t="s">
        <v>286</v>
      </c>
      <c r="AL285" t="s">
        <v>86</v>
      </c>
      <c r="AM285">
        <v>258408</v>
      </c>
      <c r="AN285">
        <f t="shared" si="9"/>
        <v>254531.88</v>
      </c>
      <c r="AO285" t="s">
        <v>66</v>
      </c>
      <c r="AP285">
        <v>1.5</v>
      </c>
      <c r="AQ285" t="s">
        <v>66</v>
      </c>
      <c r="AR285">
        <v>0</v>
      </c>
      <c r="AS285" t="s">
        <v>66</v>
      </c>
      <c r="AT285">
        <v>0</v>
      </c>
      <c r="AU285" t="s">
        <v>66</v>
      </c>
      <c r="AV285">
        <v>0</v>
      </c>
      <c r="AW285" t="s">
        <v>66</v>
      </c>
      <c r="AX285">
        <v>0</v>
      </c>
      <c r="AY285" t="s">
        <v>66</v>
      </c>
      <c r="AZ285">
        <v>0</v>
      </c>
      <c r="BA285" t="s">
        <v>66</v>
      </c>
      <c r="BB285">
        <v>0</v>
      </c>
      <c r="BC285">
        <v>0</v>
      </c>
      <c r="BD285">
        <v>254531.88</v>
      </c>
      <c r="BE285">
        <v>17371.36</v>
      </c>
      <c r="BF285">
        <v>0</v>
      </c>
      <c r="BG285" t="s">
        <v>87</v>
      </c>
      <c r="BH285" t="s">
        <v>617</v>
      </c>
      <c r="BI285">
        <v>12</v>
      </c>
      <c r="BJ285" t="s">
        <v>158</v>
      </c>
      <c r="BK285" t="s">
        <v>88</v>
      </c>
      <c r="BL285" t="s">
        <v>618</v>
      </c>
      <c r="BM285" t="s">
        <v>159</v>
      </c>
    </row>
    <row r="286" spans="1:65" x14ac:dyDescent="0.25">
      <c r="A286">
        <v>284</v>
      </c>
      <c r="B286" t="s">
        <v>609</v>
      </c>
      <c r="C286" t="s">
        <v>68</v>
      </c>
      <c r="D286" s="1">
        <v>46204</v>
      </c>
      <c r="E286" t="s">
        <v>610</v>
      </c>
      <c r="F286" t="s">
        <v>68</v>
      </c>
      <c r="G286" t="s">
        <v>69</v>
      </c>
      <c r="H286" t="s">
        <v>70</v>
      </c>
      <c r="I286" t="s">
        <v>71</v>
      </c>
      <c r="J286" t="s">
        <v>72</v>
      </c>
      <c r="K286" t="s">
        <v>73</v>
      </c>
      <c r="L286" t="s">
        <v>74</v>
      </c>
      <c r="M286" t="s">
        <v>611</v>
      </c>
      <c r="N286" t="s">
        <v>76</v>
      </c>
      <c r="O286" t="s">
        <v>612</v>
      </c>
      <c r="P286" t="s">
        <v>613</v>
      </c>
      <c r="Q286" t="s">
        <v>66</v>
      </c>
      <c r="R286" s="1">
        <v>46204</v>
      </c>
      <c r="S286" t="s">
        <v>614</v>
      </c>
      <c r="T286" t="s">
        <v>615</v>
      </c>
      <c r="U286" t="s">
        <v>616</v>
      </c>
      <c r="V286" t="s">
        <v>66</v>
      </c>
      <c r="W286" t="s">
        <v>66</v>
      </c>
      <c r="X286">
        <v>5565644</v>
      </c>
      <c r="Y286">
        <v>612220.84</v>
      </c>
      <c r="Z286">
        <v>65010</v>
      </c>
      <c r="AA286">
        <v>7151.1</v>
      </c>
      <c r="AB286">
        <v>6177864.8399999999</v>
      </c>
      <c r="AC286">
        <v>4</v>
      </c>
      <c r="AD286" t="s">
        <v>82</v>
      </c>
      <c r="AE286">
        <v>4</v>
      </c>
      <c r="AF286" t="s">
        <v>619</v>
      </c>
      <c r="AG286">
        <f>IFERROR(VLOOKUP(AF286,[1]STOK!J:O,6,0),"")</f>
        <v>12</v>
      </c>
      <c r="AH286" s="2">
        <f t="shared" si="8"/>
        <v>0.33333333333333331</v>
      </c>
      <c r="AI286" t="s">
        <v>619</v>
      </c>
      <c r="AJ286" t="s">
        <v>620</v>
      </c>
      <c r="AK286" t="s">
        <v>621</v>
      </c>
      <c r="AL286" t="s">
        <v>86</v>
      </c>
      <c r="AM286">
        <v>18315</v>
      </c>
      <c r="AN286">
        <f t="shared" si="9"/>
        <v>18040.275000000001</v>
      </c>
      <c r="AO286" t="s">
        <v>66</v>
      </c>
      <c r="AP286">
        <v>1.5</v>
      </c>
      <c r="AQ286" t="s">
        <v>66</v>
      </c>
      <c r="AR286">
        <v>0</v>
      </c>
      <c r="AS286" t="s">
        <v>66</v>
      </c>
      <c r="AT286">
        <v>0</v>
      </c>
      <c r="AU286" t="s">
        <v>66</v>
      </c>
      <c r="AV286">
        <v>0</v>
      </c>
      <c r="AW286" t="s">
        <v>66</v>
      </c>
      <c r="AX286">
        <v>0</v>
      </c>
      <c r="AY286" t="s">
        <v>66</v>
      </c>
      <c r="AZ286">
        <v>0</v>
      </c>
      <c r="BA286" t="s">
        <v>66</v>
      </c>
      <c r="BB286">
        <v>0</v>
      </c>
      <c r="BC286">
        <v>0</v>
      </c>
      <c r="BD286">
        <v>72161.100000000006</v>
      </c>
      <c r="BE286">
        <v>13974.75</v>
      </c>
      <c r="BF286">
        <v>0</v>
      </c>
      <c r="BG286" t="s">
        <v>87</v>
      </c>
      <c r="BH286" t="s">
        <v>617</v>
      </c>
      <c r="BI286">
        <v>4</v>
      </c>
      <c r="BJ286" t="s">
        <v>158</v>
      </c>
      <c r="BK286" t="s">
        <v>88</v>
      </c>
      <c r="BL286" t="s">
        <v>618</v>
      </c>
      <c r="BM286" t="s">
        <v>159</v>
      </c>
    </row>
    <row r="287" spans="1:65" x14ac:dyDescent="0.25">
      <c r="A287">
        <v>285</v>
      </c>
      <c r="B287" t="s">
        <v>609</v>
      </c>
      <c r="C287" t="s">
        <v>68</v>
      </c>
      <c r="D287" s="1">
        <v>46204</v>
      </c>
      <c r="E287" t="s">
        <v>610</v>
      </c>
      <c r="F287" t="s">
        <v>68</v>
      </c>
      <c r="G287" t="s">
        <v>69</v>
      </c>
      <c r="H287" t="s">
        <v>70</v>
      </c>
      <c r="I287" t="s">
        <v>71</v>
      </c>
      <c r="J287" t="s">
        <v>72</v>
      </c>
      <c r="K287" t="s">
        <v>73</v>
      </c>
      <c r="L287" t="s">
        <v>74</v>
      </c>
      <c r="M287" t="s">
        <v>611</v>
      </c>
      <c r="N287" t="s">
        <v>76</v>
      </c>
      <c r="O287" t="s">
        <v>612</v>
      </c>
      <c r="P287" t="s">
        <v>613</v>
      </c>
      <c r="Q287" t="s">
        <v>66</v>
      </c>
      <c r="R287" s="1">
        <v>46204</v>
      </c>
      <c r="S287" t="s">
        <v>614</v>
      </c>
      <c r="T287" t="s">
        <v>615</v>
      </c>
      <c r="U287" t="s">
        <v>616</v>
      </c>
      <c r="V287" t="s">
        <v>66</v>
      </c>
      <c r="W287" t="s">
        <v>66</v>
      </c>
      <c r="X287">
        <v>5565644</v>
      </c>
      <c r="Y287">
        <v>612220.84</v>
      </c>
      <c r="Z287">
        <v>397152</v>
      </c>
      <c r="AA287">
        <v>43686.720000000001</v>
      </c>
      <c r="AB287">
        <v>6177864.8399999999</v>
      </c>
      <c r="AC287">
        <v>8</v>
      </c>
      <c r="AD287" t="s">
        <v>82</v>
      </c>
      <c r="AE287">
        <v>8</v>
      </c>
      <c r="AF287" t="s">
        <v>622</v>
      </c>
      <c r="AG287">
        <f>IFERROR(VLOOKUP(AF287,[1]STOK!J:O,6,0),"")</f>
        <v>4</v>
      </c>
      <c r="AH287" s="2">
        <f t="shared" si="8"/>
        <v>2</v>
      </c>
      <c r="AI287" t="s">
        <v>622</v>
      </c>
      <c r="AJ287" t="s">
        <v>623</v>
      </c>
      <c r="AK287" t="s">
        <v>624</v>
      </c>
      <c r="AL287" t="s">
        <v>86</v>
      </c>
      <c r="AM287">
        <v>55944</v>
      </c>
      <c r="AN287">
        <f t="shared" si="9"/>
        <v>55104.84</v>
      </c>
      <c r="AO287" t="s">
        <v>66</v>
      </c>
      <c r="AP287">
        <v>1.5</v>
      </c>
      <c r="AQ287" t="s">
        <v>66</v>
      </c>
      <c r="AR287">
        <v>0</v>
      </c>
      <c r="AS287" t="s">
        <v>66</v>
      </c>
      <c r="AT287">
        <v>0</v>
      </c>
      <c r="AU287" t="s">
        <v>66</v>
      </c>
      <c r="AV287">
        <v>0</v>
      </c>
      <c r="AW287" t="s">
        <v>66</v>
      </c>
      <c r="AX287">
        <v>0</v>
      </c>
      <c r="AY287" t="s">
        <v>66</v>
      </c>
      <c r="AZ287">
        <v>0</v>
      </c>
      <c r="BA287" t="s">
        <v>66</v>
      </c>
      <c r="BB287">
        <v>0</v>
      </c>
      <c r="BC287">
        <v>0</v>
      </c>
      <c r="BD287">
        <v>440838.72</v>
      </c>
      <c r="BE287">
        <v>44519.360000000001</v>
      </c>
      <c r="BF287">
        <v>0</v>
      </c>
      <c r="BG287" t="s">
        <v>87</v>
      </c>
      <c r="BH287" t="s">
        <v>617</v>
      </c>
      <c r="BI287">
        <v>8</v>
      </c>
      <c r="BJ287" t="s">
        <v>158</v>
      </c>
      <c r="BK287" t="s">
        <v>88</v>
      </c>
      <c r="BL287" t="s">
        <v>618</v>
      </c>
      <c r="BM287" t="s">
        <v>159</v>
      </c>
    </row>
    <row r="288" spans="1:65" x14ac:dyDescent="0.25">
      <c r="A288">
        <v>286</v>
      </c>
      <c r="B288" t="s">
        <v>609</v>
      </c>
      <c r="C288" t="s">
        <v>68</v>
      </c>
      <c r="D288" s="1">
        <v>46204</v>
      </c>
      <c r="E288" t="s">
        <v>610</v>
      </c>
      <c r="F288" t="s">
        <v>68</v>
      </c>
      <c r="G288" t="s">
        <v>69</v>
      </c>
      <c r="H288" t="s">
        <v>70</v>
      </c>
      <c r="I288" t="s">
        <v>71</v>
      </c>
      <c r="J288" t="s">
        <v>72</v>
      </c>
      <c r="K288" t="s">
        <v>73</v>
      </c>
      <c r="L288" t="s">
        <v>74</v>
      </c>
      <c r="M288" t="s">
        <v>611</v>
      </c>
      <c r="N288" t="s">
        <v>76</v>
      </c>
      <c r="O288" t="s">
        <v>612</v>
      </c>
      <c r="P288" t="s">
        <v>613</v>
      </c>
      <c r="Q288" t="s">
        <v>66</v>
      </c>
      <c r="R288" s="1">
        <v>46204</v>
      </c>
      <c r="S288" t="s">
        <v>614</v>
      </c>
      <c r="T288" t="s">
        <v>615</v>
      </c>
      <c r="U288" t="s">
        <v>616</v>
      </c>
      <c r="V288" t="s">
        <v>66</v>
      </c>
      <c r="W288" t="s">
        <v>66</v>
      </c>
      <c r="X288">
        <v>5565644</v>
      </c>
      <c r="Y288">
        <v>612220.84</v>
      </c>
      <c r="Z288">
        <v>213942</v>
      </c>
      <c r="AA288">
        <v>23533.62</v>
      </c>
      <c r="AB288">
        <v>6177864.8399999999</v>
      </c>
      <c r="AC288">
        <v>1</v>
      </c>
      <c r="AD288" t="s">
        <v>134</v>
      </c>
      <c r="AE288">
        <v>12</v>
      </c>
      <c r="AF288" t="s">
        <v>356</v>
      </c>
      <c r="AG288">
        <f>IFERROR(VLOOKUP(AF288,[1]STOK!J:O,6,0),"")</f>
        <v>12</v>
      </c>
      <c r="AH288" s="2">
        <f t="shared" si="8"/>
        <v>1</v>
      </c>
      <c r="AI288" t="s">
        <v>356</v>
      </c>
      <c r="AJ288" t="s">
        <v>357</v>
      </c>
      <c r="AK288" t="s">
        <v>358</v>
      </c>
      <c r="AL288" t="s">
        <v>86</v>
      </c>
      <c r="AM288">
        <v>241092</v>
      </c>
      <c r="AN288">
        <f t="shared" si="9"/>
        <v>237475.62</v>
      </c>
      <c r="AO288" t="s">
        <v>66</v>
      </c>
      <c r="AP288">
        <v>1.5</v>
      </c>
      <c r="AQ288" t="s">
        <v>66</v>
      </c>
      <c r="AR288">
        <v>0</v>
      </c>
      <c r="AS288" t="s">
        <v>66</v>
      </c>
      <c r="AT288">
        <v>0</v>
      </c>
      <c r="AU288" t="s">
        <v>66</v>
      </c>
      <c r="AV288">
        <v>0</v>
      </c>
      <c r="AW288" t="s">
        <v>66</v>
      </c>
      <c r="AX288">
        <v>0</v>
      </c>
      <c r="AY288" t="s">
        <v>66</v>
      </c>
      <c r="AZ288">
        <v>0</v>
      </c>
      <c r="BA288" t="s">
        <v>66</v>
      </c>
      <c r="BB288">
        <v>0</v>
      </c>
      <c r="BC288">
        <v>0</v>
      </c>
      <c r="BD288">
        <v>237475.62</v>
      </c>
      <c r="BE288">
        <v>16282.92</v>
      </c>
      <c r="BF288">
        <v>0</v>
      </c>
      <c r="BG288" t="s">
        <v>87</v>
      </c>
      <c r="BH288" t="s">
        <v>617</v>
      </c>
      <c r="BI288">
        <v>12</v>
      </c>
      <c r="BJ288" t="s">
        <v>158</v>
      </c>
      <c r="BK288" t="s">
        <v>88</v>
      </c>
      <c r="BL288" t="s">
        <v>618</v>
      </c>
      <c r="BM288" t="s">
        <v>159</v>
      </c>
    </row>
    <row r="289" spans="1:65" x14ac:dyDescent="0.25">
      <c r="A289">
        <v>287</v>
      </c>
      <c r="B289" t="s">
        <v>609</v>
      </c>
      <c r="C289" t="s">
        <v>68</v>
      </c>
      <c r="D289" s="1">
        <v>46204</v>
      </c>
      <c r="E289" t="s">
        <v>610</v>
      </c>
      <c r="F289" t="s">
        <v>68</v>
      </c>
      <c r="G289" t="s">
        <v>69</v>
      </c>
      <c r="H289" t="s">
        <v>70</v>
      </c>
      <c r="I289" t="s">
        <v>71</v>
      </c>
      <c r="J289" t="s">
        <v>72</v>
      </c>
      <c r="K289" t="s">
        <v>73</v>
      </c>
      <c r="L289" t="s">
        <v>74</v>
      </c>
      <c r="M289" t="s">
        <v>611</v>
      </c>
      <c r="N289" t="s">
        <v>76</v>
      </c>
      <c r="O289" t="s">
        <v>612</v>
      </c>
      <c r="P289" t="s">
        <v>613</v>
      </c>
      <c r="Q289" t="s">
        <v>66</v>
      </c>
      <c r="R289" s="1">
        <v>46204</v>
      </c>
      <c r="S289" t="s">
        <v>614</v>
      </c>
      <c r="T289" t="s">
        <v>615</v>
      </c>
      <c r="U289" t="s">
        <v>616</v>
      </c>
      <c r="V289" t="s">
        <v>66</v>
      </c>
      <c r="W289" t="s">
        <v>66</v>
      </c>
      <c r="X289">
        <v>5565644</v>
      </c>
      <c r="Y289">
        <v>612220.84</v>
      </c>
      <c r="Z289">
        <v>472800</v>
      </c>
      <c r="AA289">
        <v>52008</v>
      </c>
      <c r="AB289">
        <v>6177864.8399999999</v>
      </c>
      <c r="AC289">
        <v>2</v>
      </c>
      <c r="AD289" t="s">
        <v>134</v>
      </c>
      <c r="AE289">
        <v>24</v>
      </c>
      <c r="AF289" t="s">
        <v>290</v>
      </c>
      <c r="AG289">
        <f>IFERROR(VLOOKUP(AF289,[1]STOK!J:O,6,0),"")</f>
        <v>12</v>
      </c>
      <c r="AH289" s="2">
        <f t="shared" si="8"/>
        <v>2</v>
      </c>
      <c r="AI289" t="s">
        <v>290</v>
      </c>
      <c r="AJ289" t="s">
        <v>291</v>
      </c>
      <c r="AK289" t="s">
        <v>292</v>
      </c>
      <c r="AL289" t="s">
        <v>86</v>
      </c>
      <c r="AM289">
        <v>266400</v>
      </c>
      <c r="AN289">
        <f t="shared" si="9"/>
        <v>262404</v>
      </c>
      <c r="AO289" t="s">
        <v>66</v>
      </c>
      <c r="AP289">
        <v>1.5</v>
      </c>
      <c r="AQ289" t="s">
        <v>66</v>
      </c>
      <c r="AR289">
        <v>0</v>
      </c>
      <c r="AS289" t="s">
        <v>66</v>
      </c>
      <c r="AT289">
        <v>0</v>
      </c>
      <c r="AU289" t="s">
        <v>66</v>
      </c>
      <c r="AV289">
        <v>0</v>
      </c>
      <c r="AW289" t="s">
        <v>66</v>
      </c>
      <c r="AX289">
        <v>0</v>
      </c>
      <c r="AY289" t="s">
        <v>66</v>
      </c>
      <c r="AZ289">
        <v>0</v>
      </c>
      <c r="BA289" t="s">
        <v>66</v>
      </c>
      <c r="BB289">
        <v>0</v>
      </c>
      <c r="BC289">
        <v>0</v>
      </c>
      <c r="BD289">
        <v>524808</v>
      </c>
      <c r="BE289">
        <v>18106.89</v>
      </c>
      <c r="BF289">
        <v>0</v>
      </c>
      <c r="BG289" t="s">
        <v>87</v>
      </c>
      <c r="BH289" t="s">
        <v>617</v>
      </c>
      <c r="BI289">
        <v>24</v>
      </c>
      <c r="BJ289" t="s">
        <v>158</v>
      </c>
      <c r="BK289" t="s">
        <v>88</v>
      </c>
      <c r="BL289" t="s">
        <v>618</v>
      </c>
      <c r="BM289" t="s">
        <v>159</v>
      </c>
    </row>
    <row r="290" spans="1:65" x14ac:dyDescent="0.25">
      <c r="A290">
        <v>288</v>
      </c>
      <c r="B290" t="s">
        <v>609</v>
      </c>
      <c r="C290" t="s">
        <v>68</v>
      </c>
      <c r="D290" s="1">
        <v>46204</v>
      </c>
      <c r="E290" t="s">
        <v>610</v>
      </c>
      <c r="F290" t="s">
        <v>68</v>
      </c>
      <c r="G290" t="s">
        <v>69</v>
      </c>
      <c r="H290" t="s">
        <v>70</v>
      </c>
      <c r="I290" t="s">
        <v>71</v>
      </c>
      <c r="J290" t="s">
        <v>72</v>
      </c>
      <c r="K290" t="s">
        <v>73</v>
      </c>
      <c r="L290" t="s">
        <v>74</v>
      </c>
      <c r="M290" t="s">
        <v>611</v>
      </c>
      <c r="N290" t="s">
        <v>76</v>
      </c>
      <c r="O290" t="s">
        <v>612</v>
      </c>
      <c r="P290" t="s">
        <v>613</v>
      </c>
      <c r="Q290" t="s">
        <v>66</v>
      </c>
      <c r="R290" s="1">
        <v>46204</v>
      </c>
      <c r="S290" t="s">
        <v>614</v>
      </c>
      <c r="T290" t="s">
        <v>615</v>
      </c>
      <c r="U290" t="s">
        <v>616</v>
      </c>
      <c r="V290" t="s">
        <v>66</v>
      </c>
      <c r="W290" t="s">
        <v>66</v>
      </c>
      <c r="X290">
        <v>5565644</v>
      </c>
      <c r="Y290">
        <v>612220.84</v>
      </c>
      <c r="Z290">
        <v>236400</v>
      </c>
      <c r="AA290">
        <v>26004</v>
      </c>
      <c r="AB290">
        <v>6177864.8399999999</v>
      </c>
      <c r="AC290">
        <v>1</v>
      </c>
      <c r="AD290" t="s">
        <v>134</v>
      </c>
      <c r="AE290">
        <v>12</v>
      </c>
      <c r="AF290" t="s">
        <v>102</v>
      </c>
      <c r="AG290">
        <f>IFERROR(VLOOKUP(AF290,[1]STOK!J:O,6,0),"")</f>
        <v>12</v>
      </c>
      <c r="AH290" s="2">
        <f t="shared" si="8"/>
        <v>1</v>
      </c>
      <c r="AI290" t="s">
        <v>102</v>
      </c>
      <c r="AJ290" t="s">
        <v>103</v>
      </c>
      <c r="AK290" t="s">
        <v>104</v>
      </c>
      <c r="AL290" t="s">
        <v>86</v>
      </c>
      <c r="AM290">
        <v>266400</v>
      </c>
      <c r="AN290">
        <f t="shared" si="9"/>
        <v>262404</v>
      </c>
      <c r="AO290" t="s">
        <v>66</v>
      </c>
      <c r="AP290">
        <v>1.5</v>
      </c>
      <c r="AQ290" t="s">
        <v>66</v>
      </c>
      <c r="AR290">
        <v>0</v>
      </c>
      <c r="AS290" t="s">
        <v>66</v>
      </c>
      <c r="AT290">
        <v>0</v>
      </c>
      <c r="AU290" t="s">
        <v>66</v>
      </c>
      <c r="AV290">
        <v>0</v>
      </c>
      <c r="AW290" t="s">
        <v>66</v>
      </c>
      <c r="AX290">
        <v>0</v>
      </c>
      <c r="AY290" t="s">
        <v>66</v>
      </c>
      <c r="AZ290">
        <v>0</v>
      </c>
      <c r="BA290" t="s">
        <v>66</v>
      </c>
      <c r="BB290">
        <v>0</v>
      </c>
      <c r="BC290">
        <v>0</v>
      </c>
      <c r="BD290">
        <v>262404</v>
      </c>
      <c r="BE290">
        <v>18040.98</v>
      </c>
      <c r="BF290">
        <v>0</v>
      </c>
      <c r="BG290" t="s">
        <v>87</v>
      </c>
      <c r="BH290" t="s">
        <v>617</v>
      </c>
      <c r="BI290">
        <v>12</v>
      </c>
      <c r="BJ290" t="s">
        <v>158</v>
      </c>
      <c r="BK290" t="s">
        <v>88</v>
      </c>
      <c r="BL290" t="s">
        <v>618</v>
      </c>
      <c r="BM290" t="s">
        <v>159</v>
      </c>
    </row>
    <row r="291" spans="1:65" x14ac:dyDescent="0.25">
      <c r="A291">
        <v>289</v>
      </c>
      <c r="B291" t="s">
        <v>609</v>
      </c>
      <c r="C291" t="s">
        <v>68</v>
      </c>
      <c r="D291" s="1">
        <v>46204</v>
      </c>
      <c r="E291" t="s">
        <v>610</v>
      </c>
      <c r="F291" t="s">
        <v>68</v>
      </c>
      <c r="G291" t="s">
        <v>69</v>
      </c>
      <c r="H291" t="s">
        <v>70</v>
      </c>
      <c r="I291" t="s">
        <v>71</v>
      </c>
      <c r="J291" t="s">
        <v>72</v>
      </c>
      <c r="K291" t="s">
        <v>73</v>
      </c>
      <c r="L291" t="s">
        <v>74</v>
      </c>
      <c r="M291" t="s">
        <v>611</v>
      </c>
      <c r="N291" t="s">
        <v>76</v>
      </c>
      <c r="O291" t="s">
        <v>612</v>
      </c>
      <c r="P291" t="s">
        <v>613</v>
      </c>
      <c r="Q291" t="s">
        <v>66</v>
      </c>
      <c r="R291" s="1">
        <v>46204</v>
      </c>
      <c r="S291" t="s">
        <v>614</v>
      </c>
      <c r="T291" t="s">
        <v>615</v>
      </c>
      <c r="U291" t="s">
        <v>616</v>
      </c>
      <c r="V291" t="s">
        <v>66</v>
      </c>
      <c r="W291" t="s">
        <v>66</v>
      </c>
      <c r="X291">
        <v>5565644</v>
      </c>
      <c r="Y291">
        <v>612220.84</v>
      </c>
      <c r="Z291">
        <v>226353</v>
      </c>
      <c r="AA291">
        <v>24898.83</v>
      </c>
      <c r="AB291">
        <v>6177864.8399999999</v>
      </c>
      <c r="AC291">
        <v>1</v>
      </c>
      <c r="AD291" t="s">
        <v>134</v>
      </c>
      <c r="AE291">
        <v>6</v>
      </c>
      <c r="AF291" t="s">
        <v>138</v>
      </c>
      <c r="AG291">
        <f>IFERROR(VLOOKUP(AF291,[1]STOK!J:O,6,0),"")</f>
        <v>6</v>
      </c>
      <c r="AH291" s="2">
        <f t="shared" si="8"/>
        <v>1</v>
      </c>
      <c r="AI291" t="s">
        <v>138</v>
      </c>
      <c r="AJ291" t="s">
        <v>139</v>
      </c>
      <c r="AK291" t="s">
        <v>140</v>
      </c>
      <c r="AL291" t="s">
        <v>86</v>
      </c>
      <c r="AM291">
        <v>255078</v>
      </c>
      <c r="AN291">
        <f t="shared" si="9"/>
        <v>251251.83</v>
      </c>
      <c r="AO291" t="s">
        <v>66</v>
      </c>
      <c r="AP291">
        <v>1.5</v>
      </c>
      <c r="AQ291" t="s">
        <v>66</v>
      </c>
      <c r="AR291">
        <v>0</v>
      </c>
      <c r="AS291" t="s">
        <v>66</v>
      </c>
      <c r="AT291">
        <v>0</v>
      </c>
      <c r="AU291" t="s">
        <v>66</v>
      </c>
      <c r="AV291">
        <v>0</v>
      </c>
      <c r="AW291" t="s">
        <v>66</v>
      </c>
      <c r="AX291">
        <v>0</v>
      </c>
      <c r="AY291" t="s">
        <v>66</v>
      </c>
      <c r="AZ291">
        <v>0</v>
      </c>
      <c r="BA291" t="s">
        <v>66</v>
      </c>
      <c r="BB291">
        <v>0</v>
      </c>
      <c r="BC291">
        <v>0</v>
      </c>
      <c r="BD291">
        <v>251251.83</v>
      </c>
      <c r="BE291">
        <v>34660.32</v>
      </c>
      <c r="BF291">
        <v>0</v>
      </c>
      <c r="BG291" t="s">
        <v>87</v>
      </c>
      <c r="BH291" t="s">
        <v>617</v>
      </c>
      <c r="BI291">
        <v>6</v>
      </c>
      <c r="BJ291" t="s">
        <v>158</v>
      </c>
      <c r="BK291" t="s">
        <v>88</v>
      </c>
      <c r="BL291" t="s">
        <v>618</v>
      </c>
      <c r="BM291" t="s">
        <v>159</v>
      </c>
    </row>
    <row r="292" spans="1:65" x14ac:dyDescent="0.25">
      <c r="A292">
        <v>290</v>
      </c>
      <c r="B292" t="s">
        <v>609</v>
      </c>
      <c r="C292" t="s">
        <v>68</v>
      </c>
      <c r="D292" s="1">
        <v>46204</v>
      </c>
      <c r="E292" t="s">
        <v>610</v>
      </c>
      <c r="F292" t="s">
        <v>68</v>
      </c>
      <c r="G292" t="s">
        <v>69</v>
      </c>
      <c r="H292" t="s">
        <v>70</v>
      </c>
      <c r="I292" t="s">
        <v>71</v>
      </c>
      <c r="J292" t="s">
        <v>72</v>
      </c>
      <c r="K292" t="s">
        <v>73</v>
      </c>
      <c r="L292" t="s">
        <v>74</v>
      </c>
      <c r="M292" t="s">
        <v>611</v>
      </c>
      <c r="N292" t="s">
        <v>76</v>
      </c>
      <c r="O292" t="s">
        <v>612</v>
      </c>
      <c r="P292" t="s">
        <v>613</v>
      </c>
      <c r="Q292" t="s">
        <v>66</v>
      </c>
      <c r="R292" s="1">
        <v>46204</v>
      </c>
      <c r="S292" t="s">
        <v>614</v>
      </c>
      <c r="T292" t="s">
        <v>615</v>
      </c>
      <c r="U292" t="s">
        <v>616</v>
      </c>
      <c r="V292" t="s">
        <v>66</v>
      </c>
      <c r="W292" t="s">
        <v>66</v>
      </c>
      <c r="X292">
        <v>5565644</v>
      </c>
      <c r="Y292">
        <v>612220.84</v>
      </c>
      <c r="Z292">
        <v>226353</v>
      </c>
      <c r="AA292">
        <v>24898.83</v>
      </c>
      <c r="AB292">
        <v>6177864.8399999999</v>
      </c>
      <c r="AC292">
        <v>1</v>
      </c>
      <c r="AD292" t="s">
        <v>134</v>
      </c>
      <c r="AE292">
        <v>6</v>
      </c>
      <c r="AF292" t="s">
        <v>323</v>
      </c>
      <c r="AG292">
        <f>IFERROR(VLOOKUP(AF292,[1]STOK!J:O,6,0),"")</f>
        <v>6</v>
      </c>
      <c r="AH292" s="2">
        <f t="shared" si="8"/>
        <v>1</v>
      </c>
      <c r="AI292" t="s">
        <v>323</v>
      </c>
      <c r="AJ292" t="s">
        <v>324</v>
      </c>
      <c r="AK292" t="s">
        <v>325</v>
      </c>
      <c r="AL292" t="s">
        <v>86</v>
      </c>
      <c r="AM292">
        <v>255078</v>
      </c>
      <c r="AN292">
        <f t="shared" si="9"/>
        <v>251251.83</v>
      </c>
      <c r="AO292" t="s">
        <v>66</v>
      </c>
      <c r="AP292">
        <v>1.5</v>
      </c>
      <c r="AQ292" t="s">
        <v>66</v>
      </c>
      <c r="AR292">
        <v>0</v>
      </c>
      <c r="AS292" t="s">
        <v>66</v>
      </c>
      <c r="AT292">
        <v>0</v>
      </c>
      <c r="AU292" t="s">
        <v>66</v>
      </c>
      <c r="AV292">
        <v>0</v>
      </c>
      <c r="AW292" t="s">
        <v>66</v>
      </c>
      <c r="AX292">
        <v>0</v>
      </c>
      <c r="AY292" t="s">
        <v>66</v>
      </c>
      <c r="AZ292">
        <v>0</v>
      </c>
      <c r="BA292" t="s">
        <v>66</v>
      </c>
      <c r="BB292">
        <v>0</v>
      </c>
      <c r="BC292">
        <v>0</v>
      </c>
      <c r="BD292">
        <v>251251.83</v>
      </c>
      <c r="BE292">
        <v>34469.339999999997</v>
      </c>
      <c r="BF292">
        <v>0</v>
      </c>
      <c r="BG292" t="s">
        <v>87</v>
      </c>
      <c r="BH292" t="s">
        <v>617</v>
      </c>
      <c r="BI292">
        <v>6</v>
      </c>
      <c r="BJ292" t="s">
        <v>158</v>
      </c>
      <c r="BK292" t="s">
        <v>88</v>
      </c>
      <c r="BL292" t="s">
        <v>618</v>
      </c>
      <c r="BM292" t="s">
        <v>159</v>
      </c>
    </row>
    <row r="293" spans="1:65" x14ac:dyDescent="0.25">
      <c r="A293">
        <v>291</v>
      </c>
      <c r="B293" t="s">
        <v>625</v>
      </c>
      <c r="C293" t="s">
        <v>68</v>
      </c>
      <c r="D293" s="1">
        <v>46204</v>
      </c>
      <c r="E293" t="s">
        <v>626</v>
      </c>
      <c r="F293" t="s">
        <v>68</v>
      </c>
      <c r="G293" t="s">
        <v>69</v>
      </c>
      <c r="H293" t="s">
        <v>70</v>
      </c>
      <c r="I293" t="s">
        <v>71</v>
      </c>
      <c r="J293" t="s">
        <v>72</v>
      </c>
      <c r="K293" t="s">
        <v>73</v>
      </c>
      <c r="L293" t="s">
        <v>74</v>
      </c>
      <c r="M293" t="s">
        <v>627</v>
      </c>
      <c r="N293" t="s">
        <v>111</v>
      </c>
      <c r="O293" t="s">
        <v>628</v>
      </c>
      <c r="P293" t="s">
        <v>629</v>
      </c>
      <c r="Q293" t="s">
        <v>630</v>
      </c>
      <c r="R293" s="1">
        <v>46206</v>
      </c>
      <c r="S293" t="s">
        <v>628</v>
      </c>
      <c r="T293" t="s">
        <v>631</v>
      </c>
      <c r="U293" t="s">
        <v>632</v>
      </c>
      <c r="V293" t="s">
        <v>66</v>
      </c>
      <c r="W293" t="s">
        <v>66</v>
      </c>
      <c r="X293">
        <v>243600</v>
      </c>
      <c r="Y293">
        <v>26796</v>
      </c>
      <c r="Z293">
        <v>55200</v>
      </c>
      <c r="AA293">
        <v>6072</v>
      </c>
      <c r="AB293">
        <v>270396</v>
      </c>
      <c r="AC293">
        <v>3</v>
      </c>
      <c r="AD293" t="s">
        <v>82</v>
      </c>
      <c r="AE293">
        <v>3</v>
      </c>
      <c r="AF293" t="s">
        <v>116</v>
      </c>
      <c r="AG293">
        <f>IFERROR(VLOOKUP(AF293,[1]STOK!J:O,6,0),"")</f>
        <v>12</v>
      </c>
      <c r="AH293" s="2">
        <f t="shared" si="8"/>
        <v>0.25</v>
      </c>
      <c r="AI293" t="s">
        <v>116</v>
      </c>
      <c r="AJ293" t="s">
        <v>117</v>
      </c>
      <c r="AK293" t="s">
        <v>118</v>
      </c>
      <c r="AL293" t="s">
        <v>86</v>
      </c>
      <c r="AM293">
        <v>20424</v>
      </c>
      <c r="AN293">
        <f t="shared" si="9"/>
        <v>20424</v>
      </c>
      <c r="AO293" t="s">
        <v>66</v>
      </c>
      <c r="AP293">
        <v>0</v>
      </c>
      <c r="AQ293" t="s">
        <v>66</v>
      </c>
      <c r="AR293">
        <v>0</v>
      </c>
      <c r="AS293" t="s">
        <v>66</v>
      </c>
      <c r="AT293">
        <v>0</v>
      </c>
      <c r="AU293" t="s">
        <v>66</v>
      </c>
      <c r="AV293">
        <v>0</v>
      </c>
      <c r="AW293" t="s">
        <v>66</v>
      </c>
      <c r="AX293">
        <v>0</v>
      </c>
      <c r="AY293" t="s">
        <v>66</v>
      </c>
      <c r="AZ293">
        <v>0</v>
      </c>
      <c r="BA293" t="s">
        <v>66</v>
      </c>
      <c r="BB293">
        <v>0</v>
      </c>
      <c r="BC293">
        <v>0</v>
      </c>
      <c r="BD293">
        <v>61272</v>
      </c>
      <c r="BE293">
        <v>16534.41</v>
      </c>
      <c r="BF293">
        <v>0</v>
      </c>
      <c r="BG293" t="s">
        <v>87</v>
      </c>
      <c r="BH293" t="s">
        <v>66</v>
      </c>
      <c r="BI293">
        <v>0</v>
      </c>
      <c r="BJ293" t="s">
        <v>66</v>
      </c>
      <c r="BK293" t="s">
        <v>88</v>
      </c>
      <c r="BL293" t="s">
        <v>66</v>
      </c>
      <c r="BM293" t="s">
        <v>159</v>
      </c>
    </row>
    <row r="294" spans="1:65" x14ac:dyDescent="0.25">
      <c r="A294">
        <v>292</v>
      </c>
      <c r="B294" t="s">
        <v>625</v>
      </c>
      <c r="C294" t="s">
        <v>68</v>
      </c>
      <c r="D294" s="1">
        <v>46204</v>
      </c>
      <c r="E294" t="s">
        <v>626</v>
      </c>
      <c r="F294" t="s">
        <v>68</v>
      </c>
      <c r="G294" t="s">
        <v>69</v>
      </c>
      <c r="H294" t="s">
        <v>70</v>
      </c>
      <c r="I294" t="s">
        <v>71</v>
      </c>
      <c r="J294" t="s">
        <v>72</v>
      </c>
      <c r="K294" t="s">
        <v>73</v>
      </c>
      <c r="L294" t="s">
        <v>74</v>
      </c>
      <c r="M294" t="s">
        <v>627</v>
      </c>
      <c r="N294" t="s">
        <v>111</v>
      </c>
      <c r="O294" t="s">
        <v>628</v>
      </c>
      <c r="P294" t="s">
        <v>629</v>
      </c>
      <c r="Q294" t="s">
        <v>630</v>
      </c>
      <c r="R294" s="1">
        <v>46206</v>
      </c>
      <c r="S294" t="s">
        <v>628</v>
      </c>
      <c r="T294" t="s">
        <v>631</v>
      </c>
      <c r="U294" t="s">
        <v>632</v>
      </c>
      <c r="V294" t="s">
        <v>66</v>
      </c>
      <c r="W294" t="s">
        <v>66</v>
      </c>
      <c r="X294">
        <v>243600</v>
      </c>
      <c r="Y294">
        <v>26796</v>
      </c>
      <c r="Z294">
        <v>7500</v>
      </c>
      <c r="AA294">
        <v>825</v>
      </c>
      <c r="AB294">
        <v>270396</v>
      </c>
      <c r="AC294">
        <v>3</v>
      </c>
      <c r="AD294" t="s">
        <v>82</v>
      </c>
      <c r="AE294">
        <v>3</v>
      </c>
      <c r="AF294" t="s">
        <v>341</v>
      </c>
      <c r="AG294">
        <f>IFERROR(VLOOKUP(AF294,[1]STOK!J:O,6,0),"")</f>
        <v>72</v>
      </c>
      <c r="AH294" s="2">
        <f t="shared" si="8"/>
        <v>4.1666666666666664E-2</v>
      </c>
      <c r="AI294" t="s">
        <v>341</v>
      </c>
      <c r="AJ294" t="s">
        <v>342</v>
      </c>
      <c r="AK294" t="s">
        <v>343</v>
      </c>
      <c r="AL294" t="s">
        <v>86</v>
      </c>
      <c r="AM294">
        <v>2775</v>
      </c>
      <c r="AN294">
        <f t="shared" si="9"/>
        <v>2775</v>
      </c>
      <c r="AO294" t="s">
        <v>66</v>
      </c>
      <c r="AP294">
        <v>0</v>
      </c>
      <c r="AQ294" t="s">
        <v>66</v>
      </c>
      <c r="AR294">
        <v>0</v>
      </c>
      <c r="AS294" t="s">
        <v>66</v>
      </c>
      <c r="AT294">
        <v>0</v>
      </c>
      <c r="AU294" t="s">
        <v>66</v>
      </c>
      <c r="AV294">
        <v>0</v>
      </c>
      <c r="AW294" t="s">
        <v>66</v>
      </c>
      <c r="AX294">
        <v>0</v>
      </c>
      <c r="AY294" t="s">
        <v>66</v>
      </c>
      <c r="AZ294">
        <v>0</v>
      </c>
      <c r="BA294" t="s">
        <v>66</v>
      </c>
      <c r="BB294">
        <v>0</v>
      </c>
      <c r="BC294">
        <v>0</v>
      </c>
      <c r="BD294">
        <v>8325</v>
      </c>
      <c r="BE294">
        <v>2234.8000000000002</v>
      </c>
      <c r="BF294">
        <v>0</v>
      </c>
      <c r="BG294" t="s">
        <v>87</v>
      </c>
      <c r="BH294" t="s">
        <v>66</v>
      </c>
      <c r="BI294">
        <v>0</v>
      </c>
      <c r="BJ294" t="s">
        <v>66</v>
      </c>
      <c r="BK294" t="s">
        <v>88</v>
      </c>
      <c r="BL294" t="s">
        <v>66</v>
      </c>
      <c r="BM294" t="s">
        <v>159</v>
      </c>
    </row>
    <row r="295" spans="1:65" x14ac:dyDescent="0.25">
      <c r="A295">
        <v>293</v>
      </c>
      <c r="B295" t="s">
        <v>625</v>
      </c>
      <c r="C295" t="s">
        <v>68</v>
      </c>
      <c r="D295" s="1">
        <v>46204</v>
      </c>
      <c r="E295" t="s">
        <v>626</v>
      </c>
      <c r="F295" t="s">
        <v>68</v>
      </c>
      <c r="G295" t="s">
        <v>69</v>
      </c>
      <c r="H295" t="s">
        <v>70</v>
      </c>
      <c r="I295" t="s">
        <v>71</v>
      </c>
      <c r="J295" t="s">
        <v>72</v>
      </c>
      <c r="K295" t="s">
        <v>73</v>
      </c>
      <c r="L295" t="s">
        <v>74</v>
      </c>
      <c r="M295" t="s">
        <v>627</v>
      </c>
      <c r="N295" t="s">
        <v>111</v>
      </c>
      <c r="O295" t="s">
        <v>628</v>
      </c>
      <c r="P295" t="s">
        <v>629</v>
      </c>
      <c r="Q295" t="s">
        <v>630</v>
      </c>
      <c r="R295" s="1">
        <v>46206</v>
      </c>
      <c r="S295" t="s">
        <v>628</v>
      </c>
      <c r="T295" t="s">
        <v>631</v>
      </c>
      <c r="U295" t="s">
        <v>632</v>
      </c>
      <c r="V295" t="s">
        <v>66</v>
      </c>
      <c r="W295" t="s">
        <v>66</v>
      </c>
      <c r="X295">
        <v>243600</v>
      </c>
      <c r="Y295">
        <v>26796</v>
      </c>
      <c r="Z295">
        <v>49500</v>
      </c>
      <c r="AA295">
        <v>5445</v>
      </c>
      <c r="AB295">
        <v>270396</v>
      </c>
      <c r="AC295">
        <v>3</v>
      </c>
      <c r="AD295" t="s">
        <v>82</v>
      </c>
      <c r="AE295">
        <v>3</v>
      </c>
      <c r="AF295" t="s">
        <v>128</v>
      </c>
      <c r="AG295">
        <f>IFERROR(VLOOKUP(AF295,[1]STOK!J:O,6,0),"")</f>
        <v>24</v>
      </c>
      <c r="AH295" s="2">
        <f t="shared" si="8"/>
        <v>0.125</v>
      </c>
      <c r="AI295" t="s">
        <v>128</v>
      </c>
      <c r="AJ295" t="s">
        <v>129</v>
      </c>
      <c r="AK295" t="s">
        <v>130</v>
      </c>
      <c r="AL295" t="s">
        <v>86</v>
      </c>
      <c r="AM295">
        <v>18315</v>
      </c>
      <c r="AN295">
        <f t="shared" si="9"/>
        <v>18315</v>
      </c>
      <c r="AO295" t="s">
        <v>66</v>
      </c>
      <c r="AP295">
        <v>0</v>
      </c>
      <c r="AQ295" t="s">
        <v>66</v>
      </c>
      <c r="AR295">
        <v>0</v>
      </c>
      <c r="AS295" t="s">
        <v>66</v>
      </c>
      <c r="AT295">
        <v>0</v>
      </c>
      <c r="AU295" t="s">
        <v>66</v>
      </c>
      <c r="AV295">
        <v>0</v>
      </c>
      <c r="AW295" t="s">
        <v>66</v>
      </c>
      <c r="AX295">
        <v>0</v>
      </c>
      <c r="AY295" t="s">
        <v>66</v>
      </c>
      <c r="AZ295">
        <v>0</v>
      </c>
      <c r="BA295" t="s">
        <v>66</v>
      </c>
      <c r="BB295">
        <v>0</v>
      </c>
      <c r="BC295">
        <v>0</v>
      </c>
      <c r="BD295">
        <v>54945</v>
      </c>
      <c r="BE295">
        <v>14907.75</v>
      </c>
      <c r="BF295">
        <v>0</v>
      </c>
      <c r="BG295" t="s">
        <v>87</v>
      </c>
      <c r="BH295" t="s">
        <v>66</v>
      </c>
      <c r="BI295">
        <v>0</v>
      </c>
      <c r="BJ295" t="s">
        <v>66</v>
      </c>
      <c r="BK295" t="s">
        <v>88</v>
      </c>
      <c r="BL295" t="s">
        <v>66</v>
      </c>
      <c r="BM295" t="s">
        <v>159</v>
      </c>
    </row>
    <row r="296" spans="1:65" x14ac:dyDescent="0.25">
      <c r="A296">
        <v>294</v>
      </c>
      <c r="B296" t="s">
        <v>625</v>
      </c>
      <c r="C296" t="s">
        <v>68</v>
      </c>
      <c r="D296" s="1">
        <v>46204</v>
      </c>
      <c r="E296" t="s">
        <v>626</v>
      </c>
      <c r="F296" t="s">
        <v>68</v>
      </c>
      <c r="G296" t="s">
        <v>69</v>
      </c>
      <c r="H296" t="s">
        <v>70</v>
      </c>
      <c r="I296" t="s">
        <v>71</v>
      </c>
      <c r="J296" t="s">
        <v>72</v>
      </c>
      <c r="K296" t="s">
        <v>73</v>
      </c>
      <c r="L296" t="s">
        <v>74</v>
      </c>
      <c r="M296" t="s">
        <v>627</v>
      </c>
      <c r="N296" t="s">
        <v>111</v>
      </c>
      <c r="O296" t="s">
        <v>628</v>
      </c>
      <c r="P296" t="s">
        <v>629</v>
      </c>
      <c r="Q296" t="s">
        <v>630</v>
      </c>
      <c r="R296" s="1">
        <v>46206</v>
      </c>
      <c r="S296" t="s">
        <v>628</v>
      </c>
      <c r="T296" t="s">
        <v>631</v>
      </c>
      <c r="U296" t="s">
        <v>632</v>
      </c>
      <c r="V296" t="s">
        <v>66</v>
      </c>
      <c r="W296" t="s">
        <v>66</v>
      </c>
      <c r="X296">
        <v>243600</v>
      </c>
      <c r="Y296">
        <v>26796</v>
      </c>
      <c r="Z296">
        <v>31800</v>
      </c>
      <c r="AA296">
        <v>3498</v>
      </c>
      <c r="AB296">
        <v>270396</v>
      </c>
      <c r="AC296">
        <v>6</v>
      </c>
      <c r="AD296" t="s">
        <v>82</v>
      </c>
      <c r="AE296">
        <v>6</v>
      </c>
      <c r="AF296" t="s">
        <v>633</v>
      </c>
      <c r="AG296">
        <f>IFERROR(VLOOKUP(AF296,[1]STOK!J:O,6,0),"")</f>
        <v>24</v>
      </c>
      <c r="AH296" s="2">
        <f t="shared" si="8"/>
        <v>0.25</v>
      </c>
      <c r="AI296" t="s">
        <v>633</v>
      </c>
      <c r="AJ296" t="s">
        <v>634</v>
      </c>
      <c r="AK296" t="s">
        <v>635</v>
      </c>
      <c r="AL296" t="s">
        <v>86</v>
      </c>
      <c r="AM296">
        <v>5883</v>
      </c>
      <c r="AN296">
        <f t="shared" si="9"/>
        <v>5883</v>
      </c>
      <c r="AO296" t="s">
        <v>66</v>
      </c>
      <c r="AP296">
        <v>0</v>
      </c>
      <c r="AQ296" t="s">
        <v>66</v>
      </c>
      <c r="AR296">
        <v>0</v>
      </c>
      <c r="AS296" t="s">
        <v>66</v>
      </c>
      <c r="AT296">
        <v>0</v>
      </c>
      <c r="AU296" t="s">
        <v>66</v>
      </c>
      <c r="AV296">
        <v>0</v>
      </c>
      <c r="AW296" t="s">
        <v>66</v>
      </c>
      <c r="AX296">
        <v>0</v>
      </c>
      <c r="AY296" t="s">
        <v>66</v>
      </c>
      <c r="AZ296">
        <v>0</v>
      </c>
      <c r="BA296" t="s">
        <v>66</v>
      </c>
      <c r="BB296">
        <v>0</v>
      </c>
      <c r="BC296">
        <v>0</v>
      </c>
      <c r="BD296">
        <v>35298</v>
      </c>
      <c r="BE296">
        <v>4738.24</v>
      </c>
      <c r="BF296">
        <v>0</v>
      </c>
      <c r="BG296" t="s">
        <v>87</v>
      </c>
      <c r="BH296" t="s">
        <v>66</v>
      </c>
      <c r="BI296">
        <v>0</v>
      </c>
      <c r="BJ296" t="s">
        <v>66</v>
      </c>
      <c r="BK296" t="s">
        <v>88</v>
      </c>
      <c r="BL296" t="s">
        <v>66</v>
      </c>
      <c r="BM296" t="s">
        <v>159</v>
      </c>
    </row>
    <row r="297" spans="1:65" x14ac:dyDescent="0.25">
      <c r="A297">
        <v>295</v>
      </c>
      <c r="B297" t="s">
        <v>625</v>
      </c>
      <c r="C297" t="s">
        <v>68</v>
      </c>
      <c r="D297" s="1">
        <v>46204</v>
      </c>
      <c r="E297" t="s">
        <v>626</v>
      </c>
      <c r="F297" t="s">
        <v>68</v>
      </c>
      <c r="G297" t="s">
        <v>69</v>
      </c>
      <c r="H297" t="s">
        <v>70</v>
      </c>
      <c r="I297" t="s">
        <v>71</v>
      </c>
      <c r="J297" t="s">
        <v>72</v>
      </c>
      <c r="K297" t="s">
        <v>73</v>
      </c>
      <c r="L297" t="s">
        <v>74</v>
      </c>
      <c r="M297" t="s">
        <v>627</v>
      </c>
      <c r="N297" t="s">
        <v>111</v>
      </c>
      <c r="O297" t="s">
        <v>628</v>
      </c>
      <c r="P297" t="s">
        <v>629</v>
      </c>
      <c r="Q297" t="s">
        <v>630</v>
      </c>
      <c r="R297" s="1">
        <v>46206</v>
      </c>
      <c r="S297" t="s">
        <v>628</v>
      </c>
      <c r="T297" t="s">
        <v>631</v>
      </c>
      <c r="U297" t="s">
        <v>632</v>
      </c>
      <c r="V297" t="s">
        <v>66</v>
      </c>
      <c r="W297" t="s">
        <v>66</v>
      </c>
      <c r="X297">
        <v>243600</v>
      </c>
      <c r="Y297">
        <v>26796</v>
      </c>
      <c r="Z297">
        <v>32100</v>
      </c>
      <c r="AA297">
        <v>3531</v>
      </c>
      <c r="AB297">
        <v>270396</v>
      </c>
      <c r="AC297">
        <v>3</v>
      </c>
      <c r="AD297" t="s">
        <v>82</v>
      </c>
      <c r="AE297">
        <v>3</v>
      </c>
      <c r="AF297" t="s">
        <v>578</v>
      </c>
      <c r="AG297">
        <f>IFERROR(VLOOKUP(AF297,[1]STOK!J:O,6,0),"")</f>
        <v>12</v>
      </c>
      <c r="AH297" s="2">
        <f t="shared" si="8"/>
        <v>0.25</v>
      </c>
      <c r="AI297" t="s">
        <v>578</v>
      </c>
      <c r="AJ297" t="s">
        <v>579</v>
      </c>
      <c r="AK297" t="s">
        <v>580</v>
      </c>
      <c r="AL297" t="s">
        <v>86</v>
      </c>
      <c r="AM297">
        <v>11877</v>
      </c>
      <c r="AN297">
        <f t="shared" si="9"/>
        <v>11877</v>
      </c>
      <c r="AO297" t="s">
        <v>66</v>
      </c>
      <c r="AP297">
        <v>0</v>
      </c>
      <c r="AQ297" t="s">
        <v>66</v>
      </c>
      <c r="AR297">
        <v>0</v>
      </c>
      <c r="AS297" t="s">
        <v>66</v>
      </c>
      <c r="AT297">
        <v>0</v>
      </c>
      <c r="AU297" t="s">
        <v>66</v>
      </c>
      <c r="AV297">
        <v>0</v>
      </c>
      <c r="AW297" t="s">
        <v>66</v>
      </c>
      <c r="AX297">
        <v>0</v>
      </c>
      <c r="AY297" t="s">
        <v>66</v>
      </c>
      <c r="AZ297">
        <v>0</v>
      </c>
      <c r="BA297" t="s">
        <v>66</v>
      </c>
      <c r="BB297">
        <v>0</v>
      </c>
      <c r="BC297">
        <v>0</v>
      </c>
      <c r="BD297">
        <v>35631</v>
      </c>
      <c r="BE297">
        <v>9646.18</v>
      </c>
      <c r="BF297">
        <v>0</v>
      </c>
      <c r="BG297" t="s">
        <v>87</v>
      </c>
      <c r="BH297" t="s">
        <v>66</v>
      </c>
      <c r="BI297">
        <v>0</v>
      </c>
      <c r="BJ297" t="s">
        <v>66</v>
      </c>
      <c r="BK297" t="s">
        <v>88</v>
      </c>
      <c r="BL297" t="s">
        <v>66</v>
      </c>
      <c r="BM297" t="s">
        <v>159</v>
      </c>
    </row>
    <row r="298" spans="1:65" x14ac:dyDescent="0.25">
      <c r="A298">
        <v>296</v>
      </c>
      <c r="B298" t="s">
        <v>625</v>
      </c>
      <c r="C298" t="s">
        <v>68</v>
      </c>
      <c r="D298" s="1">
        <v>46204</v>
      </c>
      <c r="E298" t="s">
        <v>626</v>
      </c>
      <c r="F298" t="s">
        <v>68</v>
      </c>
      <c r="G298" t="s">
        <v>69</v>
      </c>
      <c r="H298" t="s">
        <v>70</v>
      </c>
      <c r="I298" t="s">
        <v>71</v>
      </c>
      <c r="J298" t="s">
        <v>72</v>
      </c>
      <c r="K298" t="s">
        <v>73</v>
      </c>
      <c r="L298" t="s">
        <v>74</v>
      </c>
      <c r="M298" t="s">
        <v>627</v>
      </c>
      <c r="N298" t="s">
        <v>111</v>
      </c>
      <c r="O298" t="s">
        <v>628</v>
      </c>
      <c r="P298" t="s">
        <v>629</v>
      </c>
      <c r="Q298" t="s">
        <v>630</v>
      </c>
      <c r="R298" s="1">
        <v>46206</v>
      </c>
      <c r="S298" t="s">
        <v>628</v>
      </c>
      <c r="T298" t="s">
        <v>631</v>
      </c>
      <c r="U298" t="s">
        <v>632</v>
      </c>
      <c r="V298" t="s">
        <v>66</v>
      </c>
      <c r="W298" t="s">
        <v>66</v>
      </c>
      <c r="X298">
        <v>243600</v>
      </c>
      <c r="Y298">
        <v>26796</v>
      </c>
      <c r="Z298">
        <v>67500</v>
      </c>
      <c r="AA298">
        <v>7425</v>
      </c>
      <c r="AB298">
        <v>270396</v>
      </c>
      <c r="AC298">
        <v>1</v>
      </c>
      <c r="AD298" t="s">
        <v>82</v>
      </c>
      <c r="AE298">
        <v>1</v>
      </c>
      <c r="AF298" t="s">
        <v>312</v>
      </c>
      <c r="AG298">
        <f>IFERROR(VLOOKUP(AF298,[1]STOK!J:O,6,0),"")</f>
        <v>4</v>
      </c>
      <c r="AH298" s="2">
        <f t="shared" si="8"/>
        <v>0.25</v>
      </c>
      <c r="AI298" t="s">
        <v>312</v>
      </c>
      <c r="AJ298" t="s">
        <v>313</v>
      </c>
      <c r="AK298" t="s">
        <v>314</v>
      </c>
      <c r="AL298" t="s">
        <v>86</v>
      </c>
      <c r="AM298">
        <v>74925</v>
      </c>
      <c r="AN298">
        <f t="shared" si="9"/>
        <v>74925</v>
      </c>
      <c r="AO298" t="s">
        <v>66</v>
      </c>
      <c r="AP298">
        <v>0</v>
      </c>
      <c r="AQ298" t="s">
        <v>66</v>
      </c>
      <c r="AR298">
        <v>0</v>
      </c>
      <c r="AS298" t="s">
        <v>66</v>
      </c>
      <c r="AT298">
        <v>0</v>
      </c>
      <c r="AU298" t="s">
        <v>66</v>
      </c>
      <c r="AV298">
        <v>0</v>
      </c>
      <c r="AW298" t="s">
        <v>66</v>
      </c>
      <c r="AX298">
        <v>0</v>
      </c>
      <c r="AY298" t="s">
        <v>66</v>
      </c>
      <c r="AZ298">
        <v>0</v>
      </c>
      <c r="BA298" t="s">
        <v>66</v>
      </c>
      <c r="BB298">
        <v>0</v>
      </c>
      <c r="BC298">
        <v>0</v>
      </c>
      <c r="BD298">
        <v>74925</v>
      </c>
      <c r="BE298">
        <v>60292.27</v>
      </c>
      <c r="BF298">
        <v>0</v>
      </c>
      <c r="BG298" t="s">
        <v>87</v>
      </c>
      <c r="BH298" t="s">
        <v>66</v>
      </c>
      <c r="BI298">
        <v>0</v>
      </c>
      <c r="BJ298" t="s">
        <v>66</v>
      </c>
      <c r="BK298" t="s">
        <v>88</v>
      </c>
      <c r="BL298" t="s">
        <v>66</v>
      </c>
      <c r="BM298" t="s">
        <v>159</v>
      </c>
    </row>
    <row r="299" spans="1:65" x14ac:dyDescent="0.25">
      <c r="A299">
        <v>297</v>
      </c>
      <c r="B299" t="s">
        <v>636</v>
      </c>
      <c r="C299" t="s">
        <v>66</v>
      </c>
      <c r="D299" s="1">
        <v>46205</v>
      </c>
      <c r="E299" t="s">
        <v>637</v>
      </c>
      <c r="F299" t="s">
        <v>68</v>
      </c>
      <c r="G299" t="s">
        <v>69</v>
      </c>
      <c r="H299" t="s">
        <v>70</v>
      </c>
      <c r="I299" t="s">
        <v>71</v>
      </c>
      <c r="J299" t="s">
        <v>72</v>
      </c>
      <c r="K299" t="s">
        <v>73</v>
      </c>
      <c r="L299" t="s">
        <v>74</v>
      </c>
      <c r="M299" t="s">
        <v>638</v>
      </c>
      <c r="N299" t="s">
        <v>111</v>
      </c>
      <c r="O299" t="s">
        <v>639</v>
      </c>
      <c r="P299" t="s">
        <v>640</v>
      </c>
      <c r="Q299" t="s">
        <v>641</v>
      </c>
      <c r="R299" s="1">
        <v>46207</v>
      </c>
      <c r="S299" t="s">
        <v>642</v>
      </c>
      <c r="T299" t="s">
        <v>643</v>
      </c>
      <c r="U299" t="s">
        <v>644</v>
      </c>
      <c r="V299" t="s">
        <v>66</v>
      </c>
      <c r="W299" t="s">
        <v>66</v>
      </c>
      <c r="X299">
        <v>487450.5</v>
      </c>
      <c r="Y299">
        <v>53619.56</v>
      </c>
      <c r="Z299">
        <v>22089</v>
      </c>
      <c r="AA299">
        <v>2429.79</v>
      </c>
      <c r="AB299">
        <v>541070.06000000006</v>
      </c>
      <c r="AC299">
        <v>3</v>
      </c>
      <c r="AD299" t="s">
        <v>82</v>
      </c>
      <c r="AE299">
        <v>3</v>
      </c>
      <c r="AF299" t="s">
        <v>262</v>
      </c>
      <c r="AG299">
        <f>IFERROR(VLOOKUP(AF299,[1]STOK!J:O,6,0),"")</f>
        <v>24</v>
      </c>
      <c r="AH299" s="2">
        <f t="shared" si="8"/>
        <v>0.125</v>
      </c>
      <c r="AI299" t="s">
        <v>262</v>
      </c>
      <c r="AJ299" t="s">
        <v>263</v>
      </c>
      <c r="AK299" t="s">
        <v>264</v>
      </c>
      <c r="AL299" t="s">
        <v>86</v>
      </c>
      <c r="AM299">
        <v>8214</v>
      </c>
      <c r="AN299">
        <f t="shared" si="9"/>
        <v>8172.93</v>
      </c>
      <c r="AO299" t="s">
        <v>66</v>
      </c>
      <c r="AP299">
        <v>0.5</v>
      </c>
      <c r="AQ299" t="s">
        <v>66</v>
      </c>
      <c r="AR299">
        <v>0</v>
      </c>
      <c r="AS299" t="s">
        <v>66</v>
      </c>
      <c r="AT299">
        <v>0</v>
      </c>
      <c r="AU299" t="s">
        <v>66</v>
      </c>
      <c r="AV299">
        <v>0</v>
      </c>
      <c r="AW299" t="s">
        <v>66</v>
      </c>
      <c r="AX299">
        <v>0</v>
      </c>
      <c r="AY299" t="s">
        <v>66</v>
      </c>
      <c r="AZ299">
        <v>0</v>
      </c>
      <c r="BA299" t="s">
        <v>66</v>
      </c>
      <c r="BB299">
        <v>0</v>
      </c>
      <c r="BC299">
        <v>0</v>
      </c>
      <c r="BD299">
        <v>24518.79</v>
      </c>
      <c r="BE299">
        <v>6693.78</v>
      </c>
      <c r="BF299">
        <v>0</v>
      </c>
      <c r="BG299" t="s">
        <v>87</v>
      </c>
      <c r="BH299" t="s">
        <v>66</v>
      </c>
      <c r="BI299">
        <v>0</v>
      </c>
      <c r="BJ299" t="s">
        <v>66</v>
      </c>
      <c r="BK299" t="s">
        <v>88</v>
      </c>
      <c r="BL299" t="s">
        <v>66</v>
      </c>
      <c r="BM299" t="s">
        <v>159</v>
      </c>
    </row>
    <row r="300" spans="1:65" x14ac:dyDescent="0.25">
      <c r="A300">
        <v>298</v>
      </c>
      <c r="B300" t="s">
        <v>636</v>
      </c>
      <c r="C300" t="s">
        <v>66</v>
      </c>
      <c r="D300" s="1">
        <v>46205</v>
      </c>
      <c r="E300" t="s">
        <v>637</v>
      </c>
      <c r="F300" t="s">
        <v>68</v>
      </c>
      <c r="G300" t="s">
        <v>69</v>
      </c>
      <c r="H300" t="s">
        <v>70</v>
      </c>
      <c r="I300" t="s">
        <v>71</v>
      </c>
      <c r="J300" t="s">
        <v>72</v>
      </c>
      <c r="K300" t="s">
        <v>73</v>
      </c>
      <c r="L300" t="s">
        <v>74</v>
      </c>
      <c r="M300" t="s">
        <v>638</v>
      </c>
      <c r="N300" t="s">
        <v>111</v>
      </c>
      <c r="O300" t="s">
        <v>639</v>
      </c>
      <c r="P300" t="s">
        <v>640</v>
      </c>
      <c r="Q300" t="s">
        <v>641</v>
      </c>
      <c r="R300" s="1">
        <v>46207</v>
      </c>
      <c r="S300" t="s">
        <v>642</v>
      </c>
      <c r="T300" t="s">
        <v>643</v>
      </c>
      <c r="U300" t="s">
        <v>644</v>
      </c>
      <c r="V300" t="s">
        <v>66</v>
      </c>
      <c r="W300" t="s">
        <v>66</v>
      </c>
      <c r="X300">
        <v>487450.5</v>
      </c>
      <c r="Y300">
        <v>53619.56</v>
      </c>
      <c r="Z300">
        <v>44178</v>
      </c>
      <c r="AA300">
        <v>4859.58</v>
      </c>
      <c r="AB300">
        <v>541070.06000000006</v>
      </c>
      <c r="AC300">
        <v>6</v>
      </c>
      <c r="AD300" t="s">
        <v>82</v>
      </c>
      <c r="AE300">
        <v>6</v>
      </c>
      <c r="AF300" t="s">
        <v>265</v>
      </c>
      <c r="AG300">
        <f>IFERROR(VLOOKUP(AF300,[1]STOK!J:O,6,0),"")</f>
        <v>24</v>
      </c>
      <c r="AH300" s="2">
        <f t="shared" si="8"/>
        <v>0.25</v>
      </c>
      <c r="AI300" t="s">
        <v>265</v>
      </c>
      <c r="AJ300" t="s">
        <v>266</v>
      </c>
      <c r="AK300" t="s">
        <v>267</v>
      </c>
      <c r="AL300" t="s">
        <v>86</v>
      </c>
      <c r="AM300">
        <v>8214</v>
      </c>
      <c r="AN300">
        <f t="shared" si="9"/>
        <v>8172.93</v>
      </c>
      <c r="AO300" t="s">
        <v>66</v>
      </c>
      <c r="AP300">
        <v>0.5</v>
      </c>
      <c r="AQ300" t="s">
        <v>66</v>
      </c>
      <c r="AR300">
        <v>0</v>
      </c>
      <c r="AS300" t="s">
        <v>66</v>
      </c>
      <c r="AT300">
        <v>0</v>
      </c>
      <c r="AU300" t="s">
        <v>66</v>
      </c>
      <c r="AV300">
        <v>0</v>
      </c>
      <c r="AW300" t="s">
        <v>66</v>
      </c>
      <c r="AX300">
        <v>0</v>
      </c>
      <c r="AY300" t="s">
        <v>66</v>
      </c>
      <c r="AZ300">
        <v>0</v>
      </c>
      <c r="BA300" t="s">
        <v>66</v>
      </c>
      <c r="BB300">
        <v>0</v>
      </c>
      <c r="BC300">
        <v>0</v>
      </c>
      <c r="BD300">
        <v>49037.58</v>
      </c>
      <c r="BE300">
        <v>6661.46</v>
      </c>
      <c r="BF300">
        <v>0</v>
      </c>
      <c r="BG300" t="s">
        <v>87</v>
      </c>
      <c r="BH300" t="s">
        <v>66</v>
      </c>
      <c r="BI300">
        <v>0</v>
      </c>
      <c r="BJ300" t="s">
        <v>66</v>
      </c>
      <c r="BK300" t="s">
        <v>88</v>
      </c>
      <c r="BL300" t="s">
        <v>66</v>
      </c>
      <c r="BM300" t="s">
        <v>159</v>
      </c>
    </row>
    <row r="301" spans="1:65" x14ac:dyDescent="0.25">
      <c r="A301">
        <v>299</v>
      </c>
      <c r="B301" t="s">
        <v>636</v>
      </c>
      <c r="C301" t="s">
        <v>66</v>
      </c>
      <c r="D301" s="1">
        <v>46205</v>
      </c>
      <c r="E301" t="s">
        <v>637</v>
      </c>
      <c r="F301" t="s">
        <v>68</v>
      </c>
      <c r="G301" t="s">
        <v>69</v>
      </c>
      <c r="H301" t="s">
        <v>70</v>
      </c>
      <c r="I301" t="s">
        <v>71</v>
      </c>
      <c r="J301" t="s">
        <v>72</v>
      </c>
      <c r="K301" t="s">
        <v>73</v>
      </c>
      <c r="L301" t="s">
        <v>74</v>
      </c>
      <c r="M301" t="s">
        <v>638</v>
      </c>
      <c r="N301" t="s">
        <v>111</v>
      </c>
      <c r="O301" t="s">
        <v>639</v>
      </c>
      <c r="P301" t="s">
        <v>640</v>
      </c>
      <c r="Q301" t="s">
        <v>641</v>
      </c>
      <c r="R301" s="1">
        <v>46207</v>
      </c>
      <c r="S301" t="s">
        <v>642</v>
      </c>
      <c r="T301" t="s">
        <v>643</v>
      </c>
      <c r="U301" t="s">
        <v>644</v>
      </c>
      <c r="V301" t="s">
        <v>66</v>
      </c>
      <c r="W301" t="s">
        <v>66</v>
      </c>
      <c r="X301">
        <v>487450.5</v>
      </c>
      <c r="Y301">
        <v>53619.56</v>
      </c>
      <c r="Z301">
        <v>60297</v>
      </c>
      <c r="AA301">
        <v>6632.67</v>
      </c>
      <c r="AB301">
        <v>541070.06000000006</v>
      </c>
      <c r="AC301">
        <v>6</v>
      </c>
      <c r="AD301" t="s">
        <v>82</v>
      </c>
      <c r="AE301">
        <v>6</v>
      </c>
      <c r="AF301" t="s">
        <v>166</v>
      </c>
      <c r="AG301">
        <f>IFERROR(VLOOKUP(AF301,[1]STOK!J:O,6,0),"")</f>
        <v>24</v>
      </c>
      <c r="AH301" s="2">
        <f t="shared" si="8"/>
        <v>0.25</v>
      </c>
      <c r="AI301" t="s">
        <v>166</v>
      </c>
      <c r="AJ301" t="s">
        <v>167</v>
      </c>
      <c r="AK301" t="s">
        <v>168</v>
      </c>
      <c r="AL301" t="s">
        <v>86</v>
      </c>
      <c r="AM301">
        <v>11211</v>
      </c>
      <c r="AN301">
        <f t="shared" si="9"/>
        <v>11154.945</v>
      </c>
      <c r="AO301" t="s">
        <v>66</v>
      </c>
      <c r="AP301">
        <v>0.5</v>
      </c>
      <c r="AQ301" t="s">
        <v>66</v>
      </c>
      <c r="AR301">
        <v>0</v>
      </c>
      <c r="AS301" t="s">
        <v>66</v>
      </c>
      <c r="AT301">
        <v>0</v>
      </c>
      <c r="AU301" t="s">
        <v>66</v>
      </c>
      <c r="AV301">
        <v>0</v>
      </c>
      <c r="AW301" t="s">
        <v>66</v>
      </c>
      <c r="AX301">
        <v>0</v>
      </c>
      <c r="AY301" t="s">
        <v>66</v>
      </c>
      <c r="AZ301">
        <v>0</v>
      </c>
      <c r="BA301" t="s">
        <v>66</v>
      </c>
      <c r="BB301">
        <v>0</v>
      </c>
      <c r="BC301">
        <v>0</v>
      </c>
      <c r="BD301">
        <v>66929.67</v>
      </c>
      <c r="BE301">
        <v>8326.0300000000007</v>
      </c>
      <c r="BF301">
        <v>0</v>
      </c>
      <c r="BG301" t="s">
        <v>87</v>
      </c>
      <c r="BH301" t="s">
        <v>66</v>
      </c>
      <c r="BI301">
        <v>0</v>
      </c>
      <c r="BJ301" t="s">
        <v>66</v>
      </c>
      <c r="BK301" t="s">
        <v>88</v>
      </c>
      <c r="BL301" t="s">
        <v>66</v>
      </c>
      <c r="BM301" t="s">
        <v>159</v>
      </c>
    </row>
    <row r="302" spans="1:65" x14ac:dyDescent="0.25">
      <c r="A302">
        <v>300</v>
      </c>
      <c r="B302" t="s">
        <v>636</v>
      </c>
      <c r="C302" t="s">
        <v>66</v>
      </c>
      <c r="D302" s="1">
        <v>46205</v>
      </c>
      <c r="E302" t="s">
        <v>637</v>
      </c>
      <c r="F302" t="s">
        <v>68</v>
      </c>
      <c r="G302" t="s">
        <v>69</v>
      </c>
      <c r="H302" t="s">
        <v>70</v>
      </c>
      <c r="I302" t="s">
        <v>71</v>
      </c>
      <c r="J302" t="s">
        <v>72</v>
      </c>
      <c r="K302" t="s">
        <v>73</v>
      </c>
      <c r="L302" t="s">
        <v>74</v>
      </c>
      <c r="M302" t="s">
        <v>638</v>
      </c>
      <c r="N302" t="s">
        <v>111</v>
      </c>
      <c r="O302" t="s">
        <v>639</v>
      </c>
      <c r="P302" t="s">
        <v>640</v>
      </c>
      <c r="Q302" t="s">
        <v>641</v>
      </c>
      <c r="R302" s="1">
        <v>46207</v>
      </c>
      <c r="S302" t="s">
        <v>642</v>
      </c>
      <c r="T302" t="s">
        <v>643</v>
      </c>
      <c r="U302" t="s">
        <v>644</v>
      </c>
      <c r="V302" t="s">
        <v>66</v>
      </c>
      <c r="W302" t="s">
        <v>66</v>
      </c>
      <c r="X302">
        <v>487450.5</v>
      </c>
      <c r="Y302">
        <v>53619.56</v>
      </c>
      <c r="Z302">
        <v>23581.5</v>
      </c>
      <c r="AA302">
        <v>2593.9699999999998</v>
      </c>
      <c r="AB302">
        <v>541070.06000000006</v>
      </c>
      <c r="AC302">
        <v>3</v>
      </c>
      <c r="AD302" t="s">
        <v>82</v>
      </c>
      <c r="AE302">
        <v>3</v>
      </c>
      <c r="AF302" t="s">
        <v>248</v>
      </c>
      <c r="AG302">
        <f>IFERROR(VLOOKUP(AF302,[1]STOK!J:O,6,0),"")</f>
        <v>24</v>
      </c>
      <c r="AH302" s="2">
        <f t="shared" si="8"/>
        <v>0.125</v>
      </c>
      <c r="AI302" t="s">
        <v>248</v>
      </c>
      <c r="AJ302" t="s">
        <v>249</v>
      </c>
      <c r="AK302" t="s">
        <v>250</v>
      </c>
      <c r="AL302" t="s">
        <v>86</v>
      </c>
      <c r="AM302">
        <v>8769</v>
      </c>
      <c r="AN302">
        <f t="shared" si="9"/>
        <v>8725.1566666666677</v>
      </c>
      <c r="AO302" t="s">
        <v>66</v>
      </c>
      <c r="AP302">
        <v>0.5</v>
      </c>
      <c r="AQ302" t="s">
        <v>66</v>
      </c>
      <c r="AR302">
        <v>0</v>
      </c>
      <c r="AS302" t="s">
        <v>66</v>
      </c>
      <c r="AT302">
        <v>0</v>
      </c>
      <c r="AU302" t="s">
        <v>66</v>
      </c>
      <c r="AV302">
        <v>0</v>
      </c>
      <c r="AW302" t="s">
        <v>66</v>
      </c>
      <c r="AX302">
        <v>0</v>
      </c>
      <c r="AY302" t="s">
        <v>66</v>
      </c>
      <c r="AZ302">
        <v>0</v>
      </c>
      <c r="BA302" t="s">
        <v>66</v>
      </c>
      <c r="BB302">
        <v>0</v>
      </c>
      <c r="BC302">
        <v>0</v>
      </c>
      <c r="BD302">
        <v>26175.47</v>
      </c>
      <c r="BE302">
        <v>7032.04</v>
      </c>
      <c r="BF302">
        <v>0</v>
      </c>
      <c r="BG302" t="s">
        <v>87</v>
      </c>
      <c r="BH302" t="s">
        <v>66</v>
      </c>
      <c r="BI302">
        <v>0</v>
      </c>
      <c r="BJ302" t="s">
        <v>66</v>
      </c>
      <c r="BK302" t="s">
        <v>88</v>
      </c>
      <c r="BL302" t="s">
        <v>66</v>
      </c>
      <c r="BM302" t="s">
        <v>159</v>
      </c>
    </row>
    <row r="303" spans="1:65" x14ac:dyDescent="0.25">
      <c r="A303">
        <v>301</v>
      </c>
      <c r="B303" t="s">
        <v>636</v>
      </c>
      <c r="C303" t="s">
        <v>66</v>
      </c>
      <c r="D303" s="1">
        <v>46205</v>
      </c>
      <c r="E303" t="s">
        <v>637</v>
      </c>
      <c r="F303" t="s">
        <v>68</v>
      </c>
      <c r="G303" t="s">
        <v>69</v>
      </c>
      <c r="H303" t="s">
        <v>70</v>
      </c>
      <c r="I303" t="s">
        <v>71</v>
      </c>
      <c r="J303" t="s">
        <v>72</v>
      </c>
      <c r="K303" t="s">
        <v>73</v>
      </c>
      <c r="L303" t="s">
        <v>74</v>
      </c>
      <c r="M303" t="s">
        <v>638</v>
      </c>
      <c r="N303" t="s">
        <v>111</v>
      </c>
      <c r="O303" t="s">
        <v>639</v>
      </c>
      <c r="P303" t="s">
        <v>640</v>
      </c>
      <c r="Q303" t="s">
        <v>641</v>
      </c>
      <c r="R303" s="1">
        <v>46207</v>
      </c>
      <c r="S303" t="s">
        <v>642</v>
      </c>
      <c r="T303" t="s">
        <v>643</v>
      </c>
      <c r="U303" t="s">
        <v>644</v>
      </c>
      <c r="V303" t="s">
        <v>66</v>
      </c>
      <c r="W303" t="s">
        <v>66</v>
      </c>
      <c r="X303">
        <v>487450.5</v>
      </c>
      <c r="Y303">
        <v>53619.56</v>
      </c>
      <c r="Z303">
        <v>98505</v>
      </c>
      <c r="AA303">
        <v>10835.55</v>
      </c>
      <c r="AB303">
        <v>541070.06000000006</v>
      </c>
      <c r="AC303">
        <v>6</v>
      </c>
      <c r="AD303" t="s">
        <v>82</v>
      </c>
      <c r="AE303">
        <v>6</v>
      </c>
      <c r="AF303" t="s">
        <v>205</v>
      </c>
      <c r="AG303">
        <f>IFERROR(VLOOKUP(AF303,[1]STOK!J:O,6,0),"")</f>
        <v>24</v>
      </c>
      <c r="AH303" s="2">
        <f t="shared" si="8"/>
        <v>0.25</v>
      </c>
      <c r="AI303" t="s">
        <v>205</v>
      </c>
      <c r="AJ303" t="s">
        <v>206</v>
      </c>
      <c r="AK303" t="s">
        <v>207</v>
      </c>
      <c r="AL303" t="s">
        <v>86</v>
      </c>
      <c r="AM303">
        <v>18315</v>
      </c>
      <c r="AN303">
        <f t="shared" si="9"/>
        <v>18223.424999999999</v>
      </c>
      <c r="AO303" t="s">
        <v>66</v>
      </c>
      <c r="AP303">
        <v>0.5</v>
      </c>
      <c r="AQ303" t="s">
        <v>66</v>
      </c>
      <c r="AR303">
        <v>0</v>
      </c>
      <c r="AS303" t="s">
        <v>66</v>
      </c>
      <c r="AT303">
        <v>0</v>
      </c>
      <c r="AU303" t="s">
        <v>66</v>
      </c>
      <c r="AV303">
        <v>0</v>
      </c>
      <c r="AW303" t="s">
        <v>66</v>
      </c>
      <c r="AX303">
        <v>0</v>
      </c>
      <c r="AY303" t="s">
        <v>66</v>
      </c>
      <c r="AZ303">
        <v>0</v>
      </c>
      <c r="BA303" t="s">
        <v>66</v>
      </c>
      <c r="BB303">
        <v>0</v>
      </c>
      <c r="BC303">
        <v>0</v>
      </c>
      <c r="BD303">
        <v>109340.55</v>
      </c>
      <c r="BE303">
        <v>14865.57</v>
      </c>
      <c r="BF303">
        <v>0</v>
      </c>
      <c r="BG303" t="s">
        <v>87</v>
      </c>
      <c r="BH303" t="s">
        <v>66</v>
      </c>
      <c r="BI303">
        <v>0</v>
      </c>
      <c r="BJ303" t="s">
        <v>66</v>
      </c>
      <c r="BK303" t="s">
        <v>88</v>
      </c>
      <c r="BL303" t="s">
        <v>66</v>
      </c>
      <c r="BM303" t="s">
        <v>159</v>
      </c>
    </row>
    <row r="304" spans="1:65" x14ac:dyDescent="0.25">
      <c r="A304">
        <v>302</v>
      </c>
      <c r="B304" t="s">
        <v>636</v>
      </c>
      <c r="C304" t="s">
        <v>66</v>
      </c>
      <c r="D304" s="1">
        <v>46205</v>
      </c>
      <c r="E304" t="s">
        <v>637</v>
      </c>
      <c r="F304" t="s">
        <v>68</v>
      </c>
      <c r="G304" t="s">
        <v>69</v>
      </c>
      <c r="H304" t="s">
        <v>70</v>
      </c>
      <c r="I304" t="s">
        <v>71</v>
      </c>
      <c r="J304" t="s">
        <v>72</v>
      </c>
      <c r="K304" t="s">
        <v>73</v>
      </c>
      <c r="L304" t="s">
        <v>74</v>
      </c>
      <c r="M304" t="s">
        <v>638</v>
      </c>
      <c r="N304" t="s">
        <v>111</v>
      </c>
      <c r="O304" t="s">
        <v>639</v>
      </c>
      <c r="P304" t="s">
        <v>640</v>
      </c>
      <c r="Q304" t="s">
        <v>641</v>
      </c>
      <c r="R304" s="1">
        <v>46207</v>
      </c>
      <c r="S304" t="s">
        <v>642</v>
      </c>
      <c r="T304" t="s">
        <v>643</v>
      </c>
      <c r="U304" t="s">
        <v>644</v>
      </c>
      <c r="V304" t="s">
        <v>66</v>
      </c>
      <c r="W304" t="s">
        <v>66</v>
      </c>
      <c r="X304">
        <v>487450.5</v>
      </c>
      <c r="Y304">
        <v>53619.56</v>
      </c>
      <c r="Z304">
        <v>238800</v>
      </c>
      <c r="AA304">
        <v>26268</v>
      </c>
      <c r="AB304">
        <v>541070.06000000006</v>
      </c>
      <c r="AC304">
        <v>1</v>
      </c>
      <c r="AD304" t="s">
        <v>134</v>
      </c>
      <c r="AE304">
        <v>12</v>
      </c>
      <c r="AF304" t="s">
        <v>290</v>
      </c>
      <c r="AG304">
        <f>IFERROR(VLOOKUP(AF304,[1]STOK!J:O,6,0),"")</f>
        <v>12</v>
      </c>
      <c r="AH304" s="2">
        <f t="shared" si="8"/>
        <v>1</v>
      </c>
      <c r="AI304" t="s">
        <v>290</v>
      </c>
      <c r="AJ304" t="s">
        <v>291</v>
      </c>
      <c r="AK304" t="s">
        <v>292</v>
      </c>
      <c r="AL304" t="s">
        <v>86</v>
      </c>
      <c r="AM304">
        <v>266400</v>
      </c>
      <c r="AN304">
        <f t="shared" si="9"/>
        <v>265068</v>
      </c>
      <c r="AO304" t="s">
        <v>66</v>
      </c>
      <c r="AP304">
        <v>0.5</v>
      </c>
      <c r="AQ304" t="s">
        <v>66</v>
      </c>
      <c r="AR304">
        <v>0</v>
      </c>
      <c r="AS304" t="s">
        <v>66</v>
      </c>
      <c r="AT304">
        <v>0</v>
      </c>
      <c r="AU304" t="s">
        <v>66</v>
      </c>
      <c r="AV304">
        <v>0</v>
      </c>
      <c r="AW304" t="s">
        <v>66</v>
      </c>
      <c r="AX304">
        <v>0</v>
      </c>
      <c r="AY304" t="s">
        <v>66</v>
      </c>
      <c r="AZ304">
        <v>0</v>
      </c>
      <c r="BA304" t="s">
        <v>66</v>
      </c>
      <c r="BB304">
        <v>0</v>
      </c>
      <c r="BC304">
        <v>0</v>
      </c>
      <c r="BD304">
        <v>265068</v>
      </c>
      <c r="BE304">
        <v>18106.89</v>
      </c>
      <c r="BF304">
        <v>0</v>
      </c>
      <c r="BG304" t="s">
        <v>87</v>
      </c>
      <c r="BH304" t="s">
        <v>66</v>
      </c>
      <c r="BI304">
        <v>0</v>
      </c>
      <c r="BJ304" t="s">
        <v>66</v>
      </c>
      <c r="BK304" t="s">
        <v>88</v>
      </c>
      <c r="BL304" t="s">
        <v>66</v>
      </c>
      <c r="BM304" t="s">
        <v>159</v>
      </c>
    </row>
    <row r="305" spans="1:65" x14ac:dyDescent="0.25">
      <c r="A305">
        <v>303</v>
      </c>
      <c r="B305" t="s">
        <v>645</v>
      </c>
      <c r="C305" t="s">
        <v>68</v>
      </c>
      <c r="D305" s="1">
        <v>46205</v>
      </c>
      <c r="E305" t="s">
        <v>646</v>
      </c>
      <c r="F305" t="s">
        <v>68</v>
      </c>
      <c r="G305" t="s">
        <v>295</v>
      </c>
      <c r="H305" t="s">
        <v>296</v>
      </c>
      <c r="I305" t="s">
        <v>71</v>
      </c>
      <c r="J305" t="s">
        <v>72</v>
      </c>
      <c r="K305" t="s">
        <v>73</v>
      </c>
      <c r="L305" t="s">
        <v>74</v>
      </c>
      <c r="M305" t="s">
        <v>647</v>
      </c>
      <c r="N305" t="s">
        <v>274</v>
      </c>
      <c r="O305" t="s">
        <v>648</v>
      </c>
      <c r="P305" t="s">
        <v>649</v>
      </c>
      <c r="Q305" t="s">
        <v>650</v>
      </c>
      <c r="R305" s="1">
        <v>46207</v>
      </c>
      <c r="S305" t="s">
        <v>278</v>
      </c>
      <c r="T305" t="s">
        <v>279</v>
      </c>
      <c r="U305" t="s">
        <v>280</v>
      </c>
      <c r="V305" t="s">
        <v>66</v>
      </c>
      <c r="W305" t="s">
        <v>66</v>
      </c>
      <c r="X305">
        <v>5580419</v>
      </c>
      <c r="Y305">
        <v>613846.09</v>
      </c>
      <c r="Z305">
        <v>390060</v>
      </c>
      <c r="AA305">
        <v>42906.6</v>
      </c>
      <c r="AB305">
        <v>6194265.0899999999</v>
      </c>
      <c r="AC305">
        <v>1</v>
      </c>
      <c r="AD305" t="s">
        <v>134</v>
      </c>
      <c r="AE305">
        <v>24</v>
      </c>
      <c r="AF305" t="s">
        <v>93</v>
      </c>
      <c r="AG305">
        <f>IFERROR(VLOOKUP(AF305,[1]STOK!J:O,6,0),"")</f>
        <v>24</v>
      </c>
      <c r="AH305" s="2">
        <f t="shared" si="8"/>
        <v>1</v>
      </c>
      <c r="AI305" t="s">
        <v>93</v>
      </c>
      <c r="AJ305" t="s">
        <v>94</v>
      </c>
      <c r="AK305" t="s">
        <v>95</v>
      </c>
      <c r="AL305" t="s">
        <v>86</v>
      </c>
      <c r="AM305">
        <v>439560</v>
      </c>
      <c r="AN305">
        <f t="shared" si="9"/>
        <v>432966.6</v>
      </c>
      <c r="AO305" t="s">
        <v>66</v>
      </c>
      <c r="AP305">
        <v>1.5</v>
      </c>
      <c r="AQ305" t="s">
        <v>66</v>
      </c>
      <c r="AR305">
        <v>0</v>
      </c>
      <c r="AS305" t="s">
        <v>66</v>
      </c>
      <c r="AT305">
        <v>0</v>
      </c>
      <c r="AU305" t="s">
        <v>66</v>
      </c>
      <c r="AV305">
        <v>0</v>
      </c>
      <c r="AW305" t="s">
        <v>66</v>
      </c>
      <c r="AX305">
        <v>0</v>
      </c>
      <c r="AY305" t="s">
        <v>66</v>
      </c>
      <c r="AZ305">
        <v>0</v>
      </c>
      <c r="BA305" t="s">
        <v>66</v>
      </c>
      <c r="BB305">
        <v>0</v>
      </c>
      <c r="BC305">
        <v>0</v>
      </c>
      <c r="BD305">
        <v>432966.6</v>
      </c>
      <c r="BE305">
        <v>14931.72</v>
      </c>
      <c r="BF305">
        <v>0</v>
      </c>
      <c r="BG305" t="s">
        <v>87</v>
      </c>
      <c r="BH305" t="s">
        <v>66</v>
      </c>
      <c r="BI305">
        <v>0</v>
      </c>
      <c r="BJ305" t="s">
        <v>66</v>
      </c>
      <c r="BK305" t="s">
        <v>88</v>
      </c>
      <c r="BL305" t="s">
        <v>66</v>
      </c>
      <c r="BM305" t="s">
        <v>159</v>
      </c>
    </row>
    <row r="306" spans="1:65" x14ac:dyDescent="0.25">
      <c r="A306">
        <v>304</v>
      </c>
      <c r="B306" t="s">
        <v>645</v>
      </c>
      <c r="C306" t="s">
        <v>68</v>
      </c>
      <c r="D306" s="1">
        <v>46205</v>
      </c>
      <c r="E306" t="s">
        <v>646</v>
      </c>
      <c r="F306" t="s">
        <v>68</v>
      </c>
      <c r="G306" t="s">
        <v>295</v>
      </c>
      <c r="H306" t="s">
        <v>296</v>
      </c>
      <c r="I306" t="s">
        <v>71</v>
      </c>
      <c r="J306" t="s">
        <v>72</v>
      </c>
      <c r="K306" t="s">
        <v>73</v>
      </c>
      <c r="L306" t="s">
        <v>74</v>
      </c>
      <c r="M306" t="s">
        <v>647</v>
      </c>
      <c r="N306" t="s">
        <v>274</v>
      </c>
      <c r="O306" t="s">
        <v>648</v>
      </c>
      <c r="P306" t="s">
        <v>649</v>
      </c>
      <c r="Q306" t="s">
        <v>650</v>
      </c>
      <c r="R306" s="1">
        <v>46207</v>
      </c>
      <c r="S306" t="s">
        <v>278</v>
      </c>
      <c r="T306" t="s">
        <v>279</v>
      </c>
      <c r="U306" t="s">
        <v>280</v>
      </c>
      <c r="V306" t="s">
        <v>66</v>
      </c>
      <c r="W306" t="s">
        <v>66</v>
      </c>
      <c r="X306">
        <v>5580419</v>
      </c>
      <c r="Y306">
        <v>613846.09</v>
      </c>
      <c r="Z306">
        <v>509836</v>
      </c>
      <c r="AA306">
        <v>56081.96</v>
      </c>
      <c r="AB306">
        <v>6194265.0899999999</v>
      </c>
      <c r="AC306">
        <v>1</v>
      </c>
      <c r="AD306" t="s">
        <v>134</v>
      </c>
      <c r="AE306">
        <v>4</v>
      </c>
      <c r="AF306" t="s">
        <v>651</v>
      </c>
      <c r="AG306">
        <f>IFERROR(VLOOKUP(AF306,[1]STOK!J:O,6,0),"")</f>
        <v>4</v>
      </c>
      <c r="AH306" s="2">
        <f t="shared" si="8"/>
        <v>1</v>
      </c>
      <c r="AI306" t="s">
        <v>651</v>
      </c>
      <c r="AJ306" t="s">
        <v>652</v>
      </c>
      <c r="AK306" t="s">
        <v>653</v>
      </c>
      <c r="AL306" t="s">
        <v>86</v>
      </c>
      <c r="AM306">
        <v>574536</v>
      </c>
      <c r="AN306">
        <f t="shared" si="9"/>
        <v>565917.96</v>
      </c>
      <c r="AO306" t="s">
        <v>66</v>
      </c>
      <c r="AP306">
        <v>1.5</v>
      </c>
      <c r="AQ306" t="s">
        <v>66</v>
      </c>
      <c r="AR306">
        <v>0</v>
      </c>
      <c r="AS306" t="s">
        <v>66</v>
      </c>
      <c r="AT306">
        <v>0</v>
      </c>
      <c r="AU306" t="s">
        <v>66</v>
      </c>
      <c r="AV306">
        <v>0</v>
      </c>
      <c r="AW306" t="s">
        <v>66</v>
      </c>
      <c r="AX306">
        <v>0</v>
      </c>
      <c r="AY306" t="s">
        <v>66</v>
      </c>
      <c r="AZ306">
        <v>0</v>
      </c>
      <c r="BA306" t="s">
        <v>66</v>
      </c>
      <c r="BB306">
        <v>0</v>
      </c>
      <c r="BC306">
        <v>0</v>
      </c>
      <c r="BD306">
        <v>565917.96</v>
      </c>
      <c r="BE306">
        <v>115711.44</v>
      </c>
      <c r="BF306">
        <v>0</v>
      </c>
      <c r="BG306" t="s">
        <v>87</v>
      </c>
      <c r="BH306" t="s">
        <v>66</v>
      </c>
      <c r="BI306">
        <v>0</v>
      </c>
      <c r="BJ306" t="s">
        <v>66</v>
      </c>
      <c r="BK306" t="s">
        <v>88</v>
      </c>
      <c r="BL306" t="s">
        <v>66</v>
      </c>
      <c r="BM306" t="s">
        <v>159</v>
      </c>
    </row>
    <row r="307" spans="1:65" x14ac:dyDescent="0.25">
      <c r="A307">
        <v>305</v>
      </c>
      <c r="B307" t="s">
        <v>645</v>
      </c>
      <c r="C307" t="s">
        <v>68</v>
      </c>
      <c r="D307" s="1">
        <v>46205</v>
      </c>
      <c r="E307" t="s">
        <v>646</v>
      </c>
      <c r="F307" t="s">
        <v>68</v>
      </c>
      <c r="G307" t="s">
        <v>295</v>
      </c>
      <c r="H307" t="s">
        <v>296</v>
      </c>
      <c r="I307" t="s">
        <v>71</v>
      </c>
      <c r="J307" t="s">
        <v>72</v>
      </c>
      <c r="K307" t="s">
        <v>73</v>
      </c>
      <c r="L307" t="s">
        <v>74</v>
      </c>
      <c r="M307" t="s">
        <v>647</v>
      </c>
      <c r="N307" t="s">
        <v>274</v>
      </c>
      <c r="O307" t="s">
        <v>648</v>
      </c>
      <c r="P307" t="s">
        <v>649</v>
      </c>
      <c r="Q307" t="s">
        <v>650</v>
      </c>
      <c r="R307" s="1">
        <v>46207</v>
      </c>
      <c r="S307" t="s">
        <v>278</v>
      </c>
      <c r="T307" t="s">
        <v>279</v>
      </c>
      <c r="U307" t="s">
        <v>280</v>
      </c>
      <c r="V307" t="s">
        <v>66</v>
      </c>
      <c r="W307" t="s">
        <v>66</v>
      </c>
      <c r="X307">
        <v>5580419</v>
      </c>
      <c r="Y307">
        <v>613846.09</v>
      </c>
      <c r="Z307">
        <v>509836</v>
      </c>
      <c r="AA307">
        <v>56081.96</v>
      </c>
      <c r="AB307">
        <v>6194265.0899999999</v>
      </c>
      <c r="AC307">
        <v>1</v>
      </c>
      <c r="AD307" t="s">
        <v>134</v>
      </c>
      <c r="AE307">
        <v>4</v>
      </c>
      <c r="AF307" t="s">
        <v>522</v>
      </c>
      <c r="AG307">
        <f>IFERROR(VLOOKUP(AF307,[1]STOK!J:O,6,0),"")</f>
        <v>4</v>
      </c>
      <c r="AH307" s="2">
        <f t="shared" si="8"/>
        <v>1</v>
      </c>
      <c r="AI307" t="s">
        <v>522</v>
      </c>
      <c r="AJ307" t="s">
        <v>523</v>
      </c>
      <c r="AK307" t="s">
        <v>524</v>
      </c>
      <c r="AL307" t="s">
        <v>86</v>
      </c>
      <c r="AM307">
        <v>574536</v>
      </c>
      <c r="AN307">
        <f t="shared" si="9"/>
        <v>565917.96</v>
      </c>
      <c r="AO307" t="s">
        <v>66</v>
      </c>
      <c r="AP307">
        <v>1.5</v>
      </c>
      <c r="AQ307" t="s">
        <v>66</v>
      </c>
      <c r="AR307">
        <v>0</v>
      </c>
      <c r="AS307" t="s">
        <v>66</v>
      </c>
      <c r="AT307">
        <v>0</v>
      </c>
      <c r="AU307" t="s">
        <v>66</v>
      </c>
      <c r="AV307">
        <v>0</v>
      </c>
      <c r="AW307" t="s">
        <v>66</v>
      </c>
      <c r="AX307">
        <v>0</v>
      </c>
      <c r="AY307" t="s">
        <v>66</v>
      </c>
      <c r="AZ307">
        <v>0</v>
      </c>
      <c r="BA307" t="s">
        <v>66</v>
      </c>
      <c r="BB307">
        <v>0</v>
      </c>
      <c r="BC307">
        <v>0</v>
      </c>
      <c r="BD307">
        <v>565917.96</v>
      </c>
      <c r="BE307">
        <v>113522.8</v>
      </c>
      <c r="BF307">
        <v>0</v>
      </c>
      <c r="BG307" t="s">
        <v>87</v>
      </c>
      <c r="BH307" t="s">
        <v>66</v>
      </c>
      <c r="BI307">
        <v>0</v>
      </c>
      <c r="BJ307" t="s">
        <v>66</v>
      </c>
      <c r="BK307" t="s">
        <v>88</v>
      </c>
      <c r="BL307" t="s">
        <v>66</v>
      </c>
      <c r="BM307" t="s">
        <v>159</v>
      </c>
    </row>
    <row r="308" spans="1:65" x14ac:dyDescent="0.25">
      <c r="A308">
        <v>306</v>
      </c>
      <c r="B308" t="s">
        <v>645</v>
      </c>
      <c r="C308" t="s">
        <v>68</v>
      </c>
      <c r="D308" s="1">
        <v>46205</v>
      </c>
      <c r="E308" t="s">
        <v>646</v>
      </c>
      <c r="F308" t="s">
        <v>68</v>
      </c>
      <c r="G308" t="s">
        <v>295</v>
      </c>
      <c r="H308" t="s">
        <v>296</v>
      </c>
      <c r="I308" t="s">
        <v>71</v>
      </c>
      <c r="J308" t="s">
        <v>72</v>
      </c>
      <c r="K308" t="s">
        <v>73</v>
      </c>
      <c r="L308" t="s">
        <v>74</v>
      </c>
      <c r="M308" t="s">
        <v>647</v>
      </c>
      <c r="N308" t="s">
        <v>274</v>
      </c>
      <c r="O308" t="s">
        <v>648</v>
      </c>
      <c r="P308" t="s">
        <v>649</v>
      </c>
      <c r="Q308" t="s">
        <v>650</v>
      </c>
      <c r="R308" s="1">
        <v>46207</v>
      </c>
      <c r="S308" t="s">
        <v>278</v>
      </c>
      <c r="T308" t="s">
        <v>279</v>
      </c>
      <c r="U308" t="s">
        <v>280</v>
      </c>
      <c r="V308" t="s">
        <v>66</v>
      </c>
      <c r="W308" t="s">
        <v>66</v>
      </c>
      <c r="X308">
        <v>5580419</v>
      </c>
      <c r="Y308">
        <v>613846.09</v>
      </c>
      <c r="Z308">
        <v>917232</v>
      </c>
      <c r="AA308">
        <v>100895.52</v>
      </c>
      <c r="AB308">
        <v>6194265.0899999999</v>
      </c>
      <c r="AC308">
        <v>2</v>
      </c>
      <c r="AD308" t="s">
        <v>134</v>
      </c>
      <c r="AE308">
        <v>48</v>
      </c>
      <c r="AF308" t="s">
        <v>281</v>
      </c>
      <c r="AG308">
        <f>IFERROR(VLOOKUP(AF308,[1]STOK!J:O,6,0),"")</f>
        <v>24</v>
      </c>
      <c r="AH308" s="2">
        <f t="shared" si="8"/>
        <v>2</v>
      </c>
      <c r="AI308" t="s">
        <v>281</v>
      </c>
      <c r="AJ308" t="s">
        <v>282</v>
      </c>
      <c r="AK308" t="s">
        <v>283</v>
      </c>
      <c r="AL308" t="s">
        <v>86</v>
      </c>
      <c r="AM308">
        <v>516816</v>
      </c>
      <c r="AN308">
        <f t="shared" si="9"/>
        <v>509063.76</v>
      </c>
      <c r="AO308" t="s">
        <v>66</v>
      </c>
      <c r="AP308">
        <v>1.5</v>
      </c>
      <c r="AQ308" t="s">
        <v>66</v>
      </c>
      <c r="AR308">
        <v>0</v>
      </c>
      <c r="AS308" t="s">
        <v>66</v>
      </c>
      <c r="AT308">
        <v>0</v>
      </c>
      <c r="AU308" t="s">
        <v>66</v>
      </c>
      <c r="AV308">
        <v>0</v>
      </c>
      <c r="AW308" t="s">
        <v>66</v>
      </c>
      <c r="AX308">
        <v>0</v>
      </c>
      <c r="AY308" t="s">
        <v>66</v>
      </c>
      <c r="AZ308">
        <v>0</v>
      </c>
      <c r="BA308" t="s">
        <v>66</v>
      </c>
      <c r="BB308">
        <v>0</v>
      </c>
      <c r="BC308">
        <v>0</v>
      </c>
      <c r="BD308">
        <v>1018127.52</v>
      </c>
      <c r="BE308">
        <v>17290.14</v>
      </c>
      <c r="BF308">
        <v>0</v>
      </c>
      <c r="BG308" t="s">
        <v>87</v>
      </c>
      <c r="BH308" t="s">
        <v>66</v>
      </c>
      <c r="BI308">
        <v>0</v>
      </c>
      <c r="BJ308" t="s">
        <v>66</v>
      </c>
      <c r="BK308" t="s">
        <v>88</v>
      </c>
      <c r="BL308" t="s">
        <v>66</v>
      </c>
      <c r="BM308" t="s">
        <v>159</v>
      </c>
    </row>
    <row r="309" spans="1:65" x14ac:dyDescent="0.25">
      <c r="A309">
        <v>307</v>
      </c>
      <c r="B309" t="s">
        <v>645</v>
      </c>
      <c r="C309" t="s">
        <v>68</v>
      </c>
      <c r="D309" s="1">
        <v>46205</v>
      </c>
      <c r="E309" t="s">
        <v>646</v>
      </c>
      <c r="F309" t="s">
        <v>68</v>
      </c>
      <c r="G309" t="s">
        <v>295</v>
      </c>
      <c r="H309" t="s">
        <v>296</v>
      </c>
      <c r="I309" t="s">
        <v>71</v>
      </c>
      <c r="J309" t="s">
        <v>72</v>
      </c>
      <c r="K309" t="s">
        <v>73</v>
      </c>
      <c r="L309" t="s">
        <v>74</v>
      </c>
      <c r="M309" t="s">
        <v>647</v>
      </c>
      <c r="N309" t="s">
        <v>274</v>
      </c>
      <c r="O309" t="s">
        <v>648</v>
      </c>
      <c r="P309" t="s">
        <v>649</v>
      </c>
      <c r="Q309" t="s">
        <v>650</v>
      </c>
      <c r="R309" s="1">
        <v>46207</v>
      </c>
      <c r="S309" t="s">
        <v>278</v>
      </c>
      <c r="T309" t="s">
        <v>279</v>
      </c>
      <c r="U309" t="s">
        <v>280</v>
      </c>
      <c r="V309" t="s">
        <v>66</v>
      </c>
      <c r="W309" t="s">
        <v>66</v>
      </c>
      <c r="X309">
        <v>5580419</v>
      </c>
      <c r="Y309">
        <v>613846.09</v>
      </c>
      <c r="Z309">
        <v>687924</v>
      </c>
      <c r="AA309">
        <v>75671.64</v>
      </c>
      <c r="AB309">
        <v>6194265.0899999999</v>
      </c>
      <c r="AC309">
        <v>3</v>
      </c>
      <c r="AD309" t="s">
        <v>134</v>
      </c>
      <c r="AE309">
        <v>36</v>
      </c>
      <c r="AF309" t="s">
        <v>284</v>
      </c>
      <c r="AG309">
        <f>IFERROR(VLOOKUP(AF309,[1]STOK!J:O,6,0),"")</f>
        <v>12</v>
      </c>
      <c r="AH309" s="2">
        <f t="shared" si="8"/>
        <v>3</v>
      </c>
      <c r="AI309" t="s">
        <v>284</v>
      </c>
      <c r="AJ309" t="s">
        <v>285</v>
      </c>
      <c r="AK309" t="s">
        <v>286</v>
      </c>
      <c r="AL309" t="s">
        <v>86</v>
      </c>
      <c r="AM309">
        <v>258408</v>
      </c>
      <c r="AN309">
        <f t="shared" si="9"/>
        <v>254531.88</v>
      </c>
      <c r="AO309" t="s">
        <v>66</v>
      </c>
      <c r="AP309">
        <v>1.5</v>
      </c>
      <c r="AQ309" t="s">
        <v>66</v>
      </c>
      <c r="AR309">
        <v>0</v>
      </c>
      <c r="AS309" t="s">
        <v>66</v>
      </c>
      <c r="AT309">
        <v>0</v>
      </c>
      <c r="AU309" t="s">
        <v>66</v>
      </c>
      <c r="AV309">
        <v>0</v>
      </c>
      <c r="AW309" t="s">
        <v>66</v>
      </c>
      <c r="AX309">
        <v>0</v>
      </c>
      <c r="AY309" t="s">
        <v>66</v>
      </c>
      <c r="AZ309">
        <v>0</v>
      </c>
      <c r="BA309" t="s">
        <v>66</v>
      </c>
      <c r="BB309">
        <v>0</v>
      </c>
      <c r="BC309">
        <v>0</v>
      </c>
      <c r="BD309">
        <v>763595.64</v>
      </c>
      <c r="BE309">
        <v>17371.36</v>
      </c>
      <c r="BF309">
        <v>0</v>
      </c>
      <c r="BG309" t="s">
        <v>87</v>
      </c>
      <c r="BH309" t="s">
        <v>66</v>
      </c>
      <c r="BI309">
        <v>0</v>
      </c>
      <c r="BJ309" t="s">
        <v>66</v>
      </c>
      <c r="BK309" t="s">
        <v>88</v>
      </c>
      <c r="BL309" t="s">
        <v>66</v>
      </c>
      <c r="BM309" t="s">
        <v>159</v>
      </c>
    </row>
    <row r="310" spans="1:65" x14ac:dyDescent="0.25">
      <c r="A310">
        <v>308</v>
      </c>
      <c r="B310" t="s">
        <v>645</v>
      </c>
      <c r="C310" t="s">
        <v>68</v>
      </c>
      <c r="D310" s="1">
        <v>46205</v>
      </c>
      <c r="E310" t="s">
        <v>646</v>
      </c>
      <c r="F310" t="s">
        <v>68</v>
      </c>
      <c r="G310" t="s">
        <v>295</v>
      </c>
      <c r="H310" t="s">
        <v>296</v>
      </c>
      <c r="I310" t="s">
        <v>71</v>
      </c>
      <c r="J310" t="s">
        <v>72</v>
      </c>
      <c r="K310" t="s">
        <v>73</v>
      </c>
      <c r="L310" t="s">
        <v>74</v>
      </c>
      <c r="M310" t="s">
        <v>647</v>
      </c>
      <c r="N310" t="s">
        <v>274</v>
      </c>
      <c r="O310" t="s">
        <v>648</v>
      </c>
      <c r="P310" t="s">
        <v>649</v>
      </c>
      <c r="Q310" t="s">
        <v>650</v>
      </c>
      <c r="R310" s="1">
        <v>46207</v>
      </c>
      <c r="S310" t="s">
        <v>278</v>
      </c>
      <c r="T310" t="s">
        <v>279</v>
      </c>
      <c r="U310" t="s">
        <v>280</v>
      </c>
      <c r="V310" t="s">
        <v>66</v>
      </c>
      <c r="W310" t="s">
        <v>66</v>
      </c>
      <c r="X310">
        <v>5580419</v>
      </c>
      <c r="Y310">
        <v>613846.09</v>
      </c>
      <c r="Z310">
        <v>687924</v>
      </c>
      <c r="AA310">
        <v>75671.64</v>
      </c>
      <c r="AB310">
        <v>6194265.0899999999</v>
      </c>
      <c r="AC310">
        <v>3</v>
      </c>
      <c r="AD310" t="s">
        <v>134</v>
      </c>
      <c r="AE310">
        <v>36</v>
      </c>
      <c r="AF310" t="s">
        <v>287</v>
      </c>
      <c r="AG310">
        <f>IFERROR(VLOOKUP(AF310,[1]STOK!J:O,6,0),"")</f>
        <v>12</v>
      </c>
      <c r="AH310" s="2">
        <f t="shared" si="8"/>
        <v>3</v>
      </c>
      <c r="AI310" t="s">
        <v>287</v>
      </c>
      <c r="AJ310" t="s">
        <v>288</v>
      </c>
      <c r="AK310" t="s">
        <v>289</v>
      </c>
      <c r="AL310" t="s">
        <v>86</v>
      </c>
      <c r="AM310">
        <v>258408</v>
      </c>
      <c r="AN310">
        <f t="shared" si="9"/>
        <v>254531.88</v>
      </c>
      <c r="AO310" t="s">
        <v>66</v>
      </c>
      <c r="AP310">
        <v>1.5</v>
      </c>
      <c r="AQ310" t="s">
        <v>66</v>
      </c>
      <c r="AR310">
        <v>0</v>
      </c>
      <c r="AS310" t="s">
        <v>66</v>
      </c>
      <c r="AT310">
        <v>0</v>
      </c>
      <c r="AU310" t="s">
        <v>66</v>
      </c>
      <c r="AV310">
        <v>0</v>
      </c>
      <c r="AW310" t="s">
        <v>66</v>
      </c>
      <c r="AX310">
        <v>0</v>
      </c>
      <c r="AY310" t="s">
        <v>66</v>
      </c>
      <c r="AZ310">
        <v>0</v>
      </c>
      <c r="BA310" t="s">
        <v>66</v>
      </c>
      <c r="BB310">
        <v>0</v>
      </c>
      <c r="BC310">
        <v>0</v>
      </c>
      <c r="BD310">
        <v>763595.64</v>
      </c>
      <c r="BE310">
        <v>17422.02</v>
      </c>
      <c r="BF310">
        <v>0</v>
      </c>
      <c r="BG310" t="s">
        <v>87</v>
      </c>
      <c r="BH310" t="s">
        <v>66</v>
      </c>
      <c r="BI310">
        <v>0</v>
      </c>
      <c r="BJ310" t="s">
        <v>66</v>
      </c>
      <c r="BK310" t="s">
        <v>88</v>
      </c>
      <c r="BL310" t="s">
        <v>66</v>
      </c>
      <c r="BM310" t="s">
        <v>159</v>
      </c>
    </row>
    <row r="311" spans="1:65" x14ac:dyDescent="0.25">
      <c r="A311">
        <v>309</v>
      </c>
      <c r="B311" t="s">
        <v>645</v>
      </c>
      <c r="C311" t="s">
        <v>68</v>
      </c>
      <c r="D311" s="1">
        <v>46205</v>
      </c>
      <c r="E311" t="s">
        <v>646</v>
      </c>
      <c r="F311" t="s">
        <v>68</v>
      </c>
      <c r="G311" t="s">
        <v>295</v>
      </c>
      <c r="H311" t="s">
        <v>296</v>
      </c>
      <c r="I311" t="s">
        <v>71</v>
      </c>
      <c r="J311" t="s">
        <v>72</v>
      </c>
      <c r="K311" t="s">
        <v>73</v>
      </c>
      <c r="L311" t="s">
        <v>74</v>
      </c>
      <c r="M311" t="s">
        <v>647</v>
      </c>
      <c r="N311" t="s">
        <v>274</v>
      </c>
      <c r="O311" t="s">
        <v>648</v>
      </c>
      <c r="P311" t="s">
        <v>649</v>
      </c>
      <c r="Q311" t="s">
        <v>650</v>
      </c>
      <c r="R311" s="1">
        <v>46207</v>
      </c>
      <c r="S311" t="s">
        <v>278</v>
      </c>
      <c r="T311" t="s">
        <v>279</v>
      </c>
      <c r="U311" t="s">
        <v>280</v>
      </c>
      <c r="V311" t="s">
        <v>66</v>
      </c>
      <c r="W311" t="s">
        <v>66</v>
      </c>
      <c r="X311">
        <v>5580419</v>
      </c>
      <c r="Y311">
        <v>613846.09</v>
      </c>
      <c r="Z311">
        <v>252948</v>
      </c>
      <c r="AA311">
        <v>27824.28</v>
      </c>
      <c r="AB311">
        <v>6194265.0899999999</v>
      </c>
      <c r="AC311">
        <v>24</v>
      </c>
      <c r="AD311" t="s">
        <v>82</v>
      </c>
      <c r="AE311">
        <v>24</v>
      </c>
      <c r="AF311" t="s">
        <v>578</v>
      </c>
      <c r="AG311">
        <f>IFERROR(VLOOKUP(AF311,[1]STOK!J:O,6,0),"")</f>
        <v>12</v>
      </c>
      <c r="AH311" s="2">
        <f t="shared" si="8"/>
        <v>2</v>
      </c>
      <c r="AI311" t="s">
        <v>578</v>
      </c>
      <c r="AJ311" t="s">
        <v>579</v>
      </c>
      <c r="AK311" t="s">
        <v>580</v>
      </c>
      <c r="AL311" t="s">
        <v>86</v>
      </c>
      <c r="AM311">
        <v>11877</v>
      </c>
      <c r="AN311">
        <f t="shared" si="9"/>
        <v>11698.845000000001</v>
      </c>
      <c r="AO311" t="s">
        <v>66</v>
      </c>
      <c r="AP311">
        <v>1.5</v>
      </c>
      <c r="AQ311" t="s">
        <v>66</v>
      </c>
      <c r="AR311">
        <v>0</v>
      </c>
      <c r="AS311" t="s">
        <v>66</v>
      </c>
      <c r="AT311">
        <v>0</v>
      </c>
      <c r="AU311" t="s">
        <v>66</v>
      </c>
      <c r="AV311">
        <v>0</v>
      </c>
      <c r="AW311" t="s">
        <v>66</v>
      </c>
      <c r="AX311">
        <v>0</v>
      </c>
      <c r="AY311" t="s">
        <v>66</v>
      </c>
      <c r="AZ311">
        <v>0</v>
      </c>
      <c r="BA311" t="s">
        <v>66</v>
      </c>
      <c r="BB311">
        <v>0</v>
      </c>
      <c r="BC311">
        <v>0</v>
      </c>
      <c r="BD311">
        <v>280772.28000000003</v>
      </c>
      <c r="BE311">
        <v>9646.18</v>
      </c>
      <c r="BF311">
        <v>0</v>
      </c>
      <c r="BG311" t="s">
        <v>87</v>
      </c>
      <c r="BH311" t="s">
        <v>66</v>
      </c>
      <c r="BI311">
        <v>0</v>
      </c>
      <c r="BJ311" t="s">
        <v>66</v>
      </c>
      <c r="BK311" t="s">
        <v>88</v>
      </c>
      <c r="BL311" t="s">
        <v>66</v>
      </c>
      <c r="BM311" t="s">
        <v>159</v>
      </c>
    </row>
    <row r="312" spans="1:65" x14ac:dyDescent="0.25">
      <c r="A312">
        <v>310</v>
      </c>
      <c r="B312" t="s">
        <v>645</v>
      </c>
      <c r="C312" t="s">
        <v>68</v>
      </c>
      <c r="D312" s="1">
        <v>46205</v>
      </c>
      <c r="E312" t="s">
        <v>646</v>
      </c>
      <c r="F312" t="s">
        <v>68</v>
      </c>
      <c r="G312" t="s">
        <v>295</v>
      </c>
      <c r="H312" t="s">
        <v>296</v>
      </c>
      <c r="I312" t="s">
        <v>71</v>
      </c>
      <c r="J312" t="s">
        <v>72</v>
      </c>
      <c r="K312" t="s">
        <v>73</v>
      </c>
      <c r="L312" t="s">
        <v>74</v>
      </c>
      <c r="M312" t="s">
        <v>647</v>
      </c>
      <c r="N312" t="s">
        <v>274</v>
      </c>
      <c r="O312" t="s">
        <v>648</v>
      </c>
      <c r="P312" t="s">
        <v>649</v>
      </c>
      <c r="Q312" t="s">
        <v>650</v>
      </c>
      <c r="R312" s="1">
        <v>46207</v>
      </c>
      <c r="S312" t="s">
        <v>278</v>
      </c>
      <c r="T312" t="s">
        <v>279</v>
      </c>
      <c r="U312" t="s">
        <v>280</v>
      </c>
      <c r="V312" t="s">
        <v>66</v>
      </c>
      <c r="W312" t="s">
        <v>66</v>
      </c>
      <c r="X312">
        <v>5580419</v>
      </c>
      <c r="Y312">
        <v>613846.09</v>
      </c>
      <c r="Z312">
        <v>945600</v>
      </c>
      <c r="AA312">
        <v>104016</v>
      </c>
      <c r="AB312">
        <v>6194265.0899999999</v>
      </c>
      <c r="AC312">
        <v>4</v>
      </c>
      <c r="AD312" t="s">
        <v>134</v>
      </c>
      <c r="AE312">
        <v>48</v>
      </c>
      <c r="AF312" t="s">
        <v>290</v>
      </c>
      <c r="AG312">
        <f>IFERROR(VLOOKUP(AF312,[1]STOK!J:O,6,0),"")</f>
        <v>12</v>
      </c>
      <c r="AH312" s="2">
        <f t="shared" si="8"/>
        <v>4</v>
      </c>
      <c r="AI312" t="s">
        <v>290</v>
      </c>
      <c r="AJ312" t="s">
        <v>291</v>
      </c>
      <c r="AK312" t="s">
        <v>292</v>
      </c>
      <c r="AL312" t="s">
        <v>86</v>
      </c>
      <c r="AM312">
        <v>266400</v>
      </c>
      <c r="AN312">
        <f t="shared" si="9"/>
        <v>262404</v>
      </c>
      <c r="AO312" t="s">
        <v>66</v>
      </c>
      <c r="AP312">
        <v>1.5</v>
      </c>
      <c r="AQ312" t="s">
        <v>66</v>
      </c>
      <c r="AR312">
        <v>0</v>
      </c>
      <c r="AS312" t="s">
        <v>66</v>
      </c>
      <c r="AT312">
        <v>0</v>
      </c>
      <c r="AU312" t="s">
        <v>66</v>
      </c>
      <c r="AV312">
        <v>0</v>
      </c>
      <c r="AW312" t="s">
        <v>66</v>
      </c>
      <c r="AX312">
        <v>0</v>
      </c>
      <c r="AY312" t="s">
        <v>66</v>
      </c>
      <c r="AZ312">
        <v>0</v>
      </c>
      <c r="BA312" t="s">
        <v>66</v>
      </c>
      <c r="BB312">
        <v>0</v>
      </c>
      <c r="BC312">
        <v>0</v>
      </c>
      <c r="BD312">
        <v>1049616</v>
      </c>
      <c r="BE312">
        <v>18106.89</v>
      </c>
      <c r="BF312">
        <v>0</v>
      </c>
      <c r="BG312" t="s">
        <v>87</v>
      </c>
      <c r="BH312" t="s">
        <v>66</v>
      </c>
      <c r="BI312">
        <v>0</v>
      </c>
      <c r="BJ312" t="s">
        <v>66</v>
      </c>
      <c r="BK312" t="s">
        <v>88</v>
      </c>
      <c r="BL312" t="s">
        <v>66</v>
      </c>
      <c r="BM312" t="s">
        <v>159</v>
      </c>
    </row>
    <row r="313" spans="1:65" x14ac:dyDescent="0.25">
      <c r="A313">
        <v>311</v>
      </c>
      <c r="B313" t="s">
        <v>645</v>
      </c>
      <c r="C313" t="s">
        <v>68</v>
      </c>
      <c r="D313" s="1">
        <v>46205</v>
      </c>
      <c r="E313" t="s">
        <v>646</v>
      </c>
      <c r="F313" t="s">
        <v>68</v>
      </c>
      <c r="G313" t="s">
        <v>295</v>
      </c>
      <c r="H313" t="s">
        <v>296</v>
      </c>
      <c r="I313" t="s">
        <v>71</v>
      </c>
      <c r="J313" t="s">
        <v>72</v>
      </c>
      <c r="K313" t="s">
        <v>73</v>
      </c>
      <c r="L313" t="s">
        <v>74</v>
      </c>
      <c r="M313" t="s">
        <v>647</v>
      </c>
      <c r="N313" t="s">
        <v>274</v>
      </c>
      <c r="O313" t="s">
        <v>648</v>
      </c>
      <c r="P313" t="s">
        <v>649</v>
      </c>
      <c r="Q313" t="s">
        <v>650</v>
      </c>
      <c r="R313" s="1">
        <v>46207</v>
      </c>
      <c r="S313" t="s">
        <v>278</v>
      </c>
      <c r="T313" t="s">
        <v>279</v>
      </c>
      <c r="U313" t="s">
        <v>280</v>
      </c>
      <c r="V313" t="s">
        <v>66</v>
      </c>
      <c r="W313" t="s">
        <v>66</v>
      </c>
      <c r="X313">
        <v>5580419</v>
      </c>
      <c r="Y313">
        <v>613846.09</v>
      </c>
      <c r="Z313">
        <v>679059</v>
      </c>
      <c r="AA313">
        <v>74696.490000000005</v>
      </c>
      <c r="AB313">
        <v>6194265.0899999999</v>
      </c>
      <c r="AC313">
        <v>3</v>
      </c>
      <c r="AD313" t="s">
        <v>134</v>
      </c>
      <c r="AE313">
        <v>18</v>
      </c>
      <c r="AF313" t="s">
        <v>138</v>
      </c>
      <c r="AG313">
        <f>IFERROR(VLOOKUP(AF313,[1]STOK!J:O,6,0),"")</f>
        <v>6</v>
      </c>
      <c r="AH313" s="2">
        <f t="shared" si="8"/>
        <v>3</v>
      </c>
      <c r="AI313" t="s">
        <v>138</v>
      </c>
      <c r="AJ313" t="s">
        <v>139</v>
      </c>
      <c r="AK313" t="s">
        <v>140</v>
      </c>
      <c r="AL313" t="s">
        <v>86</v>
      </c>
      <c r="AM313">
        <v>255078</v>
      </c>
      <c r="AN313">
        <f t="shared" si="9"/>
        <v>251251.83</v>
      </c>
      <c r="AO313" t="s">
        <v>66</v>
      </c>
      <c r="AP313">
        <v>1.5</v>
      </c>
      <c r="AQ313" t="s">
        <v>66</v>
      </c>
      <c r="AR313">
        <v>0</v>
      </c>
      <c r="AS313" t="s">
        <v>66</v>
      </c>
      <c r="AT313">
        <v>0</v>
      </c>
      <c r="AU313" t="s">
        <v>66</v>
      </c>
      <c r="AV313">
        <v>0</v>
      </c>
      <c r="AW313" t="s">
        <v>66</v>
      </c>
      <c r="AX313">
        <v>0</v>
      </c>
      <c r="AY313" t="s">
        <v>66</v>
      </c>
      <c r="AZ313">
        <v>0</v>
      </c>
      <c r="BA313" t="s">
        <v>66</v>
      </c>
      <c r="BB313">
        <v>0</v>
      </c>
      <c r="BC313">
        <v>0</v>
      </c>
      <c r="BD313">
        <v>753755.49</v>
      </c>
      <c r="BE313">
        <v>34660.32</v>
      </c>
      <c r="BF313">
        <v>0</v>
      </c>
      <c r="BG313" t="s">
        <v>87</v>
      </c>
      <c r="BH313" t="s">
        <v>66</v>
      </c>
      <c r="BI313">
        <v>0</v>
      </c>
      <c r="BJ313" t="s">
        <v>66</v>
      </c>
      <c r="BK313" t="s">
        <v>88</v>
      </c>
      <c r="BL313" t="s">
        <v>66</v>
      </c>
      <c r="BM313" t="s">
        <v>159</v>
      </c>
    </row>
    <row r="314" spans="1:65" x14ac:dyDescent="0.25">
      <c r="A314">
        <v>312</v>
      </c>
      <c r="B314" t="s">
        <v>654</v>
      </c>
      <c r="C314" t="s">
        <v>655</v>
      </c>
      <c r="D314" s="1">
        <v>46205</v>
      </c>
      <c r="E314" t="s">
        <v>656</v>
      </c>
      <c r="F314" t="s">
        <v>68</v>
      </c>
      <c r="G314" t="s">
        <v>295</v>
      </c>
      <c r="H314" t="s">
        <v>296</v>
      </c>
      <c r="I314" t="s">
        <v>71</v>
      </c>
      <c r="J314" t="s">
        <v>72</v>
      </c>
      <c r="K314" t="s">
        <v>73</v>
      </c>
      <c r="L314" t="s">
        <v>74</v>
      </c>
      <c r="M314" t="s">
        <v>657</v>
      </c>
      <c r="N314" t="s">
        <v>111</v>
      </c>
      <c r="O314" t="s">
        <v>658</v>
      </c>
      <c r="P314" t="s">
        <v>659</v>
      </c>
      <c r="Q314" t="s">
        <v>660</v>
      </c>
      <c r="R314" s="1">
        <v>46206</v>
      </c>
      <c r="S314" t="s">
        <v>661</v>
      </c>
      <c r="T314" t="s">
        <v>662</v>
      </c>
      <c r="U314" t="s">
        <v>663</v>
      </c>
      <c r="V314" t="s">
        <v>66</v>
      </c>
      <c r="W314" t="s">
        <v>66</v>
      </c>
      <c r="X314">
        <v>424200</v>
      </c>
      <c r="Y314">
        <v>46662</v>
      </c>
      <c r="Z314">
        <v>116400</v>
      </c>
      <c r="AA314">
        <v>12804</v>
      </c>
      <c r="AB314">
        <v>470862</v>
      </c>
      <c r="AC314">
        <v>6</v>
      </c>
      <c r="AD314" t="s">
        <v>82</v>
      </c>
      <c r="AE314">
        <v>6</v>
      </c>
      <c r="AF314" t="s">
        <v>470</v>
      </c>
      <c r="AG314">
        <f>IFERROR(VLOOKUP(AF314,[1]STOK!J:O,6,0),"")</f>
        <v>24</v>
      </c>
      <c r="AH314" s="2">
        <f t="shared" si="8"/>
        <v>0.25</v>
      </c>
      <c r="AI314" t="s">
        <v>470</v>
      </c>
      <c r="AJ314" t="s">
        <v>471</v>
      </c>
      <c r="AK314" t="s">
        <v>472</v>
      </c>
      <c r="AL314" t="s">
        <v>86</v>
      </c>
      <c r="AM314">
        <v>21534</v>
      </c>
      <c r="AN314">
        <f t="shared" si="9"/>
        <v>21534</v>
      </c>
      <c r="AO314" t="s">
        <v>66</v>
      </c>
      <c r="AP314">
        <v>0</v>
      </c>
      <c r="AQ314" t="s">
        <v>66</v>
      </c>
      <c r="AR314">
        <v>0</v>
      </c>
      <c r="AS314" t="s">
        <v>66</v>
      </c>
      <c r="AT314">
        <v>0</v>
      </c>
      <c r="AU314" t="s">
        <v>66</v>
      </c>
      <c r="AV314">
        <v>0</v>
      </c>
      <c r="AW314" t="s">
        <v>66</v>
      </c>
      <c r="AX314">
        <v>0</v>
      </c>
      <c r="AY314" t="s">
        <v>66</v>
      </c>
      <c r="AZ314">
        <v>0</v>
      </c>
      <c r="BA314" t="s">
        <v>66</v>
      </c>
      <c r="BB314">
        <v>0</v>
      </c>
      <c r="BC314">
        <v>0</v>
      </c>
      <c r="BD314">
        <v>129204</v>
      </c>
      <c r="BE314">
        <v>17421.95</v>
      </c>
      <c r="BF314">
        <v>0</v>
      </c>
      <c r="BG314" t="s">
        <v>87</v>
      </c>
      <c r="BH314" t="s">
        <v>66</v>
      </c>
      <c r="BI314">
        <v>0</v>
      </c>
      <c r="BJ314" t="s">
        <v>66</v>
      </c>
      <c r="BK314" t="s">
        <v>88</v>
      </c>
      <c r="BL314" t="s">
        <v>66</v>
      </c>
      <c r="BM314" t="s">
        <v>159</v>
      </c>
    </row>
    <row r="315" spans="1:65" x14ac:dyDescent="0.25">
      <c r="A315">
        <v>313</v>
      </c>
      <c r="B315" t="s">
        <v>654</v>
      </c>
      <c r="C315" t="s">
        <v>655</v>
      </c>
      <c r="D315" s="1">
        <v>46205</v>
      </c>
      <c r="E315" t="s">
        <v>656</v>
      </c>
      <c r="F315" t="s">
        <v>68</v>
      </c>
      <c r="G315" t="s">
        <v>295</v>
      </c>
      <c r="H315" t="s">
        <v>296</v>
      </c>
      <c r="I315" t="s">
        <v>71</v>
      </c>
      <c r="J315" t="s">
        <v>72</v>
      </c>
      <c r="K315" t="s">
        <v>73</v>
      </c>
      <c r="L315" t="s">
        <v>74</v>
      </c>
      <c r="M315" t="s">
        <v>657</v>
      </c>
      <c r="N315" t="s">
        <v>111</v>
      </c>
      <c r="O315" t="s">
        <v>658</v>
      </c>
      <c r="P315" t="s">
        <v>659</v>
      </c>
      <c r="Q315" t="s">
        <v>660</v>
      </c>
      <c r="R315" s="1">
        <v>46206</v>
      </c>
      <c r="S315" t="s">
        <v>661</v>
      </c>
      <c r="T315" t="s">
        <v>662</v>
      </c>
      <c r="U315" t="s">
        <v>663</v>
      </c>
      <c r="V315" t="s">
        <v>66</v>
      </c>
      <c r="W315" t="s">
        <v>66</v>
      </c>
      <c r="X315">
        <v>424200</v>
      </c>
      <c r="Y315">
        <v>46662</v>
      </c>
      <c r="Z315">
        <v>135000</v>
      </c>
      <c r="AA315">
        <v>14850</v>
      </c>
      <c r="AB315">
        <v>470862</v>
      </c>
      <c r="AC315">
        <v>2</v>
      </c>
      <c r="AD315" t="s">
        <v>82</v>
      </c>
      <c r="AE315">
        <v>2</v>
      </c>
      <c r="AF315" t="s">
        <v>476</v>
      </c>
      <c r="AG315">
        <f>IFERROR(VLOOKUP(AF315,[1]STOK!J:O,6,0),"")</f>
        <v>4</v>
      </c>
      <c r="AH315" s="2">
        <f t="shared" si="8"/>
        <v>0.5</v>
      </c>
      <c r="AI315" t="s">
        <v>476</v>
      </c>
      <c r="AJ315" t="s">
        <v>477</v>
      </c>
      <c r="AK315" t="s">
        <v>478</v>
      </c>
      <c r="AL315" t="s">
        <v>86</v>
      </c>
      <c r="AM315">
        <v>74925</v>
      </c>
      <c r="AN315">
        <f t="shared" si="9"/>
        <v>74925</v>
      </c>
      <c r="AO315" t="s">
        <v>66</v>
      </c>
      <c r="AP315">
        <v>0</v>
      </c>
      <c r="AQ315" t="s">
        <v>66</v>
      </c>
      <c r="AR315">
        <v>0</v>
      </c>
      <c r="AS315" t="s">
        <v>66</v>
      </c>
      <c r="AT315">
        <v>0</v>
      </c>
      <c r="AU315" t="s">
        <v>66</v>
      </c>
      <c r="AV315">
        <v>0</v>
      </c>
      <c r="AW315" t="s">
        <v>66</v>
      </c>
      <c r="AX315">
        <v>0</v>
      </c>
      <c r="AY315" t="s">
        <v>66</v>
      </c>
      <c r="AZ315">
        <v>0</v>
      </c>
      <c r="BA315" t="s">
        <v>66</v>
      </c>
      <c r="BB315">
        <v>0</v>
      </c>
      <c r="BC315">
        <v>0</v>
      </c>
      <c r="BD315">
        <v>149850</v>
      </c>
      <c r="BE315">
        <v>60164.42</v>
      </c>
      <c r="BF315">
        <v>0</v>
      </c>
      <c r="BG315" t="s">
        <v>87</v>
      </c>
      <c r="BH315" t="s">
        <v>66</v>
      </c>
      <c r="BI315">
        <v>0</v>
      </c>
      <c r="BJ315" t="s">
        <v>66</v>
      </c>
      <c r="BK315" t="s">
        <v>88</v>
      </c>
      <c r="BL315" t="s">
        <v>66</v>
      </c>
      <c r="BM315" t="s">
        <v>159</v>
      </c>
    </row>
    <row r="316" spans="1:65" x14ac:dyDescent="0.25">
      <c r="A316">
        <v>314</v>
      </c>
      <c r="B316" t="s">
        <v>654</v>
      </c>
      <c r="C316" t="s">
        <v>655</v>
      </c>
      <c r="D316" s="1">
        <v>46205</v>
      </c>
      <c r="E316" t="s">
        <v>656</v>
      </c>
      <c r="F316" t="s">
        <v>68</v>
      </c>
      <c r="G316" t="s">
        <v>295</v>
      </c>
      <c r="H316" t="s">
        <v>296</v>
      </c>
      <c r="I316" t="s">
        <v>71</v>
      </c>
      <c r="J316" t="s">
        <v>72</v>
      </c>
      <c r="K316" t="s">
        <v>73</v>
      </c>
      <c r="L316" t="s">
        <v>74</v>
      </c>
      <c r="M316" t="s">
        <v>657</v>
      </c>
      <c r="N316" t="s">
        <v>111</v>
      </c>
      <c r="O316" t="s">
        <v>658</v>
      </c>
      <c r="P316" t="s">
        <v>659</v>
      </c>
      <c r="Q316" t="s">
        <v>660</v>
      </c>
      <c r="R316" s="1">
        <v>46206</v>
      </c>
      <c r="S316" t="s">
        <v>661</v>
      </c>
      <c r="T316" t="s">
        <v>662</v>
      </c>
      <c r="U316" t="s">
        <v>663</v>
      </c>
      <c r="V316" t="s">
        <v>66</v>
      </c>
      <c r="W316" t="s">
        <v>66</v>
      </c>
      <c r="X316">
        <v>424200</v>
      </c>
      <c r="Y316">
        <v>46662</v>
      </c>
      <c r="Z316">
        <v>172800</v>
      </c>
      <c r="AA316">
        <v>19008</v>
      </c>
      <c r="AB316">
        <v>470862</v>
      </c>
      <c r="AC316">
        <v>1</v>
      </c>
      <c r="AD316" t="s">
        <v>134</v>
      </c>
      <c r="AE316">
        <v>12</v>
      </c>
      <c r="AF316" t="s">
        <v>141</v>
      </c>
      <c r="AG316">
        <f>IFERROR(VLOOKUP(AF316,[1]STOK!J:O,6,0),"")</f>
        <v>12</v>
      </c>
      <c r="AH316" s="2">
        <f t="shared" si="8"/>
        <v>1</v>
      </c>
      <c r="AI316" t="s">
        <v>141</v>
      </c>
      <c r="AJ316" t="s">
        <v>142</v>
      </c>
      <c r="AK316" t="s">
        <v>143</v>
      </c>
      <c r="AL316" t="s">
        <v>86</v>
      </c>
      <c r="AM316">
        <v>191808</v>
      </c>
      <c r="AN316">
        <f t="shared" si="9"/>
        <v>191808</v>
      </c>
      <c r="AO316" t="s">
        <v>66</v>
      </c>
      <c r="AP316">
        <v>0</v>
      </c>
      <c r="AQ316" t="s">
        <v>66</v>
      </c>
      <c r="AR316">
        <v>0</v>
      </c>
      <c r="AS316" t="s">
        <v>66</v>
      </c>
      <c r="AT316">
        <v>0</v>
      </c>
      <c r="AU316" t="s">
        <v>66</v>
      </c>
      <c r="AV316">
        <v>0</v>
      </c>
      <c r="AW316" t="s">
        <v>66</v>
      </c>
      <c r="AX316">
        <v>0</v>
      </c>
      <c r="AY316" t="s">
        <v>66</v>
      </c>
      <c r="AZ316">
        <v>0</v>
      </c>
      <c r="BA316" t="s">
        <v>66</v>
      </c>
      <c r="BB316">
        <v>0</v>
      </c>
      <c r="BC316">
        <v>0</v>
      </c>
      <c r="BD316">
        <v>191808</v>
      </c>
      <c r="BE316">
        <v>13012.92</v>
      </c>
      <c r="BF316">
        <v>0</v>
      </c>
      <c r="BG316" t="s">
        <v>87</v>
      </c>
      <c r="BH316" t="s">
        <v>66</v>
      </c>
      <c r="BI316">
        <v>0</v>
      </c>
      <c r="BJ316" t="s">
        <v>66</v>
      </c>
      <c r="BK316" t="s">
        <v>88</v>
      </c>
      <c r="BL316" t="s">
        <v>66</v>
      </c>
      <c r="BM316" t="s">
        <v>159</v>
      </c>
    </row>
    <row r="317" spans="1:65" x14ac:dyDescent="0.25">
      <c r="A317">
        <v>315</v>
      </c>
      <c r="B317" t="s">
        <v>664</v>
      </c>
      <c r="C317" t="s">
        <v>68</v>
      </c>
      <c r="D317" s="1">
        <v>46205</v>
      </c>
      <c r="E317" t="s">
        <v>665</v>
      </c>
      <c r="F317" t="s">
        <v>68</v>
      </c>
      <c r="G317" t="s">
        <v>295</v>
      </c>
      <c r="H317" t="s">
        <v>296</v>
      </c>
      <c r="I317" t="s">
        <v>71</v>
      </c>
      <c r="J317" t="s">
        <v>72</v>
      </c>
      <c r="K317" t="s">
        <v>73</v>
      </c>
      <c r="L317" t="s">
        <v>74</v>
      </c>
      <c r="M317" t="s">
        <v>657</v>
      </c>
      <c r="N317" t="s">
        <v>111</v>
      </c>
      <c r="O317" t="s">
        <v>658</v>
      </c>
      <c r="P317" t="s">
        <v>659</v>
      </c>
      <c r="Q317" t="s">
        <v>666</v>
      </c>
      <c r="R317" s="1">
        <v>46207</v>
      </c>
      <c r="S317" t="s">
        <v>661</v>
      </c>
      <c r="T317" t="s">
        <v>662</v>
      </c>
      <c r="U317" t="s">
        <v>663</v>
      </c>
      <c r="V317" t="s">
        <v>66</v>
      </c>
      <c r="W317" t="s">
        <v>66</v>
      </c>
      <c r="X317">
        <v>1266900</v>
      </c>
      <c r="Y317">
        <v>139359</v>
      </c>
      <c r="Z317">
        <v>71100</v>
      </c>
      <c r="AA317">
        <v>7821</v>
      </c>
      <c r="AB317">
        <v>1406259</v>
      </c>
      <c r="AC317">
        <v>9</v>
      </c>
      <c r="AD317" t="s">
        <v>82</v>
      </c>
      <c r="AE317">
        <v>9</v>
      </c>
      <c r="AF317" t="s">
        <v>199</v>
      </c>
      <c r="AG317">
        <f>IFERROR(VLOOKUP(AF317,[1]STOK!J:O,6,0),"")</f>
        <v>24</v>
      </c>
      <c r="AH317" s="2">
        <f t="shared" si="8"/>
        <v>0.375</v>
      </c>
      <c r="AI317" t="s">
        <v>199</v>
      </c>
      <c r="AJ317" t="s">
        <v>200</v>
      </c>
      <c r="AK317" t="s">
        <v>201</v>
      </c>
      <c r="AL317" t="s">
        <v>86</v>
      </c>
      <c r="AM317">
        <v>8769</v>
      </c>
      <c r="AN317">
        <f t="shared" si="9"/>
        <v>8769</v>
      </c>
      <c r="AO317" t="s">
        <v>66</v>
      </c>
      <c r="AP317">
        <v>0</v>
      </c>
      <c r="AQ317" t="s">
        <v>66</v>
      </c>
      <c r="AR317">
        <v>0</v>
      </c>
      <c r="AS317" t="s">
        <v>66</v>
      </c>
      <c r="AT317">
        <v>0</v>
      </c>
      <c r="AU317" t="s">
        <v>66</v>
      </c>
      <c r="AV317">
        <v>0</v>
      </c>
      <c r="AW317" t="s">
        <v>66</v>
      </c>
      <c r="AX317">
        <v>0</v>
      </c>
      <c r="AY317" t="s">
        <v>66</v>
      </c>
      <c r="AZ317">
        <v>0</v>
      </c>
      <c r="BA317" t="s">
        <v>66</v>
      </c>
      <c r="BB317">
        <v>0</v>
      </c>
      <c r="BC317">
        <v>0</v>
      </c>
      <c r="BD317">
        <v>78921</v>
      </c>
      <c r="BE317">
        <v>7114.38</v>
      </c>
      <c r="BF317">
        <v>0</v>
      </c>
      <c r="BG317" t="s">
        <v>87</v>
      </c>
      <c r="BH317" t="s">
        <v>66</v>
      </c>
      <c r="BI317">
        <v>0</v>
      </c>
      <c r="BJ317" t="s">
        <v>66</v>
      </c>
      <c r="BK317" t="s">
        <v>88</v>
      </c>
      <c r="BL317" t="s">
        <v>66</v>
      </c>
      <c r="BM317" t="s">
        <v>159</v>
      </c>
    </row>
    <row r="318" spans="1:65" x14ac:dyDescent="0.25">
      <c r="A318">
        <v>316</v>
      </c>
      <c r="B318" t="s">
        <v>664</v>
      </c>
      <c r="C318" t="s">
        <v>68</v>
      </c>
      <c r="D318" s="1">
        <v>46205</v>
      </c>
      <c r="E318" t="s">
        <v>665</v>
      </c>
      <c r="F318" t="s">
        <v>68</v>
      </c>
      <c r="G318" t="s">
        <v>295</v>
      </c>
      <c r="H318" t="s">
        <v>296</v>
      </c>
      <c r="I318" t="s">
        <v>71</v>
      </c>
      <c r="J318" t="s">
        <v>72</v>
      </c>
      <c r="K318" t="s">
        <v>73</v>
      </c>
      <c r="L318" t="s">
        <v>74</v>
      </c>
      <c r="M318" t="s">
        <v>657</v>
      </c>
      <c r="N318" t="s">
        <v>111</v>
      </c>
      <c r="O318" t="s">
        <v>658</v>
      </c>
      <c r="P318" t="s">
        <v>659</v>
      </c>
      <c r="Q318" t="s">
        <v>666</v>
      </c>
      <c r="R318" s="1">
        <v>46207</v>
      </c>
      <c r="S318" t="s">
        <v>661</v>
      </c>
      <c r="T318" t="s">
        <v>662</v>
      </c>
      <c r="U318" t="s">
        <v>663</v>
      </c>
      <c r="V318" t="s">
        <v>66</v>
      </c>
      <c r="W318" t="s">
        <v>66</v>
      </c>
      <c r="X318">
        <v>1266900</v>
      </c>
      <c r="Y318">
        <v>139359</v>
      </c>
      <c r="Z318">
        <v>30600</v>
      </c>
      <c r="AA318">
        <v>3366</v>
      </c>
      <c r="AB318">
        <v>1406259</v>
      </c>
      <c r="AC318">
        <v>3</v>
      </c>
      <c r="AD318" t="s">
        <v>82</v>
      </c>
      <c r="AE318">
        <v>3</v>
      </c>
      <c r="AF318" t="s">
        <v>667</v>
      </c>
      <c r="AG318">
        <f>IFERROR(VLOOKUP(AF318,[1]STOK!J:O,6,0),"")</f>
        <v>24</v>
      </c>
      <c r="AH318" s="2">
        <f t="shared" si="8"/>
        <v>0.125</v>
      </c>
      <c r="AI318" t="s">
        <v>667</v>
      </c>
      <c r="AJ318" t="s">
        <v>668</v>
      </c>
      <c r="AK318" t="s">
        <v>669</v>
      </c>
      <c r="AL318" t="s">
        <v>86</v>
      </c>
      <c r="AM318">
        <v>11322</v>
      </c>
      <c r="AN318">
        <f t="shared" si="9"/>
        <v>11322</v>
      </c>
      <c r="AO318" t="s">
        <v>66</v>
      </c>
      <c r="AP318">
        <v>0</v>
      </c>
      <c r="AQ318" t="s">
        <v>66</v>
      </c>
      <c r="AR318">
        <v>0</v>
      </c>
      <c r="AS318" t="s">
        <v>66</v>
      </c>
      <c r="AT318">
        <v>0</v>
      </c>
      <c r="AU318" t="s">
        <v>66</v>
      </c>
      <c r="AV318">
        <v>0</v>
      </c>
      <c r="AW318" t="s">
        <v>66</v>
      </c>
      <c r="AX318">
        <v>0</v>
      </c>
      <c r="AY318" t="s">
        <v>66</v>
      </c>
      <c r="AZ318">
        <v>0</v>
      </c>
      <c r="BA318" t="s">
        <v>66</v>
      </c>
      <c r="BB318">
        <v>0</v>
      </c>
      <c r="BC318">
        <v>0</v>
      </c>
      <c r="BD318">
        <v>33966</v>
      </c>
      <c r="BE318">
        <v>9025.15</v>
      </c>
      <c r="BF318">
        <v>0</v>
      </c>
      <c r="BG318" t="s">
        <v>87</v>
      </c>
      <c r="BH318" t="s">
        <v>66</v>
      </c>
      <c r="BI318">
        <v>0</v>
      </c>
      <c r="BJ318" t="s">
        <v>66</v>
      </c>
      <c r="BK318" t="s">
        <v>88</v>
      </c>
      <c r="BL318" t="s">
        <v>66</v>
      </c>
      <c r="BM318" t="s">
        <v>159</v>
      </c>
    </row>
    <row r="319" spans="1:65" x14ac:dyDescent="0.25">
      <c r="A319">
        <v>317</v>
      </c>
      <c r="B319" t="s">
        <v>664</v>
      </c>
      <c r="C319" t="s">
        <v>68</v>
      </c>
      <c r="D319" s="1">
        <v>46205</v>
      </c>
      <c r="E319" t="s">
        <v>665</v>
      </c>
      <c r="F319" t="s">
        <v>68</v>
      </c>
      <c r="G319" t="s">
        <v>295</v>
      </c>
      <c r="H319" t="s">
        <v>296</v>
      </c>
      <c r="I319" t="s">
        <v>71</v>
      </c>
      <c r="J319" t="s">
        <v>72</v>
      </c>
      <c r="K319" t="s">
        <v>73</v>
      </c>
      <c r="L319" t="s">
        <v>74</v>
      </c>
      <c r="M319" t="s">
        <v>657</v>
      </c>
      <c r="N319" t="s">
        <v>111</v>
      </c>
      <c r="O319" t="s">
        <v>658</v>
      </c>
      <c r="P319" t="s">
        <v>659</v>
      </c>
      <c r="Q319" t="s">
        <v>666</v>
      </c>
      <c r="R319" s="1">
        <v>46207</v>
      </c>
      <c r="S319" t="s">
        <v>661</v>
      </c>
      <c r="T319" t="s">
        <v>662</v>
      </c>
      <c r="U319" t="s">
        <v>663</v>
      </c>
      <c r="V319" t="s">
        <v>66</v>
      </c>
      <c r="W319" t="s">
        <v>66</v>
      </c>
      <c r="X319">
        <v>1266900</v>
      </c>
      <c r="Y319">
        <v>139359</v>
      </c>
      <c r="Z319">
        <v>61200</v>
      </c>
      <c r="AA319">
        <v>6732</v>
      </c>
      <c r="AB319">
        <v>1406259</v>
      </c>
      <c r="AC319">
        <v>6</v>
      </c>
      <c r="AD319" t="s">
        <v>82</v>
      </c>
      <c r="AE319">
        <v>6</v>
      </c>
      <c r="AF319" t="s">
        <v>670</v>
      </c>
      <c r="AG319">
        <f>IFERROR(VLOOKUP(AF319,[1]STOK!J:O,6,0),"")</f>
        <v>24</v>
      </c>
      <c r="AH319" s="2">
        <f t="shared" si="8"/>
        <v>0.25</v>
      </c>
      <c r="AI319" t="s">
        <v>670</v>
      </c>
      <c r="AJ319" t="s">
        <v>671</v>
      </c>
      <c r="AK319" t="s">
        <v>672</v>
      </c>
      <c r="AL319" t="s">
        <v>86</v>
      </c>
      <c r="AM319">
        <v>11322</v>
      </c>
      <c r="AN319">
        <f t="shared" si="9"/>
        <v>11322</v>
      </c>
      <c r="AO319" t="s">
        <v>66</v>
      </c>
      <c r="AP319">
        <v>0</v>
      </c>
      <c r="AQ319" t="s">
        <v>66</v>
      </c>
      <c r="AR319">
        <v>0</v>
      </c>
      <c r="AS319" t="s">
        <v>66</v>
      </c>
      <c r="AT319">
        <v>0</v>
      </c>
      <c r="AU319" t="s">
        <v>66</v>
      </c>
      <c r="AV319">
        <v>0</v>
      </c>
      <c r="AW319" t="s">
        <v>66</v>
      </c>
      <c r="AX319">
        <v>0</v>
      </c>
      <c r="AY319" t="s">
        <v>66</v>
      </c>
      <c r="AZ319">
        <v>0</v>
      </c>
      <c r="BA319" t="s">
        <v>66</v>
      </c>
      <c r="BB319">
        <v>0</v>
      </c>
      <c r="BC319">
        <v>0</v>
      </c>
      <c r="BD319">
        <v>67932</v>
      </c>
      <c r="BE319">
        <v>9162.14</v>
      </c>
      <c r="BF319">
        <v>0</v>
      </c>
      <c r="BG319" t="s">
        <v>87</v>
      </c>
      <c r="BH319" t="s">
        <v>66</v>
      </c>
      <c r="BI319">
        <v>0</v>
      </c>
      <c r="BJ319" t="s">
        <v>66</v>
      </c>
      <c r="BK319" t="s">
        <v>88</v>
      </c>
      <c r="BL319" t="s">
        <v>66</v>
      </c>
      <c r="BM319" t="s">
        <v>159</v>
      </c>
    </row>
    <row r="320" spans="1:65" x14ac:dyDescent="0.25">
      <c r="A320">
        <v>318</v>
      </c>
      <c r="B320" t="s">
        <v>664</v>
      </c>
      <c r="C320" t="s">
        <v>68</v>
      </c>
      <c r="D320" s="1">
        <v>46205</v>
      </c>
      <c r="E320" t="s">
        <v>665</v>
      </c>
      <c r="F320" t="s">
        <v>68</v>
      </c>
      <c r="G320" t="s">
        <v>295</v>
      </c>
      <c r="H320" t="s">
        <v>296</v>
      </c>
      <c r="I320" t="s">
        <v>71</v>
      </c>
      <c r="J320" t="s">
        <v>72</v>
      </c>
      <c r="K320" t="s">
        <v>73</v>
      </c>
      <c r="L320" t="s">
        <v>74</v>
      </c>
      <c r="M320" t="s">
        <v>657</v>
      </c>
      <c r="N320" t="s">
        <v>111</v>
      </c>
      <c r="O320" t="s">
        <v>658</v>
      </c>
      <c r="P320" t="s">
        <v>659</v>
      </c>
      <c r="Q320" t="s">
        <v>666</v>
      </c>
      <c r="R320" s="1">
        <v>46207</v>
      </c>
      <c r="S320" t="s">
        <v>661</v>
      </c>
      <c r="T320" t="s">
        <v>662</v>
      </c>
      <c r="U320" t="s">
        <v>663</v>
      </c>
      <c r="V320" t="s">
        <v>66</v>
      </c>
      <c r="W320" t="s">
        <v>66</v>
      </c>
      <c r="X320">
        <v>1266900</v>
      </c>
      <c r="Y320">
        <v>139359</v>
      </c>
      <c r="Z320">
        <v>34200</v>
      </c>
      <c r="AA320">
        <v>3762</v>
      </c>
      <c r="AB320">
        <v>1406259</v>
      </c>
      <c r="AC320">
        <v>6</v>
      </c>
      <c r="AD320" t="s">
        <v>82</v>
      </c>
      <c r="AE320">
        <v>6</v>
      </c>
      <c r="AF320" t="s">
        <v>350</v>
      </c>
      <c r="AG320">
        <f>IFERROR(VLOOKUP(AF320,[1]STOK!J:O,6,0),"")</f>
        <v>48</v>
      </c>
      <c r="AH320" s="2">
        <f t="shared" si="8"/>
        <v>0.125</v>
      </c>
      <c r="AI320" t="s">
        <v>350</v>
      </c>
      <c r="AJ320" t="s">
        <v>351</v>
      </c>
      <c r="AK320" t="s">
        <v>352</v>
      </c>
      <c r="AL320" t="s">
        <v>86</v>
      </c>
      <c r="AM320">
        <v>6327</v>
      </c>
      <c r="AN320">
        <f t="shared" si="9"/>
        <v>6327</v>
      </c>
      <c r="AO320" t="s">
        <v>66</v>
      </c>
      <c r="AP320">
        <v>0</v>
      </c>
      <c r="AQ320" t="s">
        <v>66</v>
      </c>
      <c r="AR320">
        <v>0</v>
      </c>
      <c r="AS320" t="s">
        <v>66</v>
      </c>
      <c r="AT320">
        <v>0</v>
      </c>
      <c r="AU320" t="s">
        <v>66</v>
      </c>
      <c r="AV320">
        <v>0</v>
      </c>
      <c r="AW320" t="s">
        <v>66</v>
      </c>
      <c r="AX320">
        <v>0</v>
      </c>
      <c r="AY320" t="s">
        <v>66</v>
      </c>
      <c r="AZ320">
        <v>0</v>
      </c>
      <c r="BA320" t="s">
        <v>66</v>
      </c>
      <c r="BB320">
        <v>0</v>
      </c>
      <c r="BC320">
        <v>0</v>
      </c>
      <c r="BD320">
        <v>37962</v>
      </c>
      <c r="BE320">
        <v>5143.3999999999996</v>
      </c>
      <c r="BF320">
        <v>0</v>
      </c>
      <c r="BG320" t="s">
        <v>87</v>
      </c>
      <c r="BH320" t="s">
        <v>66</v>
      </c>
      <c r="BI320">
        <v>0</v>
      </c>
      <c r="BJ320" t="s">
        <v>66</v>
      </c>
      <c r="BK320" t="s">
        <v>88</v>
      </c>
      <c r="BL320" t="s">
        <v>66</v>
      </c>
      <c r="BM320" t="s">
        <v>159</v>
      </c>
    </row>
    <row r="321" spans="1:65" x14ac:dyDescent="0.25">
      <c r="A321">
        <v>319</v>
      </c>
      <c r="B321" t="s">
        <v>664</v>
      </c>
      <c r="C321" t="s">
        <v>68</v>
      </c>
      <c r="D321" s="1">
        <v>46205</v>
      </c>
      <c r="E321" t="s">
        <v>665</v>
      </c>
      <c r="F321" t="s">
        <v>68</v>
      </c>
      <c r="G321" t="s">
        <v>295</v>
      </c>
      <c r="H321" t="s">
        <v>296</v>
      </c>
      <c r="I321" t="s">
        <v>71</v>
      </c>
      <c r="J321" t="s">
        <v>72</v>
      </c>
      <c r="K321" t="s">
        <v>73</v>
      </c>
      <c r="L321" t="s">
        <v>74</v>
      </c>
      <c r="M321" t="s">
        <v>657</v>
      </c>
      <c r="N321" t="s">
        <v>111</v>
      </c>
      <c r="O321" t="s">
        <v>658</v>
      </c>
      <c r="P321" t="s">
        <v>659</v>
      </c>
      <c r="Q321" t="s">
        <v>666</v>
      </c>
      <c r="R321" s="1">
        <v>46207</v>
      </c>
      <c r="S321" t="s">
        <v>661</v>
      </c>
      <c r="T321" t="s">
        <v>662</v>
      </c>
      <c r="U321" t="s">
        <v>663</v>
      </c>
      <c r="V321" t="s">
        <v>66</v>
      </c>
      <c r="W321" t="s">
        <v>66</v>
      </c>
      <c r="X321">
        <v>1266900</v>
      </c>
      <c r="Y321">
        <v>139359</v>
      </c>
      <c r="Z321">
        <v>99000</v>
      </c>
      <c r="AA321">
        <v>10890</v>
      </c>
      <c r="AB321">
        <v>1406259</v>
      </c>
      <c r="AC321">
        <v>6</v>
      </c>
      <c r="AD321" t="s">
        <v>82</v>
      </c>
      <c r="AE321">
        <v>6</v>
      </c>
      <c r="AF321" t="s">
        <v>93</v>
      </c>
      <c r="AG321">
        <f>IFERROR(VLOOKUP(AF321,[1]STOK!J:O,6,0),"")</f>
        <v>24</v>
      </c>
      <c r="AH321" s="2">
        <f t="shared" si="8"/>
        <v>0.25</v>
      </c>
      <c r="AI321" t="s">
        <v>93</v>
      </c>
      <c r="AJ321" t="s">
        <v>94</v>
      </c>
      <c r="AK321" t="s">
        <v>95</v>
      </c>
      <c r="AL321" t="s">
        <v>86</v>
      </c>
      <c r="AM321">
        <v>18315</v>
      </c>
      <c r="AN321">
        <f t="shared" si="9"/>
        <v>18315</v>
      </c>
      <c r="AO321" t="s">
        <v>66</v>
      </c>
      <c r="AP321">
        <v>0</v>
      </c>
      <c r="AQ321" t="s">
        <v>66</v>
      </c>
      <c r="AR321">
        <v>0</v>
      </c>
      <c r="AS321" t="s">
        <v>66</v>
      </c>
      <c r="AT321">
        <v>0</v>
      </c>
      <c r="AU321" t="s">
        <v>66</v>
      </c>
      <c r="AV321">
        <v>0</v>
      </c>
      <c r="AW321" t="s">
        <v>66</v>
      </c>
      <c r="AX321">
        <v>0</v>
      </c>
      <c r="AY321" t="s">
        <v>66</v>
      </c>
      <c r="AZ321">
        <v>0</v>
      </c>
      <c r="BA321" t="s">
        <v>66</v>
      </c>
      <c r="BB321">
        <v>0</v>
      </c>
      <c r="BC321">
        <v>0</v>
      </c>
      <c r="BD321">
        <v>109890</v>
      </c>
      <c r="BE321">
        <v>14931.72</v>
      </c>
      <c r="BF321">
        <v>0</v>
      </c>
      <c r="BG321" t="s">
        <v>87</v>
      </c>
      <c r="BH321" t="s">
        <v>66</v>
      </c>
      <c r="BI321">
        <v>0</v>
      </c>
      <c r="BJ321" t="s">
        <v>66</v>
      </c>
      <c r="BK321" t="s">
        <v>88</v>
      </c>
      <c r="BL321" t="s">
        <v>66</v>
      </c>
      <c r="BM321" t="s">
        <v>159</v>
      </c>
    </row>
    <row r="322" spans="1:65" x14ac:dyDescent="0.25">
      <c r="A322">
        <v>320</v>
      </c>
      <c r="B322" t="s">
        <v>664</v>
      </c>
      <c r="C322" t="s">
        <v>68</v>
      </c>
      <c r="D322" s="1">
        <v>46205</v>
      </c>
      <c r="E322" t="s">
        <v>665</v>
      </c>
      <c r="F322" t="s">
        <v>68</v>
      </c>
      <c r="G322" t="s">
        <v>295</v>
      </c>
      <c r="H322" t="s">
        <v>296</v>
      </c>
      <c r="I322" t="s">
        <v>71</v>
      </c>
      <c r="J322" t="s">
        <v>72</v>
      </c>
      <c r="K322" t="s">
        <v>73</v>
      </c>
      <c r="L322" t="s">
        <v>74</v>
      </c>
      <c r="M322" t="s">
        <v>657</v>
      </c>
      <c r="N322" t="s">
        <v>111</v>
      </c>
      <c r="O322" t="s">
        <v>658</v>
      </c>
      <c r="P322" t="s">
        <v>659</v>
      </c>
      <c r="Q322" t="s">
        <v>666</v>
      </c>
      <c r="R322" s="1">
        <v>46207</v>
      </c>
      <c r="S322" t="s">
        <v>661</v>
      </c>
      <c r="T322" t="s">
        <v>662</v>
      </c>
      <c r="U322" t="s">
        <v>663</v>
      </c>
      <c r="V322" t="s">
        <v>66</v>
      </c>
      <c r="W322" t="s">
        <v>66</v>
      </c>
      <c r="X322">
        <v>1266900</v>
      </c>
      <c r="Y322">
        <v>139359</v>
      </c>
      <c r="Z322">
        <v>99000</v>
      </c>
      <c r="AA322">
        <v>10890</v>
      </c>
      <c r="AB322">
        <v>1406259</v>
      </c>
      <c r="AC322">
        <v>6</v>
      </c>
      <c r="AD322" t="s">
        <v>82</v>
      </c>
      <c r="AE322">
        <v>6</v>
      </c>
      <c r="AF322" t="s">
        <v>205</v>
      </c>
      <c r="AG322">
        <f>IFERROR(VLOOKUP(AF322,[1]STOK!J:O,6,0),"")</f>
        <v>24</v>
      </c>
      <c r="AH322" s="2">
        <f t="shared" si="8"/>
        <v>0.25</v>
      </c>
      <c r="AI322" t="s">
        <v>205</v>
      </c>
      <c r="AJ322" t="s">
        <v>206</v>
      </c>
      <c r="AK322" t="s">
        <v>207</v>
      </c>
      <c r="AL322" t="s">
        <v>86</v>
      </c>
      <c r="AM322">
        <v>18315</v>
      </c>
      <c r="AN322">
        <f t="shared" si="9"/>
        <v>18315</v>
      </c>
      <c r="AO322" t="s">
        <v>66</v>
      </c>
      <c r="AP322">
        <v>0</v>
      </c>
      <c r="AQ322" t="s">
        <v>66</v>
      </c>
      <c r="AR322">
        <v>0</v>
      </c>
      <c r="AS322" t="s">
        <v>66</v>
      </c>
      <c r="AT322">
        <v>0</v>
      </c>
      <c r="AU322" t="s">
        <v>66</v>
      </c>
      <c r="AV322">
        <v>0</v>
      </c>
      <c r="AW322" t="s">
        <v>66</v>
      </c>
      <c r="AX322">
        <v>0</v>
      </c>
      <c r="AY322" t="s">
        <v>66</v>
      </c>
      <c r="AZ322">
        <v>0</v>
      </c>
      <c r="BA322" t="s">
        <v>66</v>
      </c>
      <c r="BB322">
        <v>0</v>
      </c>
      <c r="BC322">
        <v>0</v>
      </c>
      <c r="BD322">
        <v>109890</v>
      </c>
      <c r="BE322">
        <v>14865.57</v>
      </c>
      <c r="BF322">
        <v>0</v>
      </c>
      <c r="BG322" t="s">
        <v>87</v>
      </c>
      <c r="BH322" t="s">
        <v>66</v>
      </c>
      <c r="BI322">
        <v>0</v>
      </c>
      <c r="BJ322" t="s">
        <v>66</v>
      </c>
      <c r="BK322" t="s">
        <v>88</v>
      </c>
      <c r="BL322" t="s">
        <v>66</v>
      </c>
      <c r="BM322" t="s">
        <v>159</v>
      </c>
    </row>
    <row r="323" spans="1:65" x14ac:dyDescent="0.25">
      <c r="A323">
        <v>321</v>
      </c>
      <c r="B323" t="s">
        <v>664</v>
      </c>
      <c r="C323" t="s">
        <v>68</v>
      </c>
      <c r="D323" s="1">
        <v>46205</v>
      </c>
      <c r="E323" t="s">
        <v>665</v>
      </c>
      <c r="F323" t="s">
        <v>68</v>
      </c>
      <c r="G323" t="s">
        <v>295</v>
      </c>
      <c r="H323" t="s">
        <v>296</v>
      </c>
      <c r="I323" t="s">
        <v>71</v>
      </c>
      <c r="J323" t="s">
        <v>72</v>
      </c>
      <c r="K323" t="s">
        <v>73</v>
      </c>
      <c r="L323" t="s">
        <v>74</v>
      </c>
      <c r="M323" t="s">
        <v>657</v>
      </c>
      <c r="N323" t="s">
        <v>111</v>
      </c>
      <c r="O323" t="s">
        <v>658</v>
      </c>
      <c r="P323" t="s">
        <v>659</v>
      </c>
      <c r="Q323" t="s">
        <v>666</v>
      </c>
      <c r="R323" s="1">
        <v>46207</v>
      </c>
      <c r="S323" t="s">
        <v>661</v>
      </c>
      <c r="T323" t="s">
        <v>662</v>
      </c>
      <c r="U323" t="s">
        <v>663</v>
      </c>
      <c r="V323" t="s">
        <v>66</v>
      </c>
      <c r="W323" t="s">
        <v>66</v>
      </c>
      <c r="X323">
        <v>1266900</v>
      </c>
      <c r="Y323">
        <v>139359</v>
      </c>
      <c r="Z323">
        <v>99000</v>
      </c>
      <c r="AA323">
        <v>10890</v>
      </c>
      <c r="AB323">
        <v>1406259</v>
      </c>
      <c r="AC323">
        <v>6</v>
      </c>
      <c r="AD323" t="s">
        <v>82</v>
      </c>
      <c r="AE323">
        <v>6</v>
      </c>
      <c r="AF323" t="s">
        <v>96</v>
      </c>
      <c r="AG323">
        <f>IFERROR(VLOOKUP(AF323,[1]STOK!J:O,6,0),"")</f>
        <v>24</v>
      </c>
      <c r="AH323" s="2">
        <f t="shared" si="8"/>
        <v>0.25</v>
      </c>
      <c r="AI323" t="s">
        <v>96</v>
      </c>
      <c r="AJ323" t="s">
        <v>97</v>
      </c>
      <c r="AK323" t="s">
        <v>98</v>
      </c>
      <c r="AL323" t="s">
        <v>86</v>
      </c>
      <c r="AM323">
        <v>18315</v>
      </c>
      <c r="AN323">
        <f t="shared" si="9"/>
        <v>18315</v>
      </c>
      <c r="AO323" t="s">
        <v>66</v>
      </c>
      <c r="AP323">
        <v>0</v>
      </c>
      <c r="AQ323" t="s">
        <v>66</v>
      </c>
      <c r="AR323">
        <v>0</v>
      </c>
      <c r="AS323" t="s">
        <v>66</v>
      </c>
      <c r="AT323">
        <v>0</v>
      </c>
      <c r="AU323" t="s">
        <v>66</v>
      </c>
      <c r="AV323">
        <v>0</v>
      </c>
      <c r="AW323" t="s">
        <v>66</v>
      </c>
      <c r="AX323">
        <v>0</v>
      </c>
      <c r="AY323" t="s">
        <v>66</v>
      </c>
      <c r="AZ323">
        <v>0</v>
      </c>
      <c r="BA323" t="s">
        <v>66</v>
      </c>
      <c r="BB323">
        <v>0</v>
      </c>
      <c r="BC323">
        <v>0</v>
      </c>
      <c r="BD323">
        <v>109890</v>
      </c>
      <c r="BE323">
        <v>14932.79</v>
      </c>
      <c r="BF323">
        <v>0</v>
      </c>
      <c r="BG323" t="s">
        <v>87</v>
      </c>
      <c r="BH323" t="s">
        <v>66</v>
      </c>
      <c r="BI323">
        <v>0</v>
      </c>
      <c r="BJ323" t="s">
        <v>66</v>
      </c>
      <c r="BK323" t="s">
        <v>88</v>
      </c>
      <c r="BL323" t="s">
        <v>66</v>
      </c>
      <c r="BM323" t="s">
        <v>159</v>
      </c>
    </row>
    <row r="324" spans="1:65" x14ac:dyDescent="0.25">
      <c r="A324">
        <v>322</v>
      </c>
      <c r="B324" t="s">
        <v>664</v>
      </c>
      <c r="C324" t="s">
        <v>68</v>
      </c>
      <c r="D324" s="1">
        <v>46205</v>
      </c>
      <c r="E324" t="s">
        <v>665</v>
      </c>
      <c r="F324" t="s">
        <v>68</v>
      </c>
      <c r="G324" t="s">
        <v>295</v>
      </c>
      <c r="H324" t="s">
        <v>296</v>
      </c>
      <c r="I324" t="s">
        <v>71</v>
      </c>
      <c r="J324" t="s">
        <v>72</v>
      </c>
      <c r="K324" t="s">
        <v>73</v>
      </c>
      <c r="L324" t="s">
        <v>74</v>
      </c>
      <c r="M324" t="s">
        <v>657</v>
      </c>
      <c r="N324" t="s">
        <v>111</v>
      </c>
      <c r="O324" t="s">
        <v>658</v>
      </c>
      <c r="P324" t="s">
        <v>659</v>
      </c>
      <c r="Q324" t="s">
        <v>666</v>
      </c>
      <c r="R324" s="1">
        <v>46207</v>
      </c>
      <c r="S324" t="s">
        <v>661</v>
      </c>
      <c r="T324" t="s">
        <v>662</v>
      </c>
      <c r="U324" t="s">
        <v>663</v>
      </c>
      <c r="V324" t="s">
        <v>66</v>
      </c>
      <c r="W324" t="s">
        <v>66</v>
      </c>
      <c r="X324">
        <v>1266900</v>
      </c>
      <c r="Y324">
        <v>139359</v>
      </c>
      <c r="Z324">
        <v>116400</v>
      </c>
      <c r="AA324">
        <v>12804</v>
      </c>
      <c r="AB324">
        <v>1406259</v>
      </c>
      <c r="AC324">
        <v>6</v>
      </c>
      <c r="AD324" t="s">
        <v>82</v>
      </c>
      <c r="AE324">
        <v>6</v>
      </c>
      <c r="AF324" t="s">
        <v>470</v>
      </c>
      <c r="AG324">
        <f>IFERROR(VLOOKUP(AF324,[1]STOK!J:O,6,0),"")</f>
        <v>24</v>
      </c>
      <c r="AH324" s="2">
        <f t="shared" ref="AH324:AH387" si="10">AE324/AG324</f>
        <v>0.25</v>
      </c>
      <c r="AI324" t="s">
        <v>470</v>
      </c>
      <c r="AJ324" t="s">
        <v>471</v>
      </c>
      <c r="AK324" t="s">
        <v>472</v>
      </c>
      <c r="AL324" t="s">
        <v>86</v>
      </c>
      <c r="AM324">
        <v>21534</v>
      </c>
      <c r="AN324">
        <f t="shared" ref="AN324:AN387" si="11">BD324/AC324</f>
        <v>21534</v>
      </c>
      <c r="AO324" t="s">
        <v>66</v>
      </c>
      <c r="AP324">
        <v>0</v>
      </c>
      <c r="AQ324" t="s">
        <v>66</v>
      </c>
      <c r="AR324">
        <v>0</v>
      </c>
      <c r="AS324" t="s">
        <v>66</v>
      </c>
      <c r="AT324">
        <v>0</v>
      </c>
      <c r="AU324" t="s">
        <v>66</v>
      </c>
      <c r="AV324">
        <v>0</v>
      </c>
      <c r="AW324" t="s">
        <v>66</v>
      </c>
      <c r="AX324">
        <v>0</v>
      </c>
      <c r="AY324" t="s">
        <v>66</v>
      </c>
      <c r="AZ324">
        <v>0</v>
      </c>
      <c r="BA324" t="s">
        <v>66</v>
      </c>
      <c r="BB324">
        <v>0</v>
      </c>
      <c r="BC324">
        <v>0</v>
      </c>
      <c r="BD324">
        <v>129204</v>
      </c>
      <c r="BE324">
        <v>17421.95</v>
      </c>
      <c r="BF324">
        <v>0</v>
      </c>
      <c r="BG324" t="s">
        <v>87</v>
      </c>
      <c r="BH324" t="s">
        <v>66</v>
      </c>
      <c r="BI324">
        <v>0</v>
      </c>
      <c r="BJ324" t="s">
        <v>66</v>
      </c>
      <c r="BK324" t="s">
        <v>88</v>
      </c>
      <c r="BL324" t="s">
        <v>66</v>
      </c>
      <c r="BM324" t="s">
        <v>159</v>
      </c>
    </row>
    <row r="325" spans="1:65" x14ac:dyDescent="0.25">
      <c r="A325">
        <v>323</v>
      </c>
      <c r="B325" t="s">
        <v>664</v>
      </c>
      <c r="C325" t="s">
        <v>68</v>
      </c>
      <c r="D325" s="1">
        <v>46205</v>
      </c>
      <c r="E325" t="s">
        <v>665</v>
      </c>
      <c r="F325" t="s">
        <v>68</v>
      </c>
      <c r="G325" t="s">
        <v>295</v>
      </c>
      <c r="H325" t="s">
        <v>296</v>
      </c>
      <c r="I325" t="s">
        <v>71</v>
      </c>
      <c r="J325" t="s">
        <v>72</v>
      </c>
      <c r="K325" t="s">
        <v>73</v>
      </c>
      <c r="L325" t="s">
        <v>74</v>
      </c>
      <c r="M325" t="s">
        <v>657</v>
      </c>
      <c r="N325" t="s">
        <v>111</v>
      </c>
      <c r="O325" t="s">
        <v>658</v>
      </c>
      <c r="P325" t="s">
        <v>659</v>
      </c>
      <c r="Q325" t="s">
        <v>666</v>
      </c>
      <c r="R325" s="1">
        <v>46207</v>
      </c>
      <c r="S325" t="s">
        <v>661</v>
      </c>
      <c r="T325" t="s">
        <v>662</v>
      </c>
      <c r="U325" t="s">
        <v>663</v>
      </c>
      <c r="V325" t="s">
        <v>66</v>
      </c>
      <c r="W325" t="s">
        <v>66</v>
      </c>
      <c r="X325">
        <v>1266900</v>
      </c>
      <c r="Y325">
        <v>139359</v>
      </c>
      <c r="Z325">
        <v>116400</v>
      </c>
      <c r="AA325">
        <v>12804</v>
      </c>
      <c r="AB325">
        <v>1406259</v>
      </c>
      <c r="AC325">
        <v>6</v>
      </c>
      <c r="AD325" t="s">
        <v>82</v>
      </c>
      <c r="AE325">
        <v>6</v>
      </c>
      <c r="AF325" t="s">
        <v>287</v>
      </c>
      <c r="AG325">
        <f>IFERROR(VLOOKUP(AF325,[1]STOK!J:O,6,0),"")</f>
        <v>12</v>
      </c>
      <c r="AH325" s="2">
        <f t="shared" si="10"/>
        <v>0.5</v>
      </c>
      <c r="AI325" t="s">
        <v>287</v>
      </c>
      <c r="AJ325" t="s">
        <v>288</v>
      </c>
      <c r="AK325" t="s">
        <v>289</v>
      </c>
      <c r="AL325" t="s">
        <v>86</v>
      </c>
      <c r="AM325">
        <v>21534</v>
      </c>
      <c r="AN325">
        <f t="shared" si="11"/>
        <v>21534</v>
      </c>
      <c r="AO325" t="s">
        <v>66</v>
      </c>
      <c r="AP325">
        <v>0</v>
      </c>
      <c r="AQ325" t="s">
        <v>66</v>
      </c>
      <c r="AR325">
        <v>0</v>
      </c>
      <c r="AS325" t="s">
        <v>66</v>
      </c>
      <c r="AT325">
        <v>0</v>
      </c>
      <c r="AU325" t="s">
        <v>66</v>
      </c>
      <c r="AV325">
        <v>0</v>
      </c>
      <c r="AW325" t="s">
        <v>66</v>
      </c>
      <c r="AX325">
        <v>0</v>
      </c>
      <c r="AY325" t="s">
        <v>66</v>
      </c>
      <c r="AZ325">
        <v>0</v>
      </c>
      <c r="BA325" t="s">
        <v>66</v>
      </c>
      <c r="BB325">
        <v>0</v>
      </c>
      <c r="BC325">
        <v>0</v>
      </c>
      <c r="BD325">
        <v>129204</v>
      </c>
      <c r="BE325">
        <v>17422.02</v>
      </c>
      <c r="BF325">
        <v>0</v>
      </c>
      <c r="BG325" t="s">
        <v>87</v>
      </c>
      <c r="BH325" t="s">
        <v>66</v>
      </c>
      <c r="BI325">
        <v>0</v>
      </c>
      <c r="BJ325" t="s">
        <v>66</v>
      </c>
      <c r="BK325" t="s">
        <v>88</v>
      </c>
      <c r="BL325" t="s">
        <v>66</v>
      </c>
      <c r="BM325" t="s">
        <v>159</v>
      </c>
    </row>
    <row r="326" spans="1:65" x14ac:dyDescent="0.25">
      <c r="A326">
        <v>324</v>
      </c>
      <c r="B326" t="s">
        <v>664</v>
      </c>
      <c r="C326" t="s">
        <v>68</v>
      </c>
      <c r="D326" s="1">
        <v>46205</v>
      </c>
      <c r="E326" t="s">
        <v>665</v>
      </c>
      <c r="F326" t="s">
        <v>68</v>
      </c>
      <c r="G326" t="s">
        <v>295</v>
      </c>
      <c r="H326" t="s">
        <v>296</v>
      </c>
      <c r="I326" t="s">
        <v>71</v>
      </c>
      <c r="J326" t="s">
        <v>72</v>
      </c>
      <c r="K326" t="s">
        <v>73</v>
      </c>
      <c r="L326" t="s">
        <v>74</v>
      </c>
      <c r="M326" t="s">
        <v>657</v>
      </c>
      <c r="N326" t="s">
        <v>111</v>
      </c>
      <c r="O326" t="s">
        <v>658</v>
      </c>
      <c r="P326" t="s">
        <v>659</v>
      </c>
      <c r="Q326" t="s">
        <v>666</v>
      </c>
      <c r="R326" s="1">
        <v>46207</v>
      </c>
      <c r="S326" t="s">
        <v>661</v>
      </c>
      <c r="T326" t="s">
        <v>662</v>
      </c>
      <c r="U326" t="s">
        <v>663</v>
      </c>
      <c r="V326" t="s">
        <v>66</v>
      </c>
      <c r="W326" t="s">
        <v>66</v>
      </c>
      <c r="X326">
        <v>1266900</v>
      </c>
      <c r="Y326">
        <v>139359</v>
      </c>
      <c r="Z326">
        <v>540000</v>
      </c>
      <c r="AA326">
        <v>59400</v>
      </c>
      <c r="AB326">
        <v>1406259</v>
      </c>
      <c r="AC326">
        <v>2</v>
      </c>
      <c r="AD326" t="s">
        <v>134</v>
      </c>
      <c r="AE326">
        <v>8</v>
      </c>
      <c r="AF326" t="s">
        <v>312</v>
      </c>
      <c r="AG326">
        <f>IFERROR(VLOOKUP(AF326,[1]STOK!J:O,6,0),"")</f>
        <v>4</v>
      </c>
      <c r="AH326" s="2">
        <f t="shared" si="10"/>
        <v>2</v>
      </c>
      <c r="AI326" t="s">
        <v>312</v>
      </c>
      <c r="AJ326" t="s">
        <v>313</v>
      </c>
      <c r="AK326" t="s">
        <v>314</v>
      </c>
      <c r="AL326" t="s">
        <v>86</v>
      </c>
      <c r="AM326">
        <v>299700</v>
      </c>
      <c r="AN326">
        <f t="shared" si="11"/>
        <v>299700</v>
      </c>
      <c r="AO326" t="s">
        <v>66</v>
      </c>
      <c r="AP326">
        <v>0</v>
      </c>
      <c r="AQ326" t="s">
        <v>66</v>
      </c>
      <c r="AR326">
        <v>0</v>
      </c>
      <c r="AS326" t="s">
        <v>66</v>
      </c>
      <c r="AT326">
        <v>0</v>
      </c>
      <c r="AU326" t="s">
        <v>66</v>
      </c>
      <c r="AV326">
        <v>0</v>
      </c>
      <c r="AW326" t="s">
        <v>66</v>
      </c>
      <c r="AX326">
        <v>0</v>
      </c>
      <c r="AY326" t="s">
        <v>66</v>
      </c>
      <c r="AZ326">
        <v>0</v>
      </c>
      <c r="BA326" t="s">
        <v>66</v>
      </c>
      <c r="BB326">
        <v>0</v>
      </c>
      <c r="BC326">
        <v>0</v>
      </c>
      <c r="BD326">
        <v>599400</v>
      </c>
      <c r="BE326">
        <v>60292.27</v>
      </c>
      <c r="BF326">
        <v>0</v>
      </c>
      <c r="BG326" t="s">
        <v>87</v>
      </c>
      <c r="BH326" t="s">
        <v>66</v>
      </c>
      <c r="BI326">
        <v>0</v>
      </c>
      <c r="BJ326" t="s">
        <v>66</v>
      </c>
      <c r="BK326" t="s">
        <v>88</v>
      </c>
      <c r="BL326" t="s">
        <v>66</v>
      </c>
      <c r="BM326" t="s">
        <v>159</v>
      </c>
    </row>
    <row r="327" spans="1:65" x14ac:dyDescent="0.25">
      <c r="A327">
        <v>325</v>
      </c>
      <c r="B327" t="s">
        <v>673</v>
      </c>
      <c r="C327" t="s">
        <v>68</v>
      </c>
      <c r="D327" s="1">
        <v>46205</v>
      </c>
      <c r="E327" t="s">
        <v>674</v>
      </c>
      <c r="F327" t="s">
        <v>68</v>
      </c>
      <c r="G327" t="s">
        <v>295</v>
      </c>
      <c r="H327" t="s">
        <v>296</v>
      </c>
      <c r="I327" t="s">
        <v>71</v>
      </c>
      <c r="J327" t="s">
        <v>72</v>
      </c>
      <c r="K327" t="s">
        <v>73</v>
      </c>
      <c r="L327" t="s">
        <v>74</v>
      </c>
      <c r="M327" t="s">
        <v>675</v>
      </c>
      <c r="N327" t="s">
        <v>274</v>
      </c>
      <c r="O327" t="s">
        <v>676</v>
      </c>
      <c r="P327" t="s">
        <v>677</v>
      </c>
      <c r="Q327" t="s">
        <v>678</v>
      </c>
      <c r="R327" s="1">
        <v>46206</v>
      </c>
      <c r="S327" t="s">
        <v>679</v>
      </c>
      <c r="T327" t="s">
        <v>680</v>
      </c>
      <c r="U327" t="s">
        <v>681</v>
      </c>
      <c r="V327" t="s">
        <v>66</v>
      </c>
      <c r="W327" t="s">
        <v>66</v>
      </c>
      <c r="X327">
        <v>427800</v>
      </c>
      <c r="Y327">
        <v>47058</v>
      </c>
      <c r="Z327">
        <v>99000</v>
      </c>
      <c r="AA327">
        <v>10890</v>
      </c>
      <c r="AB327">
        <v>474858</v>
      </c>
      <c r="AC327">
        <v>6</v>
      </c>
      <c r="AD327" t="s">
        <v>82</v>
      </c>
      <c r="AE327">
        <v>6</v>
      </c>
      <c r="AF327" t="s">
        <v>128</v>
      </c>
      <c r="AG327">
        <f>IFERROR(VLOOKUP(AF327,[1]STOK!J:O,6,0),"")</f>
        <v>24</v>
      </c>
      <c r="AH327" s="2">
        <f t="shared" si="10"/>
        <v>0.25</v>
      </c>
      <c r="AI327" t="s">
        <v>128</v>
      </c>
      <c r="AJ327" t="s">
        <v>129</v>
      </c>
      <c r="AK327" t="s">
        <v>130</v>
      </c>
      <c r="AL327" t="s">
        <v>86</v>
      </c>
      <c r="AM327">
        <v>18315</v>
      </c>
      <c r="AN327">
        <f t="shared" si="11"/>
        <v>18315</v>
      </c>
      <c r="AO327" t="s">
        <v>66</v>
      </c>
      <c r="AP327">
        <v>0</v>
      </c>
      <c r="AQ327" t="s">
        <v>66</v>
      </c>
      <c r="AR327">
        <v>0</v>
      </c>
      <c r="AS327" t="s">
        <v>66</v>
      </c>
      <c r="AT327">
        <v>0</v>
      </c>
      <c r="AU327" t="s">
        <v>66</v>
      </c>
      <c r="AV327">
        <v>0</v>
      </c>
      <c r="AW327" t="s">
        <v>66</v>
      </c>
      <c r="AX327">
        <v>0</v>
      </c>
      <c r="AY327" t="s">
        <v>66</v>
      </c>
      <c r="AZ327">
        <v>0</v>
      </c>
      <c r="BA327" t="s">
        <v>66</v>
      </c>
      <c r="BB327">
        <v>0</v>
      </c>
      <c r="BC327">
        <v>0</v>
      </c>
      <c r="BD327">
        <v>109890</v>
      </c>
      <c r="BE327">
        <v>14907.75</v>
      </c>
      <c r="BF327">
        <v>0</v>
      </c>
      <c r="BG327" t="s">
        <v>87</v>
      </c>
      <c r="BH327" t="s">
        <v>66</v>
      </c>
      <c r="BI327">
        <v>0</v>
      </c>
      <c r="BJ327" t="s">
        <v>66</v>
      </c>
      <c r="BK327" t="s">
        <v>88</v>
      </c>
      <c r="BL327" t="s">
        <v>66</v>
      </c>
      <c r="BM327" t="s">
        <v>159</v>
      </c>
    </row>
    <row r="328" spans="1:65" x14ac:dyDescent="0.25">
      <c r="A328">
        <v>326</v>
      </c>
      <c r="B328" t="s">
        <v>673</v>
      </c>
      <c r="C328" t="s">
        <v>68</v>
      </c>
      <c r="D328" s="1">
        <v>46205</v>
      </c>
      <c r="E328" t="s">
        <v>674</v>
      </c>
      <c r="F328" t="s">
        <v>68</v>
      </c>
      <c r="G328" t="s">
        <v>295</v>
      </c>
      <c r="H328" t="s">
        <v>296</v>
      </c>
      <c r="I328" t="s">
        <v>71</v>
      </c>
      <c r="J328" t="s">
        <v>72</v>
      </c>
      <c r="K328" t="s">
        <v>73</v>
      </c>
      <c r="L328" t="s">
        <v>74</v>
      </c>
      <c r="M328" t="s">
        <v>675</v>
      </c>
      <c r="N328" t="s">
        <v>274</v>
      </c>
      <c r="O328" t="s">
        <v>676</v>
      </c>
      <c r="P328" t="s">
        <v>677</v>
      </c>
      <c r="Q328" t="s">
        <v>678</v>
      </c>
      <c r="R328" s="1">
        <v>46206</v>
      </c>
      <c r="S328" t="s">
        <v>679</v>
      </c>
      <c r="T328" t="s">
        <v>680</v>
      </c>
      <c r="U328" t="s">
        <v>681</v>
      </c>
      <c r="V328" t="s">
        <v>66</v>
      </c>
      <c r="W328" t="s">
        <v>66</v>
      </c>
      <c r="X328">
        <v>427800</v>
      </c>
      <c r="Y328">
        <v>47058</v>
      </c>
      <c r="Z328">
        <v>99000</v>
      </c>
      <c r="AA328">
        <v>10890</v>
      </c>
      <c r="AB328">
        <v>474858</v>
      </c>
      <c r="AC328">
        <v>6</v>
      </c>
      <c r="AD328" t="s">
        <v>82</v>
      </c>
      <c r="AE328">
        <v>6</v>
      </c>
      <c r="AF328" t="s">
        <v>99</v>
      </c>
      <c r="AG328">
        <f>IFERROR(VLOOKUP(AF328,[1]STOK!J:O,6,0),"")</f>
        <v>24</v>
      </c>
      <c r="AH328" s="2">
        <f t="shared" si="10"/>
        <v>0.25</v>
      </c>
      <c r="AI328" t="s">
        <v>99</v>
      </c>
      <c r="AJ328" t="s">
        <v>100</v>
      </c>
      <c r="AK328" t="s">
        <v>101</v>
      </c>
      <c r="AL328" t="s">
        <v>86</v>
      </c>
      <c r="AM328">
        <v>18315</v>
      </c>
      <c r="AN328">
        <f t="shared" si="11"/>
        <v>18315</v>
      </c>
      <c r="AO328" t="s">
        <v>66</v>
      </c>
      <c r="AP328">
        <v>0</v>
      </c>
      <c r="AQ328" t="s">
        <v>66</v>
      </c>
      <c r="AR328">
        <v>0</v>
      </c>
      <c r="AS328" t="s">
        <v>66</v>
      </c>
      <c r="AT328">
        <v>0</v>
      </c>
      <c r="AU328" t="s">
        <v>66</v>
      </c>
      <c r="AV328">
        <v>0</v>
      </c>
      <c r="AW328" t="s">
        <v>66</v>
      </c>
      <c r="AX328">
        <v>0</v>
      </c>
      <c r="AY328" t="s">
        <v>66</v>
      </c>
      <c r="AZ328">
        <v>0</v>
      </c>
      <c r="BA328" t="s">
        <v>66</v>
      </c>
      <c r="BB328">
        <v>0</v>
      </c>
      <c r="BC328">
        <v>0</v>
      </c>
      <c r="BD328">
        <v>109890</v>
      </c>
      <c r="BE328">
        <v>14915.33</v>
      </c>
      <c r="BF328">
        <v>0</v>
      </c>
      <c r="BG328" t="s">
        <v>87</v>
      </c>
      <c r="BH328" t="s">
        <v>66</v>
      </c>
      <c r="BI328">
        <v>0</v>
      </c>
      <c r="BJ328" t="s">
        <v>66</v>
      </c>
      <c r="BK328" t="s">
        <v>88</v>
      </c>
      <c r="BL328" t="s">
        <v>66</v>
      </c>
      <c r="BM328" t="s">
        <v>159</v>
      </c>
    </row>
    <row r="329" spans="1:65" x14ac:dyDescent="0.25">
      <c r="A329">
        <v>327</v>
      </c>
      <c r="B329" t="s">
        <v>673</v>
      </c>
      <c r="C329" t="s">
        <v>68</v>
      </c>
      <c r="D329" s="1">
        <v>46205</v>
      </c>
      <c r="E329" t="s">
        <v>674</v>
      </c>
      <c r="F329" t="s">
        <v>68</v>
      </c>
      <c r="G329" t="s">
        <v>295</v>
      </c>
      <c r="H329" t="s">
        <v>296</v>
      </c>
      <c r="I329" t="s">
        <v>71</v>
      </c>
      <c r="J329" t="s">
        <v>72</v>
      </c>
      <c r="K329" t="s">
        <v>73</v>
      </c>
      <c r="L329" t="s">
        <v>74</v>
      </c>
      <c r="M329" t="s">
        <v>675</v>
      </c>
      <c r="N329" t="s">
        <v>274</v>
      </c>
      <c r="O329" t="s">
        <v>676</v>
      </c>
      <c r="P329" t="s">
        <v>677</v>
      </c>
      <c r="Q329" t="s">
        <v>678</v>
      </c>
      <c r="R329" s="1">
        <v>46206</v>
      </c>
      <c r="S329" t="s">
        <v>679</v>
      </c>
      <c r="T329" t="s">
        <v>680</v>
      </c>
      <c r="U329" t="s">
        <v>681</v>
      </c>
      <c r="V329" t="s">
        <v>66</v>
      </c>
      <c r="W329" t="s">
        <v>66</v>
      </c>
      <c r="X329">
        <v>427800</v>
      </c>
      <c r="Y329">
        <v>47058</v>
      </c>
      <c r="Z329">
        <v>229800</v>
      </c>
      <c r="AA329">
        <v>25278</v>
      </c>
      <c r="AB329">
        <v>474858</v>
      </c>
      <c r="AC329">
        <v>6</v>
      </c>
      <c r="AD329" t="s">
        <v>82</v>
      </c>
      <c r="AE329">
        <v>6</v>
      </c>
      <c r="AF329" t="s">
        <v>138</v>
      </c>
      <c r="AG329">
        <f>IFERROR(VLOOKUP(AF329,[1]STOK!J:O,6,0),"")</f>
        <v>6</v>
      </c>
      <c r="AH329" s="2">
        <f t="shared" si="10"/>
        <v>1</v>
      </c>
      <c r="AI329" t="s">
        <v>138</v>
      </c>
      <c r="AJ329" t="s">
        <v>139</v>
      </c>
      <c r="AK329" t="s">
        <v>140</v>
      </c>
      <c r="AL329" t="s">
        <v>86</v>
      </c>
      <c r="AM329">
        <v>42513</v>
      </c>
      <c r="AN329">
        <f t="shared" si="11"/>
        <v>42513</v>
      </c>
      <c r="AO329" t="s">
        <v>66</v>
      </c>
      <c r="AP329">
        <v>0</v>
      </c>
      <c r="AQ329" t="s">
        <v>66</v>
      </c>
      <c r="AR329">
        <v>0</v>
      </c>
      <c r="AS329" t="s">
        <v>66</v>
      </c>
      <c r="AT329">
        <v>0</v>
      </c>
      <c r="AU329" t="s">
        <v>66</v>
      </c>
      <c r="AV329">
        <v>0</v>
      </c>
      <c r="AW329" t="s">
        <v>66</v>
      </c>
      <c r="AX329">
        <v>0</v>
      </c>
      <c r="AY329" t="s">
        <v>66</v>
      </c>
      <c r="AZ329">
        <v>0</v>
      </c>
      <c r="BA329" t="s">
        <v>66</v>
      </c>
      <c r="BB329">
        <v>0</v>
      </c>
      <c r="BC329">
        <v>0</v>
      </c>
      <c r="BD329">
        <v>255078</v>
      </c>
      <c r="BE329">
        <v>34660.32</v>
      </c>
      <c r="BF329">
        <v>0</v>
      </c>
      <c r="BG329" t="s">
        <v>87</v>
      </c>
      <c r="BH329" t="s">
        <v>66</v>
      </c>
      <c r="BI329">
        <v>0</v>
      </c>
      <c r="BJ329" t="s">
        <v>66</v>
      </c>
      <c r="BK329" t="s">
        <v>88</v>
      </c>
      <c r="BL329" t="s">
        <v>66</v>
      </c>
      <c r="BM329" t="s">
        <v>159</v>
      </c>
    </row>
    <row r="330" spans="1:65" x14ac:dyDescent="0.25">
      <c r="A330">
        <v>328</v>
      </c>
      <c r="B330" t="s">
        <v>682</v>
      </c>
      <c r="C330" t="s">
        <v>68</v>
      </c>
      <c r="D330" s="1">
        <v>46205</v>
      </c>
      <c r="E330" t="s">
        <v>683</v>
      </c>
      <c r="F330" t="s">
        <v>68</v>
      </c>
      <c r="G330" t="s">
        <v>295</v>
      </c>
      <c r="H330" t="s">
        <v>296</v>
      </c>
      <c r="I330" t="s">
        <v>71</v>
      </c>
      <c r="J330" t="s">
        <v>72</v>
      </c>
      <c r="K330" t="s">
        <v>73</v>
      </c>
      <c r="L330" t="s">
        <v>74</v>
      </c>
      <c r="M330" t="s">
        <v>684</v>
      </c>
      <c r="N330" t="s">
        <v>274</v>
      </c>
      <c r="O330" t="s">
        <v>685</v>
      </c>
      <c r="P330" t="s">
        <v>686</v>
      </c>
      <c r="Q330" t="s">
        <v>687</v>
      </c>
      <c r="R330" s="1">
        <v>46206</v>
      </c>
      <c r="S330" t="s">
        <v>688</v>
      </c>
      <c r="T330" t="s">
        <v>689</v>
      </c>
      <c r="U330" t="s">
        <v>690</v>
      </c>
      <c r="V330" t="s">
        <v>66</v>
      </c>
      <c r="W330" t="s">
        <v>66</v>
      </c>
      <c r="X330">
        <v>413100</v>
      </c>
      <c r="Y330">
        <v>45441</v>
      </c>
      <c r="Z330">
        <v>81900</v>
      </c>
      <c r="AA330">
        <v>9009</v>
      </c>
      <c r="AB330">
        <v>458541</v>
      </c>
      <c r="AC330">
        <v>3</v>
      </c>
      <c r="AD330" t="s">
        <v>82</v>
      </c>
      <c r="AE330">
        <v>3</v>
      </c>
      <c r="AF330" t="s">
        <v>303</v>
      </c>
      <c r="AG330">
        <f>IFERROR(VLOOKUP(AF330,[1]STOK!J:O,6,0),"")</f>
        <v>12</v>
      </c>
      <c r="AH330" s="2">
        <f t="shared" si="10"/>
        <v>0.25</v>
      </c>
      <c r="AI330" t="s">
        <v>303</v>
      </c>
      <c r="AJ330" t="s">
        <v>304</v>
      </c>
      <c r="AK330" t="s">
        <v>305</v>
      </c>
      <c r="AL330" t="s">
        <v>86</v>
      </c>
      <c r="AM330">
        <v>30303</v>
      </c>
      <c r="AN330">
        <f t="shared" si="11"/>
        <v>30303</v>
      </c>
      <c r="AO330" t="s">
        <v>66</v>
      </c>
      <c r="AP330">
        <v>0</v>
      </c>
      <c r="AQ330" t="s">
        <v>66</v>
      </c>
      <c r="AR330">
        <v>0</v>
      </c>
      <c r="AS330" t="s">
        <v>66</v>
      </c>
      <c r="AT330">
        <v>0</v>
      </c>
      <c r="AU330" t="s">
        <v>66</v>
      </c>
      <c r="AV330">
        <v>0</v>
      </c>
      <c r="AW330" t="s">
        <v>66</v>
      </c>
      <c r="AX330">
        <v>0</v>
      </c>
      <c r="AY330" t="s">
        <v>66</v>
      </c>
      <c r="AZ330">
        <v>0</v>
      </c>
      <c r="BA330" t="s">
        <v>66</v>
      </c>
      <c r="BB330">
        <v>0</v>
      </c>
      <c r="BC330">
        <v>0</v>
      </c>
      <c r="BD330">
        <v>90909</v>
      </c>
      <c r="BE330">
        <v>24631.7</v>
      </c>
      <c r="BF330">
        <v>0</v>
      </c>
      <c r="BG330" t="s">
        <v>87</v>
      </c>
      <c r="BH330" t="s">
        <v>66</v>
      </c>
      <c r="BI330">
        <v>0</v>
      </c>
      <c r="BJ330" t="s">
        <v>66</v>
      </c>
      <c r="BK330" t="s">
        <v>88</v>
      </c>
      <c r="BL330" t="s">
        <v>66</v>
      </c>
      <c r="BM330" t="s">
        <v>159</v>
      </c>
    </row>
    <row r="331" spans="1:65" x14ac:dyDescent="0.25">
      <c r="A331">
        <v>329</v>
      </c>
      <c r="B331" t="s">
        <v>682</v>
      </c>
      <c r="C331" t="s">
        <v>68</v>
      </c>
      <c r="D331" s="1">
        <v>46205</v>
      </c>
      <c r="E331" t="s">
        <v>683</v>
      </c>
      <c r="F331" t="s">
        <v>68</v>
      </c>
      <c r="G331" t="s">
        <v>295</v>
      </c>
      <c r="H331" t="s">
        <v>296</v>
      </c>
      <c r="I331" t="s">
        <v>71</v>
      </c>
      <c r="J331" t="s">
        <v>72</v>
      </c>
      <c r="K331" t="s">
        <v>73</v>
      </c>
      <c r="L331" t="s">
        <v>74</v>
      </c>
      <c r="M331" t="s">
        <v>684</v>
      </c>
      <c r="N331" t="s">
        <v>274</v>
      </c>
      <c r="O331" t="s">
        <v>685</v>
      </c>
      <c r="P331" t="s">
        <v>686</v>
      </c>
      <c r="Q331" t="s">
        <v>687</v>
      </c>
      <c r="R331" s="1">
        <v>46206</v>
      </c>
      <c r="S331" t="s">
        <v>688</v>
      </c>
      <c r="T331" t="s">
        <v>689</v>
      </c>
      <c r="U331" t="s">
        <v>690</v>
      </c>
      <c r="V331" t="s">
        <v>66</v>
      </c>
      <c r="W331" t="s">
        <v>66</v>
      </c>
      <c r="X331">
        <v>413100</v>
      </c>
      <c r="Y331">
        <v>45441</v>
      </c>
      <c r="Z331">
        <v>91200</v>
      </c>
      <c r="AA331">
        <v>10032</v>
      </c>
      <c r="AB331">
        <v>458541</v>
      </c>
      <c r="AC331">
        <v>6</v>
      </c>
      <c r="AD331" t="s">
        <v>82</v>
      </c>
      <c r="AE331">
        <v>6</v>
      </c>
      <c r="AF331" t="s">
        <v>531</v>
      </c>
      <c r="AG331">
        <f>IFERROR(VLOOKUP(AF331,[1]STOK!J:O,6,0),"")</f>
        <v>12</v>
      </c>
      <c r="AH331" s="2">
        <f t="shared" si="10"/>
        <v>0.5</v>
      </c>
      <c r="AI331" t="s">
        <v>531</v>
      </c>
      <c r="AJ331" t="s">
        <v>532</v>
      </c>
      <c r="AK331" t="s">
        <v>533</v>
      </c>
      <c r="AL331" t="s">
        <v>86</v>
      </c>
      <c r="AM331">
        <v>16872</v>
      </c>
      <c r="AN331">
        <f t="shared" si="11"/>
        <v>16872</v>
      </c>
      <c r="AO331" t="s">
        <v>66</v>
      </c>
      <c r="AP331">
        <v>0</v>
      </c>
      <c r="AQ331" t="s">
        <v>66</v>
      </c>
      <c r="AR331">
        <v>0</v>
      </c>
      <c r="AS331" t="s">
        <v>66</v>
      </c>
      <c r="AT331">
        <v>0</v>
      </c>
      <c r="AU331" t="s">
        <v>66</v>
      </c>
      <c r="AV331">
        <v>0</v>
      </c>
      <c r="AW331" t="s">
        <v>66</v>
      </c>
      <c r="AX331">
        <v>0</v>
      </c>
      <c r="AY331" t="s">
        <v>66</v>
      </c>
      <c r="AZ331">
        <v>0</v>
      </c>
      <c r="BA331" t="s">
        <v>66</v>
      </c>
      <c r="BB331">
        <v>0</v>
      </c>
      <c r="BC331">
        <v>0</v>
      </c>
      <c r="BD331">
        <v>101232</v>
      </c>
      <c r="BE331">
        <v>13310.36</v>
      </c>
      <c r="BF331">
        <v>0</v>
      </c>
      <c r="BG331" t="s">
        <v>87</v>
      </c>
      <c r="BH331" t="s">
        <v>66</v>
      </c>
      <c r="BI331">
        <v>0</v>
      </c>
      <c r="BJ331" t="s">
        <v>66</v>
      </c>
      <c r="BK331" t="s">
        <v>88</v>
      </c>
      <c r="BL331" t="s">
        <v>66</v>
      </c>
      <c r="BM331" t="s">
        <v>159</v>
      </c>
    </row>
    <row r="332" spans="1:65" x14ac:dyDescent="0.25">
      <c r="A332">
        <v>330</v>
      </c>
      <c r="B332" t="s">
        <v>682</v>
      </c>
      <c r="C332" t="s">
        <v>68</v>
      </c>
      <c r="D332" s="1">
        <v>46205</v>
      </c>
      <c r="E332" t="s">
        <v>683</v>
      </c>
      <c r="F332" t="s">
        <v>68</v>
      </c>
      <c r="G332" t="s">
        <v>295</v>
      </c>
      <c r="H332" t="s">
        <v>296</v>
      </c>
      <c r="I332" t="s">
        <v>71</v>
      </c>
      <c r="J332" t="s">
        <v>72</v>
      </c>
      <c r="K332" t="s">
        <v>73</v>
      </c>
      <c r="L332" t="s">
        <v>74</v>
      </c>
      <c r="M332" t="s">
        <v>684</v>
      </c>
      <c r="N332" t="s">
        <v>274</v>
      </c>
      <c r="O332" t="s">
        <v>685</v>
      </c>
      <c r="P332" t="s">
        <v>686</v>
      </c>
      <c r="Q332" t="s">
        <v>687</v>
      </c>
      <c r="R332" s="1">
        <v>46206</v>
      </c>
      <c r="S332" t="s">
        <v>688</v>
      </c>
      <c r="T332" t="s">
        <v>689</v>
      </c>
      <c r="U332" t="s">
        <v>690</v>
      </c>
      <c r="V332" t="s">
        <v>66</v>
      </c>
      <c r="W332" t="s">
        <v>66</v>
      </c>
      <c r="X332">
        <v>413100</v>
      </c>
      <c r="Y332">
        <v>45441</v>
      </c>
      <c r="Z332">
        <v>240000</v>
      </c>
      <c r="AA332">
        <v>26400</v>
      </c>
      <c r="AB332">
        <v>458541</v>
      </c>
      <c r="AC332">
        <v>12</v>
      </c>
      <c r="AD332" t="s">
        <v>82</v>
      </c>
      <c r="AE332">
        <v>12</v>
      </c>
      <c r="AF332" t="s">
        <v>290</v>
      </c>
      <c r="AG332">
        <f>IFERROR(VLOOKUP(AF332,[1]STOK!J:O,6,0),"")</f>
        <v>12</v>
      </c>
      <c r="AH332" s="2">
        <f t="shared" si="10"/>
        <v>1</v>
      </c>
      <c r="AI332" t="s">
        <v>290</v>
      </c>
      <c r="AJ332" t="s">
        <v>291</v>
      </c>
      <c r="AK332" t="s">
        <v>292</v>
      </c>
      <c r="AL332" t="s">
        <v>86</v>
      </c>
      <c r="AM332">
        <v>22200</v>
      </c>
      <c r="AN332">
        <f t="shared" si="11"/>
        <v>22200</v>
      </c>
      <c r="AO332" t="s">
        <v>66</v>
      </c>
      <c r="AP332">
        <v>0</v>
      </c>
      <c r="AQ332" t="s">
        <v>66</v>
      </c>
      <c r="AR332">
        <v>0</v>
      </c>
      <c r="AS332" t="s">
        <v>66</v>
      </c>
      <c r="AT332">
        <v>0</v>
      </c>
      <c r="AU332" t="s">
        <v>66</v>
      </c>
      <c r="AV332">
        <v>0</v>
      </c>
      <c r="AW332" t="s">
        <v>66</v>
      </c>
      <c r="AX332">
        <v>0</v>
      </c>
      <c r="AY332" t="s">
        <v>66</v>
      </c>
      <c r="AZ332">
        <v>0</v>
      </c>
      <c r="BA332" t="s">
        <v>66</v>
      </c>
      <c r="BB332">
        <v>0</v>
      </c>
      <c r="BC332">
        <v>0</v>
      </c>
      <c r="BD332">
        <v>266400</v>
      </c>
      <c r="BE332">
        <v>18106.89</v>
      </c>
      <c r="BF332">
        <v>0</v>
      </c>
      <c r="BG332" t="s">
        <v>87</v>
      </c>
      <c r="BH332" t="s">
        <v>66</v>
      </c>
      <c r="BI332">
        <v>0</v>
      </c>
      <c r="BJ332" t="s">
        <v>66</v>
      </c>
      <c r="BK332" t="s">
        <v>88</v>
      </c>
      <c r="BL332" t="s">
        <v>66</v>
      </c>
      <c r="BM332" t="s">
        <v>159</v>
      </c>
    </row>
    <row r="333" spans="1:65" x14ac:dyDescent="0.25">
      <c r="A333">
        <v>331</v>
      </c>
      <c r="B333" t="s">
        <v>691</v>
      </c>
      <c r="C333" t="s">
        <v>692</v>
      </c>
      <c r="D333" s="1">
        <v>46205</v>
      </c>
      <c r="E333" t="s">
        <v>693</v>
      </c>
      <c r="F333" t="s">
        <v>694</v>
      </c>
      <c r="G333" t="s">
        <v>295</v>
      </c>
      <c r="H333" t="s">
        <v>296</v>
      </c>
      <c r="I333" t="s">
        <v>71</v>
      </c>
      <c r="J333" t="s">
        <v>72</v>
      </c>
      <c r="K333" t="s">
        <v>73</v>
      </c>
      <c r="L333" t="s">
        <v>74</v>
      </c>
      <c r="M333" t="s">
        <v>695</v>
      </c>
      <c r="N333" t="s">
        <v>696</v>
      </c>
      <c r="O333" t="s">
        <v>697</v>
      </c>
      <c r="P333" t="s">
        <v>698</v>
      </c>
      <c r="Q333" t="s">
        <v>699</v>
      </c>
      <c r="R333" s="1">
        <v>46206</v>
      </c>
      <c r="S333" t="s">
        <v>700</v>
      </c>
      <c r="T333" t="s">
        <v>701</v>
      </c>
      <c r="U333" t="s">
        <v>702</v>
      </c>
      <c r="V333" t="s">
        <v>66</v>
      </c>
      <c r="W333" t="s">
        <v>66</v>
      </c>
      <c r="X333">
        <v>192060</v>
      </c>
      <c r="Y333">
        <v>21126.6</v>
      </c>
      <c r="Z333">
        <v>192060</v>
      </c>
      <c r="AA333">
        <v>21126.6</v>
      </c>
      <c r="AB333">
        <v>213186.6</v>
      </c>
      <c r="AC333">
        <v>12</v>
      </c>
      <c r="AD333" t="s">
        <v>82</v>
      </c>
      <c r="AE333">
        <v>12</v>
      </c>
      <c r="AF333" t="s">
        <v>99</v>
      </c>
      <c r="AG333">
        <f>IFERROR(VLOOKUP(AF333,[1]STOK!J:O,6,0),"")</f>
        <v>24</v>
      </c>
      <c r="AH333" s="2">
        <f t="shared" si="10"/>
        <v>0.5</v>
      </c>
      <c r="AI333" t="s">
        <v>99</v>
      </c>
      <c r="AJ333" t="s">
        <v>100</v>
      </c>
      <c r="AK333" t="s">
        <v>101</v>
      </c>
      <c r="AL333" t="s">
        <v>86</v>
      </c>
      <c r="AM333">
        <v>18315</v>
      </c>
      <c r="AN333">
        <f t="shared" si="11"/>
        <v>17765.55</v>
      </c>
      <c r="AO333" t="s">
        <v>66</v>
      </c>
      <c r="AP333">
        <v>3</v>
      </c>
      <c r="AQ333" t="s">
        <v>66</v>
      </c>
      <c r="AR333">
        <v>0</v>
      </c>
      <c r="AS333" t="s">
        <v>66</v>
      </c>
      <c r="AT333">
        <v>0</v>
      </c>
      <c r="AU333" t="s">
        <v>66</v>
      </c>
      <c r="AV333">
        <v>0</v>
      </c>
      <c r="AW333" t="s">
        <v>66</v>
      </c>
      <c r="AX333">
        <v>0</v>
      </c>
      <c r="AY333" t="s">
        <v>66</v>
      </c>
      <c r="AZ333">
        <v>0</v>
      </c>
      <c r="BA333" t="s">
        <v>66</v>
      </c>
      <c r="BB333">
        <v>0</v>
      </c>
      <c r="BC333">
        <v>0</v>
      </c>
      <c r="BD333">
        <v>213186.6</v>
      </c>
      <c r="BE333">
        <v>14915.33</v>
      </c>
      <c r="BF333">
        <v>0</v>
      </c>
      <c r="BG333" t="s">
        <v>87</v>
      </c>
      <c r="BH333" t="s">
        <v>66</v>
      </c>
      <c r="BI333">
        <v>0</v>
      </c>
      <c r="BJ333" t="s">
        <v>66</v>
      </c>
      <c r="BK333" t="s">
        <v>88</v>
      </c>
      <c r="BL333" t="s">
        <v>66</v>
      </c>
      <c r="BM333" t="s">
        <v>159</v>
      </c>
    </row>
    <row r="334" spans="1:65" x14ac:dyDescent="0.25">
      <c r="A334">
        <v>332</v>
      </c>
      <c r="B334" t="s">
        <v>703</v>
      </c>
      <c r="C334" t="s">
        <v>704</v>
      </c>
      <c r="D334" s="1">
        <v>46205</v>
      </c>
      <c r="E334" t="s">
        <v>705</v>
      </c>
      <c r="F334" t="s">
        <v>706</v>
      </c>
      <c r="G334" t="s">
        <v>295</v>
      </c>
      <c r="H334" t="s">
        <v>296</v>
      </c>
      <c r="I334" t="s">
        <v>71</v>
      </c>
      <c r="J334" t="s">
        <v>72</v>
      </c>
      <c r="K334" t="s">
        <v>73</v>
      </c>
      <c r="L334" t="s">
        <v>74</v>
      </c>
      <c r="M334" t="s">
        <v>695</v>
      </c>
      <c r="N334" t="s">
        <v>696</v>
      </c>
      <c r="O334" t="s">
        <v>697</v>
      </c>
      <c r="P334" t="s">
        <v>698</v>
      </c>
      <c r="Q334" t="s">
        <v>707</v>
      </c>
      <c r="R334" s="1">
        <v>46206</v>
      </c>
      <c r="S334" t="s">
        <v>700</v>
      </c>
      <c r="T334" t="s">
        <v>701</v>
      </c>
      <c r="U334" t="s">
        <v>702</v>
      </c>
      <c r="V334" t="s">
        <v>66</v>
      </c>
      <c r="W334" t="s">
        <v>66</v>
      </c>
      <c r="X334">
        <v>192060</v>
      </c>
      <c r="Y334">
        <v>21126.6</v>
      </c>
      <c r="Z334">
        <v>192060</v>
      </c>
      <c r="AA334">
        <v>21126.6</v>
      </c>
      <c r="AB334">
        <v>213186.6</v>
      </c>
      <c r="AC334">
        <v>12</v>
      </c>
      <c r="AD334" t="s">
        <v>82</v>
      </c>
      <c r="AE334">
        <v>12</v>
      </c>
      <c r="AF334" t="s">
        <v>93</v>
      </c>
      <c r="AG334">
        <f>IFERROR(VLOOKUP(AF334,[1]STOK!J:O,6,0),"")</f>
        <v>24</v>
      </c>
      <c r="AH334" s="2">
        <f t="shared" si="10"/>
        <v>0.5</v>
      </c>
      <c r="AI334" t="s">
        <v>93</v>
      </c>
      <c r="AJ334" t="s">
        <v>94</v>
      </c>
      <c r="AK334" t="s">
        <v>95</v>
      </c>
      <c r="AL334" t="s">
        <v>86</v>
      </c>
      <c r="AM334">
        <v>18315</v>
      </c>
      <c r="AN334">
        <f t="shared" si="11"/>
        <v>17765.55</v>
      </c>
      <c r="AO334" t="s">
        <v>66</v>
      </c>
      <c r="AP334">
        <v>3</v>
      </c>
      <c r="AQ334" t="s">
        <v>66</v>
      </c>
      <c r="AR334">
        <v>0</v>
      </c>
      <c r="AS334" t="s">
        <v>66</v>
      </c>
      <c r="AT334">
        <v>0</v>
      </c>
      <c r="AU334" t="s">
        <v>66</v>
      </c>
      <c r="AV334">
        <v>0</v>
      </c>
      <c r="AW334" t="s">
        <v>66</v>
      </c>
      <c r="AX334">
        <v>0</v>
      </c>
      <c r="AY334" t="s">
        <v>66</v>
      </c>
      <c r="AZ334">
        <v>0</v>
      </c>
      <c r="BA334" t="s">
        <v>66</v>
      </c>
      <c r="BB334">
        <v>0</v>
      </c>
      <c r="BC334">
        <v>0</v>
      </c>
      <c r="BD334">
        <v>213186.6</v>
      </c>
      <c r="BE334">
        <v>14931.72</v>
      </c>
      <c r="BF334">
        <v>0</v>
      </c>
      <c r="BG334" t="s">
        <v>87</v>
      </c>
      <c r="BH334" t="s">
        <v>66</v>
      </c>
      <c r="BI334">
        <v>0</v>
      </c>
      <c r="BJ334" t="s">
        <v>66</v>
      </c>
      <c r="BK334" t="s">
        <v>88</v>
      </c>
      <c r="BL334" t="s">
        <v>66</v>
      </c>
      <c r="BM334" t="s">
        <v>159</v>
      </c>
    </row>
    <row r="335" spans="1:65" x14ac:dyDescent="0.25">
      <c r="A335">
        <v>333</v>
      </c>
      <c r="B335" t="s">
        <v>708</v>
      </c>
      <c r="C335" t="s">
        <v>709</v>
      </c>
      <c r="D335" s="1">
        <v>46205</v>
      </c>
      <c r="E335" t="s">
        <v>710</v>
      </c>
      <c r="F335" t="s">
        <v>711</v>
      </c>
      <c r="G335" t="s">
        <v>295</v>
      </c>
      <c r="H335" t="s">
        <v>296</v>
      </c>
      <c r="I335" t="s">
        <v>71</v>
      </c>
      <c r="J335" t="s">
        <v>72</v>
      </c>
      <c r="K335" t="s">
        <v>73</v>
      </c>
      <c r="L335" t="s">
        <v>74</v>
      </c>
      <c r="M335" t="s">
        <v>712</v>
      </c>
      <c r="N335" t="s">
        <v>76</v>
      </c>
      <c r="O335" t="s">
        <v>713</v>
      </c>
      <c r="P335" t="s">
        <v>714</v>
      </c>
      <c r="Q335" t="s">
        <v>715</v>
      </c>
      <c r="R335" s="1">
        <v>46200</v>
      </c>
      <c r="S335" t="s">
        <v>716</v>
      </c>
      <c r="T335" t="s">
        <v>717</v>
      </c>
      <c r="U335" t="s">
        <v>718</v>
      </c>
      <c r="V335" t="s">
        <v>66</v>
      </c>
      <c r="W335" t="s">
        <v>66</v>
      </c>
      <c r="X335">
        <v>1199226</v>
      </c>
      <c r="Y335">
        <v>131914.85999999999</v>
      </c>
      <c r="Z335">
        <v>54096</v>
      </c>
      <c r="AA335">
        <v>5950.56</v>
      </c>
      <c r="AB335">
        <v>1331140.8600000001</v>
      </c>
      <c r="AC335">
        <v>3</v>
      </c>
      <c r="AD335" t="s">
        <v>82</v>
      </c>
      <c r="AE335">
        <v>3</v>
      </c>
      <c r="AF335" t="s">
        <v>160</v>
      </c>
      <c r="AG335">
        <f>IFERROR(VLOOKUP(AF335,[1]STOK!J:O,6,0),"")</f>
        <v>12</v>
      </c>
      <c r="AH335" s="2">
        <f t="shared" si="10"/>
        <v>0.25</v>
      </c>
      <c r="AI335" t="s">
        <v>160</v>
      </c>
      <c r="AJ335" t="s">
        <v>161</v>
      </c>
      <c r="AK335" t="s">
        <v>162</v>
      </c>
      <c r="AL335" t="s">
        <v>86</v>
      </c>
      <c r="AM335">
        <v>20424</v>
      </c>
      <c r="AN335">
        <f t="shared" si="11"/>
        <v>20015.52</v>
      </c>
      <c r="AO335" t="s">
        <v>66</v>
      </c>
      <c r="AP335">
        <v>2</v>
      </c>
      <c r="AQ335" t="s">
        <v>66</v>
      </c>
      <c r="AR335">
        <v>0</v>
      </c>
      <c r="AS335" t="s">
        <v>66</v>
      </c>
      <c r="AT335">
        <v>0</v>
      </c>
      <c r="AU335" t="s">
        <v>66</v>
      </c>
      <c r="AV335">
        <v>0</v>
      </c>
      <c r="AW335" t="s">
        <v>66</v>
      </c>
      <c r="AX335">
        <v>0</v>
      </c>
      <c r="AY335" t="s">
        <v>66</v>
      </c>
      <c r="AZ335">
        <v>0</v>
      </c>
      <c r="BA335" t="s">
        <v>66</v>
      </c>
      <c r="BB335">
        <v>0</v>
      </c>
      <c r="BC335">
        <v>0</v>
      </c>
      <c r="BD335">
        <v>60046.559999999998</v>
      </c>
      <c r="BE335">
        <v>16647.310000000001</v>
      </c>
      <c r="BF335">
        <v>0</v>
      </c>
      <c r="BG335" t="s">
        <v>87</v>
      </c>
      <c r="BH335" t="s">
        <v>66</v>
      </c>
      <c r="BI335">
        <v>0</v>
      </c>
      <c r="BJ335" t="s">
        <v>66</v>
      </c>
      <c r="BK335" t="s">
        <v>88</v>
      </c>
      <c r="BL335" t="s">
        <v>719</v>
      </c>
      <c r="BM335" t="s">
        <v>159</v>
      </c>
    </row>
    <row r="336" spans="1:65" x14ac:dyDescent="0.25">
      <c r="A336">
        <v>334</v>
      </c>
      <c r="B336" t="s">
        <v>708</v>
      </c>
      <c r="C336" t="s">
        <v>709</v>
      </c>
      <c r="D336" s="1">
        <v>46205</v>
      </c>
      <c r="E336" t="s">
        <v>710</v>
      </c>
      <c r="F336" t="s">
        <v>711</v>
      </c>
      <c r="G336" t="s">
        <v>295</v>
      </c>
      <c r="H336" t="s">
        <v>296</v>
      </c>
      <c r="I336" t="s">
        <v>71</v>
      </c>
      <c r="J336" t="s">
        <v>72</v>
      </c>
      <c r="K336" t="s">
        <v>73</v>
      </c>
      <c r="L336" t="s">
        <v>74</v>
      </c>
      <c r="M336" t="s">
        <v>712</v>
      </c>
      <c r="N336" t="s">
        <v>76</v>
      </c>
      <c r="O336" t="s">
        <v>713</v>
      </c>
      <c r="P336" t="s">
        <v>714</v>
      </c>
      <c r="Q336" t="s">
        <v>715</v>
      </c>
      <c r="R336" s="1">
        <v>46200</v>
      </c>
      <c r="S336" t="s">
        <v>716</v>
      </c>
      <c r="T336" t="s">
        <v>717</v>
      </c>
      <c r="U336" t="s">
        <v>718</v>
      </c>
      <c r="V336" t="s">
        <v>66</v>
      </c>
      <c r="W336" t="s">
        <v>66</v>
      </c>
      <c r="X336">
        <v>1199226</v>
      </c>
      <c r="Y336">
        <v>131914.85999999999</v>
      </c>
      <c r="Z336">
        <v>54096</v>
      </c>
      <c r="AA336">
        <v>5950.56</v>
      </c>
      <c r="AB336">
        <v>1331140.8600000001</v>
      </c>
      <c r="AC336">
        <v>3</v>
      </c>
      <c r="AD336" t="s">
        <v>82</v>
      </c>
      <c r="AE336">
        <v>3</v>
      </c>
      <c r="AF336" t="s">
        <v>720</v>
      </c>
      <c r="AG336">
        <f>IFERROR(VLOOKUP(AF336,[1]STOK!J:O,6,0),"")</f>
        <v>12</v>
      </c>
      <c r="AH336" s="2">
        <f t="shared" si="10"/>
        <v>0.25</v>
      </c>
      <c r="AI336" t="s">
        <v>720</v>
      </c>
      <c r="AJ336" t="s">
        <v>721</v>
      </c>
      <c r="AK336" t="s">
        <v>722</v>
      </c>
      <c r="AL336" t="s">
        <v>86</v>
      </c>
      <c r="AM336">
        <v>20424</v>
      </c>
      <c r="AN336">
        <f t="shared" si="11"/>
        <v>20015.52</v>
      </c>
      <c r="AO336" t="s">
        <v>66</v>
      </c>
      <c r="AP336">
        <v>2</v>
      </c>
      <c r="AQ336" t="s">
        <v>66</v>
      </c>
      <c r="AR336">
        <v>0</v>
      </c>
      <c r="AS336" t="s">
        <v>66</v>
      </c>
      <c r="AT336">
        <v>0</v>
      </c>
      <c r="AU336" t="s">
        <v>66</v>
      </c>
      <c r="AV336">
        <v>0</v>
      </c>
      <c r="AW336" t="s">
        <v>66</v>
      </c>
      <c r="AX336">
        <v>0</v>
      </c>
      <c r="AY336" t="s">
        <v>66</v>
      </c>
      <c r="AZ336">
        <v>0</v>
      </c>
      <c r="BA336" t="s">
        <v>66</v>
      </c>
      <c r="BB336">
        <v>0</v>
      </c>
      <c r="BC336">
        <v>0</v>
      </c>
      <c r="BD336">
        <v>60046.559999999998</v>
      </c>
      <c r="BE336">
        <v>16631.75</v>
      </c>
      <c r="BF336">
        <v>0</v>
      </c>
      <c r="BG336" t="s">
        <v>87</v>
      </c>
      <c r="BH336" t="s">
        <v>66</v>
      </c>
      <c r="BI336">
        <v>0</v>
      </c>
      <c r="BJ336" t="s">
        <v>66</v>
      </c>
      <c r="BK336" t="s">
        <v>88</v>
      </c>
      <c r="BL336" t="s">
        <v>719</v>
      </c>
      <c r="BM336" t="s">
        <v>159</v>
      </c>
    </row>
    <row r="337" spans="1:65" x14ac:dyDescent="0.25">
      <c r="A337">
        <v>335</v>
      </c>
      <c r="B337" t="s">
        <v>708</v>
      </c>
      <c r="C337" t="s">
        <v>709</v>
      </c>
      <c r="D337" s="1">
        <v>46205</v>
      </c>
      <c r="E337" t="s">
        <v>710</v>
      </c>
      <c r="F337" t="s">
        <v>711</v>
      </c>
      <c r="G337" t="s">
        <v>295</v>
      </c>
      <c r="H337" t="s">
        <v>296</v>
      </c>
      <c r="I337" t="s">
        <v>71</v>
      </c>
      <c r="J337" t="s">
        <v>72</v>
      </c>
      <c r="K337" t="s">
        <v>73</v>
      </c>
      <c r="L337" t="s">
        <v>74</v>
      </c>
      <c r="M337" t="s">
        <v>712</v>
      </c>
      <c r="N337" t="s">
        <v>76</v>
      </c>
      <c r="O337" t="s">
        <v>713</v>
      </c>
      <c r="P337" t="s">
        <v>714</v>
      </c>
      <c r="Q337" t="s">
        <v>715</v>
      </c>
      <c r="R337" s="1">
        <v>46200</v>
      </c>
      <c r="S337" t="s">
        <v>716</v>
      </c>
      <c r="T337" t="s">
        <v>717</v>
      </c>
      <c r="U337" t="s">
        <v>718</v>
      </c>
      <c r="V337" t="s">
        <v>66</v>
      </c>
      <c r="W337" t="s">
        <v>66</v>
      </c>
      <c r="X337">
        <v>1199226</v>
      </c>
      <c r="Y337">
        <v>131914.85999999999</v>
      </c>
      <c r="Z337">
        <v>162288</v>
      </c>
      <c r="AA337">
        <v>17851.68</v>
      </c>
      <c r="AB337">
        <v>1331140.8600000001</v>
      </c>
      <c r="AC337">
        <v>9</v>
      </c>
      <c r="AD337" t="s">
        <v>82</v>
      </c>
      <c r="AE337">
        <v>9</v>
      </c>
      <c r="AF337" t="s">
        <v>116</v>
      </c>
      <c r="AG337">
        <f>IFERROR(VLOOKUP(AF337,[1]STOK!J:O,6,0),"")</f>
        <v>12</v>
      </c>
      <c r="AH337" s="2">
        <f t="shared" si="10"/>
        <v>0.75</v>
      </c>
      <c r="AI337" t="s">
        <v>116</v>
      </c>
      <c r="AJ337" t="s">
        <v>117</v>
      </c>
      <c r="AK337" t="s">
        <v>118</v>
      </c>
      <c r="AL337" t="s">
        <v>86</v>
      </c>
      <c r="AM337">
        <v>20424</v>
      </c>
      <c r="AN337">
        <f t="shared" si="11"/>
        <v>20015.52</v>
      </c>
      <c r="AO337" t="s">
        <v>66</v>
      </c>
      <c r="AP337">
        <v>2</v>
      </c>
      <c r="AQ337" t="s">
        <v>66</v>
      </c>
      <c r="AR337">
        <v>0</v>
      </c>
      <c r="AS337" t="s">
        <v>66</v>
      </c>
      <c r="AT337">
        <v>0</v>
      </c>
      <c r="AU337" t="s">
        <v>66</v>
      </c>
      <c r="AV337">
        <v>0</v>
      </c>
      <c r="AW337" t="s">
        <v>66</v>
      </c>
      <c r="AX337">
        <v>0</v>
      </c>
      <c r="AY337" t="s">
        <v>66</v>
      </c>
      <c r="AZ337">
        <v>0</v>
      </c>
      <c r="BA337" t="s">
        <v>66</v>
      </c>
      <c r="BB337">
        <v>0</v>
      </c>
      <c r="BC337">
        <v>0</v>
      </c>
      <c r="BD337">
        <v>180139.68</v>
      </c>
      <c r="BE337">
        <v>16534.41</v>
      </c>
      <c r="BF337">
        <v>0</v>
      </c>
      <c r="BG337" t="s">
        <v>87</v>
      </c>
      <c r="BH337" t="s">
        <v>66</v>
      </c>
      <c r="BI337">
        <v>0</v>
      </c>
      <c r="BJ337" t="s">
        <v>66</v>
      </c>
      <c r="BK337" t="s">
        <v>88</v>
      </c>
      <c r="BL337" t="s">
        <v>719</v>
      </c>
      <c r="BM337" t="s">
        <v>159</v>
      </c>
    </row>
    <row r="338" spans="1:65" x14ac:dyDescent="0.25">
      <c r="A338">
        <v>336</v>
      </c>
      <c r="B338" t="s">
        <v>708</v>
      </c>
      <c r="C338" t="s">
        <v>709</v>
      </c>
      <c r="D338" s="1">
        <v>46205</v>
      </c>
      <c r="E338" t="s">
        <v>710</v>
      </c>
      <c r="F338" t="s">
        <v>711</v>
      </c>
      <c r="G338" t="s">
        <v>295</v>
      </c>
      <c r="H338" t="s">
        <v>296</v>
      </c>
      <c r="I338" t="s">
        <v>71</v>
      </c>
      <c r="J338" t="s">
        <v>72</v>
      </c>
      <c r="K338" t="s">
        <v>73</v>
      </c>
      <c r="L338" t="s">
        <v>74</v>
      </c>
      <c r="M338" t="s">
        <v>712</v>
      </c>
      <c r="N338" t="s">
        <v>76</v>
      </c>
      <c r="O338" t="s">
        <v>713</v>
      </c>
      <c r="P338" t="s">
        <v>714</v>
      </c>
      <c r="Q338" t="s">
        <v>715</v>
      </c>
      <c r="R338" s="1">
        <v>46200</v>
      </c>
      <c r="S338" t="s">
        <v>716</v>
      </c>
      <c r="T338" t="s">
        <v>717</v>
      </c>
      <c r="U338" t="s">
        <v>718</v>
      </c>
      <c r="V338" t="s">
        <v>66</v>
      </c>
      <c r="W338" t="s">
        <v>66</v>
      </c>
      <c r="X338">
        <v>1199226</v>
      </c>
      <c r="Y338">
        <v>131914.85999999999</v>
      </c>
      <c r="Z338">
        <v>21756</v>
      </c>
      <c r="AA338">
        <v>2393.16</v>
      </c>
      <c r="AB338">
        <v>1331140.8600000001</v>
      </c>
      <c r="AC338">
        <v>3</v>
      </c>
      <c r="AD338" t="s">
        <v>82</v>
      </c>
      <c r="AE338">
        <v>3</v>
      </c>
      <c r="AF338" t="s">
        <v>262</v>
      </c>
      <c r="AG338">
        <f>IFERROR(VLOOKUP(AF338,[1]STOK!J:O,6,0),"")</f>
        <v>24</v>
      </c>
      <c r="AH338" s="2">
        <f t="shared" si="10"/>
        <v>0.125</v>
      </c>
      <c r="AI338" t="s">
        <v>262</v>
      </c>
      <c r="AJ338" t="s">
        <v>263</v>
      </c>
      <c r="AK338" t="s">
        <v>264</v>
      </c>
      <c r="AL338" t="s">
        <v>86</v>
      </c>
      <c r="AM338">
        <v>8214</v>
      </c>
      <c r="AN338">
        <f t="shared" si="11"/>
        <v>8049.72</v>
      </c>
      <c r="AO338" t="s">
        <v>66</v>
      </c>
      <c r="AP338">
        <v>2</v>
      </c>
      <c r="AQ338" t="s">
        <v>66</v>
      </c>
      <c r="AR338">
        <v>0</v>
      </c>
      <c r="AS338" t="s">
        <v>66</v>
      </c>
      <c r="AT338">
        <v>0</v>
      </c>
      <c r="AU338" t="s">
        <v>66</v>
      </c>
      <c r="AV338">
        <v>0</v>
      </c>
      <c r="AW338" t="s">
        <v>66</v>
      </c>
      <c r="AX338">
        <v>0</v>
      </c>
      <c r="AY338" t="s">
        <v>66</v>
      </c>
      <c r="AZ338">
        <v>0</v>
      </c>
      <c r="BA338" t="s">
        <v>66</v>
      </c>
      <c r="BB338">
        <v>0</v>
      </c>
      <c r="BC338">
        <v>0</v>
      </c>
      <c r="BD338">
        <v>24149.16</v>
      </c>
      <c r="BE338">
        <v>6693.78</v>
      </c>
      <c r="BF338">
        <v>0</v>
      </c>
      <c r="BG338" t="s">
        <v>87</v>
      </c>
      <c r="BH338" t="s">
        <v>66</v>
      </c>
      <c r="BI338">
        <v>0</v>
      </c>
      <c r="BJ338" t="s">
        <v>66</v>
      </c>
      <c r="BK338" t="s">
        <v>88</v>
      </c>
      <c r="BL338" t="s">
        <v>719</v>
      </c>
      <c r="BM338" t="s">
        <v>159</v>
      </c>
    </row>
    <row r="339" spans="1:65" x14ac:dyDescent="0.25">
      <c r="A339">
        <v>337</v>
      </c>
      <c r="B339" t="s">
        <v>708</v>
      </c>
      <c r="C339" t="s">
        <v>709</v>
      </c>
      <c r="D339" s="1">
        <v>46205</v>
      </c>
      <c r="E339" t="s">
        <v>710</v>
      </c>
      <c r="F339" t="s">
        <v>711</v>
      </c>
      <c r="G339" t="s">
        <v>295</v>
      </c>
      <c r="H339" t="s">
        <v>296</v>
      </c>
      <c r="I339" t="s">
        <v>71</v>
      </c>
      <c r="J339" t="s">
        <v>72</v>
      </c>
      <c r="K339" t="s">
        <v>73</v>
      </c>
      <c r="L339" t="s">
        <v>74</v>
      </c>
      <c r="M339" t="s">
        <v>712</v>
      </c>
      <c r="N339" t="s">
        <v>76</v>
      </c>
      <c r="O339" t="s">
        <v>713</v>
      </c>
      <c r="P339" t="s">
        <v>714</v>
      </c>
      <c r="Q339" t="s">
        <v>715</v>
      </c>
      <c r="R339" s="1">
        <v>46200</v>
      </c>
      <c r="S339" t="s">
        <v>716</v>
      </c>
      <c r="T339" t="s">
        <v>717</v>
      </c>
      <c r="U339" t="s">
        <v>718</v>
      </c>
      <c r="V339" t="s">
        <v>66</v>
      </c>
      <c r="W339" t="s">
        <v>66</v>
      </c>
      <c r="X339">
        <v>1199226</v>
      </c>
      <c r="Y339">
        <v>131914.85999999999</v>
      </c>
      <c r="Z339">
        <v>43512</v>
      </c>
      <c r="AA339">
        <v>4786.32</v>
      </c>
      <c r="AB339">
        <v>1331140.8600000001</v>
      </c>
      <c r="AC339">
        <v>3</v>
      </c>
      <c r="AD339" t="s">
        <v>82</v>
      </c>
      <c r="AE339">
        <v>3</v>
      </c>
      <c r="AF339" t="s">
        <v>119</v>
      </c>
      <c r="AG339">
        <f>IFERROR(VLOOKUP(AF339,[1]STOK!J:O,6,0),"")</f>
        <v>12</v>
      </c>
      <c r="AH339" s="2">
        <f t="shared" si="10"/>
        <v>0.25</v>
      </c>
      <c r="AI339" t="s">
        <v>119</v>
      </c>
      <c r="AJ339" t="s">
        <v>120</v>
      </c>
      <c r="AK339" t="s">
        <v>121</v>
      </c>
      <c r="AL339" t="s">
        <v>86</v>
      </c>
      <c r="AM339">
        <v>16428</v>
      </c>
      <c r="AN339">
        <f t="shared" si="11"/>
        <v>16099.44</v>
      </c>
      <c r="AO339" t="s">
        <v>66</v>
      </c>
      <c r="AP339">
        <v>2</v>
      </c>
      <c r="AQ339" t="s">
        <v>66</v>
      </c>
      <c r="AR339">
        <v>0</v>
      </c>
      <c r="AS339" t="s">
        <v>66</v>
      </c>
      <c r="AT339">
        <v>0</v>
      </c>
      <c r="AU339" t="s">
        <v>66</v>
      </c>
      <c r="AV339">
        <v>0</v>
      </c>
      <c r="AW339" t="s">
        <v>66</v>
      </c>
      <c r="AX339">
        <v>0</v>
      </c>
      <c r="AY339" t="s">
        <v>66</v>
      </c>
      <c r="AZ339">
        <v>0</v>
      </c>
      <c r="BA339" t="s">
        <v>66</v>
      </c>
      <c r="BB339">
        <v>0</v>
      </c>
      <c r="BC339">
        <v>0</v>
      </c>
      <c r="BD339">
        <v>48298.32</v>
      </c>
      <c r="BE339">
        <v>13306.83</v>
      </c>
      <c r="BF339">
        <v>0</v>
      </c>
      <c r="BG339" t="s">
        <v>87</v>
      </c>
      <c r="BH339" t="s">
        <v>66</v>
      </c>
      <c r="BI339">
        <v>0</v>
      </c>
      <c r="BJ339" t="s">
        <v>66</v>
      </c>
      <c r="BK339" t="s">
        <v>88</v>
      </c>
      <c r="BL339" t="s">
        <v>719</v>
      </c>
      <c r="BM339" t="s">
        <v>159</v>
      </c>
    </row>
    <row r="340" spans="1:65" x14ac:dyDescent="0.25">
      <c r="A340">
        <v>338</v>
      </c>
      <c r="B340" t="s">
        <v>708</v>
      </c>
      <c r="C340" t="s">
        <v>709</v>
      </c>
      <c r="D340" s="1">
        <v>46205</v>
      </c>
      <c r="E340" t="s">
        <v>710</v>
      </c>
      <c r="F340" t="s">
        <v>711</v>
      </c>
      <c r="G340" t="s">
        <v>295</v>
      </c>
      <c r="H340" t="s">
        <v>296</v>
      </c>
      <c r="I340" t="s">
        <v>71</v>
      </c>
      <c r="J340" t="s">
        <v>72</v>
      </c>
      <c r="K340" t="s">
        <v>73</v>
      </c>
      <c r="L340" t="s">
        <v>74</v>
      </c>
      <c r="M340" t="s">
        <v>712</v>
      </c>
      <c r="N340" t="s">
        <v>76</v>
      </c>
      <c r="O340" t="s">
        <v>713</v>
      </c>
      <c r="P340" t="s">
        <v>714</v>
      </c>
      <c r="Q340" t="s">
        <v>715</v>
      </c>
      <c r="R340" s="1">
        <v>46200</v>
      </c>
      <c r="S340" t="s">
        <v>716</v>
      </c>
      <c r="T340" t="s">
        <v>717</v>
      </c>
      <c r="U340" t="s">
        <v>718</v>
      </c>
      <c r="V340" t="s">
        <v>66</v>
      </c>
      <c r="W340" t="s">
        <v>66</v>
      </c>
      <c r="X340">
        <v>1199226</v>
      </c>
      <c r="Y340">
        <v>131914.85999999999</v>
      </c>
      <c r="Z340">
        <v>29694</v>
      </c>
      <c r="AA340">
        <v>3266.34</v>
      </c>
      <c r="AB340">
        <v>1331140.8600000001</v>
      </c>
      <c r="AC340">
        <v>3</v>
      </c>
      <c r="AD340" t="s">
        <v>82</v>
      </c>
      <c r="AE340">
        <v>3</v>
      </c>
      <c r="AF340" t="s">
        <v>723</v>
      </c>
      <c r="AG340">
        <f>IFERROR(VLOOKUP(AF340,[1]STOK!J:O,6,0),"")</f>
        <v>24</v>
      </c>
      <c r="AH340" s="2">
        <f t="shared" si="10"/>
        <v>0.125</v>
      </c>
      <c r="AI340" t="s">
        <v>723</v>
      </c>
      <c r="AJ340" t="s">
        <v>724</v>
      </c>
      <c r="AK340" t="s">
        <v>725</v>
      </c>
      <c r="AL340" t="s">
        <v>86</v>
      </c>
      <c r="AM340">
        <v>11211</v>
      </c>
      <c r="AN340">
        <f t="shared" si="11"/>
        <v>10986.779999999999</v>
      </c>
      <c r="AO340" t="s">
        <v>66</v>
      </c>
      <c r="AP340">
        <v>2</v>
      </c>
      <c r="AQ340" t="s">
        <v>66</v>
      </c>
      <c r="AR340">
        <v>0</v>
      </c>
      <c r="AS340" t="s">
        <v>66</v>
      </c>
      <c r="AT340">
        <v>0</v>
      </c>
      <c r="AU340" t="s">
        <v>66</v>
      </c>
      <c r="AV340">
        <v>0</v>
      </c>
      <c r="AW340" t="s">
        <v>66</v>
      </c>
      <c r="AX340">
        <v>0</v>
      </c>
      <c r="AY340" t="s">
        <v>66</v>
      </c>
      <c r="AZ340">
        <v>0</v>
      </c>
      <c r="BA340" t="s">
        <v>66</v>
      </c>
      <c r="BB340">
        <v>0</v>
      </c>
      <c r="BC340">
        <v>0</v>
      </c>
      <c r="BD340">
        <v>32960.339999999997</v>
      </c>
      <c r="BE340">
        <v>8847.39</v>
      </c>
      <c r="BF340">
        <v>0</v>
      </c>
      <c r="BG340" t="s">
        <v>87</v>
      </c>
      <c r="BH340" t="s">
        <v>66</v>
      </c>
      <c r="BI340">
        <v>0</v>
      </c>
      <c r="BJ340" t="s">
        <v>66</v>
      </c>
      <c r="BK340" t="s">
        <v>88</v>
      </c>
      <c r="BL340" t="s">
        <v>719</v>
      </c>
      <c r="BM340" t="s">
        <v>159</v>
      </c>
    </row>
    <row r="341" spans="1:65" x14ac:dyDescent="0.25">
      <c r="A341">
        <v>339</v>
      </c>
      <c r="B341" t="s">
        <v>708</v>
      </c>
      <c r="C341" t="s">
        <v>709</v>
      </c>
      <c r="D341" s="1">
        <v>46205</v>
      </c>
      <c r="E341" t="s">
        <v>710</v>
      </c>
      <c r="F341" t="s">
        <v>711</v>
      </c>
      <c r="G341" t="s">
        <v>295</v>
      </c>
      <c r="H341" t="s">
        <v>296</v>
      </c>
      <c r="I341" t="s">
        <v>71</v>
      </c>
      <c r="J341" t="s">
        <v>72</v>
      </c>
      <c r="K341" t="s">
        <v>73</v>
      </c>
      <c r="L341" t="s">
        <v>74</v>
      </c>
      <c r="M341" t="s">
        <v>712</v>
      </c>
      <c r="N341" t="s">
        <v>76</v>
      </c>
      <c r="O341" t="s">
        <v>713</v>
      </c>
      <c r="P341" t="s">
        <v>714</v>
      </c>
      <c r="Q341" t="s">
        <v>715</v>
      </c>
      <c r="R341" s="1">
        <v>46200</v>
      </c>
      <c r="S341" t="s">
        <v>716</v>
      </c>
      <c r="T341" t="s">
        <v>717</v>
      </c>
      <c r="U341" t="s">
        <v>718</v>
      </c>
      <c r="V341" t="s">
        <v>66</v>
      </c>
      <c r="W341" t="s">
        <v>66</v>
      </c>
      <c r="X341">
        <v>1199226</v>
      </c>
      <c r="Y341">
        <v>131914.85999999999</v>
      </c>
      <c r="Z341">
        <v>23226</v>
      </c>
      <c r="AA341">
        <v>2554.86</v>
      </c>
      <c r="AB341">
        <v>1331140.8600000001</v>
      </c>
      <c r="AC341">
        <v>3</v>
      </c>
      <c r="AD341" t="s">
        <v>82</v>
      </c>
      <c r="AE341">
        <v>3</v>
      </c>
      <c r="AF341" t="s">
        <v>199</v>
      </c>
      <c r="AG341">
        <f>IFERROR(VLOOKUP(AF341,[1]STOK!J:O,6,0),"")</f>
        <v>24</v>
      </c>
      <c r="AH341" s="2">
        <f t="shared" si="10"/>
        <v>0.125</v>
      </c>
      <c r="AI341" t="s">
        <v>199</v>
      </c>
      <c r="AJ341" t="s">
        <v>200</v>
      </c>
      <c r="AK341" t="s">
        <v>201</v>
      </c>
      <c r="AL341" t="s">
        <v>86</v>
      </c>
      <c r="AM341">
        <v>8769</v>
      </c>
      <c r="AN341">
        <f t="shared" si="11"/>
        <v>8593.6200000000008</v>
      </c>
      <c r="AO341" t="s">
        <v>66</v>
      </c>
      <c r="AP341">
        <v>2</v>
      </c>
      <c r="AQ341" t="s">
        <v>66</v>
      </c>
      <c r="AR341">
        <v>0</v>
      </c>
      <c r="AS341" t="s">
        <v>66</v>
      </c>
      <c r="AT341">
        <v>0</v>
      </c>
      <c r="AU341" t="s">
        <v>66</v>
      </c>
      <c r="AV341">
        <v>0</v>
      </c>
      <c r="AW341" t="s">
        <v>66</v>
      </c>
      <c r="AX341">
        <v>0</v>
      </c>
      <c r="AY341" t="s">
        <v>66</v>
      </c>
      <c r="AZ341">
        <v>0</v>
      </c>
      <c r="BA341" t="s">
        <v>66</v>
      </c>
      <c r="BB341">
        <v>0</v>
      </c>
      <c r="BC341">
        <v>0</v>
      </c>
      <c r="BD341">
        <v>25780.86</v>
      </c>
      <c r="BE341">
        <v>7114.38</v>
      </c>
      <c r="BF341">
        <v>0</v>
      </c>
      <c r="BG341" t="s">
        <v>87</v>
      </c>
      <c r="BH341" t="s">
        <v>66</v>
      </c>
      <c r="BI341">
        <v>0</v>
      </c>
      <c r="BJ341" t="s">
        <v>66</v>
      </c>
      <c r="BK341" t="s">
        <v>88</v>
      </c>
      <c r="BL341" t="s">
        <v>719</v>
      </c>
      <c r="BM341" t="s">
        <v>159</v>
      </c>
    </row>
    <row r="342" spans="1:65" x14ac:dyDescent="0.25">
      <c r="A342">
        <v>340</v>
      </c>
      <c r="B342" t="s">
        <v>708</v>
      </c>
      <c r="C342" t="s">
        <v>709</v>
      </c>
      <c r="D342" s="1">
        <v>46205</v>
      </c>
      <c r="E342" t="s">
        <v>710</v>
      </c>
      <c r="F342" t="s">
        <v>711</v>
      </c>
      <c r="G342" t="s">
        <v>295</v>
      </c>
      <c r="H342" t="s">
        <v>296</v>
      </c>
      <c r="I342" t="s">
        <v>71</v>
      </c>
      <c r="J342" t="s">
        <v>72</v>
      </c>
      <c r="K342" t="s">
        <v>73</v>
      </c>
      <c r="L342" t="s">
        <v>74</v>
      </c>
      <c r="M342" t="s">
        <v>712</v>
      </c>
      <c r="N342" t="s">
        <v>76</v>
      </c>
      <c r="O342" t="s">
        <v>713</v>
      </c>
      <c r="P342" t="s">
        <v>714</v>
      </c>
      <c r="Q342" t="s">
        <v>715</v>
      </c>
      <c r="R342" s="1">
        <v>46200</v>
      </c>
      <c r="S342" t="s">
        <v>716</v>
      </c>
      <c r="T342" t="s">
        <v>717</v>
      </c>
      <c r="U342" t="s">
        <v>718</v>
      </c>
      <c r="V342" t="s">
        <v>66</v>
      </c>
      <c r="W342" t="s">
        <v>66</v>
      </c>
      <c r="X342">
        <v>1199226</v>
      </c>
      <c r="Y342">
        <v>131914.85999999999</v>
      </c>
      <c r="Z342">
        <v>33222</v>
      </c>
      <c r="AA342">
        <v>3654.42</v>
      </c>
      <c r="AB342">
        <v>1331140.8600000001</v>
      </c>
      <c r="AC342">
        <v>3</v>
      </c>
      <c r="AD342" t="s">
        <v>82</v>
      </c>
      <c r="AE342">
        <v>3</v>
      </c>
      <c r="AF342" t="s">
        <v>122</v>
      </c>
      <c r="AG342">
        <f>IFERROR(VLOOKUP(AF342,[1]STOK!J:O,6,0),"")</f>
        <v>24</v>
      </c>
      <c r="AH342" s="2">
        <f t="shared" si="10"/>
        <v>0.125</v>
      </c>
      <c r="AI342" t="s">
        <v>122</v>
      </c>
      <c r="AJ342" t="s">
        <v>123</v>
      </c>
      <c r="AK342" t="s">
        <v>124</v>
      </c>
      <c r="AL342" t="s">
        <v>86</v>
      </c>
      <c r="AM342">
        <v>12543</v>
      </c>
      <c r="AN342">
        <f t="shared" si="11"/>
        <v>12292.14</v>
      </c>
      <c r="AO342" t="s">
        <v>66</v>
      </c>
      <c r="AP342">
        <v>2</v>
      </c>
      <c r="AQ342" t="s">
        <v>66</v>
      </c>
      <c r="AR342">
        <v>0</v>
      </c>
      <c r="AS342" t="s">
        <v>66</v>
      </c>
      <c r="AT342">
        <v>0</v>
      </c>
      <c r="AU342" t="s">
        <v>66</v>
      </c>
      <c r="AV342">
        <v>0</v>
      </c>
      <c r="AW342" t="s">
        <v>66</v>
      </c>
      <c r="AX342">
        <v>0</v>
      </c>
      <c r="AY342" t="s">
        <v>66</v>
      </c>
      <c r="AZ342">
        <v>0</v>
      </c>
      <c r="BA342" t="s">
        <v>66</v>
      </c>
      <c r="BB342">
        <v>0</v>
      </c>
      <c r="BC342">
        <v>0</v>
      </c>
      <c r="BD342">
        <v>36876.42</v>
      </c>
      <c r="BE342">
        <v>10140.08</v>
      </c>
      <c r="BF342">
        <v>0</v>
      </c>
      <c r="BG342" t="s">
        <v>87</v>
      </c>
      <c r="BH342" t="s">
        <v>66</v>
      </c>
      <c r="BI342">
        <v>0</v>
      </c>
      <c r="BJ342" t="s">
        <v>66</v>
      </c>
      <c r="BK342" t="s">
        <v>88</v>
      </c>
      <c r="BL342" t="s">
        <v>719</v>
      </c>
      <c r="BM342" t="s">
        <v>159</v>
      </c>
    </row>
    <row r="343" spans="1:65" x14ac:dyDescent="0.25">
      <c r="A343">
        <v>341</v>
      </c>
      <c r="B343" t="s">
        <v>708</v>
      </c>
      <c r="C343" t="s">
        <v>709</v>
      </c>
      <c r="D343" s="1">
        <v>46205</v>
      </c>
      <c r="E343" t="s">
        <v>710</v>
      </c>
      <c r="F343" t="s">
        <v>711</v>
      </c>
      <c r="G343" t="s">
        <v>295</v>
      </c>
      <c r="H343" t="s">
        <v>296</v>
      </c>
      <c r="I343" t="s">
        <v>71</v>
      </c>
      <c r="J343" t="s">
        <v>72</v>
      </c>
      <c r="K343" t="s">
        <v>73</v>
      </c>
      <c r="L343" t="s">
        <v>74</v>
      </c>
      <c r="M343" t="s">
        <v>712</v>
      </c>
      <c r="N343" t="s">
        <v>76</v>
      </c>
      <c r="O343" t="s">
        <v>713</v>
      </c>
      <c r="P343" t="s">
        <v>714</v>
      </c>
      <c r="Q343" t="s">
        <v>715</v>
      </c>
      <c r="R343" s="1">
        <v>46200</v>
      </c>
      <c r="S343" t="s">
        <v>716</v>
      </c>
      <c r="T343" t="s">
        <v>717</v>
      </c>
      <c r="U343" t="s">
        <v>718</v>
      </c>
      <c r="V343" t="s">
        <v>66</v>
      </c>
      <c r="W343" t="s">
        <v>66</v>
      </c>
      <c r="X343">
        <v>1199226</v>
      </c>
      <c r="Y343">
        <v>131914.85999999999</v>
      </c>
      <c r="Z343">
        <v>29988</v>
      </c>
      <c r="AA343">
        <v>3298.68</v>
      </c>
      <c r="AB343">
        <v>1331140.8600000001</v>
      </c>
      <c r="AC343">
        <v>3</v>
      </c>
      <c r="AD343" t="s">
        <v>82</v>
      </c>
      <c r="AE343">
        <v>3</v>
      </c>
      <c r="AF343" t="s">
        <v>726</v>
      </c>
      <c r="AG343">
        <f>IFERROR(VLOOKUP(AF343,[1]STOK!J:O,6,0),"")</f>
        <v>24</v>
      </c>
      <c r="AH343" s="2">
        <f t="shared" si="10"/>
        <v>0.125</v>
      </c>
      <c r="AI343" t="s">
        <v>726</v>
      </c>
      <c r="AJ343" t="s">
        <v>727</v>
      </c>
      <c r="AK343" t="s">
        <v>728</v>
      </c>
      <c r="AL343" t="s">
        <v>86</v>
      </c>
      <c r="AM343">
        <v>11322</v>
      </c>
      <c r="AN343">
        <f t="shared" si="11"/>
        <v>11095.56</v>
      </c>
      <c r="AO343" t="s">
        <v>66</v>
      </c>
      <c r="AP343">
        <v>2</v>
      </c>
      <c r="AQ343" t="s">
        <v>66</v>
      </c>
      <c r="AR343">
        <v>0</v>
      </c>
      <c r="AS343" t="s">
        <v>66</v>
      </c>
      <c r="AT343">
        <v>0</v>
      </c>
      <c r="AU343" t="s">
        <v>66</v>
      </c>
      <c r="AV343">
        <v>0</v>
      </c>
      <c r="AW343" t="s">
        <v>66</v>
      </c>
      <c r="AX343">
        <v>0</v>
      </c>
      <c r="AY343" t="s">
        <v>66</v>
      </c>
      <c r="AZ343">
        <v>0</v>
      </c>
      <c r="BA343" t="s">
        <v>66</v>
      </c>
      <c r="BB343">
        <v>0</v>
      </c>
      <c r="BC343">
        <v>0</v>
      </c>
      <c r="BD343">
        <v>33286.68</v>
      </c>
      <c r="BE343">
        <v>8839.89</v>
      </c>
      <c r="BF343">
        <v>0</v>
      </c>
      <c r="BG343" t="s">
        <v>87</v>
      </c>
      <c r="BH343" t="s">
        <v>66</v>
      </c>
      <c r="BI343">
        <v>0</v>
      </c>
      <c r="BJ343" t="s">
        <v>66</v>
      </c>
      <c r="BK343" t="s">
        <v>88</v>
      </c>
      <c r="BL343" t="s">
        <v>719</v>
      </c>
      <c r="BM343" t="s">
        <v>159</v>
      </c>
    </row>
    <row r="344" spans="1:65" x14ac:dyDescent="0.25">
      <c r="A344">
        <v>342</v>
      </c>
      <c r="B344" t="s">
        <v>708</v>
      </c>
      <c r="C344" t="s">
        <v>709</v>
      </c>
      <c r="D344" s="1">
        <v>46205</v>
      </c>
      <c r="E344" t="s">
        <v>710</v>
      </c>
      <c r="F344" t="s">
        <v>711</v>
      </c>
      <c r="G344" t="s">
        <v>295</v>
      </c>
      <c r="H344" t="s">
        <v>296</v>
      </c>
      <c r="I344" t="s">
        <v>71</v>
      </c>
      <c r="J344" t="s">
        <v>72</v>
      </c>
      <c r="K344" t="s">
        <v>73</v>
      </c>
      <c r="L344" t="s">
        <v>74</v>
      </c>
      <c r="M344" t="s">
        <v>712</v>
      </c>
      <c r="N344" t="s">
        <v>76</v>
      </c>
      <c r="O344" t="s">
        <v>713</v>
      </c>
      <c r="P344" t="s">
        <v>714</v>
      </c>
      <c r="Q344" t="s">
        <v>715</v>
      </c>
      <c r="R344" s="1">
        <v>46200</v>
      </c>
      <c r="S344" t="s">
        <v>716</v>
      </c>
      <c r="T344" t="s">
        <v>717</v>
      </c>
      <c r="U344" t="s">
        <v>718</v>
      </c>
      <c r="V344" t="s">
        <v>66</v>
      </c>
      <c r="W344" t="s">
        <v>66</v>
      </c>
      <c r="X344">
        <v>1199226</v>
      </c>
      <c r="Y344">
        <v>131914.85999999999</v>
      </c>
      <c r="Z344">
        <v>29988</v>
      </c>
      <c r="AA344">
        <v>3298.68</v>
      </c>
      <c r="AB344">
        <v>1331140.8600000001</v>
      </c>
      <c r="AC344">
        <v>3</v>
      </c>
      <c r="AD344" t="s">
        <v>82</v>
      </c>
      <c r="AE344">
        <v>3</v>
      </c>
      <c r="AF344" t="s">
        <v>667</v>
      </c>
      <c r="AG344">
        <f>IFERROR(VLOOKUP(AF344,[1]STOK!J:O,6,0),"")</f>
        <v>24</v>
      </c>
      <c r="AH344" s="2">
        <f t="shared" si="10"/>
        <v>0.125</v>
      </c>
      <c r="AI344" t="s">
        <v>667</v>
      </c>
      <c r="AJ344" t="s">
        <v>668</v>
      </c>
      <c r="AK344" t="s">
        <v>669</v>
      </c>
      <c r="AL344" t="s">
        <v>86</v>
      </c>
      <c r="AM344">
        <v>11322</v>
      </c>
      <c r="AN344">
        <f t="shared" si="11"/>
        <v>11095.56</v>
      </c>
      <c r="AO344" t="s">
        <v>66</v>
      </c>
      <c r="AP344">
        <v>2</v>
      </c>
      <c r="AQ344" t="s">
        <v>66</v>
      </c>
      <c r="AR344">
        <v>0</v>
      </c>
      <c r="AS344" t="s">
        <v>66</v>
      </c>
      <c r="AT344">
        <v>0</v>
      </c>
      <c r="AU344" t="s">
        <v>66</v>
      </c>
      <c r="AV344">
        <v>0</v>
      </c>
      <c r="AW344" t="s">
        <v>66</v>
      </c>
      <c r="AX344">
        <v>0</v>
      </c>
      <c r="AY344" t="s">
        <v>66</v>
      </c>
      <c r="AZ344">
        <v>0</v>
      </c>
      <c r="BA344" t="s">
        <v>66</v>
      </c>
      <c r="BB344">
        <v>0</v>
      </c>
      <c r="BC344">
        <v>0</v>
      </c>
      <c r="BD344">
        <v>33286.68</v>
      </c>
      <c r="BE344">
        <v>9025.15</v>
      </c>
      <c r="BF344">
        <v>0</v>
      </c>
      <c r="BG344" t="s">
        <v>87</v>
      </c>
      <c r="BH344" t="s">
        <v>66</v>
      </c>
      <c r="BI344">
        <v>0</v>
      </c>
      <c r="BJ344" t="s">
        <v>66</v>
      </c>
      <c r="BK344" t="s">
        <v>88</v>
      </c>
      <c r="BL344" t="s">
        <v>719</v>
      </c>
      <c r="BM344" t="s">
        <v>159</v>
      </c>
    </row>
    <row r="345" spans="1:65" x14ac:dyDescent="0.25">
      <c r="A345">
        <v>343</v>
      </c>
      <c r="B345" t="s">
        <v>708</v>
      </c>
      <c r="C345" t="s">
        <v>709</v>
      </c>
      <c r="D345" s="1">
        <v>46205</v>
      </c>
      <c r="E345" t="s">
        <v>710</v>
      </c>
      <c r="F345" t="s">
        <v>711</v>
      </c>
      <c r="G345" t="s">
        <v>295</v>
      </c>
      <c r="H345" t="s">
        <v>296</v>
      </c>
      <c r="I345" t="s">
        <v>71</v>
      </c>
      <c r="J345" t="s">
        <v>72</v>
      </c>
      <c r="K345" t="s">
        <v>73</v>
      </c>
      <c r="L345" t="s">
        <v>74</v>
      </c>
      <c r="M345" t="s">
        <v>712</v>
      </c>
      <c r="N345" t="s">
        <v>76</v>
      </c>
      <c r="O345" t="s">
        <v>713</v>
      </c>
      <c r="P345" t="s">
        <v>714</v>
      </c>
      <c r="Q345" t="s">
        <v>715</v>
      </c>
      <c r="R345" s="1">
        <v>46200</v>
      </c>
      <c r="S345" t="s">
        <v>716</v>
      </c>
      <c r="T345" t="s">
        <v>717</v>
      </c>
      <c r="U345" t="s">
        <v>718</v>
      </c>
      <c r="V345" t="s">
        <v>66</v>
      </c>
      <c r="W345" t="s">
        <v>66</v>
      </c>
      <c r="X345">
        <v>1199226</v>
      </c>
      <c r="Y345">
        <v>131914.85999999999</v>
      </c>
      <c r="Z345">
        <v>29988</v>
      </c>
      <c r="AA345">
        <v>3298.68</v>
      </c>
      <c r="AB345">
        <v>1331140.8600000001</v>
      </c>
      <c r="AC345">
        <v>3</v>
      </c>
      <c r="AD345" t="s">
        <v>82</v>
      </c>
      <c r="AE345">
        <v>3</v>
      </c>
      <c r="AF345" t="s">
        <v>670</v>
      </c>
      <c r="AG345">
        <f>IFERROR(VLOOKUP(AF345,[1]STOK!J:O,6,0),"")</f>
        <v>24</v>
      </c>
      <c r="AH345" s="2">
        <f t="shared" si="10"/>
        <v>0.125</v>
      </c>
      <c r="AI345" t="s">
        <v>670</v>
      </c>
      <c r="AJ345" t="s">
        <v>671</v>
      </c>
      <c r="AK345" t="s">
        <v>672</v>
      </c>
      <c r="AL345" t="s">
        <v>86</v>
      </c>
      <c r="AM345">
        <v>11322</v>
      </c>
      <c r="AN345">
        <f t="shared" si="11"/>
        <v>11095.56</v>
      </c>
      <c r="AO345" t="s">
        <v>66</v>
      </c>
      <c r="AP345">
        <v>2</v>
      </c>
      <c r="AQ345" t="s">
        <v>66</v>
      </c>
      <c r="AR345">
        <v>0</v>
      </c>
      <c r="AS345" t="s">
        <v>66</v>
      </c>
      <c r="AT345">
        <v>0</v>
      </c>
      <c r="AU345" t="s">
        <v>66</v>
      </c>
      <c r="AV345">
        <v>0</v>
      </c>
      <c r="AW345" t="s">
        <v>66</v>
      </c>
      <c r="AX345">
        <v>0</v>
      </c>
      <c r="AY345" t="s">
        <v>66</v>
      </c>
      <c r="AZ345">
        <v>0</v>
      </c>
      <c r="BA345" t="s">
        <v>66</v>
      </c>
      <c r="BB345">
        <v>0</v>
      </c>
      <c r="BC345">
        <v>0</v>
      </c>
      <c r="BD345">
        <v>33286.68</v>
      </c>
      <c r="BE345">
        <v>9162.14</v>
      </c>
      <c r="BF345">
        <v>0</v>
      </c>
      <c r="BG345" t="s">
        <v>87</v>
      </c>
      <c r="BH345" t="s">
        <v>66</v>
      </c>
      <c r="BI345">
        <v>0</v>
      </c>
      <c r="BJ345" t="s">
        <v>66</v>
      </c>
      <c r="BK345" t="s">
        <v>88</v>
      </c>
      <c r="BL345" t="s">
        <v>719</v>
      </c>
      <c r="BM345" t="s">
        <v>159</v>
      </c>
    </row>
    <row r="346" spans="1:65" x14ac:dyDescent="0.25">
      <c r="A346">
        <v>344</v>
      </c>
      <c r="B346" t="s">
        <v>708</v>
      </c>
      <c r="C346" t="s">
        <v>709</v>
      </c>
      <c r="D346" s="1">
        <v>46205</v>
      </c>
      <c r="E346" t="s">
        <v>710</v>
      </c>
      <c r="F346" t="s">
        <v>711</v>
      </c>
      <c r="G346" t="s">
        <v>295</v>
      </c>
      <c r="H346" t="s">
        <v>296</v>
      </c>
      <c r="I346" t="s">
        <v>71</v>
      </c>
      <c r="J346" t="s">
        <v>72</v>
      </c>
      <c r="K346" t="s">
        <v>73</v>
      </c>
      <c r="L346" t="s">
        <v>74</v>
      </c>
      <c r="M346" t="s">
        <v>712</v>
      </c>
      <c r="N346" t="s">
        <v>76</v>
      </c>
      <c r="O346" t="s">
        <v>713</v>
      </c>
      <c r="P346" t="s">
        <v>714</v>
      </c>
      <c r="Q346" t="s">
        <v>715</v>
      </c>
      <c r="R346" s="1">
        <v>46200</v>
      </c>
      <c r="S346" t="s">
        <v>716</v>
      </c>
      <c r="T346" t="s">
        <v>717</v>
      </c>
      <c r="U346" t="s">
        <v>718</v>
      </c>
      <c r="V346" t="s">
        <v>66</v>
      </c>
      <c r="W346" t="s">
        <v>66</v>
      </c>
      <c r="X346">
        <v>1199226</v>
      </c>
      <c r="Y346">
        <v>131914.85999999999</v>
      </c>
      <c r="Z346">
        <v>16758</v>
      </c>
      <c r="AA346">
        <v>1843.38</v>
      </c>
      <c r="AB346">
        <v>1331140.8600000001</v>
      </c>
      <c r="AC346">
        <v>3</v>
      </c>
      <c r="AD346" t="s">
        <v>82</v>
      </c>
      <c r="AE346">
        <v>3</v>
      </c>
      <c r="AF346" t="s">
        <v>90</v>
      </c>
      <c r="AG346">
        <f>IFERROR(VLOOKUP(AF346,[1]STOK!J:O,6,0),"")</f>
        <v>48</v>
      </c>
      <c r="AH346" s="2">
        <f t="shared" si="10"/>
        <v>6.25E-2</v>
      </c>
      <c r="AI346" t="s">
        <v>90</v>
      </c>
      <c r="AJ346" t="s">
        <v>91</v>
      </c>
      <c r="AK346" t="s">
        <v>92</v>
      </c>
      <c r="AL346" t="s">
        <v>86</v>
      </c>
      <c r="AM346">
        <v>6327</v>
      </c>
      <c r="AN346">
        <f t="shared" si="11"/>
        <v>6200.46</v>
      </c>
      <c r="AO346" t="s">
        <v>66</v>
      </c>
      <c r="AP346">
        <v>2</v>
      </c>
      <c r="AQ346" t="s">
        <v>66</v>
      </c>
      <c r="AR346">
        <v>0</v>
      </c>
      <c r="AS346" t="s">
        <v>66</v>
      </c>
      <c r="AT346">
        <v>0</v>
      </c>
      <c r="AU346" t="s">
        <v>66</v>
      </c>
      <c r="AV346">
        <v>0</v>
      </c>
      <c r="AW346" t="s">
        <v>66</v>
      </c>
      <c r="AX346">
        <v>0</v>
      </c>
      <c r="AY346" t="s">
        <v>66</v>
      </c>
      <c r="AZ346">
        <v>0</v>
      </c>
      <c r="BA346" t="s">
        <v>66</v>
      </c>
      <c r="BB346">
        <v>0</v>
      </c>
      <c r="BC346">
        <v>0</v>
      </c>
      <c r="BD346">
        <v>18601.38</v>
      </c>
      <c r="BE346">
        <v>4953.2299999999996</v>
      </c>
      <c r="BF346">
        <v>0</v>
      </c>
      <c r="BG346" t="s">
        <v>87</v>
      </c>
      <c r="BH346" t="s">
        <v>66</v>
      </c>
      <c r="BI346">
        <v>0</v>
      </c>
      <c r="BJ346" t="s">
        <v>66</v>
      </c>
      <c r="BK346" t="s">
        <v>88</v>
      </c>
      <c r="BL346" t="s">
        <v>719</v>
      </c>
      <c r="BM346" t="s">
        <v>159</v>
      </c>
    </row>
    <row r="347" spans="1:65" x14ac:dyDescent="0.25">
      <c r="A347">
        <v>345</v>
      </c>
      <c r="B347" t="s">
        <v>708</v>
      </c>
      <c r="C347" t="s">
        <v>709</v>
      </c>
      <c r="D347" s="1">
        <v>46205</v>
      </c>
      <c r="E347" t="s">
        <v>710</v>
      </c>
      <c r="F347" t="s">
        <v>711</v>
      </c>
      <c r="G347" t="s">
        <v>295</v>
      </c>
      <c r="H347" t="s">
        <v>296</v>
      </c>
      <c r="I347" t="s">
        <v>71</v>
      </c>
      <c r="J347" t="s">
        <v>72</v>
      </c>
      <c r="K347" t="s">
        <v>73</v>
      </c>
      <c r="L347" t="s">
        <v>74</v>
      </c>
      <c r="M347" t="s">
        <v>712</v>
      </c>
      <c r="N347" t="s">
        <v>76</v>
      </c>
      <c r="O347" t="s">
        <v>713</v>
      </c>
      <c r="P347" t="s">
        <v>714</v>
      </c>
      <c r="Q347" t="s">
        <v>715</v>
      </c>
      <c r="R347" s="1">
        <v>46200</v>
      </c>
      <c r="S347" t="s">
        <v>716</v>
      </c>
      <c r="T347" t="s">
        <v>717</v>
      </c>
      <c r="U347" t="s">
        <v>718</v>
      </c>
      <c r="V347" t="s">
        <v>66</v>
      </c>
      <c r="W347" t="s">
        <v>66</v>
      </c>
      <c r="X347">
        <v>1199226</v>
      </c>
      <c r="Y347">
        <v>131914.85999999999</v>
      </c>
      <c r="Z347">
        <v>16758</v>
      </c>
      <c r="AA347">
        <v>1843.38</v>
      </c>
      <c r="AB347">
        <v>1331140.8600000001</v>
      </c>
      <c r="AC347">
        <v>3</v>
      </c>
      <c r="AD347" t="s">
        <v>82</v>
      </c>
      <c r="AE347">
        <v>3</v>
      </c>
      <c r="AF347" t="s">
        <v>202</v>
      </c>
      <c r="AG347">
        <f>IFERROR(VLOOKUP(AF347,[1]STOK!J:O,6,0),"")</f>
        <v>48</v>
      </c>
      <c r="AH347" s="2">
        <f t="shared" si="10"/>
        <v>6.25E-2</v>
      </c>
      <c r="AI347" t="s">
        <v>202</v>
      </c>
      <c r="AJ347" t="s">
        <v>203</v>
      </c>
      <c r="AK347" t="s">
        <v>204</v>
      </c>
      <c r="AL347" t="s">
        <v>86</v>
      </c>
      <c r="AM347">
        <v>6327</v>
      </c>
      <c r="AN347">
        <f t="shared" si="11"/>
        <v>6200.46</v>
      </c>
      <c r="AO347" t="s">
        <v>66</v>
      </c>
      <c r="AP347">
        <v>2</v>
      </c>
      <c r="AQ347" t="s">
        <v>66</v>
      </c>
      <c r="AR347">
        <v>0</v>
      </c>
      <c r="AS347" t="s">
        <v>66</v>
      </c>
      <c r="AT347">
        <v>0</v>
      </c>
      <c r="AU347" t="s">
        <v>66</v>
      </c>
      <c r="AV347">
        <v>0</v>
      </c>
      <c r="AW347" t="s">
        <v>66</v>
      </c>
      <c r="AX347">
        <v>0</v>
      </c>
      <c r="AY347" t="s">
        <v>66</v>
      </c>
      <c r="AZ347">
        <v>0</v>
      </c>
      <c r="BA347" t="s">
        <v>66</v>
      </c>
      <c r="BB347">
        <v>0</v>
      </c>
      <c r="BC347">
        <v>0</v>
      </c>
      <c r="BD347">
        <v>18601.38</v>
      </c>
      <c r="BE347">
        <v>5116.25</v>
      </c>
      <c r="BF347">
        <v>0</v>
      </c>
      <c r="BG347" t="s">
        <v>87</v>
      </c>
      <c r="BH347" t="s">
        <v>66</v>
      </c>
      <c r="BI347">
        <v>0</v>
      </c>
      <c r="BJ347" t="s">
        <v>66</v>
      </c>
      <c r="BK347" t="s">
        <v>88</v>
      </c>
      <c r="BL347" t="s">
        <v>719</v>
      </c>
      <c r="BM347" t="s">
        <v>159</v>
      </c>
    </row>
    <row r="348" spans="1:65" x14ac:dyDescent="0.25">
      <c r="A348">
        <v>346</v>
      </c>
      <c r="B348" t="s">
        <v>708</v>
      </c>
      <c r="C348" t="s">
        <v>709</v>
      </c>
      <c r="D348" s="1">
        <v>46205</v>
      </c>
      <c r="E348" t="s">
        <v>710</v>
      </c>
      <c r="F348" t="s">
        <v>711</v>
      </c>
      <c r="G348" t="s">
        <v>295</v>
      </c>
      <c r="H348" t="s">
        <v>296</v>
      </c>
      <c r="I348" t="s">
        <v>71</v>
      </c>
      <c r="J348" t="s">
        <v>72</v>
      </c>
      <c r="K348" t="s">
        <v>73</v>
      </c>
      <c r="L348" t="s">
        <v>74</v>
      </c>
      <c r="M348" t="s">
        <v>712</v>
      </c>
      <c r="N348" t="s">
        <v>76</v>
      </c>
      <c r="O348" t="s">
        <v>713</v>
      </c>
      <c r="P348" t="s">
        <v>714</v>
      </c>
      <c r="Q348" t="s">
        <v>715</v>
      </c>
      <c r="R348" s="1">
        <v>46200</v>
      </c>
      <c r="S348" t="s">
        <v>716</v>
      </c>
      <c r="T348" t="s">
        <v>717</v>
      </c>
      <c r="U348" t="s">
        <v>718</v>
      </c>
      <c r="V348" t="s">
        <v>66</v>
      </c>
      <c r="W348" t="s">
        <v>66</v>
      </c>
      <c r="X348">
        <v>1199226</v>
      </c>
      <c r="Y348">
        <v>131914.85999999999</v>
      </c>
      <c r="Z348">
        <v>16758</v>
      </c>
      <c r="AA348">
        <v>1843.38</v>
      </c>
      <c r="AB348">
        <v>1331140.8600000001</v>
      </c>
      <c r="AC348">
        <v>3</v>
      </c>
      <c r="AD348" t="s">
        <v>82</v>
      </c>
      <c r="AE348">
        <v>3</v>
      </c>
      <c r="AF348" t="s">
        <v>350</v>
      </c>
      <c r="AG348">
        <f>IFERROR(VLOOKUP(AF348,[1]STOK!J:O,6,0),"")</f>
        <v>48</v>
      </c>
      <c r="AH348" s="2">
        <f t="shared" si="10"/>
        <v>6.25E-2</v>
      </c>
      <c r="AI348" t="s">
        <v>350</v>
      </c>
      <c r="AJ348" t="s">
        <v>351</v>
      </c>
      <c r="AK348" t="s">
        <v>352</v>
      </c>
      <c r="AL348" t="s">
        <v>86</v>
      </c>
      <c r="AM348">
        <v>6327</v>
      </c>
      <c r="AN348">
        <f t="shared" si="11"/>
        <v>6200.46</v>
      </c>
      <c r="AO348" t="s">
        <v>66</v>
      </c>
      <c r="AP348">
        <v>2</v>
      </c>
      <c r="AQ348" t="s">
        <v>66</v>
      </c>
      <c r="AR348">
        <v>0</v>
      </c>
      <c r="AS348" t="s">
        <v>66</v>
      </c>
      <c r="AT348">
        <v>0</v>
      </c>
      <c r="AU348" t="s">
        <v>66</v>
      </c>
      <c r="AV348">
        <v>0</v>
      </c>
      <c r="AW348" t="s">
        <v>66</v>
      </c>
      <c r="AX348">
        <v>0</v>
      </c>
      <c r="AY348" t="s">
        <v>66</v>
      </c>
      <c r="AZ348">
        <v>0</v>
      </c>
      <c r="BA348" t="s">
        <v>66</v>
      </c>
      <c r="BB348">
        <v>0</v>
      </c>
      <c r="BC348">
        <v>0</v>
      </c>
      <c r="BD348">
        <v>18601.38</v>
      </c>
      <c r="BE348">
        <v>5143.3999999999996</v>
      </c>
      <c r="BF348">
        <v>0</v>
      </c>
      <c r="BG348" t="s">
        <v>87</v>
      </c>
      <c r="BH348" t="s">
        <v>66</v>
      </c>
      <c r="BI348">
        <v>0</v>
      </c>
      <c r="BJ348" t="s">
        <v>66</v>
      </c>
      <c r="BK348" t="s">
        <v>88</v>
      </c>
      <c r="BL348" t="s">
        <v>719</v>
      </c>
      <c r="BM348" t="s">
        <v>159</v>
      </c>
    </row>
    <row r="349" spans="1:65" x14ac:dyDescent="0.25">
      <c r="A349">
        <v>347</v>
      </c>
      <c r="B349" t="s">
        <v>708</v>
      </c>
      <c r="C349" t="s">
        <v>709</v>
      </c>
      <c r="D349" s="1">
        <v>46205</v>
      </c>
      <c r="E349" t="s">
        <v>710</v>
      </c>
      <c r="F349" t="s">
        <v>711</v>
      </c>
      <c r="G349" t="s">
        <v>295</v>
      </c>
      <c r="H349" t="s">
        <v>296</v>
      </c>
      <c r="I349" t="s">
        <v>71</v>
      </c>
      <c r="J349" t="s">
        <v>72</v>
      </c>
      <c r="K349" t="s">
        <v>73</v>
      </c>
      <c r="L349" t="s">
        <v>74</v>
      </c>
      <c r="M349" t="s">
        <v>712</v>
      </c>
      <c r="N349" t="s">
        <v>76</v>
      </c>
      <c r="O349" t="s">
        <v>713</v>
      </c>
      <c r="P349" t="s">
        <v>714</v>
      </c>
      <c r="Q349" t="s">
        <v>715</v>
      </c>
      <c r="R349" s="1">
        <v>46200</v>
      </c>
      <c r="S349" t="s">
        <v>716</v>
      </c>
      <c r="T349" t="s">
        <v>717</v>
      </c>
      <c r="U349" t="s">
        <v>718</v>
      </c>
      <c r="V349" t="s">
        <v>66</v>
      </c>
      <c r="W349" t="s">
        <v>66</v>
      </c>
      <c r="X349">
        <v>1199226</v>
      </c>
      <c r="Y349">
        <v>131914.85999999999</v>
      </c>
      <c r="Z349">
        <v>48510</v>
      </c>
      <c r="AA349">
        <v>5336.1</v>
      </c>
      <c r="AB349">
        <v>1331140.8600000001</v>
      </c>
      <c r="AC349">
        <v>3</v>
      </c>
      <c r="AD349" t="s">
        <v>82</v>
      </c>
      <c r="AE349">
        <v>3</v>
      </c>
      <c r="AF349" t="s">
        <v>128</v>
      </c>
      <c r="AG349">
        <f>IFERROR(VLOOKUP(AF349,[1]STOK!J:O,6,0),"")</f>
        <v>24</v>
      </c>
      <c r="AH349" s="2">
        <f t="shared" si="10"/>
        <v>0.125</v>
      </c>
      <c r="AI349" t="s">
        <v>128</v>
      </c>
      <c r="AJ349" t="s">
        <v>129</v>
      </c>
      <c r="AK349" t="s">
        <v>130</v>
      </c>
      <c r="AL349" t="s">
        <v>86</v>
      </c>
      <c r="AM349">
        <v>18315</v>
      </c>
      <c r="AN349">
        <f t="shared" si="11"/>
        <v>17948.7</v>
      </c>
      <c r="AO349" t="s">
        <v>66</v>
      </c>
      <c r="AP349">
        <v>2</v>
      </c>
      <c r="AQ349" t="s">
        <v>66</v>
      </c>
      <c r="AR349">
        <v>0</v>
      </c>
      <c r="AS349" t="s">
        <v>66</v>
      </c>
      <c r="AT349">
        <v>0</v>
      </c>
      <c r="AU349" t="s">
        <v>66</v>
      </c>
      <c r="AV349">
        <v>0</v>
      </c>
      <c r="AW349" t="s">
        <v>66</v>
      </c>
      <c r="AX349">
        <v>0</v>
      </c>
      <c r="AY349" t="s">
        <v>66</v>
      </c>
      <c r="AZ349">
        <v>0</v>
      </c>
      <c r="BA349" t="s">
        <v>66</v>
      </c>
      <c r="BB349">
        <v>0</v>
      </c>
      <c r="BC349">
        <v>0</v>
      </c>
      <c r="BD349">
        <v>53846.1</v>
      </c>
      <c r="BE349">
        <v>14907.75</v>
      </c>
      <c r="BF349">
        <v>0</v>
      </c>
      <c r="BG349" t="s">
        <v>87</v>
      </c>
      <c r="BH349" t="s">
        <v>66</v>
      </c>
      <c r="BI349">
        <v>0</v>
      </c>
      <c r="BJ349" t="s">
        <v>66</v>
      </c>
      <c r="BK349" t="s">
        <v>88</v>
      </c>
      <c r="BL349" t="s">
        <v>719</v>
      </c>
      <c r="BM349" t="s">
        <v>159</v>
      </c>
    </row>
    <row r="350" spans="1:65" x14ac:dyDescent="0.25">
      <c r="A350">
        <v>348</v>
      </c>
      <c r="B350" t="s">
        <v>708</v>
      </c>
      <c r="C350" t="s">
        <v>709</v>
      </c>
      <c r="D350" s="1">
        <v>46205</v>
      </c>
      <c r="E350" t="s">
        <v>710</v>
      </c>
      <c r="F350" t="s">
        <v>711</v>
      </c>
      <c r="G350" t="s">
        <v>295</v>
      </c>
      <c r="H350" t="s">
        <v>296</v>
      </c>
      <c r="I350" t="s">
        <v>71</v>
      </c>
      <c r="J350" t="s">
        <v>72</v>
      </c>
      <c r="K350" t="s">
        <v>73</v>
      </c>
      <c r="L350" t="s">
        <v>74</v>
      </c>
      <c r="M350" t="s">
        <v>712</v>
      </c>
      <c r="N350" t="s">
        <v>76</v>
      </c>
      <c r="O350" t="s">
        <v>713</v>
      </c>
      <c r="P350" t="s">
        <v>714</v>
      </c>
      <c r="Q350" t="s">
        <v>715</v>
      </c>
      <c r="R350" s="1">
        <v>46200</v>
      </c>
      <c r="S350" t="s">
        <v>716</v>
      </c>
      <c r="T350" t="s">
        <v>717</v>
      </c>
      <c r="U350" t="s">
        <v>718</v>
      </c>
      <c r="V350" t="s">
        <v>66</v>
      </c>
      <c r="W350" t="s">
        <v>66</v>
      </c>
      <c r="X350">
        <v>1199226</v>
      </c>
      <c r="Y350">
        <v>131914.85999999999</v>
      </c>
      <c r="Z350">
        <v>48510</v>
      </c>
      <c r="AA350">
        <v>5336.1</v>
      </c>
      <c r="AB350">
        <v>1331140.8600000001</v>
      </c>
      <c r="AC350">
        <v>3</v>
      </c>
      <c r="AD350" t="s">
        <v>82</v>
      </c>
      <c r="AE350">
        <v>3</v>
      </c>
      <c r="AF350" t="s">
        <v>93</v>
      </c>
      <c r="AG350">
        <f>IFERROR(VLOOKUP(AF350,[1]STOK!J:O,6,0),"")</f>
        <v>24</v>
      </c>
      <c r="AH350" s="2">
        <f t="shared" si="10"/>
        <v>0.125</v>
      </c>
      <c r="AI350" t="s">
        <v>93</v>
      </c>
      <c r="AJ350" t="s">
        <v>94</v>
      </c>
      <c r="AK350" t="s">
        <v>95</v>
      </c>
      <c r="AL350" t="s">
        <v>86</v>
      </c>
      <c r="AM350">
        <v>18315</v>
      </c>
      <c r="AN350">
        <f t="shared" si="11"/>
        <v>17948.7</v>
      </c>
      <c r="AO350" t="s">
        <v>66</v>
      </c>
      <c r="AP350">
        <v>2</v>
      </c>
      <c r="AQ350" t="s">
        <v>66</v>
      </c>
      <c r="AR350">
        <v>0</v>
      </c>
      <c r="AS350" t="s">
        <v>66</v>
      </c>
      <c r="AT350">
        <v>0</v>
      </c>
      <c r="AU350" t="s">
        <v>66</v>
      </c>
      <c r="AV350">
        <v>0</v>
      </c>
      <c r="AW350" t="s">
        <v>66</v>
      </c>
      <c r="AX350">
        <v>0</v>
      </c>
      <c r="AY350" t="s">
        <v>66</v>
      </c>
      <c r="AZ350">
        <v>0</v>
      </c>
      <c r="BA350" t="s">
        <v>66</v>
      </c>
      <c r="BB350">
        <v>0</v>
      </c>
      <c r="BC350">
        <v>0</v>
      </c>
      <c r="BD350">
        <v>53846.1</v>
      </c>
      <c r="BE350">
        <v>14931.72</v>
      </c>
      <c r="BF350">
        <v>0</v>
      </c>
      <c r="BG350" t="s">
        <v>87</v>
      </c>
      <c r="BH350" t="s">
        <v>66</v>
      </c>
      <c r="BI350">
        <v>0</v>
      </c>
      <c r="BJ350" t="s">
        <v>66</v>
      </c>
      <c r="BK350" t="s">
        <v>88</v>
      </c>
      <c r="BL350" t="s">
        <v>719</v>
      </c>
      <c r="BM350" t="s">
        <v>159</v>
      </c>
    </row>
    <row r="351" spans="1:65" x14ac:dyDescent="0.25">
      <c r="A351">
        <v>349</v>
      </c>
      <c r="B351" t="s">
        <v>708</v>
      </c>
      <c r="C351" t="s">
        <v>709</v>
      </c>
      <c r="D351" s="1">
        <v>46205</v>
      </c>
      <c r="E351" t="s">
        <v>710</v>
      </c>
      <c r="F351" t="s">
        <v>711</v>
      </c>
      <c r="G351" t="s">
        <v>295</v>
      </c>
      <c r="H351" t="s">
        <v>296</v>
      </c>
      <c r="I351" t="s">
        <v>71</v>
      </c>
      <c r="J351" t="s">
        <v>72</v>
      </c>
      <c r="K351" t="s">
        <v>73</v>
      </c>
      <c r="L351" t="s">
        <v>74</v>
      </c>
      <c r="M351" t="s">
        <v>712</v>
      </c>
      <c r="N351" t="s">
        <v>76</v>
      </c>
      <c r="O351" t="s">
        <v>713</v>
      </c>
      <c r="P351" t="s">
        <v>714</v>
      </c>
      <c r="Q351" t="s">
        <v>715</v>
      </c>
      <c r="R351" s="1">
        <v>46200</v>
      </c>
      <c r="S351" t="s">
        <v>716</v>
      </c>
      <c r="T351" t="s">
        <v>717</v>
      </c>
      <c r="U351" t="s">
        <v>718</v>
      </c>
      <c r="V351" t="s">
        <v>66</v>
      </c>
      <c r="W351" t="s">
        <v>66</v>
      </c>
      <c r="X351">
        <v>1199226</v>
      </c>
      <c r="Y351">
        <v>131914.85999999999</v>
      </c>
      <c r="Z351">
        <v>48510</v>
      </c>
      <c r="AA351">
        <v>5336.1</v>
      </c>
      <c r="AB351">
        <v>1331140.8600000001</v>
      </c>
      <c r="AC351">
        <v>3</v>
      </c>
      <c r="AD351" t="s">
        <v>82</v>
      </c>
      <c r="AE351">
        <v>3</v>
      </c>
      <c r="AF351" t="s">
        <v>96</v>
      </c>
      <c r="AG351">
        <f>IFERROR(VLOOKUP(AF351,[1]STOK!J:O,6,0),"")</f>
        <v>24</v>
      </c>
      <c r="AH351" s="2">
        <f t="shared" si="10"/>
        <v>0.125</v>
      </c>
      <c r="AI351" t="s">
        <v>96</v>
      </c>
      <c r="AJ351" t="s">
        <v>97</v>
      </c>
      <c r="AK351" t="s">
        <v>98</v>
      </c>
      <c r="AL351" t="s">
        <v>86</v>
      </c>
      <c r="AM351">
        <v>18315</v>
      </c>
      <c r="AN351">
        <f t="shared" si="11"/>
        <v>17948.7</v>
      </c>
      <c r="AO351" t="s">
        <v>66</v>
      </c>
      <c r="AP351">
        <v>2</v>
      </c>
      <c r="AQ351" t="s">
        <v>66</v>
      </c>
      <c r="AR351">
        <v>0</v>
      </c>
      <c r="AS351" t="s">
        <v>66</v>
      </c>
      <c r="AT351">
        <v>0</v>
      </c>
      <c r="AU351" t="s">
        <v>66</v>
      </c>
      <c r="AV351">
        <v>0</v>
      </c>
      <c r="AW351" t="s">
        <v>66</v>
      </c>
      <c r="AX351">
        <v>0</v>
      </c>
      <c r="AY351" t="s">
        <v>66</v>
      </c>
      <c r="AZ351">
        <v>0</v>
      </c>
      <c r="BA351" t="s">
        <v>66</v>
      </c>
      <c r="BB351">
        <v>0</v>
      </c>
      <c r="BC351">
        <v>0</v>
      </c>
      <c r="BD351">
        <v>53846.1</v>
      </c>
      <c r="BE351">
        <v>14932.79</v>
      </c>
      <c r="BF351">
        <v>0</v>
      </c>
      <c r="BG351" t="s">
        <v>87</v>
      </c>
      <c r="BH351" t="s">
        <v>66</v>
      </c>
      <c r="BI351">
        <v>0</v>
      </c>
      <c r="BJ351" t="s">
        <v>66</v>
      </c>
      <c r="BK351" t="s">
        <v>88</v>
      </c>
      <c r="BL351" t="s">
        <v>719</v>
      </c>
      <c r="BM351" t="s">
        <v>159</v>
      </c>
    </row>
    <row r="352" spans="1:65" x14ac:dyDescent="0.25">
      <c r="A352">
        <v>350</v>
      </c>
      <c r="B352" t="s">
        <v>708</v>
      </c>
      <c r="C352" t="s">
        <v>709</v>
      </c>
      <c r="D352" s="1">
        <v>46205</v>
      </c>
      <c r="E352" t="s">
        <v>710</v>
      </c>
      <c r="F352" t="s">
        <v>711</v>
      </c>
      <c r="G352" t="s">
        <v>295</v>
      </c>
      <c r="H352" t="s">
        <v>296</v>
      </c>
      <c r="I352" t="s">
        <v>71</v>
      </c>
      <c r="J352" t="s">
        <v>72</v>
      </c>
      <c r="K352" t="s">
        <v>73</v>
      </c>
      <c r="L352" t="s">
        <v>74</v>
      </c>
      <c r="M352" t="s">
        <v>712</v>
      </c>
      <c r="N352" t="s">
        <v>76</v>
      </c>
      <c r="O352" t="s">
        <v>713</v>
      </c>
      <c r="P352" t="s">
        <v>714</v>
      </c>
      <c r="Q352" t="s">
        <v>715</v>
      </c>
      <c r="R352" s="1">
        <v>46200</v>
      </c>
      <c r="S352" t="s">
        <v>716</v>
      </c>
      <c r="T352" t="s">
        <v>717</v>
      </c>
      <c r="U352" t="s">
        <v>718</v>
      </c>
      <c r="V352" t="s">
        <v>66</v>
      </c>
      <c r="W352" t="s">
        <v>66</v>
      </c>
      <c r="X352">
        <v>1199226</v>
      </c>
      <c r="Y352">
        <v>131914.85999999999</v>
      </c>
      <c r="Z352">
        <v>48510</v>
      </c>
      <c r="AA352">
        <v>5336.1</v>
      </c>
      <c r="AB352">
        <v>1331140.8600000001</v>
      </c>
      <c r="AC352">
        <v>3</v>
      </c>
      <c r="AD352" t="s">
        <v>82</v>
      </c>
      <c r="AE352">
        <v>3</v>
      </c>
      <c r="AF352" t="s">
        <v>99</v>
      </c>
      <c r="AG352">
        <f>IFERROR(VLOOKUP(AF352,[1]STOK!J:O,6,0),"")</f>
        <v>24</v>
      </c>
      <c r="AH352" s="2">
        <f t="shared" si="10"/>
        <v>0.125</v>
      </c>
      <c r="AI352" t="s">
        <v>99</v>
      </c>
      <c r="AJ352" t="s">
        <v>100</v>
      </c>
      <c r="AK352" t="s">
        <v>101</v>
      </c>
      <c r="AL352" t="s">
        <v>86</v>
      </c>
      <c r="AM352">
        <v>18315</v>
      </c>
      <c r="AN352">
        <f t="shared" si="11"/>
        <v>17948.7</v>
      </c>
      <c r="AO352" t="s">
        <v>66</v>
      </c>
      <c r="AP352">
        <v>2</v>
      </c>
      <c r="AQ352" t="s">
        <v>66</v>
      </c>
      <c r="AR352">
        <v>0</v>
      </c>
      <c r="AS352" t="s">
        <v>66</v>
      </c>
      <c r="AT352">
        <v>0</v>
      </c>
      <c r="AU352" t="s">
        <v>66</v>
      </c>
      <c r="AV352">
        <v>0</v>
      </c>
      <c r="AW352" t="s">
        <v>66</v>
      </c>
      <c r="AX352">
        <v>0</v>
      </c>
      <c r="AY352" t="s">
        <v>66</v>
      </c>
      <c r="AZ352">
        <v>0</v>
      </c>
      <c r="BA352" t="s">
        <v>66</v>
      </c>
      <c r="BB352">
        <v>0</v>
      </c>
      <c r="BC352">
        <v>0</v>
      </c>
      <c r="BD352">
        <v>53846.1</v>
      </c>
      <c r="BE352">
        <v>14915.33</v>
      </c>
      <c r="BF352">
        <v>0</v>
      </c>
      <c r="BG352" t="s">
        <v>87</v>
      </c>
      <c r="BH352" t="s">
        <v>66</v>
      </c>
      <c r="BI352">
        <v>0</v>
      </c>
      <c r="BJ352" t="s">
        <v>66</v>
      </c>
      <c r="BK352" t="s">
        <v>88</v>
      </c>
      <c r="BL352" t="s">
        <v>719</v>
      </c>
      <c r="BM352" t="s">
        <v>159</v>
      </c>
    </row>
    <row r="353" spans="1:65" x14ac:dyDescent="0.25">
      <c r="A353">
        <v>351</v>
      </c>
      <c r="B353" t="s">
        <v>708</v>
      </c>
      <c r="C353" t="s">
        <v>709</v>
      </c>
      <c r="D353" s="1">
        <v>46205</v>
      </c>
      <c r="E353" t="s">
        <v>710</v>
      </c>
      <c r="F353" t="s">
        <v>711</v>
      </c>
      <c r="G353" t="s">
        <v>295</v>
      </c>
      <c r="H353" t="s">
        <v>296</v>
      </c>
      <c r="I353" t="s">
        <v>71</v>
      </c>
      <c r="J353" t="s">
        <v>72</v>
      </c>
      <c r="K353" t="s">
        <v>73</v>
      </c>
      <c r="L353" t="s">
        <v>74</v>
      </c>
      <c r="M353" t="s">
        <v>712</v>
      </c>
      <c r="N353" t="s">
        <v>76</v>
      </c>
      <c r="O353" t="s">
        <v>713</v>
      </c>
      <c r="P353" t="s">
        <v>714</v>
      </c>
      <c r="Q353" t="s">
        <v>715</v>
      </c>
      <c r="R353" s="1">
        <v>46200</v>
      </c>
      <c r="S353" t="s">
        <v>716</v>
      </c>
      <c r="T353" t="s">
        <v>717</v>
      </c>
      <c r="U353" t="s">
        <v>718</v>
      </c>
      <c r="V353" t="s">
        <v>66</v>
      </c>
      <c r="W353" t="s">
        <v>66</v>
      </c>
      <c r="X353">
        <v>1199226</v>
      </c>
      <c r="Y353">
        <v>131914.85999999999</v>
      </c>
      <c r="Z353">
        <v>114072</v>
      </c>
      <c r="AA353">
        <v>12547.92</v>
      </c>
      <c r="AB353">
        <v>1331140.8600000001</v>
      </c>
      <c r="AC353">
        <v>6</v>
      </c>
      <c r="AD353" t="s">
        <v>82</v>
      </c>
      <c r="AE353">
        <v>6</v>
      </c>
      <c r="AF353" t="s">
        <v>470</v>
      </c>
      <c r="AG353">
        <f>IFERROR(VLOOKUP(AF353,[1]STOK!J:O,6,0),"")</f>
        <v>24</v>
      </c>
      <c r="AH353" s="2">
        <f t="shared" si="10"/>
        <v>0.25</v>
      </c>
      <c r="AI353" t="s">
        <v>470</v>
      </c>
      <c r="AJ353" t="s">
        <v>471</v>
      </c>
      <c r="AK353" t="s">
        <v>472</v>
      </c>
      <c r="AL353" t="s">
        <v>86</v>
      </c>
      <c r="AM353">
        <v>21534</v>
      </c>
      <c r="AN353">
        <f t="shared" si="11"/>
        <v>21103.32</v>
      </c>
      <c r="AO353" t="s">
        <v>66</v>
      </c>
      <c r="AP353">
        <v>2</v>
      </c>
      <c r="AQ353" t="s">
        <v>66</v>
      </c>
      <c r="AR353">
        <v>0</v>
      </c>
      <c r="AS353" t="s">
        <v>66</v>
      </c>
      <c r="AT353">
        <v>0</v>
      </c>
      <c r="AU353" t="s">
        <v>66</v>
      </c>
      <c r="AV353">
        <v>0</v>
      </c>
      <c r="AW353" t="s">
        <v>66</v>
      </c>
      <c r="AX353">
        <v>0</v>
      </c>
      <c r="AY353" t="s">
        <v>66</v>
      </c>
      <c r="AZ353">
        <v>0</v>
      </c>
      <c r="BA353" t="s">
        <v>66</v>
      </c>
      <c r="BB353">
        <v>0</v>
      </c>
      <c r="BC353">
        <v>0</v>
      </c>
      <c r="BD353">
        <v>126619.92</v>
      </c>
      <c r="BE353">
        <v>17421.95</v>
      </c>
      <c r="BF353">
        <v>0</v>
      </c>
      <c r="BG353" t="s">
        <v>87</v>
      </c>
      <c r="BH353" t="s">
        <v>66</v>
      </c>
      <c r="BI353">
        <v>0</v>
      </c>
      <c r="BJ353" t="s">
        <v>66</v>
      </c>
      <c r="BK353" t="s">
        <v>88</v>
      </c>
      <c r="BL353" t="s">
        <v>719</v>
      </c>
      <c r="BM353" t="s">
        <v>159</v>
      </c>
    </row>
    <row r="354" spans="1:65" x14ac:dyDescent="0.25">
      <c r="A354">
        <v>352</v>
      </c>
      <c r="B354" t="s">
        <v>708</v>
      </c>
      <c r="C354" t="s">
        <v>709</v>
      </c>
      <c r="D354" s="1">
        <v>46205</v>
      </c>
      <c r="E354" t="s">
        <v>710</v>
      </c>
      <c r="F354" t="s">
        <v>711</v>
      </c>
      <c r="G354" t="s">
        <v>295</v>
      </c>
      <c r="H354" t="s">
        <v>296</v>
      </c>
      <c r="I354" t="s">
        <v>71</v>
      </c>
      <c r="J354" t="s">
        <v>72</v>
      </c>
      <c r="K354" t="s">
        <v>73</v>
      </c>
      <c r="L354" t="s">
        <v>74</v>
      </c>
      <c r="M354" t="s">
        <v>712</v>
      </c>
      <c r="N354" t="s">
        <v>76</v>
      </c>
      <c r="O354" t="s">
        <v>713</v>
      </c>
      <c r="P354" t="s">
        <v>714</v>
      </c>
      <c r="Q354" t="s">
        <v>715</v>
      </c>
      <c r="R354" s="1">
        <v>46200</v>
      </c>
      <c r="S354" t="s">
        <v>716</v>
      </c>
      <c r="T354" t="s">
        <v>717</v>
      </c>
      <c r="U354" t="s">
        <v>718</v>
      </c>
      <c r="V354" t="s">
        <v>66</v>
      </c>
      <c r="W354" t="s">
        <v>66</v>
      </c>
      <c r="X354">
        <v>1199226</v>
      </c>
      <c r="Y354">
        <v>131914.85999999999</v>
      </c>
      <c r="Z354">
        <v>152586</v>
      </c>
      <c r="AA354">
        <v>16784.46</v>
      </c>
      <c r="AB354">
        <v>1331140.8600000001</v>
      </c>
      <c r="AC354">
        <v>9</v>
      </c>
      <c r="AD354" t="s">
        <v>82</v>
      </c>
      <c r="AE354">
        <v>9</v>
      </c>
      <c r="AF354" t="s">
        <v>359</v>
      </c>
      <c r="AG354">
        <f>IFERROR(VLOOKUP(AF354,[1]STOK!J:O,6,0),"")</f>
        <v>12</v>
      </c>
      <c r="AH354" s="2">
        <f t="shared" si="10"/>
        <v>0.75</v>
      </c>
      <c r="AI354" t="s">
        <v>359</v>
      </c>
      <c r="AJ354" t="s">
        <v>360</v>
      </c>
      <c r="AK354" t="s">
        <v>361</v>
      </c>
      <c r="AL354" t="s">
        <v>86</v>
      </c>
      <c r="AM354">
        <v>19203</v>
      </c>
      <c r="AN354">
        <f t="shared" si="11"/>
        <v>18818.939999999999</v>
      </c>
      <c r="AO354" t="s">
        <v>66</v>
      </c>
      <c r="AP354">
        <v>2</v>
      </c>
      <c r="AQ354" t="s">
        <v>66</v>
      </c>
      <c r="AR354">
        <v>0</v>
      </c>
      <c r="AS354" t="s">
        <v>66</v>
      </c>
      <c r="AT354">
        <v>0</v>
      </c>
      <c r="AU354" t="s">
        <v>66</v>
      </c>
      <c r="AV354">
        <v>0</v>
      </c>
      <c r="AW354" t="s">
        <v>66</v>
      </c>
      <c r="AX354">
        <v>0</v>
      </c>
      <c r="AY354" t="s">
        <v>66</v>
      </c>
      <c r="AZ354">
        <v>0</v>
      </c>
      <c r="BA354" t="s">
        <v>66</v>
      </c>
      <c r="BB354">
        <v>0</v>
      </c>
      <c r="BC354">
        <v>0</v>
      </c>
      <c r="BD354">
        <v>169370.46</v>
      </c>
      <c r="BE354">
        <v>15607.61</v>
      </c>
      <c r="BF354">
        <v>0</v>
      </c>
      <c r="BG354" t="s">
        <v>87</v>
      </c>
      <c r="BH354" t="s">
        <v>66</v>
      </c>
      <c r="BI354">
        <v>0</v>
      </c>
      <c r="BJ354" t="s">
        <v>66</v>
      </c>
      <c r="BK354" t="s">
        <v>88</v>
      </c>
      <c r="BL354" t="s">
        <v>719</v>
      </c>
      <c r="BM354" t="s">
        <v>159</v>
      </c>
    </row>
    <row r="355" spans="1:65" x14ac:dyDescent="0.25">
      <c r="A355">
        <v>353</v>
      </c>
      <c r="B355" t="s">
        <v>708</v>
      </c>
      <c r="C355" t="s">
        <v>709</v>
      </c>
      <c r="D355" s="1">
        <v>46205</v>
      </c>
      <c r="E355" t="s">
        <v>710</v>
      </c>
      <c r="F355" t="s">
        <v>711</v>
      </c>
      <c r="G355" t="s">
        <v>295</v>
      </c>
      <c r="H355" t="s">
        <v>296</v>
      </c>
      <c r="I355" t="s">
        <v>71</v>
      </c>
      <c r="J355" t="s">
        <v>72</v>
      </c>
      <c r="K355" t="s">
        <v>73</v>
      </c>
      <c r="L355" t="s">
        <v>74</v>
      </c>
      <c r="M355" t="s">
        <v>712</v>
      </c>
      <c r="N355" t="s">
        <v>76</v>
      </c>
      <c r="O355" t="s">
        <v>713</v>
      </c>
      <c r="P355" t="s">
        <v>714</v>
      </c>
      <c r="Q355" t="s">
        <v>715</v>
      </c>
      <c r="R355" s="1">
        <v>46200</v>
      </c>
      <c r="S355" t="s">
        <v>716</v>
      </c>
      <c r="T355" t="s">
        <v>717</v>
      </c>
      <c r="U355" t="s">
        <v>718</v>
      </c>
      <c r="V355" t="s">
        <v>66</v>
      </c>
      <c r="W355" t="s">
        <v>66</v>
      </c>
      <c r="X355">
        <v>1199226</v>
      </c>
      <c r="Y355">
        <v>131914.85999999999</v>
      </c>
      <c r="Z355">
        <v>117600</v>
      </c>
      <c r="AA355">
        <v>12936</v>
      </c>
      <c r="AB355">
        <v>1331140.8600000001</v>
      </c>
      <c r="AC355">
        <v>6</v>
      </c>
      <c r="AD355" t="s">
        <v>82</v>
      </c>
      <c r="AE355">
        <v>6</v>
      </c>
      <c r="AF355" t="s">
        <v>290</v>
      </c>
      <c r="AG355">
        <f>IFERROR(VLOOKUP(AF355,[1]STOK!J:O,6,0),"")</f>
        <v>12</v>
      </c>
      <c r="AH355" s="2">
        <f t="shared" si="10"/>
        <v>0.5</v>
      </c>
      <c r="AI355" t="s">
        <v>290</v>
      </c>
      <c r="AJ355" t="s">
        <v>291</v>
      </c>
      <c r="AK355" t="s">
        <v>292</v>
      </c>
      <c r="AL355" t="s">
        <v>86</v>
      </c>
      <c r="AM355">
        <v>22200</v>
      </c>
      <c r="AN355">
        <f t="shared" si="11"/>
        <v>21756</v>
      </c>
      <c r="AO355" t="s">
        <v>66</v>
      </c>
      <c r="AP355">
        <v>2</v>
      </c>
      <c r="AQ355" t="s">
        <v>66</v>
      </c>
      <c r="AR355">
        <v>0</v>
      </c>
      <c r="AS355" t="s">
        <v>66</v>
      </c>
      <c r="AT355">
        <v>0</v>
      </c>
      <c r="AU355" t="s">
        <v>66</v>
      </c>
      <c r="AV355">
        <v>0</v>
      </c>
      <c r="AW355" t="s">
        <v>66</v>
      </c>
      <c r="AX355">
        <v>0</v>
      </c>
      <c r="AY355" t="s">
        <v>66</v>
      </c>
      <c r="AZ355">
        <v>0</v>
      </c>
      <c r="BA355" t="s">
        <v>66</v>
      </c>
      <c r="BB355">
        <v>0</v>
      </c>
      <c r="BC355">
        <v>0</v>
      </c>
      <c r="BD355">
        <v>130536</v>
      </c>
      <c r="BE355">
        <v>18106.89</v>
      </c>
      <c r="BF355">
        <v>0</v>
      </c>
      <c r="BG355" t="s">
        <v>87</v>
      </c>
      <c r="BH355" t="s">
        <v>66</v>
      </c>
      <c r="BI355">
        <v>0</v>
      </c>
      <c r="BJ355" t="s">
        <v>66</v>
      </c>
      <c r="BK355" t="s">
        <v>88</v>
      </c>
      <c r="BL355" t="s">
        <v>719</v>
      </c>
      <c r="BM355" t="s">
        <v>159</v>
      </c>
    </row>
    <row r="356" spans="1:65" x14ac:dyDescent="0.25">
      <c r="A356">
        <v>354</v>
      </c>
      <c r="B356" t="s">
        <v>708</v>
      </c>
      <c r="C356" t="s">
        <v>709</v>
      </c>
      <c r="D356" s="1">
        <v>46205</v>
      </c>
      <c r="E356" t="s">
        <v>710</v>
      </c>
      <c r="F356" t="s">
        <v>711</v>
      </c>
      <c r="G356" t="s">
        <v>295</v>
      </c>
      <c r="H356" t="s">
        <v>296</v>
      </c>
      <c r="I356" t="s">
        <v>71</v>
      </c>
      <c r="J356" t="s">
        <v>72</v>
      </c>
      <c r="K356" t="s">
        <v>73</v>
      </c>
      <c r="L356" t="s">
        <v>74</v>
      </c>
      <c r="M356" t="s">
        <v>712</v>
      </c>
      <c r="N356" t="s">
        <v>76</v>
      </c>
      <c r="O356" t="s">
        <v>713</v>
      </c>
      <c r="P356" t="s">
        <v>714</v>
      </c>
      <c r="Q356" t="s">
        <v>715</v>
      </c>
      <c r="R356" s="1">
        <v>46200</v>
      </c>
      <c r="S356" t="s">
        <v>716</v>
      </c>
      <c r="T356" t="s">
        <v>717</v>
      </c>
      <c r="U356" t="s">
        <v>718</v>
      </c>
      <c r="V356" t="s">
        <v>66</v>
      </c>
      <c r="W356" t="s">
        <v>66</v>
      </c>
      <c r="X356">
        <v>1199226</v>
      </c>
      <c r="Y356">
        <v>131914.85999999999</v>
      </c>
      <c r="Z356">
        <v>58800</v>
      </c>
      <c r="AA356">
        <v>6468</v>
      </c>
      <c r="AB356">
        <v>1331140.8600000001</v>
      </c>
      <c r="AC356">
        <v>3</v>
      </c>
      <c r="AD356" t="s">
        <v>82</v>
      </c>
      <c r="AE356">
        <v>3</v>
      </c>
      <c r="AF356" t="s">
        <v>102</v>
      </c>
      <c r="AG356">
        <f>IFERROR(VLOOKUP(AF356,[1]STOK!J:O,6,0),"")</f>
        <v>12</v>
      </c>
      <c r="AH356" s="2">
        <f t="shared" si="10"/>
        <v>0.25</v>
      </c>
      <c r="AI356" t="s">
        <v>102</v>
      </c>
      <c r="AJ356" t="s">
        <v>103</v>
      </c>
      <c r="AK356" t="s">
        <v>104</v>
      </c>
      <c r="AL356" t="s">
        <v>86</v>
      </c>
      <c r="AM356">
        <v>22200</v>
      </c>
      <c r="AN356">
        <f t="shared" si="11"/>
        <v>21756</v>
      </c>
      <c r="AO356" t="s">
        <v>66</v>
      </c>
      <c r="AP356">
        <v>2</v>
      </c>
      <c r="AQ356" t="s">
        <v>66</v>
      </c>
      <c r="AR356">
        <v>0</v>
      </c>
      <c r="AS356" t="s">
        <v>66</v>
      </c>
      <c r="AT356">
        <v>0</v>
      </c>
      <c r="AU356" t="s">
        <v>66</v>
      </c>
      <c r="AV356">
        <v>0</v>
      </c>
      <c r="AW356" t="s">
        <v>66</v>
      </c>
      <c r="AX356">
        <v>0</v>
      </c>
      <c r="AY356" t="s">
        <v>66</v>
      </c>
      <c r="AZ356">
        <v>0</v>
      </c>
      <c r="BA356" t="s">
        <v>66</v>
      </c>
      <c r="BB356">
        <v>0</v>
      </c>
      <c r="BC356">
        <v>0</v>
      </c>
      <c r="BD356">
        <v>65268</v>
      </c>
      <c r="BE356">
        <v>18040.98</v>
      </c>
      <c r="BF356">
        <v>0</v>
      </c>
      <c r="BG356" t="s">
        <v>87</v>
      </c>
      <c r="BH356" t="s">
        <v>66</v>
      </c>
      <c r="BI356">
        <v>0</v>
      </c>
      <c r="BJ356" t="s">
        <v>66</v>
      </c>
      <c r="BK356" t="s">
        <v>88</v>
      </c>
      <c r="BL356" t="s">
        <v>719</v>
      </c>
      <c r="BM356" t="s">
        <v>159</v>
      </c>
    </row>
    <row r="357" spans="1:65" x14ac:dyDescent="0.25">
      <c r="A357">
        <v>355</v>
      </c>
      <c r="B357" t="s">
        <v>729</v>
      </c>
      <c r="C357" t="s">
        <v>730</v>
      </c>
      <c r="D357" s="1">
        <v>46205</v>
      </c>
      <c r="E357" t="s">
        <v>731</v>
      </c>
      <c r="F357" t="s">
        <v>732</v>
      </c>
      <c r="G357" t="s">
        <v>69</v>
      </c>
      <c r="H357" t="s">
        <v>70</v>
      </c>
      <c r="I357" t="s">
        <v>71</v>
      </c>
      <c r="J357" t="s">
        <v>72</v>
      </c>
      <c r="K357" t="s">
        <v>73</v>
      </c>
      <c r="L357" t="s">
        <v>74</v>
      </c>
      <c r="M357" t="s">
        <v>148</v>
      </c>
      <c r="N357" t="s">
        <v>149</v>
      </c>
      <c r="O357" t="s">
        <v>150</v>
      </c>
      <c r="P357" t="s">
        <v>151</v>
      </c>
      <c r="Q357" t="s">
        <v>66</v>
      </c>
      <c r="R357" s="1">
        <v>46205</v>
      </c>
      <c r="S357" t="s">
        <v>150</v>
      </c>
      <c r="T357" t="s">
        <v>152</v>
      </c>
      <c r="U357" t="s">
        <v>153</v>
      </c>
      <c r="V357" t="s">
        <v>66</v>
      </c>
      <c r="W357" t="s">
        <v>66</v>
      </c>
      <c r="X357">
        <v>1466400</v>
      </c>
      <c r="Y357">
        <v>161304</v>
      </c>
      <c r="Z357">
        <v>441600</v>
      </c>
      <c r="AA357">
        <v>48576</v>
      </c>
      <c r="AB357">
        <v>1627704</v>
      </c>
      <c r="AC357">
        <v>2</v>
      </c>
      <c r="AD357" t="s">
        <v>134</v>
      </c>
      <c r="AE357">
        <v>24</v>
      </c>
      <c r="AF357" t="s">
        <v>116</v>
      </c>
      <c r="AG357">
        <f>IFERROR(VLOOKUP(AF357,[1]STOK!J:O,6,0),"")</f>
        <v>12</v>
      </c>
      <c r="AH357" s="2">
        <f t="shared" si="10"/>
        <v>2</v>
      </c>
      <c r="AI357" t="s">
        <v>116</v>
      </c>
      <c r="AJ357" t="s">
        <v>117</v>
      </c>
      <c r="AK357" t="s">
        <v>118</v>
      </c>
      <c r="AL357" t="s">
        <v>86</v>
      </c>
      <c r="AM357">
        <v>245088</v>
      </c>
      <c r="AN357">
        <f t="shared" si="11"/>
        <v>245088</v>
      </c>
      <c r="AO357" t="s">
        <v>66</v>
      </c>
      <c r="AP357">
        <v>0</v>
      </c>
      <c r="AQ357" t="s">
        <v>66</v>
      </c>
      <c r="AR357">
        <v>0</v>
      </c>
      <c r="AS357" t="s">
        <v>66</v>
      </c>
      <c r="AT357">
        <v>0</v>
      </c>
      <c r="AU357" t="s">
        <v>66</v>
      </c>
      <c r="AV357">
        <v>0</v>
      </c>
      <c r="AW357" t="s">
        <v>66</v>
      </c>
      <c r="AX357">
        <v>0</v>
      </c>
      <c r="AY357" t="s">
        <v>66</v>
      </c>
      <c r="AZ357">
        <v>0</v>
      </c>
      <c r="BA357" t="s">
        <v>66</v>
      </c>
      <c r="BB357">
        <v>0</v>
      </c>
      <c r="BC357">
        <v>0</v>
      </c>
      <c r="BD357">
        <v>490176</v>
      </c>
      <c r="BE357">
        <v>16534.41</v>
      </c>
      <c r="BF357">
        <v>0</v>
      </c>
      <c r="BG357" t="s">
        <v>87</v>
      </c>
      <c r="BH357" t="s">
        <v>733</v>
      </c>
      <c r="BI357">
        <v>24</v>
      </c>
      <c r="BJ357" t="s">
        <v>158</v>
      </c>
      <c r="BK357" t="s">
        <v>88</v>
      </c>
      <c r="BL357" t="s">
        <v>66</v>
      </c>
      <c r="BM357" t="s">
        <v>159</v>
      </c>
    </row>
    <row r="358" spans="1:65" x14ac:dyDescent="0.25">
      <c r="A358">
        <v>356</v>
      </c>
      <c r="B358" t="s">
        <v>729</v>
      </c>
      <c r="C358" t="s">
        <v>730</v>
      </c>
      <c r="D358" s="1">
        <v>46205</v>
      </c>
      <c r="E358" t="s">
        <v>731</v>
      </c>
      <c r="F358" t="s">
        <v>732</v>
      </c>
      <c r="G358" t="s">
        <v>69</v>
      </c>
      <c r="H358" t="s">
        <v>70</v>
      </c>
      <c r="I358" t="s">
        <v>71</v>
      </c>
      <c r="J358" t="s">
        <v>72</v>
      </c>
      <c r="K358" t="s">
        <v>73</v>
      </c>
      <c r="L358" t="s">
        <v>74</v>
      </c>
      <c r="M358" t="s">
        <v>148</v>
      </c>
      <c r="N358" t="s">
        <v>149</v>
      </c>
      <c r="O358" t="s">
        <v>150</v>
      </c>
      <c r="P358" t="s">
        <v>151</v>
      </c>
      <c r="Q358" t="s">
        <v>66</v>
      </c>
      <c r="R358" s="1">
        <v>46205</v>
      </c>
      <c r="S358" t="s">
        <v>150</v>
      </c>
      <c r="T358" t="s">
        <v>152</v>
      </c>
      <c r="U358" t="s">
        <v>153</v>
      </c>
      <c r="V358" t="s">
        <v>66</v>
      </c>
      <c r="W358" t="s">
        <v>66</v>
      </c>
      <c r="X358">
        <v>1466400</v>
      </c>
      <c r="Y358">
        <v>161304</v>
      </c>
      <c r="Z358">
        <v>180000</v>
      </c>
      <c r="AA358">
        <v>19800</v>
      </c>
      <c r="AB358">
        <v>1627704</v>
      </c>
      <c r="AC358">
        <v>1</v>
      </c>
      <c r="AD358" t="s">
        <v>134</v>
      </c>
      <c r="AE358">
        <v>72</v>
      </c>
      <c r="AF358" t="s">
        <v>163</v>
      </c>
      <c r="AG358">
        <f>IFERROR(VLOOKUP(AF358,[1]STOK!J:O,6,0),"")</f>
        <v>72</v>
      </c>
      <c r="AH358" s="2">
        <f t="shared" si="10"/>
        <v>1</v>
      </c>
      <c r="AI358" t="s">
        <v>163</v>
      </c>
      <c r="AJ358" t="s">
        <v>164</v>
      </c>
      <c r="AK358" t="s">
        <v>165</v>
      </c>
      <c r="AL358" t="s">
        <v>86</v>
      </c>
      <c r="AM358">
        <v>199800</v>
      </c>
      <c r="AN358">
        <f t="shared" si="11"/>
        <v>199800</v>
      </c>
      <c r="AO358" t="s">
        <v>66</v>
      </c>
      <c r="AP358">
        <v>0</v>
      </c>
      <c r="AQ358" t="s">
        <v>66</v>
      </c>
      <c r="AR358">
        <v>0</v>
      </c>
      <c r="AS358" t="s">
        <v>66</v>
      </c>
      <c r="AT358">
        <v>0</v>
      </c>
      <c r="AU358" t="s">
        <v>66</v>
      </c>
      <c r="AV358">
        <v>0</v>
      </c>
      <c r="AW358" t="s">
        <v>66</v>
      </c>
      <c r="AX358">
        <v>0</v>
      </c>
      <c r="AY358" t="s">
        <v>66</v>
      </c>
      <c r="AZ358">
        <v>0</v>
      </c>
      <c r="BA358" t="s">
        <v>66</v>
      </c>
      <c r="BB358">
        <v>0</v>
      </c>
      <c r="BC358">
        <v>0</v>
      </c>
      <c r="BD358">
        <v>199800</v>
      </c>
      <c r="BE358">
        <v>2196.56</v>
      </c>
      <c r="BF358">
        <v>0</v>
      </c>
      <c r="BG358" t="s">
        <v>87</v>
      </c>
      <c r="BH358" t="s">
        <v>733</v>
      </c>
      <c r="BI358">
        <v>72</v>
      </c>
      <c r="BJ358" t="s">
        <v>158</v>
      </c>
      <c r="BK358" t="s">
        <v>88</v>
      </c>
      <c r="BL358" t="s">
        <v>66</v>
      </c>
      <c r="BM358" t="s">
        <v>159</v>
      </c>
    </row>
    <row r="359" spans="1:65" x14ac:dyDescent="0.25">
      <c r="A359">
        <v>357</v>
      </c>
      <c r="B359" t="s">
        <v>729</v>
      </c>
      <c r="C359" t="s">
        <v>730</v>
      </c>
      <c r="D359" s="1">
        <v>46205</v>
      </c>
      <c r="E359" t="s">
        <v>731</v>
      </c>
      <c r="F359" t="s">
        <v>732</v>
      </c>
      <c r="G359" t="s">
        <v>69</v>
      </c>
      <c r="H359" t="s">
        <v>70</v>
      </c>
      <c r="I359" t="s">
        <v>71</v>
      </c>
      <c r="J359" t="s">
        <v>72</v>
      </c>
      <c r="K359" t="s">
        <v>73</v>
      </c>
      <c r="L359" t="s">
        <v>74</v>
      </c>
      <c r="M359" t="s">
        <v>148</v>
      </c>
      <c r="N359" t="s">
        <v>149</v>
      </c>
      <c r="O359" t="s">
        <v>150</v>
      </c>
      <c r="P359" t="s">
        <v>151</v>
      </c>
      <c r="Q359" t="s">
        <v>66</v>
      </c>
      <c r="R359" s="1">
        <v>46205</v>
      </c>
      <c r="S359" t="s">
        <v>150</v>
      </c>
      <c r="T359" t="s">
        <v>152</v>
      </c>
      <c r="U359" t="s">
        <v>153</v>
      </c>
      <c r="V359" t="s">
        <v>66</v>
      </c>
      <c r="W359" t="s">
        <v>66</v>
      </c>
      <c r="X359">
        <v>1466400</v>
      </c>
      <c r="Y359">
        <v>161304</v>
      </c>
      <c r="Z359">
        <v>360000</v>
      </c>
      <c r="AA359">
        <v>39600</v>
      </c>
      <c r="AB359">
        <v>1627704</v>
      </c>
      <c r="AC359">
        <v>2</v>
      </c>
      <c r="AD359" t="s">
        <v>134</v>
      </c>
      <c r="AE359">
        <v>144</v>
      </c>
      <c r="AF359" t="s">
        <v>392</v>
      </c>
      <c r="AG359">
        <f>IFERROR(VLOOKUP(AF359,[1]STOK!J:O,6,0),"")</f>
        <v>72</v>
      </c>
      <c r="AH359" s="2">
        <f t="shared" si="10"/>
        <v>2</v>
      </c>
      <c r="AI359" t="s">
        <v>392</v>
      </c>
      <c r="AJ359" t="s">
        <v>393</v>
      </c>
      <c r="AK359" t="s">
        <v>394</v>
      </c>
      <c r="AL359" t="s">
        <v>86</v>
      </c>
      <c r="AM359">
        <v>199800</v>
      </c>
      <c r="AN359">
        <f t="shared" si="11"/>
        <v>199800</v>
      </c>
      <c r="AO359" t="s">
        <v>66</v>
      </c>
      <c r="AP359">
        <v>0</v>
      </c>
      <c r="AQ359" t="s">
        <v>66</v>
      </c>
      <c r="AR359">
        <v>0</v>
      </c>
      <c r="AS359" t="s">
        <v>66</v>
      </c>
      <c r="AT359">
        <v>0</v>
      </c>
      <c r="AU359" t="s">
        <v>66</v>
      </c>
      <c r="AV359">
        <v>0</v>
      </c>
      <c r="AW359" t="s">
        <v>66</v>
      </c>
      <c r="AX359">
        <v>0</v>
      </c>
      <c r="AY359" t="s">
        <v>66</v>
      </c>
      <c r="AZ359">
        <v>0</v>
      </c>
      <c r="BA359" t="s">
        <v>66</v>
      </c>
      <c r="BB359">
        <v>0</v>
      </c>
      <c r="BC359">
        <v>0</v>
      </c>
      <c r="BD359">
        <v>399600</v>
      </c>
      <c r="BE359">
        <v>2219.11</v>
      </c>
      <c r="BF359">
        <v>0</v>
      </c>
      <c r="BG359" t="s">
        <v>87</v>
      </c>
      <c r="BH359" t="s">
        <v>733</v>
      </c>
      <c r="BI359">
        <v>144</v>
      </c>
      <c r="BJ359" t="s">
        <v>158</v>
      </c>
      <c r="BK359" t="s">
        <v>88</v>
      </c>
      <c r="BL359" t="s">
        <v>66</v>
      </c>
      <c r="BM359" t="s">
        <v>159</v>
      </c>
    </row>
    <row r="360" spans="1:65" x14ac:dyDescent="0.25">
      <c r="A360">
        <v>358</v>
      </c>
      <c r="B360" t="s">
        <v>729</v>
      </c>
      <c r="C360" t="s">
        <v>730</v>
      </c>
      <c r="D360" s="1">
        <v>46205</v>
      </c>
      <c r="E360" t="s">
        <v>731</v>
      </c>
      <c r="F360" t="s">
        <v>732</v>
      </c>
      <c r="G360" t="s">
        <v>69</v>
      </c>
      <c r="H360" t="s">
        <v>70</v>
      </c>
      <c r="I360" t="s">
        <v>71</v>
      </c>
      <c r="J360" t="s">
        <v>72</v>
      </c>
      <c r="K360" t="s">
        <v>73</v>
      </c>
      <c r="L360" t="s">
        <v>74</v>
      </c>
      <c r="M360" t="s">
        <v>148</v>
      </c>
      <c r="N360" t="s">
        <v>149</v>
      </c>
      <c r="O360" t="s">
        <v>150</v>
      </c>
      <c r="P360" t="s">
        <v>151</v>
      </c>
      <c r="Q360" t="s">
        <v>66</v>
      </c>
      <c r="R360" s="1">
        <v>46205</v>
      </c>
      <c r="S360" t="s">
        <v>150</v>
      </c>
      <c r="T360" t="s">
        <v>152</v>
      </c>
      <c r="U360" t="s">
        <v>153</v>
      </c>
      <c r="V360" t="s">
        <v>66</v>
      </c>
      <c r="W360" t="s">
        <v>66</v>
      </c>
      <c r="X360">
        <v>1466400</v>
      </c>
      <c r="Y360">
        <v>161304</v>
      </c>
      <c r="Z360">
        <v>484800</v>
      </c>
      <c r="AA360">
        <v>53328</v>
      </c>
      <c r="AB360">
        <v>1627704</v>
      </c>
      <c r="AC360">
        <v>2</v>
      </c>
      <c r="AD360" t="s">
        <v>134</v>
      </c>
      <c r="AE360">
        <v>48</v>
      </c>
      <c r="AF360" t="s">
        <v>245</v>
      </c>
      <c r="AG360">
        <f>IFERROR(VLOOKUP(AF360,[1]STOK!J:O,6,0),"")</f>
        <v>24</v>
      </c>
      <c r="AH360" s="2">
        <f t="shared" si="10"/>
        <v>2</v>
      </c>
      <c r="AI360" t="s">
        <v>245</v>
      </c>
      <c r="AJ360" t="s">
        <v>246</v>
      </c>
      <c r="AK360" t="s">
        <v>247</v>
      </c>
      <c r="AL360" t="s">
        <v>86</v>
      </c>
      <c r="AM360">
        <v>269064</v>
      </c>
      <c r="AN360">
        <f t="shared" si="11"/>
        <v>269064</v>
      </c>
      <c r="AO360" t="s">
        <v>66</v>
      </c>
      <c r="AP360">
        <v>0</v>
      </c>
      <c r="AQ360" t="s">
        <v>66</v>
      </c>
      <c r="AR360">
        <v>0</v>
      </c>
      <c r="AS360" t="s">
        <v>66</v>
      </c>
      <c r="AT360">
        <v>0</v>
      </c>
      <c r="AU360" t="s">
        <v>66</v>
      </c>
      <c r="AV360">
        <v>0</v>
      </c>
      <c r="AW360" t="s">
        <v>66</v>
      </c>
      <c r="AX360">
        <v>0</v>
      </c>
      <c r="AY360" t="s">
        <v>66</v>
      </c>
      <c r="AZ360">
        <v>0</v>
      </c>
      <c r="BA360" t="s">
        <v>66</v>
      </c>
      <c r="BB360">
        <v>0</v>
      </c>
      <c r="BC360">
        <v>0</v>
      </c>
      <c r="BD360">
        <v>538128</v>
      </c>
      <c r="BE360">
        <v>8313.93</v>
      </c>
      <c r="BF360">
        <v>0</v>
      </c>
      <c r="BG360" t="s">
        <v>87</v>
      </c>
      <c r="BH360" t="s">
        <v>733</v>
      </c>
      <c r="BI360">
        <v>48</v>
      </c>
      <c r="BJ360" t="s">
        <v>158</v>
      </c>
      <c r="BK360" t="s">
        <v>88</v>
      </c>
      <c r="BL360" t="s">
        <v>66</v>
      </c>
      <c r="BM360" t="s">
        <v>159</v>
      </c>
    </row>
    <row r="361" spans="1:65" x14ac:dyDescent="0.25">
      <c r="A361">
        <v>359</v>
      </c>
      <c r="B361" t="s">
        <v>734</v>
      </c>
      <c r="C361" t="s">
        <v>68</v>
      </c>
      <c r="D361" s="1">
        <v>46206</v>
      </c>
      <c r="E361" t="s">
        <v>735</v>
      </c>
      <c r="F361" t="s">
        <v>68</v>
      </c>
      <c r="G361" t="s">
        <v>295</v>
      </c>
      <c r="H361" t="s">
        <v>296</v>
      </c>
      <c r="I361" t="s">
        <v>71</v>
      </c>
      <c r="J361" t="s">
        <v>72</v>
      </c>
      <c r="K361" t="s">
        <v>73</v>
      </c>
      <c r="L361" t="s">
        <v>74</v>
      </c>
      <c r="M361" t="s">
        <v>736</v>
      </c>
      <c r="N361" t="s">
        <v>76</v>
      </c>
      <c r="O361" t="s">
        <v>737</v>
      </c>
      <c r="P361" t="s">
        <v>738</v>
      </c>
      <c r="Q361" t="s">
        <v>66</v>
      </c>
      <c r="R361" s="1">
        <v>46206</v>
      </c>
      <c r="S361" t="s">
        <v>739</v>
      </c>
      <c r="T361" t="s">
        <v>740</v>
      </c>
      <c r="U361" t="s">
        <v>718</v>
      </c>
      <c r="V361" t="s">
        <v>66</v>
      </c>
      <c r="W361" t="s">
        <v>66</v>
      </c>
      <c r="X361">
        <v>299292</v>
      </c>
      <c r="Y361">
        <v>32922.120000000003</v>
      </c>
      <c r="Z361">
        <v>54096</v>
      </c>
      <c r="AA361">
        <v>5950.56</v>
      </c>
      <c r="AB361">
        <v>332214.12</v>
      </c>
      <c r="AC361">
        <v>3</v>
      </c>
      <c r="AD361" t="s">
        <v>82</v>
      </c>
      <c r="AE361">
        <v>3</v>
      </c>
      <c r="AF361" t="s">
        <v>160</v>
      </c>
      <c r="AG361">
        <f>IFERROR(VLOOKUP(AF361,[1]STOK!J:O,6,0),"")</f>
        <v>12</v>
      </c>
      <c r="AH361" s="2">
        <f t="shared" si="10"/>
        <v>0.25</v>
      </c>
      <c r="AI361" t="s">
        <v>160</v>
      </c>
      <c r="AJ361" t="s">
        <v>161</v>
      </c>
      <c r="AK361" t="s">
        <v>162</v>
      </c>
      <c r="AL361" t="s">
        <v>86</v>
      </c>
      <c r="AM361">
        <v>20424</v>
      </c>
      <c r="AN361">
        <f t="shared" si="11"/>
        <v>20015.52</v>
      </c>
      <c r="AO361" t="s">
        <v>66</v>
      </c>
      <c r="AP361">
        <v>2</v>
      </c>
      <c r="AQ361" t="s">
        <v>66</v>
      </c>
      <c r="AR361">
        <v>0</v>
      </c>
      <c r="AS361" t="s">
        <v>66</v>
      </c>
      <c r="AT361">
        <v>0</v>
      </c>
      <c r="AU361" t="s">
        <v>66</v>
      </c>
      <c r="AV361">
        <v>0</v>
      </c>
      <c r="AW361" t="s">
        <v>66</v>
      </c>
      <c r="AX361">
        <v>0</v>
      </c>
      <c r="AY361" t="s">
        <v>66</v>
      </c>
      <c r="AZ361">
        <v>0</v>
      </c>
      <c r="BA361" t="s">
        <v>66</v>
      </c>
      <c r="BB361">
        <v>0</v>
      </c>
      <c r="BC361">
        <v>0</v>
      </c>
      <c r="BD361">
        <v>60046.559999999998</v>
      </c>
      <c r="BE361">
        <v>16647.310000000001</v>
      </c>
      <c r="BF361">
        <v>0</v>
      </c>
      <c r="BG361" t="s">
        <v>87</v>
      </c>
      <c r="BH361" t="s">
        <v>741</v>
      </c>
      <c r="BI361">
        <v>3</v>
      </c>
      <c r="BJ361" t="s">
        <v>158</v>
      </c>
      <c r="BK361" t="s">
        <v>88</v>
      </c>
      <c r="BL361" t="s">
        <v>742</v>
      </c>
      <c r="BM361" t="s">
        <v>159</v>
      </c>
    </row>
    <row r="362" spans="1:65" x14ac:dyDescent="0.25">
      <c r="A362">
        <v>360</v>
      </c>
      <c r="B362" t="s">
        <v>734</v>
      </c>
      <c r="C362" t="s">
        <v>68</v>
      </c>
      <c r="D362" s="1">
        <v>46206</v>
      </c>
      <c r="E362" t="s">
        <v>735</v>
      </c>
      <c r="F362" t="s">
        <v>68</v>
      </c>
      <c r="G362" t="s">
        <v>295</v>
      </c>
      <c r="H362" t="s">
        <v>296</v>
      </c>
      <c r="I362" t="s">
        <v>71</v>
      </c>
      <c r="J362" t="s">
        <v>72</v>
      </c>
      <c r="K362" t="s">
        <v>73</v>
      </c>
      <c r="L362" t="s">
        <v>74</v>
      </c>
      <c r="M362" t="s">
        <v>736</v>
      </c>
      <c r="N362" t="s">
        <v>76</v>
      </c>
      <c r="O362" t="s">
        <v>737</v>
      </c>
      <c r="P362" t="s">
        <v>738</v>
      </c>
      <c r="Q362" t="s">
        <v>66</v>
      </c>
      <c r="R362" s="1">
        <v>46206</v>
      </c>
      <c r="S362" t="s">
        <v>739</v>
      </c>
      <c r="T362" t="s">
        <v>740</v>
      </c>
      <c r="U362" t="s">
        <v>718</v>
      </c>
      <c r="V362" t="s">
        <v>66</v>
      </c>
      <c r="W362" t="s">
        <v>66</v>
      </c>
      <c r="X362">
        <v>299292</v>
      </c>
      <c r="Y362">
        <v>32922.120000000003</v>
      </c>
      <c r="Z362">
        <v>54096</v>
      </c>
      <c r="AA362">
        <v>5950.56</v>
      </c>
      <c r="AB362">
        <v>332214.12</v>
      </c>
      <c r="AC362">
        <v>3</v>
      </c>
      <c r="AD362" t="s">
        <v>82</v>
      </c>
      <c r="AE362">
        <v>3</v>
      </c>
      <c r="AF362" t="s">
        <v>720</v>
      </c>
      <c r="AG362">
        <f>IFERROR(VLOOKUP(AF362,[1]STOK!J:O,6,0),"")</f>
        <v>12</v>
      </c>
      <c r="AH362" s="2">
        <f t="shared" si="10"/>
        <v>0.25</v>
      </c>
      <c r="AI362" t="s">
        <v>720</v>
      </c>
      <c r="AJ362" t="s">
        <v>721</v>
      </c>
      <c r="AK362" t="s">
        <v>722</v>
      </c>
      <c r="AL362" t="s">
        <v>86</v>
      </c>
      <c r="AM362">
        <v>20424</v>
      </c>
      <c r="AN362">
        <f t="shared" si="11"/>
        <v>20015.52</v>
      </c>
      <c r="AO362" t="s">
        <v>66</v>
      </c>
      <c r="AP362">
        <v>2</v>
      </c>
      <c r="AQ362" t="s">
        <v>66</v>
      </c>
      <c r="AR362">
        <v>0</v>
      </c>
      <c r="AS362" t="s">
        <v>66</v>
      </c>
      <c r="AT362">
        <v>0</v>
      </c>
      <c r="AU362" t="s">
        <v>66</v>
      </c>
      <c r="AV362">
        <v>0</v>
      </c>
      <c r="AW362" t="s">
        <v>66</v>
      </c>
      <c r="AX362">
        <v>0</v>
      </c>
      <c r="AY362" t="s">
        <v>66</v>
      </c>
      <c r="AZ362">
        <v>0</v>
      </c>
      <c r="BA362" t="s">
        <v>66</v>
      </c>
      <c r="BB362">
        <v>0</v>
      </c>
      <c r="BC362">
        <v>0</v>
      </c>
      <c r="BD362">
        <v>60046.559999999998</v>
      </c>
      <c r="BE362">
        <v>16631.75</v>
      </c>
      <c r="BF362">
        <v>0</v>
      </c>
      <c r="BG362" t="s">
        <v>87</v>
      </c>
      <c r="BH362" t="s">
        <v>741</v>
      </c>
      <c r="BI362">
        <v>3</v>
      </c>
      <c r="BJ362" t="s">
        <v>158</v>
      </c>
      <c r="BK362" t="s">
        <v>88</v>
      </c>
      <c r="BL362" t="s">
        <v>742</v>
      </c>
      <c r="BM362" t="s">
        <v>159</v>
      </c>
    </row>
    <row r="363" spans="1:65" x14ac:dyDescent="0.25">
      <c r="A363">
        <v>361</v>
      </c>
      <c r="B363" t="s">
        <v>734</v>
      </c>
      <c r="C363" t="s">
        <v>68</v>
      </c>
      <c r="D363" s="1">
        <v>46206</v>
      </c>
      <c r="E363" t="s">
        <v>735</v>
      </c>
      <c r="F363" t="s">
        <v>68</v>
      </c>
      <c r="G363" t="s">
        <v>295</v>
      </c>
      <c r="H363" t="s">
        <v>296</v>
      </c>
      <c r="I363" t="s">
        <v>71</v>
      </c>
      <c r="J363" t="s">
        <v>72</v>
      </c>
      <c r="K363" t="s">
        <v>73</v>
      </c>
      <c r="L363" t="s">
        <v>74</v>
      </c>
      <c r="M363" t="s">
        <v>736</v>
      </c>
      <c r="N363" t="s">
        <v>76</v>
      </c>
      <c r="O363" t="s">
        <v>737</v>
      </c>
      <c r="P363" t="s">
        <v>738</v>
      </c>
      <c r="Q363" t="s">
        <v>66</v>
      </c>
      <c r="R363" s="1">
        <v>46206</v>
      </c>
      <c r="S363" t="s">
        <v>739</v>
      </c>
      <c r="T363" t="s">
        <v>740</v>
      </c>
      <c r="U363" t="s">
        <v>718</v>
      </c>
      <c r="V363" t="s">
        <v>66</v>
      </c>
      <c r="W363" t="s">
        <v>66</v>
      </c>
      <c r="X363">
        <v>299292</v>
      </c>
      <c r="Y363">
        <v>32922.120000000003</v>
      </c>
      <c r="Z363">
        <v>21756</v>
      </c>
      <c r="AA363">
        <v>2393.16</v>
      </c>
      <c r="AB363">
        <v>332214.12</v>
      </c>
      <c r="AC363">
        <v>3</v>
      </c>
      <c r="AD363" t="s">
        <v>82</v>
      </c>
      <c r="AE363">
        <v>3</v>
      </c>
      <c r="AF363" t="s">
        <v>83</v>
      </c>
      <c r="AG363">
        <f>IFERROR(VLOOKUP(AF363,[1]STOK!J:O,6,0),"")</f>
        <v>24</v>
      </c>
      <c r="AH363" s="2">
        <f t="shared" si="10"/>
        <v>0.125</v>
      </c>
      <c r="AI363" t="s">
        <v>83</v>
      </c>
      <c r="AJ363" t="s">
        <v>84</v>
      </c>
      <c r="AK363" t="s">
        <v>85</v>
      </c>
      <c r="AL363" t="s">
        <v>86</v>
      </c>
      <c r="AM363">
        <v>8214</v>
      </c>
      <c r="AN363">
        <f t="shared" si="11"/>
        <v>8049.72</v>
      </c>
      <c r="AO363" t="s">
        <v>66</v>
      </c>
      <c r="AP363">
        <v>2</v>
      </c>
      <c r="AQ363" t="s">
        <v>66</v>
      </c>
      <c r="AR363">
        <v>0</v>
      </c>
      <c r="AS363" t="s">
        <v>66</v>
      </c>
      <c r="AT363">
        <v>0</v>
      </c>
      <c r="AU363" t="s">
        <v>66</v>
      </c>
      <c r="AV363">
        <v>0</v>
      </c>
      <c r="AW363" t="s">
        <v>66</v>
      </c>
      <c r="AX363">
        <v>0</v>
      </c>
      <c r="AY363" t="s">
        <v>66</v>
      </c>
      <c r="AZ363">
        <v>0</v>
      </c>
      <c r="BA363" t="s">
        <v>66</v>
      </c>
      <c r="BB363">
        <v>0</v>
      </c>
      <c r="BC363">
        <v>0</v>
      </c>
      <c r="BD363">
        <v>24149.16</v>
      </c>
      <c r="BE363">
        <v>6704.84</v>
      </c>
      <c r="BF363">
        <v>0</v>
      </c>
      <c r="BG363" t="s">
        <v>87</v>
      </c>
      <c r="BH363" t="s">
        <v>741</v>
      </c>
      <c r="BI363">
        <v>3</v>
      </c>
      <c r="BJ363" t="s">
        <v>158</v>
      </c>
      <c r="BK363" t="s">
        <v>88</v>
      </c>
      <c r="BL363" t="s">
        <v>742</v>
      </c>
      <c r="BM363" t="s">
        <v>159</v>
      </c>
    </row>
    <row r="364" spans="1:65" x14ac:dyDescent="0.25">
      <c r="A364">
        <v>362</v>
      </c>
      <c r="B364" t="s">
        <v>734</v>
      </c>
      <c r="C364" t="s">
        <v>68</v>
      </c>
      <c r="D364" s="1">
        <v>46206</v>
      </c>
      <c r="E364" t="s">
        <v>735</v>
      </c>
      <c r="F364" t="s">
        <v>68</v>
      </c>
      <c r="G364" t="s">
        <v>295</v>
      </c>
      <c r="H364" t="s">
        <v>296</v>
      </c>
      <c r="I364" t="s">
        <v>71</v>
      </c>
      <c r="J364" t="s">
        <v>72</v>
      </c>
      <c r="K364" t="s">
        <v>73</v>
      </c>
      <c r="L364" t="s">
        <v>74</v>
      </c>
      <c r="M364" t="s">
        <v>736</v>
      </c>
      <c r="N364" t="s">
        <v>76</v>
      </c>
      <c r="O364" t="s">
        <v>737</v>
      </c>
      <c r="P364" t="s">
        <v>738</v>
      </c>
      <c r="Q364" t="s">
        <v>66</v>
      </c>
      <c r="R364" s="1">
        <v>46206</v>
      </c>
      <c r="S364" t="s">
        <v>739</v>
      </c>
      <c r="T364" t="s">
        <v>740</v>
      </c>
      <c r="U364" t="s">
        <v>718</v>
      </c>
      <c r="V364" t="s">
        <v>66</v>
      </c>
      <c r="W364" t="s">
        <v>66</v>
      </c>
      <c r="X364">
        <v>299292</v>
      </c>
      <c r="Y364">
        <v>32922.120000000003</v>
      </c>
      <c r="Z364">
        <v>58212</v>
      </c>
      <c r="AA364">
        <v>6403.32</v>
      </c>
      <c r="AB364">
        <v>332214.12</v>
      </c>
      <c r="AC364">
        <v>3</v>
      </c>
      <c r="AD364" t="s">
        <v>82</v>
      </c>
      <c r="AE364">
        <v>3</v>
      </c>
      <c r="AF364" t="s">
        <v>370</v>
      </c>
      <c r="AG364">
        <f>IFERROR(VLOOKUP(AF364,[1]STOK!J:O,6,0),"")</f>
        <v>12</v>
      </c>
      <c r="AH364" s="2">
        <f t="shared" si="10"/>
        <v>0.25</v>
      </c>
      <c r="AI364" t="s">
        <v>370</v>
      </c>
      <c r="AJ364" t="s">
        <v>371</v>
      </c>
      <c r="AK364" t="s">
        <v>372</v>
      </c>
      <c r="AL364" t="s">
        <v>86</v>
      </c>
      <c r="AM364">
        <v>21978</v>
      </c>
      <c r="AN364">
        <f t="shared" si="11"/>
        <v>21538.44</v>
      </c>
      <c r="AO364" t="s">
        <v>66</v>
      </c>
      <c r="AP364">
        <v>2</v>
      </c>
      <c r="AQ364" t="s">
        <v>66</v>
      </c>
      <c r="AR364">
        <v>0</v>
      </c>
      <c r="AS364" t="s">
        <v>66</v>
      </c>
      <c r="AT364">
        <v>0</v>
      </c>
      <c r="AU364" t="s">
        <v>66</v>
      </c>
      <c r="AV364">
        <v>0</v>
      </c>
      <c r="AW364" t="s">
        <v>66</v>
      </c>
      <c r="AX364">
        <v>0</v>
      </c>
      <c r="AY364" t="s">
        <v>66</v>
      </c>
      <c r="AZ364">
        <v>0</v>
      </c>
      <c r="BA364" t="s">
        <v>66</v>
      </c>
      <c r="BB364">
        <v>0</v>
      </c>
      <c r="BC364">
        <v>0</v>
      </c>
      <c r="BD364">
        <v>64615.32</v>
      </c>
      <c r="BE364">
        <v>17475.02</v>
      </c>
      <c r="BF364">
        <v>0</v>
      </c>
      <c r="BG364" t="s">
        <v>87</v>
      </c>
      <c r="BH364" t="s">
        <v>741</v>
      </c>
      <c r="BI364">
        <v>3</v>
      </c>
      <c r="BJ364" t="s">
        <v>158</v>
      </c>
      <c r="BK364" t="s">
        <v>88</v>
      </c>
      <c r="BL364" t="s">
        <v>742</v>
      </c>
      <c r="BM364" t="s">
        <v>159</v>
      </c>
    </row>
    <row r="365" spans="1:65" x14ac:dyDescent="0.25">
      <c r="A365">
        <v>363</v>
      </c>
      <c r="B365" t="s">
        <v>734</v>
      </c>
      <c r="C365" t="s">
        <v>68</v>
      </c>
      <c r="D365" s="1">
        <v>46206</v>
      </c>
      <c r="E365" t="s">
        <v>735</v>
      </c>
      <c r="F365" t="s">
        <v>68</v>
      </c>
      <c r="G365" t="s">
        <v>295</v>
      </c>
      <c r="H365" t="s">
        <v>296</v>
      </c>
      <c r="I365" t="s">
        <v>71</v>
      </c>
      <c r="J365" t="s">
        <v>72</v>
      </c>
      <c r="K365" t="s">
        <v>73</v>
      </c>
      <c r="L365" t="s">
        <v>74</v>
      </c>
      <c r="M365" t="s">
        <v>736</v>
      </c>
      <c r="N365" t="s">
        <v>76</v>
      </c>
      <c r="O365" t="s">
        <v>737</v>
      </c>
      <c r="P365" t="s">
        <v>738</v>
      </c>
      <c r="Q365" t="s">
        <v>66</v>
      </c>
      <c r="R365" s="1">
        <v>46206</v>
      </c>
      <c r="S365" t="s">
        <v>739</v>
      </c>
      <c r="T365" t="s">
        <v>740</v>
      </c>
      <c r="U365" t="s">
        <v>718</v>
      </c>
      <c r="V365" t="s">
        <v>66</v>
      </c>
      <c r="W365" t="s">
        <v>66</v>
      </c>
      <c r="X365">
        <v>299292</v>
      </c>
      <c r="Y365">
        <v>32922.120000000003</v>
      </c>
      <c r="Z365">
        <v>58212</v>
      </c>
      <c r="AA365">
        <v>6403.32</v>
      </c>
      <c r="AB365">
        <v>332214.12</v>
      </c>
      <c r="AC365">
        <v>3</v>
      </c>
      <c r="AD365" t="s">
        <v>82</v>
      </c>
      <c r="AE365">
        <v>3</v>
      </c>
      <c r="AF365" t="s">
        <v>743</v>
      </c>
      <c r="AG365">
        <f>IFERROR(VLOOKUP(AF365,[1]STOK!J:O,6,0),"")</f>
        <v>12</v>
      </c>
      <c r="AH365" s="2">
        <f t="shared" si="10"/>
        <v>0.25</v>
      </c>
      <c r="AI365" t="s">
        <v>743</v>
      </c>
      <c r="AJ365" t="s">
        <v>744</v>
      </c>
      <c r="AK365" t="s">
        <v>745</v>
      </c>
      <c r="AL365" t="s">
        <v>86</v>
      </c>
      <c r="AM365">
        <v>21978</v>
      </c>
      <c r="AN365">
        <f t="shared" si="11"/>
        <v>21538.44</v>
      </c>
      <c r="AO365" t="s">
        <v>66</v>
      </c>
      <c r="AP365">
        <v>2</v>
      </c>
      <c r="AQ365" t="s">
        <v>66</v>
      </c>
      <c r="AR365">
        <v>0</v>
      </c>
      <c r="AS365" t="s">
        <v>66</v>
      </c>
      <c r="AT365">
        <v>0</v>
      </c>
      <c r="AU365" t="s">
        <v>66</v>
      </c>
      <c r="AV365">
        <v>0</v>
      </c>
      <c r="AW365" t="s">
        <v>66</v>
      </c>
      <c r="AX365">
        <v>0</v>
      </c>
      <c r="AY365" t="s">
        <v>66</v>
      </c>
      <c r="AZ365">
        <v>0</v>
      </c>
      <c r="BA365" t="s">
        <v>66</v>
      </c>
      <c r="BB365">
        <v>0</v>
      </c>
      <c r="BC365">
        <v>0</v>
      </c>
      <c r="BD365">
        <v>64615.32</v>
      </c>
      <c r="BE365">
        <v>17682.32</v>
      </c>
      <c r="BF365">
        <v>0</v>
      </c>
      <c r="BG365" t="s">
        <v>87</v>
      </c>
      <c r="BH365" t="s">
        <v>741</v>
      </c>
      <c r="BI365">
        <v>3</v>
      </c>
      <c r="BJ365" t="s">
        <v>158</v>
      </c>
      <c r="BK365" t="s">
        <v>88</v>
      </c>
      <c r="BL365" t="s">
        <v>742</v>
      </c>
      <c r="BM365" t="s">
        <v>159</v>
      </c>
    </row>
    <row r="366" spans="1:65" x14ac:dyDescent="0.25">
      <c r="A366">
        <v>364</v>
      </c>
      <c r="B366" t="s">
        <v>734</v>
      </c>
      <c r="C366" t="s">
        <v>68</v>
      </c>
      <c r="D366" s="1">
        <v>46206</v>
      </c>
      <c r="E366" t="s">
        <v>735</v>
      </c>
      <c r="F366" t="s">
        <v>68</v>
      </c>
      <c r="G366" t="s">
        <v>295</v>
      </c>
      <c r="H366" t="s">
        <v>296</v>
      </c>
      <c r="I366" t="s">
        <v>71</v>
      </c>
      <c r="J366" t="s">
        <v>72</v>
      </c>
      <c r="K366" t="s">
        <v>73</v>
      </c>
      <c r="L366" t="s">
        <v>74</v>
      </c>
      <c r="M366" t="s">
        <v>736</v>
      </c>
      <c r="N366" t="s">
        <v>76</v>
      </c>
      <c r="O366" t="s">
        <v>737</v>
      </c>
      <c r="P366" t="s">
        <v>738</v>
      </c>
      <c r="Q366" t="s">
        <v>66</v>
      </c>
      <c r="R366" s="1">
        <v>46206</v>
      </c>
      <c r="S366" t="s">
        <v>739</v>
      </c>
      <c r="T366" t="s">
        <v>740</v>
      </c>
      <c r="U366" t="s">
        <v>718</v>
      </c>
      <c r="V366" t="s">
        <v>66</v>
      </c>
      <c r="W366" t="s">
        <v>66</v>
      </c>
      <c r="X366">
        <v>299292</v>
      </c>
      <c r="Y366">
        <v>32922.120000000003</v>
      </c>
      <c r="Z366">
        <v>29694</v>
      </c>
      <c r="AA366">
        <v>3266.34</v>
      </c>
      <c r="AB366">
        <v>332214.12</v>
      </c>
      <c r="AC366">
        <v>3</v>
      </c>
      <c r="AD366" t="s">
        <v>82</v>
      </c>
      <c r="AE366">
        <v>3</v>
      </c>
      <c r="AF366" t="s">
        <v>746</v>
      </c>
      <c r="AG366">
        <f>IFERROR(VLOOKUP(AF366,[1]STOK!J:O,6,0),"")</f>
        <v>24</v>
      </c>
      <c r="AH366" s="2">
        <f t="shared" si="10"/>
        <v>0.125</v>
      </c>
      <c r="AI366" t="s">
        <v>746</v>
      </c>
      <c r="AJ366" t="s">
        <v>747</v>
      </c>
      <c r="AK366" t="s">
        <v>748</v>
      </c>
      <c r="AL366" t="s">
        <v>86</v>
      </c>
      <c r="AM366">
        <v>11211</v>
      </c>
      <c r="AN366">
        <f t="shared" si="11"/>
        <v>10986.779999999999</v>
      </c>
      <c r="AO366" t="s">
        <v>66</v>
      </c>
      <c r="AP366">
        <v>2</v>
      </c>
      <c r="AQ366" t="s">
        <v>66</v>
      </c>
      <c r="AR366">
        <v>0</v>
      </c>
      <c r="AS366" t="s">
        <v>66</v>
      </c>
      <c r="AT366">
        <v>0</v>
      </c>
      <c r="AU366" t="s">
        <v>66</v>
      </c>
      <c r="AV366">
        <v>0</v>
      </c>
      <c r="AW366" t="s">
        <v>66</v>
      </c>
      <c r="AX366">
        <v>0</v>
      </c>
      <c r="AY366" t="s">
        <v>66</v>
      </c>
      <c r="AZ366">
        <v>0</v>
      </c>
      <c r="BA366" t="s">
        <v>66</v>
      </c>
      <c r="BB366">
        <v>0</v>
      </c>
      <c r="BC366">
        <v>0</v>
      </c>
      <c r="BD366">
        <v>32960.339999999997</v>
      </c>
      <c r="BE366">
        <v>9023</v>
      </c>
      <c r="BF366">
        <v>0</v>
      </c>
      <c r="BG366" t="s">
        <v>87</v>
      </c>
      <c r="BH366" t="s">
        <v>741</v>
      </c>
      <c r="BI366">
        <v>3</v>
      </c>
      <c r="BJ366" t="s">
        <v>158</v>
      </c>
      <c r="BK366" t="s">
        <v>88</v>
      </c>
      <c r="BL366" t="s">
        <v>742</v>
      </c>
      <c r="BM366" t="s">
        <v>159</v>
      </c>
    </row>
    <row r="367" spans="1:65" x14ac:dyDescent="0.25">
      <c r="A367">
        <v>365</v>
      </c>
      <c r="B367" t="s">
        <v>734</v>
      </c>
      <c r="C367" t="s">
        <v>68</v>
      </c>
      <c r="D367" s="1">
        <v>46206</v>
      </c>
      <c r="E367" t="s">
        <v>735</v>
      </c>
      <c r="F367" t="s">
        <v>68</v>
      </c>
      <c r="G367" t="s">
        <v>295</v>
      </c>
      <c r="H367" t="s">
        <v>296</v>
      </c>
      <c r="I367" t="s">
        <v>71</v>
      </c>
      <c r="J367" t="s">
        <v>72</v>
      </c>
      <c r="K367" t="s">
        <v>73</v>
      </c>
      <c r="L367" t="s">
        <v>74</v>
      </c>
      <c r="M367" t="s">
        <v>736</v>
      </c>
      <c r="N367" t="s">
        <v>76</v>
      </c>
      <c r="O367" t="s">
        <v>737</v>
      </c>
      <c r="P367" t="s">
        <v>738</v>
      </c>
      <c r="Q367" t="s">
        <v>66</v>
      </c>
      <c r="R367" s="1">
        <v>46206</v>
      </c>
      <c r="S367" t="s">
        <v>739</v>
      </c>
      <c r="T367" t="s">
        <v>740</v>
      </c>
      <c r="U367" t="s">
        <v>718</v>
      </c>
      <c r="V367" t="s">
        <v>66</v>
      </c>
      <c r="W367" t="s">
        <v>66</v>
      </c>
      <c r="X367">
        <v>299292</v>
      </c>
      <c r="Y367">
        <v>32922.120000000003</v>
      </c>
      <c r="Z367">
        <v>23226</v>
      </c>
      <c r="AA367">
        <v>2554.86</v>
      </c>
      <c r="AB367">
        <v>332214.12</v>
      </c>
      <c r="AC367">
        <v>3</v>
      </c>
      <c r="AD367" t="s">
        <v>82</v>
      </c>
      <c r="AE367">
        <v>3</v>
      </c>
      <c r="AF367" t="s">
        <v>199</v>
      </c>
      <c r="AG367">
        <f>IFERROR(VLOOKUP(AF367,[1]STOK!J:O,6,0),"")</f>
        <v>24</v>
      </c>
      <c r="AH367" s="2">
        <f t="shared" si="10"/>
        <v>0.125</v>
      </c>
      <c r="AI367" t="s">
        <v>199</v>
      </c>
      <c r="AJ367" t="s">
        <v>200</v>
      </c>
      <c r="AK367" t="s">
        <v>201</v>
      </c>
      <c r="AL367" t="s">
        <v>86</v>
      </c>
      <c r="AM367">
        <v>8769</v>
      </c>
      <c r="AN367">
        <f t="shared" si="11"/>
        <v>8593.6200000000008</v>
      </c>
      <c r="AO367" t="s">
        <v>66</v>
      </c>
      <c r="AP367">
        <v>2</v>
      </c>
      <c r="AQ367" t="s">
        <v>66</v>
      </c>
      <c r="AR367">
        <v>0</v>
      </c>
      <c r="AS367" t="s">
        <v>66</v>
      </c>
      <c r="AT367">
        <v>0</v>
      </c>
      <c r="AU367" t="s">
        <v>66</v>
      </c>
      <c r="AV367">
        <v>0</v>
      </c>
      <c r="AW367" t="s">
        <v>66</v>
      </c>
      <c r="AX367">
        <v>0</v>
      </c>
      <c r="AY367" t="s">
        <v>66</v>
      </c>
      <c r="AZ367">
        <v>0</v>
      </c>
      <c r="BA367" t="s">
        <v>66</v>
      </c>
      <c r="BB367">
        <v>0</v>
      </c>
      <c r="BC367">
        <v>0</v>
      </c>
      <c r="BD367">
        <v>25780.86</v>
      </c>
      <c r="BE367">
        <v>7114.38</v>
      </c>
      <c r="BF367">
        <v>0</v>
      </c>
      <c r="BG367" t="s">
        <v>87</v>
      </c>
      <c r="BH367" t="s">
        <v>741</v>
      </c>
      <c r="BI367">
        <v>3</v>
      </c>
      <c r="BJ367" t="s">
        <v>158</v>
      </c>
      <c r="BK367" t="s">
        <v>88</v>
      </c>
      <c r="BL367" t="s">
        <v>742</v>
      </c>
      <c r="BM367" t="s">
        <v>159</v>
      </c>
    </row>
    <row r="368" spans="1:65" x14ac:dyDescent="0.25">
      <c r="A368">
        <v>366</v>
      </c>
      <c r="B368" t="s">
        <v>749</v>
      </c>
      <c r="C368" t="s">
        <v>68</v>
      </c>
      <c r="D368" s="1">
        <v>46206</v>
      </c>
      <c r="E368" t="s">
        <v>750</v>
      </c>
      <c r="F368" t="s">
        <v>68</v>
      </c>
      <c r="G368" t="s">
        <v>295</v>
      </c>
      <c r="H368" t="s">
        <v>296</v>
      </c>
      <c r="I368" t="s">
        <v>71</v>
      </c>
      <c r="J368" t="s">
        <v>72</v>
      </c>
      <c r="K368" t="s">
        <v>73</v>
      </c>
      <c r="L368" t="s">
        <v>74</v>
      </c>
      <c r="M368" t="s">
        <v>751</v>
      </c>
      <c r="N368" t="s">
        <v>76</v>
      </c>
      <c r="O368" t="s">
        <v>752</v>
      </c>
      <c r="P368" t="s">
        <v>753</v>
      </c>
      <c r="Q368" t="s">
        <v>754</v>
      </c>
      <c r="R368" s="1">
        <v>46206</v>
      </c>
      <c r="S368" t="s">
        <v>739</v>
      </c>
      <c r="T368" t="s">
        <v>755</v>
      </c>
      <c r="U368" t="s">
        <v>718</v>
      </c>
      <c r="V368" t="s">
        <v>66</v>
      </c>
      <c r="W368" t="s">
        <v>66</v>
      </c>
      <c r="X368">
        <v>535080</v>
      </c>
      <c r="Y368">
        <v>58858.8</v>
      </c>
      <c r="Z368">
        <v>23226</v>
      </c>
      <c r="AA368">
        <v>2554.86</v>
      </c>
      <c r="AB368">
        <v>593938.80000000005</v>
      </c>
      <c r="AC368">
        <v>3</v>
      </c>
      <c r="AD368" t="s">
        <v>82</v>
      </c>
      <c r="AE368">
        <v>3</v>
      </c>
      <c r="AF368" t="s">
        <v>199</v>
      </c>
      <c r="AG368">
        <f>IFERROR(VLOOKUP(AF368,[1]STOK!J:O,6,0),"")</f>
        <v>24</v>
      </c>
      <c r="AH368" s="2">
        <f t="shared" si="10"/>
        <v>0.125</v>
      </c>
      <c r="AI368" t="s">
        <v>199</v>
      </c>
      <c r="AJ368" t="s">
        <v>200</v>
      </c>
      <c r="AK368" t="s">
        <v>201</v>
      </c>
      <c r="AL368" t="s">
        <v>86</v>
      </c>
      <c r="AM368">
        <v>8769</v>
      </c>
      <c r="AN368">
        <f t="shared" si="11"/>
        <v>8593.6200000000008</v>
      </c>
      <c r="AO368" t="s">
        <v>66</v>
      </c>
      <c r="AP368">
        <v>2</v>
      </c>
      <c r="AQ368" t="s">
        <v>66</v>
      </c>
      <c r="AR368">
        <v>0</v>
      </c>
      <c r="AS368" t="s">
        <v>66</v>
      </c>
      <c r="AT368">
        <v>0</v>
      </c>
      <c r="AU368" t="s">
        <v>66</v>
      </c>
      <c r="AV368">
        <v>0</v>
      </c>
      <c r="AW368" t="s">
        <v>66</v>
      </c>
      <c r="AX368">
        <v>0</v>
      </c>
      <c r="AY368" t="s">
        <v>66</v>
      </c>
      <c r="AZ368">
        <v>0</v>
      </c>
      <c r="BA368" t="s">
        <v>66</v>
      </c>
      <c r="BB368">
        <v>0</v>
      </c>
      <c r="BC368">
        <v>0</v>
      </c>
      <c r="BD368">
        <v>25780.86</v>
      </c>
      <c r="BE368">
        <v>7114.38</v>
      </c>
      <c r="BF368">
        <v>0</v>
      </c>
      <c r="BG368" t="s">
        <v>87</v>
      </c>
      <c r="BH368" t="s">
        <v>66</v>
      </c>
      <c r="BI368">
        <v>0</v>
      </c>
      <c r="BJ368" t="s">
        <v>66</v>
      </c>
      <c r="BK368" t="s">
        <v>88</v>
      </c>
      <c r="BL368" t="s">
        <v>756</v>
      </c>
      <c r="BM368" t="s">
        <v>159</v>
      </c>
    </row>
    <row r="369" spans="1:65" x14ac:dyDescent="0.25">
      <c r="A369">
        <v>367</v>
      </c>
      <c r="B369" t="s">
        <v>749</v>
      </c>
      <c r="C369" t="s">
        <v>68</v>
      </c>
      <c r="D369" s="1">
        <v>46206</v>
      </c>
      <c r="E369" t="s">
        <v>750</v>
      </c>
      <c r="F369" t="s">
        <v>68</v>
      </c>
      <c r="G369" t="s">
        <v>295</v>
      </c>
      <c r="H369" t="s">
        <v>296</v>
      </c>
      <c r="I369" t="s">
        <v>71</v>
      </c>
      <c r="J369" t="s">
        <v>72</v>
      </c>
      <c r="K369" t="s">
        <v>73</v>
      </c>
      <c r="L369" t="s">
        <v>74</v>
      </c>
      <c r="M369" t="s">
        <v>751</v>
      </c>
      <c r="N369" t="s">
        <v>76</v>
      </c>
      <c r="O369" t="s">
        <v>752</v>
      </c>
      <c r="P369" t="s">
        <v>753</v>
      </c>
      <c r="Q369" t="s">
        <v>754</v>
      </c>
      <c r="R369" s="1">
        <v>46206</v>
      </c>
      <c r="S369" t="s">
        <v>739</v>
      </c>
      <c r="T369" t="s">
        <v>755</v>
      </c>
      <c r="U369" t="s">
        <v>718</v>
      </c>
      <c r="V369" t="s">
        <v>66</v>
      </c>
      <c r="W369" t="s">
        <v>66</v>
      </c>
      <c r="X369">
        <v>535080</v>
      </c>
      <c r="Y369">
        <v>58858.8</v>
      </c>
      <c r="Z369">
        <v>33222</v>
      </c>
      <c r="AA369">
        <v>3654.42</v>
      </c>
      <c r="AB369">
        <v>593938.80000000005</v>
      </c>
      <c r="AC369">
        <v>3</v>
      </c>
      <c r="AD369" t="s">
        <v>82</v>
      </c>
      <c r="AE369">
        <v>3</v>
      </c>
      <c r="AF369" t="s">
        <v>122</v>
      </c>
      <c r="AG369">
        <f>IFERROR(VLOOKUP(AF369,[1]STOK!J:O,6,0),"")</f>
        <v>24</v>
      </c>
      <c r="AH369" s="2">
        <f t="shared" si="10"/>
        <v>0.125</v>
      </c>
      <c r="AI369" t="s">
        <v>122</v>
      </c>
      <c r="AJ369" t="s">
        <v>123</v>
      </c>
      <c r="AK369" t="s">
        <v>124</v>
      </c>
      <c r="AL369" t="s">
        <v>86</v>
      </c>
      <c r="AM369">
        <v>12543</v>
      </c>
      <c r="AN369">
        <f t="shared" si="11"/>
        <v>12292.14</v>
      </c>
      <c r="AO369" t="s">
        <v>66</v>
      </c>
      <c r="AP369">
        <v>2</v>
      </c>
      <c r="AQ369" t="s">
        <v>66</v>
      </c>
      <c r="AR369">
        <v>0</v>
      </c>
      <c r="AS369" t="s">
        <v>66</v>
      </c>
      <c r="AT369">
        <v>0</v>
      </c>
      <c r="AU369" t="s">
        <v>66</v>
      </c>
      <c r="AV369">
        <v>0</v>
      </c>
      <c r="AW369" t="s">
        <v>66</v>
      </c>
      <c r="AX369">
        <v>0</v>
      </c>
      <c r="AY369" t="s">
        <v>66</v>
      </c>
      <c r="AZ369">
        <v>0</v>
      </c>
      <c r="BA369" t="s">
        <v>66</v>
      </c>
      <c r="BB369">
        <v>0</v>
      </c>
      <c r="BC369">
        <v>0</v>
      </c>
      <c r="BD369">
        <v>36876.42</v>
      </c>
      <c r="BE369">
        <v>10140.08</v>
      </c>
      <c r="BF369">
        <v>0</v>
      </c>
      <c r="BG369" t="s">
        <v>87</v>
      </c>
      <c r="BH369" t="s">
        <v>66</v>
      </c>
      <c r="BI369">
        <v>0</v>
      </c>
      <c r="BJ369" t="s">
        <v>66</v>
      </c>
      <c r="BK369" t="s">
        <v>88</v>
      </c>
      <c r="BL369" t="s">
        <v>756</v>
      </c>
      <c r="BM369" t="s">
        <v>159</v>
      </c>
    </row>
    <row r="370" spans="1:65" x14ac:dyDescent="0.25">
      <c r="A370">
        <v>368</v>
      </c>
      <c r="B370" t="s">
        <v>749</v>
      </c>
      <c r="C370" t="s">
        <v>68</v>
      </c>
      <c r="D370" s="1">
        <v>46206</v>
      </c>
      <c r="E370" t="s">
        <v>750</v>
      </c>
      <c r="F370" t="s">
        <v>68</v>
      </c>
      <c r="G370" t="s">
        <v>295</v>
      </c>
      <c r="H370" t="s">
        <v>296</v>
      </c>
      <c r="I370" t="s">
        <v>71</v>
      </c>
      <c r="J370" t="s">
        <v>72</v>
      </c>
      <c r="K370" t="s">
        <v>73</v>
      </c>
      <c r="L370" t="s">
        <v>74</v>
      </c>
      <c r="M370" t="s">
        <v>751</v>
      </c>
      <c r="N370" t="s">
        <v>76</v>
      </c>
      <c r="O370" t="s">
        <v>752</v>
      </c>
      <c r="P370" t="s">
        <v>753</v>
      </c>
      <c r="Q370" t="s">
        <v>754</v>
      </c>
      <c r="R370" s="1">
        <v>46206</v>
      </c>
      <c r="S370" t="s">
        <v>739</v>
      </c>
      <c r="T370" t="s">
        <v>755</v>
      </c>
      <c r="U370" t="s">
        <v>718</v>
      </c>
      <c r="V370" t="s">
        <v>66</v>
      </c>
      <c r="W370" t="s">
        <v>66</v>
      </c>
      <c r="X370">
        <v>535080</v>
      </c>
      <c r="Y370">
        <v>58858.8</v>
      </c>
      <c r="Z370">
        <v>97020</v>
      </c>
      <c r="AA370">
        <v>10672.2</v>
      </c>
      <c r="AB370">
        <v>593938.80000000005</v>
      </c>
      <c r="AC370">
        <v>6</v>
      </c>
      <c r="AD370" t="s">
        <v>82</v>
      </c>
      <c r="AE370">
        <v>6</v>
      </c>
      <c r="AF370" t="s">
        <v>128</v>
      </c>
      <c r="AG370">
        <f>IFERROR(VLOOKUP(AF370,[1]STOK!J:O,6,0),"")</f>
        <v>24</v>
      </c>
      <c r="AH370" s="2">
        <f t="shared" si="10"/>
        <v>0.25</v>
      </c>
      <c r="AI370" t="s">
        <v>128</v>
      </c>
      <c r="AJ370" t="s">
        <v>129</v>
      </c>
      <c r="AK370" t="s">
        <v>130</v>
      </c>
      <c r="AL370" t="s">
        <v>86</v>
      </c>
      <c r="AM370">
        <v>18315</v>
      </c>
      <c r="AN370">
        <f t="shared" si="11"/>
        <v>17948.7</v>
      </c>
      <c r="AO370" t="s">
        <v>66</v>
      </c>
      <c r="AP370">
        <v>2</v>
      </c>
      <c r="AQ370" t="s">
        <v>66</v>
      </c>
      <c r="AR370">
        <v>0</v>
      </c>
      <c r="AS370" t="s">
        <v>66</v>
      </c>
      <c r="AT370">
        <v>0</v>
      </c>
      <c r="AU370" t="s">
        <v>66</v>
      </c>
      <c r="AV370">
        <v>0</v>
      </c>
      <c r="AW370" t="s">
        <v>66</v>
      </c>
      <c r="AX370">
        <v>0</v>
      </c>
      <c r="AY370" t="s">
        <v>66</v>
      </c>
      <c r="AZ370">
        <v>0</v>
      </c>
      <c r="BA370" t="s">
        <v>66</v>
      </c>
      <c r="BB370">
        <v>0</v>
      </c>
      <c r="BC370">
        <v>0</v>
      </c>
      <c r="BD370">
        <v>107692.2</v>
      </c>
      <c r="BE370">
        <v>14907.75</v>
      </c>
      <c r="BF370">
        <v>0</v>
      </c>
      <c r="BG370" t="s">
        <v>87</v>
      </c>
      <c r="BH370" t="s">
        <v>66</v>
      </c>
      <c r="BI370">
        <v>0</v>
      </c>
      <c r="BJ370" t="s">
        <v>66</v>
      </c>
      <c r="BK370" t="s">
        <v>88</v>
      </c>
      <c r="BL370" t="s">
        <v>756</v>
      </c>
      <c r="BM370" t="s">
        <v>159</v>
      </c>
    </row>
    <row r="371" spans="1:65" x14ac:dyDescent="0.25">
      <c r="A371">
        <v>369</v>
      </c>
      <c r="B371" t="s">
        <v>749</v>
      </c>
      <c r="C371" t="s">
        <v>68</v>
      </c>
      <c r="D371" s="1">
        <v>46206</v>
      </c>
      <c r="E371" t="s">
        <v>750</v>
      </c>
      <c r="F371" t="s">
        <v>68</v>
      </c>
      <c r="G371" t="s">
        <v>295</v>
      </c>
      <c r="H371" t="s">
        <v>296</v>
      </c>
      <c r="I371" t="s">
        <v>71</v>
      </c>
      <c r="J371" t="s">
        <v>72</v>
      </c>
      <c r="K371" t="s">
        <v>73</v>
      </c>
      <c r="L371" t="s">
        <v>74</v>
      </c>
      <c r="M371" t="s">
        <v>751</v>
      </c>
      <c r="N371" t="s">
        <v>76</v>
      </c>
      <c r="O371" t="s">
        <v>752</v>
      </c>
      <c r="P371" t="s">
        <v>753</v>
      </c>
      <c r="Q371" t="s">
        <v>754</v>
      </c>
      <c r="R371" s="1">
        <v>46206</v>
      </c>
      <c r="S371" t="s">
        <v>739</v>
      </c>
      <c r="T371" t="s">
        <v>755</v>
      </c>
      <c r="U371" t="s">
        <v>718</v>
      </c>
      <c r="V371" t="s">
        <v>66</v>
      </c>
      <c r="W371" t="s">
        <v>66</v>
      </c>
      <c r="X371">
        <v>535080</v>
      </c>
      <c r="Y371">
        <v>58858.8</v>
      </c>
      <c r="Z371">
        <v>48510</v>
      </c>
      <c r="AA371">
        <v>5336.1</v>
      </c>
      <c r="AB371">
        <v>593938.80000000005</v>
      </c>
      <c r="AC371">
        <v>3</v>
      </c>
      <c r="AD371" t="s">
        <v>82</v>
      </c>
      <c r="AE371">
        <v>3</v>
      </c>
      <c r="AF371" t="s">
        <v>205</v>
      </c>
      <c r="AG371">
        <f>IFERROR(VLOOKUP(AF371,[1]STOK!J:O,6,0),"")</f>
        <v>24</v>
      </c>
      <c r="AH371" s="2">
        <f t="shared" si="10"/>
        <v>0.125</v>
      </c>
      <c r="AI371" t="s">
        <v>205</v>
      </c>
      <c r="AJ371" t="s">
        <v>206</v>
      </c>
      <c r="AK371" t="s">
        <v>207</v>
      </c>
      <c r="AL371" t="s">
        <v>86</v>
      </c>
      <c r="AM371">
        <v>18315</v>
      </c>
      <c r="AN371">
        <f t="shared" si="11"/>
        <v>17948.7</v>
      </c>
      <c r="AO371" t="s">
        <v>66</v>
      </c>
      <c r="AP371">
        <v>2</v>
      </c>
      <c r="AQ371" t="s">
        <v>66</v>
      </c>
      <c r="AR371">
        <v>0</v>
      </c>
      <c r="AS371" t="s">
        <v>66</v>
      </c>
      <c r="AT371">
        <v>0</v>
      </c>
      <c r="AU371" t="s">
        <v>66</v>
      </c>
      <c r="AV371">
        <v>0</v>
      </c>
      <c r="AW371" t="s">
        <v>66</v>
      </c>
      <c r="AX371">
        <v>0</v>
      </c>
      <c r="AY371" t="s">
        <v>66</v>
      </c>
      <c r="AZ371">
        <v>0</v>
      </c>
      <c r="BA371" t="s">
        <v>66</v>
      </c>
      <c r="BB371">
        <v>0</v>
      </c>
      <c r="BC371">
        <v>0</v>
      </c>
      <c r="BD371">
        <v>53846.1</v>
      </c>
      <c r="BE371">
        <v>14865.57</v>
      </c>
      <c r="BF371">
        <v>0</v>
      </c>
      <c r="BG371" t="s">
        <v>87</v>
      </c>
      <c r="BH371" t="s">
        <v>66</v>
      </c>
      <c r="BI371">
        <v>0</v>
      </c>
      <c r="BJ371" t="s">
        <v>66</v>
      </c>
      <c r="BK371" t="s">
        <v>88</v>
      </c>
      <c r="BL371" t="s">
        <v>756</v>
      </c>
      <c r="BM371" t="s">
        <v>159</v>
      </c>
    </row>
    <row r="372" spans="1:65" x14ac:dyDescent="0.25">
      <c r="A372">
        <v>370</v>
      </c>
      <c r="B372" t="s">
        <v>749</v>
      </c>
      <c r="C372" t="s">
        <v>68</v>
      </c>
      <c r="D372" s="1">
        <v>46206</v>
      </c>
      <c r="E372" t="s">
        <v>750</v>
      </c>
      <c r="F372" t="s">
        <v>68</v>
      </c>
      <c r="G372" t="s">
        <v>295</v>
      </c>
      <c r="H372" t="s">
        <v>296</v>
      </c>
      <c r="I372" t="s">
        <v>71</v>
      </c>
      <c r="J372" t="s">
        <v>72</v>
      </c>
      <c r="K372" t="s">
        <v>73</v>
      </c>
      <c r="L372" t="s">
        <v>74</v>
      </c>
      <c r="M372" t="s">
        <v>751</v>
      </c>
      <c r="N372" t="s">
        <v>76</v>
      </c>
      <c r="O372" t="s">
        <v>752</v>
      </c>
      <c r="P372" t="s">
        <v>753</v>
      </c>
      <c r="Q372" t="s">
        <v>754</v>
      </c>
      <c r="R372" s="1">
        <v>46206</v>
      </c>
      <c r="S372" t="s">
        <v>739</v>
      </c>
      <c r="T372" t="s">
        <v>755</v>
      </c>
      <c r="U372" t="s">
        <v>718</v>
      </c>
      <c r="V372" t="s">
        <v>66</v>
      </c>
      <c r="W372" t="s">
        <v>66</v>
      </c>
      <c r="X372">
        <v>535080</v>
      </c>
      <c r="Y372">
        <v>58858.8</v>
      </c>
      <c r="Z372">
        <v>39102</v>
      </c>
      <c r="AA372">
        <v>4301.22</v>
      </c>
      <c r="AB372">
        <v>593938.80000000005</v>
      </c>
      <c r="AC372">
        <v>3</v>
      </c>
      <c r="AD372" t="s">
        <v>82</v>
      </c>
      <c r="AE372">
        <v>3</v>
      </c>
      <c r="AF372" t="s">
        <v>210</v>
      </c>
      <c r="AG372">
        <f>IFERROR(VLOOKUP(AF372,[1]STOK!J:O,6,0),"")</f>
        <v>12</v>
      </c>
      <c r="AH372" s="2">
        <f t="shared" si="10"/>
        <v>0.25</v>
      </c>
      <c r="AI372" t="s">
        <v>210</v>
      </c>
      <c r="AJ372" t="s">
        <v>211</v>
      </c>
      <c r="AK372" t="s">
        <v>212</v>
      </c>
      <c r="AL372" t="s">
        <v>86</v>
      </c>
      <c r="AM372">
        <v>14763</v>
      </c>
      <c r="AN372">
        <f t="shared" si="11"/>
        <v>14467.74</v>
      </c>
      <c r="AO372" t="s">
        <v>66</v>
      </c>
      <c r="AP372">
        <v>2</v>
      </c>
      <c r="AQ372" t="s">
        <v>66</v>
      </c>
      <c r="AR372">
        <v>0</v>
      </c>
      <c r="AS372" t="s">
        <v>66</v>
      </c>
      <c r="AT372">
        <v>0</v>
      </c>
      <c r="AU372" t="s">
        <v>66</v>
      </c>
      <c r="AV372">
        <v>0</v>
      </c>
      <c r="AW372" t="s">
        <v>66</v>
      </c>
      <c r="AX372">
        <v>0</v>
      </c>
      <c r="AY372" t="s">
        <v>66</v>
      </c>
      <c r="AZ372">
        <v>0</v>
      </c>
      <c r="BA372" t="s">
        <v>66</v>
      </c>
      <c r="BB372">
        <v>0</v>
      </c>
      <c r="BC372">
        <v>0</v>
      </c>
      <c r="BD372">
        <v>43403.22</v>
      </c>
      <c r="BE372">
        <v>12009.37</v>
      </c>
      <c r="BF372">
        <v>0</v>
      </c>
      <c r="BG372" t="s">
        <v>87</v>
      </c>
      <c r="BH372" t="s">
        <v>66</v>
      </c>
      <c r="BI372">
        <v>0</v>
      </c>
      <c r="BJ372" t="s">
        <v>66</v>
      </c>
      <c r="BK372" t="s">
        <v>88</v>
      </c>
      <c r="BL372" t="s">
        <v>756</v>
      </c>
      <c r="BM372" t="s">
        <v>159</v>
      </c>
    </row>
    <row r="373" spans="1:65" x14ac:dyDescent="0.25">
      <c r="A373">
        <v>371</v>
      </c>
      <c r="B373" t="s">
        <v>749</v>
      </c>
      <c r="C373" t="s">
        <v>68</v>
      </c>
      <c r="D373" s="1">
        <v>46206</v>
      </c>
      <c r="E373" t="s">
        <v>750</v>
      </c>
      <c r="F373" t="s">
        <v>68</v>
      </c>
      <c r="G373" t="s">
        <v>295</v>
      </c>
      <c r="H373" t="s">
        <v>296</v>
      </c>
      <c r="I373" t="s">
        <v>71</v>
      </c>
      <c r="J373" t="s">
        <v>72</v>
      </c>
      <c r="K373" t="s">
        <v>73</v>
      </c>
      <c r="L373" t="s">
        <v>74</v>
      </c>
      <c r="M373" t="s">
        <v>751</v>
      </c>
      <c r="N373" t="s">
        <v>76</v>
      </c>
      <c r="O373" t="s">
        <v>752</v>
      </c>
      <c r="P373" t="s">
        <v>753</v>
      </c>
      <c r="Q373" t="s">
        <v>754</v>
      </c>
      <c r="R373" s="1">
        <v>46206</v>
      </c>
      <c r="S373" t="s">
        <v>739</v>
      </c>
      <c r="T373" t="s">
        <v>755</v>
      </c>
      <c r="U373" t="s">
        <v>718</v>
      </c>
      <c r="V373" t="s">
        <v>66</v>
      </c>
      <c r="W373" t="s">
        <v>66</v>
      </c>
      <c r="X373">
        <v>535080</v>
      </c>
      <c r="Y373">
        <v>58858.8</v>
      </c>
      <c r="Z373">
        <v>235200</v>
      </c>
      <c r="AA373">
        <v>25872</v>
      </c>
      <c r="AB373">
        <v>593938.80000000005</v>
      </c>
      <c r="AC373">
        <v>12</v>
      </c>
      <c r="AD373" t="s">
        <v>82</v>
      </c>
      <c r="AE373">
        <v>12</v>
      </c>
      <c r="AF373" t="s">
        <v>290</v>
      </c>
      <c r="AG373">
        <f>IFERROR(VLOOKUP(AF373,[1]STOK!J:O,6,0),"")</f>
        <v>12</v>
      </c>
      <c r="AH373" s="2">
        <f t="shared" si="10"/>
        <v>1</v>
      </c>
      <c r="AI373" t="s">
        <v>290</v>
      </c>
      <c r="AJ373" t="s">
        <v>291</v>
      </c>
      <c r="AK373" t="s">
        <v>292</v>
      </c>
      <c r="AL373" t="s">
        <v>86</v>
      </c>
      <c r="AM373">
        <v>22200</v>
      </c>
      <c r="AN373">
        <f t="shared" si="11"/>
        <v>21756</v>
      </c>
      <c r="AO373" t="s">
        <v>66</v>
      </c>
      <c r="AP373">
        <v>2</v>
      </c>
      <c r="AQ373" t="s">
        <v>66</v>
      </c>
      <c r="AR373">
        <v>0</v>
      </c>
      <c r="AS373" t="s">
        <v>66</v>
      </c>
      <c r="AT373">
        <v>0</v>
      </c>
      <c r="AU373" t="s">
        <v>66</v>
      </c>
      <c r="AV373">
        <v>0</v>
      </c>
      <c r="AW373" t="s">
        <v>66</v>
      </c>
      <c r="AX373">
        <v>0</v>
      </c>
      <c r="AY373" t="s">
        <v>66</v>
      </c>
      <c r="AZ373">
        <v>0</v>
      </c>
      <c r="BA373" t="s">
        <v>66</v>
      </c>
      <c r="BB373">
        <v>0</v>
      </c>
      <c r="BC373">
        <v>0</v>
      </c>
      <c r="BD373">
        <v>261072</v>
      </c>
      <c r="BE373">
        <v>18106.89</v>
      </c>
      <c r="BF373">
        <v>0</v>
      </c>
      <c r="BG373" t="s">
        <v>87</v>
      </c>
      <c r="BH373" t="s">
        <v>66</v>
      </c>
      <c r="BI373">
        <v>0</v>
      </c>
      <c r="BJ373" t="s">
        <v>66</v>
      </c>
      <c r="BK373" t="s">
        <v>88</v>
      </c>
      <c r="BL373" t="s">
        <v>756</v>
      </c>
      <c r="BM373" t="s">
        <v>159</v>
      </c>
    </row>
    <row r="374" spans="1:65" x14ac:dyDescent="0.25">
      <c r="A374">
        <v>372</v>
      </c>
      <c r="B374" t="s">
        <v>749</v>
      </c>
      <c r="C374" t="s">
        <v>68</v>
      </c>
      <c r="D374" s="1">
        <v>46206</v>
      </c>
      <c r="E374" t="s">
        <v>750</v>
      </c>
      <c r="F374" t="s">
        <v>68</v>
      </c>
      <c r="G374" t="s">
        <v>295</v>
      </c>
      <c r="H374" t="s">
        <v>296</v>
      </c>
      <c r="I374" t="s">
        <v>71</v>
      </c>
      <c r="J374" t="s">
        <v>72</v>
      </c>
      <c r="K374" t="s">
        <v>73</v>
      </c>
      <c r="L374" t="s">
        <v>74</v>
      </c>
      <c r="M374" t="s">
        <v>751</v>
      </c>
      <c r="N374" t="s">
        <v>76</v>
      </c>
      <c r="O374" t="s">
        <v>752</v>
      </c>
      <c r="P374" t="s">
        <v>753</v>
      </c>
      <c r="Q374" t="s">
        <v>754</v>
      </c>
      <c r="R374" s="1">
        <v>46206</v>
      </c>
      <c r="S374" t="s">
        <v>739</v>
      </c>
      <c r="T374" t="s">
        <v>755</v>
      </c>
      <c r="U374" t="s">
        <v>718</v>
      </c>
      <c r="V374" t="s">
        <v>66</v>
      </c>
      <c r="W374" t="s">
        <v>66</v>
      </c>
      <c r="X374">
        <v>535080</v>
      </c>
      <c r="Y374">
        <v>58858.8</v>
      </c>
      <c r="Z374">
        <v>58800</v>
      </c>
      <c r="AA374">
        <v>6468</v>
      </c>
      <c r="AB374">
        <v>593938.80000000005</v>
      </c>
      <c r="AC374">
        <v>3</v>
      </c>
      <c r="AD374" t="s">
        <v>82</v>
      </c>
      <c r="AE374">
        <v>3</v>
      </c>
      <c r="AF374" t="s">
        <v>102</v>
      </c>
      <c r="AG374">
        <f>IFERROR(VLOOKUP(AF374,[1]STOK!J:O,6,0),"")</f>
        <v>12</v>
      </c>
      <c r="AH374" s="2">
        <f t="shared" si="10"/>
        <v>0.25</v>
      </c>
      <c r="AI374" t="s">
        <v>102</v>
      </c>
      <c r="AJ374" t="s">
        <v>103</v>
      </c>
      <c r="AK374" t="s">
        <v>104</v>
      </c>
      <c r="AL374" t="s">
        <v>86</v>
      </c>
      <c r="AM374">
        <v>22200</v>
      </c>
      <c r="AN374">
        <f t="shared" si="11"/>
        <v>21756</v>
      </c>
      <c r="AO374" t="s">
        <v>66</v>
      </c>
      <c r="AP374">
        <v>2</v>
      </c>
      <c r="AQ374" t="s">
        <v>66</v>
      </c>
      <c r="AR374">
        <v>0</v>
      </c>
      <c r="AS374" t="s">
        <v>66</v>
      </c>
      <c r="AT374">
        <v>0</v>
      </c>
      <c r="AU374" t="s">
        <v>66</v>
      </c>
      <c r="AV374">
        <v>0</v>
      </c>
      <c r="AW374" t="s">
        <v>66</v>
      </c>
      <c r="AX374">
        <v>0</v>
      </c>
      <c r="AY374" t="s">
        <v>66</v>
      </c>
      <c r="AZ374">
        <v>0</v>
      </c>
      <c r="BA374" t="s">
        <v>66</v>
      </c>
      <c r="BB374">
        <v>0</v>
      </c>
      <c r="BC374">
        <v>0</v>
      </c>
      <c r="BD374">
        <v>65268</v>
      </c>
      <c r="BE374">
        <v>18040.98</v>
      </c>
      <c r="BF374">
        <v>0</v>
      </c>
      <c r="BG374" t="s">
        <v>87</v>
      </c>
      <c r="BH374" t="s">
        <v>66</v>
      </c>
      <c r="BI374">
        <v>0</v>
      </c>
      <c r="BJ374" t="s">
        <v>66</v>
      </c>
      <c r="BK374" t="s">
        <v>88</v>
      </c>
      <c r="BL374" t="s">
        <v>756</v>
      </c>
      <c r="BM374" t="s">
        <v>159</v>
      </c>
    </row>
    <row r="375" spans="1:65" x14ac:dyDescent="0.25">
      <c r="A375">
        <v>373</v>
      </c>
      <c r="B375" t="s">
        <v>757</v>
      </c>
      <c r="C375" t="s">
        <v>758</v>
      </c>
      <c r="D375" s="1">
        <v>46206</v>
      </c>
      <c r="E375" t="s">
        <v>759</v>
      </c>
      <c r="F375" t="s">
        <v>68</v>
      </c>
      <c r="G375" t="s">
        <v>295</v>
      </c>
      <c r="H375" t="s">
        <v>296</v>
      </c>
      <c r="I375" t="s">
        <v>71</v>
      </c>
      <c r="J375" t="s">
        <v>72</v>
      </c>
      <c r="K375" t="s">
        <v>73</v>
      </c>
      <c r="L375" t="s">
        <v>74</v>
      </c>
      <c r="M375" t="s">
        <v>751</v>
      </c>
      <c r="N375" t="s">
        <v>76</v>
      </c>
      <c r="O375" t="s">
        <v>752</v>
      </c>
      <c r="P375" t="s">
        <v>753</v>
      </c>
      <c r="Q375" t="s">
        <v>66</v>
      </c>
      <c r="R375" s="1">
        <v>46206</v>
      </c>
      <c r="S375" t="s">
        <v>739</v>
      </c>
      <c r="T375" t="s">
        <v>755</v>
      </c>
      <c r="U375" t="s">
        <v>718</v>
      </c>
      <c r="V375" t="s">
        <v>66</v>
      </c>
      <c r="W375" t="s">
        <v>66</v>
      </c>
      <c r="X375">
        <v>1016652</v>
      </c>
      <c r="Y375">
        <v>111831.72</v>
      </c>
      <c r="Z375">
        <v>21756</v>
      </c>
      <c r="AA375">
        <v>2393.16</v>
      </c>
      <c r="AB375">
        <v>1128483.72</v>
      </c>
      <c r="AC375">
        <v>3</v>
      </c>
      <c r="AD375" t="s">
        <v>82</v>
      </c>
      <c r="AE375">
        <v>3</v>
      </c>
      <c r="AF375" t="s">
        <v>262</v>
      </c>
      <c r="AG375">
        <f>IFERROR(VLOOKUP(AF375,[1]STOK!J:O,6,0),"")</f>
        <v>24</v>
      </c>
      <c r="AH375" s="2">
        <f t="shared" si="10"/>
        <v>0.125</v>
      </c>
      <c r="AI375" t="s">
        <v>262</v>
      </c>
      <c r="AJ375" t="s">
        <v>263</v>
      </c>
      <c r="AK375" t="s">
        <v>264</v>
      </c>
      <c r="AL375" t="s">
        <v>86</v>
      </c>
      <c r="AM375">
        <v>8214</v>
      </c>
      <c r="AN375">
        <f t="shared" si="11"/>
        <v>8049.72</v>
      </c>
      <c r="AO375" t="s">
        <v>66</v>
      </c>
      <c r="AP375">
        <v>2</v>
      </c>
      <c r="AQ375" t="s">
        <v>66</v>
      </c>
      <c r="AR375">
        <v>0</v>
      </c>
      <c r="AS375" t="s">
        <v>66</v>
      </c>
      <c r="AT375">
        <v>0</v>
      </c>
      <c r="AU375" t="s">
        <v>66</v>
      </c>
      <c r="AV375">
        <v>0</v>
      </c>
      <c r="AW375" t="s">
        <v>66</v>
      </c>
      <c r="AX375">
        <v>0</v>
      </c>
      <c r="AY375" t="s">
        <v>66</v>
      </c>
      <c r="AZ375">
        <v>0</v>
      </c>
      <c r="BA375" t="s">
        <v>66</v>
      </c>
      <c r="BB375">
        <v>0</v>
      </c>
      <c r="BC375">
        <v>0</v>
      </c>
      <c r="BD375">
        <v>24149.16</v>
      </c>
      <c r="BE375">
        <v>6693.78</v>
      </c>
      <c r="BF375">
        <v>0</v>
      </c>
      <c r="BG375" t="s">
        <v>87</v>
      </c>
      <c r="BH375" t="s">
        <v>760</v>
      </c>
      <c r="BI375">
        <v>3</v>
      </c>
      <c r="BJ375" t="s">
        <v>761</v>
      </c>
      <c r="BK375" t="s">
        <v>88</v>
      </c>
      <c r="BL375" t="s">
        <v>756</v>
      </c>
      <c r="BM375" t="s">
        <v>159</v>
      </c>
    </row>
    <row r="376" spans="1:65" x14ac:dyDescent="0.25">
      <c r="A376">
        <v>374</v>
      </c>
      <c r="B376" t="s">
        <v>757</v>
      </c>
      <c r="C376" t="s">
        <v>758</v>
      </c>
      <c r="D376" s="1">
        <v>46206</v>
      </c>
      <c r="E376" t="s">
        <v>759</v>
      </c>
      <c r="F376" t="s">
        <v>68</v>
      </c>
      <c r="G376" t="s">
        <v>295</v>
      </c>
      <c r="H376" t="s">
        <v>296</v>
      </c>
      <c r="I376" t="s">
        <v>71</v>
      </c>
      <c r="J376" t="s">
        <v>72</v>
      </c>
      <c r="K376" t="s">
        <v>73</v>
      </c>
      <c r="L376" t="s">
        <v>74</v>
      </c>
      <c r="M376" t="s">
        <v>751</v>
      </c>
      <c r="N376" t="s">
        <v>76</v>
      </c>
      <c r="O376" t="s">
        <v>752</v>
      </c>
      <c r="P376" t="s">
        <v>753</v>
      </c>
      <c r="Q376" t="s">
        <v>66</v>
      </c>
      <c r="R376" s="1">
        <v>46206</v>
      </c>
      <c r="S376" t="s">
        <v>739</v>
      </c>
      <c r="T376" t="s">
        <v>755</v>
      </c>
      <c r="U376" t="s">
        <v>718</v>
      </c>
      <c r="V376" t="s">
        <v>66</v>
      </c>
      <c r="W376" t="s">
        <v>66</v>
      </c>
      <c r="X376">
        <v>1016652</v>
      </c>
      <c r="Y376">
        <v>111831.72</v>
      </c>
      <c r="Z376">
        <v>43512</v>
      </c>
      <c r="AA376">
        <v>4786.32</v>
      </c>
      <c r="AB376">
        <v>1128483.72</v>
      </c>
      <c r="AC376">
        <v>6</v>
      </c>
      <c r="AD376" t="s">
        <v>82</v>
      </c>
      <c r="AE376">
        <v>6</v>
      </c>
      <c r="AF376" t="s">
        <v>83</v>
      </c>
      <c r="AG376">
        <f>IFERROR(VLOOKUP(AF376,[1]STOK!J:O,6,0),"")</f>
        <v>24</v>
      </c>
      <c r="AH376" s="2">
        <f t="shared" si="10"/>
        <v>0.25</v>
      </c>
      <c r="AI376" t="s">
        <v>83</v>
      </c>
      <c r="AJ376" t="s">
        <v>84</v>
      </c>
      <c r="AK376" t="s">
        <v>85</v>
      </c>
      <c r="AL376" t="s">
        <v>86</v>
      </c>
      <c r="AM376">
        <v>8214</v>
      </c>
      <c r="AN376">
        <f t="shared" si="11"/>
        <v>8049.72</v>
      </c>
      <c r="AO376" t="s">
        <v>66</v>
      </c>
      <c r="AP376">
        <v>2</v>
      </c>
      <c r="AQ376" t="s">
        <v>66</v>
      </c>
      <c r="AR376">
        <v>0</v>
      </c>
      <c r="AS376" t="s">
        <v>66</v>
      </c>
      <c r="AT376">
        <v>0</v>
      </c>
      <c r="AU376" t="s">
        <v>66</v>
      </c>
      <c r="AV376">
        <v>0</v>
      </c>
      <c r="AW376" t="s">
        <v>66</v>
      </c>
      <c r="AX376">
        <v>0</v>
      </c>
      <c r="AY376" t="s">
        <v>66</v>
      </c>
      <c r="AZ376">
        <v>0</v>
      </c>
      <c r="BA376" t="s">
        <v>66</v>
      </c>
      <c r="BB376">
        <v>0</v>
      </c>
      <c r="BC376">
        <v>0</v>
      </c>
      <c r="BD376">
        <v>48298.32</v>
      </c>
      <c r="BE376">
        <v>6704.84</v>
      </c>
      <c r="BF376">
        <v>0</v>
      </c>
      <c r="BG376" t="s">
        <v>87</v>
      </c>
      <c r="BH376" t="s">
        <v>760</v>
      </c>
      <c r="BI376">
        <v>6</v>
      </c>
      <c r="BJ376" t="s">
        <v>761</v>
      </c>
      <c r="BK376" t="s">
        <v>88</v>
      </c>
      <c r="BL376" t="s">
        <v>756</v>
      </c>
      <c r="BM376" t="s">
        <v>159</v>
      </c>
    </row>
    <row r="377" spans="1:65" x14ac:dyDescent="0.25">
      <c r="A377">
        <v>375</v>
      </c>
      <c r="B377" t="s">
        <v>757</v>
      </c>
      <c r="C377" t="s">
        <v>758</v>
      </c>
      <c r="D377" s="1">
        <v>46206</v>
      </c>
      <c r="E377" t="s">
        <v>759</v>
      </c>
      <c r="F377" t="s">
        <v>68</v>
      </c>
      <c r="G377" t="s">
        <v>295</v>
      </c>
      <c r="H377" t="s">
        <v>296</v>
      </c>
      <c r="I377" t="s">
        <v>71</v>
      </c>
      <c r="J377" t="s">
        <v>72</v>
      </c>
      <c r="K377" t="s">
        <v>73</v>
      </c>
      <c r="L377" t="s">
        <v>74</v>
      </c>
      <c r="M377" t="s">
        <v>751</v>
      </c>
      <c r="N377" t="s">
        <v>76</v>
      </c>
      <c r="O377" t="s">
        <v>752</v>
      </c>
      <c r="P377" t="s">
        <v>753</v>
      </c>
      <c r="Q377" t="s">
        <v>66</v>
      </c>
      <c r="R377" s="1">
        <v>46206</v>
      </c>
      <c r="S377" t="s">
        <v>739</v>
      </c>
      <c r="T377" t="s">
        <v>755</v>
      </c>
      <c r="U377" t="s">
        <v>718</v>
      </c>
      <c r="V377" t="s">
        <v>66</v>
      </c>
      <c r="W377" t="s">
        <v>66</v>
      </c>
      <c r="X377">
        <v>1016652</v>
      </c>
      <c r="Y377">
        <v>111831.72</v>
      </c>
      <c r="Z377">
        <v>58212</v>
      </c>
      <c r="AA377">
        <v>6403.32</v>
      </c>
      <c r="AB377">
        <v>1128483.72</v>
      </c>
      <c r="AC377">
        <v>3</v>
      </c>
      <c r="AD377" t="s">
        <v>82</v>
      </c>
      <c r="AE377">
        <v>3</v>
      </c>
      <c r="AF377" t="s">
        <v>743</v>
      </c>
      <c r="AG377">
        <f>IFERROR(VLOOKUP(AF377,[1]STOK!J:O,6,0),"")</f>
        <v>12</v>
      </c>
      <c r="AH377" s="2">
        <f t="shared" si="10"/>
        <v>0.25</v>
      </c>
      <c r="AI377" t="s">
        <v>743</v>
      </c>
      <c r="AJ377" t="s">
        <v>744</v>
      </c>
      <c r="AK377" t="s">
        <v>745</v>
      </c>
      <c r="AL377" t="s">
        <v>86</v>
      </c>
      <c r="AM377">
        <v>21978</v>
      </c>
      <c r="AN377">
        <f t="shared" si="11"/>
        <v>21538.44</v>
      </c>
      <c r="AO377" t="s">
        <v>66</v>
      </c>
      <c r="AP377">
        <v>2</v>
      </c>
      <c r="AQ377" t="s">
        <v>66</v>
      </c>
      <c r="AR377">
        <v>0</v>
      </c>
      <c r="AS377" t="s">
        <v>66</v>
      </c>
      <c r="AT377">
        <v>0</v>
      </c>
      <c r="AU377" t="s">
        <v>66</v>
      </c>
      <c r="AV377">
        <v>0</v>
      </c>
      <c r="AW377" t="s">
        <v>66</v>
      </c>
      <c r="AX377">
        <v>0</v>
      </c>
      <c r="AY377" t="s">
        <v>66</v>
      </c>
      <c r="AZ377">
        <v>0</v>
      </c>
      <c r="BA377" t="s">
        <v>66</v>
      </c>
      <c r="BB377">
        <v>0</v>
      </c>
      <c r="BC377">
        <v>0</v>
      </c>
      <c r="BD377">
        <v>64615.32</v>
      </c>
      <c r="BE377">
        <v>17682.32</v>
      </c>
      <c r="BF377">
        <v>0</v>
      </c>
      <c r="BG377" t="s">
        <v>87</v>
      </c>
      <c r="BH377" t="s">
        <v>760</v>
      </c>
      <c r="BI377">
        <v>3</v>
      </c>
      <c r="BJ377" t="s">
        <v>761</v>
      </c>
      <c r="BK377" t="s">
        <v>88</v>
      </c>
      <c r="BL377" t="s">
        <v>756</v>
      </c>
      <c r="BM377" t="s">
        <v>159</v>
      </c>
    </row>
    <row r="378" spans="1:65" x14ac:dyDescent="0.25">
      <c r="A378">
        <v>376</v>
      </c>
      <c r="B378" t="s">
        <v>757</v>
      </c>
      <c r="C378" t="s">
        <v>758</v>
      </c>
      <c r="D378" s="1">
        <v>46206</v>
      </c>
      <c r="E378" t="s">
        <v>759</v>
      </c>
      <c r="F378" t="s">
        <v>68</v>
      </c>
      <c r="G378" t="s">
        <v>295</v>
      </c>
      <c r="H378" t="s">
        <v>296</v>
      </c>
      <c r="I378" t="s">
        <v>71</v>
      </c>
      <c r="J378" t="s">
        <v>72</v>
      </c>
      <c r="K378" t="s">
        <v>73</v>
      </c>
      <c r="L378" t="s">
        <v>74</v>
      </c>
      <c r="M378" t="s">
        <v>751</v>
      </c>
      <c r="N378" t="s">
        <v>76</v>
      </c>
      <c r="O378" t="s">
        <v>752</v>
      </c>
      <c r="P378" t="s">
        <v>753</v>
      </c>
      <c r="Q378" t="s">
        <v>66</v>
      </c>
      <c r="R378" s="1">
        <v>46206</v>
      </c>
      <c r="S378" t="s">
        <v>739</v>
      </c>
      <c r="T378" t="s">
        <v>755</v>
      </c>
      <c r="U378" t="s">
        <v>718</v>
      </c>
      <c r="V378" t="s">
        <v>66</v>
      </c>
      <c r="W378" t="s">
        <v>66</v>
      </c>
      <c r="X378">
        <v>1016652</v>
      </c>
      <c r="Y378">
        <v>111831.72</v>
      </c>
      <c r="Z378">
        <v>46452</v>
      </c>
      <c r="AA378">
        <v>5109.72</v>
      </c>
      <c r="AB378">
        <v>1128483.72</v>
      </c>
      <c r="AC378">
        <v>6</v>
      </c>
      <c r="AD378" t="s">
        <v>82</v>
      </c>
      <c r="AE378">
        <v>6</v>
      </c>
      <c r="AF378" t="s">
        <v>248</v>
      </c>
      <c r="AG378">
        <f>IFERROR(VLOOKUP(AF378,[1]STOK!J:O,6,0),"")</f>
        <v>24</v>
      </c>
      <c r="AH378" s="2">
        <f t="shared" si="10"/>
        <v>0.25</v>
      </c>
      <c r="AI378" t="s">
        <v>248</v>
      </c>
      <c r="AJ378" t="s">
        <v>249</v>
      </c>
      <c r="AK378" t="s">
        <v>250</v>
      </c>
      <c r="AL378" t="s">
        <v>86</v>
      </c>
      <c r="AM378">
        <v>8769</v>
      </c>
      <c r="AN378">
        <f t="shared" si="11"/>
        <v>8593.6200000000008</v>
      </c>
      <c r="AO378" t="s">
        <v>66</v>
      </c>
      <c r="AP378">
        <v>2</v>
      </c>
      <c r="AQ378" t="s">
        <v>66</v>
      </c>
      <c r="AR378">
        <v>0</v>
      </c>
      <c r="AS378" t="s">
        <v>66</v>
      </c>
      <c r="AT378">
        <v>0</v>
      </c>
      <c r="AU378" t="s">
        <v>66</v>
      </c>
      <c r="AV378">
        <v>0</v>
      </c>
      <c r="AW378" t="s">
        <v>66</v>
      </c>
      <c r="AX378">
        <v>0</v>
      </c>
      <c r="AY378" t="s">
        <v>66</v>
      </c>
      <c r="AZ378">
        <v>0</v>
      </c>
      <c r="BA378" t="s">
        <v>66</v>
      </c>
      <c r="BB378">
        <v>0</v>
      </c>
      <c r="BC378">
        <v>0</v>
      </c>
      <c r="BD378">
        <v>51561.72</v>
      </c>
      <c r="BE378">
        <v>7032.04</v>
      </c>
      <c r="BF378">
        <v>0</v>
      </c>
      <c r="BG378" t="s">
        <v>87</v>
      </c>
      <c r="BH378" t="s">
        <v>760</v>
      </c>
      <c r="BI378">
        <v>6</v>
      </c>
      <c r="BJ378" t="s">
        <v>761</v>
      </c>
      <c r="BK378" t="s">
        <v>88</v>
      </c>
      <c r="BL378" t="s">
        <v>756</v>
      </c>
      <c r="BM378" t="s">
        <v>159</v>
      </c>
    </row>
    <row r="379" spans="1:65" x14ac:dyDescent="0.25">
      <c r="A379">
        <v>377</v>
      </c>
      <c r="B379" t="s">
        <v>757</v>
      </c>
      <c r="C379" t="s">
        <v>758</v>
      </c>
      <c r="D379" s="1">
        <v>46206</v>
      </c>
      <c r="E379" t="s">
        <v>759</v>
      </c>
      <c r="F379" t="s">
        <v>68</v>
      </c>
      <c r="G379" t="s">
        <v>295</v>
      </c>
      <c r="H379" t="s">
        <v>296</v>
      </c>
      <c r="I379" t="s">
        <v>71</v>
      </c>
      <c r="J379" t="s">
        <v>72</v>
      </c>
      <c r="K379" t="s">
        <v>73</v>
      </c>
      <c r="L379" t="s">
        <v>74</v>
      </c>
      <c r="M379" t="s">
        <v>751</v>
      </c>
      <c r="N379" t="s">
        <v>76</v>
      </c>
      <c r="O379" t="s">
        <v>752</v>
      </c>
      <c r="P379" t="s">
        <v>753</v>
      </c>
      <c r="Q379" t="s">
        <v>66</v>
      </c>
      <c r="R379" s="1">
        <v>46206</v>
      </c>
      <c r="S379" t="s">
        <v>739</v>
      </c>
      <c r="T379" t="s">
        <v>755</v>
      </c>
      <c r="U379" t="s">
        <v>718</v>
      </c>
      <c r="V379" t="s">
        <v>66</v>
      </c>
      <c r="W379" t="s">
        <v>66</v>
      </c>
      <c r="X379">
        <v>1016652</v>
      </c>
      <c r="Y379">
        <v>111831.72</v>
      </c>
      <c r="Z379">
        <v>46452</v>
      </c>
      <c r="AA379">
        <v>5109.72</v>
      </c>
      <c r="AB379">
        <v>1128483.72</v>
      </c>
      <c r="AC379">
        <v>6</v>
      </c>
      <c r="AD379" t="s">
        <v>82</v>
      </c>
      <c r="AE379">
        <v>6</v>
      </c>
      <c r="AF379" t="s">
        <v>199</v>
      </c>
      <c r="AG379">
        <f>IFERROR(VLOOKUP(AF379,[1]STOK!J:O,6,0),"")</f>
        <v>24</v>
      </c>
      <c r="AH379" s="2">
        <f t="shared" si="10"/>
        <v>0.25</v>
      </c>
      <c r="AI379" t="s">
        <v>199</v>
      </c>
      <c r="AJ379" t="s">
        <v>200</v>
      </c>
      <c r="AK379" t="s">
        <v>201</v>
      </c>
      <c r="AL379" t="s">
        <v>86</v>
      </c>
      <c r="AM379">
        <v>8769</v>
      </c>
      <c r="AN379">
        <f t="shared" si="11"/>
        <v>8593.6200000000008</v>
      </c>
      <c r="AO379" t="s">
        <v>66</v>
      </c>
      <c r="AP379">
        <v>2</v>
      </c>
      <c r="AQ379" t="s">
        <v>66</v>
      </c>
      <c r="AR379">
        <v>0</v>
      </c>
      <c r="AS379" t="s">
        <v>66</v>
      </c>
      <c r="AT379">
        <v>0</v>
      </c>
      <c r="AU379" t="s">
        <v>66</v>
      </c>
      <c r="AV379">
        <v>0</v>
      </c>
      <c r="AW379" t="s">
        <v>66</v>
      </c>
      <c r="AX379">
        <v>0</v>
      </c>
      <c r="AY379" t="s">
        <v>66</v>
      </c>
      <c r="AZ379">
        <v>0</v>
      </c>
      <c r="BA379" t="s">
        <v>66</v>
      </c>
      <c r="BB379">
        <v>0</v>
      </c>
      <c r="BC379">
        <v>0</v>
      </c>
      <c r="BD379">
        <v>51561.72</v>
      </c>
      <c r="BE379">
        <v>7114.38</v>
      </c>
      <c r="BF379">
        <v>0</v>
      </c>
      <c r="BG379" t="s">
        <v>87</v>
      </c>
      <c r="BH379" t="s">
        <v>760</v>
      </c>
      <c r="BI379">
        <v>6</v>
      </c>
      <c r="BJ379" t="s">
        <v>761</v>
      </c>
      <c r="BK379" t="s">
        <v>88</v>
      </c>
      <c r="BL379" t="s">
        <v>756</v>
      </c>
      <c r="BM379" t="s">
        <v>159</v>
      </c>
    </row>
    <row r="380" spans="1:65" x14ac:dyDescent="0.25">
      <c r="A380">
        <v>378</v>
      </c>
      <c r="B380" t="s">
        <v>757</v>
      </c>
      <c r="C380" t="s">
        <v>758</v>
      </c>
      <c r="D380" s="1">
        <v>46206</v>
      </c>
      <c r="E380" t="s">
        <v>759</v>
      </c>
      <c r="F380" t="s">
        <v>68</v>
      </c>
      <c r="G380" t="s">
        <v>295</v>
      </c>
      <c r="H380" t="s">
        <v>296</v>
      </c>
      <c r="I380" t="s">
        <v>71</v>
      </c>
      <c r="J380" t="s">
        <v>72</v>
      </c>
      <c r="K380" t="s">
        <v>73</v>
      </c>
      <c r="L380" t="s">
        <v>74</v>
      </c>
      <c r="M380" t="s">
        <v>751</v>
      </c>
      <c r="N380" t="s">
        <v>76</v>
      </c>
      <c r="O380" t="s">
        <v>752</v>
      </c>
      <c r="P380" t="s">
        <v>753</v>
      </c>
      <c r="Q380" t="s">
        <v>66</v>
      </c>
      <c r="R380" s="1">
        <v>46206</v>
      </c>
      <c r="S380" t="s">
        <v>739</v>
      </c>
      <c r="T380" t="s">
        <v>755</v>
      </c>
      <c r="U380" t="s">
        <v>718</v>
      </c>
      <c r="V380" t="s">
        <v>66</v>
      </c>
      <c r="W380" t="s">
        <v>66</v>
      </c>
      <c r="X380">
        <v>1016652</v>
      </c>
      <c r="Y380">
        <v>111831.72</v>
      </c>
      <c r="Z380">
        <v>16758</v>
      </c>
      <c r="AA380">
        <v>1843.38</v>
      </c>
      <c r="AB380">
        <v>1128483.72</v>
      </c>
      <c r="AC380">
        <v>3</v>
      </c>
      <c r="AD380" t="s">
        <v>82</v>
      </c>
      <c r="AE380">
        <v>3</v>
      </c>
      <c r="AF380" t="s">
        <v>202</v>
      </c>
      <c r="AG380">
        <f>IFERROR(VLOOKUP(AF380,[1]STOK!J:O,6,0),"")</f>
        <v>48</v>
      </c>
      <c r="AH380" s="2">
        <f t="shared" si="10"/>
        <v>6.25E-2</v>
      </c>
      <c r="AI380" t="s">
        <v>202</v>
      </c>
      <c r="AJ380" t="s">
        <v>203</v>
      </c>
      <c r="AK380" t="s">
        <v>204</v>
      </c>
      <c r="AL380" t="s">
        <v>86</v>
      </c>
      <c r="AM380">
        <v>6327</v>
      </c>
      <c r="AN380">
        <f t="shared" si="11"/>
        <v>6200.46</v>
      </c>
      <c r="AO380" t="s">
        <v>66</v>
      </c>
      <c r="AP380">
        <v>2</v>
      </c>
      <c r="AQ380" t="s">
        <v>66</v>
      </c>
      <c r="AR380">
        <v>0</v>
      </c>
      <c r="AS380" t="s">
        <v>66</v>
      </c>
      <c r="AT380">
        <v>0</v>
      </c>
      <c r="AU380" t="s">
        <v>66</v>
      </c>
      <c r="AV380">
        <v>0</v>
      </c>
      <c r="AW380" t="s">
        <v>66</v>
      </c>
      <c r="AX380">
        <v>0</v>
      </c>
      <c r="AY380" t="s">
        <v>66</v>
      </c>
      <c r="AZ380">
        <v>0</v>
      </c>
      <c r="BA380" t="s">
        <v>66</v>
      </c>
      <c r="BB380">
        <v>0</v>
      </c>
      <c r="BC380">
        <v>0</v>
      </c>
      <c r="BD380">
        <v>18601.38</v>
      </c>
      <c r="BE380">
        <v>5116.25</v>
      </c>
      <c r="BF380">
        <v>0</v>
      </c>
      <c r="BG380" t="s">
        <v>87</v>
      </c>
      <c r="BH380" t="s">
        <v>760</v>
      </c>
      <c r="BI380">
        <v>3</v>
      </c>
      <c r="BJ380" t="s">
        <v>761</v>
      </c>
      <c r="BK380" t="s">
        <v>88</v>
      </c>
      <c r="BL380" t="s">
        <v>756</v>
      </c>
      <c r="BM380" t="s">
        <v>159</v>
      </c>
    </row>
    <row r="381" spans="1:65" x14ac:dyDescent="0.25">
      <c r="A381">
        <v>379</v>
      </c>
      <c r="B381" t="s">
        <v>757</v>
      </c>
      <c r="C381" t="s">
        <v>758</v>
      </c>
      <c r="D381" s="1">
        <v>46206</v>
      </c>
      <c r="E381" t="s">
        <v>759</v>
      </c>
      <c r="F381" t="s">
        <v>68</v>
      </c>
      <c r="G381" t="s">
        <v>295</v>
      </c>
      <c r="H381" t="s">
        <v>296</v>
      </c>
      <c r="I381" t="s">
        <v>71</v>
      </c>
      <c r="J381" t="s">
        <v>72</v>
      </c>
      <c r="K381" t="s">
        <v>73</v>
      </c>
      <c r="L381" t="s">
        <v>74</v>
      </c>
      <c r="M381" t="s">
        <v>751</v>
      </c>
      <c r="N381" t="s">
        <v>76</v>
      </c>
      <c r="O381" t="s">
        <v>752</v>
      </c>
      <c r="P381" t="s">
        <v>753</v>
      </c>
      <c r="Q381" t="s">
        <v>66</v>
      </c>
      <c r="R381" s="1">
        <v>46206</v>
      </c>
      <c r="S381" t="s">
        <v>739</v>
      </c>
      <c r="T381" t="s">
        <v>755</v>
      </c>
      <c r="U381" t="s">
        <v>718</v>
      </c>
      <c r="V381" t="s">
        <v>66</v>
      </c>
      <c r="W381" t="s">
        <v>66</v>
      </c>
      <c r="X381">
        <v>1016652</v>
      </c>
      <c r="Y381">
        <v>111831.72</v>
      </c>
      <c r="Z381">
        <v>156408</v>
      </c>
      <c r="AA381">
        <v>17204.88</v>
      </c>
      <c r="AB381">
        <v>1128483.72</v>
      </c>
      <c r="AC381">
        <v>12</v>
      </c>
      <c r="AD381" t="s">
        <v>82</v>
      </c>
      <c r="AE381">
        <v>12</v>
      </c>
      <c r="AF381" t="s">
        <v>135</v>
      </c>
      <c r="AG381">
        <f>IFERROR(VLOOKUP(AF381,[1]STOK!J:O,6,0),"")</f>
        <v>12</v>
      </c>
      <c r="AH381" s="2">
        <f t="shared" si="10"/>
        <v>1</v>
      </c>
      <c r="AI381" t="s">
        <v>135</v>
      </c>
      <c r="AJ381" t="s">
        <v>136</v>
      </c>
      <c r="AK381" t="s">
        <v>137</v>
      </c>
      <c r="AL381" t="s">
        <v>86</v>
      </c>
      <c r="AM381">
        <v>14763</v>
      </c>
      <c r="AN381">
        <f t="shared" si="11"/>
        <v>14467.74</v>
      </c>
      <c r="AO381" t="s">
        <v>66</v>
      </c>
      <c r="AP381">
        <v>2</v>
      </c>
      <c r="AQ381" t="s">
        <v>66</v>
      </c>
      <c r="AR381">
        <v>0</v>
      </c>
      <c r="AS381" t="s">
        <v>66</v>
      </c>
      <c r="AT381">
        <v>0</v>
      </c>
      <c r="AU381" t="s">
        <v>66</v>
      </c>
      <c r="AV381">
        <v>0</v>
      </c>
      <c r="AW381" t="s">
        <v>66</v>
      </c>
      <c r="AX381">
        <v>0</v>
      </c>
      <c r="AY381" t="s">
        <v>66</v>
      </c>
      <c r="AZ381">
        <v>0</v>
      </c>
      <c r="BA381" t="s">
        <v>66</v>
      </c>
      <c r="BB381">
        <v>0</v>
      </c>
      <c r="BC381">
        <v>0</v>
      </c>
      <c r="BD381">
        <v>173612.88</v>
      </c>
      <c r="BE381">
        <v>12026.74</v>
      </c>
      <c r="BF381">
        <v>0</v>
      </c>
      <c r="BG381" t="s">
        <v>87</v>
      </c>
      <c r="BH381" t="s">
        <v>760</v>
      </c>
      <c r="BI381">
        <v>12</v>
      </c>
      <c r="BJ381" t="s">
        <v>761</v>
      </c>
      <c r="BK381" t="s">
        <v>88</v>
      </c>
      <c r="BL381" t="s">
        <v>756</v>
      </c>
      <c r="BM381" t="s">
        <v>159</v>
      </c>
    </row>
    <row r="382" spans="1:65" x14ac:dyDescent="0.25">
      <c r="A382">
        <v>380</v>
      </c>
      <c r="B382" t="s">
        <v>757</v>
      </c>
      <c r="C382" t="s">
        <v>758</v>
      </c>
      <c r="D382" s="1">
        <v>46206</v>
      </c>
      <c r="E382" t="s">
        <v>759</v>
      </c>
      <c r="F382" t="s">
        <v>68</v>
      </c>
      <c r="G382" t="s">
        <v>295</v>
      </c>
      <c r="H382" t="s">
        <v>296</v>
      </c>
      <c r="I382" t="s">
        <v>71</v>
      </c>
      <c r="J382" t="s">
        <v>72</v>
      </c>
      <c r="K382" t="s">
        <v>73</v>
      </c>
      <c r="L382" t="s">
        <v>74</v>
      </c>
      <c r="M382" t="s">
        <v>751</v>
      </c>
      <c r="N382" t="s">
        <v>76</v>
      </c>
      <c r="O382" t="s">
        <v>752</v>
      </c>
      <c r="P382" t="s">
        <v>753</v>
      </c>
      <c r="Q382" t="s">
        <v>66</v>
      </c>
      <c r="R382" s="1">
        <v>46206</v>
      </c>
      <c r="S382" t="s">
        <v>739</v>
      </c>
      <c r="T382" t="s">
        <v>755</v>
      </c>
      <c r="U382" t="s">
        <v>718</v>
      </c>
      <c r="V382" t="s">
        <v>66</v>
      </c>
      <c r="W382" t="s">
        <v>66</v>
      </c>
      <c r="X382">
        <v>1016652</v>
      </c>
      <c r="Y382">
        <v>111831.72</v>
      </c>
      <c r="Z382">
        <v>39102</v>
      </c>
      <c r="AA382">
        <v>4301.22</v>
      </c>
      <c r="AB382">
        <v>1128483.72</v>
      </c>
      <c r="AC382">
        <v>3</v>
      </c>
      <c r="AD382" t="s">
        <v>82</v>
      </c>
      <c r="AE382">
        <v>3</v>
      </c>
      <c r="AF382" t="s">
        <v>210</v>
      </c>
      <c r="AG382">
        <f>IFERROR(VLOOKUP(AF382,[1]STOK!J:O,6,0),"")</f>
        <v>12</v>
      </c>
      <c r="AH382" s="2">
        <f t="shared" si="10"/>
        <v>0.25</v>
      </c>
      <c r="AI382" t="s">
        <v>210</v>
      </c>
      <c r="AJ382" t="s">
        <v>211</v>
      </c>
      <c r="AK382" t="s">
        <v>212</v>
      </c>
      <c r="AL382" t="s">
        <v>86</v>
      </c>
      <c r="AM382">
        <v>14763</v>
      </c>
      <c r="AN382">
        <f t="shared" si="11"/>
        <v>14467.74</v>
      </c>
      <c r="AO382" t="s">
        <v>66</v>
      </c>
      <c r="AP382">
        <v>2</v>
      </c>
      <c r="AQ382" t="s">
        <v>66</v>
      </c>
      <c r="AR382">
        <v>0</v>
      </c>
      <c r="AS382" t="s">
        <v>66</v>
      </c>
      <c r="AT382">
        <v>0</v>
      </c>
      <c r="AU382" t="s">
        <v>66</v>
      </c>
      <c r="AV382">
        <v>0</v>
      </c>
      <c r="AW382" t="s">
        <v>66</v>
      </c>
      <c r="AX382">
        <v>0</v>
      </c>
      <c r="AY382" t="s">
        <v>66</v>
      </c>
      <c r="AZ382">
        <v>0</v>
      </c>
      <c r="BA382" t="s">
        <v>66</v>
      </c>
      <c r="BB382">
        <v>0</v>
      </c>
      <c r="BC382">
        <v>0</v>
      </c>
      <c r="BD382">
        <v>43403.22</v>
      </c>
      <c r="BE382">
        <v>12009.37</v>
      </c>
      <c r="BF382">
        <v>0</v>
      </c>
      <c r="BG382" t="s">
        <v>87</v>
      </c>
      <c r="BH382" t="s">
        <v>760</v>
      </c>
      <c r="BI382">
        <v>3</v>
      </c>
      <c r="BJ382" t="s">
        <v>761</v>
      </c>
      <c r="BK382" t="s">
        <v>88</v>
      </c>
      <c r="BL382" t="s">
        <v>756</v>
      </c>
      <c r="BM382" t="s">
        <v>159</v>
      </c>
    </row>
    <row r="383" spans="1:65" x14ac:dyDescent="0.25">
      <c r="A383">
        <v>381</v>
      </c>
      <c r="B383" t="s">
        <v>757</v>
      </c>
      <c r="C383" t="s">
        <v>758</v>
      </c>
      <c r="D383" s="1">
        <v>46206</v>
      </c>
      <c r="E383" t="s">
        <v>759</v>
      </c>
      <c r="F383" t="s">
        <v>68</v>
      </c>
      <c r="G383" t="s">
        <v>295</v>
      </c>
      <c r="H383" t="s">
        <v>296</v>
      </c>
      <c r="I383" t="s">
        <v>71</v>
      </c>
      <c r="J383" t="s">
        <v>72</v>
      </c>
      <c r="K383" t="s">
        <v>73</v>
      </c>
      <c r="L383" t="s">
        <v>74</v>
      </c>
      <c r="M383" t="s">
        <v>751</v>
      </c>
      <c r="N383" t="s">
        <v>76</v>
      </c>
      <c r="O383" t="s">
        <v>752</v>
      </c>
      <c r="P383" t="s">
        <v>753</v>
      </c>
      <c r="Q383" t="s">
        <v>66</v>
      </c>
      <c r="R383" s="1">
        <v>46206</v>
      </c>
      <c r="S383" t="s">
        <v>739</v>
      </c>
      <c r="T383" t="s">
        <v>755</v>
      </c>
      <c r="U383" t="s">
        <v>718</v>
      </c>
      <c r="V383" t="s">
        <v>66</v>
      </c>
      <c r="W383" t="s">
        <v>66</v>
      </c>
      <c r="X383">
        <v>1016652</v>
      </c>
      <c r="Y383">
        <v>111831.72</v>
      </c>
      <c r="Z383">
        <v>352800</v>
      </c>
      <c r="AA383">
        <v>38808</v>
      </c>
      <c r="AB383">
        <v>1128483.72</v>
      </c>
      <c r="AC383">
        <v>18</v>
      </c>
      <c r="AD383" t="s">
        <v>82</v>
      </c>
      <c r="AE383">
        <v>18</v>
      </c>
      <c r="AF383" t="s">
        <v>290</v>
      </c>
      <c r="AG383">
        <f>IFERROR(VLOOKUP(AF383,[1]STOK!J:O,6,0),"")</f>
        <v>12</v>
      </c>
      <c r="AH383" s="2">
        <f t="shared" si="10"/>
        <v>1.5</v>
      </c>
      <c r="AI383" t="s">
        <v>290</v>
      </c>
      <c r="AJ383" t="s">
        <v>291</v>
      </c>
      <c r="AK383" t="s">
        <v>292</v>
      </c>
      <c r="AL383" t="s">
        <v>86</v>
      </c>
      <c r="AM383">
        <v>22200</v>
      </c>
      <c r="AN383">
        <f t="shared" si="11"/>
        <v>21756</v>
      </c>
      <c r="AO383" t="s">
        <v>66</v>
      </c>
      <c r="AP383">
        <v>2</v>
      </c>
      <c r="AQ383" t="s">
        <v>66</v>
      </c>
      <c r="AR383">
        <v>0</v>
      </c>
      <c r="AS383" t="s">
        <v>66</v>
      </c>
      <c r="AT383">
        <v>0</v>
      </c>
      <c r="AU383" t="s">
        <v>66</v>
      </c>
      <c r="AV383">
        <v>0</v>
      </c>
      <c r="AW383" t="s">
        <v>66</v>
      </c>
      <c r="AX383">
        <v>0</v>
      </c>
      <c r="AY383" t="s">
        <v>66</v>
      </c>
      <c r="AZ383">
        <v>0</v>
      </c>
      <c r="BA383" t="s">
        <v>66</v>
      </c>
      <c r="BB383">
        <v>0</v>
      </c>
      <c r="BC383">
        <v>0</v>
      </c>
      <c r="BD383">
        <v>391608</v>
      </c>
      <c r="BE383">
        <v>18106.89</v>
      </c>
      <c r="BF383">
        <v>0</v>
      </c>
      <c r="BG383" t="s">
        <v>87</v>
      </c>
      <c r="BH383" t="s">
        <v>760</v>
      </c>
      <c r="BI383">
        <v>18</v>
      </c>
      <c r="BJ383" t="s">
        <v>761</v>
      </c>
      <c r="BK383" t="s">
        <v>88</v>
      </c>
      <c r="BL383" t="s">
        <v>756</v>
      </c>
      <c r="BM383" t="s">
        <v>159</v>
      </c>
    </row>
    <row r="384" spans="1:65" x14ac:dyDescent="0.25">
      <c r="A384">
        <v>382</v>
      </c>
      <c r="B384" t="s">
        <v>757</v>
      </c>
      <c r="C384" t="s">
        <v>758</v>
      </c>
      <c r="D384" s="1">
        <v>46206</v>
      </c>
      <c r="E384" t="s">
        <v>759</v>
      </c>
      <c r="F384" t="s">
        <v>68</v>
      </c>
      <c r="G384" t="s">
        <v>295</v>
      </c>
      <c r="H384" t="s">
        <v>296</v>
      </c>
      <c r="I384" t="s">
        <v>71</v>
      </c>
      <c r="J384" t="s">
        <v>72</v>
      </c>
      <c r="K384" t="s">
        <v>73</v>
      </c>
      <c r="L384" t="s">
        <v>74</v>
      </c>
      <c r="M384" t="s">
        <v>751</v>
      </c>
      <c r="N384" t="s">
        <v>76</v>
      </c>
      <c r="O384" t="s">
        <v>752</v>
      </c>
      <c r="P384" t="s">
        <v>753</v>
      </c>
      <c r="Q384" t="s">
        <v>66</v>
      </c>
      <c r="R384" s="1">
        <v>46206</v>
      </c>
      <c r="S384" t="s">
        <v>739</v>
      </c>
      <c r="T384" t="s">
        <v>755</v>
      </c>
      <c r="U384" t="s">
        <v>718</v>
      </c>
      <c r="V384" t="s">
        <v>66</v>
      </c>
      <c r="W384" t="s">
        <v>66</v>
      </c>
      <c r="X384">
        <v>1016652</v>
      </c>
      <c r="Y384">
        <v>111831.72</v>
      </c>
      <c r="Z384">
        <v>235200</v>
      </c>
      <c r="AA384">
        <v>25872</v>
      </c>
      <c r="AB384">
        <v>1128483.72</v>
      </c>
      <c r="AC384">
        <v>12</v>
      </c>
      <c r="AD384" t="s">
        <v>82</v>
      </c>
      <c r="AE384">
        <v>12</v>
      </c>
      <c r="AF384" t="s">
        <v>102</v>
      </c>
      <c r="AG384">
        <f>IFERROR(VLOOKUP(AF384,[1]STOK!J:O,6,0),"")</f>
        <v>12</v>
      </c>
      <c r="AH384" s="2">
        <f t="shared" si="10"/>
        <v>1</v>
      </c>
      <c r="AI384" t="s">
        <v>102</v>
      </c>
      <c r="AJ384" t="s">
        <v>103</v>
      </c>
      <c r="AK384" t="s">
        <v>104</v>
      </c>
      <c r="AL384" t="s">
        <v>86</v>
      </c>
      <c r="AM384">
        <v>22200</v>
      </c>
      <c r="AN384">
        <f t="shared" si="11"/>
        <v>21756</v>
      </c>
      <c r="AO384" t="s">
        <v>66</v>
      </c>
      <c r="AP384">
        <v>2</v>
      </c>
      <c r="AQ384" t="s">
        <v>66</v>
      </c>
      <c r="AR384">
        <v>0</v>
      </c>
      <c r="AS384" t="s">
        <v>66</v>
      </c>
      <c r="AT384">
        <v>0</v>
      </c>
      <c r="AU384" t="s">
        <v>66</v>
      </c>
      <c r="AV384">
        <v>0</v>
      </c>
      <c r="AW384" t="s">
        <v>66</v>
      </c>
      <c r="AX384">
        <v>0</v>
      </c>
      <c r="AY384" t="s">
        <v>66</v>
      </c>
      <c r="AZ384">
        <v>0</v>
      </c>
      <c r="BA384" t="s">
        <v>66</v>
      </c>
      <c r="BB384">
        <v>0</v>
      </c>
      <c r="BC384">
        <v>0</v>
      </c>
      <c r="BD384">
        <v>261072</v>
      </c>
      <c r="BE384">
        <v>18040.98</v>
      </c>
      <c r="BF384">
        <v>0</v>
      </c>
      <c r="BG384" t="s">
        <v>87</v>
      </c>
      <c r="BH384" t="s">
        <v>760</v>
      </c>
      <c r="BI384">
        <v>12</v>
      </c>
      <c r="BJ384" t="s">
        <v>761</v>
      </c>
      <c r="BK384" t="s">
        <v>88</v>
      </c>
      <c r="BL384" t="s">
        <v>756</v>
      </c>
      <c r="BM384" t="s">
        <v>159</v>
      </c>
    </row>
    <row r="385" spans="1:65" x14ac:dyDescent="0.25">
      <c r="A385">
        <v>383</v>
      </c>
      <c r="B385" t="s">
        <v>762</v>
      </c>
      <c r="C385" t="s">
        <v>68</v>
      </c>
      <c r="D385" s="1">
        <v>46206</v>
      </c>
      <c r="E385" t="s">
        <v>763</v>
      </c>
      <c r="F385" t="s">
        <v>68</v>
      </c>
      <c r="G385" t="s">
        <v>295</v>
      </c>
      <c r="H385" t="s">
        <v>296</v>
      </c>
      <c r="I385" t="s">
        <v>71</v>
      </c>
      <c r="J385" t="s">
        <v>72</v>
      </c>
      <c r="K385" t="s">
        <v>73</v>
      </c>
      <c r="L385" t="s">
        <v>74</v>
      </c>
      <c r="M385" t="s">
        <v>764</v>
      </c>
      <c r="N385" t="s">
        <v>274</v>
      </c>
      <c r="O385" t="s">
        <v>765</v>
      </c>
      <c r="P385" t="s">
        <v>766</v>
      </c>
      <c r="Q385" t="s">
        <v>767</v>
      </c>
      <c r="R385" s="1">
        <v>46209</v>
      </c>
      <c r="S385" t="s">
        <v>768</v>
      </c>
      <c r="T385" t="s">
        <v>769</v>
      </c>
      <c r="U385" t="s">
        <v>770</v>
      </c>
      <c r="V385" t="s">
        <v>66</v>
      </c>
      <c r="W385" t="s">
        <v>66</v>
      </c>
      <c r="X385">
        <v>939213</v>
      </c>
      <c r="Y385">
        <v>103313.43</v>
      </c>
      <c r="Z385">
        <v>392040</v>
      </c>
      <c r="AA385">
        <v>43124.4</v>
      </c>
      <c r="AB385">
        <v>1042526.43</v>
      </c>
      <c r="AC385">
        <v>1</v>
      </c>
      <c r="AD385" t="s">
        <v>134</v>
      </c>
      <c r="AE385">
        <v>24</v>
      </c>
      <c r="AF385" t="s">
        <v>99</v>
      </c>
      <c r="AG385">
        <f>IFERROR(VLOOKUP(AF385,[1]STOK!J:O,6,0),"")</f>
        <v>24</v>
      </c>
      <c r="AH385" s="2">
        <f t="shared" si="10"/>
        <v>1</v>
      </c>
      <c r="AI385" t="s">
        <v>99</v>
      </c>
      <c r="AJ385" t="s">
        <v>100</v>
      </c>
      <c r="AK385" t="s">
        <v>101</v>
      </c>
      <c r="AL385" t="s">
        <v>86</v>
      </c>
      <c r="AM385">
        <v>439560</v>
      </c>
      <c r="AN385">
        <f t="shared" si="11"/>
        <v>435164.4</v>
      </c>
      <c r="AO385" t="s">
        <v>66</v>
      </c>
      <c r="AP385">
        <v>1</v>
      </c>
      <c r="AQ385" t="s">
        <v>66</v>
      </c>
      <c r="AR385">
        <v>0</v>
      </c>
      <c r="AS385" t="s">
        <v>66</v>
      </c>
      <c r="AT385">
        <v>0</v>
      </c>
      <c r="AU385" t="s">
        <v>66</v>
      </c>
      <c r="AV385">
        <v>0</v>
      </c>
      <c r="AW385" t="s">
        <v>66</v>
      </c>
      <c r="AX385">
        <v>0</v>
      </c>
      <c r="AY385" t="s">
        <v>66</v>
      </c>
      <c r="AZ385">
        <v>0</v>
      </c>
      <c r="BA385" t="s">
        <v>66</v>
      </c>
      <c r="BB385">
        <v>0</v>
      </c>
      <c r="BC385">
        <v>0</v>
      </c>
      <c r="BD385">
        <v>435164.4</v>
      </c>
      <c r="BE385">
        <v>14915.33</v>
      </c>
      <c r="BF385">
        <v>0</v>
      </c>
      <c r="BG385" t="s">
        <v>87</v>
      </c>
      <c r="BH385" t="s">
        <v>66</v>
      </c>
      <c r="BI385">
        <v>0</v>
      </c>
      <c r="BJ385" t="s">
        <v>66</v>
      </c>
      <c r="BK385" t="s">
        <v>88</v>
      </c>
      <c r="BL385" t="s">
        <v>66</v>
      </c>
      <c r="BM385" t="s">
        <v>159</v>
      </c>
    </row>
    <row r="386" spans="1:65" x14ac:dyDescent="0.25">
      <c r="A386">
        <v>384</v>
      </c>
      <c r="B386" t="s">
        <v>762</v>
      </c>
      <c r="C386" t="s">
        <v>68</v>
      </c>
      <c r="D386" s="1">
        <v>46206</v>
      </c>
      <c r="E386" t="s">
        <v>763</v>
      </c>
      <c r="F386" t="s">
        <v>68</v>
      </c>
      <c r="G386" t="s">
        <v>295</v>
      </c>
      <c r="H386" t="s">
        <v>296</v>
      </c>
      <c r="I386" t="s">
        <v>71</v>
      </c>
      <c r="J386" t="s">
        <v>72</v>
      </c>
      <c r="K386" t="s">
        <v>73</v>
      </c>
      <c r="L386" t="s">
        <v>74</v>
      </c>
      <c r="M386" t="s">
        <v>764</v>
      </c>
      <c r="N386" t="s">
        <v>274</v>
      </c>
      <c r="O386" t="s">
        <v>765</v>
      </c>
      <c r="P386" t="s">
        <v>766</v>
      </c>
      <c r="Q386" t="s">
        <v>767</v>
      </c>
      <c r="R386" s="1">
        <v>46209</v>
      </c>
      <c r="S386" t="s">
        <v>768</v>
      </c>
      <c r="T386" t="s">
        <v>769</v>
      </c>
      <c r="U386" t="s">
        <v>770</v>
      </c>
      <c r="V386" t="s">
        <v>66</v>
      </c>
      <c r="W386" t="s">
        <v>66</v>
      </c>
      <c r="X386">
        <v>939213</v>
      </c>
      <c r="Y386">
        <v>103313.43</v>
      </c>
      <c r="Z386">
        <v>81081</v>
      </c>
      <c r="AA386">
        <v>8918.91</v>
      </c>
      <c r="AB386">
        <v>1042526.43</v>
      </c>
      <c r="AC386">
        <v>3</v>
      </c>
      <c r="AD386" t="s">
        <v>82</v>
      </c>
      <c r="AE386">
        <v>3</v>
      </c>
      <c r="AF386" t="s">
        <v>563</v>
      </c>
      <c r="AG386">
        <f>IFERROR(VLOOKUP(AF386,[1]STOK!J:O,6,0),"")</f>
        <v>12</v>
      </c>
      <c r="AH386" s="2">
        <f t="shared" si="10"/>
        <v>0.25</v>
      </c>
      <c r="AI386" t="s">
        <v>563</v>
      </c>
      <c r="AJ386" t="s">
        <v>564</v>
      </c>
      <c r="AK386" t="s">
        <v>565</v>
      </c>
      <c r="AL386" t="s">
        <v>86</v>
      </c>
      <c r="AM386">
        <v>30303</v>
      </c>
      <c r="AN386">
        <f t="shared" si="11"/>
        <v>29999.97</v>
      </c>
      <c r="AO386" t="s">
        <v>66</v>
      </c>
      <c r="AP386">
        <v>1</v>
      </c>
      <c r="AQ386" t="s">
        <v>66</v>
      </c>
      <c r="AR386">
        <v>0</v>
      </c>
      <c r="AS386" t="s">
        <v>66</v>
      </c>
      <c r="AT386">
        <v>0</v>
      </c>
      <c r="AU386" t="s">
        <v>66</v>
      </c>
      <c r="AV386">
        <v>0</v>
      </c>
      <c r="AW386" t="s">
        <v>66</v>
      </c>
      <c r="AX386">
        <v>0</v>
      </c>
      <c r="AY386" t="s">
        <v>66</v>
      </c>
      <c r="AZ386">
        <v>0</v>
      </c>
      <c r="BA386" t="s">
        <v>66</v>
      </c>
      <c r="BB386">
        <v>0</v>
      </c>
      <c r="BC386">
        <v>0</v>
      </c>
      <c r="BD386">
        <v>89999.91</v>
      </c>
      <c r="BE386">
        <v>24678.61</v>
      </c>
      <c r="BF386">
        <v>0</v>
      </c>
      <c r="BG386" t="s">
        <v>87</v>
      </c>
      <c r="BH386" t="s">
        <v>66</v>
      </c>
      <c r="BI386">
        <v>0</v>
      </c>
      <c r="BJ386" t="s">
        <v>66</v>
      </c>
      <c r="BK386" t="s">
        <v>88</v>
      </c>
      <c r="BL386" t="s">
        <v>66</v>
      </c>
      <c r="BM386" t="s">
        <v>159</v>
      </c>
    </row>
    <row r="387" spans="1:65" x14ac:dyDescent="0.25">
      <c r="A387">
        <v>385</v>
      </c>
      <c r="B387" t="s">
        <v>762</v>
      </c>
      <c r="C387" t="s">
        <v>68</v>
      </c>
      <c r="D387" s="1">
        <v>46206</v>
      </c>
      <c r="E387" t="s">
        <v>763</v>
      </c>
      <c r="F387" t="s">
        <v>68</v>
      </c>
      <c r="G387" t="s">
        <v>295</v>
      </c>
      <c r="H387" t="s">
        <v>296</v>
      </c>
      <c r="I387" t="s">
        <v>71</v>
      </c>
      <c r="J387" t="s">
        <v>72</v>
      </c>
      <c r="K387" t="s">
        <v>73</v>
      </c>
      <c r="L387" t="s">
        <v>74</v>
      </c>
      <c r="M387" t="s">
        <v>764</v>
      </c>
      <c r="N387" t="s">
        <v>274</v>
      </c>
      <c r="O387" t="s">
        <v>765</v>
      </c>
      <c r="P387" t="s">
        <v>766</v>
      </c>
      <c r="Q387" t="s">
        <v>767</v>
      </c>
      <c r="R387" s="1">
        <v>46209</v>
      </c>
      <c r="S387" t="s">
        <v>768</v>
      </c>
      <c r="T387" t="s">
        <v>769</v>
      </c>
      <c r="U387" t="s">
        <v>770</v>
      </c>
      <c r="V387" t="s">
        <v>66</v>
      </c>
      <c r="W387" t="s">
        <v>66</v>
      </c>
      <c r="X387">
        <v>939213</v>
      </c>
      <c r="Y387">
        <v>103313.43</v>
      </c>
      <c r="Z387">
        <v>100386</v>
      </c>
      <c r="AA387">
        <v>11042.46</v>
      </c>
      <c r="AB387">
        <v>1042526.43</v>
      </c>
      <c r="AC387">
        <v>3</v>
      </c>
      <c r="AD387" t="s">
        <v>82</v>
      </c>
      <c r="AE387">
        <v>3</v>
      </c>
      <c r="AF387" t="s">
        <v>771</v>
      </c>
      <c r="AG387">
        <f>IFERROR(VLOOKUP(AF387,[1]STOK!J:O,6,0),"")</f>
        <v>12</v>
      </c>
      <c r="AH387" s="2">
        <f t="shared" si="10"/>
        <v>0.25</v>
      </c>
      <c r="AI387" t="s">
        <v>771</v>
      </c>
      <c r="AJ387" t="s">
        <v>772</v>
      </c>
      <c r="AK387" t="s">
        <v>773</v>
      </c>
      <c r="AL387" t="s">
        <v>86</v>
      </c>
      <c r="AM387">
        <v>37518</v>
      </c>
      <c r="AN387">
        <f t="shared" si="11"/>
        <v>37142.82</v>
      </c>
      <c r="AO387" t="s">
        <v>66</v>
      </c>
      <c r="AP387">
        <v>1</v>
      </c>
      <c r="AQ387" t="s">
        <v>66</v>
      </c>
      <c r="AR387">
        <v>0</v>
      </c>
      <c r="AS387" t="s">
        <v>66</v>
      </c>
      <c r="AT387">
        <v>0</v>
      </c>
      <c r="AU387" t="s">
        <v>66</v>
      </c>
      <c r="AV387">
        <v>0</v>
      </c>
      <c r="AW387" t="s">
        <v>66</v>
      </c>
      <c r="AX387">
        <v>0</v>
      </c>
      <c r="AY387" t="s">
        <v>66</v>
      </c>
      <c r="AZ387">
        <v>0</v>
      </c>
      <c r="BA387" t="s">
        <v>66</v>
      </c>
      <c r="BB387">
        <v>0</v>
      </c>
      <c r="BC387">
        <v>0</v>
      </c>
      <c r="BD387">
        <v>111428.46</v>
      </c>
      <c r="BE387">
        <v>28316.59</v>
      </c>
      <c r="BF387">
        <v>0</v>
      </c>
      <c r="BG387" t="s">
        <v>87</v>
      </c>
      <c r="BH387" t="s">
        <v>66</v>
      </c>
      <c r="BI387">
        <v>0</v>
      </c>
      <c r="BJ387" t="s">
        <v>66</v>
      </c>
      <c r="BK387" t="s">
        <v>88</v>
      </c>
      <c r="BL387" t="s">
        <v>66</v>
      </c>
      <c r="BM387" t="s">
        <v>159</v>
      </c>
    </row>
    <row r="388" spans="1:65" x14ac:dyDescent="0.25">
      <c r="A388">
        <v>386</v>
      </c>
      <c r="B388" t="s">
        <v>762</v>
      </c>
      <c r="C388" t="s">
        <v>68</v>
      </c>
      <c r="D388" s="1">
        <v>46206</v>
      </c>
      <c r="E388" t="s">
        <v>763</v>
      </c>
      <c r="F388" t="s">
        <v>68</v>
      </c>
      <c r="G388" t="s">
        <v>295</v>
      </c>
      <c r="H388" t="s">
        <v>296</v>
      </c>
      <c r="I388" t="s">
        <v>71</v>
      </c>
      <c r="J388" t="s">
        <v>72</v>
      </c>
      <c r="K388" t="s">
        <v>73</v>
      </c>
      <c r="L388" t="s">
        <v>74</v>
      </c>
      <c r="M388" t="s">
        <v>764</v>
      </c>
      <c r="N388" t="s">
        <v>274</v>
      </c>
      <c r="O388" t="s">
        <v>765</v>
      </c>
      <c r="P388" t="s">
        <v>766</v>
      </c>
      <c r="Q388" t="s">
        <v>767</v>
      </c>
      <c r="R388" s="1">
        <v>46209</v>
      </c>
      <c r="S388" t="s">
        <v>768</v>
      </c>
      <c r="T388" t="s">
        <v>769</v>
      </c>
      <c r="U388" t="s">
        <v>770</v>
      </c>
      <c r="V388" t="s">
        <v>66</v>
      </c>
      <c r="W388" t="s">
        <v>66</v>
      </c>
      <c r="X388">
        <v>939213</v>
      </c>
      <c r="Y388">
        <v>103313.43</v>
      </c>
      <c r="Z388">
        <v>53856</v>
      </c>
      <c r="AA388">
        <v>5924.16</v>
      </c>
      <c r="AB388">
        <v>1042526.43</v>
      </c>
      <c r="AC388">
        <v>2</v>
      </c>
      <c r="AD388" t="s">
        <v>82</v>
      </c>
      <c r="AE388">
        <v>2</v>
      </c>
      <c r="AF388" t="s">
        <v>774</v>
      </c>
      <c r="AG388">
        <f>IFERROR(VLOOKUP(AF388,[1]STOK!J:O,6,0),"")</f>
        <v>12</v>
      </c>
      <c r="AH388" s="2">
        <f t="shared" ref="AH388:AH451" si="12">AE388/AG388</f>
        <v>0.16666666666666666</v>
      </c>
      <c r="AI388" t="s">
        <v>774</v>
      </c>
      <c r="AJ388" t="s">
        <v>775</v>
      </c>
      <c r="AK388" t="s">
        <v>776</v>
      </c>
      <c r="AL388" t="s">
        <v>86</v>
      </c>
      <c r="AM388">
        <v>30192</v>
      </c>
      <c r="AN388">
        <f t="shared" ref="AN388:AN451" si="13">BD388/AC388</f>
        <v>29890.080000000002</v>
      </c>
      <c r="AO388" t="s">
        <v>66</v>
      </c>
      <c r="AP388">
        <v>1</v>
      </c>
      <c r="AQ388" t="s">
        <v>66</v>
      </c>
      <c r="AR388">
        <v>0</v>
      </c>
      <c r="AS388" t="s">
        <v>66</v>
      </c>
      <c r="AT388">
        <v>0</v>
      </c>
      <c r="AU388" t="s">
        <v>66</v>
      </c>
      <c r="AV388">
        <v>0</v>
      </c>
      <c r="AW388" t="s">
        <v>66</v>
      </c>
      <c r="AX388">
        <v>0</v>
      </c>
      <c r="AY388" t="s">
        <v>66</v>
      </c>
      <c r="AZ388">
        <v>0</v>
      </c>
      <c r="BA388" t="s">
        <v>66</v>
      </c>
      <c r="BB388">
        <v>0</v>
      </c>
      <c r="BC388">
        <v>0</v>
      </c>
      <c r="BD388">
        <v>59780.160000000003</v>
      </c>
      <c r="BE388">
        <v>24962.33</v>
      </c>
      <c r="BF388">
        <v>0</v>
      </c>
      <c r="BG388" t="s">
        <v>87</v>
      </c>
      <c r="BH388" t="s">
        <v>66</v>
      </c>
      <c r="BI388">
        <v>0</v>
      </c>
      <c r="BJ388" t="s">
        <v>66</v>
      </c>
      <c r="BK388" t="s">
        <v>88</v>
      </c>
      <c r="BL388" t="s">
        <v>66</v>
      </c>
      <c r="BM388" t="s">
        <v>159</v>
      </c>
    </row>
    <row r="389" spans="1:65" x14ac:dyDescent="0.25">
      <c r="A389">
        <v>387</v>
      </c>
      <c r="B389" t="s">
        <v>762</v>
      </c>
      <c r="C389" t="s">
        <v>68</v>
      </c>
      <c r="D389" s="1">
        <v>46206</v>
      </c>
      <c r="E389" t="s">
        <v>763</v>
      </c>
      <c r="F389" t="s">
        <v>68</v>
      </c>
      <c r="G389" t="s">
        <v>295</v>
      </c>
      <c r="H389" t="s">
        <v>296</v>
      </c>
      <c r="I389" t="s">
        <v>71</v>
      </c>
      <c r="J389" t="s">
        <v>72</v>
      </c>
      <c r="K389" t="s">
        <v>73</v>
      </c>
      <c r="L389" t="s">
        <v>74</v>
      </c>
      <c r="M389" t="s">
        <v>764</v>
      </c>
      <c r="N389" t="s">
        <v>274</v>
      </c>
      <c r="O389" t="s">
        <v>765</v>
      </c>
      <c r="P389" t="s">
        <v>766</v>
      </c>
      <c r="Q389" t="s">
        <v>767</v>
      </c>
      <c r="R389" s="1">
        <v>46209</v>
      </c>
      <c r="S389" t="s">
        <v>768</v>
      </c>
      <c r="T389" t="s">
        <v>769</v>
      </c>
      <c r="U389" t="s">
        <v>770</v>
      </c>
      <c r="V389" t="s">
        <v>66</v>
      </c>
      <c r="W389" t="s">
        <v>66</v>
      </c>
      <c r="X389">
        <v>939213</v>
      </c>
      <c r="Y389">
        <v>103313.43</v>
      </c>
      <c r="Z389">
        <v>80784</v>
      </c>
      <c r="AA389">
        <v>8886.24</v>
      </c>
      <c r="AB389">
        <v>1042526.43</v>
      </c>
      <c r="AC389">
        <v>3</v>
      </c>
      <c r="AD389" t="s">
        <v>82</v>
      </c>
      <c r="AE389">
        <v>3</v>
      </c>
      <c r="AF389" t="s">
        <v>445</v>
      </c>
      <c r="AG389">
        <f>IFERROR(VLOOKUP(AF389,[1]STOK!J:O,6,0),"")</f>
        <v>12</v>
      </c>
      <c r="AH389" s="2">
        <f t="shared" si="12"/>
        <v>0.25</v>
      </c>
      <c r="AI389" t="s">
        <v>445</v>
      </c>
      <c r="AJ389" t="s">
        <v>446</v>
      </c>
      <c r="AK389" t="s">
        <v>447</v>
      </c>
      <c r="AL389" t="s">
        <v>86</v>
      </c>
      <c r="AM389">
        <v>30192</v>
      </c>
      <c r="AN389">
        <f t="shared" si="13"/>
        <v>29890.080000000002</v>
      </c>
      <c r="AO389" t="s">
        <v>66</v>
      </c>
      <c r="AP389">
        <v>1</v>
      </c>
      <c r="AQ389" t="s">
        <v>66</v>
      </c>
      <c r="AR389">
        <v>0</v>
      </c>
      <c r="AS389" t="s">
        <v>66</v>
      </c>
      <c r="AT389">
        <v>0</v>
      </c>
      <c r="AU389" t="s">
        <v>66</v>
      </c>
      <c r="AV389">
        <v>0</v>
      </c>
      <c r="AW389" t="s">
        <v>66</v>
      </c>
      <c r="AX389">
        <v>0</v>
      </c>
      <c r="AY389" t="s">
        <v>66</v>
      </c>
      <c r="AZ389">
        <v>0</v>
      </c>
      <c r="BA389" t="s">
        <v>66</v>
      </c>
      <c r="BB389">
        <v>0</v>
      </c>
      <c r="BC389">
        <v>0</v>
      </c>
      <c r="BD389">
        <v>89670.24</v>
      </c>
      <c r="BE389">
        <v>24543.599999999999</v>
      </c>
      <c r="BF389">
        <v>0</v>
      </c>
      <c r="BG389" t="s">
        <v>87</v>
      </c>
      <c r="BH389" t="s">
        <v>66</v>
      </c>
      <c r="BI389">
        <v>0</v>
      </c>
      <c r="BJ389" t="s">
        <v>66</v>
      </c>
      <c r="BK389" t="s">
        <v>88</v>
      </c>
      <c r="BL389" t="s">
        <v>66</v>
      </c>
      <c r="BM389" t="s">
        <v>159</v>
      </c>
    </row>
    <row r="390" spans="1:65" x14ac:dyDescent="0.25">
      <c r="A390">
        <v>388</v>
      </c>
      <c r="B390" t="s">
        <v>762</v>
      </c>
      <c r="C390" t="s">
        <v>68</v>
      </c>
      <c r="D390" s="1">
        <v>46206</v>
      </c>
      <c r="E390" t="s">
        <v>763</v>
      </c>
      <c r="F390" t="s">
        <v>68</v>
      </c>
      <c r="G390" t="s">
        <v>295</v>
      </c>
      <c r="H390" t="s">
        <v>296</v>
      </c>
      <c r="I390" t="s">
        <v>71</v>
      </c>
      <c r="J390" t="s">
        <v>72</v>
      </c>
      <c r="K390" t="s">
        <v>73</v>
      </c>
      <c r="L390" t="s">
        <v>74</v>
      </c>
      <c r="M390" t="s">
        <v>764</v>
      </c>
      <c r="N390" t="s">
        <v>274</v>
      </c>
      <c r="O390" t="s">
        <v>765</v>
      </c>
      <c r="P390" t="s">
        <v>766</v>
      </c>
      <c r="Q390" t="s">
        <v>767</v>
      </c>
      <c r="R390" s="1">
        <v>46209</v>
      </c>
      <c r="S390" t="s">
        <v>768</v>
      </c>
      <c r="T390" t="s">
        <v>769</v>
      </c>
      <c r="U390" t="s">
        <v>770</v>
      </c>
      <c r="V390" t="s">
        <v>66</v>
      </c>
      <c r="W390" t="s">
        <v>66</v>
      </c>
      <c r="X390">
        <v>939213</v>
      </c>
      <c r="Y390">
        <v>103313.43</v>
      </c>
      <c r="Z390">
        <v>73062</v>
      </c>
      <c r="AA390">
        <v>8036.82</v>
      </c>
      <c r="AB390">
        <v>1042526.43</v>
      </c>
      <c r="AC390">
        <v>3</v>
      </c>
      <c r="AD390" t="s">
        <v>82</v>
      </c>
      <c r="AE390">
        <v>3</v>
      </c>
      <c r="AF390" t="s">
        <v>534</v>
      </c>
      <c r="AG390">
        <f>IFERROR(VLOOKUP(AF390,[1]STOK!J:O,6,0),"")</f>
        <v>12</v>
      </c>
      <c r="AH390" s="2">
        <f t="shared" si="12"/>
        <v>0.25</v>
      </c>
      <c r="AI390" t="s">
        <v>534</v>
      </c>
      <c r="AJ390" t="s">
        <v>535</v>
      </c>
      <c r="AK390" t="s">
        <v>536</v>
      </c>
      <c r="AL390" t="s">
        <v>86</v>
      </c>
      <c r="AM390">
        <v>27306</v>
      </c>
      <c r="AN390">
        <f t="shared" si="13"/>
        <v>27032.940000000002</v>
      </c>
      <c r="AO390" t="s">
        <v>66</v>
      </c>
      <c r="AP390">
        <v>1</v>
      </c>
      <c r="AQ390" t="s">
        <v>66</v>
      </c>
      <c r="AR390">
        <v>0</v>
      </c>
      <c r="AS390" t="s">
        <v>66</v>
      </c>
      <c r="AT390">
        <v>0</v>
      </c>
      <c r="AU390" t="s">
        <v>66</v>
      </c>
      <c r="AV390">
        <v>0</v>
      </c>
      <c r="AW390" t="s">
        <v>66</v>
      </c>
      <c r="AX390">
        <v>0</v>
      </c>
      <c r="AY390" t="s">
        <v>66</v>
      </c>
      <c r="AZ390">
        <v>0</v>
      </c>
      <c r="BA390" t="s">
        <v>66</v>
      </c>
      <c r="BB390">
        <v>0</v>
      </c>
      <c r="BC390">
        <v>0</v>
      </c>
      <c r="BD390">
        <v>81098.820000000007</v>
      </c>
      <c r="BE390">
        <v>22297.43</v>
      </c>
      <c r="BF390">
        <v>0</v>
      </c>
      <c r="BG390" t="s">
        <v>87</v>
      </c>
      <c r="BH390" t="s">
        <v>66</v>
      </c>
      <c r="BI390">
        <v>0</v>
      </c>
      <c r="BJ390" t="s">
        <v>66</v>
      </c>
      <c r="BK390" t="s">
        <v>88</v>
      </c>
      <c r="BL390" t="s">
        <v>66</v>
      </c>
      <c r="BM390" t="s">
        <v>159</v>
      </c>
    </row>
    <row r="391" spans="1:65" x14ac:dyDescent="0.25">
      <c r="A391">
        <v>389</v>
      </c>
      <c r="B391" t="s">
        <v>762</v>
      </c>
      <c r="C391" t="s">
        <v>68</v>
      </c>
      <c r="D391" s="1">
        <v>46206</v>
      </c>
      <c r="E391" t="s">
        <v>763</v>
      </c>
      <c r="F391" t="s">
        <v>68</v>
      </c>
      <c r="G391" t="s">
        <v>295</v>
      </c>
      <c r="H391" t="s">
        <v>296</v>
      </c>
      <c r="I391" t="s">
        <v>71</v>
      </c>
      <c r="J391" t="s">
        <v>72</v>
      </c>
      <c r="K391" t="s">
        <v>73</v>
      </c>
      <c r="L391" t="s">
        <v>74</v>
      </c>
      <c r="M391" t="s">
        <v>764</v>
      </c>
      <c r="N391" t="s">
        <v>274</v>
      </c>
      <c r="O391" t="s">
        <v>765</v>
      </c>
      <c r="P391" t="s">
        <v>766</v>
      </c>
      <c r="Q391" t="s">
        <v>767</v>
      </c>
      <c r="R391" s="1">
        <v>46209</v>
      </c>
      <c r="S391" t="s">
        <v>768</v>
      </c>
      <c r="T391" t="s">
        <v>769</v>
      </c>
      <c r="U391" t="s">
        <v>770</v>
      </c>
      <c r="V391" t="s">
        <v>66</v>
      </c>
      <c r="W391" t="s">
        <v>66</v>
      </c>
      <c r="X391">
        <v>939213</v>
      </c>
      <c r="Y391">
        <v>103313.43</v>
      </c>
      <c r="Z391">
        <v>158004</v>
      </c>
      <c r="AA391">
        <v>17380.439999999999</v>
      </c>
      <c r="AB391">
        <v>1042526.43</v>
      </c>
      <c r="AC391">
        <v>1</v>
      </c>
      <c r="AD391" t="s">
        <v>134</v>
      </c>
      <c r="AE391">
        <v>12</v>
      </c>
      <c r="AF391" t="s">
        <v>210</v>
      </c>
      <c r="AG391">
        <f>IFERROR(VLOOKUP(AF391,[1]STOK!J:O,6,0),"")</f>
        <v>12</v>
      </c>
      <c r="AH391" s="2">
        <f t="shared" si="12"/>
        <v>1</v>
      </c>
      <c r="AI391" t="s">
        <v>210</v>
      </c>
      <c r="AJ391" t="s">
        <v>211</v>
      </c>
      <c r="AK391" t="s">
        <v>212</v>
      </c>
      <c r="AL391" t="s">
        <v>86</v>
      </c>
      <c r="AM391">
        <v>177156</v>
      </c>
      <c r="AN391">
        <f t="shared" si="13"/>
        <v>175384.44</v>
      </c>
      <c r="AO391" t="s">
        <v>66</v>
      </c>
      <c r="AP391">
        <v>1</v>
      </c>
      <c r="AQ391" t="s">
        <v>66</v>
      </c>
      <c r="AR391">
        <v>0</v>
      </c>
      <c r="AS391" t="s">
        <v>66</v>
      </c>
      <c r="AT391">
        <v>0</v>
      </c>
      <c r="AU391" t="s">
        <v>66</v>
      </c>
      <c r="AV391">
        <v>0</v>
      </c>
      <c r="AW391" t="s">
        <v>66</v>
      </c>
      <c r="AX391">
        <v>0</v>
      </c>
      <c r="AY391" t="s">
        <v>66</v>
      </c>
      <c r="AZ391">
        <v>0</v>
      </c>
      <c r="BA391" t="s">
        <v>66</v>
      </c>
      <c r="BB391">
        <v>0</v>
      </c>
      <c r="BC391">
        <v>0</v>
      </c>
      <c r="BD391">
        <v>175384.44</v>
      </c>
      <c r="BE391">
        <v>12009.37</v>
      </c>
      <c r="BF391">
        <v>0</v>
      </c>
      <c r="BG391" t="s">
        <v>87</v>
      </c>
      <c r="BH391" t="s">
        <v>66</v>
      </c>
      <c r="BI391">
        <v>0</v>
      </c>
      <c r="BJ391" t="s">
        <v>66</v>
      </c>
      <c r="BK391" t="s">
        <v>88</v>
      </c>
      <c r="BL391" t="s">
        <v>66</v>
      </c>
      <c r="BM391" t="s">
        <v>159</v>
      </c>
    </row>
    <row r="392" spans="1:65" x14ac:dyDescent="0.25">
      <c r="A392">
        <v>390</v>
      </c>
      <c r="B392" t="s">
        <v>777</v>
      </c>
      <c r="C392" t="s">
        <v>68</v>
      </c>
      <c r="D392" s="1">
        <v>46206</v>
      </c>
      <c r="E392" t="s">
        <v>778</v>
      </c>
      <c r="F392" t="s">
        <v>779</v>
      </c>
      <c r="G392" t="s">
        <v>295</v>
      </c>
      <c r="H392" t="s">
        <v>296</v>
      </c>
      <c r="I392" t="s">
        <v>71</v>
      </c>
      <c r="J392" t="s">
        <v>72</v>
      </c>
      <c r="K392" t="s">
        <v>73</v>
      </c>
      <c r="L392" t="s">
        <v>74</v>
      </c>
      <c r="M392" t="s">
        <v>695</v>
      </c>
      <c r="N392" t="s">
        <v>696</v>
      </c>
      <c r="O392" t="s">
        <v>697</v>
      </c>
      <c r="P392" t="s">
        <v>698</v>
      </c>
      <c r="Q392" t="s">
        <v>780</v>
      </c>
      <c r="R392" s="1">
        <v>46209</v>
      </c>
      <c r="S392" t="s">
        <v>700</v>
      </c>
      <c r="T392" t="s">
        <v>701</v>
      </c>
      <c r="U392" t="s">
        <v>702</v>
      </c>
      <c r="V392" t="s">
        <v>66</v>
      </c>
      <c r="W392" t="s">
        <v>66</v>
      </c>
      <c r="X392">
        <v>214176</v>
      </c>
      <c r="Y392">
        <v>23559.360000000001</v>
      </c>
      <c r="Z392">
        <v>214176</v>
      </c>
      <c r="AA392">
        <v>23559.360000000001</v>
      </c>
      <c r="AB392">
        <v>237735.36</v>
      </c>
      <c r="AC392">
        <v>12</v>
      </c>
      <c r="AD392" t="s">
        <v>82</v>
      </c>
      <c r="AE392">
        <v>12</v>
      </c>
      <c r="AF392" t="s">
        <v>160</v>
      </c>
      <c r="AG392">
        <f>IFERROR(VLOOKUP(AF392,[1]STOK!J:O,6,0),"")</f>
        <v>12</v>
      </c>
      <c r="AH392" s="2">
        <f t="shared" si="12"/>
        <v>1</v>
      </c>
      <c r="AI392" t="s">
        <v>160</v>
      </c>
      <c r="AJ392" t="s">
        <v>161</v>
      </c>
      <c r="AK392" t="s">
        <v>162</v>
      </c>
      <c r="AL392" t="s">
        <v>86</v>
      </c>
      <c r="AM392">
        <v>20424</v>
      </c>
      <c r="AN392">
        <f t="shared" si="13"/>
        <v>19811.28</v>
      </c>
      <c r="AO392" t="s">
        <v>66</v>
      </c>
      <c r="AP392">
        <v>3</v>
      </c>
      <c r="AQ392" t="s">
        <v>66</v>
      </c>
      <c r="AR392">
        <v>0</v>
      </c>
      <c r="AS392" t="s">
        <v>66</v>
      </c>
      <c r="AT392">
        <v>0</v>
      </c>
      <c r="AU392" t="s">
        <v>66</v>
      </c>
      <c r="AV392">
        <v>0</v>
      </c>
      <c r="AW392" t="s">
        <v>66</v>
      </c>
      <c r="AX392">
        <v>0</v>
      </c>
      <c r="AY392" t="s">
        <v>66</v>
      </c>
      <c r="AZ392">
        <v>0</v>
      </c>
      <c r="BA392" t="s">
        <v>66</v>
      </c>
      <c r="BB392">
        <v>0</v>
      </c>
      <c r="BC392">
        <v>0</v>
      </c>
      <c r="BD392">
        <v>237735.36</v>
      </c>
      <c r="BE392">
        <v>16647.310000000001</v>
      </c>
      <c r="BF392">
        <v>0</v>
      </c>
      <c r="BG392" t="s">
        <v>87</v>
      </c>
      <c r="BH392" t="s">
        <v>66</v>
      </c>
      <c r="BI392">
        <v>0</v>
      </c>
      <c r="BJ392" t="s">
        <v>66</v>
      </c>
      <c r="BK392" t="s">
        <v>88</v>
      </c>
      <c r="BL392" t="s">
        <v>66</v>
      </c>
      <c r="BM392" t="s">
        <v>159</v>
      </c>
    </row>
    <row r="393" spans="1:65" x14ac:dyDescent="0.25">
      <c r="A393">
        <v>391</v>
      </c>
      <c r="B393" t="s">
        <v>781</v>
      </c>
      <c r="C393" t="s">
        <v>782</v>
      </c>
      <c r="D393" s="1">
        <v>46206</v>
      </c>
      <c r="E393" t="s">
        <v>783</v>
      </c>
      <c r="F393" t="s">
        <v>784</v>
      </c>
      <c r="G393" t="s">
        <v>295</v>
      </c>
      <c r="H393" t="s">
        <v>296</v>
      </c>
      <c r="I393" t="s">
        <v>71</v>
      </c>
      <c r="J393" t="s">
        <v>72</v>
      </c>
      <c r="K393" t="s">
        <v>73</v>
      </c>
      <c r="L393" t="s">
        <v>74</v>
      </c>
      <c r="M393" t="s">
        <v>695</v>
      </c>
      <c r="N393" t="s">
        <v>696</v>
      </c>
      <c r="O393" t="s">
        <v>697</v>
      </c>
      <c r="P393" t="s">
        <v>698</v>
      </c>
      <c r="Q393" t="s">
        <v>785</v>
      </c>
      <c r="R393" s="1">
        <v>46209</v>
      </c>
      <c r="S393" t="s">
        <v>700</v>
      </c>
      <c r="T393" t="s">
        <v>701</v>
      </c>
      <c r="U393" t="s">
        <v>702</v>
      </c>
      <c r="V393" t="s">
        <v>66</v>
      </c>
      <c r="W393" t="s">
        <v>66</v>
      </c>
      <c r="X393">
        <v>1001040</v>
      </c>
      <c r="Y393">
        <v>110114.4</v>
      </c>
      <c r="Z393">
        <v>384120</v>
      </c>
      <c r="AA393">
        <v>42253.2</v>
      </c>
      <c r="AB393">
        <v>1111154.3999999999</v>
      </c>
      <c r="AC393">
        <v>24</v>
      </c>
      <c r="AD393" t="s">
        <v>82</v>
      </c>
      <c r="AE393">
        <v>24</v>
      </c>
      <c r="AF393" t="s">
        <v>93</v>
      </c>
      <c r="AG393">
        <f>IFERROR(VLOOKUP(AF393,[1]STOK!J:O,6,0),"")</f>
        <v>24</v>
      </c>
      <c r="AH393" s="2">
        <f t="shared" si="12"/>
        <v>1</v>
      </c>
      <c r="AI393" t="s">
        <v>93</v>
      </c>
      <c r="AJ393" t="s">
        <v>94</v>
      </c>
      <c r="AK393" t="s">
        <v>95</v>
      </c>
      <c r="AL393" t="s">
        <v>86</v>
      </c>
      <c r="AM393">
        <v>18315</v>
      </c>
      <c r="AN393">
        <f t="shared" si="13"/>
        <v>17765.55</v>
      </c>
      <c r="AO393" t="s">
        <v>66</v>
      </c>
      <c r="AP393">
        <v>3</v>
      </c>
      <c r="AQ393" t="s">
        <v>66</v>
      </c>
      <c r="AR393">
        <v>0</v>
      </c>
      <c r="AS393" t="s">
        <v>66</v>
      </c>
      <c r="AT393">
        <v>0</v>
      </c>
      <c r="AU393" t="s">
        <v>66</v>
      </c>
      <c r="AV393">
        <v>0</v>
      </c>
      <c r="AW393" t="s">
        <v>66</v>
      </c>
      <c r="AX393">
        <v>0</v>
      </c>
      <c r="AY393" t="s">
        <v>66</v>
      </c>
      <c r="AZ393">
        <v>0</v>
      </c>
      <c r="BA393" t="s">
        <v>66</v>
      </c>
      <c r="BB393">
        <v>0</v>
      </c>
      <c r="BC393">
        <v>0</v>
      </c>
      <c r="BD393">
        <v>426373.2</v>
      </c>
      <c r="BE393">
        <v>14931.72</v>
      </c>
      <c r="BF393">
        <v>0</v>
      </c>
      <c r="BG393" t="s">
        <v>87</v>
      </c>
      <c r="BH393" t="s">
        <v>66</v>
      </c>
      <c r="BI393">
        <v>0</v>
      </c>
      <c r="BJ393" t="s">
        <v>66</v>
      </c>
      <c r="BK393" t="s">
        <v>88</v>
      </c>
      <c r="BL393" t="s">
        <v>66</v>
      </c>
      <c r="BM393" t="s">
        <v>159</v>
      </c>
    </row>
    <row r="394" spans="1:65" x14ac:dyDescent="0.25">
      <c r="A394">
        <v>392</v>
      </c>
      <c r="B394" t="s">
        <v>781</v>
      </c>
      <c r="C394" t="s">
        <v>782</v>
      </c>
      <c r="D394" s="1">
        <v>46206</v>
      </c>
      <c r="E394" t="s">
        <v>783</v>
      </c>
      <c r="F394" t="s">
        <v>784</v>
      </c>
      <c r="G394" t="s">
        <v>295</v>
      </c>
      <c r="H394" t="s">
        <v>296</v>
      </c>
      <c r="I394" t="s">
        <v>71</v>
      </c>
      <c r="J394" t="s">
        <v>72</v>
      </c>
      <c r="K394" t="s">
        <v>73</v>
      </c>
      <c r="L394" t="s">
        <v>74</v>
      </c>
      <c r="M394" t="s">
        <v>695</v>
      </c>
      <c r="N394" t="s">
        <v>696</v>
      </c>
      <c r="O394" t="s">
        <v>697</v>
      </c>
      <c r="P394" t="s">
        <v>698</v>
      </c>
      <c r="Q394" t="s">
        <v>785</v>
      </c>
      <c r="R394" s="1">
        <v>46209</v>
      </c>
      <c r="S394" t="s">
        <v>700</v>
      </c>
      <c r="T394" t="s">
        <v>701</v>
      </c>
      <c r="U394" t="s">
        <v>702</v>
      </c>
      <c r="V394" t="s">
        <v>66</v>
      </c>
      <c r="W394" t="s">
        <v>66</v>
      </c>
      <c r="X394">
        <v>1001040</v>
      </c>
      <c r="Y394">
        <v>110114.4</v>
      </c>
      <c r="Z394">
        <v>384120</v>
      </c>
      <c r="AA394">
        <v>42253.2</v>
      </c>
      <c r="AB394">
        <v>1111154.3999999999</v>
      </c>
      <c r="AC394">
        <v>24</v>
      </c>
      <c r="AD394" t="s">
        <v>82</v>
      </c>
      <c r="AE394">
        <v>24</v>
      </c>
      <c r="AF394" t="s">
        <v>99</v>
      </c>
      <c r="AG394">
        <f>IFERROR(VLOOKUP(AF394,[1]STOK!J:O,6,0),"")</f>
        <v>24</v>
      </c>
      <c r="AH394" s="2">
        <f t="shared" si="12"/>
        <v>1</v>
      </c>
      <c r="AI394" t="s">
        <v>99</v>
      </c>
      <c r="AJ394" t="s">
        <v>100</v>
      </c>
      <c r="AK394" t="s">
        <v>101</v>
      </c>
      <c r="AL394" t="s">
        <v>86</v>
      </c>
      <c r="AM394">
        <v>18315</v>
      </c>
      <c r="AN394">
        <f t="shared" si="13"/>
        <v>17765.55</v>
      </c>
      <c r="AO394" t="s">
        <v>66</v>
      </c>
      <c r="AP394">
        <v>3</v>
      </c>
      <c r="AQ394" t="s">
        <v>66</v>
      </c>
      <c r="AR394">
        <v>0</v>
      </c>
      <c r="AS394" t="s">
        <v>66</v>
      </c>
      <c r="AT394">
        <v>0</v>
      </c>
      <c r="AU394" t="s">
        <v>66</v>
      </c>
      <c r="AV394">
        <v>0</v>
      </c>
      <c r="AW394" t="s">
        <v>66</v>
      </c>
      <c r="AX394">
        <v>0</v>
      </c>
      <c r="AY394" t="s">
        <v>66</v>
      </c>
      <c r="AZ394">
        <v>0</v>
      </c>
      <c r="BA394" t="s">
        <v>66</v>
      </c>
      <c r="BB394">
        <v>0</v>
      </c>
      <c r="BC394">
        <v>0</v>
      </c>
      <c r="BD394">
        <v>426373.2</v>
      </c>
      <c r="BE394">
        <v>14915.33</v>
      </c>
      <c r="BF394">
        <v>0</v>
      </c>
      <c r="BG394" t="s">
        <v>87</v>
      </c>
      <c r="BH394" t="s">
        <v>66</v>
      </c>
      <c r="BI394">
        <v>0</v>
      </c>
      <c r="BJ394" t="s">
        <v>66</v>
      </c>
      <c r="BK394" t="s">
        <v>88</v>
      </c>
      <c r="BL394" t="s">
        <v>66</v>
      </c>
      <c r="BM394" t="s">
        <v>159</v>
      </c>
    </row>
    <row r="395" spans="1:65" x14ac:dyDescent="0.25">
      <c r="A395">
        <v>393</v>
      </c>
      <c r="B395" t="s">
        <v>781</v>
      </c>
      <c r="C395" t="s">
        <v>782</v>
      </c>
      <c r="D395" s="1">
        <v>46206</v>
      </c>
      <c r="E395" t="s">
        <v>783</v>
      </c>
      <c r="F395" t="s">
        <v>784</v>
      </c>
      <c r="G395" t="s">
        <v>295</v>
      </c>
      <c r="H395" t="s">
        <v>296</v>
      </c>
      <c r="I395" t="s">
        <v>71</v>
      </c>
      <c r="J395" t="s">
        <v>72</v>
      </c>
      <c r="K395" t="s">
        <v>73</v>
      </c>
      <c r="L395" t="s">
        <v>74</v>
      </c>
      <c r="M395" t="s">
        <v>695</v>
      </c>
      <c r="N395" t="s">
        <v>696</v>
      </c>
      <c r="O395" t="s">
        <v>697</v>
      </c>
      <c r="P395" t="s">
        <v>698</v>
      </c>
      <c r="Q395" t="s">
        <v>785</v>
      </c>
      <c r="R395" s="1">
        <v>46209</v>
      </c>
      <c r="S395" t="s">
        <v>700</v>
      </c>
      <c r="T395" t="s">
        <v>701</v>
      </c>
      <c r="U395" t="s">
        <v>702</v>
      </c>
      <c r="V395" t="s">
        <v>66</v>
      </c>
      <c r="W395" t="s">
        <v>66</v>
      </c>
      <c r="X395">
        <v>1001040</v>
      </c>
      <c r="Y395">
        <v>110114.4</v>
      </c>
      <c r="Z395">
        <v>232800</v>
      </c>
      <c r="AA395">
        <v>25608</v>
      </c>
      <c r="AB395">
        <v>1111154.3999999999</v>
      </c>
      <c r="AC395">
        <v>12</v>
      </c>
      <c r="AD395" t="s">
        <v>82</v>
      </c>
      <c r="AE395">
        <v>12</v>
      </c>
      <c r="AF395" t="s">
        <v>290</v>
      </c>
      <c r="AG395">
        <f>IFERROR(VLOOKUP(AF395,[1]STOK!J:O,6,0),"")</f>
        <v>12</v>
      </c>
      <c r="AH395" s="2">
        <f t="shared" si="12"/>
        <v>1</v>
      </c>
      <c r="AI395" t="s">
        <v>290</v>
      </c>
      <c r="AJ395" t="s">
        <v>291</v>
      </c>
      <c r="AK395" t="s">
        <v>292</v>
      </c>
      <c r="AL395" t="s">
        <v>86</v>
      </c>
      <c r="AM395">
        <v>22200</v>
      </c>
      <c r="AN395">
        <f t="shared" si="13"/>
        <v>21534</v>
      </c>
      <c r="AO395" t="s">
        <v>66</v>
      </c>
      <c r="AP395">
        <v>3</v>
      </c>
      <c r="AQ395" t="s">
        <v>66</v>
      </c>
      <c r="AR395">
        <v>0</v>
      </c>
      <c r="AS395" t="s">
        <v>66</v>
      </c>
      <c r="AT395">
        <v>0</v>
      </c>
      <c r="AU395" t="s">
        <v>66</v>
      </c>
      <c r="AV395">
        <v>0</v>
      </c>
      <c r="AW395" t="s">
        <v>66</v>
      </c>
      <c r="AX395">
        <v>0</v>
      </c>
      <c r="AY395" t="s">
        <v>66</v>
      </c>
      <c r="AZ395">
        <v>0</v>
      </c>
      <c r="BA395" t="s">
        <v>66</v>
      </c>
      <c r="BB395">
        <v>0</v>
      </c>
      <c r="BC395">
        <v>0</v>
      </c>
      <c r="BD395">
        <v>258408</v>
      </c>
      <c r="BE395">
        <v>18106.89</v>
      </c>
      <c r="BF395">
        <v>0</v>
      </c>
      <c r="BG395" t="s">
        <v>87</v>
      </c>
      <c r="BH395" t="s">
        <v>66</v>
      </c>
      <c r="BI395">
        <v>0</v>
      </c>
      <c r="BJ395" t="s">
        <v>66</v>
      </c>
      <c r="BK395" t="s">
        <v>88</v>
      </c>
      <c r="BL395" t="s">
        <v>66</v>
      </c>
      <c r="BM395" t="s">
        <v>159</v>
      </c>
    </row>
    <row r="396" spans="1:65" x14ac:dyDescent="0.25">
      <c r="A396">
        <v>394</v>
      </c>
      <c r="B396" t="s">
        <v>786</v>
      </c>
      <c r="C396" t="s">
        <v>68</v>
      </c>
      <c r="D396" s="1">
        <v>46206</v>
      </c>
      <c r="E396" t="s">
        <v>787</v>
      </c>
      <c r="F396" t="s">
        <v>788</v>
      </c>
      <c r="G396" t="s">
        <v>295</v>
      </c>
      <c r="H396" t="s">
        <v>296</v>
      </c>
      <c r="I396" t="s">
        <v>71</v>
      </c>
      <c r="J396" t="s">
        <v>72</v>
      </c>
      <c r="K396" t="s">
        <v>73</v>
      </c>
      <c r="L396" t="s">
        <v>74</v>
      </c>
      <c r="M396" t="s">
        <v>695</v>
      </c>
      <c r="N396" t="s">
        <v>696</v>
      </c>
      <c r="O396" t="s">
        <v>697</v>
      </c>
      <c r="P396" t="s">
        <v>698</v>
      </c>
      <c r="Q396" t="s">
        <v>789</v>
      </c>
      <c r="R396" s="1">
        <v>46209</v>
      </c>
      <c r="S396" t="s">
        <v>700</v>
      </c>
      <c r="T396" t="s">
        <v>701</v>
      </c>
      <c r="U396" t="s">
        <v>702</v>
      </c>
      <c r="V396" t="s">
        <v>66</v>
      </c>
      <c r="W396" t="s">
        <v>66</v>
      </c>
      <c r="X396">
        <v>384120</v>
      </c>
      <c r="Y396">
        <v>42253.2</v>
      </c>
      <c r="Z396">
        <v>192060</v>
      </c>
      <c r="AA396">
        <v>21126.6</v>
      </c>
      <c r="AB396">
        <v>426373.2</v>
      </c>
      <c r="AC396">
        <v>12</v>
      </c>
      <c r="AD396" t="s">
        <v>82</v>
      </c>
      <c r="AE396">
        <v>12</v>
      </c>
      <c r="AF396" t="s">
        <v>93</v>
      </c>
      <c r="AG396">
        <f>IFERROR(VLOOKUP(AF396,[1]STOK!J:O,6,0),"")</f>
        <v>24</v>
      </c>
      <c r="AH396" s="2">
        <f t="shared" si="12"/>
        <v>0.5</v>
      </c>
      <c r="AI396" t="s">
        <v>93</v>
      </c>
      <c r="AJ396" t="s">
        <v>94</v>
      </c>
      <c r="AK396" t="s">
        <v>95</v>
      </c>
      <c r="AL396" t="s">
        <v>86</v>
      </c>
      <c r="AM396">
        <v>18315</v>
      </c>
      <c r="AN396">
        <f t="shared" si="13"/>
        <v>17765.55</v>
      </c>
      <c r="AO396" t="s">
        <v>66</v>
      </c>
      <c r="AP396">
        <v>3</v>
      </c>
      <c r="AQ396" t="s">
        <v>66</v>
      </c>
      <c r="AR396">
        <v>0</v>
      </c>
      <c r="AS396" t="s">
        <v>66</v>
      </c>
      <c r="AT396">
        <v>0</v>
      </c>
      <c r="AU396" t="s">
        <v>66</v>
      </c>
      <c r="AV396">
        <v>0</v>
      </c>
      <c r="AW396" t="s">
        <v>66</v>
      </c>
      <c r="AX396">
        <v>0</v>
      </c>
      <c r="AY396" t="s">
        <v>66</v>
      </c>
      <c r="AZ396">
        <v>0</v>
      </c>
      <c r="BA396" t="s">
        <v>66</v>
      </c>
      <c r="BB396">
        <v>0</v>
      </c>
      <c r="BC396">
        <v>0</v>
      </c>
      <c r="BD396">
        <v>213186.6</v>
      </c>
      <c r="BE396">
        <v>14931.72</v>
      </c>
      <c r="BF396">
        <v>0</v>
      </c>
      <c r="BG396" t="s">
        <v>87</v>
      </c>
      <c r="BH396" t="s">
        <v>66</v>
      </c>
      <c r="BI396">
        <v>0</v>
      </c>
      <c r="BJ396" t="s">
        <v>66</v>
      </c>
      <c r="BK396" t="s">
        <v>88</v>
      </c>
      <c r="BL396" t="s">
        <v>66</v>
      </c>
      <c r="BM396" t="s">
        <v>159</v>
      </c>
    </row>
    <row r="397" spans="1:65" x14ac:dyDescent="0.25">
      <c r="A397">
        <v>395</v>
      </c>
      <c r="B397" t="s">
        <v>786</v>
      </c>
      <c r="C397" t="s">
        <v>68</v>
      </c>
      <c r="D397" s="1">
        <v>46206</v>
      </c>
      <c r="E397" t="s">
        <v>787</v>
      </c>
      <c r="F397" t="s">
        <v>788</v>
      </c>
      <c r="G397" t="s">
        <v>295</v>
      </c>
      <c r="H397" t="s">
        <v>296</v>
      </c>
      <c r="I397" t="s">
        <v>71</v>
      </c>
      <c r="J397" t="s">
        <v>72</v>
      </c>
      <c r="K397" t="s">
        <v>73</v>
      </c>
      <c r="L397" t="s">
        <v>74</v>
      </c>
      <c r="M397" t="s">
        <v>695</v>
      </c>
      <c r="N397" t="s">
        <v>696</v>
      </c>
      <c r="O397" t="s">
        <v>697</v>
      </c>
      <c r="P397" t="s">
        <v>698</v>
      </c>
      <c r="Q397" t="s">
        <v>789</v>
      </c>
      <c r="R397" s="1">
        <v>46209</v>
      </c>
      <c r="S397" t="s">
        <v>700</v>
      </c>
      <c r="T397" t="s">
        <v>701</v>
      </c>
      <c r="U397" t="s">
        <v>702</v>
      </c>
      <c r="V397" t="s">
        <v>66</v>
      </c>
      <c r="W397" t="s">
        <v>66</v>
      </c>
      <c r="X397">
        <v>384120</v>
      </c>
      <c r="Y397">
        <v>42253.2</v>
      </c>
      <c r="Z397">
        <v>192060</v>
      </c>
      <c r="AA397">
        <v>21126.6</v>
      </c>
      <c r="AB397">
        <v>426373.2</v>
      </c>
      <c r="AC397">
        <v>12</v>
      </c>
      <c r="AD397" t="s">
        <v>82</v>
      </c>
      <c r="AE397">
        <v>12</v>
      </c>
      <c r="AF397" t="s">
        <v>99</v>
      </c>
      <c r="AG397">
        <f>IFERROR(VLOOKUP(AF397,[1]STOK!J:O,6,0),"")</f>
        <v>24</v>
      </c>
      <c r="AH397" s="2">
        <f t="shared" si="12"/>
        <v>0.5</v>
      </c>
      <c r="AI397" t="s">
        <v>99</v>
      </c>
      <c r="AJ397" t="s">
        <v>100</v>
      </c>
      <c r="AK397" t="s">
        <v>101</v>
      </c>
      <c r="AL397" t="s">
        <v>86</v>
      </c>
      <c r="AM397">
        <v>18315</v>
      </c>
      <c r="AN397">
        <f t="shared" si="13"/>
        <v>17765.55</v>
      </c>
      <c r="AO397" t="s">
        <v>66</v>
      </c>
      <c r="AP397">
        <v>3</v>
      </c>
      <c r="AQ397" t="s">
        <v>66</v>
      </c>
      <c r="AR397">
        <v>0</v>
      </c>
      <c r="AS397" t="s">
        <v>66</v>
      </c>
      <c r="AT397">
        <v>0</v>
      </c>
      <c r="AU397" t="s">
        <v>66</v>
      </c>
      <c r="AV397">
        <v>0</v>
      </c>
      <c r="AW397" t="s">
        <v>66</v>
      </c>
      <c r="AX397">
        <v>0</v>
      </c>
      <c r="AY397" t="s">
        <v>66</v>
      </c>
      <c r="AZ397">
        <v>0</v>
      </c>
      <c r="BA397" t="s">
        <v>66</v>
      </c>
      <c r="BB397">
        <v>0</v>
      </c>
      <c r="BC397">
        <v>0</v>
      </c>
      <c r="BD397">
        <v>213186.6</v>
      </c>
      <c r="BE397">
        <v>14915.33</v>
      </c>
      <c r="BF397">
        <v>0</v>
      </c>
      <c r="BG397" t="s">
        <v>87</v>
      </c>
      <c r="BH397" t="s">
        <v>66</v>
      </c>
      <c r="BI397">
        <v>0</v>
      </c>
      <c r="BJ397" t="s">
        <v>66</v>
      </c>
      <c r="BK397" t="s">
        <v>88</v>
      </c>
      <c r="BL397" t="s">
        <v>66</v>
      </c>
      <c r="BM397" t="s">
        <v>159</v>
      </c>
    </row>
    <row r="398" spans="1:65" x14ac:dyDescent="0.25">
      <c r="A398">
        <v>396</v>
      </c>
      <c r="B398" t="s">
        <v>790</v>
      </c>
      <c r="C398" t="s">
        <v>68</v>
      </c>
      <c r="D398" s="1">
        <v>46206</v>
      </c>
      <c r="E398" t="s">
        <v>791</v>
      </c>
      <c r="F398" t="s">
        <v>68</v>
      </c>
      <c r="G398" t="s">
        <v>295</v>
      </c>
      <c r="H398" t="s">
        <v>296</v>
      </c>
      <c r="I398" t="s">
        <v>71</v>
      </c>
      <c r="J398" t="s">
        <v>72</v>
      </c>
      <c r="K398" t="s">
        <v>73</v>
      </c>
      <c r="L398" t="s">
        <v>74</v>
      </c>
      <c r="M398" t="s">
        <v>792</v>
      </c>
      <c r="N398" t="s">
        <v>274</v>
      </c>
      <c r="O398" t="s">
        <v>793</v>
      </c>
      <c r="P398" t="s">
        <v>794</v>
      </c>
      <c r="Q398" t="s">
        <v>795</v>
      </c>
      <c r="R398" s="1">
        <v>46209</v>
      </c>
      <c r="S398" t="s">
        <v>796</v>
      </c>
      <c r="T398" t="s">
        <v>797</v>
      </c>
      <c r="U398" t="s">
        <v>798</v>
      </c>
      <c r="V398" t="s">
        <v>66</v>
      </c>
      <c r="W398" t="s">
        <v>66</v>
      </c>
      <c r="X398">
        <v>207600</v>
      </c>
      <c r="Y398">
        <v>22836</v>
      </c>
      <c r="Z398">
        <v>44400</v>
      </c>
      <c r="AA398">
        <v>4884</v>
      </c>
      <c r="AB398">
        <v>230436</v>
      </c>
      <c r="AC398">
        <v>6</v>
      </c>
      <c r="AD398" t="s">
        <v>82</v>
      </c>
      <c r="AE398">
        <v>6</v>
      </c>
      <c r="AF398" t="s">
        <v>262</v>
      </c>
      <c r="AG398">
        <f>IFERROR(VLOOKUP(AF398,[1]STOK!J:O,6,0),"")</f>
        <v>24</v>
      </c>
      <c r="AH398" s="2">
        <f t="shared" si="12"/>
        <v>0.25</v>
      </c>
      <c r="AI398" t="s">
        <v>262</v>
      </c>
      <c r="AJ398" t="s">
        <v>263</v>
      </c>
      <c r="AK398" t="s">
        <v>264</v>
      </c>
      <c r="AL398" t="s">
        <v>86</v>
      </c>
      <c r="AM398">
        <v>8214</v>
      </c>
      <c r="AN398">
        <f t="shared" si="13"/>
        <v>8214</v>
      </c>
      <c r="AO398" t="s">
        <v>66</v>
      </c>
      <c r="AP398">
        <v>0</v>
      </c>
      <c r="AQ398" t="s">
        <v>66</v>
      </c>
      <c r="AR398">
        <v>0</v>
      </c>
      <c r="AS398" t="s">
        <v>66</v>
      </c>
      <c r="AT398">
        <v>0</v>
      </c>
      <c r="AU398" t="s">
        <v>66</v>
      </c>
      <c r="AV398">
        <v>0</v>
      </c>
      <c r="AW398" t="s">
        <v>66</v>
      </c>
      <c r="AX398">
        <v>0</v>
      </c>
      <c r="AY398" t="s">
        <v>66</v>
      </c>
      <c r="AZ398">
        <v>0</v>
      </c>
      <c r="BA398" t="s">
        <v>66</v>
      </c>
      <c r="BB398">
        <v>0</v>
      </c>
      <c r="BC398">
        <v>0</v>
      </c>
      <c r="BD398">
        <v>49284</v>
      </c>
      <c r="BE398">
        <v>6693.78</v>
      </c>
      <c r="BF398">
        <v>0</v>
      </c>
      <c r="BG398" t="s">
        <v>87</v>
      </c>
      <c r="BH398" t="s">
        <v>66</v>
      </c>
      <c r="BI398">
        <v>0</v>
      </c>
      <c r="BJ398" t="s">
        <v>66</v>
      </c>
      <c r="BK398" t="s">
        <v>88</v>
      </c>
      <c r="BL398" t="s">
        <v>66</v>
      </c>
      <c r="BM398" t="s">
        <v>159</v>
      </c>
    </row>
    <row r="399" spans="1:65" x14ac:dyDescent="0.25">
      <c r="A399">
        <v>397</v>
      </c>
      <c r="B399" t="s">
        <v>790</v>
      </c>
      <c r="C399" t="s">
        <v>68</v>
      </c>
      <c r="D399" s="1">
        <v>46206</v>
      </c>
      <c r="E399" t="s">
        <v>791</v>
      </c>
      <c r="F399" t="s">
        <v>68</v>
      </c>
      <c r="G399" t="s">
        <v>295</v>
      </c>
      <c r="H399" t="s">
        <v>296</v>
      </c>
      <c r="I399" t="s">
        <v>71</v>
      </c>
      <c r="J399" t="s">
        <v>72</v>
      </c>
      <c r="K399" t="s">
        <v>73</v>
      </c>
      <c r="L399" t="s">
        <v>74</v>
      </c>
      <c r="M399" t="s">
        <v>792</v>
      </c>
      <c r="N399" t="s">
        <v>274</v>
      </c>
      <c r="O399" t="s">
        <v>793</v>
      </c>
      <c r="P399" t="s">
        <v>794</v>
      </c>
      <c r="Q399" t="s">
        <v>795</v>
      </c>
      <c r="R399" s="1">
        <v>46209</v>
      </c>
      <c r="S399" t="s">
        <v>796</v>
      </c>
      <c r="T399" t="s">
        <v>797</v>
      </c>
      <c r="U399" t="s">
        <v>798</v>
      </c>
      <c r="V399" t="s">
        <v>66</v>
      </c>
      <c r="W399" t="s">
        <v>66</v>
      </c>
      <c r="X399">
        <v>207600</v>
      </c>
      <c r="Y399">
        <v>22836</v>
      </c>
      <c r="Z399">
        <v>44400</v>
      </c>
      <c r="AA399">
        <v>4884</v>
      </c>
      <c r="AB399">
        <v>230436</v>
      </c>
      <c r="AC399">
        <v>6</v>
      </c>
      <c r="AD399" t="s">
        <v>82</v>
      </c>
      <c r="AE399">
        <v>6</v>
      </c>
      <c r="AF399" t="s">
        <v>83</v>
      </c>
      <c r="AG399">
        <f>IFERROR(VLOOKUP(AF399,[1]STOK!J:O,6,0),"")</f>
        <v>24</v>
      </c>
      <c r="AH399" s="2">
        <f t="shared" si="12"/>
        <v>0.25</v>
      </c>
      <c r="AI399" t="s">
        <v>83</v>
      </c>
      <c r="AJ399" t="s">
        <v>84</v>
      </c>
      <c r="AK399" t="s">
        <v>85</v>
      </c>
      <c r="AL399" t="s">
        <v>86</v>
      </c>
      <c r="AM399">
        <v>8214</v>
      </c>
      <c r="AN399">
        <f t="shared" si="13"/>
        <v>8214</v>
      </c>
      <c r="AO399" t="s">
        <v>66</v>
      </c>
      <c r="AP399">
        <v>0</v>
      </c>
      <c r="AQ399" t="s">
        <v>66</v>
      </c>
      <c r="AR399">
        <v>0</v>
      </c>
      <c r="AS399" t="s">
        <v>66</v>
      </c>
      <c r="AT399">
        <v>0</v>
      </c>
      <c r="AU399" t="s">
        <v>66</v>
      </c>
      <c r="AV399">
        <v>0</v>
      </c>
      <c r="AW399" t="s">
        <v>66</v>
      </c>
      <c r="AX399">
        <v>0</v>
      </c>
      <c r="AY399" t="s">
        <v>66</v>
      </c>
      <c r="AZ399">
        <v>0</v>
      </c>
      <c r="BA399" t="s">
        <v>66</v>
      </c>
      <c r="BB399">
        <v>0</v>
      </c>
      <c r="BC399">
        <v>0</v>
      </c>
      <c r="BD399">
        <v>49284</v>
      </c>
      <c r="BE399">
        <v>6704.84</v>
      </c>
      <c r="BF399">
        <v>0</v>
      </c>
      <c r="BG399" t="s">
        <v>87</v>
      </c>
      <c r="BH399" t="s">
        <v>66</v>
      </c>
      <c r="BI399">
        <v>0</v>
      </c>
      <c r="BJ399" t="s">
        <v>66</v>
      </c>
      <c r="BK399" t="s">
        <v>88</v>
      </c>
      <c r="BL399" t="s">
        <v>66</v>
      </c>
      <c r="BM399" t="s">
        <v>159</v>
      </c>
    </row>
    <row r="400" spans="1:65" x14ac:dyDescent="0.25">
      <c r="A400">
        <v>398</v>
      </c>
      <c r="B400" t="s">
        <v>790</v>
      </c>
      <c r="C400" t="s">
        <v>68</v>
      </c>
      <c r="D400" s="1">
        <v>46206</v>
      </c>
      <c r="E400" t="s">
        <v>791</v>
      </c>
      <c r="F400" t="s">
        <v>68</v>
      </c>
      <c r="G400" t="s">
        <v>295</v>
      </c>
      <c r="H400" t="s">
        <v>296</v>
      </c>
      <c r="I400" t="s">
        <v>71</v>
      </c>
      <c r="J400" t="s">
        <v>72</v>
      </c>
      <c r="K400" t="s">
        <v>73</v>
      </c>
      <c r="L400" t="s">
        <v>74</v>
      </c>
      <c r="M400" t="s">
        <v>792</v>
      </c>
      <c r="N400" t="s">
        <v>274</v>
      </c>
      <c r="O400" t="s">
        <v>793</v>
      </c>
      <c r="P400" t="s">
        <v>794</v>
      </c>
      <c r="Q400" t="s">
        <v>795</v>
      </c>
      <c r="R400" s="1">
        <v>46209</v>
      </c>
      <c r="S400" t="s">
        <v>796</v>
      </c>
      <c r="T400" t="s">
        <v>797</v>
      </c>
      <c r="U400" t="s">
        <v>798</v>
      </c>
      <c r="V400" t="s">
        <v>66</v>
      </c>
      <c r="W400" t="s">
        <v>66</v>
      </c>
      <c r="X400">
        <v>207600</v>
      </c>
      <c r="Y400">
        <v>22836</v>
      </c>
      <c r="Z400">
        <v>118800</v>
      </c>
      <c r="AA400">
        <v>13068</v>
      </c>
      <c r="AB400">
        <v>230436</v>
      </c>
      <c r="AC400">
        <v>6</v>
      </c>
      <c r="AD400" t="s">
        <v>82</v>
      </c>
      <c r="AE400">
        <v>6</v>
      </c>
      <c r="AF400" t="s">
        <v>799</v>
      </c>
      <c r="AG400">
        <f>IFERROR(VLOOKUP(AF400,[1]STOK!J:O,6,0),"")</f>
        <v>12</v>
      </c>
      <c r="AH400" s="2">
        <f t="shared" si="12"/>
        <v>0.5</v>
      </c>
      <c r="AI400" t="s">
        <v>799</v>
      </c>
      <c r="AJ400" t="s">
        <v>800</v>
      </c>
      <c r="AK400" t="s">
        <v>801</v>
      </c>
      <c r="AL400" t="s">
        <v>86</v>
      </c>
      <c r="AM400">
        <v>21978</v>
      </c>
      <c r="AN400">
        <f t="shared" si="13"/>
        <v>21978</v>
      </c>
      <c r="AO400" t="s">
        <v>66</v>
      </c>
      <c r="AP400">
        <v>0</v>
      </c>
      <c r="AQ400" t="s">
        <v>66</v>
      </c>
      <c r="AR400">
        <v>0</v>
      </c>
      <c r="AS400" t="s">
        <v>66</v>
      </c>
      <c r="AT400">
        <v>0</v>
      </c>
      <c r="AU400" t="s">
        <v>66</v>
      </c>
      <c r="AV400">
        <v>0</v>
      </c>
      <c r="AW400" t="s">
        <v>66</v>
      </c>
      <c r="AX400">
        <v>0</v>
      </c>
      <c r="AY400" t="s">
        <v>66</v>
      </c>
      <c r="AZ400">
        <v>0</v>
      </c>
      <c r="BA400" t="s">
        <v>66</v>
      </c>
      <c r="BB400">
        <v>0</v>
      </c>
      <c r="BC400">
        <v>0</v>
      </c>
      <c r="BD400">
        <v>131868</v>
      </c>
      <c r="BE400">
        <v>17479.689999999999</v>
      </c>
      <c r="BF400">
        <v>0</v>
      </c>
      <c r="BG400" t="s">
        <v>87</v>
      </c>
      <c r="BH400" t="s">
        <v>66</v>
      </c>
      <c r="BI400">
        <v>0</v>
      </c>
      <c r="BJ400" t="s">
        <v>66</v>
      </c>
      <c r="BK400" t="s">
        <v>88</v>
      </c>
      <c r="BL400" t="s">
        <v>66</v>
      </c>
      <c r="BM400" t="s">
        <v>159</v>
      </c>
    </row>
    <row r="401" spans="1:65" x14ac:dyDescent="0.25">
      <c r="A401">
        <v>399</v>
      </c>
      <c r="B401" t="s">
        <v>802</v>
      </c>
      <c r="C401" t="s">
        <v>68</v>
      </c>
      <c r="D401" s="1">
        <v>46206</v>
      </c>
      <c r="E401" t="s">
        <v>803</v>
      </c>
      <c r="F401" t="s">
        <v>68</v>
      </c>
      <c r="G401" t="s">
        <v>295</v>
      </c>
      <c r="H401" t="s">
        <v>296</v>
      </c>
      <c r="I401" t="s">
        <v>71</v>
      </c>
      <c r="J401" t="s">
        <v>72</v>
      </c>
      <c r="K401" t="s">
        <v>73</v>
      </c>
      <c r="L401" t="s">
        <v>74</v>
      </c>
      <c r="M401" t="s">
        <v>792</v>
      </c>
      <c r="N401" t="s">
        <v>274</v>
      </c>
      <c r="O401" t="s">
        <v>793</v>
      </c>
      <c r="P401" t="s">
        <v>794</v>
      </c>
      <c r="Q401" t="s">
        <v>66</v>
      </c>
      <c r="R401" s="1">
        <v>46206</v>
      </c>
      <c r="S401" t="s">
        <v>796</v>
      </c>
      <c r="T401" t="s">
        <v>797</v>
      </c>
      <c r="U401" t="s">
        <v>798</v>
      </c>
      <c r="V401" t="s">
        <v>66</v>
      </c>
      <c r="W401" t="s">
        <v>66</v>
      </c>
      <c r="X401">
        <v>379200</v>
      </c>
      <c r="Y401">
        <v>41712</v>
      </c>
      <c r="Z401">
        <v>60000</v>
      </c>
      <c r="AA401">
        <v>6600</v>
      </c>
      <c r="AB401">
        <v>420912</v>
      </c>
      <c r="AC401">
        <v>24</v>
      </c>
      <c r="AD401" t="s">
        <v>82</v>
      </c>
      <c r="AE401">
        <v>24</v>
      </c>
      <c r="AF401" t="s">
        <v>163</v>
      </c>
      <c r="AG401">
        <f>IFERROR(VLOOKUP(AF401,[1]STOK!J:O,6,0),"")</f>
        <v>72</v>
      </c>
      <c r="AH401" s="2">
        <f t="shared" si="12"/>
        <v>0.33333333333333331</v>
      </c>
      <c r="AI401" t="s">
        <v>163</v>
      </c>
      <c r="AJ401" t="s">
        <v>164</v>
      </c>
      <c r="AK401" t="s">
        <v>165</v>
      </c>
      <c r="AL401" t="s">
        <v>86</v>
      </c>
      <c r="AM401">
        <v>2775</v>
      </c>
      <c r="AN401">
        <f t="shared" si="13"/>
        <v>2775</v>
      </c>
      <c r="AO401" t="s">
        <v>66</v>
      </c>
      <c r="AP401">
        <v>0</v>
      </c>
      <c r="AQ401" t="s">
        <v>66</v>
      </c>
      <c r="AR401">
        <v>0</v>
      </c>
      <c r="AS401" t="s">
        <v>66</v>
      </c>
      <c r="AT401">
        <v>0</v>
      </c>
      <c r="AU401" t="s">
        <v>66</v>
      </c>
      <c r="AV401">
        <v>0</v>
      </c>
      <c r="AW401" t="s">
        <v>66</v>
      </c>
      <c r="AX401">
        <v>0</v>
      </c>
      <c r="AY401" t="s">
        <v>66</v>
      </c>
      <c r="AZ401">
        <v>0</v>
      </c>
      <c r="BA401" t="s">
        <v>66</v>
      </c>
      <c r="BB401">
        <v>0</v>
      </c>
      <c r="BC401">
        <v>0</v>
      </c>
      <c r="BD401">
        <v>66600</v>
      </c>
      <c r="BE401">
        <v>2196.56</v>
      </c>
      <c r="BF401">
        <v>0</v>
      </c>
      <c r="BG401" t="s">
        <v>87</v>
      </c>
      <c r="BH401" t="s">
        <v>804</v>
      </c>
      <c r="BI401">
        <v>24</v>
      </c>
      <c r="BJ401" t="s">
        <v>761</v>
      </c>
      <c r="BK401" t="s">
        <v>88</v>
      </c>
      <c r="BL401" t="s">
        <v>66</v>
      </c>
      <c r="BM401" t="s">
        <v>159</v>
      </c>
    </row>
    <row r="402" spans="1:65" x14ac:dyDescent="0.25">
      <c r="A402">
        <v>400</v>
      </c>
      <c r="B402" t="s">
        <v>802</v>
      </c>
      <c r="C402" t="s">
        <v>68</v>
      </c>
      <c r="D402" s="1">
        <v>46206</v>
      </c>
      <c r="E402" t="s">
        <v>803</v>
      </c>
      <c r="F402" t="s">
        <v>68</v>
      </c>
      <c r="G402" t="s">
        <v>295</v>
      </c>
      <c r="H402" t="s">
        <v>296</v>
      </c>
      <c r="I402" t="s">
        <v>71</v>
      </c>
      <c r="J402" t="s">
        <v>72</v>
      </c>
      <c r="K402" t="s">
        <v>73</v>
      </c>
      <c r="L402" t="s">
        <v>74</v>
      </c>
      <c r="M402" t="s">
        <v>792</v>
      </c>
      <c r="N402" t="s">
        <v>274</v>
      </c>
      <c r="O402" t="s">
        <v>793</v>
      </c>
      <c r="P402" t="s">
        <v>794</v>
      </c>
      <c r="Q402" t="s">
        <v>66</v>
      </c>
      <c r="R402" s="1">
        <v>46206</v>
      </c>
      <c r="S402" t="s">
        <v>796</v>
      </c>
      <c r="T402" t="s">
        <v>797</v>
      </c>
      <c r="U402" t="s">
        <v>798</v>
      </c>
      <c r="V402" t="s">
        <v>66</v>
      </c>
      <c r="W402" t="s">
        <v>66</v>
      </c>
      <c r="X402">
        <v>379200</v>
      </c>
      <c r="Y402">
        <v>41712</v>
      </c>
      <c r="Z402">
        <v>319200</v>
      </c>
      <c r="AA402">
        <v>35112</v>
      </c>
      <c r="AB402">
        <v>420912</v>
      </c>
      <c r="AC402">
        <v>24</v>
      </c>
      <c r="AD402" t="s">
        <v>82</v>
      </c>
      <c r="AE402">
        <v>24</v>
      </c>
      <c r="AF402" t="s">
        <v>135</v>
      </c>
      <c r="AG402">
        <f>IFERROR(VLOOKUP(AF402,[1]STOK!J:O,6,0),"")</f>
        <v>12</v>
      </c>
      <c r="AH402" s="2">
        <f t="shared" si="12"/>
        <v>2</v>
      </c>
      <c r="AI402" t="s">
        <v>135</v>
      </c>
      <c r="AJ402" t="s">
        <v>136</v>
      </c>
      <c r="AK402" t="s">
        <v>137</v>
      </c>
      <c r="AL402" t="s">
        <v>86</v>
      </c>
      <c r="AM402">
        <v>14763</v>
      </c>
      <c r="AN402">
        <f t="shared" si="13"/>
        <v>14763</v>
      </c>
      <c r="AO402" t="s">
        <v>66</v>
      </c>
      <c r="AP402">
        <v>0</v>
      </c>
      <c r="AQ402" t="s">
        <v>66</v>
      </c>
      <c r="AR402">
        <v>0</v>
      </c>
      <c r="AS402" t="s">
        <v>66</v>
      </c>
      <c r="AT402">
        <v>0</v>
      </c>
      <c r="AU402" t="s">
        <v>66</v>
      </c>
      <c r="AV402">
        <v>0</v>
      </c>
      <c r="AW402" t="s">
        <v>66</v>
      </c>
      <c r="AX402">
        <v>0</v>
      </c>
      <c r="AY402" t="s">
        <v>66</v>
      </c>
      <c r="AZ402">
        <v>0</v>
      </c>
      <c r="BA402" t="s">
        <v>66</v>
      </c>
      <c r="BB402">
        <v>0</v>
      </c>
      <c r="BC402">
        <v>0</v>
      </c>
      <c r="BD402">
        <v>354312</v>
      </c>
      <c r="BE402">
        <v>12026.74</v>
      </c>
      <c r="BF402">
        <v>0</v>
      </c>
      <c r="BG402" t="s">
        <v>87</v>
      </c>
      <c r="BH402" t="s">
        <v>804</v>
      </c>
      <c r="BI402">
        <v>24</v>
      </c>
      <c r="BJ402" t="s">
        <v>761</v>
      </c>
      <c r="BK402" t="s">
        <v>88</v>
      </c>
      <c r="BL402" t="s">
        <v>66</v>
      </c>
      <c r="BM402" t="s">
        <v>159</v>
      </c>
    </row>
    <row r="403" spans="1:65" x14ac:dyDescent="0.25">
      <c r="A403">
        <v>401</v>
      </c>
      <c r="B403" t="s">
        <v>805</v>
      </c>
      <c r="C403" t="s">
        <v>68</v>
      </c>
      <c r="D403" s="1">
        <v>46206</v>
      </c>
      <c r="E403" t="s">
        <v>806</v>
      </c>
      <c r="F403" t="s">
        <v>68</v>
      </c>
      <c r="G403" t="s">
        <v>295</v>
      </c>
      <c r="H403" t="s">
        <v>296</v>
      </c>
      <c r="I403" t="s">
        <v>71</v>
      </c>
      <c r="J403" t="s">
        <v>72</v>
      </c>
      <c r="K403" t="s">
        <v>73</v>
      </c>
      <c r="L403" t="s">
        <v>74</v>
      </c>
      <c r="M403" t="s">
        <v>792</v>
      </c>
      <c r="N403" t="s">
        <v>274</v>
      </c>
      <c r="O403" t="s">
        <v>793</v>
      </c>
      <c r="P403" t="s">
        <v>794</v>
      </c>
      <c r="Q403" t="s">
        <v>807</v>
      </c>
      <c r="R403" s="1">
        <v>46207</v>
      </c>
      <c r="S403" t="s">
        <v>796</v>
      </c>
      <c r="T403" t="s">
        <v>797</v>
      </c>
      <c r="U403" t="s">
        <v>798</v>
      </c>
      <c r="V403" t="s">
        <v>66</v>
      </c>
      <c r="W403" t="s">
        <v>66</v>
      </c>
      <c r="X403">
        <v>357600</v>
      </c>
      <c r="Y403">
        <v>39336</v>
      </c>
      <c r="Z403">
        <v>198000</v>
      </c>
      <c r="AA403">
        <v>21780</v>
      </c>
      <c r="AB403">
        <v>396936</v>
      </c>
      <c r="AC403">
        <v>12</v>
      </c>
      <c r="AD403" t="s">
        <v>82</v>
      </c>
      <c r="AE403">
        <v>12</v>
      </c>
      <c r="AF403" t="s">
        <v>96</v>
      </c>
      <c r="AG403">
        <f>IFERROR(VLOOKUP(AF403,[1]STOK!J:O,6,0),"")</f>
        <v>24</v>
      </c>
      <c r="AH403" s="2">
        <f t="shared" si="12"/>
        <v>0.5</v>
      </c>
      <c r="AI403" t="s">
        <v>96</v>
      </c>
      <c r="AJ403" t="s">
        <v>97</v>
      </c>
      <c r="AK403" t="s">
        <v>98</v>
      </c>
      <c r="AL403" t="s">
        <v>86</v>
      </c>
      <c r="AM403">
        <v>18315</v>
      </c>
      <c r="AN403">
        <f t="shared" si="13"/>
        <v>18315</v>
      </c>
      <c r="AO403" t="s">
        <v>66</v>
      </c>
      <c r="AP403">
        <v>0</v>
      </c>
      <c r="AQ403" t="s">
        <v>66</v>
      </c>
      <c r="AR403">
        <v>0</v>
      </c>
      <c r="AS403" t="s">
        <v>66</v>
      </c>
      <c r="AT403">
        <v>0</v>
      </c>
      <c r="AU403" t="s">
        <v>66</v>
      </c>
      <c r="AV403">
        <v>0</v>
      </c>
      <c r="AW403" t="s">
        <v>66</v>
      </c>
      <c r="AX403">
        <v>0</v>
      </c>
      <c r="AY403" t="s">
        <v>66</v>
      </c>
      <c r="AZ403">
        <v>0</v>
      </c>
      <c r="BA403" t="s">
        <v>66</v>
      </c>
      <c r="BB403">
        <v>0</v>
      </c>
      <c r="BC403">
        <v>0</v>
      </c>
      <c r="BD403">
        <v>219780</v>
      </c>
      <c r="BE403">
        <v>14932.79</v>
      </c>
      <c r="BF403">
        <v>0</v>
      </c>
      <c r="BG403" t="s">
        <v>87</v>
      </c>
      <c r="BH403" t="s">
        <v>66</v>
      </c>
      <c r="BI403">
        <v>0</v>
      </c>
      <c r="BJ403" t="s">
        <v>66</v>
      </c>
      <c r="BK403" t="s">
        <v>88</v>
      </c>
      <c r="BL403" t="s">
        <v>66</v>
      </c>
      <c r="BM403" t="s">
        <v>159</v>
      </c>
    </row>
    <row r="404" spans="1:65" x14ac:dyDescent="0.25">
      <c r="A404">
        <v>402</v>
      </c>
      <c r="B404" t="s">
        <v>805</v>
      </c>
      <c r="C404" t="s">
        <v>68</v>
      </c>
      <c r="D404" s="1">
        <v>46206</v>
      </c>
      <c r="E404" t="s">
        <v>806</v>
      </c>
      <c r="F404" t="s">
        <v>68</v>
      </c>
      <c r="G404" t="s">
        <v>295</v>
      </c>
      <c r="H404" t="s">
        <v>296</v>
      </c>
      <c r="I404" t="s">
        <v>71</v>
      </c>
      <c r="J404" t="s">
        <v>72</v>
      </c>
      <c r="K404" t="s">
        <v>73</v>
      </c>
      <c r="L404" t="s">
        <v>74</v>
      </c>
      <c r="M404" t="s">
        <v>792</v>
      </c>
      <c r="N404" t="s">
        <v>274</v>
      </c>
      <c r="O404" t="s">
        <v>793</v>
      </c>
      <c r="P404" t="s">
        <v>794</v>
      </c>
      <c r="Q404" t="s">
        <v>807</v>
      </c>
      <c r="R404" s="1">
        <v>46207</v>
      </c>
      <c r="S404" t="s">
        <v>796</v>
      </c>
      <c r="T404" t="s">
        <v>797</v>
      </c>
      <c r="U404" t="s">
        <v>798</v>
      </c>
      <c r="V404" t="s">
        <v>66</v>
      </c>
      <c r="W404" t="s">
        <v>66</v>
      </c>
      <c r="X404">
        <v>357600</v>
      </c>
      <c r="Y404">
        <v>39336</v>
      </c>
      <c r="Z404">
        <v>159600</v>
      </c>
      <c r="AA404">
        <v>17556</v>
      </c>
      <c r="AB404">
        <v>396936</v>
      </c>
      <c r="AC404">
        <v>12</v>
      </c>
      <c r="AD404" t="s">
        <v>82</v>
      </c>
      <c r="AE404">
        <v>12</v>
      </c>
      <c r="AF404" t="s">
        <v>135</v>
      </c>
      <c r="AG404">
        <f>IFERROR(VLOOKUP(AF404,[1]STOK!J:O,6,0),"")</f>
        <v>12</v>
      </c>
      <c r="AH404" s="2">
        <f t="shared" si="12"/>
        <v>1</v>
      </c>
      <c r="AI404" t="s">
        <v>135</v>
      </c>
      <c r="AJ404" t="s">
        <v>136</v>
      </c>
      <c r="AK404" t="s">
        <v>137</v>
      </c>
      <c r="AL404" t="s">
        <v>86</v>
      </c>
      <c r="AM404">
        <v>14763</v>
      </c>
      <c r="AN404">
        <f t="shared" si="13"/>
        <v>14763</v>
      </c>
      <c r="AO404" t="s">
        <v>66</v>
      </c>
      <c r="AP404">
        <v>0</v>
      </c>
      <c r="AQ404" t="s">
        <v>66</v>
      </c>
      <c r="AR404">
        <v>0</v>
      </c>
      <c r="AS404" t="s">
        <v>66</v>
      </c>
      <c r="AT404">
        <v>0</v>
      </c>
      <c r="AU404" t="s">
        <v>66</v>
      </c>
      <c r="AV404">
        <v>0</v>
      </c>
      <c r="AW404" t="s">
        <v>66</v>
      </c>
      <c r="AX404">
        <v>0</v>
      </c>
      <c r="AY404" t="s">
        <v>66</v>
      </c>
      <c r="AZ404">
        <v>0</v>
      </c>
      <c r="BA404" t="s">
        <v>66</v>
      </c>
      <c r="BB404">
        <v>0</v>
      </c>
      <c r="BC404">
        <v>0</v>
      </c>
      <c r="BD404">
        <v>177156</v>
      </c>
      <c r="BE404">
        <v>12026.74</v>
      </c>
      <c r="BF404">
        <v>0</v>
      </c>
      <c r="BG404" t="s">
        <v>87</v>
      </c>
      <c r="BH404" t="s">
        <v>66</v>
      </c>
      <c r="BI404">
        <v>0</v>
      </c>
      <c r="BJ404" t="s">
        <v>66</v>
      </c>
      <c r="BK404" t="s">
        <v>88</v>
      </c>
      <c r="BL404" t="s">
        <v>66</v>
      </c>
      <c r="BM404" t="s">
        <v>159</v>
      </c>
    </row>
    <row r="405" spans="1:65" x14ac:dyDescent="0.25">
      <c r="A405">
        <v>403</v>
      </c>
      <c r="B405" t="s">
        <v>808</v>
      </c>
      <c r="C405" t="s">
        <v>68</v>
      </c>
      <c r="D405" s="1">
        <v>46207</v>
      </c>
      <c r="E405" t="s">
        <v>809</v>
      </c>
      <c r="F405" t="s">
        <v>68</v>
      </c>
      <c r="G405" t="s">
        <v>69</v>
      </c>
      <c r="H405" t="s">
        <v>70</v>
      </c>
      <c r="I405" t="s">
        <v>71</v>
      </c>
      <c r="J405" t="s">
        <v>72</v>
      </c>
      <c r="K405" t="s">
        <v>73</v>
      </c>
      <c r="L405" t="s">
        <v>74</v>
      </c>
      <c r="M405" t="s">
        <v>810</v>
      </c>
      <c r="N405" t="s">
        <v>76</v>
      </c>
      <c r="O405" t="s">
        <v>811</v>
      </c>
      <c r="P405" t="s">
        <v>812</v>
      </c>
      <c r="Q405" t="s">
        <v>813</v>
      </c>
      <c r="R405" s="1">
        <v>46211</v>
      </c>
      <c r="S405" t="s">
        <v>814</v>
      </c>
      <c r="T405" t="s">
        <v>815</v>
      </c>
      <c r="U405" t="s">
        <v>816</v>
      </c>
      <c r="V405" t="s">
        <v>817</v>
      </c>
      <c r="W405" t="s">
        <v>66</v>
      </c>
      <c r="X405">
        <v>2965248</v>
      </c>
      <c r="Y405">
        <v>326177.28000000003</v>
      </c>
      <c r="Z405">
        <v>648648</v>
      </c>
      <c r="AA405">
        <v>71351.28</v>
      </c>
      <c r="AB405">
        <v>3291425.28</v>
      </c>
      <c r="AC405">
        <v>24</v>
      </c>
      <c r="AD405" t="s">
        <v>82</v>
      </c>
      <c r="AE405">
        <v>24</v>
      </c>
      <c r="AF405" t="s">
        <v>563</v>
      </c>
      <c r="AG405">
        <f>IFERROR(VLOOKUP(AF405,[1]STOK!J:O,6,0),"")</f>
        <v>12</v>
      </c>
      <c r="AH405" s="2">
        <f t="shared" si="12"/>
        <v>2</v>
      </c>
      <c r="AI405" t="s">
        <v>563</v>
      </c>
      <c r="AJ405" t="s">
        <v>564</v>
      </c>
      <c r="AK405" t="s">
        <v>565</v>
      </c>
      <c r="AL405" t="s">
        <v>86</v>
      </c>
      <c r="AM405">
        <v>30303</v>
      </c>
      <c r="AN405">
        <f t="shared" si="13"/>
        <v>29999.97</v>
      </c>
      <c r="AO405" t="s">
        <v>66</v>
      </c>
      <c r="AP405">
        <v>1</v>
      </c>
      <c r="AQ405" t="s">
        <v>66</v>
      </c>
      <c r="AR405">
        <v>0</v>
      </c>
      <c r="AS405" t="s">
        <v>66</v>
      </c>
      <c r="AT405">
        <v>0</v>
      </c>
      <c r="AU405" t="s">
        <v>66</v>
      </c>
      <c r="AV405">
        <v>0</v>
      </c>
      <c r="AW405" t="s">
        <v>66</v>
      </c>
      <c r="AX405">
        <v>0</v>
      </c>
      <c r="AY405" t="s">
        <v>66</v>
      </c>
      <c r="AZ405">
        <v>0</v>
      </c>
      <c r="BA405" t="s">
        <v>66</v>
      </c>
      <c r="BB405">
        <v>0</v>
      </c>
      <c r="BC405">
        <v>0</v>
      </c>
      <c r="BD405">
        <v>719999.28</v>
      </c>
      <c r="BE405">
        <v>24678.61</v>
      </c>
      <c r="BF405">
        <v>0</v>
      </c>
      <c r="BG405" t="s">
        <v>87</v>
      </c>
      <c r="BH405" t="s">
        <v>66</v>
      </c>
      <c r="BI405">
        <v>0</v>
      </c>
      <c r="BJ405" t="s">
        <v>66</v>
      </c>
      <c r="BK405" t="s">
        <v>88</v>
      </c>
      <c r="BL405" t="s">
        <v>66</v>
      </c>
      <c r="BM405" t="s">
        <v>89</v>
      </c>
    </row>
    <row r="406" spans="1:65" x14ac:dyDescent="0.25">
      <c r="A406">
        <v>404</v>
      </c>
      <c r="B406" t="s">
        <v>808</v>
      </c>
      <c r="C406" t="s">
        <v>68</v>
      </c>
      <c r="D406" s="1">
        <v>46207</v>
      </c>
      <c r="E406" t="s">
        <v>809</v>
      </c>
      <c r="F406" t="s">
        <v>68</v>
      </c>
      <c r="G406" t="s">
        <v>69</v>
      </c>
      <c r="H406" t="s">
        <v>70</v>
      </c>
      <c r="I406" t="s">
        <v>71</v>
      </c>
      <c r="J406" t="s">
        <v>72</v>
      </c>
      <c r="K406" t="s">
        <v>73</v>
      </c>
      <c r="L406" t="s">
        <v>74</v>
      </c>
      <c r="M406" t="s">
        <v>810</v>
      </c>
      <c r="N406" t="s">
        <v>76</v>
      </c>
      <c r="O406" t="s">
        <v>811</v>
      </c>
      <c r="P406" t="s">
        <v>812</v>
      </c>
      <c r="Q406" t="s">
        <v>813</v>
      </c>
      <c r="R406" s="1">
        <v>46211</v>
      </c>
      <c r="S406" t="s">
        <v>814</v>
      </c>
      <c r="T406" t="s">
        <v>815</v>
      </c>
      <c r="U406" t="s">
        <v>816</v>
      </c>
      <c r="V406" t="s">
        <v>817</v>
      </c>
      <c r="W406" t="s">
        <v>66</v>
      </c>
      <c r="X406">
        <v>2965248</v>
      </c>
      <c r="Y406">
        <v>326177.28000000003</v>
      </c>
      <c r="Z406">
        <v>712800</v>
      </c>
      <c r="AA406">
        <v>78408</v>
      </c>
      <c r="AB406">
        <v>3291425.28</v>
      </c>
      <c r="AC406">
        <v>36</v>
      </c>
      <c r="AD406" t="s">
        <v>82</v>
      </c>
      <c r="AE406">
        <v>36</v>
      </c>
      <c r="AF406" t="s">
        <v>290</v>
      </c>
      <c r="AG406">
        <f>IFERROR(VLOOKUP(AF406,[1]STOK!J:O,6,0),"")</f>
        <v>12</v>
      </c>
      <c r="AH406" s="2">
        <f t="shared" si="12"/>
        <v>3</v>
      </c>
      <c r="AI406" t="s">
        <v>290</v>
      </c>
      <c r="AJ406" t="s">
        <v>291</v>
      </c>
      <c r="AK406" t="s">
        <v>292</v>
      </c>
      <c r="AL406" t="s">
        <v>86</v>
      </c>
      <c r="AM406">
        <v>22200</v>
      </c>
      <c r="AN406">
        <f t="shared" si="13"/>
        <v>21978</v>
      </c>
      <c r="AO406" t="s">
        <v>66</v>
      </c>
      <c r="AP406">
        <v>1</v>
      </c>
      <c r="AQ406" t="s">
        <v>66</v>
      </c>
      <c r="AR406">
        <v>0</v>
      </c>
      <c r="AS406" t="s">
        <v>66</v>
      </c>
      <c r="AT406">
        <v>0</v>
      </c>
      <c r="AU406" t="s">
        <v>66</v>
      </c>
      <c r="AV406">
        <v>0</v>
      </c>
      <c r="AW406" t="s">
        <v>66</v>
      </c>
      <c r="AX406">
        <v>0</v>
      </c>
      <c r="AY406" t="s">
        <v>66</v>
      </c>
      <c r="AZ406">
        <v>0</v>
      </c>
      <c r="BA406" t="s">
        <v>66</v>
      </c>
      <c r="BB406">
        <v>0</v>
      </c>
      <c r="BC406">
        <v>0</v>
      </c>
      <c r="BD406">
        <v>791208</v>
      </c>
      <c r="BE406">
        <v>18106.89</v>
      </c>
      <c r="BF406">
        <v>0</v>
      </c>
      <c r="BG406" t="s">
        <v>87</v>
      </c>
      <c r="BH406" t="s">
        <v>66</v>
      </c>
      <c r="BI406">
        <v>0</v>
      </c>
      <c r="BJ406" t="s">
        <v>66</v>
      </c>
      <c r="BK406" t="s">
        <v>88</v>
      </c>
      <c r="BL406" t="s">
        <v>66</v>
      </c>
      <c r="BM406" t="s">
        <v>89</v>
      </c>
    </row>
    <row r="407" spans="1:65" x14ac:dyDescent="0.25">
      <c r="A407">
        <v>405</v>
      </c>
      <c r="B407" t="s">
        <v>808</v>
      </c>
      <c r="C407" t="s">
        <v>68</v>
      </c>
      <c r="D407" s="1">
        <v>46207</v>
      </c>
      <c r="E407" t="s">
        <v>809</v>
      </c>
      <c r="F407" t="s">
        <v>68</v>
      </c>
      <c r="G407" t="s">
        <v>69</v>
      </c>
      <c r="H407" t="s">
        <v>70</v>
      </c>
      <c r="I407" t="s">
        <v>71</v>
      </c>
      <c r="J407" t="s">
        <v>72</v>
      </c>
      <c r="K407" t="s">
        <v>73</v>
      </c>
      <c r="L407" t="s">
        <v>74</v>
      </c>
      <c r="M407" t="s">
        <v>810</v>
      </c>
      <c r="N407" t="s">
        <v>76</v>
      </c>
      <c r="O407" t="s">
        <v>811</v>
      </c>
      <c r="P407" t="s">
        <v>812</v>
      </c>
      <c r="Q407" t="s">
        <v>813</v>
      </c>
      <c r="R407" s="1">
        <v>46211</v>
      </c>
      <c r="S407" t="s">
        <v>814</v>
      </c>
      <c r="T407" t="s">
        <v>815</v>
      </c>
      <c r="U407" t="s">
        <v>816</v>
      </c>
      <c r="V407" t="s">
        <v>817</v>
      </c>
      <c r="W407" t="s">
        <v>66</v>
      </c>
      <c r="X407">
        <v>2965248</v>
      </c>
      <c r="Y407">
        <v>326177.28000000003</v>
      </c>
      <c r="Z407">
        <v>1603800</v>
      </c>
      <c r="AA407">
        <v>176418</v>
      </c>
      <c r="AB407">
        <v>3291425.28</v>
      </c>
      <c r="AC407">
        <v>24</v>
      </c>
      <c r="AD407" t="s">
        <v>82</v>
      </c>
      <c r="AE407">
        <v>24</v>
      </c>
      <c r="AF407" t="s">
        <v>312</v>
      </c>
      <c r="AG407">
        <f>IFERROR(VLOOKUP(AF407,[1]STOK!J:O,6,0),"")</f>
        <v>4</v>
      </c>
      <c r="AH407" s="2">
        <f t="shared" si="12"/>
        <v>6</v>
      </c>
      <c r="AI407" t="s">
        <v>312</v>
      </c>
      <c r="AJ407" t="s">
        <v>313</v>
      </c>
      <c r="AK407" t="s">
        <v>314</v>
      </c>
      <c r="AL407" t="s">
        <v>86</v>
      </c>
      <c r="AM407">
        <v>74925</v>
      </c>
      <c r="AN407">
        <f t="shared" si="13"/>
        <v>74175.75</v>
      </c>
      <c r="AO407" t="s">
        <v>66</v>
      </c>
      <c r="AP407">
        <v>1</v>
      </c>
      <c r="AQ407" t="s">
        <v>66</v>
      </c>
      <c r="AR407">
        <v>0</v>
      </c>
      <c r="AS407" t="s">
        <v>66</v>
      </c>
      <c r="AT407">
        <v>0</v>
      </c>
      <c r="AU407" t="s">
        <v>66</v>
      </c>
      <c r="AV407">
        <v>0</v>
      </c>
      <c r="AW407" t="s">
        <v>66</v>
      </c>
      <c r="AX407">
        <v>0</v>
      </c>
      <c r="AY407" t="s">
        <v>66</v>
      </c>
      <c r="AZ407">
        <v>0</v>
      </c>
      <c r="BA407" t="s">
        <v>66</v>
      </c>
      <c r="BB407">
        <v>0</v>
      </c>
      <c r="BC407">
        <v>0</v>
      </c>
      <c r="BD407">
        <v>1780218</v>
      </c>
      <c r="BE407">
        <v>60292.27</v>
      </c>
      <c r="BF407">
        <v>0</v>
      </c>
      <c r="BG407" t="s">
        <v>87</v>
      </c>
      <c r="BH407" t="s">
        <v>66</v>
      </c>
      <c r="BI407">
        <v>0</v>
      </c>
      <c r="BJ407" t="s">
        <v>66</v>
      </c>
      <c r="BK407" t="s">
        <v>88</v>
      </c>
      <c r="BL407" t="s">
        <v>66</v>
      </c>
      <c r="BM407" t="s">
        <v>89</v>
      </c>
    </row>
    <row r="408" spans="1:65" x14ac:dyDescent="0.25">
      <c r="A408">
        <v>406</v>
      </c>
      <c r="B408" t="s">
        <v>818</v>
      </c>
      <c r="C408" t="s">
        <v>66</v>
      </c>
      <c r="D408" s="1">
        <v>46207</v>
      </c>
      <c r="E408" t="s">
        <v>819</v>
      </c>
      <c r="F408" t="s">
        <v>68</v>
      </c>
      <c r="G408" t="s">
        <v>69</v>
      </c>
      <c r="H408" t="s">
        <v>70</v>
      </c>
      <c r="I408" t="s">
        <v>71</v>
      </c>
      <c r="J408" t="s">
        <v>72</v>
      </c>
      <c r="K408" t="s">
        <v>73</v>
      </c>
      <c r="L408" t="s">
        <v>74</v>
      </c>
      <c r="M408" t="s">
        <v>820</v>
      </c>
      <c r="N408" t="s">
        <v>111</v>
      </c>
      <c r="O408" t="s">
        <v>821</v>
      </c>
      <c r="P408" t="s">
        <v>822</v>
      </c>
      <c r="Q408" t="s">
        <v>823</v>
      </c>
      <c r="R408" s="1">
        <v>46210</v>
      </c>
      <c r="S408" t="s">
        <v>824</v>
      </c>
      <c r="T408" t="s">
        <v>825</v>
      </c>
      <c r="U408" t="s">
        <v>826</v>
      </c>
      <c r="V408" t="s">
        <v>66</v>
      </c>
      <c r="W408" t="s">
        <v>66</v>
      </c>
      <c r="X408">
        <v>6351674</v>
      </c>
      <c r="Y408">
        <v>698684.14</v>
      </c>
      <c r="Z408">
        <v>67374</v>
      </c>
      <c r="AA408">
        <v>7411.14</v>
      </c>
      <c r="AB408">
        <v>7050358.1399999997</v>
      </c>
      <c r="AC408">
        <v>12</v>
      </c>
      <c r="AD408" t="s">
        <v>82</v>
      </c>
      <c r="AE408">
        <v>12</v>
      </c>
      <c r="AF408" t="s">
        <v>90</v>
      </c>
      <c r="AG408">
        <f>IFERROR(VLOOKUP(AF408,[1]STOK!J:O,6,0),"")</f>
        <v>48</v>
      </c>
      <c r="AH408" s="2">
        <f t="shared" si="12"/>
        <v>0.25</v>
      </c>
      <c r="AI408" t="s">
        <v>90</v>
      </c>
      <c r="AJ408" t="s">
        <v>91</v>
      </c>
      <c r="AK408" t="s">
        <v>92</v>
      </c>
      <c r="AL408" t="s">
        <v>86</v>
      </c>
      <c r="AM408">
        <v>6327</v>
      </c>
      <c r="AN408">
        <f t="shared" si="13"/>
        <v>6232.0950000000003</v>
      </c>
      <c r="AO408" t="s">
        <v>66</v>
      </c>
      <c r="AP408">
        <v>1.5</v>
      </c>
      <c r="AQ408" t="s">
        <v>66</v>
      </c>
      <c r="AR408">
        <v>0</v>
      </c>
      <c r="AS408" t="s">
        <v>66</v>
      </c>
      <c r="AT408">
        <v>0</v>
      </c>
      <c r="AU408" t="s">
        <v>66</v>
      </c>
      <c r="AV408">
        <v>0</v>
      </c>
      <c r="AW408" t="s">
        <v>66</v>
      </c>
      <c r="AX408">
        <v>0</v>
      </c>
      <c r="AY408" t="s">
        <v>66</v>
      </c>
      <c r="AZ408">
        <v>0</v>
      </c>
      <c r="BA408" t="s">
        <v>66</v>
      </c>
      <c r="BB408">
        <v>0</v>
      </c>
      <c r="BC408">
        <v>0</v>
      </c>
      <c r="BD408">
        <v>74785.14</v>
      </c>
      <c r="BE408">
        <v>4953.2299999999996</v>
      </c>
      <c r="BF408">
        <v>0</v>
      </c>
      <c r="BG408" t="s">
        <v>87</v>
      </c>
      <c r="BH408" t="s">
        <v>66</v>
      </c>
      <c r="BI408">
        <v>0</v>
      </c>
      <c r="BJ408" t="s">
        <v>66</v>
      </c>
      <c r="BK408" t="s">
        <v>88</v>
      </c>
      <c r="BL408" t="s">
        <v>66</v>
      </c>
      <c r="BM408" t="s">
        <v>159</v>
      </c>
    </row>
    <row r="409" spans="1:65" x14ac:dyDescent="0.25">
      <c r="A409">
        <v>407</v>
      </c>
      <c r="B409" t="s">
        <v>818</v>
      </c>
      <c r="C409" t="s">
        <v>66</v>
      </c>
      <c r="D409" s="1">
        <v>46207</v>
      </c>
      <c r="E409" t="s">
        <v>819</v>
      </c>
      <c r="F409" t="s">
        <v>68</v>
      </c>
      <c r="G409" t="s">
        <v>69</v>
      </c>
      <c r="H409" t="s">
        <v>70</v>
      </c>
      <c r="I409" t="s">
        <v>71</v>
      </c>
      <c r="J409" t="s">
        <v>72</v>
      </c>
      <c r="K409" t="s">
        <v>73</v>
      </c>
      <c r="L409" t="s">
        <v>74</v>
      </c>
      <c r="M409" t="s">
        <v>820</v>
      </c>
      <c r="N409" t="s">
        <v>111</v>
      </c>
      <c r="O409" t="s">
        <v>821</v>
      </c>
      <c r="P409" t="s">
        <v>822</v>
      </c>
      <c r="Q409" t="s">
        <v>823</v>
      </c>
      <c r="R409" s="1">
        <v>46210</v>
      </c>
      <c r="S409" t="s">
        <v>824</v>
      </c>
      <c r="T409" t="s">
        <v>825</v>
      </c>
      <c r="U409" t="s">
        <v>826</v>
      </c>
      <c r="V409" t="s">
        <v>66</v>
      </c>
      <c r="W409" t="s">
        <v>66</v>
      </c>
      <c r="X409">
        <v>6351674</v>
      </c>
      <c r="Y409">
        <v>698684.14</v>
      </c>
      <c r="Z409">
        <v>390060</v>
      </c>
      <c r="AA409">
        <v>42906.6</v>
      </c>
      <c r="AB409">
        <v>7050358.1399999997</v>
      </c>
      <c r="AC409">
        <v>1</v>
      </c>
      <c r="AD409" t="s">
        <v>134</v>
      </c>
      <c r="AE409">
        <v>24</v>
      </c>
      <c r="AF409" t="s">
        <v>128</v>
      </c>
      <c r="AG409">
        <f>IFERROR(VLOOKUP(AF409,[1]STOK!J:O,6,0),"")</f>
        <v>24</v>
      </c>
      <c r="AH409" s="2">
        <f t="shared" si="12"/>
        <v>1</v>
      </c>
      <c r="AI409" t="s">
        <v>128</v>
      </c>
      <c r="AJ409" t="s">
        <v>129</v>
      </c>
      <c r="AK409" t="s">
        <v>130</v>
      </c>
      <c r="AL409" t="s">
        <v>86</v>
      </c>
      <c r="AM409">
        <v>439560</v>
      </c>
      <c r="AN409">
        <f t="shared" si="13"/>
        <v>432966.6</v>
      </c>
      <c r="AO409" t="s">
        <v>66</v>
      </c>
      <c r="AP409">
        <v>1.5</v>
      </c>
      <c r="AQ409" t="s">
        <v>66</v>
      </c>
      <c r="AR409">
        <v>0</v>
      </c>
      <c r="AS409" t="s">
        <v>66</v>
      </c>
      <c r="AT409">
        <v>0</v>
      </c>
      <c r="AU409" t="s">
        <v>66</v>
      </c>
      <c r="AV409">
        <v>0</v>
      </c>
      <c r="AW409" t="s">
        <v>66</v>
      </c>
      <c r="AX409">
        <v>0</v>
      </c>
      <c r="AY409" t="s">
        <v>66</v>
      </c>
      <c r="AZ409">
        <v>0</v>
      </c>
      <c r="BA409" t="s">
        <v>66</v>
      </c>
      <c r="BB409">
        <v>0</v>
      </c>
      <c r="BC409">
        <v>0</v>
      </c>
      <c r="BD409">
        <v>432966.6</v>
      </c>
      <c r="BE409">
        <v>14907.75</v>
      </c>
      <c r="BF409">
        <v>0</v>
      </c>
      <c r="BG409" t="s">
        <v>87</v>
      </c>
      <c r="BH409" t="s">
        <v>66</v>
      </c>
      <c r="BI409">
        <v>0</v>
      </c>
      <c r="BJ409" t="s">
        <v>66</v>
      </c>
      <c r="BK409" t="s">
        <v>88</v>
      </c>
      <c r="BL409" t="s">
        <v>66</v>
      </c>
      <c r="BM409" t="s">
        <v>159</v>
      </c>
    </row>
    <row r="410" spans="1:65" x14ac:dyDescent="0.25">
      <c r="A410">
        <v>408</v>
      </c>
      <c r="B410" t="s">
        <v>818</v>
      </c>
      <c r="C410" t="s">
        <v>66</v>
      </c>
      <c r="D410" s="1">
        <v>46207</v>
      </c>
      <c r="E410" t="s">
        <v>819</v>
      </c>
      <c r="F410" t="s">
        <v>68</v>
      </c>
      <c r="G410" t="s">
        <v>69</v>
      </c>
      <c r="H410" t="s">
        <v>70</v>
      </c>
      <c r="I410" t="s">
        <v>71</v>
      </c>
      <c r="J410" t="s">
        <v>72</v>
      </c>
      <c r="K410" t="s">
        <v>73</v>
      </c>
      <c r="L410" t="s">
        <v>74</v>
      </c>
      <c r="M410" t="s">
        <v>820</v>
      </c>
      <c r="N410" t="s">
        <v>111</v>
      </c>
      <c r="O410" t="s">
        <v>821</v>
      </c>
      <c r="P410" t="s">
        <v>822</v>
      </c>
      <c r="Q410" t="s">
        <v>823</v>
      </c>
      <c r="R410" s="1">
        <v>46210</v>
      </c>
      <c r="S410" t="s">
        <v>824</v>
      </c>
      <c r="T410" t="s">
        <v>825</v>
      </c>
      <c r="U410" t="s">
        <v>826</v>
      </c>
      <c r="V410" t="s">
        <v>66</v>
      </c>
      <c r="W410" t="s">
        <v>66</v>
      </c>
      <c r="X410">
        <v>6351674</v>
      </c>
      <c r="Y410">
        <v>698684.14</v>
      </c>
      <c r="Z410">
        <v>390060</v>
      </c>
      <c r="AA410">
        <v>42906.6</v>
      </c>
      <c r="AB410">
        <v>7050358.1399999997</v>
      </c>
      <c r="AC410">
        <v>1</v>
      </c>
      <c r="AD410" t="s">
        <v>134</v>
      </c>
      <c r="AE410">
        <v>24</v>
      </c>
      <c r="AF410" t="s">
        <v>93</v>
      </c>
      <c r="AG410">
        <f>IFERROR(VLOOKUP(AF410,[1]STOK!J:O,6,0),"")</f>
        <v>24</v>
      </c>
      <c r="AH410" s="2">
        <f t="shared" si="12"/>
        <v>1</v>
      </c>
      <c r="AI410" t="s">
        <v>93</v>
      </c>
      <c r="AJ410" t="s">
        <v>94</v>
      </c>
      <c r="AK410" t="s">
        <v>95</v>
      </c>
      <c r="AL410" t="s">
        <v>86</v>
      </c>
      <c r="AM410">
        <v>439560</v>
      </c>
      <c r="AN410">
        <f t="shared" si="13"/>
        <v>432966.6</v>
      </c>
      <c r="AO410" t="s">
        <v>66</v>
      </c>
      <c r="AP410">
        <v>1.5</v>
      </c>
      <c r="AQ410" t="s">
        <v>66</v>
      </c>
      <c r="AR410">
        <v>0</v>
      </c>
      <c r="AS410" t="s">
        <v>66</v>
      </c>
      <c r="AT410">
        <v>0</v>
      </c>
      <c r="AU410" t="s">
        <v>66</v>
      </c>
      <c r="AV410">
        <v>0</v>
      </c>
      <c r="AW410" t="s">
        <v>66</v>
      </c>
      <c r="AX410">
        <v>0</v>
      </c>
      <c r="AY410" t="s">
        <v>66</v>
      </c>
      <c r="AZ410">
        <v>0</v>
      </c>
      <c r="BA410" t="s">
        <v>66</v>
      </c>
      <c r="BB410">
        <v>0</v>
      </c>
      <c r="BC410">
        <v>0</v>
      </c>
      <c r="BD410">
        <v>432966.6</v>
      </c>
      <c r="BE410">
        <v>14931.72</v>
      </c>
      <c r="BF410">
        <v>0</v>
      </c>
      <c r="BG410" t="s">
        <v>87</v>
      </c>
      <c r="BH410" t="s">
        <v>66</v>
      </c>
      <c r="BI410">
        <v>0</v>
      </c>
      <c r="BJ410" t="s">
        <v>66</v>
      </c>
      <c r="BK410" t="s">
        <v>88</v>
      </c>
      <c r="BL410" t="s">
        <v>66</v>
      </c>
      <c r="BM410" t="s">
        <v>159</v>
      </c>
    </row>
    <row r="411" spans="1:65" x14ac:dyDescent="0.25">
      <c r="A411">
        <v>409</v>
      </c>
      <c r="B411" t="s">
        <v>818</v>
      </c>
      <c r="C411" t="s">
        <v>66</v>
      </c>
      <c r="D411" s="1">
        <v>46207</v>
      </c>
      <c r="E411" t="s">
        <v>819</v>
      </c>
      <c r="F411" t="s">
        <v>68</v>
      </c>
      <c r="G411" t="s">
        <v>69</v>
      </c>
      <c r="H411" t="s">
        <v>70</v>
      </c>
      <c r="I411" t="s">
        <v>71</v>
      </c>
      <c r="J411" t="s">
        <v>72</v>
      </c>
      <c r="K411" t="s">
        <v>73</v>
      </c>
      <c r="L411" t="s">
        <v>74</v>
      </c>
      <c r="M411" t="s">
        <v>820</v>
      </c>
      <c r="N411" t="s">
        <v>111</v>
      </c>
      <c r="O411" t="s">
        <v>821</v>
      </c>
      <c r="P411" t="s">
        <v>822</v>
      </c>
      <c r="Q411" t="s">
        <v>823</v>
      </c>
      <c r="R411" s="1">
        <v>46210</v>
      </c>
      <c r="S411" t="s">
        <v>824</v>
      </c>
      <c r="T411" t="s">
        <v>825</v>
      </c>
      <c r="U411" t="s">
        <v>826</v>
      </c>
      <c r="V411" t="s">
        <v>66</v>
      </c>
      <c r="W411" t="s">
        <v>66</v>
      </c>
      <c r="X411">
        <v>6351674</v>
      </c>
      <c r="Y411">
        <v>698684.14</v>
      </c>
      <c r="Z411">
        <v>390060</v>
      </c>
      <c r="AA411">
        <v>42906.6</v>
      </c>
      <c r="AB411">
        <v>7050358.1399999997</v>
      </c>
      <c r="AC411">
        <v>1</v>
      </c>
      <c r="AD411" t="s">
        <v>134</v>
      </c>
      <c r="AE411">
        <v>24</v>
      </c>
      <c r="AF411" t="s">
        <v>96</v>
      </c>
      <c r="AG411">
        <f>IFERROR(VLOOKUP(AF411,[1]STOK!J:O,6,0),"")</f>
        <v>24</v>
      </c>
      <c r="AH411" s="2">
        <f t="shared" si="12"/>
        <v>1</v>
      </c>
      <c r="AI411" t="s">
        <v>96</v>
      </c>
      <c r="AJ411" t="s">
        <v>97</v>
      </c>
      <c r="AK411" t="s">
        <v>98</v>
      </c>
      <c r="AL411" t="s">
        <v>86</v>
      </c>
      <c r="AM411">
        <v>439560</v>
      </c>
      <c r="AN411">
        <f t="shared" si="13"/>
        <v>432966.6</v>
      </c>
      <c r="AO411" t="s">
        <v>66</v>
      </c>
      <c r="AP411">
        <v>1.5</v>
      </c>
      <c r="AQ411" t="s">
        <v>66</v>
      </c>
      <c r="AR411">
        <v>0</v>
      </c>
      <c r="AS411" t="s">
        <v>66</v>
      </c>
      <c r="AT411">
        <v>0</v>
      </c>
      <c r="AU411" t="s">
        <v>66</v>
      </c>
      <c r="AV411">
        <v>0</v>
      </c>
      <c r="AW411" t="s">
        <v>66</v>
      </c>
      <c r="AX411">
        <v>0</v>
      </c>
      <c r="AY411" t="s">
        <v>66</v>
      </c>
      <c r="AZ411">
        <v>0</v>
      </c>
      <c r="BA411" t="s">
        <v>66</v>
      </c>
      <c r="BB411">
        <v>0</v>
      </c>
      <c r="BC411">
        <v>0</v>
      </c>
      <c r="BD411">
        <v>432966.6</v>
      </c>
      <c r="BE411">
        <v>14932.79</v>
      </c>
      <c r="BF411">
        <v>0</v>
      </c>
      <c r="BG411" t="s">
        <v>87</v>
      </c>
      <c r="BH411" t="s">
        <v>66</v>
      </c>
      <c r="BI411">
        <v>0</v>
      </c>
      <c r="BJ411" t="s">
        <v>66</v>
      </c>
      <c r="BK411" t="s">
        <v>88</v>
      </c>
      <c r="BL411" t="s">
        <v>66</v>
      </c>
      <c r="BM411" t="s">
        <v>159</v>
      </c>
    </row>
    <row r="412" spans="1:65" x14ac:dyDescent="0.25">
      <c r="A412">
        <v>410</v>
      </c>
      <c r="B412" t="s">
        <v>818</v>
      </c>
      <c r="C412" t="s">
        <v>66</v>
      </c>
      <c r="D412" s="1">
        <v>46207</v>
      </c>
      <c r="E412" t="s">
        <v>819</v>
      </c>
      <c r="F412" t="s">
        <v>68</v>
      </c>
      <c r="G412" t="s">
        <v>69</v>
      </c>
      <c r="H412" t="s">
        <v>70</v>
      </c>
      <c r="I412" t="s">
        <v>71</v>
      </c>
      <c r="J412" t="s">
        <v>72</v>
      </c>
      <c r="K412" t="s">
        <v>73</v>
      </c>
      <c r="L412" t="s">
        <v>74</v>
      </c>
      <c r="M412" t="s">
        <v>820</v>
      </c>
      <c r="N412" t="s">
        <v>111</v>
      </c>
      <c r="O412" t="s">
        <v>821</v>
      </c>
      <c r="P412" t="s">
        <v>822</v>
      </c>
      <c r="Q412" t="s">
        <v>823</v>
      </c>
      <c r="R412" s="1">
        <v>46210</v>
      </c>
      <c r="S412" t="s">
        <v>824</v>
      </c>
      <c r="T412" t="s">
        <v>825</v>
      </c>
      <c r="U412" t="s">
        <v>826</v>
      </c>
      <c r="V412" t="s">
        <v>66</v>
      </c>
      <c r="W412" t="s">
        <v>66</v>
      </c>
      <c r="X412">
        <v>6351674</v>
      </c>
      <c r="Y412">
        <v>698684.14</v>
      </c>
      <c r="Z412">
        <v>390060</v>
      </c>
      <c r="AA412">
        <v>42906.6</v>
      </c>
      <c r="AB412">
        <v>7050358.1399999997</v>
      </c>
      <c r="AC412">
        <v>1</v>
      </c>
      <c r="AD412" t="s">
        <v>134</v>
      </c>
      <c r="AE412">
        <v>24</v>
      </c>
      <c r="AF412" t="s">
        <v>99</v>
      </c>
      <c r="AG412">
        <f>IFERROR(VLOOKUP(AF412,[1]STOK!J:O,6,0),"")</f>
        <v>24</v>
      </c>
      <c r="AH412" s="2">
        <f t="shared" si="12"/>
        <v>1</v>
      </c>
      <c r="AI412" t="s">
        <v>99</v>
      </c>
      <c r="AJ412" t="s">
        <v>100</v>
      </c>
      <c r="AK412" t="s">
        <v>101</v>
      </c>
      <c r="AL412" t="s">
        <v>86</v>
      </c>
      <c r="AM412">
        <v>439560</v>
      </c>
      <c r="AN412">
        <f t="shared" si="13"/>
        <v>432966.6</v>
      </c>
      <c r="AO412" t="s">
        <v>66</v>
      </c>
      <c r="AP412">
        <v>1.5</v>
      </c>
      <c r="AQ412" t="s">
        <v>66</v>
      </c>
      <c r="AR412">
        <v>0</v>
      </c>
      <c r="AS412" t="s">
        <v>66</v>
      </c>
      <c r="AT412">
        <v>0</v>
      </c>
      <c r="AU412" t="s">
        <v>66</v>
      </c>
      <c r="AV412">
        <v>0</v>
      </c>
      <c r="AW412" t="s">
        <v>66</v>
      </c>
      <c r="AX412">
        <v>0</v>
      </c>
      <c r="AY412" t="s">
        <v>66</v>
      </c>
      <c r="AZ412">
        <v>0</v>
      </c>
      <c r="BA412" t="s">
        <v>66</v>
      </c>
      <c r="BB412">
        <v>0</v>
      </c>
      <c r="BC412">
        <v>0</v>
      </c>
      <c r="BD412">
        <v>432966.6</v>
      </c>
      <c r="BE412">
        <v>14915.33</v>
      </c>
      <c r="BF412">
        <v>0</v>
      </c>
      <c r="BG412" t="s">
        <v>87</v>
      </c>
      <c r="BH412" t="s">
        <v>66</v>
      </c>
      <c r="BI412">
        <v>0</v>
      </c>
      <c r="BJ412" t="s">
        <v>66</v>
      </c>
      <c r="BK412" t="s">
        <v>88</v>
      </c>
      <c r="BL412" t="s">
        <v>66</v>
      </c>
      <c r="BM412" t="s">
        <v>159</v>
      </c>
    </row>
    <row r="413" spans="1:65" x14ac:dyDescent="0.25">
      <c r="A413">
        <v>411</v>
      </c>
      <c r="B413" t="s">
        <v>818</v>
      </c>
      <c r="C413" t="s">
        <v>66</v>
      </c>
      <c r="D413" s="1">
        <v>46207</v>
      </c>
      <c r="E413" t="s">
        <v>819</v>
      </c>
      <c r="F413" t="s">
        <v>68</v>
      </c>
      <c r="G413" t="s">
        <v>69</v>
      </c>
      <c r="H413" t="s">
        <v>70</v>
      </c>
      <c r="I413" t="s">
        <v>71</v>
      </c>
      <c r="J413" t="s">
        <v>72</v>
      </c>
      <c r="K413" t="s">
        <v>73</v>
      </c>
      <c r="L413" t="s">
        <v>74</v>
      </c>
      <c r="M413" t="s">
        <v>820</v>
      </c>
      <c r="N413" t="s">
        <v>111</v>
      </c>
      <c r="O413" t="s">
        <v>821</v>
      </c>
      <c r="P413" t="s">
        <v>822</v>
      </c>
      <c r="Q413" t="s">
        <v>823</v>
      </c>
      <c r="R413" s="1">
        <v>46210</v>
      </c>
      <c r="S413" t="s">
        <v>824</v>
      </c>
      <c r="T413" t="s">
        <v>825</v>
      </c>
      <c r="U413" t="s">
        <v>826</v>
      </c>
      <c r="V413" t="s">
        <v>66</v>
      </c>
      <c r="W413" t="s">
        <v>66</v>
      </c>
      <c r="X413">
        <v>6351674</v>
      </c>
      <c r="Y413">
        <v>698684.14</v>
      </c>
      <c r="Z413">
        <v>509836</v>
      </c>
      <c r="AA413">
        <v>56081.96</v>
      </c>
      <c r="AB413">
        <v>7050358.1399999997</v>
      </c>
      <c r="AC413">
        <v>1</v>
      </c>
      <c r="AD413" t="s">
        <v>134</v>
      </c>
      <c r="AE413">
        <v>4</v>
      </c>
      <c r="AF413" t="s">
        <v>651</v>
      </c>
      <c r="AG413">
        <f>IFERROR(VLOOKUP(AF413,[1]STOK!J:O,6,0),"")</f>
        <v>4</v>
      </c>
      <c r="AH413" s="2">
        <f t="shared" si="12"/>
        <v>1</v>
      </c>
      <c r="AI413" t="s">
        <v>651</v>
      </c>
      <c r="AJ413" t="s">
        <v>652</v>
      </c>
      <c r="AK413" t="s">
        <v>653</v>
      </c>
      <c r="AL413" t="s">
        <v>86</v>
      </c>
      <c r="AM413">
        <v>574536</v>
      </c>
      <c r="AN413">
        <f t="shared" si="13"/>
        <v>565917.96</v>
      </c>
      <c r="AO413" t="s">
        <v>66</v>
      </c>
      <c r="AP413">
        <v>1.5</v>
      </c>
      <c r="AQ413" t="s">
        <v>66</v>
      </c>
      <c r="AR413">
        <v>0</v>
      </c>
      <c r="AS413" t="s">
        <v>66</v>
      </c>
      <c r="AT413">
        <v>0</v>
      </c>
      <c r="AU413" t="s">
        <v>66</v>
      </c>
      <c r="AV413">
        <v>0</v>
      </c>
      <c r="AW413" t="s">
        <v>66</v>
      </c>
      <c r="AX413">
        <v>0</v>
      </c>
      <c r="AY413" t="s">
        <v>66</v>
      </c>
      <c r="AZ413">
        <v>0</v>
      </c>
      <c r="BA413" t="s">
        <v>66</v>
      </c>
      <c r="BB413">
        <v>0</v>
      </c>
      <c r="BC413">
        <v>0</v>
      </c>
      <c r="BD413">
        <v>565917.96</v>
      </c>
      <c r="BE413">
        <v>115711.44</v>
      </c>
      <c r="BF413">
        <v>0</v>
      </c>
      <c r="BG413" t="s">
        <v>87</v>
      </c>
      <c r="BH413" t="s">
        <v>66</v>
      </c>
      <c r="BI413">
        <v>0</v>
      </c>
      <c r="BJ413" t="s">
        <v>66</v>
      </c>
      <c r="BK413" t="s">
        <v>88</v>
      </c>
      <c r="BL413" t="s">
        <v>66</v>
      </c>
      <c r="BM413" t="s">
        <v>159</v>
      </c>
    </row>
    <row r="414" spans="1:65" x14ac:dyDescent="0.25">
      <c r="A414">
        <v>412</v>
      </c>
      <c r="B414" t="s">
        <v>818</v>
      </c>
      <c r="C414" t="s">
        <v>66</v>
      </c>
      <c r="D414" s="1">
        <v>46207</v>
      </c>
      <c r="E414" t="s">
        <v>819</v>
      </c>
      <c r="F414" t="s">
        <v>68</v>
      </c>
      <c r="G414" t="s">
        <v>69</v>
      </c>
      <c r="H414" t="s">
        <v>70</v>
      </c>
      <c r="I414" t="s">
        <v>71</v>
      </c>
      <c r="J414" t="s">
        <v>72</v>
      </c>
      <c r="K414" t="s">
        <v>73</v>
      </c>
      <c r="L414" t="s">
        <v>74</v>
      </c>
      <c r="M414" t="s">
        <v>820</v>
      </c>
      <c r="N414" t="s">
        <v>111</v>
      </c>
      <c r="O414" t="s">
        <v>821</v>
      </c>
      <c r="P414" t="s">
        <v>822</v>
      </c>
      <c r="Q414" t="s">
        <v>823</v>
      </c>
      <c r="R414" s="1">
        <v>46210</v>
      </c>
      <c r="S414" t="s">
        <v>824</v>
      </c>
      <c r="T414" t="s">
        <v>825</v>
      </c>
      <c r="U414" t="s">
        <v>826</v>
      </c>
      <c r="V414" t="s">
        <v>66</v>
      </c>
      <c r="W414" t="s">
        <v>66</v>
      </c>
      <c r="X414">
        <v>6351674</v>
      </c>
      <c r="Y414">
        <v>698684.14</v>
      </c>
      <c r="Z414">
        <v>458616</v>
      </c>
      <c r="AA414">
        <v>50447.76</v>
      </c>
      <c r="AB414">
        <v>7050358.1399999997</v>
      </c>
      <c r="AC414">
        <v>1</v>
      </c>
      <c r="AD414" t="s">
        <v>134</v>
      </c>
      <c r="AE414">
        <v>24</v>
      </c>
      <c r="AF414" t="s">
        <v>467</v>
      </c>
      <c r="AG414">
        <f>IFERROR(VLOOKUP(AF414,[1]STOK!J:O,6,0),"")</f>
        <v>24</v>
      </c>
      <c r="AH414" s="2">
        <f t="shared" si="12"/>
        <v>1</v>
      </c>
      <c r="AI414" t="s">
        <v>467</v>
      </c>
      <c r="AJ414" t="s">
        <v>468</v>
      </c>
      <c r="AK414" t="s">
        <v>469</v>
      </c>
      <c r="AL414" t="s">
        <v>86</v>
      </c>
      <c r="AM414">
        <v>516816</v>
      </c>
      <c r="AN414">
        <f t="shared" si="13"/>
        <v>509063.76</v>
      </c>
      <c r="AO414" t="s">
        <v>66</v>
      </c>
      <c r="AP414">
        <v>1.5</v>
      </c>
      <c r="AQ414" t="s">
        <v>66</v>
      </c>
      <c r="AR414">
        <v>0</v>
      </c>
      <c r="AS414" t="s">
        <v>66</v>
      </c>
      <c r="AT414">
        <v>0</v>
      </c>
      <c r="AU414" t="s">
        <v>66</v>
      </c>
      <c r="AV414">
        <v>0</v>
      </c>
      <c r="AW414" t="s">
        <v>66</v>
      </c>
      <c r="AX414">
        <v>0</v>
      </c>
      <c r="AY414" t="s">
        <v>66</v>
      </c>
      <c r="AZ414">
        <v>0</v>
      </c>
      <c r="BA414" t="s">
        <v>66</v>
      </c>
      <c r="BB414">
        <v>0</v>
      </c>
      <c r="BC414">
        <v>0</v>
      </c>
      <c r="BD414">
        <v>509063.76</v>
      </c>
      <c r="BE414">
        <v>17318.07</v>
      </c>
      <c r="BF414">
        <v>0</v>
      </c>
      <c r="BG414" t="s">
        <v>87</v>
      </c>
      <c r="BH414" t="s">
        <v>66</v>
      </c>
      <c r="BI414">
        <v>0</v>
      </c>
      <c r="BJ414" t="s">
        <v>66</v>
      </c>
      <c r="BK414" t="s">
        <v>88</v>
      </c>
      <c r="BL414" t="s">
        <v>66</v>
      </c>
      <c r="BM414" t="s">
        <v>159</v>
      </c>
    </row>
    <row r="415" spans="1:65" x14ac:dyDescent="0.25">
      <c r="A415">
        <v>413</v>
      </c>
      <c r="B415" t="s">
        <v>818</v>
      </c>
      <c r="C415" t="s">
        <v>66</v>
      </c>
      <c r="D415" s="1">
        <v>46207</v>
      </c>
      <c r="E415" t="s">
        <v>819</v>
      </c>
      <c r="F415" t="s">
        <v>68</v>
      </c>
      <c r="G415" t="s">
        <v>69</v>
      </c>
      <c r="H415" t="s">
        <v>70</v>
      </c>
      <c r="I415" t="s">
        <v>71</v>
      </c>
      <c r="J415" t="s">
        <v>72</v>
      </c>
      <c r="K415" t="s">
        <v>73</v>
      </c>
      <c r="L415" t="s">
        <v>74</v>
      </c>
      <c r="M415" t="s">
        <v>820</v>
      </c>
      <c r="N415" t="s">
        <v>111</v>
      </c>
      <c r="O415" t="s">
        <v>821</v>
      </c>
      <c r="P415" t="s">
        <v>822</v>
      </c>
      <c r="Q415" t="s">
        <v>823</v>
      </c>
      <c r="R415" s="1">
        <v>46210</v>
      </c>
      <c r="S415" t="s">
        <v>824</v>
      </c>
      <c r="T415" t="s">
        <v>825</v>
      </c>
      <c r="U415" t="s">
        <v>826</v>
      </c>
      <c r="V415" t="s">
        <v>66</v>
      </c>
      <c r="W415" t="s">
        <v>66</v>
      </c>
      <c r="X415">
        <v>6351674</v>
      </c>
      <c r="Y415">
        <v>698684.14</v>
      </c>
      <c r="Z415">
        <v>458616</v>
      </c>
      <c r="AA415">
        <v>50447.76</v>
      </c>
      <c r="AB415">
        <v>7050358.1399999997</v>
      </c>
      <c r="AC415">
        <v>1</v>
      </c>
      <c r="AD415" t="s">
        <v>134</v>
      </c>
      <c r="AE415">
        <v>24</v>
      </c>
      <c r="AF415" t="s">
        <v>281</v>
      </c>
      <c r="AG415">
        <f>IFERROR(VLOOKUP(AF415,[1]STOK!J:O,6,0),"")</f>
        <v>24</v>
      </c>
      <c r="AH415" s="2">
        <f t="shared" si="12"/>
        <v>1</v>
      </c>
      <c r="AI415" t="s">
        <v>281</v>
      </c>
      <c r="AJ415" t="s">
        <v>282</v>
      </c>
      <c r="AK415" t="s">
        <v>283</v>
      </c>
      <c r="AL415" t="s">
        <v>86</v>
      </c>
      <c r="AM415">
        <v>516816</v>
      </c>
      <c r="AN415">
        <f t="shared" si="13"/>
        <v>509063.76</v>
      </c>
      <c r="AO415" t="s">
        <v>66</v>
      </c>
      <c r="AP415">
        <v>1.5</v>
      </c>
      <c r="AQ415" t="s">
        <v>66</v>
      </c>
      <c r="AR415">
        <v>0</v>
      </c>
      <c r="AS415" t="s">
        <v>66</v>
      </c>
      <c r="AT415">
        <v>0</v>
      </c>
      <c r="AU415" t="s">
        <v>66</v>
      </c>
      <c r="AV415">
        <v>0</v>
      </c>
      <c r="AW415" t="s">
        <v>66</v>
      </c>
      <c r="AX415">
        <v>0</v>
      </c>
      <c r="AY415" t="s">
        <v>66</v>
      </c>
      <c r="AZ415">
        <v>0</v>
      </c>
      <c r="BA415" t="s">
        <v>66</v>
      </c>
      <c r="BB415">
        <v>0</v>
      </c>
      <c r="BC415">
        <v>0</v>
      </c>
      <c r="BD415">
        <v>509063.76</v>
      </c>
      <c r="BE415">
        <v>17290.14</v>
      </c>
      <c r="BF415">
        <v>0</v>
      </c>
      <c r="BG415" t="s">
        <v>87</v>
      </c>
      <c r="BH415" t="s">
        <v>66</v>
      </c>
      <c r="BI415">
        <v>0</v>
      </c>
      <c r="BJ415" t="s">
        <v>66</v>
      </c>
      <c r="BK415" t="s">
        <v>88</v>
      </c>
      <c r="BL415" t="s">
        <v>66</v>
      </c>
      <c r="BM415" t="s">
        <v>159</v>
      </c>
    </row>
    <row r="416" spans="1:65" x14ac:dyDescent="0.25">
      <c r="A416">
        <v>414</v>
      </c>
      <c r="B416" t="s">
        <v>818</v>
      </c>
      <c r="C416" t="s">
        <v>66</v>
      </c>
      <c r="D416" s="1">
        <v>46207</v>
      </c>
      <c r="E416" t="s">
        <v>819</v>
      </c>
      <c r="F416" t="s">
        <v>68</v>
      </c>
      <c r="G416" t="s">
        <v>69</v>
      </c>
      <c r="H416" t="s">
        <v>70</v>
      </c>
      <c r="I416" t="s">
        <v>71</v>
      </c>
      <c r="J416" t="s">
        <v>72</v>
      </c>
      <c r="K416" t="s">
        <v>73</v>
      </c>
      <c r="L416" t="s">
        <v>74</v>
      </c>
      <c r="M416" t="s">
        <v>820</v>
      </c>
      <c r="N416" t="s">
        <v>111</v>
      </c>
      <c r="O416" t="s">
        <v>821</v>
      </c>
      <c r="P416" t="s">
        <v>822</v>
      </c>
      <c r="Q416" t="s">
        <v>823</v>
      </c>
      <c r="R416" s="1">
        <v>46210</v>
      </c>
      <c r="S416" t="s">
        <v>824</v>
      </c>
      <c r="T416" t="s">
        <v>825</v>
      </c>
      <c r="U416" t="s">
        <v>826</v>
      </c>
      <c r="V416" t="s">
        <v>66</v>
      </c>
      <c r="W416" t="s">
        <v>66</v>
      </c>
      <c r="X416">
        <v>6351674</v>
      </c>
      <c r="Y416">
        <v>698684.14</v>
      </c>
      <c r="Z416">
        <v>458616</v>
      </c>
      <c r="AA416">
        <v>50447.76</v>
      </c>
      <c r="AB416">
        <v>7050358.1399999997</v>
      </c>
      <c r="AC416">
        <v>1</v>
      </c>
      <c r="AD416" t="s">
        <v>134</v>
      </c>
      <c r="AE416">
        <v>24</v>
      </c>
      <c r="AF416" t="s">
        <v>470</v>
      </c>
      <c r="AG416">
        <f>IFERROR(VLOOKUP(AF416,[1]STOK!J:O,6,0),"")</f>
        <v>24</v>
      </c>
      <c r="AH416" s="2">
        <f t="shared" si="12"/>
        <v>1</v>
      </c>
      <c r="AI416" t="s">
        <v>470</v>
      </c>
      <c r="AJ416" t="s">
        <v>471</v>
      </c>
      <c r="AK416" t="s">
        <v>472</v>
      </c>
      <c r="AL416" t="s">
        <v>86</v>
      </c>
      <c r="AM416">
        <v>516816</v>
      </c>
      <c r="AN416">
        <f t="shared" si="13"/>
        <v>509063.76</v>
      </c>
      <c r="AO416" t="s">
        <v>66</v>
      </c>
      <c r="AP416">
        <v>1.5</v>
      </c>
      <c r="AQ416" t="s">
        <v>66</v>
      </c>
      <c r="AR416">
        <v>0</v>
      </c>
      <c r="AS416" t="s">
        <v>66</v>
      </c>
      <c r="AT416">
        <v>0</v>
      </c>
      <c r="AU416" t="s">
        <v>66</v>
      </c>
      <c r="AV416">
        <v>0</v>
      </c>
      <c r="AW416" t="s">
        <v>66</v>
      </c>
      <c r="AX416">
        <v>0</v>
      </c>
      <c r="AY416" t="s">
        <v>66</v>
      </c>
      <c r="AZ416">
        <v>0</v>
      </c>
      <c r="BA416" t="s">
        <v>66</v>
      </c>
      <c r="BB416">
        <v>0</v>
      </c>
      <c r="BC416">
        <v>0</v>
      </c>
      <c r="BD416">
        <v>509063.76</v>
      </c>
      <c r="BE416">
        <v>17421.95</v>
      </c>
      <c r="BF416">
        <v>0</v>
      </c>
      <c r="BG416" t="s">
        <v>87</v>
      </c>
      <c r="BH416" t="s">
        <v>66</v>
      </c>
      <c r="BI416">
        <v>0</v>
      </c>
      <c r="BJ416" t="s">
        <v>66</v>
      </c>
      <c r="BK416" t="s">
        <v>88</v>
      </c>
      <c r="BL416" t="s">
        <v>66</v>
      </c>
      <c r="BM416" t="s">
        <v>159</v>
      </c>
    </row>
    <row r="417" spans="1:65" x14ac:dyDescent="0.25">
      <c r="A417">
        <v>415</v>
      </c>
      <c r="B417" t="s">
        <v>818</v>
      </c>
      <c r="C417" t="s">
        <v>66</v>
      </c>
      <c r="D417" s="1">
        <v>46207</v>
      </c>
      <c r="E417" t="s">
        <v>819</v>
      </c>
      <c r="F417" t="s">
        <v>68</v>
      </c>
      <c r="G417" t="s">
        <v>69</v>
      </c>
      <c r="H417" t="s">
        <v>70</v>
      </c>
      <c r="I417" t="s">
        <v>71</v>
      </c>
      <c r="J417" t="s">
        <v>72</v>
      </c>
      <c r="K417" t="s">
        <v>73</v>
      </c>
      <c r="L417" t="s">
        <v>74</v>
      </c>
      <c r="M417" t="s">
        <v>820</v>
      </c>
      <c r="N417" t="s">
        <v>111</v>
      </c>
      <c r="O417" t="s">
        <v>821</v>
      </c>
      <c r="P417" t="s">
        <v>822</v>
      </c>
      <c r="Q417" t="s">
        <v>823</v>
      </c>
      <c r="R417" s="1">
        <v>46210</v>
      </c>
      <c r="S417" t="s">
        <v>824</v>
      </c>
      <c r="T417" t="s">
        <v>825</v>
      </c>
      <c r="U417" t="s">
        <v>826</v>
      </c>
      <c r="V417" t="s">
        <v>66</v>
      </c>
      <c r="W417" t="s">
        <v>66</v>
      </c>
      <c r="X417">
        <v>6351674</v>
      </c>
      <c r="Y417">
        <v>698684.14</v>
      </c>
      <c r="Z417">
        <v>75057</v>
      </c>
      <c r="AA417">
        <v>8256.27</v>
      </c>
      <c r="AB417">
        <v>7050358.1399999997</v>
      </c>
      <c r="AC417">
        <v>6</v>
      </c>
      <c r="AD417" t="s">
        <v>82</v>
      </c>
      <c r="AE417">
        <v>6</v>
      </c>
      <c r="AF417" t="s">
        <v>827</v>
      </c>
      <c r="AG417">
        <f>IFERROR(VLOOKUP(AF417,[1]STOK!J:O,6,0),"")</f>
        <v>12</v>
      </c>
      <c r="AH417" s="2">
        <f t="shared" si="12"/>
        <v>0.5</v>
      </c>
      <c r="AI417" t="s">
        <v>827</v>
      </c>
      <c r="AJ417" t="s">
        <v>828</v>
      </c>
      <c r="AK417" t="s">
        <v>829</v>
      </c>
      <c r="AL417" t="s">
        <v>86</v>
      </c>
      <c r="AM417">
        <v>14097</v>
      </c>
      <c r="AN417">
        <f t="shared" si="13"/>
        <v>13885.545</v>
      </c>
      <c r="AO417" t="s">
        <v>66</v>
      </c>
      <c r="AP417">
        <v>1.5</v>
      </c>
      <c r="AQ417" t="s">
        <v>66</v>
      </c>
      <c r="AR417">
        <v>0</v>
      </c>
      <c r="AS417" t="s">
        <v>66</v>
      </c>
      <c r="AT417">
        <v>0</v>
      </c>
      <c r="AU417" t="s">
        <v>66</v>
      </c>
      <c r="AV417">
        <v>0</v>
      </c>
      <c r="AW417" t="s">
        <v>66</v>
      </c>
      <c r="AX417">
        <v>0</v>
      </c>
      <c r="AY417" t="s">
        <v>66</v>
      </c>
      <c r="AZ417">
        <v>0</v>
      </c>
      <c r="BA417" t="s">
        <v>66</v>
      </c>
      <c r="BB417">
        <v>0</v>
      </c>
      <c r="BC417">
        <v>0</v>
      </c>
      <c r="BD417">
        <v>83313.27</v>
      </c>
      <c r="BE417">
        <v>11428.88</v>
      </c>
      <c r="BF417">
        <v>0</v>
      </c>
      <c r="BG417" t="s">
        <v>87</v>
      </c>
      <c r="BH417" t="s">
        <v>66</v>
      </c>
      <c r="BI417">
        <v>0</v>
      </c>
      <c r="BJ417" t="s">
        <v>66</v>
      </c>
      <c r="BK417" t="s">
        <v>88</v>
      </c>
      <c r="BL417" t="s">
        <v>66</v>
      </c>
      <c r="BM417" t="s">
        <v>159</v>
      </c>
    </row>
    <row r="418" spans="1:65" x14ac:dyDescent="0.25">
      <c r="A418">
        <v>416</v>
      </c>
      <c r="B418" t="s">
        <v>818</v>
      </c>
      <c r="C418" t="s">
        <v>66</v>
      </c>
      <c r="D418" s="1">
        <v>46207</v>
      </c>
      <c r="E418" t="s">
        <v>819</v>
      </c>
      <c r="F418" t="s">
        <v>68</v>
      </c>
      <c r="G418" t="s">
        <v>69</v>
      </c>
      <c r="H418" t="s">
        <v>70</v>
      </c>
      <c r="I418" t="s">
        <v>71</v>
      </c>
      <c r="J418" t="s">
        <v>72</v>
      </c>
      <c r="K418" t="s">
        <v>73</v>
      </c>
      <c r="L418" t="s">
        <v>74</v>
      </c>
      <c r="M418" t="s">
        <v>820</v>
      </c>
      <c r="N418" t="s">
        <v>111</v>
      </c>
      <c r="O418" t="s">
        <v>821</v>
      </c>
      <c r="P418" t="s">
        <v>822</v>
      </c>
      <c r="Q418" t="s">
        <v>823</v>
      </c>
      <c r="R418" s="1">
        <v>46210</v>
      </c>
      <c r="S418" t="s">
        <v>824</v>
      </c>
      <c r="T418" t="s">
        <v>825</v>
      </c>
      <c r="U418" t="s">
        <v>826</v>
      </c>
      <c r="V418" t="s">
        <v>66</v>
      </c>
      <c r="W418" t="s">
        <v>66</v>
      </c>
      <c r="X418">
        <v>6351674</v>
      </c>
      <c r="Y418">
        <v>698684.14</v>
      </c>
      <c r="Z418">
        <v>75057</v>
      </c>
      <c r="AA418">
        <v>8256.27</v>
      </c>
      <c r="AB418">
        <v>7050358.1399999997</v>
      </c>
      <c r="AC418">
        <v>6</v>
      </c>
      <c r="AD418" t="s">
        <v>82</v>
      </c>
      <c r="AE418">
        <v>6</v>
      </c>
      <c r="AF418" t="s">
        <v>830</v>
      </c>
      <c r="AG418">
        <f>IFERROR(VLOOKUP(AF418,[1]STOK!J:O,6,0),"")</f>
        <v>12</v>
      </c>
      <c r="AH418" s="2">
        <f t="shared" si="12"/>
        <v>0.5</v>
      </c>
      <c r="AI418" t="s">
        <v>830</v>
      </c>
      <c r="AJ418" t="s">
        <v>831</v>
      </c>
      <c r="AK418" t="s">
        <v>832</v>
      </c>
      <c r="AL418" t="s">
        <v>86</v>
      </c>
      <c r="AM418">
        <v>14097</v>
      </c>
      <c r="AN418">
        <f t="shared" si="13"/>
        <v>13885.545</v>
      </c>
      <c r="AO418" t="s">
        <v>66</v>
      </c>
      <c r="AP418">
        <v>1.5</v>
      </c>
      <c r="AQ418" t="s">
        <v>66</v>
      </c>
      <c r="AR418">
        <v>0</v>
      </c>
      <c r="AS418" t="s">
        <v>66</v>
      </c>
      <c r="AT418">
        <v>0</v>
      </c>
      <c r="AU418" t="s">
        <v>66</v>
      </c>
      <c r="AV418">
        <v>0</v>
      </c>
      <c r="AW418" t="s">
        <v>66</v>
      </c>
      <c r="AX418">
        <v>0</v>
      </c>
      <c r="AY418" t="s">
        <v>66</v>
      </c>
      <c r="AZ418">
        <v>0</v>
      </c>
      <c r="BA418" t="s">
        <v>66</v>
      </c>
      <c r="BB418">
        <v>0</v>
      </c>
      <c r="BC418">
        <v>0</v>
      </c>
      <c r="BD418">
        <v>83313.27</v>
      </c>
      <c r="BE418">
        <v>10908.74</v>
      </c>
      <c r="BF418">
        <v>0</v>
      </c>
      <c r="BG418" t="s">
        <v>87</v>
      </c>
      <c r="BH418" t="s">
        <v>66</v>
      </c>
      <c r="BI418">
        <v>0</v>
      </c>
      <c r="BJ418" t="s">
        <v>66</v>
      </c>
      <c r="BK418" t="s">
        <v>88</v>
      </c>
      <c r="BL418" t="s">
        <v>66</v>
      </c>
      <c r="BM418" t="s">
        <v>159</v>
      </c>
    </row>
    <row r="419" spans="1:65" x14ac:dyDescent="0.25">
      <c r="A419">
        <v>417</v>
      </c>
      <c r="B419" t="s">
        <v>818</v>
      </c>
      <c r="C419" t="s">
        <v>66</v>
      </c>
      <c r="D419" s="1">
        <v>46207</v>
      </c>
      <c r="E419" t="s">
        <v>819</v>
      </c>
      <c r="F419" t="s">
        <v>68</v>
      </c>
      <c r="G419" t="s">
        <v>69</v>
      </c>
      <c r="H419" t="s">
        <v>70</v>
      </c>
      <c r="I419" t="s">
        <v>71</v>
      </c>
      <c r="J419" t="s">
        <v>72</v>
      </c>
      <c r="K419" t="s">
        <v>73</v>
      </c>
      <c r="L419" t="s">
        <v>74</v>
      </c>
      <c r="M419" t="s">
        <v>820</v>
      </c>
      <c r="N419" t="s">
        <v>111</v>
      </c>
      <c r="O419" t="s">
        <v>821</v>
      </c>
      <c r="P419" t="s">
        <v>822</v>
      </c>
      <c r="Q419" t="s">
        <v>823</v>
      </c>
      <c r="R419" s="1">
        <v>46210</v>
      </c>
      <c r="S419" t="s">
        <v>824</v>
      </c>
      <c r="T419" t="s">
        <v>825</v>
      </c>
      <c r="U419" t="s">
        <v>826</v>
      </c>
      <c r="V419" t="s">
        <v>66</v>
      </c>
      <c r="W419" t="s">
        <v>66</v>
      </c>
      <c r="X419">
        <v>6351674</v>
      </c>
      <c r="Y419">
        <v>698684.14</v>
      </c>
      <c r="Z419">
        <v>953874</v>
      </c>
      <c r="AA419">
        <v>104926.14</v>
      </c>
      <c r="AB419">
        <v>7050358.1399999997</v>
      </c>
      <c r="AC419">
        <v>3</v>
      </c>
      <c r="AD419" t="s">
        <v>134</v>
      </c>
      <c r="AE419">
        <v>18</v>
      </c>
      <c r="AF419" t="s">
        <v>528</v>
      </c>
      <c r="AG419">
        <f>IFERROR(VLOOKUP(AF419,[1]STOK!J:O,6,0),"")</f>
        <v>6</v>
      </c>
      <c r="AH419" s="2">
        <f t="shared" si="12"/>
        <v>3</v>
      </c>
      <c r="AI419" t="s">
        <v>528</v>
      </c>
      <c r="AJ419" t="s">
        <v>529</v>
      </c>
      <c r="AK419" t="s">
        <v>530</v>
      </c>
      <c r="AL419" t="s">
        <v>86</v>
      </c>
      <c r="AM419">
        <v>358308</v>
      </c>
      <c r="AN419">
        <f t="shared" si="13"/>
        <v>352933.37999999995</v>
      </c>
      <c r="AO419" t="s">
        <v>66</v>
      </c>
      <c r="AP419">
        <v>1.5</v>
      </c>
      <c r="AQ419" t="s">
        <v>66</v>
      </c>
      <c r="AR419">
        <v>0</v>
      </c>
      <c r="AS419" t="s">
        <v>66</v>
      </c>
      <c r="AT419">
        <v>0</v>
      </c>
      <c r="AU419" t="s">
        <v>66</v>
      </c>
      <c r="AV419">
        <v>0</v>
      </c>
      <c r="AW419" t="s">
        <v>66</v>
      </c>
      <c r="AX419">
        <v>0</v>
      </c>
      <c r="AY419" t="s">
        <v>66</v>
      </c>
      <c r="AZ419">
        <v>0</v>
      </c>
      <c r="BA419" t="s">
        <v>66</v>
      </c>
      <c r="BB419">
        <v>0</v>
      </c>
      <c r="BC419">
        <v>0</v>
      </c>
      <c r="BD419">
        <v>1058800.1399999999</v>
      </c>
      <c r="BE419">
        <v>48615.15</v>
      </c>
      <c r="BF419">
        <v>0</v>
      </c>
      <c r="BG419" t="s">
        <v>87</v>
      </c>
      <c r="BH419" t="s">
        <v>66</v>
      </c>
      <c r="BI419">
        <v>0</v>
      </c>
      <c r="BJ419" t="s">
        <v>66</v>
      </c>
      <c r="BK419" t="s">
        <v>88</v>
      </c>
      <c r="BL419" t="s">
        <v>66</v>
      </c>
      <c r="BM419" t="s">
        <v>159</v>
      </c>
    </row>
    <row r="420" spans="1:65" x14ac:dyDescent="0.25">
      <c r="A420">
        <v>418</v>
      </c>
      <c r="B420" t="s">
        <v>818</v>
      </c>
      <c r="C420" t="s">
        <v>66</v>
      </c>
      <c r="D420" s="1">
        <v>46207</v>
      </c>
      <c r="E420" t="s">
        <v>819</v>
      </c>
      <c r="F420" t="s">
        <v>68</v>
      </c>
      <c r="G420" t="s">
        <v>69</v>
      </c>
      <c r="H420" t="s">
        <v>70</v>
      </c>
      <c r="I420" t="s">
        <v>71</v>
      </c>
      <c r="J420" t="s">
        <v>72</v>
      </c>
      <c r="K420" t="s">
        <v>73</v>
      </c>
      <c r="L420" t="s">
        <v>74</v>
      </c>
      <c r="M420" t="s">
        <v>820</v>
      </c>
      <c r="N420" t="s">
        <v>111</v>
      </c>
      <c r="O420" t="s">
        <v>821</v>
      </c>
      <c r="P420" t="s">
        <v>822</v>
      </c>
      <c r="Q420" t="s">
        <v>823</v>
      </c>
      <c r="R420" s="1">
        <v>46210</v>
      </c>
      <c r="S420" t="s">
        <v>824</v>
      </c>
      <c r="T420" t="s">
        <v>825</v>
      </c>
      <c r="U420" t="s">
        <v>826</v>
      </c>
      <c r="V420" t="s">
        <v>66</v>
      </c>
      <c r="W420" t="s">
        <v>66</v>
      </c>
      <c r="X420">
        <v>6351674</v>
      </c>
      <c r="Y420">
        <v>698684.14</v>
      </c>
      <c r="Z420">
        <v>415276</v>
      </c>
      <c r="AA420">
        <v>45680.36</v>
      </c>
      <c r="AB420">
        <v>7050358.1399999997</v>
      </c>
      <c r="AC420">
        <v>1</v>
      </c>
      <c r="AD420" t="s">
        <v>134</v>
      </c>
      <c r="AE420">
        <v>4</v>
      </c>
      <c r="AF420" t="s">
        <v>833</v>
      </c>
      <c r="AG420">
        <f>IFERROR(VLOOKUP(AF420,[1]STOK!J:O,6,0),"")</f>
        <v>4</v>
      </c>
      <c r="AH420" s="2">
        <f t="shared" si="12"/>
        <v>1</v>
      </c>
      <c r="AI420" t="s">
        <v>833</v>
      </c>
      <c r="AJ420" t="s">
        <v>834</v>
      </c>
      <c r="AK420" t="s">
        <v>835</v>
      </c>
      <c r="AL420" t="s">
        <v>86</v>
      </c>
      <c r="AM420">
        <v>467976</v>
      </c>
      <c r="AN420">
        <f t="shared" si="13"/>
        <v>460956.36</v>
      </c>
      <c r="AO420" t="s">
        <v>66</v>
      </c>
      <c r="AP420">
        <v>1.5</v>
      </c>
      <c r="AQ420" t="s">
        <v>66</v>
      </c>
      <c r="AR420">
        <v>0</v>
      </c>
      <c r="AS420" t="s">
        <v>66</v>
      </c>
      <c r="AT420">
        <v>0</v>
      </c>
      <c r="AU420" t="s">
        <v>66</v>
      </c>
      <c r="AV420">
        <v>0</v>
      </c>
      <c r="AW420" t="s">
        <v>66</v>
      </c>
      <c r="AX420">
        <v>0</v>
      </c>
      <c r="AY420" t="s">
        <v>66</v>
      </c>
      <c r="AZ420">
        <v>0</v>
      </c>
      <c r="BA420" t="s">
        <v>66</v>
      </c>
      <c r="BB420">
        <v>0</v>
      </c>
      <c r="BC420">
        <v>0</v>
      </c>
      <c r="BD420">
        <v>460956.36</v>
      </c>
      <c r="BE420">
        <v>88913.57</v>
      </c>
      <c r="BF420">
        <v>0</v>
      </c>
      <c r="BG420" t="s">
        <v>87</v>
      </c>
      <c r="BH420" t="s">
        <v>66</v>
      </c>
      <c r="BI420">
        <v>0</v>
      </c>
      <c r="BJ420" t="s">
        <v>66</v>
      </c>
      <c r="BK420" t="s">
        <v>88</v>
      </c>
      <c r="BL420" t="s">
        <v>66</v>
      </c>
      <c r="BM420" t="s">
        <v>159</v>
      </c>
    </row>
    <row r="421" spans="1:65" x14ac:dyDescent="0.25">
      <c r="A421">
        <v>419</v>
      </c>
      <c r="B421" t="s">
        <v>818</v>
      </c>
      <c r="C421" t="s">
        <v>66</v>
      </c>
      <c r="D421" s="1">
        <v>46207</v>
      </c>
      <c r="E421" t="s">
        <v>819</v>
      </c>
      <c r="F421" t="s">
        <v>68</v>
      </c>
      <c r="G421" t="s">
        <v>69</v>
      </c>
      <c r="H421" t="s">
        <v>70</v>
      </c>
      <c r="I421" t="s">
        <v>71</v>
      </c>
      <c r="J421" t="s">
        <v>72</v>
      </c>
      <c r="K421" t="s">
        <v>73</v>
      </c>
      <c r="L421" t="s">
        <v>74</v>
      </c>
      <c r="M421" t="s">
        <v>820</v>
      </c>
      <c r="N421" t="s">
        <v>111</v>
      </c>
      <c r="O421" t="s">
        <v>821</v>
      </c>
      <c r="P421" t="s">
        <v>822</v>
      </c>
      <c r="Q421" t="s">
        <v>823</v>
      </c>
      <c r="R421" s="1">
        <v>46210</v>
      </c>
      <c r="S421" t="s">
        <v>824</v>
      </c>
      <c r="T421" t="s">
        <v>825</v>
      </c>
      <c r="U421" t="s">
        <v>826</v>
      </c>
      <c r="V421" t="s">
        <v>66</v>
      </c>
      <c r="W421" t="s">
        <v>66</v>
      </c>
      <c r="X421">
        <v>6351674</v>
      </c>
      <c r="Y421">
        <v>698684.14</v>
      </c>
      <c r="Z421">
        <v>157206</v>
      </c>
      <c r="AA421">
        <v>17292.66</v>
      </c>
      <c r="AB421">
        <v>7050358.1399999997</v>
      </c>
      <c r="AC421">
        <v>1</v>
      </c>
      <c r="AD421" t="s">
        <v>134</v>
      </c>
      <c r="AE421">
        <v>12</v>
      </c>
      <c r="AF421" t="s">
        <v>135</v>
      </c>
      <c r="AG421">
        <f>IFERROR(VLOOKUP(AF421,[1]STOK!J:O,6,0),"")</f>
        <v>12</v>
      </c>
      <c r="AH421" s="2">
        <f t="shared" si="12"/>
        <v>1</v>
      </c>
      <c r="AI421" t="s">
        <v>135</v>
      </c>
      <c r="AJ421" t="s">
        <v>136</v>
      </c>
      <c r="AK421" t="s">
        <v>137</v>
      </c>
      <c r="AL421" t="s">
        <v>86</v>
      </c>
      <c r="AM421">
        <v>177156</v>
      </c>
      <c r="AN421">
        <f t="shared" si="13"/>
        <v>174498.66</v>
      </c>
      <c r="AO421" t="s">
        <v>66</v>
      </c>
      <c r="AP421">
        <v>1.5</v>
      </c>
      <c r="AQ421" t="s">
        <v>66</v>
      </c>
      <c r="AR421">
        <v>0</v>
      </c>
      <c r="AS421" t="s">
        <v>66</v>
      </c>
      <c r="AT421">
        <v>0</v>
      </c>
      <c r="AU421" t="s">
        <v>66</v>
      </c>
      <c r="AV421">
        <v>0</v>
      </c>
      <c r="AW421" t="s">
        <v>66</v>
      </c>
      <c r="AX421">
        <v>0</v>
      </c>
      <c r="AY421" t="s">
        <v>66</v>
      </c>
      <c r="AZ421">
        <v>0</v>
      </c>
      <c r="BA421" t="s">
        <v>66</v>
      </c>
      <c r="BB421">
        <v>0</v>
      </c>
      <c r="BC421">
        <v>0</v>
      </c>
      <c r="BD421">
        <v>174498.66</v>
      </c>
      <c r="BE421">
        <v>12026.74</v>
      </c>
      <c r="BF421">
        <v>0</v>
      </c>
      <c r="BG421" t="s">
        <v>87</v>
      </c>
      <c r="BH421" t="s">
        <v>66</v>
      </c>
      <c r="BI421">
        <v>0</v>
      </c>
      <c r="BJ421" t="s">
        <v>66</v>
      </c>
      <c r="BK421" t="s">
        <v>88</v>
      </c>
      <c r="BL421" t="s">
        <v>66</v>
      </c>
      <c r="BM421" t="s">
        <v>159</v>
      </c>
    </row>
    <row r="422" spans="1:65" x14ac:dyDescent="0.25">
      <c r="A422">
        <v>420</v>
      </c>
      <c r="B422" t="s">
        <v>818</v>
      </c>
      <c r="C422" t="s">
        <v>66</v>
      </c>
      <c r="D422" s="1">
        <v>46207</v>
      </c>
      <c r="E422" t="s">
        <v>819</v>
      </c>
      <c r="F422" t="s">
        <v>68</v>
      </c>
      <c r="G422" t="s">
        <v>69</v>
      </c>
      <c r="H422" t="s">
        <v>70</v>
      </c>
      <c r="I422" t="s">
        <v>71</v>
      </c>
      <c r="J422" t="s">
        <v>72</v>
      </c>
      <c r="K422" t="s">
        <v>73</v>
      </c>
      <c r="L422" t="s">
        <v>74</v>
      </c>
      <c r="M422" t="s">
        <v>820</v>
      </c>
      <c r="N422" t="s">
        <v>111</v>
      </c>
      <c r="O422" t="s">
        <v>821</v>
      </c>
      <c r="P422" t="s">
        <v>822</v>
      </c>
      <c r="Q422" t="s">
        <v>823</v>
      </c>
      <c r="R422" s="1">
        <v>46210</v>
      </c>
      <c r="S422" t="s">
        <v>824</v>
      </c>
      <c r="T422" t="s">
        <v>825</v>
      </c>
      <c r="U422" t="s">
        <v>826</v>
      </c>
      <c r="V422" t="s">
        <v>66</v>
      </c>
      <c r="W422" t="s">
        <v>66</v>
      </c>
      <c r="X422">
        <v>6351674</v>
      </c>
      <c r="Y422">
        <v>698684.14</v>
      </c>
      <c r="Z422">
        <v>709200</v>
      </c>
      <c r="AA422">
        <v>78012</v>
      </c>
      <c r="AB422">
        <v>7050358.1399999997</v>
      </c>
      <c r="AC422">
        <v>3</v>
      </c>
      <c r="AD422" t="s">
        <v>134</v>
      </c>
      <c r="AE422">
        <v>36</v>
      </c>
      <c r="AF422" t="s">
        <v>290</v>
      </c>
      <c r="AG422">
        <f>IFERROR(VLOOKUP(AF422,[1]STOK!J:O,6,0),"")</f>
        <v>12</v>
      </c>
      <c r="AH422" s="2">
        <f t="shared" si="12"/>
        <v>3</v>
      </c>
      <c r="AI422" t="s">
        <v>290</v>
      </c>
      <c r="AJ422" t="s">
        <v>291</v>
      </c>
      <c r="AK422" t="s">
        <v>292</v>
      </c>
      <c r="AL422" t="s">
        <v>86</v>
      </c>
      <c r="AM422">
        <v>266400</v>
      </c>
      <c r="AN422">
        <f t="shared" si="13"/>
        <v>262404</v>
      </c>
      <c r="AO422" t="s">
        <v>66</v>
      </c>
      <c r="AP422">
        <v>1.5</v>
      </c>
      <c r="AQ422" t="s">
        <v>66</v>
      </c>
      <c r="AR422">
        <v>0</v>
      </c>
      <c r="AS422" t="s">
        <v>66</v>
      </c>
      <c r="AT422">
        <v>0</v>
      </c>
      <c r="AU422" t="s">
        <v>66</v>
      </c>
      <c r="AV422">
        <v>0</v>
      </c>
      <c r="AW422" t="s">
        <v>66</v>
      </c>
      <c r="AX422">
        <v>0</v>
      </c>
      <c r="AY422" t="s">
        <v>66</v>
      </c>
      <c r="AZ422">
        <v>0</v>
      </c>
      <c r="BA422" t="s">
        <v>66</v>
      </c>
      <c r="BB422">
        <v>0</v>
      </c>
      <c r="BC422">
        <v>0</v>
      </c>
      <c r="BD422">
        <v>787212</v>
      </c>
      <c r="BE422">
        <v>18106.89</v>
      </c>
      <c r="BF422">
        <v>0</v>
      </c>
      <c r="BG422" t="s">
        <v>87</v>
      </c>
      <c r="BH422" t="s">
        <v>66</v>
      </c>
      <c r="BI422">
        <v>0</v>
      </c>
      <c r="BJ422" t="s">
        <v>66</v>
      </c>
      <c r="BK422" t="s">
        <v>88</v>
      </c>
      <c r="BL422" t="s">
        <v>66</v>
      </c>
      <c r="BM422" t="s">
        <v>159</v>
      </c>
    </row>
    <row r="423" spans="1:65" x14ac:dyDescent="0.25">
      <c r="A423">
        <v>421</v>
      </c>
      <c r="B423" t="s">
        <v>818</v>
      </c>
      <c r="C423" t="s">
        <v>66</v>
      </c>
      <c r="D423" s="1">
        <v>46207</v>
      </c>
      <c r="E423" t="s">
        <v>819</v>
      </c>
      <c r="F423" t="s">
        <v>68</v>
      </c>
      <c r="G423" t="s">
        <v>69</v>
      </c>
      <c r="H423" t="s">
        <v>70</v>
      </c>
      <c r="I423" t="s">
        <v>71</v>
      </c>
      <c r="J423" t="s">
        <v>72</v>
      </c>
      <c r="K423" t="s">
        <v>73</v>
      </c>
      <c r="L423" t="s">
        <v>74</v>
      </c>
      <c r="M423" t="s">
        <v>820</v>
      </c>
      <c r="N423" t="s">
        <v>111</v>
      </c>
      <c r="O423" t="s">
        <v>821</v>
      </c>
      <c r="P423" t="s">
        <v>822</v>
      </c>
      <c r="Q423" t="s">
        <v>823</v>
      </c>
      <c r="R423" s="1">
        <v>46210</v>
      </c>
      <c r="S423" t="s">
        <v>824</v>
      </c>
      <c r="T423" t="s">
        <v>825</v>
      </c>
      <c r="U423" t="s">
        <v>826</v>
      </c>
      <c r="V423" t="s">
        <v>66</v>
      </c>
      <c r="W423" t="s">
        <v>66</v>
      </c>
      <c r="X423">
        <v>6351674</v>
      </c>
      <c r="Y423">
        <v>698684.14</v>
      </c>
      <c r="Z423">
        <v>452706</v>
      </c>
      <c r="AA423">
        <v>49797.66</v>
      </c>
      <c r="AB423">
        <v>7050358.1399999997</v>
      </c>
      <c r="AC423">
        <v>2</v>
      </c>
      <c r="AD423" t="s">
        <v>134</v>
      </c>
      <c r="AE423">
        <v>12</v>
      </c>
      <c r="AF423" t="s">
        <v>138</v>
      </c>
      <c r="AG423">
        <f>IFERROR(VLOOKUP(AF423,[1]STOK!J:O,6,0),"")</f>
        <v>6</v>
      </c>
      <c r="AH423" s="2">
        <f t="shared" si="12"/>
        <v>2</v>
      </c>
      <c r="AI423" t="s">
        <v>138</v>
      </c>
      <c r="AJ423" t="s">
        <v>139</v>
      </c>
      <c r="AK423" t="s">
        <v>140</v>
      </c>
      <c r="AL423" t="s">
        <v>86</v>
      </c>
      <c r="AM423">
        <v>255078</v>
      </c>
      <c r="AN423">
        <f t="shared" si="13"/>
        <v>251251.83</v>
      </c>
      <c r="AO423" t="s">
        <v>66</v>
      </c>
      <c r="AP423">
        <v>1.5</v>
      </c>
      <c r="AQ423" t="s">
        <v>66</v>
      </c>
      <c r="AR423">
        <v>0</v>
      </c>
      <c r="AS423" t="s">
        <v>66</v>
      </c>
      <c r="AT423">
        <v>0</v>
      </c>
      <c r="AU423" t="s">
        <v>66</v>
      </c>
      <c r="AV423">
        <v>0</v>
      </c>
      <c r="AW423" t="s">
        <v>66</v>
      </c>
      <c r="AX423">
        <v>0</v>
      </c>
      <c r="AY423" t="s">
        <v>66</v>
      </c>
      <c r="AZ423">
        <v>0</v>
      </c>
      <c r="BA423" t="s">
        <v>66</v>
      </c>
      <c r="BB423">
        <v>0</v>
      </c>
      <c r="BC423">
        <v>0</v>
      </c>
      <c r="BD423">
        <v>502503.66</v>
      </c>
      <c r="BE423">
        <v>34660.32</v>
      </c>
      <c r="BF423">
        <v>0</v>
      </c>
      <c r="BG423" t="s">
        <v>87</v>
      </c>
      <c r="BH423" t="s">
        <v>66</v>
      </c>
      <c r="BI423">
        <v>0</v>
      </c>
      <c r="BJ423" t="s">
        <v>66</v>
      </c>
      <c r="BK423" t="s">
        <v>88</v>
      </c>
      <c r="BL423" t="s">
        <v>66</v>
      </c>
      <c r="BM423" t="s">
        <v>159</v>
      </c>
    </row>
    <row r="424" spans="1:65" x14ac:dyDescent="0.25">
      <c r="A424">
        <v>422</v>
      </c>
      <c r="B424" t="s">
        <v>836</v>
      </c>
      <c r="C424" t="s">
        <v>68</v>
      </c>
      <c r="D424" s="1">
        <v>46207</v>
      </c>
      <c r="E424" t="s">
        <v>837</v>
      </c>
      <c r="F424" t="s">
        <v>68</v>
      </c>
      <c r="G424" t="s">
        <v>295</v>
      </c>
      <c r="H424" t="s">
        <v>296</v>
      </c>
      <c r="I424" t="s">
        <v>71</v>
      </c>
      <c r="J424" t="s">
        <v>72</v>
      </c>
      <c r="K424" t="s">
        <v>73</v>
      </c>
      <c r="L424" t="s">
        <v>74</v>
      </c>
      <c r="M424" t="s">
        <v>838</v>
      </c>
      <c r="N424" t="s">
        <v>76</v>
      </c>
      <c r="O424" t="s">
        <v>839</v>
      </c>
      <c r="P424" t="s">
        <v>840</v>
      </c>
      <c r="Q424" t="s">
        <v>66</v>
      </c>
      <c r="R424" s="1">
        <v>46207</v>
      </c>
      <c r="S424" t="s">
        <v>841</v>
      </c>
      <c r="T424" t="s">
        <v>842</v>
      </c>
      <c r="U424" t="s">
        <v>843</v>
      </c>
      <c r="V424" t="s">
        <v>66</v>
      </c>
      <c r="W424" t="s">
        <v>66</v>
      </c>
      <c r="X424">
        <v>548898</v>
      </c>
      <c r="Y424">
        <v>60378.78</v>
      </c>
      <c r="Z424">
        <v>54096</v>
      </c>
      <c r="AA424">
        <v>5950.56</v>
      </c>
      <c r="AB424">
        <v>609276.78</v>
      </c>
      <c r="AC424">
        <v>3</v>
      </c>
      <c r="AD424" t="s">
        <v>82</v>
      </c>
      <c r="AE424">
        <v>3</v>
      </c>
      <c r="AF424" t="s">
        <v>116</v>
      </c>
      <c r="AG424">
        <f>IFERROR(VLOOKUP(AF424,[1]STOK!J:O,6,0),"")</f>
        <v>12</v>
      </c>
      <c r="AH424" s="2">
        <f t="shared" si="12"/>
        <v>0.25</v>
      </c>
      <c r="AI424" t="s">
        <v>116</v>
      </c>
      <c r="AJ424" t="s">
        <v>117</v>
      </c>
      <c r="AK424" t="s">
        <v>118</v>
      </c>
      <c r="AL424" t="s">
        <v>86</v>
      </c>
      <c r="AM424">
        <v>20424</v>
      </c>
      <c r="AN424">
        <f t="shared" si="13"/>
        <v>20015.52</v>
      </c>
      <c r="AO424" t="s">
        <v>66</v>
      </c>
      <c r="AP424">
        <v>2</v>
      </c>
      <c r="AQ424" t="s">
        <v>66</v>
      </c>
      <c r="AR424">
        <v>0</v>
      </c>
      <c r="AS424" t="s">
        <v>66</v>
      </c>
      <c r="AT424">
        <v>0</v>
      </c>
      <c r="AU424" t="s">
        <v>66</v>
      </c>
      <c r="AV424">
        <v>0</v>
      </c>
      <c r="AW424" t="s">
        <v>66</v>
      </c>
      <c r="AX424">
        <v>0</v>
      </c>
      <c r="AY424" t="s">
        <v>66</v>
      </c>
      <c r="AZ424">
        <v>0</v>
      </c>
      <c r="BA424" t="s">
        <v>66</v>
      </c>
      <c r="BB424">
        <v>0</v>
      </c>
      <c r="BC424">
        <v>0</v>
      </c>
      <c r="BD424">
        <v>60046.559999999998</v>
      </c>
      <c r="BE424">
        <v>16534.41</v>
      </c>
      <c r="BF424">
        <v>0</v>
      </c>
      <c r="BG424" t="s">
        <v>87</v>
      </c>
      <c r="BH424" t="s">
        <v>844</v>
      </c>
      <c r="BI424">
        <v>3</v>
      </c>
      <c r="BJ424" t="s">
        <v>158</v>
      </c>
      <c r="BK424" t="s">
        <v>88</v>
      </c>
      <c r="BL424" t="s">
        <v>719</v>
      </c>
      <c r="BM424" t="s">
        <v>159</v>
      </c>
    </row>
    <row r="425" spans="1:65" x14ac:dyDescent="0.25">
      <c r="A425">
        <v>423</v>
      </c>
      <c r="B425" t="s">
        <v>836</v>
      </c>
      <c r="C425" t="s">
        <v>68</v>
      </c>
      <c r="D425" s="1">
        <v>46207</v>
      </c>
      <c r="E425" t="s">
        <v>837</v>
      </c>
      <c r="F425" t="s">
        <v>68</v>
      </c>
      <c r="G425" t="s">
        <v>295</v>
      </c>
      <c r="H425" t="s">
        <v>296</v>
      </c>
      <c r="I425" t="s">
        <v>71</v>
      </c>
      <c r="J425" t="s">
        <v>72</v>
      </c>
      <c r="K425" t="s">
        <v>73</v>
      </c>
      <c r="L425" t="s">
        <v>74</v>
      </c>
      <c r="M425" t="s">
        <v>838</v>
      </c>
      <c r="N425" t="s">
        <v>76</v>
      </c>
      <c r="O425" t="s">
        <v>839</v>
      </c>
      <c r="P425" t="s">
        <v>840</v>
      </c>
      <c r="Q425" t="s">
        <v>66</v>
      </c>
      <c r="R425" s="1">
        <v>46207</v>
      </c>
      <c r="S425" t="s">
        <v>841</v>
      </c>
      <c r="T425" t="s">
        <v>842</v>
      </c>
      <c r="U425" t="s">
        <v>843</v>
      </c>
      <c r="V425" t="s">
        <v>66</v>
      </c>
      <c r="W425" t="s">
        <v>66</v>
      </c>
      <c r="X425">
        <v>548898</v>
      </c>
      <c r="Y425">
        <v>60378.78</v>
      </c>
      <c r="Z425">
        <v>21756</v>
      </c>
      <c r="AA425">
        <v>2393.16</v>
      </c>
      <c r="AB425">
        <v>609276.78</v>
      </c>
      <c r="AC425">
        <v>3</v>
      </c>
      <c r="AD425" t="s">
        <v>82</v>
      </c>
      <c r="AE425">
        <v>3</v>
      </c>
      <c r="AF425" t="s">
        <v>83</v>
      </c>
      <c r="AG425">
        <f>IFERROR(VLOOKUP(AF425,[1]STOK!J:O,6,0),"")</f>
        <v>24</v>
      </c>
      <c r="AH425" s="2">
        <f t="shared" si="12"/>
        <v>0.125</v>
      </c>
      <c r="AI425" t="s">
        <v>83</v>
      </c>
      <c r="AJ425" t="s">
        <v>84</v>
      </c>
      <c r="AK425" t="s">
        <v>85</v>
      </c>
      <c r="AL425" t="s">
        <v>86</v>
      </c>
      <c r="AM425">
        <v>8214</v>
      </c>
      <c r="AN425">
        <f t="shared" si="13"/>
        <v>8049.72</v>
      </c>
      <c r="AO425" t="s">
        <v>66</v>
      </c>
      <c r="AP425">
        <v>2</v>
      </c>
      <c r="AQ425" t="s">
        <v>66</v>
      </c>
      <c r="AR425">
        <v>0</v>
      </c>
      <c r="AS425" t="s">
        <v>66</v>
      </c>
      <c r="AT425">
        <v>0</v>
      </c>
      <c r="AU425" t="s">
        <v>66</v>
      </c>
      <c r="AV425">
        <v>0</v>
      </c>
      <c r="AW425" t="s">
        <v>66</v>
      </c>
      <c r="AX425">
        <v>0</v>
      </c>
      <c r="AY425" t="s">
        <v>66</v>
      </c>
      <c r="AZ425">
        <v>0</v>
      </c>
      <c r="BA425" t="s">
        <v>66</v>
      </c>
      <c r="BB425">
        <v>0</v>
      </c>
      <c r="BC425">
        <v>0</v>
      </c>
      <c r="BD425">
        <v>24149.16</v>
      </c>
      <c r="BE425">
        <v>6704.84</v>
      </c>
      <c r="BF425">
        <v>0</v>
      </c>
      <c r="BG425" t="s">
        <v>87</v>
      </c>
      <c r="BH425" t="s">
        <v>844</v>
      </c>
      <c r="BI425">
        <v>3</v>
      </c>
      <c r="BJ425" t="s">
        <v>158</v>
      </c>
      <c r="BK425" t="s">
        <v>88</v>
      </c>
      <c r="BL425" t="s">
        <v>719</v>
      </c>
      <c r="BM425" t="s">
        <v>159</v>
      </c>
    </row>
    <row r="426" spans="1:65" x14ac:dyDescent="0.25">
      <c r="A426">
        <v>424</v>
      </c>
      <c r="B426" t="s">
        <v>836</v>
      </c>
      <c r="C426" t="s">
        <v>68</v>
      </c>
      <c r="D426" s="1">
        <v>46207</v>
      </c>
      <c r="E426" t="s">
        <v>837</v>
      </c>
      <c r="F426" t="s">
        <v>68</v>
      </c>
      <c r="G426" t="s">
        <v>295</v>
      </c>
      <c r="H426" t="s">
        <v>296</v>
      </c>
      <c r="I426" t="s">
        <v>71</v>
      </c>
      <c r="J426" t="s">
        <v>72</v>
      </c>
      <c r="K426" t="s">
        <v>73</v>
      </c>
      <c r="L426" t="s">
        <v>74</v>
      </c>
      <c r="M426" t="s">
        <v>838</v>
      </c>
      <c r="N426" t="s">
        <v>76</v>
      </c>
      <c r="O426" t="s">
        <v>839</v>
      </c>
      <c r="P426" t="s">
        <v>840</v>
      </c>
      <c r="Q426" t="s">
        <v>66</v>
      </c>
      <c r="R426" s="1">
        <v>46207</v>
      </c>
      <c r="S426" t="s">
        <v>841</v>
      </c>
      <c r="T426" t="s">
        <v>842</v>
      </c>
      <c r="U426" t="s">
        <v>843</v>
      </c>
      <c r="V426" t="s">
        <v>66</v>
      </c>
      <c r="W426" t="s">
        <v>66</v>
      </c>
      <c r="X426">
        <v>548898</v>
      </c>
      <c r="Y426">
        <v>60378.78</v>
      </c>
      <c r="Z426">
        <v>58212</v>
      </c>
      <c r="AA426">
        <v>6403.32</v>
      </c>
      <c r="AB426">
        <v>609276.78</v>
      </c>
      <c r="AC426">
        <v>3</v>
      </c>
      <c r="AD426" t="s">
        <v>82</v>
      </c>
      <c r="AE426">
        <v>3</v>
      </c>
      <c r="AF426" t="s">
        <v>370</v>
      </c>
      <c r="AG426">
        <f>IFERROR(VLOOKUP(AF426,[1]STOK!J:O,6,0),"")</f>
        <v>12</v>
      </c>
      <c r="AH426" s="2">
        <f t="shared" si="12"/>
        <v>0.25</v>
      </c>
      <c r="AI426" t="s">
        <v>370</v>
      </c>
      <c r="AJ426" t="s">
        <v>371</v>
      </c>
      <c r="AK426" t="s">
        <v>372</v>
      </c>
      <c r="AL426" t="s">
        <v>86</v>
      </c>
      <c r="AM426">
        <v>21978</v>
      </c>
      <c r="AN426">
        <f t="shared" si="13"/>
        <v>21538.44</v>
      </c>
      <c r="AO426" t="s">
        <v>66</v>
      </c>
      <c r="AP426">
        <v>2</v>
      </c>
      <c r="AQ426" t="s">
        <v>66</v>
      </c>
      <c r="AR426">
        <v>0</v>
      </c>
      <c r="AS426" t="s">
        <v>66</v>
      </c>
      <c r="AT426">
        <v>0</v>
      </c>
      <c r="AU426" t="s">
        <v>66</v>
      </c>
      <c r="AV426">
        <v>0</v>
      </c>
      <c r="AW426" t="s">
        <v>66</v>
      </c>
      <c r="AX426">
        <v>0</v>
      </c>
      <c r="AY426" t="s">
        <v>66</v>
      </c>
      <c r="AZ426">
        <v>0</v>
      </c>
      <c r="BA426" t="s">
        <v>66</v>
      </c>
      <c r="BB426">
        <v>0</v>
      </c>
      <c r="BC426">
        <v>0</v>
      </c>
      <c r="BD426">
        <v>64615.32</v>
      </c>
      <c r="BE426">
        <v>17475.02</v>
      </c>
      <c r="BF426">
        <v>0</v>
      </c>
      <c r="BG426" t="s">
        <v>87</v>
      </c>
      <c r="BH426" t="s">
        <v>844</v>
      </c>
      <c r="BI426">
        <v>3</v>
      </c>
      <c r="BJ426" t="s">
        <v>158</v>
      </c>
      <c r="BK426" t="s">
        <v>88</v>
      </c>
      <c r="BL426" t="s">
        <v>719</v>
      </c>
      <c r="BM426" t="s">
        <v>159</v>
      </c>
    </row>
    <row r="427" spans="1:65" x14ac:dyDescent="0.25">
      <c r="A427">
        <v>425</v>
      </c>
      <c r="B427" t="s">
        <v>836</v>
      </c>
      <c r="C427" t="s">
        <v>68</v>
      </c>
      <c r="D427" s="1">
        <v>46207</v>
      </c>
      <c r="E427" t="s">
        <v>837</v>
      </c>
      <c r="F427" t="s">
        <v>68</v>
      </c>
      <c r="G427" t="s">
        <v>295</v>
      </c>
      <c r="H427" t="s">
        <v>296</v>
      </c>
      <c r="I427" t="s">
        <v>71</v>
      </c>
      <c r="J427" t="s">
        <v>72</v>
      </c>
      <c r="K427" t="s">
        <v>73</v>
      </c>
      <c r="L427" t="s">
        <v>74</v>
      </c>
      <c r="M427" t="s">
        <v>838</v>
      </c>
      <c r="N427" t="s">
        <v>76</v>
      </c>
      <c r="O427" t="s">
        <v>839</v>
      </c>
      <c r="P427" t="s">
        <v>840</v>
      </c>
      <c r="Q427" t="s">
        <v>66</v>
      </c>
      <c r="R427" s="1">
        <v>46207</v>
      </c>
      <c r="S427" t="s">
        <v>841</v>
      </c>
      <c r="T427" t="s">
        <v>842</v>
      </c>
      <c r="U427" t="s">
        <v>843</v>
      </c>
      <c r="V427" t="s">
        <v>66</v>
      </c>
      <c r="W427" t="s">
        <v>66</v>
      </c>
      <c r="X427">
        <v>548898</v>
      </c>
      <c r="Y427">
        <v>60378.78</v>
      </c>
      <c r="Z427">
        <v>43512</v>
      </c>
      <c r="AA427">
        <v>4786.32</v>
      </c>
      <c r="AB427">
        <v>609276.78</v>
      </c>
      <c r="AC427">
        <v>3</v>
      </c>
      <c r="AD427" t="s">
        <v>82</v>
      </c>
      <c r="AE427">
        <v>3</v>
      </c>
      <c r="AF427" t="s">
        <v>845</v>
      </c>
      <c r="AG427">
        <f>IFERROR(VLOOKUP(AF427,[1]STOK!J:O,6,0),"")</f>
        <v>12</v>
      </c>
      <c r="AH427" s="2">
        <f t="shared" si="12"/>
        <v>0.25</v>
      </c>
      <c r="AI427" t="s">
        <v>845</v>
      </c>
      <c r="AJ427" t="s">
        <v>846</v>
      </c>
      <c r="AK427" t="s">
        <v>847</v>
      </c>
      <c r="AL427" t="s">
        <v>86</v>
      </c>
      <c r="AM427">
        <v>16428</v>
      </c>
      <c r="AN427">
        <f t="shared" si="13"/>
        <v>16099.44</v>
      </c>
      <c r="AO427" t="s">
        <v>66</v>
      </c>
      <c r="AP427">
        <v>2</v>
      </c>
      <c r="AQ427" t="s">
        <v>66</v>
      </c>
      <c r="AR427">
        <v>0</v>
      </c>
      <c r="AS427" t="s">
        <v>66</v>
      </c>
      <c r="AT427">
        <v>0</v>
      </c>
      <c r="AU427" t="s">
        <v>66</v>
      </c>
      <c r="AV427">
        <v>0</v>
      </c>
      <c r="AW427" t="s">
        <v>66</v>
      </c>
      <c r="AX427">
        <v>0</v>
      </c>
      <c r="AY427" t="s">
        <v>66</v>
      </c>
      <c r="AZ427">
        <v>0</v>
      </c>
      <c r="BA427" t="s">
        <v>66</v>
      </c>
      <c r="BB427">
        <v>0</v>
      </c>
      <c r="BC427">
        <v>0</v>
      </c>
      <c r="BD427">
        <v>48298.32</v>
      </c>
      <c r="BE427">
        <v>13378.52</v>
      </c>
      <c r="BF427">
        <v>0</v>
      </c>
      <c r="BG427" t="s">
        <v>87</v>
      </c>
      <c r="BH427" t="s">
        <v>844</v>
      </c>
      <c r="BI427">
        <v>3</v>
      </c>
      <c r="BJ427" t="s">
        <v>158</v>
      </c>
      <c r="BK427" t="s">
        <v>88</v>
      </c>
      <c r="BL427" t="s">
        <v>719</v>
      </c>
      <c r="BM427" t="s">
        <v>159</v>
      </c>
    </row>
    <row r="428" spans="1:65" x14ac:dyDescent="0.25">
      <c r="A428">
        <v>426</v>
      </c>
      <c r="B428" t="s">
        <v>836</v>
      </c>
      <c r="C428" t="s">
        <v>68</v>
      </c>
      <c r="D428" s="1">
        <v>46207</v>
      </c>
      <c r="E428" t="s">
        <v>837</v>
      </c>
      <c r="F428" t="s">
        <v>68</v>
      </c>
      <c r="G428" t="s">
        <v>295</v>
      </c>
      <c r="H428" t="s">
        <v>296</v>
      </c>
      <c r="I428" t="s">
        <v>71</v>
      </c>
      <c r="J428" t="s">
        <v>72</v>
      </c>
      <c r="K428" t="s">
        <v>73</v>
      </c>
      <c r="L428" t="s">
        <v>74</v>
      </c>
      <c r="M428" t="s">
        <v>838</v>
      </c>
      <c r="N428" t="s">
        <v>76</v>
      </c>
      <c r="O428" t="s">
        <v>839</v>
      </c>
      <c r="P428" t="s">
        <v>840</v>
      </c>
      <c r="Q428" t="s">
        <v>66</v>
      </c>
      <c r="R428" s="1">
        <v>46207</v>
      </c>
      <c r="S428" t="s">
        <v>841</v>
      </c>
      <c r="T428" t="s">
        <v>842</v>
      </c>
      <c r="U428" t="s">
        <v>843</v>
      </c>
      <c r="V428" t="s">
        <v>66</v>
      </c>
      <c r="W428" t="s">
        <v>66</v>
      </c>
      <c r="X428">
        <v>548898</v>
      </c>
      <c r="Y428">
        <v>60378.78</v>
      </c>
      <c r="Z428">
        <v>29694</v>
      </c>
      <c r="AA428">
        <v>3266.34</v>
      </c>
      <c r="AB428">
        <v>609276.78</v>
      </c>
      <c r="AC428">
        <v>3</v>
      </c>
      <c r="AD428" t="s">
        <v>82</v>
      </c>
      <c r="AE428">
        <v>3</v>
      </c>
      <c r="AF428" t="s">
        <v>848</v>
      </c>
      <c r="AG428">
        <f>IFERROR(VLOOKUP(AF428,[1]STOK!J:O,6,0),"")</f>
        <v>24</v>
      </c>
      <c r="AH428" s="2">
        <f t="shared" si="12"/>
        <v>0.125</v>
      </c>
      <c r="AI428" t="s">
        <v>848</v>
      </c>
      <c r="AJ428" t="s">
        <v>849</v>
      </c>
      <c r="AK428" t="s">
        <v>850</v>
      </c>
      <c r="AL428" t="s">
        <v>86</v>
      </c>
      <c r="AM428">
        <v>11211</v>
      </c>
      <c r="AN428">
        <f t="shared" si="13"/>
        <v>10986.779999999999</v>
      </c>
      <c r="AO428" t="s">
        <v>66</v>
      </c>
      <c r="AP428">
        <v>2</v>
      </c>
      <c r="AQ428" t="s">
        <v>66</v>
      </c>
      <c r="AR428">
        <v>0</v>
      </c>
      <c r="AS428" t="s">
        <v>66</v>
      </c>
      <c r="AT428">
        <v>0</v>
      </c>
      <c r="AU428" t="s">
        <v>66</v>
      </c>
      <c r="AV428">
        <v>0</v>
      </c>
      <c r="AW428" t="s">
        <v>66</v>
      </c>
      <c r="AX428">
        <v>0</v>
      </c>
      <c r="AY428" t="s">
        <v>66</v>
      </c>
      <c r="AZ428">
        <v>0</v>
      </c>
      <c r="BA428" t="s">
        <v>66</v>
      </c>
      <c r="BB428">
        <v>0</v>
      </c>
      <c r="BC428">
        <v>0</v>
      </c>
      <c r="BD428">
        <v>32960.339999999997</v>
      </c>
      <c r="BE428">
        <v>9026.11</v>
      </c>
      <c r="BF428">
        <v>0</v>
      </c>
      <c r="BG428" t="s">
        <v>87</v>
      </c>
      <c r="BH428" t="s">
        <v>844</v>
      </c>
      <c r="BI428">
        <v>3</v>
      </c>
      <c r="BJ428" t="s">
        <v>158</v>
      </c>
      <c r="BK428" t="s">
        <v>88</v>
      </c>
      <c r="BL428" t="s">
        <v>719</v>
      </c>
      <c r="BM428" t="s">
        <v>159</v>
      </c>
    </row>
    <row r="429" spans="1:65" x14ac:dyDescent="0.25">
      <c r="A429">
        <v>427</v>
      </c>
      <c r="B429" t="s">
        <v>836</v>
      </c>
      <c r="C429" t="s">
        <v>68</v>
      </c>
      <c r="D429" s="1">
        <v>46207</v>
      </c>
      <c r="E429" t="s">
        <v>837</v>
      </c>
      <c r="F429" t="s">
        <v>68</v>
      </c>
      <c r="G429" t="s">
        <v>295</v>
      </c>
      <c r="H429" t="s">
        <v>296</v>
      </c>
      <c r="I429" t="s">
        <v>71</v>
      </c>
      <c r="J429" t="s">
        <v>72</v>
      </c>
      <c r="K429" t="s">
        <v>73</v>
      </c>
      <c r="L429" t="s">
        <v>74</v>
      </c>
      <c r="M429" t="s">
        <v>838</v>
      </c>
      <c r="N429" t="s">
        <v>76</v>
      </c>
      <c r="O429" t="s">
        <v>839</v>
      </c>
      <c r="P429" t="s">
        <v>840</v>
      </c>
      <c r="Q429" t="s">
        <v>66</v>
      </c>
      <c r="R429" s="1">
        <v>46207</v>
      </c>
      <c r="S429" t="s">
        <v>841</v>
      </c>
      <c r="T429" t="s">
        <v>842</v>
      </c>
      <c r="U429" t="s">
        <v>843</v>
      </c>
      <c r="V429" t="s">
        <v>66</v>
      </c>
      <c r="W429" t="s">
        <v>66</v>
      </c>
      <c r="X429">
        <v>548898</v>
      </c>
      <c r="Y429">
        <v>60378.78</v>
      </c>
      <c r="Z429">
        <v>23226</v>
      </c>
      <c r="AA429">
        <v>2554.86</v>
      </c>
      <c r="AB429">
        <v>609276.78</v>
      </c>
      <c r="AC429">
        <v>3</v>
      </c>
      <c r="AD429" t="s">
        <v>82</v>
      </c>
      <c r="AE429">
        <v>3</v>
      </c>
      <c r="AF429" t="s">
        <v>248</v>
      </c>
      <c r="AG429">
        <f>IFERROR(VLOOKUP(AF429,[1]STOK!J:O,6,0),"")</f>
        <v>24</v>
      </c>
      <c r="AH429" s="2">
        <f t="shared" si="12"/>
        <v>0.125</v>
      </c>
      <c r="AI429" t="s">
        <v>248</v>
      </c>
      <c r="AJ429" t="s">
        <v>249</v>
      </c>
      <c r="AK429" t="s">
        <v>250</v>
      </c>
      <c r="AL429" t="s">
        <v>86</v>
      </c>
      <c r="AM429">
        <v>8769</v>
      </c>
      <c r="AN429">
        <f t="shared" si="13"/>
        <v>8593.6200000000008</v>
      </c>
      <c r="AO429" t="s">
        <v>66</v>
      </c>
      <c r="AP429">
        <v>2</v>
      </c>
      <c r="AQ429" t="s">
        <v>66</v>
      </c>
      <c r="AR429">
        <v>0</v>
      </c>
      <c r="AS429" t="s">
        <v>66</v>
      </c>
      <c r="AT429">
        <v>0</v>
      </c>
      <c r="AU429" t="s">
        <v>66</v>
      </c>
      <c r="AV429">
        <v>0</v>
      </c>
      <c r="AW429" t="s">
        <v>66</v>
      </c>
      <c r="AX429">
        <v>0</v>
      </c>
      <c r="AY429" t="s">
        <v>66</v>
      </c>
      <c r="AZ429">
        <v>0</v>
      </c>
      <c r="BA429" t="s">
        <v>66</v>
      </c>
      <c r="BB429">
        <v>0</v>
      </c>
      <c r="BC429">
        <v>0</v>
      </c>
      <c r="BD429">
        <v>25780.86</v>
      </c>
      <c r="BE429">
        <v>7032.04</v>
      </c>
      <c r="BF429">
        <v>0</v>
      </c>
      <c r="BG429" t="s">
        <v>87</v>
      </c>
      <c r="BH429" t="s">
        <v>844</v>
      </c>
      <c r="BI429">
        <v>3</v>
      </c>
      <c r="BJ429" t="s">
        <v>158</v>
      </c>
      <c r="BK429" t="s">
        <v>88</v>
      </c>
      <c r="BL429" t="s">
        <v>719</v>
      </c>
      <c r="BM429" t="s">
        <v>159</v>
      </c>
    </row>
    <row r="430" spans="1:65" x14ac:dyDescent="0.25">
      <c r="A430">
        <v>428</v>
      </c>
      <c r="B430" t="s">
        <v>836</v>
      </c>
      <c r="C430" t="s">
        <v>68</v>
      </c>
      <c r="D430" s="1">
        <v>46207</v>
      </c>
      <c r="E430" t="s">
        <v>837</v>
      </c>
      <c r="F430" t="s">
        <v>68</v>
      </c>
      <c r="G430" t="s">
        <v>295</v>
      </c>
      <c r="H430" t="s">
        <v>296</v>
      </c>
      <c r="I430" t="s">
        <v>71</v>
      </c>
      <c r="J430" t="s">
        <v>72</v>
      </c>
      <c r="K430" t="s">
        <v>73</v>
      </c>
      <c r="L430" t="s">
        <v>74</v>
      </c>
      <c r="M430" t="s">
        <v>838</v>
      </c>
      <c r="N430" t="s">
        <v>76</v>
      </c>
      <c r="O430" t="s">
        <v>839</v>
      </c>
      <c r="P430" t="s">
        <v>840</v>
      </c>
      <c r="Q430" t="s">
        <v>66</v>
      </c>
      <c r="R430" s="1">
        <v>46207</v>
      </c>
      <c r="S430" t="s">
        <v>841</v>
      </c>
      <c r="T430" t="s">
        <v>842</v>
      </c>
      <c r="U430" t="s">
        <v>843</v>
      </c>
      <c r="V430" t="s">
        <v>66</v>
      </c>
      <c r="W430" t="s">
        <v>66</v>
      </c>
      <c r="X430">
        <v>548898</v>
      </c>
      <c r="Y430">
        <v>60378.78</v>
      </c>
      <c r="Z430">
        <v>23226</v>
      </c>
      <c r="AA430">
        <v>2554.86</v>
      </c>
      <c r="AB430">
        <v>609276.78</v>
      </c>
      <c r="AC430">
        <v>3</v>
      </c>
      <c r="AD430" t="s">
        <v>82</v>
      </c>
      <c r="AE430">
        <v>3</v>
      </c>
      <c r="AF430" t="s">
        <v>199</v>
      </c>
      <c r="AG430">
        <f>IFERROR(VLOOKUP(AF430,[1]STOK!J:O,6,0),"")</f>
        <v>24</v>
      </c>
      <c r="AH430" s="2">
        <f t="shared" si="12"/>
        <v>0.125</v>
      </c>
      <c r="AI430" t="s">
        <v>199</v>
      </c>
      <c r="AJ430" t="s">
        <v>200</v>
      </c>
      <c r="AK430" t="s">
        <v>201</v>
      </c>
      <c r="AL430" t="s">
        <v>86</v>
      </c>
      <c r="AM430">
        <v>8769</v>
      </c>
      <c r="AN430">
        <f t="shared" si="13"/>
        <v>8593.6200000000008</v>
      </c>
      <c r="AO430" t="s">
        <v>66</v>
      </c>
      <c r="AP430">
        <v>2</v>
      </c>
      <c r="AQ430" t="s">
        <v>66</v>
      </c>
      <c r="AR430">
        <v>0</v>
      </c>
      <c r="AS430" t="s">
        <v>66</v>
      </c>
      <c r="AT430">
        <v>0</v>
      </c>
      <c r="AU430" t="s">
        <v>66</v>
      </c>
      <c r="AV430">
        <v>0</v>
      </c>
      <c r="AW430" t="s">
        <v>66</v>
      </c>
      <c r="AX430">
        <v>0</v>
      </c>
      <c r="AY430" t="s">
        <v>66</v>
      </c>
      <c r="AZ430">
        <v>0</v>
      </c>
      <c r="BA430" t="s">
        <v>66</v>
      </c>
      <c r="BB430">
        <v>0</v>
      </c>
      <c r="BC430">
        <v>0</v>
      </c>
      <c r="BD430">
        <v>25780.86</v>
      </c>
      <c r="BE430">
        <v>7114.38</v>
      </c>
      <c r="BF430">
        <v>0</v>
      </c>
      <c r="BG430" t="s">
        <v>87</v>
      </c>
      <c r="BH430" t="s">
        <v>844</v>
      </c>
      <c r="BI430">
        <v>3</v>
      </c>
      <c r="BJ430" t="s">
        <v>158</v>
      </c>
      <c r="BK430" t="s">
        <v>88</v>
      </c>
      <c r="BL430" t="s">
        <v>719</v>
      </c>
      <c r="BM430" t="s">
        <v>159</v>
      </c>
    </row>
    <row r="431" spans="1:65" x14ac:dyDescent="0.25">
      <c r="A431">
        <v>429</v>
      </c>
      <c r="B431" t="s">
        <v>836</v>
      </c>
      <c r="C431" t="s">
        <v>68</v>
      </c>
      <c r="D431" s="1">
        <v>46207</v>
      </c>
      <c r="E431" t="s">
        <v>837</v>
      </c>
      <c r="F431" t="s">
        <v>68</v>
      </c>
      <c r="G431" t="s">
        <v>295</v>
      </c>
      <c r="H431" t="s">
        <v>296</v>
      </c>
      <c r="I431" t="s">
        <v>71</v>
      </c>
      <c r="J431" t="s">
        <v>72</v>
      </c>
      <c r="K431" t="s">
        <v>73</v>
      </c>
      <c r="L431" t="s">
        <v>74</v>
      </c>
      <c r="M431" t="s">
        <v>838</v>
      </c>
      <c r="N431" t="s">
        <v>76</v>
      </c>
      <c r="O431" t="s">
        <v>839</v>
      </c>
      <c r="P431" t="s">
        <v>840</v>
      </c>
      <c r="Q431" t="s">
        <v>66</v>
      </c>
      <c r="R431" s="1">
        <v>46207</v>
      </c>
      <c r="S431" t="s">
        <v>841</v>
      </c>
      <c r="T431" t="s">
        <v>842</v>
      </c>
      <c r="U431" t="s">
        <v>843</v>
      </c>
      <c r="V431" t="s">
        <v>66</v>
      </c>
      <c r="W431" t="s">
        <v>66</v>
      </c>
      <c r="X431">
        <v>548898</v>
      </c>
      <c r="Y431">
        <v>60378.78</v>
      </c>
      <c r="Z431">
        <v>48510</v>
      </c>
      <c r="AA431">
        <v>5336.1</v>
      </c>
      <c r="AB431">
        <v>609276.78</v>
      </c>
      <c r="AC431">
        <v>3</v>
      </c>
      <c r="AD431" t="s">
        <v>82</v>
      </c>
      <c r="AE431">
        <v>3</v>
      </c>
      <c r="AF431" t="s">
        <v>93</v>
      </c>
      <c r="AG431">
        <f>IFERROR(VLOOKUP(AF431,[1]STOK!J:O,6,0),"")</f>
        <v>24</v>
      </c>
      <c r="AH431" s="2">
        <f t="shared" si="12"/>
        <v>0.125</v>
      </c>
      <c r="AI431" t="s">
        <v>93</v>
      </c>
      <c r="AJ431" t="s">
        <v>94</v>
      </c>
      <c r="AK431" t="s">
        <v>95</v>
      </c>
      <c r="AL431" t="s">
        <v>86</v>
      </c>
      <c r="AM431">
        <v>18315</v>
      </c>
      <c r="AN431">
        <f t="shared" si="13"/>
        <v>17948.7</v>
      </c>
      <c r="AO431" t="s">
        <v>66</v>
      </c>
      <c r="AP431">
        <v>2</v>
      </c>
      <c r="AQ431" t="s">
        <v>66</v>
      </c>
      <c r="AR431">
        <v>0</v>
      </c>
      <c r="AS431" t="s">
        <v>66</v>
      </c>
      <c r="AT431">
        <v>0</v>
      </c>
      <c r="AU431" t="s">
        <v>66</v>
      </c>
      <c r="AV431">
        <v>0</v>
      </c>
      <c r="AW431" t="s">
        <v>66</v>
      </c>
      <c r="AX431">
        <v>0</v>
      </c>
      <c r="AY431" t="s">
        <v>66</v>
      </c>
      <c r="AZ431">
        <v>0</v>
      </c>
      <c r="BA431" t="s">
        <v>66</v>
      </c>
      <c r="BB431">
        <v>0</v>
      </c>
      <c r="BC431">
        <v>0</v>
      </c>
      <c r="BD431">
        <v>53846.1</v>
      </c>
      <c r="BE431">
        <v>14931.72</v>
      </c>
      <c r="BF431">
        <v>0</v>
      </c>
      <c r="BG431" t="s">
        <v>87</v>
      </c>
      <c r="BH431" t="s">
        <v>844</v>
      </c>
      <c r="BI431">
        <v>3</v>
      </c>
      <c r="BJ431" t="s">
        <v>158</v>
      </c>
      <c r="BK431" t="s">
        <v>88</v>
      </c>
      <c r="BL431" t="s">
        <v>719</v>
      </c>
      <c r="BM431" t="s">
        <v>159</v>
      </c>
    </row>
    <row r="432" spans="1:65" x14ac:dyDescent="0.25">
      <c r="A432">
        <v>430</v>
      </c>
      <c r="B432" t="s">
        <v>836</v>
      </c>
      <c r="C432" t="s">
        <v>68</v>
      </c>
      <c r="D432" s="1">
        <v>46207</v>
      </c>
      <c r="E432" t="s">
        <v>837</v>
      </c>
      <c r="F432" t="s">
        <v>68</v>
      </c>
      <c r="G432" t="s">
        <v>295</v>
      </c>
      <c r="H432" t="s">
        <v>296</v>
      </c>
      <c r="I432" t="s">
        <v>71</v>
      </c>
      <c r="J432" t="s">
        <v>72</v>
      </c>
      <c r="K432" t="s">
        <v>73</v>
      </c>
      <c r="L432" t="s">
        <v>74</v>
      </c>
      <c r="M432" t="s">
        <v>838</v>
      </c>
      <c r="N432" t="s">
        <v>76</v>
      </c>
      <c r="O432" t="s">
        <v>839</v>
      </c>
      <c r="P432" t="s">
        <v>840</v>
      </c>
      <c r="Q432" t="s">
        <v>66</v>
      </c>
      <c r="R432" s="1">
        <v>46207</v>
      </c>
      <c r="S432" t="s">
        <v>841</v>
      </c>
      <c r="T432" t="s">
        <v>842</v>
      </c>
      <c r="U432" t="s">
        <v>843</v>
      </c>
      <c r="V432" t="s">
        <v>66</v>
      </c>
      <c r="W432" t="s">
        <v>66</v>
      </c>
      <c r="X432">
        <v>548898</v>
      </c>
      <c r="Y432">
        <v>60378.78</v>
      </c>
      <c r="Z432">
        <v>39102</v>
      </c>
      <c r="AA432">
        <v>4301.22</v>
      </c>
      <c r="AB432">
        <v>609276.78</v>
      </c>
      <c r="AC432">
        <v>3</v>
      </c>
      <c r="AD432" t="s">
        <v>82</v>
      </c>
      <c r="AE432">
        <v>3</v>
      </c>
      <c r="AF432" t="s">
        <v>135</v>
      </c>
      <c r="AG432">
        <f>IFERROR(VLOOKUP(AF432,[1]STOK!J:O,6,0),"")</f>
        <v>12</v>
      </c>
      <c r="AH432" s="2">
        <f t="shared" si="12"/>
        <v>0.25</v>
      </c>
      <c r="AI432" t="s">
        <v>135</v>
      </c>
      <c r="AJ432" t="s">
        <v>136</v>
      </c>
      <c r="AK432" t="s">
        <v>137</v>
      </c>
      <c r="AL432" t="s">
        <v>86</v>
      </c>
      <c r="AM432">
        <v>14763</v>
      </c>
      <c r="AN432">
        <f t="shared" si="13"/>
        <v>14467.74</v>
      </c>
      <c r="AO432" t="s">
        <v>66</v>
      </c>
      <c r="AP432">
        <v>2</v>
      </c>
      <c r="AQ432" t="s">
        <v>66</v>
      </c>
      <c r="AR432">
        <v>0</v>
      </c>
      <c r="AS432" t="s">
        <v>66</v>
      </c>
      <c r="AT432">
        <v>0</v>
      </c>
      <c r="AU432" t="s">
        <v>66</v>
      </c>
      <c r="AV432">
        <v>0</v>
      </c>
      <c r="AW432" t="s">
        <v>66</v>
      </c>
      <c r="AX432">
        <v>0</v>
      </c>
      <c r="AY432" t="s">
        <v>66</v>
      </c>
      <c r="AZ432">
        <v>0</v>
      </c>
      <c r="BA432" t="s">
        <v>66</v>
      </c>
      <c r="BB432">
        <v>0</v>
      </c>
      <c r="BC432">
        <v>0</v>
      </c>
      <c r="BD432">
        <v>43403.22</v>
      </c>
      <c r="BE432">
        <v>12026.74</v>
      </c>
      <c r="BF432">
        <v>0</v>
      </c>
      <c r="BG432" t="s">
        <v>87</v>
      </c>
      <c r="BH432" t="s">
        <v>844</v>
      </c>
      <c r="BI432">
        <v>3</v>
      </c>
      <c r="BJ432" t="s">
        <v>158</v>
      </c>
      <c r="BK432" t="s">
        <v>88</v>
      </c>
      <c r="BL432" t="s">
        <v>719</v>
      </c>
      <c r="BM432" t="s">
        <v>159</v>
      </c>
    </row>
    <row r="433" spans="1:65" x14ac:dyDescent="0.25">
      <c r="A433">
        <v>431</v>
      </c>
      <c r="B433" t="s">
        <v>836</v>
      </c>
      <c r="C433" t="s">
        <v>68</v>
      </c>
      <c r="D433" s="1">
        <v>46207</v>
      </c>
      <c r="E433" t="s">
        <v>837</v>
      </c>
      <c r="F433" t="s">
        <v>68</v>
      </c>
      <c r="G433" t="s">
        <v>295</v>
      </c>
      <c r="H433" t="s">
        <v>296</v>
      </c>
      <c r="I433" t="s">
        <v>71</v>
      </c>
      <c r="J433" t="s">
        <v>72</v>
      </c>
      <c r="K433" t="s">
        <v>73</v>
      </c>
      <c r="L433" t="s">
        <v>74</v>
      </c>
      <c r="M433" t="s">
        <v>838</v>
      </c>
      <c r="N433" t="s">
        <v>76</v>
      </c>
      <c r="O433" t="s">
        <v>839</v>
      </c>
      <c r="P433" t="s">
        <v>840</v>
      </c>
      <c r="Q433" t="s">
        <v>66</v>
      </c>
      <c r="R433" s="1">
        <v>46207</v>
      </c>
      <c r="S433" t="s">
        <v>841</v>
      </c>
      <c r="T433" t="s">
        <v>842</v>
      </c>
      <c r="U433" t="s">
        <v>843</v>
      </c>
      <c r="V433" t="s">
        <v>66</v>
      </c>
      <c r="W433" t="s">
        <v>66</v>
      </c>
      <c r="X433">
        <v>548898</v>
      </c>
      <c r="Y433">
        <v>60378.78</v>
      </c>
      <c r="Z433">
        <v>39102</v>
      </c>
      <c r="AA433">
        <v>4301.22</v>
      </c>
      <c r="AB433">
        <v>609276.78</v>
      </c>
      <c r="AC433">
        <v>3</v>
      </c>
      <c r="AD433" t="s">
        <v>82</v>
      </c>
      <c r="AE433">
        <v>3</v>
      </c>
      <c r="AF433" t="s">
        <v>210</v>
      </c>
      <c r="AG433">
        <f>IFERROR(VLOOKUP(AF433,[1]STOK!J:O,6,0),"")</f>
        <v>12</v>
      </c>
      <c r="AH433" s="2">
        <f t="shared" si="12"/>
        <v>0.25</v>
      </c>
      <c r="AI433" t="s">
        <v>210</v>
      </c>
      <c r="AJ433" t="s">
        <v>211</v>
      </c>
      <c r="AK433" t="s">
        <v>212</v>
      </c>
      <c r="AL433" t="s">
        <v>86</v>
      </c>
      <c r="AM433">
        <v>14763</v>
      </c>
      <c r="AN433">
        <f t="shared" si="13"/>
        <v>14467.74</v>
      </c>
      <c r="AO433" t="s">
        <v>66</v>
      </c>
      <c r="AP433">
        <v>2</v>
      </c>
      <c r="AQ433" t="s">
        <v>66</v>
      </c>
      <c r="AR433">
        <v>0</v>
      </c>
      <c r="AS433" t="s">
        <v>66</v>
      </c>
      <c r="AT433">
        <v>0</v>
      </c>
      <c r="AU433" t="s">
        <v>66</v>
      </c>
      <c r="AV433">
        <v>0</v>
      </c>
      <c r="AW433" t="s">
        <v>66</v>
      </c>
      <c r="AX433">
        <v>0</v>
      </c>
      <c r="AY433" t="s">
        <v>66</v>
      </c>
      <c r="AZ433">
        <v>0</v>
      </c>
      <c r="BA433" t="s">
        <v>66</v>
      </c>
      <c r="BB433">
        <v>0</v>
      </c>
      <c r="BC433">
        <v>0</v>
      </c>
      <c r="BD433">
        <v>43403.22</v>
      </c>
      <c r="BE433">
        <v>12009.37</v>
      </c>
      <c r="BF433">
        <v>0</v>
      </c>
      <c r="BG433" t="s">
        <v>87</v>
      </c>
      <c r="BH433" t="s">
        <v>844</v>
      </c>
      <c r="BI433">
        <v>3</v>
      </c>
      <c r="BJ433" t="s">
        <v>158</v>
      </c>
      <c r="BK433" t="s">
        <v>88</v>
      </c>
      <c r="BL433" t="s">
        <v>719</v>
      </c>
      <c r="BM433" t="s">
        <v>159</v>
      </c>
    </row>
    <row r="434" spans="1:65" x14ac:dyDescent="0.25">
      <c r="A434">
        <v>432</v>
      </c>
      <c r="B434" t="s">
        <v>836</v>
      </c>
      <c r="C434" t="s">
        <v>68</v>
      </c>
      <c r="D434" s="1">
        <v>46207</v>
      </c>
      <c r="E434" t="s">
        <v>837</v>
      </c>
      <c r="F434" t="s">
        <v>68</v>
      </c>
      <c r="G434" t="s">
        <v>295</v>
      </c>
      <c r="H434" t="s">
        <v>296</v>
      </c>
      <c r="I434" t="s">
        <v>71</v>
      </c>
      <c r="J434" t="s">
        <v>72</v>
      </c>
      <c r="K434" t="s">
        <v>73</v>
      </c>
      <c r="L434" t="s">
        <v>74</v>
      </c>
      <c r="M434" t="s">
        <v>838</v>
      </c>
      <c r="N434" t="s">
        <v>76</v>
      </c>
      <c r="O434" t="s">
        <v>839</v>
      </c>
      <c r="P434" t="s">
        <v>840</v>
      </c>
      <c r="Q434" t="s">
        <v>66</v>
      </c>
      <c r="R434" s="1">
        <v>46207</v>
      </c>
      <c r="S434" t="s">
        <v>841</v>
      </c>
      <c r="T434" t="s">
        <v>842</v>
      </c>
      <c r="U434" t="s">
        <v>843</v>
      </c>
      <c r="V434" t="s">
        <v>66</v>
      </c>
      <c r="W434" t="s">
        <v>66</v>
      </c>
      <c r="X434">
        <v>548898</v>
      </c>
      <c r="Y434">
        <v>60378.78</v>
      </c>
      <c r="Z434">
        <v>50862</v>
      </c>
      <c r="AA434">
        <v>5594.82</v>
      </c>
      <c r="AB434">
        <v>609276.78</v>
      </c>
      <c r="AC434">
        <v>3</v>
      </c>
      <c r="AD434" t="s">
        <v>82</v>
      </c>
      <c r="AE434">
        <v>3</v>
      </c>
      <c r="AF434" t="s">
        <v>359</v>
      </c>
      <c r="AG434">
        <f>IFERROR(VLOOKUP(AF434,[1]STOK!J:O,6,0),"")</f>
        <v>12</v>
      </c>
      <c r="AH434" s="2">
        <f t="shared" si="12"/>
        <v>0.25</v>
      </c>
      <c r="AI434" t="s">
        <v>359</v>
      </c>
      <c r="AJ434" t="s">
        <v>360</v>
      </c>
      <c r="AK434" t="s">
        <v>361</v>
      </c>
      <c r="AL434" t="s">
        <v>86</v>
      </c>
      <c r="AM434">
        <v>19203</v>
      </c>
      <c r="AN434">
        <f t="shared" si="13"/>
        <v>18818.939999999999</v>
      </c>
      <c r="AO434" t="s">
        <v>66</v>
      </c>
      <c r="AP434">
        <v>2</v>
      </c>
      <c r="AQ434" t="s">
        <v>66</v>
      </c>
      <c r="AR434">
        <v>0</v>
      </c>
      <c r="AS434" t="s">
        <v>66</v>
      </c>
      <c r="AT434">
        <v>0</v>
      </c>
      <c r="AU434" t="s">
        <v>66</v>
      </c>
      <c r="AV434">
        <v>0</v>
      </c>
      <c r="AW434" t="s">
        <v>66</v>
      </c>
      <c r="AX434">
        <v>0</v>
      </c>
      <c r="AY434" t="s">
        <v>66</v>
      </c>
      <c r="AZ434">
        <v>0</v>
      </c>
      <c r="BA434" t="s">
        <v>66</v>
      </c>
      <c r="BB434">
        <v>0</v>
      </c>
      <c r="BC434">
        <v>0</v>
      </c>
      <c r="BD434">
        <v>56456.82</v>
      </c>
      <c r="BE434">
        <v>15607.61</v>
      </c>
      <c r="BF434">
        <v>0</v>
      </c>
      <c r="BG434" t="s">
        <v>87</v>
      </c>
      <c r="BH434" t="s">
        <v>844</v>
      </c>
      <c r="BI434">
        <v>3</v>
      </c>
      <c r="BJ434" t="s">
        <v>158</v>
      </c>
      <c r="BK434" t="s">
        <v>88</v>
      </c>
      <c r="BL434" t="s">
        <v>719</v>
      </c>
      <c r="BM434" t="s">
        <v>159</v>
      </c>
    </row>
    <row r="435" spans="1:65" x14ac:dyDescent="0.25">
      <c r="A435">
        <v>433</v>
      </c>
      <c r="B435" t="s">
        <v>836</v>
      </c>
      <c r="C435" t="s">
        <v>68</v>
      </c>
      <c r="D435" s="1">
        <v>46207</v>
      </c>
      <c r="E435" t="s">
        <v>837</v>
      </c>
      <c r="F435" t="s">
        <v>68</v>
      </c>
      <c r="G435" t="s">
        <v>295</v>
      </c>
      <c r="H435" t="s">
        <v>296</v>
      </c>
      <c r="I435" t="s">
        <v>71</v>
      </c>
      <c r="J435" t="s">
        <v>72</v>
      </c>
      <c r="K435" t="s">
        <v>73</v>
      </c>
      <c r="L435" t="s">
        <v>74</v>
      </c>
      <c r="M435" t="s">
        <v>838</v>
      </c>
      <c r="N435" t="s">
        <v>76</v>
      </c>
      <c r="O435" t="s">
        <v>839</v>
      </c>
      <c r="P435" t="s">
        <v>840</v>
      </c>
      <c r="Q435" t="s">
        <v>66</v>
      </c>
      <c r="R435" s="1">
        <v>46207</v>
      </c>
      <c r="S435" t="s">
        <v>841</v>
      </c>
      <c r="T435" t="s">
        <v>842</v>
      </c>
      <c r="U435" t="s">
        <v>843</v>
      </c>
      <c r="V435" t="s">
        <v>66</v>
      </c>
      <c r="W435" t="s">
        <v>66</v>
      </c>
      <c r="X435">
        <v>548898</v>
      </c>
      <c r="Y435">
        <v>60378.78</v>
      </c>
      <c r="Z435">
        <v>58800</v>
      </c>
      <c r="AA435">
        <v>6468</v>
      </c>
      <c r="AB435">
        <v>609276.78</v>
      </c>
      <c r="AC435">
        <v>3</v>
      </c>
      <c r="AD435" t="s">
        <v>82</v>
      </c>
      <c r="AE435">
        <v>3</v>
      </c>
      <c r="AF435" t="s">
        <v>290</v>
      </c>
      <c r="AG435">
        <f>IFERROR(VLOOKUP(AF435,[1]STOK!J:O,6,0),"")</f>
        <v>12</v>
      </c>
      <c r="AH435" s="2">
        <f t="shared" si="12"/>
        <v>0.25</v>
      </c>
      <c r="AI435" t="s">
        <v>290</v>
      </c>
      <c r="AJ435" t="s">
        <v>291</v>
      </c>
      <c r="AK435" t="s">
        <v>292</v>
      </c>
      <c r="AL435" t="s">
        <v>86</v>
      </c>
      <c r="AM435">
        <v>22200</v>
      </c>
      <c r="AN435">
        <f t="shared" si="13"/>
        <v>21756</v>
      </c>
      <c r="AO435" t="s">
        <v>66</v>
      </c>
      <c r="AP435">
        <v>2</v>
      </c>
      <c r="AQ435" t="s">
        <v>66</v>
      </c>
      <c r="AR435">
        <v>0</v>
      </c>
      <c r="AS435" t="s">
        <v>66</v>
      </c>
      <c r="AT435">
        <v>0</v>
      </c>
      <c r="AU435" t="s">
        <v>66</v>
      </c>
      <c r="AV435">
        <v>0</v>
      </c>
      <c r="AW435" t="s">
        <v>66</v>
      </c>
      <c r="AX435">
        <v>0</v>
      </c>
      <c r="AY435" t="s">
        <v>66</v>
      </c>
      <c r="AZ435">
        <v>0</v>
      </c>
      <c r="BA435" t="s">
        <v>66</v>
      </c>
      <c r="BB435">
        <v>0</v>
      </c>
      <c r="BC435">
        <v>0</v>
      </c>
      <c r="BD435">
        <v>65268</v>
      </c>
      <c r="BE435">
        <v>18106.89</v>
      </c>
      <c r="BF435">
        <v>0</v>
      </c>
      <c r="BG435" t="s">
        <v>87</v>
      </c>
      <c r="BH435" t="s">
        <v>844</v>
      </c>
      <c r="BI435">
        <v>3</v>
      </c>
      <c r="BJ435" t="s">
        <v>158</v>
      </c>
      <c r="BK435" t="s">
        <v>88</v>
      </c>
      <c r="BL435" t="s">
        <v>719</v>
      </c>
      <c r="BM435" t="s">
        <v>159</v>
      </c>
    </row>
    <row r="436" spans="1:65" x14ac:dyDescent="0.25">
      <c r="A436">
        <v>434</v>
      </c>
      <c r="B436" t="s">
        <v>836</v>
      </c>
      <c r="C436" t="s">
        <v>68</v>
      </c>
      <c r="D436" s="1">
        <v>46207</v>
      </c>
      <c r="E436" t="s">
        <v>837</v>
      </c>
      <c r="F436" t="s">
        <v>68</v>
      </c>
      <c r="G436" t="s">
        <v>295</v>
      </c>
      <c r="H436" t="s">
        <v>296</v>
      </c>
      <c r="I436" t="s">
        <v>71</v>
      </c>
      <c r="J436" t="s">
        <v>72</v>
      </c>
      <c r="K436" t="s">
        <v>73</v>
      </c>
      <c r="L436" t="s">
        <v>74</v>
      </c>
      <c r="M436" t="s">
        <v>838</v>
      </c>
      <c r="N436" t="s">
        <v>76</v>
      </c>
      <c r="O436" t="s">
        <v>839</v>
      </c>
      <c r="P436" t="s">
        <v>840</v>
      </c>
      <c r="Q436" t="s">
        <v>66</v>
      </c>
      <c r="R436" s="1">
        <v>46207</v>
      </c>
      <c r="S436" t="s">
        <v>841</v>
      </c>
      <c r="T436" t="s">
        <v>842</v>
      </c>
      <c r="U436" t="s">
        <v>843</v>
      </c>
      <c r="V436" t="s">
        <v>66</v>
      </c>
      <c r="W436" t="s">
        <v>66</v>
      </c>
      <c r="X436">
        <v>548898</v>
      </c>
      <c r="Y436">
        <v>60378.78</v>
      </c>
      <c r="Z436">
        <v>58800</v>
      </c>
      <c r="AA436">
        <v>6468</v>
      </c>
      <c r="AB436">
        <v>609276.78</v>
      </c>
      <c r="AC436">
        <v>3</v>
      </c>
      <c r="AD436" t="s">
        <v>82</v>
      </c>
      <c r="AE436">
        <v>3</v>
      </c>
      <c r="AF436" t="s">
        <v>102</v>
      </c>
      <c r="AG436">
        <f>IFERROR(VLOOKUP(AF436,[1]STOK!J:O,6,0),"")</f>
        <v>12</v>
      </c>
      <c r="AH436" s="2">
        <f t="shared" si="12"/>
        <v>0.25</v>
      </c>
      <c r="AI436" t="s">
        <v>102</v>
      </c>
      <c r="AJ436" t="s">
        <v>103</v>
      </c>
      <c r="AK436" t="s">
        <v>104</v>
      </c>
      <c r="AL436" t="s">
        <v>86</v>
      </c>
      <c r="AM436">
        <v>22200</v>
      </c>
      <c r="AN436">
        <f t="shared" si="13"/>
        <v>21756</v>
      </c>
      <c r="AO436" t="s">
        <v>66</v>
      </c>
      <c r="AP436">
        <v>2</v>
      </c>
      <c r="AQ436" t="s">
        <v>66</v>
      </c>
      <c r="AR436">
        <v>0</v>
      </c>
      <c r="AS436" t="s">
        <v>66</v>
      </c>
      <c r="AT436">
        <v>0</v>
      </c>
      <c r="AU436" t="s">
        <v>66</v>
      </c>
      <c r="AV436">
        <v>0</v>
      </c>
      <c r="AW436" t="s">
        <v>66</v>
      </c>
      <c r="AX436">
        <v>0</v>
      </c>
      <c r="AY436" t="s">
        <v>66</v>
      </c>
      <c r="AZ436">
        <v>0</v>
      </c>
      <c r="BA436" t="s">
        <v>66</v>
      </c>
      <c r="BB436">
        <v>0</v>
      </c>
      <c r="BC436">
        <v>0</v>
      </c>
      <c r="BD436">
        <v>65268</v>
      </c>
      <c r="BE436">
        <v>18040.98</v>
      </c>
      <c r="BF436">
        <v>0</v>
      </c>
      <c r="BG436" t="s">
        <v>87</v>
      </c>
      <c r="BH436" t="s">
        <v>844</v>
      </c>
      <c r="BI436">
        <v>3</v>
      </c>
      <c r="BJ436" t="s">
        <v>158</v>
      </c>
      <c r="BK436" t="s">
        <v>88</v>
      </c>
      <c r="BL436" t="s">
        <v>719</v>
      </c>
      <c r="BM436" t="s">
        <v>159</v>
      </c>
    </row>
    <row r="437" spans="1:65" x14ac:dyDescent="0.25">
      <c r="A437">
        <v>435</v>
      </c>
      <c r="B437" t="s">
        <v>851</v>
      </c>
      <c r="C437" t="s">
        <v>68</v>
      </c>
      <c r="D437" s="1">
        <v>46207</v>
      </c>
      <c r="E437" t="s">
        <v>852</v>
      </c>
      <c r="F437" t="s">
        <v>68</v>
      </c>
      <c r="G437" t="s">
        <v>295</v>
      </c>
      <c r="H437" t="s">
        <v>296</v>
      </c>
      <c r="I437" t="s">
        <v>71</v>
      </c>
      <c r="J437" t="s">
        <v>72</v>
      </c>
      <c r="K437" t="s">
        <v>73</v>
      </c>
      <c r="L437" t="s">
        <v>74</v>
      </c>
      <c r="M437" t="s">
        <v>853</v>
      </c>
      <c r="N437" t="s">
        <v>76</v>
      </c>
      <c r="O437" t="s">
        <v>854</v>
      </c>
      <c r="P437" t="s">
        <v>855</v>
      </c>
      <c r="Q437" t="s">
        <v>66</v>
      </c>
      <c r="R437" s="1">
        <v>46207</v>
      </c>
      <c r="S437" t="s">
        <v>841</v>
      </c>
      <c r="T437" t="s">
        <v>842</v>
      </c>
      <c r="U437" t="s">
        <v>843</v>
      </c>
      <c r="V437" t="s">
        <v>66</v>
      </c>
      <c r="W437" t="s">
        <v>66</v>
      </c>
      <c r="X437">
        <v>2129736</v>
      </c>
      <c r="Y437">
        <v>234270.96</v>
      </c>
      <c r="Z437">
        <v>108192</v>
      </c>
      <c r="AA437">
        <v>11901.12</v>
      </c>
      <c r="AB437">
        <v>2364006.96</v>
      </c>
      <c r="AC437">
        <v>6</v>
      </c>
      <c r="AD437" t="s">
        <v>82</v>
      </c>
      <c r="AE437">
        <v>6</v>
      </c>
      <c r="AF437" t="s">
        <v>720</v>
      </c>
      <c r="AG437">
        <f>IFERROR(VLOOKUP(AF437,[1]STOK!J:O,6,0),"")</f>
        <v>12</v>
      </c>
      <c r="AH437" s="2">
        <f t="shared" si="12"/>
        <v>0.5</v>
      </c>
      <c r="AI437" t="s">
        <v>720</v>
      </c>
      <c r="AJ437" t="s">
        <v>721</v>
      </c>
      <c r="AK437" t="s">
        <v>722</v>
      </c>
      <c r="AL437" t="s">
        <v>86</v>
      </c>
      <c r="AM437">
        <v>20424</v>
      </c>
      <c r="AN437">
        <f t="shared" si="13"/>
        <v>20015.52</v>
      </c>
      <c r="AO437" t="s">
        <v>66</v>
      </c>
      <c r="AP437">
        <v>2</v>
      </c>
      <c r="AQ437" t="s">
        <v>66</v>
      </c>
      <c r="AR437">
        <v>0</v>
      </c>
      <c r="AS437" t="s">
        <v>66</v>
      </c>
      <c r="AT437">
        <v>0</v>
      </c>
      <c r="AU437" t="s">
        <v>66</v>
      </c>
      <c r="AV437">
        <v>0</v>
      </c>
      <c r="AW437" t="s">
        <v>66</v>
      </c>
      <c r="AX437">
        <v>0</v>
      </c>
      <c r="AY437" t="s">
        <v>66</v>
      </c>
      <c r="AZ437">
        <v>0</v>
      </c>
      <c r="BA437" t="s">
        <v>66</v>
      </c>
      <c r="BB437">
        <v>0</v>
      </c>
      <c r="BC437">
        <v>0</v>
      </c>
      <c r="BD437">
        <v>120093.12</v>
      </c>
      <c r="BE437">
        <v>16631.75</v>
      </c>
      <c r="BF437">
        <v>0</v>
      </c>
      <c r="BG437" t="s">
        <v>87</v>
      </c>
      <c r="BH437" t="s">
        <v>856</v>
      </c>
      <c r="BI437">
        <v>6</v>
      </c>
      <c r="BJ437" t="s">
        <v>158</v>
      </c>
      <c r="BK437" t="s">
        <v>88</v>
      </c>
      <c r="BL437" t="s">
        <v>719</v>
      </c>
      <c r="BM437" t="s">
        <v>159</v>
      </c>
    </row>
    <row r="438" spans="1:65" x14ac:dyDescent="0.25">
      <c r="A438">
        <v>436</v>
      </c>
      <c r="B438" t="s">
        <v>851</v>
      </c>
      <c r="C438" t="s">
        <v>68</v>
      </c>
      <c r="D438" s="1">
        <v>46207</v>
      </c>
      <c r="E438" t="s">
        <v>852</v>
      </c>
      <c r="F438" t="s">
        <v>68</v>
      </c>
      <c r="G438" t="s">
        <v>295</v>
      </c>
      <c r="H438" t="s">
        <v>296</v>
      </c>
      <c r="I438" t="s">
        <v>71</v>
      </c>
      <c r="J438" t="s">
        <v>72</v>
      </c>
      <c r="K438" t="s">
        <v>73</v>
      </c>
      <c r="L438" t="s">
        <v>74</v>
      </c>
      <c r="M438" t="s">
        <v>853</v>
      </c>
      <c r="N438" t="s">
        <v>76</v>
      </c>
      <c r="O438" t="s">
        <v>854</v>
      </c>
      <c r="P438" t="s">
        <v>855</v>
      </c>
      <c r="Q438" t="s">
        <v>66</v>
      </c>
      <c r="R438" s="1">
        <v>46207</v>
      </c>
      <c r="S438" t="s">
        <v>841</v>
      </c>
      <c r="T438" t="s">
        <v>842</v>
      </c>
      <c r="U438" t="s">
        <v>843</v>
      </c>
      <c r="V438" t="s">
        <v>66</v>
      </c>
      <c r="W438" t="s">
        <v>66</v>
      </c>
      <c r="X438">
        <v>2129736</v>
      </c>
      <c r="Y438">
        <v>234270.96</v>
      </c>
      <c r="Z438">
        <v>108192</v>
      </c>
      <c r="AA438">
        <v>11901.12</v>
      </c>
      <c r="AB438">
        <v>2364006.96</v>
      </c>
      <c r="AC438">
        <v>6</v>
      </c>
      <c r="AD438" t="s">
        <v>82</v>
      </c>
      <c r="AE438">
        <v>6</v>
      </c>
      <c r="AF438" t="s">
        <v>160</v>
      </c>
      <c r="AG438">
        <f>IFERROR(VLOOKUP(AF438,[1]STOK!J:O,6,0),"")</f>
        <v>12</v>
      </c>
      <c r="AH438" s="2">
        <f t="shared" si="12"/>
        <v>0.5</v>
      </c>
      <c r="AI438" t="s">
        <v>160</v>
      </c>
      <c r="AJ438" t="s">
        <v>161</v>
      </c>
      <c r="AK438" t="s">
        <v>162</v>
      </c>
      <c r="AL438" t="s">
        <v>86</v>
      </c>
      <c r="AM438">
        <v>20424</v>
      </c>
      <c r="AN438">
        <f t="shared" si="13"/>
        <v>20015.52</v>
      </c>
      <c r="AO438" t="s">
        <v>66</v>
      </c>
      <c r="AP438">
        <v>2</v>
      </c>
      <c r="AQ438" t="s">
        <v>66</v>
      </c>
      <c r="AR438">
        <v>0</v>
      </c>
      <c r="AS438" t="s">
        <v>66</v>
      </c>
      <c r="AT438">
        <v>0</v>
      </c>
      <c r="AU438" t="s">
        <v>66</v>
      </c>
      <c r="AV438">
        <v>0</v>
      </c>
      <c r="AW438" t="s">
        <v>66</v>
      </c>
      <c r="AX438">
        <v>0</v>
      </c>
      <c r="AY438" t="s">
        <v>66</v>
      </c>
      <c r="AZ438">
        <v>0</v>
      </c>
      <c r="BA438" t="s">
        <v>66</v>
      </c>
      <c r="BB438">
        <v>0</v>
      </c>
      <c r="BC438">
        <v>0</v>
      </c>
      <c r="BD438">
        <v>120093.12</v>
      </c>
      <c r="BE438">
        <v>16647.310000000001</v>
      </c>
      <c r="BF438">
        <v>0</v>
      </c>
      <c r="BG438" t="s">
        <v>87</v>
      </c>
      <c r="BH438" t="s">
        <v>856</v>
      </c>
      <c r="BI438">
        <v>6</v>
      </c>
      <c r="BJ438" t="s">
        <v>158</v>
      </c>
      <c r="BK438" t="s">
        <v>88</v>
      </c>
      <c r="BL438" t="s">
        <v>719</v>
      </c>
      <c r="BM438" t="s">
        <v>159</v>
      </c>
    </row>
    <row r="439" spans="1:65" x14ac:dyDescent="0.25">
      <c r="A439">
        <v>437</v>
      </c>
      <c r="B439" t="s">
        <v>851</v>
      </c>
      <c r="C439" t="s">
        <v>68</v>
      </c>
      <c r="D439" s="1">
        <v>46207</v>
      </c>
      <c r="E439" t="s">
        <v>852</v>
      </c>
      <c r="F439" t="s">
        <v>68</v>
      </c>
      <c r="G439" t="s">
        <v>295</v>
      </c>
      <c r="H439" t="s">
        <v>296</v>
      </c>
      <c r="I439" t="s">
        <v>71</v>
      </c>
      <c r="J439" t="s">
        <v>72</v>
      </c>
      <c r="K439" t="s">
        <v>73</v>
      </c>
      <c r="L439" t="s">
        <v>74</v>
      </c>
      <c r="M439" t="s">
        <v>853</v>
      </c>
      <c r="N439" t="s">
        <v>76</v>
      </c>
      <c r="O439" t="s">
        <v>854</v>
      </c>
      <c r="P439" t="s">
        <v>855</v>
      </c>
      <c r="Q439" t="s">
        <v>66</v>
      </c>
      <c r="R439" s="1">
        <v>46207</v>
      </c>
      <c r="S439" t="s">
        <v>841</v>
      </c>
      <c r="T439" t="s">
        <v>842</v>
      </c>
      <c r="U439" t="s">
        <v>843</v>
      </c>
      <c r="V439" t="s">
        <v>66</v>
      </c>
      <c r="W439" t="s">
        <v>66</v>
      </c>
      <c r="X439">
        <v>2129736</v>
      </c>
      <c r="Y439">
        <v>234270.96</v>
      </c>
      <c r="Z439">
        <v>108192</v>
      </c>
      <c r="AA439">
        <v>11901.12</v>
      </c>
      <c r="AB439">
        <v>2364006.96</v>
      </c>
      <c r="AC439">
        <v>6</v>
      </c>
      <c r="AD439" t="s">
        <v>82</v>
      </c>
      <c r="AE439">
        <v>6</v>
      </c>
      <c r="AF439" t="s">
        <v>116</v>
      </c>
      <c r="AG439">
        <f>IFERROR(VLOOKUP(AF439,[1]STOK!J:O,6,0),"")</f>
        <v>12</v>
      </c>
      <c r="AH439" s="2">
        <f t="shared" si="12"/>
        <v>0.5</v>
      </c>
      <c r="AI439" t="s">
        <v>116</v>
      </c>
      <c r="AJ439" t="s">
        <v>117</v>
      </c>
      <c r="AK439" t="s">
        <v>118</v>
      </c>
      <c r="AL439" t="s">
        <v>86</v>
      </c>
      <c r="AM439">
        <v>20424</v>
      </c>
      <c r="AN439">
        <f t="shared" si="13"/>
        <v>20015.52</v>
      </c>
      <c r="AO439" t="s">
        <v>66</v>
      </c>
      <c r="AP439">
        <v>2</v>
      </c>
      <c r="AQ439" t="s">
        <v>66</v>
      </c>
      <c r="AR439">
        <v>0</v>
      </c>
      <c r="AS439" t="s">
        <v>66</v>
      </c>
      <c r="AT439">
        <v>0</v>
      </c>
      <c r="AU439" t="s">
        <v>66</v>
      </c>
      <c r="AV439">
        <v>0</v>
      </c>
      <c r="AW439" t="s">
        <v>66</v>
      </c>
      <c r="AX439">
        <v>0</v>
      </c>
      <c r="AY439" t="s">
        <v>66</v>
      </c>
      <c r="AZ439">
        <v>0</v>
      </c>
      <c r="BA439" t="s">
        <v>66</v>
      </c>
      <c r="BB439">
        <v>0</v>
      </c>
      <c r="BC439">
        <v>0</v>
      </c>
      <c r="BD439">
        <v>120093.12</v>
      </c>
      <c r="BE439">
        <v>16534.41</v>
      </c>
      <c r="BF439">
        <v>0</v>
      </c>
      <c r="BG439" t="s">
        <v>87</v>
      </c>
      <c r="BH439" t="s">
        <v>856</v>
      </c>
      <c r="BI439">
        <v>6</v>
      </c>
      <c r="BJ439" t="s">
        <v>158</v>
      </c>
      <c r="BK439" t="s">
        <v>88</v>
      </c>
      <c r="BL439" t="s">
        <v>719</v>
      </c>
      <c r="BM439" t="s">
        <v>159</v>
      </c>
    </row>
    <row r="440" spans="1:65" x14ac:dyDescent="0.25">
      <c r="A440">
        <v>438</v>
      </c>
      <c r="B440" t="s">
        <v>851</v>
      </c>
      <c r="C440" t="s">
        <v>68</v>
      </c>
      <c r="D440" s="1">
        <v>46207</v>
      </c>
      <c r="E440" t="s">
        <v>852</v>
      </c>
      <c r="F440" t="s">
        <v>68</v>
      </c>
      <c r="G440" t="s">
        <v>295</v>
      </c>
      <c r="H440" t="s">
        <v>296</v>
      </c>
      <c r="I440" t="s">
        <v>71</v>
      </c>
      <c r="J440" t="s">
        <v>72</v>
      </c>
      <c r="K440" t="s">
        <v>73</v>
      </c>
      <c r="L440" t="s">
        <v>74</v>
      </c>
      <c r="M440" t="s">
        <v>853</v>
      </c>
      <c r="N440" t="s">
        <v>76</v>
      </c>
      <c r="O440" t="s">
        <v>854</v>
      </c>
      <c r="P440" t="s">
        <v>855</v>
      </c>
      <c r="Q440" t="s">
        <v>66</v>
      </c>
      <c r="R440" s="1">
        <v>46207</v>
      </c>
      <c r="S440" t="s">
        <v>841</v>
      </c>
      <c r="T440" t="s">
        <v>842</v>
      </c>
      <c r="U440" t="s">
        <v>843</v>
      </c>
      <c r="V440" t="s">
        <v>66</v>
      </c>
      <c r="W440" t="s">
        <v>66</v>
      </c>
      <c r="X440">
        <v>2129736</v>
      </c>
      <c r="Y440">
        <v>234270.96</v>
      </c>
      <c r="Z440">
        <v>43512</v>
      </c>
      <c r="AA440">
        <v>4786.32</v>
      </c>
      <c r="AB440">
        <v>2364006.96</v>
      </c>
      <c r="AC440">
        <v>6</v>
      </c>
      <c r="AD440" t="s">
        <v>82</v>
      </c>
      <c r="AE440">
        <v>6</v>
      </c>
      <c r="AF440" t="s">
        <v>262</v>
      </c>
      <c r="AG440">
        <f>IFERROR(VLOOKUP(AF440,[1]STOK!J:O,6,0),"")</f>
        <v>24</v>
      </c>
      <c r="AH440" s="2">
        <f t="shared" si="12"/>
        <v>0.25</v>
      </c>
      <c r="AI440" t="s">
        <v>262</v>
      </c>
      <c r="AJ440" t="s">
        <v>263</v>
      </c>
      <c r="AK440" t="s">
        <v>264</v>
      </c>
      <c r="AL440" t="s">
        <v>86</v>
      </c>
      <c r="AM440">
        <v>8214</v>
      </c>
      <c r="AN440">
        <f t="shared" si="13"/>
        <v>8049.72</v>
      </c>
      <c r="AO440" t="s">
        <v>66</v>
      </c>
      <c r="AP440">
        <v>2</v>
      </c>
      <c r="AQ440" t="s">
        <v>66</v>
      </c>
      <c r="AR440">
        <v>0</v>
      </c>
      <c r="AS440" t="s">
        <v>66</v>
      </c>
      <c r="AT440">
        <v>0</v>
      </c>
      <c r="AU440" t="s">
        <v>66</v>
      </c>
      <c r="AV440">
        <v>0</v>
      </c>
      <c r="AW440" t="s">
        <v>66</v>
      </c>
      <c r="AX440">
        <v>0</v>
      </c>
      <c r="AY440" t="s">
        <v>66</v>
      </c>
      <c r="AZ440">
        <v>0</v>
      </c>
      <c r="BA440" t="s">
        <v>66</v>
      </c>
      <c r="BB440">
        <v>0</v>
      </c>
      <c r="BC440">
        <v>0</v>
      </c>
      <c r="BD440">
        <v>48298.32</v>
      </c>
      <c r="BE440">
        <v>6693.78</v>
      </c>
      <c r="BF440">
        <v>0</v>
      </c>
      <c r="BG440" t="s">
        <v>87</v>
      </c>
      <c r="BH440" t="s">
        <v>856</v>
      </c>
      <c r="BI440">
        <v>6</v>
      </c>
      <c r="BJ440" t="s">
        <v>158</v>
      </c>
      <c r="BK440" t="s">
        <v>88</v>
      </c>
      <c r="BL440" t="s">
        <v>719</v>
      </c>
      <c r="BM440" t="s">
        <v>159</v>
      </c>
    </row>
    <row r="441" spans="1:65" x14ac:dyDescent="0.25">
      <c r="A441">
        <v>439</v>
      </c>
      <c r="B441" t="s">
        <v>851</v>
      </c>
      <c r="C441" t="s">
        <v>68</v>
      </c>
      <c r="D441" s="1">
        <v>46207</v>
      </c>
      <c r="E441" t="s">
        <v>852</v>
      </c>
      <c r="F441" t="s">
        <v>68</v>
      </c>
      <c r="G441" t="s">
        <v>295</v>
      </c>
      <c r="H441" t="s">
        <v>296</v>
      </c>
      <c r="I441" t="s">
        <v>71</v>
      </c>
      <c r="J441" t="s">
        <v>72</v>
      </c>
      <c r="K441" t="s">
        <v>73</v>
      </c>
      <c r="L441" t="s">
        <v>74</v>
      </c>
      <c r="M441" t="s">
        <v>853</v>
      </c>
      <c r="N441" t="s">
        <v>76</v>
      </c>
      <c r="O441" t="s">
        <v>854</v>
      </c>
      <c r="P441" t="s">
        <v>855</v>
      </c>
      <c r="Q441" t="s">
        <v>66</v>
      </c>
      <c r="R441" s="1">
        <v>46207</v>
      </c>
      <c r="S441" t="s">
        <v>841</v>
      </c>
      <c r="T441" t="s">
        <v>842</v>
      </c>
      <c r="U441" t="s">
        <v>843</v>
      </c>
      <c r="V441" t="s">
        <v>66</v>
      </c>
      <c r="W441" t="s">
        <v>66</v>
      </c>
      <c r="X441">
        <v>2129736</v>
      </c>
      <c r="Y441">
        <v>234270.96</v>
      </c>
      <c r="Z441">
        <v>43512</v>
      </c>
      <c r="AA441">
        <v>4786.32</v>
      </c>
      <c r="AB441">
        <v>2364006.96</v>
      </c>
      <c r="AC441">
        <v>6</v>
      </c>
      <c r="AD441" t="s">
        <v>82</v>
      </c>
      <c r="AE441">
        <v>6</v>
      </c>
      <c r="AF441" t="s">
        <v>265</v>
      </c>
      <c r="AG441">
        <f>IFERROR(VLOOKUP(AF441,[1]STOK!J:O,6,0),"")</f>
        <v>24</v>
      </c>
      <c r="AH441" s="2">
        <f t="shared" si="12"/>
        <v>0.25</v>
      </c>
      <c r="AI441" t="s">
        <v>265</v>
      </c>
      <c r="AJ441" t="s">
        <v>266</v>
      </c>
      <c r="AK441" t="s">
        <v>267</v>
      </c>
      <c r="AL441" t="s">
        <v>86</v>
      </c>
      <c r="AM441">
        <v>8214</v>
      </c>
      <c r="AN441">
        <f t="shared" si="13"/>
        <v>8049.72</v>
      </c>
      <c r="AO441" t="s">
        <v>66</v>
      </c>
      <c r="AP441">
        <v>2</v>
      </c>
      <c r="AQ441" t="s">
        <v>66</v>
      </c>
      <c r="AR441">
        <v>0</v>
      </c>
      <c r="AS441" t="s">
        <v>66</v>
      </c>
      <c r="AT441">
        <v>0</v>
      </c>
      <c r="AU441" t="s">
        <v>66</v>
      </c>
      <c r="AV441">
        <v>0</v>
      </c>
      <c r="AW441" t="s">
        <v>66</v>
      </c>
      <c r="AX441">
        <v>0</v>
      </c>
      <c r="AY441" t="s">
        <v>66</v>
      </c>
      <c r="AZ441">
        <v>0</v>
      </c>
      <c r="BA441" t="s">
        <v>66</v>
      </c>
      <c r="BB441">
        <v>0</v>
      </c>
      <c r="BC441">
        <v>0</v>
      </c>
      <c r="BD441">
        <v>48298.32</v>
      </c>
      <c r="BE441">
        <v>6661.46</v>
      </c>
      <c r="BF441">
        <v>0</v>
      </c>
      <c r="BG441" t="s">
        <v>87</v>
      </c>
      <c r="BH441" t="s">
        <v>856</v>
      </c>
      <c r="BI441">
        <v>6</v>
      </c>
      <c r="BJ441" t="s">
        <v>158</v>
      </c>
      <c r="BK441" t="s">
        <v>88</v>
      </c>
      <c r="BL441" t="s">
        <v>719</v>
      </c>
      <c r="BM441" t="s">
        <v>159</v>
      </c>
    </row>
    <row r="442" spans="1:65" x14ac:dyDescent="0.25">
      <c r="A442">
        <v>440</v>
      </c>
      <c r="B442" t="s">
        <v>851</v>
      </c>
      <c r="C442" t="s">
        <v>68</v>
      </c>
      <c r="D442" s="1">
        <v>46207</v>
      </c>
      <c r="E442" t="s">
        <v>852</v>
      </c>
      <c r="F442" t="s">
        <v>68</v>
      </c>
      <c r="G442" t="s">
        <v>295</v>
      </c>
      <c r="H442" t="s">
        <v>296</v>
      </c>
      <c r="I442" t="s">
        <v>71</v>
      </c>
      <c r="J442" t="s">
        <v>72</v>
      </c>
      <c r="K442" t="s">
        <v>73</v>
      </c>
      <c r="L442" t="s">
        <v>74</v>
      </c>
      <c r="M442" t="s">
        <v>853</v>
      </c>
      <c r="N442" t="s">
        <v>76</v>
      </c>
      <c r="O442" t="s">
        <v>854</v>
      </c>
      <c r="P442" t="s">
        <v>855</v>
      </c>
      <c r="Q442" t="s">
        <v>66</v>
      </c>
      <c r="R442" s="1">
        <v>46207</v>
      </c>
      <c r="S442" t="s">
        <v>841</v>
      </c>
      <c r="T442" t="s">
        <v>842</v>
      </c>
      <c r="U442" t="s">
        <v>843</v>
      </c>
      <c r="V442" t="s">
        <v>66</v>
      </c>
      <c r="W442" t="s">
        <v>66</v>
      </c>
      <c r="X442">
        <v>2129736</v>
      </c>
      <c r="Y442">
        <v>234270.96</v>
      </c>
      <c r="Z442">
        <v>43512</v>
      </c>
      <c r="AA442">
        <v>4786.32</v>
      </c>
      <c r="AB442">
        <v>2364006.96</v>
      </c>
      <c r="AC442">
        <v>6</v>
      </c>
      <c r="AD442" t="s">
        <v>82</v>
      </c>
      <c r="AE442">
        <v>6</v>
      </c>
      <c r="AF442" t="s">
        <v>83</v>
      </c>
      <c r="AG442">
        <f>IFERROR(VLOOKUP(AF442,[1]STOK!J:O,6,0),"")</f>
        <v>24</v>
      </c>
      <c r="AH442" s="2">
        <f t="shared" si="12"/>
        <v>0.25</v>
      </c>
      <c r="AI442" t="s">
        <v>83</v>
      </c>
      <c r="AJ442" t="s">
        <v>84</v>
      </c>
      <c r="AK442" t="s">
        <v>85</v>
      </c>
      <c r="AL442" t="s">
        <v>86</v>
      </c>
      <c r="AM442">
        <v>8214</v>
      </c>
      <c r="AN442">
        <f t="shared" si="13"/>
        <v>8049.72</v>
      </c>
      <c r="AO442" t="s">
        <v>66</v>
      </c>
      <c r="AP442">
        <v>2</v>
      </c>
      <c r="AQ442" t="s">
        <v>66</v>
      </c>
      <c r="AR442">
        <v>0</v>
      </c>
      <c r="AS442" t="s">
        <v>66</v>
      </c>
      <c r="AT442">
        <v>0</v>
      </c>
      <c r="AU442" t="s">
        <v>66</v>
      </c>
      <c r="AV442">
        <v>0</v>
      </c>
      <c r="AW442" t="s">
        <v>66</v>
      </c>
      <c r="AX442">
        <v>0</v>
      </c>
      <c r="AY442" t="s">
        <v>66</v>
      </c>
      <c r="AZ442">
        <v>0</v>
      </c>
      <c r="BA442" t="s">
        <v>66</v>
      </c>
      <c r="BB442">
        <v>0</v>
      </c>
      <c r="BC442">
        <v>0</v>
      </c>
      <c r="BD442">
        <v>48298.32</v>
      </c>
      <c r="BE442">
        <v>6704.84</v>
      </c>
      <c r="BF442">
        <v>0</v>
      </c>
      <c r="BG442" t="s">
        <v>87</v>
      </c>
      <c r="BH442" t="s">
        <v>856</v>
      </c>
      <c r="BI442">
        <v>6</v>
      </c>
      <c r="BJ442" t="s">
        <v>158</v>
      </c>
      <c r="BK442" t="s">
        <v>88</v>
      </c>
      <c r="BL442" t="s">
        <v>719</v>
      </c>
      <c r="BM442" t="s">
        <v>159</v>
      </c>
    </row>
    <row r="443" spans="1:65" x14ac:dyDescent="0.25">
      <c r="A443">
        <v>441</v>
      </c>
      <c r="B443" t="s">
        <v>851</v>
      </c>
      <c r="C443" t="s">
        <v>68</v>
      </c>
      <c r="D443" s="1">
        <v>46207</v>
      </c>
      <c r="E443" t="s">
        <v>852</v>
      </c>
      <c r="F443" t="s">
        <v>68</v>
      </c>
      <c r="G443" t="s">
        <v>295</v>
      </c>
      <c r="H443" t="s">
        <v>296</v>
      </c>
      <c r="I443" t="s">
        <v>71</v>
      </c>
      <c r="J443" t="s">
        <v>72</v>
      </c>
      <c r="K443" t="s">
        <v>73</v>
      </c>
      <c r="L443" t="s">
        <v>74</v>
      </c>
      <c r="M443" t="s">
        <v>853</v>
      </c>
      <c r="N443" t="s">
        <v>76</v>
      </c>
      <c r="O443" t="s">
        <v>854</v>
      </c>
      <c r="P443" t="s">
        <v>855</v>
      </c>
      <c r="Q443" t="s">
        <v>66</v>
      </c>
      <c r="R443" s="1">
        <v>46207</v>
      </c>
      <c r="S443" t="s">
        <v>841</v>
      </c>
      <c r="T443" t="s">
        <v>842</v>
      </c>
      <c r="U443" t="s">
        <v>843</v>
      </c>
      <c r="V443" t="s">
        <v>66</v>
      </c>
      <c r="W443" t="s">
        <v>66</v>
      </c>
      <c r="X443">
        <v>2129736</v>
      </c>
      <c r="Y443">
        <v>234270.96</v>
      </c>
      <c r="Z443">
        <v>59388</v>
      </c>
      <c r="AA443">
        <v>6532.68</v>
      </c>
      <c r="AB443">
        <v>2364006.96</v>
      </c>
      <c r="AC443">
        <v>6</v>
      </c>
      <c r="AD443" t="s">
        <v>82</v>
      </c>
      <c r="AE443">
        <v>6</v>
      </c>
      <c r="AF443" t="s">
        <v>857</v>
      </c>
      <c r="AG443">
        <f>IFERROR(VLOOKUP(AF443,[1]STOK!J:O,6,0),"")</f>
        <v>24</v>
      </c>
      <c r="AH443" s="2">
        <f t="shared" si="12"/>
        <v>0.25</v>
      </c>
      <c r="AI443" t="s">
        <v>857</v>
      </c>
      <c r="AJ443" t="s">
        <v>858</v>
      </c>
      <c r="AK443" t="s">
        <v>859</v>
      </c>
      <c r="AL443" t="s">
        <v>86</v>
      </c>
      <c r="AM443">
        <v>11211</v>
      </c>
      <c r="AN443">
        <f t="shared" si="13"/>
        <v>10986.779999999999</v>
      </c>
      <c r="AO443" t="s">
        <v>66</v>
      </c>
      <c r="AP443">
        <v>2</v>
      </c>
      <c r="AQ443" t="s">
        <v>66</v>
      </c>
      <c r="AR443">
        <v>0</v>
      </c>
      <c r="AS443" t="s">
        <v>66</v>
      </c>
      <c r="AT443">
        <v>0</v>
      </c>
      <c r="AU443" t="s">
        <v>66</v>
      </c>
      <c r="AV443">
        <v>0</v>
      </c>
      <c r="AW443" t="s">
        <v>66</v>
      </c>
      <c r="AX443">
        <v>0</v>
      </c>
      <c r="AY443" t="s">
        <v>66</v>
      </c>
      <c r="AZ443">
        <v>0</v>
      </c>
      <c r="BA443" t="s">
        <v>66</v>
      </c>
      <c r="BB443">
        <v>0</v>
      </c>
      <c r="BC443">
        <v>0</v>
      </c>
      <c r="BD443">
        <v>65920.679999999993</v>
      </c>
      <c r="BE443">
        <v>8645.48</v>
      </c>
      <c r="BF443">
        <v>0</v>
      </c>
      <c r="BG443" t="s">
        <v>87</v>
      </c>
      <c r="BH443" t="s">
        <v>856</v>
      </c>
      <c r="BI443">
        <v>6</v>
      </c>
      <c r="BJ443" t="s">
        <v>158</v>
      </c>
      <c r="BK443" t="s">
        <v>88</v>
      </c>
      <c r="BL443" t="s">
        <v>719</v>
      </c>
      <c r="BM443" t="s">
        <v>159</v>
      </c>
    </row>
    <row r="444" spans="1:65" x14ac:dyDescent="0.25">
      <c r="A444">
        <v>442</v>
      </c>
      <c r="B444" t="s">
        <v>851</v>
      </c>
      <c r="C444" t="s">
        <v>68</v>
      </c>
      <c r="D444" s="1">
        <v>46207</v>
      </c>
      <c r="E444" t="s">
        <v>852</v>
      </c>
      <c r="F444" t="s">
        <v>68</v>
      </c>
      <c r="G444" t="s">
        <v>295</v>
      </c>
      <c r="H444" t="s">
        <v>296</v>
      </c>
      <c r="I444" t="s">
        <v>71</v>
      </c>
      <c r="J444" t="s">
        <v>72</v>
      </c>
      <c r="K444" t="s">
        <v>73</v>
      </c>
      <c r="L444" t="s">
        <v>74</v>
      </c>
      <c r="M444" t="s">
        <v>853</v>
      </c>
      <c r="N444" t="s">
        <v>76</v>
      </c>
      <c r="O444" t="s">
        <v>854</v>
      </c>
      <c r="P444" t="s">
        <v>855</v>
      </c>
      <c r="Q444" t="s">
        <v>66</v>
      </c>
      <c r="R444" s="1">
        <v>46207</v>
      </c>
      <c r="S444" t="s">
        <v>841</v>
      </c>
      <c r="T444" t="s">
        <v>842</v>
      </c>
      <c r="U444" t="s">
        <v>843</v>
      </c>
      <c r="V444" t="s">
        <v>66</v>
      </c>
      <c r="W444" t="s">
        <v>66</v>
      </c>
      <c r="X444">
        <v>2129736</v>
      </c>
      <c r="Y444">
        <v>234270.96</v>
      </c>
      <c r="Z444">
        <v>59388</v>
      </c>
      <c r="AA444">
        <v>6532.68</v>
      </c>
      <c r="AB444">
        <v>2364006.96</v>
      </c>
      <c r="AC444">
        <v>6</v>
      </c>
      <c r="AD444" t="s">
        <v>82</v>
      </c>
      <c r="AE444">
        <v>6</v>
      </c>
      <c r="AF444" t="s">
        <v>848</v>
      </c>
      <c r="AG444">
        <f>IFERROR(VLOOKUP(AF444,[1]STOK!J:O,6,0),"")</f>
        <v>24</v>
      </c>
      <c r="AH444" s="2">
        <f t="shared" si="12"/>
        <v>0.25</v>
      </c>
      <c r="AI444" t="s">
        <v>848</v>
      </c>
      <c r="AJ444" t="s">
        <v>849</v>
      </c>
      <c r="AK444" t="s">
        <v>850</v>
      </c>
      <c r="AL444" t="s">
        <v>86</v>
      </c>
      <c r="AM444">
        <v>11211</v>
      </c>
      <c r="AN444">
        <f t="shared" si="13"/>
        <v>10986.779999999999</v>
      </c>
      <c r="AO444" t="s">
        <v>66</v>
      </c>
      <c r="AP444">
        <v>2</v>
      </c>
      <c r="AQ444" t="s">
        <v>66</v>
      </c>
      <c r="AR444">
        <v>0</v>
      </c>
      <c r="AS444" t="s">
        <v>66</v>
      </c>
      <c r="AT444">
        <v>0</v>
      </c>
      <c r="AU444" t="s">
        <v>66</v>
      </c>
      <c r="AV444">
        <v>0</v>
      </c>
      <c r="AW444" t="s">
        <v>66</v>
      </c>
      <c r="AX444">
        <v>0</v>
      </c>
      <c r="AY444" t="s">
        <v>66</v>
      </c>
      <c r="AZ444">
        <v>0</v>
      </c>
      <c r="BA444" t="s">
        <v>66</v>
      </c>
      <c r="BB444">
        <v>0</v>
      </c>
      <c r="BC444">
        <v>0</v>
      </c>
      <c r="BD444">
        <v>65920.679999999993</v>
      </c>
      <c r="BE444">
        <v>9026.11</v>
      </c>
      <c r="BF444">
        <v>0</v>
      </c>
      <c r="BG444" t="s">
        <v>87</v>
      </c>
      <c r="BH444" t="s">
        <v>856</v>
      </c>
      <c r="BI444">
        <v>6</v>
      </c>
      <c r="BJ444" t="s">
        <v>158</v>
      </c>
      <c r="BK444" t="s">
        <v>88</v>
      </c>
      <c r="BL444" t="s">
        <v>719</v>
      </c>
      <c r="BM444" t="s">
        <v>159</v>
      </c>
    </row>
    <row r="445" spans="1:65" x14ac:dyDescent="0.25">
      <c r="A445">
        <v>443</v>
      </c>
      <c r="B445" t="s">
        <v>851</v>
      </c>
      <c r="C445" t="s">
        <v>68</v>
      </c>
      <c r="D445" s="1">
        <v>46207</v>
      </c>
      <c r="E445" t="s">
        <v>852</v>
      </c>
      <c r="F445" t="s">
        <v>68</v>
      </c>
      <c r="G445" t="s">
        <v>295</v>
      </c>
      <c r="H445" t="s">
        <v>296</v>
      </c>
      <c r="I445" t="s">
        <v>71</v>
      </c>
      <c r="J445" t="s">
        <v>72</v>
      </c>
      <c r="K445" t="s">
        <v>73</v>
      </c>
      <c r="L445" t="s">
        <v>74</v>
      </c>
      <c r="M445" t="s">
        <v>853</v>
      </c>
      <c r="N445" t="s">
        <v>76</v>
      </c>
      <c r="O445" t="s">
        <v>854</v>
      </c>
      <c r="P445" t="s">
        <v>855</v>
      </c>
      <c r="Q445" t="s">
        <v>66</v>
      </c>
      <c r="R445" s="1">
        <v>46207</v>
      </c>
      <c r="S445" t="s">
        <v>841</v>
      </c>
      <c r="T445" t="s">
        <v>842</v>
      </c>
      <c r="U445" t="s">
        <v>843</v>
      </c>
      <c r="V445" t="s">
        <v>66</v>
      </c>
      <c r="W445" t="s">
        <v>66</v>
      </c>
      <c r="X445">
        <v>2129736</v>
      </c>
      <c r="Y445">
        <v>234270.96</v>
      </c>
      <c r="Z445">
        <v>46452</v>
      </c>
      <c r="AA445">
        <v>5109.72</v>
      </c>
      <c r="AB445">
        <v>2364006.96</v>
      </c>
      <c r="AC445">
        <v>6</v>
      </c>
      <c r="AD445" t="s">
        <v>82</v>
      </c>
      <c r="AE445">
        <v>6</v>
      </c>
      <c r="AF445" t="s">
        <v>248</v>
      </c>
      <c r="AG445">
        <f>IFERROR(VLOOKUP(AF445,[1]STOK!J:O,6,0),"")</f>
        <v>24</v>
      </c>
      <c r="AH445" s="2">
        <f t="shared" si="12"/>
        <v>0.25</v>
      </c>
      <c r="AI445" t="s">
        <v>248</v>
      </c>
      <c r="AJ445" t="s">
        <v>249</v>
      </c>
      <c r="AK445" t="s">
        <v>250</v>
      </c>
      <c r="AL445" t="s">
        <v>86</v>
      </c>
      <c r="AM445">
        <v>8769</v>
      </c>
      <c r="AN445">
        <f t="shared" si="13"/>
        <v>8593.6200000000008</v>
      </c>
      <c r="AO445" t="s">
        <v>66</v>
      </c>
      <c r="AP445">
        <v>2</v>
      </c>
      <c r="AQ445" t="s">
        <v>66</v>
      </c>
      <c r="AR445">
        <v>0</v>
      </c>
      <c r="AS445" t="s">
        <v>66</v>
      </c>
      <c r="AT445">
        <v>0</v>
      </c>
      <c r="AU445" t="s">
        <v>66</v>
      </c>
      <c r="AV445">
        <v>0</v>
      </c>
      <c r="AW445" t="s">
        <v>66</v>
      </c>
      <c r="AX445">
        <v>0</v>
      </c>
      <c r="AY445" t="s">
        <v>66</v>
      </c>
      <c r="AZ445">
        <v>0</v>
      </c>
      <c r="BA445" t="s">
        <v>66</v>
      </c>
      <c r="BB445">
        <v>0</v>
      </c>
      <c r="BC445">
        <v>0</v>
      </c>
      <c r="BD445">
        <v>51561.72</v>
      </c>
      <c r="BE445">
        <v>7032.04</v>
      </c>
      <c r="BF445">
        <v>0</v>
      </c>
      <c r="BG445" t="s">
        <v>87</v>
      </c>
      <c r="BH445" t="s">
        <v>856</v>
      </c>
      <c r="BI445">
        <v>6</v>
      </c>
      <c r="BJ445" t="s">
        <v>158</v>
      </c>
      <c r="BK445" t="s">
        <v>88</v>
      </c>
      <c r="BL445" t="s">
        <v>719</v>
      </c>
      <c r="BM445" t="s">
        <v>159</v>
      </c>
    </row>
    <row r="446" spans="1:65" x14ac:dyDescent="0.25">
      <c r="A446">
        <v>444</v>
      </c>
      <c r="B446" t="s">
        <v>851</v>
      </c>
      <c r="C446" t="s">
        <v>68</v>
      </c>
      <c r="D446" s="1">
        <v>46207</v>
      </c>
      <c r="E446" t="s">
        <v>852</v>
      </c>
      <c r="F446" t="s">
        <v>68</v>
      </c>
      <c r="G446" t="s">
        <v>295</v>
      </c>
      <c r="H446" t="s">
        <v>296</v>
      </c>
      <c r="I446" t="s">
        <v>71</v>
      </c>
      <c r="J446" t="s">
        <v>72</v>
      </c>
      <c r="K446" t="s">
        <v>73</v>
      </c>
      <c r="L446" t="s">
        <v>74</v>
      </c>
      <c r="M446" t="s">
        <v>853</v>
      </c>
      <c r="N446" t="s">
        <v>76</v>
      </c>
      <c r="O446" t="s">
        <v>854</v>
      </c>
      <c r="P446" t="s">
        <v>855</v>
      </c>
      <c r="Q446" t="s">
        <v>66</v>
      </c>
      <c r="R446" s="1">
        <v>46207</v>
      </c>
      <c r="S446" t="s">
        <v>841</v>
      </c>
      <c r="T446" t="s">
        <v>842</v>
      </c>
      <c r="U446" t="s">
        <v>843</v>
      </c>
      <c r="V446" t="s">
        <v>66</v>
      </c>
      <c r="W446" t="s">
        <v>66</v>
      </c>
      <c r="X446">
        <v>2129736</v>
      </c>
      <c r="Y446">
        <v>234270.96</v>
      </c>
      <c r="Z446">
        <v>66444</v>
      </c>
      <c r="AA446">
        <v>7308.84</v>
      </c>
      <c r="AB446">
        <v>2364006.96</v>
      </c>
      <c r="AC446">
        <v>6</v>
      </c>
      <c r="AD446" t="s">
        <v>82</v>
      </c>
      <c r="AE446">
        <v>6</v>
      </c>
      <c r="AF446" t="s">
        <v>122</v>
      </c>
      <c r="AG446">
        <f>IFERROR(VLOOKUP(AF446,[1]STOK!J:O,6,0),"")</f>
        <v>24</v>
      </c>
      <c r="AH446" s="2">
        <f t="shared" si="12"/>
        <v>0.25</v>
      </c>
      <c r="AI446" t="s">
        <v>122</v>
      </c>
      <c r="AJ446" t="s">
        <v>123</v>
      </c>
      <c r="AK446" t="s">
        <v>124</v>
      </c>
      <c r="AL446" t="s">
        <v>86</v>
      </c>
      <c r="AM446">
        <v>12543</v>
      </c>
      <c r="AN446">
        <f t="shared" si="13"/>
        <v>12292.14</v>
      </c>
      <c r="AO446" t="s">
        <v>66</v>
      </c>
      <c r="AP446">
        <v>2</v>
      </c>
      <c r="AQ446" t="s">
        <v>66</v>
      </c>
      <c r="AR446">
        <v>0</v>
      </c>
      <c r="AS446" t="s">
        <v>66</v>
      </c>
      <c r="AT446">
        <v>0</v>
      </c>
      <c r="AU446" t="s">
        <v>66</v>
      </c>
      <c r="AV446">
        <v>0</v>
      </c>
      <c r="AW446" t="s">
        <v>66</v>
      </c>
      <c r="AX446">
        <v>0</v>
      </c>
      <c r="AY446" t="s">
        <v>66</v>
      </c>
      <c r="AZ446">
        <v>0</v>
      </c>
      <c r="BA446" t="s">
        <v>66</v>
      </c>
      <c r="BB446">
        <v>0</v>
      </c>
      <c r="BC446">
        <v>0</v>
      </c>
      <c r="BD446">
        <v>73752.84</v>
      </c>
      <c r="BE446">
        <v>10140.08</v>
      </c>
      <c r="BF446">
        <v>0</v>
      </c>
      <c r="BG446" t="s">
        <v>87</v>
      </c>
      <c r="BH446" t="s">
        <v>856</v>
      </c>
      <c r="BI446">
        <v>6</v>
      </c>
      <c r="BJ446" t="s">
        <v>158</v>
      </c>
      <c r="BK446" t="s">
        <v>88</v>
      </c>
      <c r="BL446" t="s">
        <v>719</v>
      </c>
      <c r="BM446" t="s">
        <v>159</v>
      </c>
    </row>
    <row r="447" spans="1:65" x14ac:dyDescent="0.25">
      <c r="A447">
        <v>445</v>
      </c>
      <c r="B447" t="s">
        <v>851</v>
      </c>
      <c r="C447" t="s">
        <v>68</v>
      </c>
      <c r="D447" s="1">
        <v>46207</v>
      </c>
      <c r="E447" t="s">
        <v>852</v>
      </c>
      <c r="F447" t="s">
        <v>68</v>
      </c>
      <c r="G447" t="s">
        <v>295</v>
      </c>
      <c r="H447" t="s">
        <v>296</v>
      </c>
      <c r="I447" t="s">
        <v>71</v>
      </c>
      <c r="J447" t="s">
        <v>72</v>
      </c>
      <c r="K447" t="s">
        <v>73</v>
      </c>
      <c r="L447" t="s">
        <v>74</v>
      </c>
      <c r="M447" t="s">
        <v>853</v>
      </c>
      <c r="N447" t="s">
        <v>76</v>
      </c>
      <c r="O447" t="s">
        <v>854</v>
      </c>
      <c r="P447" t="s">
        <v>855</v>
      </c>
      <c r="Q447" t="s">
        <v>66</v>
      </c>
      <c r="R447" s="1">
        <v>46207</v>
      </c>
      <c r="S447" t="s">
        <v>841</v>
      </c>
      <c r="T447" t="s">
        <v>842</v>
      </c>
      <c r="U447" t="s">
        <v>843</v>
      </c>
      <c r="V447" t="s">
        <v>66</v>
      </c>
      <c r="W447" t="s">
        <v>66</v>
      </c>
      <c r="X447">
        <v>2129736</v>
      </c>
      <c r="Y447">
        <v>234270.96</v>
      </c>
      <c r="Z447">
        <v>59976</v>
      </c>
      <c r="AA447">
        <v>6597.36</v>
      </c>
      <c r="AB447">
        <v>2364006.96</v>
      </c>
      <c r="AC447">
        <v>6</v>
      </c>
      <c r="AD447" t="s">
        <v>82</v>
      </c>
      <c r="AE447">
        <v>6</v>
      </c>
      <c r="AF447" t="s">
        <v>726</v>
      </c>
      <c r="AG447">
        <f>IFERROR(VLOOKUP(AF447,[1]STOK!J:O,6,0),"")</f>
        <v>24</v>
      </c>
      <c r="AH447" s="2">
        <f t="shared" si="12"/>
        <v>0.25</v>
      </c>
      <c r="AI447" t="s">
        <v>726</v>
      </c>
      <c r="AJ447" t="s">
        <v>727</v>
      </c>
      <c r="AK447" t="s">
        <v>728</v>
      </c>
      <c r="AL447" t="s">
        <v>86</v>
      </c>
      <c r="AM447">
        <v>11322</v>
      </c>
      <c r="AN447">
        <f t="shared" si="13"/>
        <v>11095.56</v>
      </c>
      <c r="AO447" t="s">
        <v>66</v>
      </c>
      <c r="AP447">
        <v>2</v>
      </c>
      <c r="AQ447" t="s">
        <v>66</v>
      </c>
      <c r="AR447">
        <v>0</v>
      </c>
      <c r="AS447" t="s">
        <v>66</v>
      </c>
      <c r="AT447">
        <v>0</v>
      </c>
      <c r="AU447" t="s">
        <v>66</v>
      </c>
      <c r="AV447">
        <v>0</v>
      </c>
      <c r="AW447" t="s">
        <v>66</v>
      </c>
      <c r="AX447">
        <v>0</v>
      </c>
      <c r="AY447" t="s">
        <v>66</v>
      </c>
      <c r="AZ447">
        <v>0</v>
      </c>
      <c r="BA447" t="s">
        <v>66</v>
      </c>
      <c r="BB447">
        <v>0</v>
      </c>
      <c r="BC447">
        <v>0</v>
      </c>
      <c r="BD447">
        <v>66573.36</v>
      </c>
      <c r="BE447">
        <v>8839.89</v>
      </c>
      <c r="BF447">
        <v>0</v>
      </c>
      <c r="BG447" t="s">
        <v>87</v>
      </c>
      <c r="BH447" t="s">
        <v>856</v>
      </c>
      <c r="BI447">
        <v>6</v>
      </c>
      <c r="BJ447" t="s">
        <v>158</v>
      </c>
      <c r="BK447" t="s">
        <v>88</v>
      </c>
      <c r="BL447" t="s">
        <v>719</v>
      </c>
      <c r="BM447" t="s">
        <v>159</v>
      </c>
    </row>
    <row r="448" spans="1:65" x14ac:dyDescent="0.25">
      <c r="A448">
        <v>446</v>
      </c>
      <c r="B448" t="s">
        <v>851</v>
      </c>
      <c r="C448" t="s">
        <v>68</v>
      </c>
      <c r="D448" s="1">
        <v>46207</v>
      </c>
      <c r="E448" t="s">
        <v>852</v>
      </c>
      <c r="F448" t="s">
        <v>68</v>
      </c>
      <c r="G448" t="s">
        <v>295</v>
      </c>
      <c r="H448" t="s">
        <v>296</v>
      </c>
      <c r="I448" t="s">
        <v>71</v>
      </c>
      <c r="J448" t="s">
        <v>72</v>
      </c>
      <c r="K448" t="s">
        <v>73</v>
      </c>
      <c r="L448" t="s">
        <v>74</v>
      </c>
      <c r="M448" t="s">
        <v>853</v>
      </c>
      <c r="N448" t="s">
        <v>76</v>
      </c>
      <c r="O448" t="s">
        <v>854</v>
      </c>
      <c r="P448" t="s">
        <v>855</v>
      </c>
      <c r="Q448" t="s">
        <v>66</v>
      </c>
      <c r="R448" s="1">
        <v>46207</v>
      </c>
      <c r="S448" t="s">
        <v>841</v>
      </c>
      <c r="T448" t="s">
        <v>842</v>
      </c>
      <c r="U448" t="s">
        <v>843</v>
      </c>
      <c r="V448" t="s">
        <v>66</v>
      </c>
      <c r="W448" t="s">
        <v>66</v>
      </c>
      <c r="X448">
        <v>2129736</v>
      </c>
      <c r="Y448">
        <v>234270.96</v>
      </c>
      <c r="Z448">
        <v>59976</v>
      </c>
      <c r="AA448">
        <v>6597.36</v>
      </c>
      <c r="AB448">
        <v>2364006.96</v>
      </c>
      <c r="AC448">
        <v>6</v>
      </c>
      <c r="AD448" t="s">
        <v>82</v>
      </c>
      <c r="AE448">
        <v>6</v>
      </c>
      <c r="AF448" t="s">
        <v>860</v>
      </c>
      <c r="AG448">
        <f>IFERROR(VLOOKUP(AF448,[1]STOK!J:O,6,0),"")</f>
        <v>24</v>
      </c>
      <c r="AH448" s="2">
        <f t="shared" si="12"/>
        <v>0.25</v>
      </c>
      <c r="AI448" t="s">
        <v>860</v>
      </c>
      <c r="AJ448" t="s">
        <v>861</v>
      </c>
      <c r="AK448" t="s">
        <v>862</v>
      </c>
      <c r="AL448" t="s">
        <v>86</v>
      </c>
      <c r="AM448">
        <v>11322</v>
      </c>
      <c r="AN448">
        <f t="shared" si="13"/>
        <v>11095.56</v>
      </c>
      <c r="AO448" t="s">
        <v>66</v>
      </c>
      <c r="AP448">
        <v>2</v>
      </c>
      <c r="AQ448" t="s">
        <v>66</v>
      </c>
      <c r="AR448">
        <v>0</v>
      </c>
      <c r="AS448" t="s">
        <v>66</v>
      </c>
      <c r="AT448">
        <v>0</v>
      </c>
      <c r="AU448" t="s">
        <v>66</v>
      </c>
      <c r="AV448">
        <v>0</v>
      </c>
      <c r="AW448" t="s">
        <v>66</v>
      </c>
      <c r="AX448">
        <v>0</v>
      </c>
      <c r="AY448" t="s">
        <v>66</v>
      </c>
      <c r="AZ448">
        <v>0</v>
      </c>
      <c r="BA448" t="s">
        <v>66</v>
      </c>
      <c r="BB448">
        <v>0</v>
      </c>
      <c r="BC448">
        <v>0</v>
      </c>
      <c r="BD448">
        <v>66573.36</v>
      </c>
      <c r="BE448">
        <v>9168.56</v>
      </c>
      <c r="BF448">
        <v>0</v>
      </c>
      <c r="BG448" t="s">
        <v>87</v>
      </c>
      <c r="BH448" t="s">
        <v>856</v>
      </c>
      <c r="BI448">
        <v>6</v>
      </c>
      <c r="BJ448" t="s">
        <v>158</v>
      </c>
      <c r="BK448" t="s">
        <v>88</v>
      </c>
      <c r="BL448" t="s">
        <v>719</v>
      </c>
      <c r="BM448" t="s">
        <v>159</v>
      </c>
    </row>
    <row r="449" spans="1:65" x14ac:dyDescent="0.25">
      <c r="A449">
        <v>447</v>
      </c>
      <c r="B449" t="s">
        <v>851</v>
      </c>
      <c r="C449" t="s">
        <v>68</v>
      </c>
      <c r="D449" s="1">
        <v>46207</v>
      </c>
      <c r="E449" t="s">
        <v>852</v>
      </c>
      <c r="F449" t="s">
        <v>68</v>
      </c>
      <c r="G449" t="s">
        <v>295</v>
      </c>
      <c r="H449" t="s">
        <v>296</v>
      </c>
      <c r="I449" t="s">
        <v>71</v>
      </c>
      <c r="J449" t="s">
        <v>72</v>
      </c>
      <c r="K449" t="s">
        <v>73</v>
      </c>
      <c r="L449" t="s">
        <v>74</v>
      </c>
      <c r="M449" t="s">
        <v>853</v>
      </c>
      <c r="N449" t="s">
        <v>76</v>
      </c>
      <c r="O449" t="s">
        <v>854</v>
      </c>
      <c r="P449" t="s">
        <v>855</v>
      </c>
      <c r="Q449" t="s">
        <v>66</v>
      </c>
      <c r="R449" s="1">
        <v>46207</v>
      </c>
      <c r="S449" t="s">
        <v>841</v>
      </c>
      <c r="T449" t="s">
        <v>842</v>
      </c>
      <c r="U449" t="s">
        <v>843</v>
      </c>
      <c r="V449" t="s">
        <v>66</v>
      </c>
      <c r="W449" t="s">
        <v>66</v>
      </c>
      <c r="X449">
        <v>2129736</v>
      </c>
      <c r="Y449">
        <v>234270.96</v>
      </c>
      <c r="Z449">
        <v>59976</v>
      </c>
      <c r="AA449">
        <v>6597.36</v>
      </c>
      <c r="AB449">
        <v>2364006.96</v>
      </c>
      <c r="AC449">
        <v>6</v>
      </c>
      <c r="AD449" t="s">
        <v>82</v>
      </c>
      <c r="AE449">
        <v>6</v>
      </c>
      <c r="AF449" t="s">
        <v>670</v>
      </c>
      <c r="AG449">
        <f>IFERROR(VLOOKUP(AF449,[1]STOK!J:O,6,0),"")</f>
        <v>24</v>
      </c>
      <c r="AH449" s="2">
        <f t="shared" si="12"/>
        <v>0.25</v>
      </c>
      <c r="AI449" t="s">
        <v>670</v>
      </c>
      <c r="AJ449" t="s">
        <v>671</v>
      </c>
      <c r="AK449" t="s">
        <v>672</v>
      </c>
      <c r="AL449" t="s">
        <v>86</v>
      </c>
      <c r="AM449">
        <v>11322</v>
      </c>
      <c r="AN449">
        <f t="shared" si="13"/>
        <v>11095.56</v>
      </c>
      <c r="AO449" t="s">
        <v>66</v>
      </c>
      <c r="AP449">
        <v>2</v>
      </c>
      <c r="AQ449" t="s">
        <v>66</v>
      </c>
      <c r="AR449">
        <v>0</v>
      </c>
      <c r="AS449" t="s">
        <v>66</v>
      </c>
      <c r="AT449">
        <v>0</v>
      </c>
      <c r="AU449" t="s">
        <v>66</v>
      </c>
      <c r="AV449">
        <v>0</v>
      </c>
      <c r="AW449" t="s">
        <v>66</v>
      </c>
      <c r="AX449">
        <v>0</v>
      </c>
      <c r="AY449" t="s">
        <v>66</v>
      </c>
      <c r="AZ449">
        <v>0</v>
      </c>
      <c r="BA449" t="s">
        <v>66</v>
      </c>
      <c r="BB449">
        <v>0</v>
      </c>
      <c r="BC449">
        <v>0</v>
      </c>
      <c r="BD449">
        <v>66573.36</v>
      </c>
      <c r="BE449">
        <v>9162.14</v>
      </c>
      <c r="BF449">
        <v>0</v>
      </c>
      <c r="BG449" t="s">
        <v>87</v>
      </c>
      <c r="BH449" t="s">
        <v>856</v>
      </c>
      <c r="BI449">
        <v>6</v>
      </c>
      <c r="BJ449" t="s">
        <v>158</v>
      </c>
      <c r="BK449" t="s">
        <v>88</v>
      </c>
      <c r="BL449" t="s">
        <v>719</v>
      </c>
      <c r="BM449" t="s">
        <v>159</v>
      </c>
    </row>
    <row r="450" spans="1:65" x14ac:dyDescent="0.25">
      <c r="A450">
        <v>448</v>
      </c>
      <c r="B450" t="s">
        <v>851</v>
      </c>
      <c r="C450" t="s">
        <v>68</v>
      </c>
      <c r="D450" s="1">
        <v>46207</v>
      </c>
      <c r="E450" t="s">
        <v>852</v>
      </c>
      <c r="F450" t="s">
        <v>68</v>
      </c>
      <c r="G450" t="s">
        <v>295</v>
      </c>
      <c r="H450" t="s">
        <v>296</v>
      </c>
      <c r="I450" t="s">
        <v>71</v>
      </c>
      <c r="J450" t="s">
        <v>72</v>
      </c>
      <c r="K450" t="s">
        <v>73</v>
      </c>
      <c r="L450" t="s">
        <v>74</v>
      </c>
      <c r="M450" t="s">
        <v>853</v>
      </c>
      <c r="N450" t="s">
        <v>76</v>
      </c>
      <c r="O450" t="s">
        <v>854</v>
      </c>
      <c r="P450" t="s">
        <v>855</v>
      </c>
      <c r="Q450" t="s">
        <v>66</v>
      </c>
      <c r="R450" s="1">
        <v>46207</v>
      </c>
      <c r="S450" t="s">
        <v>841</v>
      </c>
      <c r="T450" t="s">
        <v>842</v>
      </c>
      <c r="U450" t="s">
        <v>843</v>
      </c>
      <c r="V450" t="s">
        <v>66</v>
      </c>
      <c r="W450" t="s">
        <v>66</v>
      </c>
      <c r="X450">
        <v>2129736</v>
      </c>
      <c r="Y450">
        <v>234270.96</v>
      </c>
      <c r="Z450">
        <v>33516</v>
      </c>
      <c r="AA450">
        <v>3686.76</v>
      </c>
      <c r="AB450">
        <v>2364006.96</v>
      </c>
      <c r="AC450">
        <v>6</v>
      </c>
      <c r="AD450" t="s">
        <v>82</v>
      </c>
      <c r="AE450">
        <v>6</v>
      </c>
      <c r="AF450" t="s">
        <v>90</v>
      </c>
      <c r="AG450">
        <f>IFERROR(VLOOKUP(AF450,[1]STOK!J:O,6,0),"")</f>
        <v>48</v>
      </c>
      <c r="AH450" s="2">
        <f t="shared" si="12"/>
        <v>0.125</v>
      </c>
      <c r="AI450" t="s">
        <v>90</v>
      </c>
      <c r="AJ450" t="s">
        <v>91</v>
      </c>
      <c r="AK450" t="s">
        <v>92</v>
      </c>
      <c r="AL450" t="s">
        <v>86</v>
      </c>
      <c r="AM450">
        <v>6327</v>
      </c>
      <c r="AN450">
        <f t="shared" si="13"/>
        <v>6200.46</v>
      </c>
      <c r="AO450" t="s">
        <v>66</v>
      </c>
      <c r="AP450">
        <v>2</v>
      </c>
      <c r="AQ450" t="s">
        <v>66</v>
      </c>
      <c r="AR450">
        <v>0</v>
      </c>
      <c r="AS450" t="s">
        <v>66</v>
      </c>
      <c r="AT450">
        <v>0</v>
      </c>
      <c r="AU450" t="s">
        <v>66</v>
      </c>
      <c r="AV450">
        <v>0</v>
      </c>
      <c r="AW450" t="s">
        <v>66</v>
      </c>
      <c r="AX450">
        <v>0</v>
      </c>
      <c r="AY450" t="s">
        <v>66</v>
      </c>
      <c r="AZ450">
        <v>0</v>
      </c>
      <c r="BA450" t="s">
        <v>66</v>
      </c>
      <c r="BB450">
        <v>0</v>
      </c>
      <c r="BC450">
        <v>0</v>
      </c>
      <c r="BD450">
        <v>37202.76</v>
      </c>
      <c r="BE450">
        <v>4953.2299999999996</v>
      </c>
      <c r="BF450">
        <v>0</v>
      </c>
      <c r="BG450" t="s">
        <v>87</v>
      </c>
      <c r="BH450" t="s">
        <v>856</v>
      </c>
      <c r="BI450">
        <v>6</v>
      </c>
      <c r="BJ450" t="s">
        <v>158</v>
      </c>
      <c r="BK450" t="s">
        <v>88</v>
      </c>
      <c r="BL450" t="s">
        <v>719</v>
      </c>
      <c r="BM450" t="s">
        <v>159</v>
      </c>
    </row>
    <row r="451" spans="1:65" x14ac:dyDescent="0.25">
      <c r="A451">
        <v>449</v>
      </c>
      <c r="B451" t="s">
        <v>851</v>
      </c>
      <c r="C451" t="s">
        <v>68</v>
      </c>
      <c r="D451" s="1">
        <v>46207</v>
      </c>
      <c r="E451" t="s">
        <v>852</v>
      </c>
      <c r="F451" t="s">
        <v>68</v>
      </c>
      <c r="G451" t="s">
        <v>295</v>
      </c>
      <c r="H451" t="s">
        <v>296</v>
      </c>
      <c r="I451" t="s">
        <v>71</v>
      </c>
      <c r="J451" t="s">
        <v>72</v>
      </c>
      <c r="K451" t="s">
        <v>73</v>
      </c>
      <c r="L451" t="s">
        <v>74</v>
      </c>
      <c r="M451" t="s">
        <v>853</v>
      </c>
      <c r="N451" t="s">
        <v>76</v>
      </c>
      <c r="O451" t="s">
        <v>854</v>
      </c>
      <c r="P451" t="s">
        <v>855</v>
      </c>
      <c r="Q451" t="s">
        <v>66</v>
      </c>
      <c r="R451" s="1">
        <v>46207</v>
      </c>
      <c r="S451" t="s">
        <v>841</v>
      </c>
      <c r="T451" t="s">
        <v>842</v>
      </c>
      <c r="U451" t="s">
        <v>843</v>
      </c>
      <c r="V451" t="s">
        <v>66</v>
      </c>
      <c r="W451" t="s">
        <v>66</v>
      </c>
      <c r="X451">
        <v>2129736</v>
      </c>
      <c r="Y451">
        <v>234270.96</v>
      </c>
      <c r="Z451">
        <v>33516</v>
      </c>
      <c r="AA451">
        <v>3686.76</v>
      </c>
      <c r="AB451">
        <v>2364006.96</v>
      </c>
      <c r="AC451">
        <v>6</v>
      </c>
      <c r="AD451" t="s">
        <v>82</v>
      </c>
      <c r="AE451">
        <v>6</v>
      </c>
      <c r="AF451" t="s">
        <v>350</v>
      </c>
      <c r="AG451">
        <f>IFERROR(VLOOKUP(AF451,[1]STOK!J:O,6,0),"")</f>
        <v>48</v>
      </c>
      <c r="AH451" s="2">
        <f t="shared" si="12"/>
        <v>0.125</v>
      </c>
      <c r="AI451" t="s">
        <v>350</v>
      </c>
      <c r="AJ451" t="s">
        <v>351</v>
      </c>
      <c r="AK451" t="s">
        <v>352</v>
      </c>
      <c r="AL451" t="s">
        <v>86</v>
      </c>
      <c r="AM451">
        <v>6327</v>
      </c>
      <c r="AN451">
        <f t="shared" si="13"/>
        <v>6200.46</v>
      </c>
      <c r="AO451" t="s">
        <v>66</v>
      </c>
      <c r="AP451">
        <v>2</v>
      </c>
      <c r="AQ451" t="s">
        <v>66</v>
      </c>
      <c r="AR451">
        <v>0</v>
      </c>
      <c r="AS451" t="s">
        <v>66</v>
      </c>
      <c r="AT451">
        <v>0</v>
      </c>
      <c r="AU451" t="s">
        <v>66</v>
      </c>
      <c r="AV451">
        <v>0</v>
      </c>
      <c r="AW451" t="s">
        <v>66</v>
      </c>
      <c r="AX451">
        <v>0</v>
      </c>
      <c r="AY451" t="s">
        <v>66</v>
      </c>
      <c r="AZ451">
        <v>0</v>
      </c>
      <c r="BA451" t="s">
        <v>66</v>
      </c>
      <c r="BB451">
        <v>0</v>
      </c>
      <c r="BC451">
        <v>0</v>
      </c>
      <c r="BD451">
        <v>37202.76</v>
      </c>
      <c r="BE451">
        <v>5143.3999999999996</v>
      </c>
      <c r="BF451">
        <v>0</v>
      </c>
      <c r="BG451" t="s">
        <v>87</v>
      </c>
      <c r="BH451" t="s">
        <v>856</v>
      </c>
      <c r="BI451">
        <v>6</v>
      </c>
      <c r="BJ451" t="s">
        <v>158</v>
      </c>
      <c r="BK451" t="s">
        <v>88</v>
      </c>
      <c r="BL451" t="s">
        <v>719</v>
      </c>
      <c r="BM451" t="s">
        <v>159</v>
      </c>
    </row>
    <row r="452" spans="1:65" x14ac:dyDescent="0.25">
      <c r="A452">
        <v>450</v>
      </c>
      <c r="B452" t="s">
        <v>851</v>
      </c>
      <c r="C452" t="s">
        <v>68</v>
      </c>
      <c r="D452" s="1">
        <v>46207</v>
      </c>
      <c r="E452" t="s">
        <v>852</v>
      </c>
      <c r="F452" t="s">
        <v>68</v>
      </c>
      <c r="G452" t="s">
        <v>295</v>
      </c>
      <c r="H452" t="s">
        <v>296</v>
      </c>
      <c r="I452" t="s">
        <v>71</v>
      </c>
      <c r="J452" t="s">
        <v>72</v>
      </c>
      <c r="K452" t="s">
        <v>73</v>
      </c>
      <c r="L452" t="s">
        <v>74</v>
      </c>
      <c r="M452" t="s">
        <v>853</v>
      </c>
      <c r="N452" t="s">
        <v>76</v>
      </c>
      <c r="O452" t="s">
        <v>854</v>
      </c>
      <c r="P452" t="s">
        <v>855</v>
      </c>
      <c r="Q452" t="s">
        <v>66</v>
      </c>
      <c r="R452" s="1">
        <v>46207</v>
      </c>
      <c r="S452" t="s">
        <v>841</v>
      </c>
      <c r="T452" t="s">
        <v>842</v>
      </c>
      <c r="U452" t="s">
        <v>843</v>
      </c>
      <c r="V452" t="s">
        <v>66</v>
      </c>
      <c r="W452" t="s">
        <v>66</v>
      </c>
      <c r="X452">
        <v>2129736</v>
      </c>
      <c r="Y452">
        <v>234270.96</v>
      </c>
      <c r="Z452">
        <v>97020</v>
      </c>
      <c r="AA452">
        <v>10672.2</v>
      </c>
      <c r="AB452">
        <v>2364006.96</v>
      </c>
      <c r="AC452">
        <v>6</v>
      </c>
      <c r="AD452" t="s">
        <v>82</v>
      </c>
      <c r="AE452">
        <v>6</v>
      </c>
      <c r="AF452" t="s">
        <v>128</v>
      </c>
      <c r="AG452">
        <f>IFERROR(VLOOKUP(AF452,[1]STOK!J:O,6,0),"")</f>
        <v>24</v>
      </c>
      <c r="AH452" s="2">
        <f t="shared" ref="AH452:AH515" si="14">AE452/AG452</f>
        <v>0.25</v>
      </c>
      <c r="AI452" t="s">
        <v>128</v>
      </c>
      <c r="AJ452" t="s">
        <v>129</v>
      </c>
      <c r="AK452" t="s">
        <v>130</v>
      </c>
      <c r="AL452" t="s">
        <v>86</v>
      </c>
      <c r="AM452">
        <v>18315</v>
      </c>
      <c r="AN452">
        <f t="shared" ref="AN452:AN515" si="15">BD452/AC452</f>
        <v>17948.7</v>
      </c>
      <c r="AO452" t="s">
        <v>66</v>
      </c>
      <c r="AP452">
        <v>2</v>
      </c>
      <c r="AQ452" t="s">
        <v>66</v>
      </c>
      <c r="AR452">
        <v>0</v>
      </c>
      <c r="AS452" t="s">
        <v>66</v>
      </c>
      <c r="AT452">
        <v>0</v>
      </c>
      <c r="AU452" t="s">
        <v>66</v>
      </c>
      <c r="AV452">
        <v>0</v>
      </c>
      <c r="AW452" t="s">
        <v>66</v>
      </c>
      <c r="AX452">
        <v>0</v>
      </c>
      <c r="AY452" t="s">
        <v>66</v>
      </c>
      <c r="AZ452">
        <v>0</v>
      </c>
      <c r="BA452" t="s">
        <v>66</v>
      </c>
      <c r="BB452">
        <v>0</v>
      </c>
      <c r="BC452">
        <v>0</v>
      </c>
      <c r="BD452">
        <v>107692.2</v>
      </c>
      <c r="BE452">
        <v>14907.75</v>
      </c>
      <c r="BF452">
        <v>0</v>
      </c>
      <c r="BG452" t="s">
        <v>87</v>
      </c>
      <c r="BH452" t="s">
        <v>856</v>
      </c>
      <c r="BI452">
        <v>6</v>
      </c>
      <c r="BJ452" t="s">
        <v>158</v>
      </c>
      <c r="BK452" t="s">
        <v>88</v>
      </c>
      <c r="BL452" t="s">
        <v>719</v>
      </c>
      <c r="BM452" t="s">
        <v>159</v>
      </c>
    </row>
    <row r="453" spans="1:65" x14ac:dyDescent="0.25">
      <c r="A453">
        <v>451</v>
      </c>
      <c r="B453" t="s">
        <v>851</v>
      </c>
      <c r="C453" t="s">
        <v>68</v>
      </c>
      <c r="D453" s="1">
        <v>46207</v>
      </c>
      <c r="E453" t="s">
        <v>852</v>
      </c>
      <c r="F453" t="s">
        <v>68</v>
      </c>
      <c r="G453" t="s">
        <v>295</v>
      </c>
      <c r="H453" t="s">
        <v>296</v>
      </c>
      <c r="I453" t="s">
        <v>71</v>
      </c>
      <c r="J453" t="s">
        <v>72</v>
      </c>
      <c r="K453" t="s">
        <v>73</v>
      </c>
      <c r="L453" t="s">
        <v>74</v>
      </c>
      <c r="M453" t="s">
        <v>853</v>
      </c>
      <c r="N453" t="s">
        <v>76</v>
      </c>
      <c r="O453" t="s">
        <v>854</v>
      </c>
      <c r="P453" t="s">
        <v>855</v>
      </c>
      <c r="Q453" t="s">
        <v>66</v>
      </c>
      <c r="R453" s="1">
        <v>46207</v>
      </c>
      <c r="S453" t="s">
        <v>841</v>
      </c>
      <c r="T453" t="s">
        <v>842</v>
      </c>
      <c r="U453" t="s">
        <v>843</v>
      </c>
      <c r="V453" t="s">
        <v>66</v>
      </c>
      <c r="W453" t="s">
        <v>66</v>
      </c>
      <c r="X453">
        <v>2129736</v>
      </c>
      <c r="Y453">
        <v>234270.96</v>
      </c>
      <c r="Z453">
        <v>97020</v>
      </c>
      <c r="AA453">
        <v>10672.2</v>
      </c>
      <c r="AB453">
        <v>2364006.96</v>
      </c>
      <c r="AC453">
        <v>6</v>
      </c>
      <c r="AD453" t="s">
        <v>82</v>
      </c>
      <c r="AE453">
        <v>6</v>
      </c>
      <c r="AF453" t="s">
        <v>93</v>
      </c>
      <c r="AG453">
        <f>IFERROR(VLOOKUP(AF453,[1]STOK!J:O,6,0),"")</f>
        <v>24</v>
      </c>
      <c r="AH453" s="2">
        <f t="shared" si="14"/>
        <v>0.25</v>
      </c>
      <c r="AI453" t="s">
        <v>93</v>
      </c>
      <c r="AJ453" t="s">
        <v>94</v>
      </c>
      <c r="AK453" t="s">
        <v>95</v>
      </c>
      <c r="AL453" t="s">
        <v>86</v>
      </c>
      <c r="AM453">
        <v>18315</v>
      </c>
      <c r="AN453">
        <f t="shared" si="15"/>
        <v>17948.7</v>
      </c>
      <c r="AO453" t="s">
        <v>66</v>
      </c>
      <c r="AP453">
        <v>2</v>
      </c>
      <c r="AQ453" t="s">
        <v>66</v>
      </c>
      <c r="AR453">
        <v>0</v>
      </c>
      <c r="AS453" t="s">
        <v>66</v>
      </c>
      <c r="AT453">
        <v>0</v>
      </c>
      <c r="AU453" t="s">
        <v>66</v>
      </c>
      <c r="AV453">
        <v>0</v>
      </c>
      <c r="AW453" t="s">
        <v>66</v>
      </c>
      <c r="AX453">
        <v>0</v>
      </c>
      <c r="AY453" t="s">
        <v>66</v>
      </c>
      <c r="AZ453">
        <v>0</v>
      </c>
      <c r="BA453" t="s">
        <v>66</v>
      </c>
      <c r="BB453">
        <v>0</v>
      </c>
      <c r="BC453">
        <v>0</v>
      </c>
      <c r="BD453">
        <v>107692.2</v>
      </c>
      <c r="BE453">
        <v>14931.72</v>
      </c>
      <c r="BF453">
        <v>0</v>
      </c>
      <c r="BG453" t="s">
        <v>87</v>
      </c>
      <c r="BH453" t="s">
        <v>856</v>
      </c>
      <c r="BI453">
        <v>6</v>
      </c>
      <c r="BJ453" t="s">
        <v>158</v>
      </c>
      <c r="BK453" t="s">
        <v>88</v>
      </c>
      <c r="BL453" t="s">
        <v>719</v>
      </c>
      <c r="BM453" t="s">
        <v>159</v>
      </c>
    </row>
    <row r="454" spans="1:65" x14ac:dyDescent="0.25">
      <c r="A454">
        <v>452</v>
      </c>
      <c r="B454" t="s">
        <v>851</v>
      </c>
      <c r="C454" t="s">
        <v>68</v>
      </c>
      <c r="D454" s="1">
        <v>46207</v>
      </c>
      <c r="E454" t="s">
        <v>852</v>
      </c>
      <c r="F454" t="s">
        <v>68</v>
      </c>
      <c r="G454" t="s">
        <v>295</v>
      </c>
      <c r="H454" t="s">
        <v>296</v>
      </c>
      <c r="I454" t="s">
        <v>71</v>
      </c>
      <c r="J454" t="s">
        <v>72</v>
      </c>
      <c r="K454" t="s">
        <v>73</v>
      </c>
      <c r="L454" t="s">
        <v>74</v>
      </c>
      <c r="M454" t="s">
        <v>853</v>
      </c>
      <c r="N454" t="s">
        <v>76</v>
      </c>
      <c r="O454" t="s">
        <v>854</v>
      </c>
      <c r="P454" t="s">
        <v>855</v>
      </c>
      <c r="Q454" t="s">
        <v>66</v>
      </c>
      <c r="R454" s="1">
        <v>46207</v>
      </c>
      <c r="S454" t="s">
        <v>841</v>
      </c>
      <c r="T454" t="s">
        <v>842</v>
      </c>
      <c r="U454" t="s">
        <v>843</v>
      </c>
      <c r="V454" t="s">
        <v>66</v>
      </c>
      <c r="W454" t="s">
        <v>66</v>
      </c>
      <c r="X454">
        <v>2129736</v>
      </c>
      <c r="Y454">
        <v>234270.96</v>
      </c>
      <c r="Z454">
        <v>97020</v>
      </c>
      <c r="AA454">
        <v>10672.2</v>
      </c>
      <c r="AB454">
        <v>2364006.96</v>
      </c>
      <c r="AC454">
        <v>6</v>
      </c>
      <c r="AD454" t="s">
        <v>82</v>
      </c>
      <c r="AE454">
        <v>6</v>
      </c>
      <c r="AF454" t="s">
        <v>205</v>
      </c>
      <c r="AG454">
        <f>IFERROR(VLOOKUP(AF454,[1]STOK!J:O,6,0),"")</f>
        <v>24</v>
      </c>
      <c r="AH454" s="2">
        <f t="shared" si="14"/>
        <v>0.25</v>
      </c>
      <c r="AI454" t="s">
        <v>205</v>
      </c>
      <c r="AJ454" t="s">
        <v>206</v>
      </c>
      <c r="AK454" t="s">
        <v>207</v>
      </c>
      <c r="AL454" t="s">
        <v>86</v>
      </c>
      <c r="AM454">
        <v>18315</v>
      </c>
      <c r="AN454">
        <f t="shared" si="15"/>
        <v>17948.7</v>
      </c>
      <c r="AO454" t="s">
        <v>66</v>
      </c>
      <c r="AP454">
        <v>2</v>
      </c>
      <c r="AQ454" t="s">
        <v>66</v>
      </c>
      <c r="AR454">
        <v>0</v>
      </c>
      <c r="AS454" t="s">
        <v>66</v>
      </c>
      <c r="AT454">
        <v>0</v>
      </c>
      <c r="AU454" t="s">
        <v>66</v>
      </c>
      <c r="AV454">
        <v>0</v>
      </c>
      <c r="AW454" t="s">
        <v>66</v>
      </c>
      <c r="AX454">
        <v>0</v>
      </c>
      <c r="AY454" t="s">
        <v>66</v>
      </c>
      <c r="AZ454">
        <v>0</v>
      </c>
      <c r="BA454" t="s">
        <v>66</v>
      </c>
      <c r="BB454">
        <v>0</v>
      </c>
      <c r="BC454">
        <v>0</v>
      </c>
      <c r="BD454">
        <v>107692.2</v>
      </c>
      <c r="BE454">
        <v>14865.57</v>
      </c>
      <c r="BF454">
        <v>0</v>
      </c>
      <c r="BG454" t="s">
        <v>87</v>
      </c>
      <c r="BH454" t="s">
        <v>856</v>
      </c>
      <c r="BI454">
        <v>6</v>
      </c>
      <c r="BJ454" t="s">
        <v>158</v>
      </c>
      <c r="BK454" t="s">
        <v>88</v>
      </c>
      <c r="BL454" t="s">
        <v>719</v>
      </c>
      <c r="BM454" t="s">
        <v>159</v>
      </c>
    </row>
    <row r="455" spans="1:65" x14ac:dyDescent="0.25">
      <c r="A455">
        <v>453</v>
      </c>
      <c r="B455" t="s">
        <v>851</v>
      </c>
      <c r="C455" t="s">
        <v>68</v>
      </c>
      <c r="D455" s="1">
        <v>46207</v>
      </c>
      <c r="E455" t="s">
        <v>852</v>
      </c>
      <c r="F455" t="s">
        <v>68</v>
      </c>
      <c r="G455" t="s">
        <v>295</v>
      </c>
      <c r="H455" t="s">
        <v>296</v>
      </c>
      <c r="I455" t="s">
        <v>71</v>
      </c>
      <c r="J455" t="s">
        <v>72</v>
      </c>
      <c r="K455" t="s">
        <v>73</v>
      </c>
      <c r="L455" t="s">
        <v>74</v>
      </c>
      <c r="M455" t="s">
        <v>853</v>
      </c>
      <c r="N455" t="s">
        <v>76</v>
      </c>
      <c r="O455" t="s">
        <v>854</v>
      </c>
      <c r="P455" t="s">
        <v>855</v>
      </c>
      <c r="Q455" t="s">
        <v>66</v>
      </c>
      <c r="R455" s="1">
        <v>46207</v>
      </c>
      <c r="S455" t="s">
        <v>841</v>
      </c>
      <c r="T455" t="s">
        <v>842</v>
      </c>
      <c r="U455" t="s">
        <v>843</v>
      </c>
      <c r="V455" t="s">
        <v>66</v>
      </c>
      <c r="W455" t="s">
        <v>66</v>
      </c>
      <c r="X455">
        <v>2129736</v>
      </c>
      <c r="Y455">
        <v>234270.96</v>
      </c>
      <c r="Z455">
        <v>97020</v>
      </c>
      <c r="AA455">
        <v>10672.2</v>
      </c>
      <c r="AB455">
        <v>2364006.96</v>
      </c>
      <c r="AC455">
        <v>6</v>
      </c>
      <c r="AD455" t="s">
        <v>82</v>
      </c>
      <c r="AE455">
        <v>6</v>
      </c>
      <c r="AF455" t="s">
        <v>96</v>
      </c>
      <c r="AG455">
        <f>IFERROR(VLOOKUP(AF455,[1]STOK!J:O,6,0),"")</f>
        <v>24</v>
      </c>
      <c r="AH455" s="2">
        <f t="shared" si="14"/>
        <v>0.25</v>
      </c>
      <c r="AI455" t="s">
        <v>96</v>
      </c>
      <c r="AJ455" t="s">
        <v>97</v>
      </c>
      <c r="AK455" t="s">
        <v>98</v>
      </c>
      <c r="AL455" t="s">
        <v>86</v>
      </c>
      <c r="AM455">
        <v>18315</v>
      </c>
      <c r="AN455">
        <f t="shared" si="15"/>
        <v>17948.7</v>
      </c>
      <c r="AO455" t="s">
        <v>66</v>
      </c>
      <c r="AP455">
        <v>2</v>
      </c>
      <c r="AQ455" t="s">
        <v>66</v>
      </c>
      <c r="AR455">
        <v>0</v>
      </c>
      <c r="AS455" t="s">
        <v>66</v>
      </c>
      <c r="AT455">
        <v>0</v>
      </c>
      <c r="AU455" t="s">
        <v>66</v>
      </c>
      <c r="AV455">
        <v>0</v>
      </c>
      <c r="AW455" t="s">
        <v>66</v>
      </c>
      <c r="AX455">
        <v>0</v>
      </c>
      <c r="AY455" t="s">
        <v>66</v>
      </c>
      <c r="AZ455">
        <v>0</v>
      </c>
      <c r="BA455" t="s">
        <v>66</v>
      </c>
      <c r="BB455">
        <v>0</v>
      </c>
      <c r="BC455">
        <v>0</v>
      </c>
      <c r="BD455">
        <v>107692.2</v>
      </c>
      <c r="BE455">
        <v>14932.79</v>
      </c>
      <c r="BF455">
        <v>0</v>
      </c>
      <c r="BG455" t="s">
        <v>87</v>
      </c>
      <c r="BH455" t="s">
        <v>856</v>
      </c>
      <c r="BI455">
        <v>6</v>
      </c>
      <c r="BJ455" t="s">
        <v>158</v>
      </c>
      <c r="BK455" t="s">
        <v>88</v>
      </c>
      <c r="BL455" t="s">
        <v>719</v>
      </c>
      <c r="BM455" t="s">
        <v>159</v>
      </c>
    </row>
    <row r="456" spans="1:65" x14ac:dyDescent="0.25">
      <c r="A456">
        <v>454</v>
      </c>
      <c r="B456" t="s">
        <v>851</v>
      </c>
      <c r="C456" t="s">
        <v>68</v>
      </c>
      <c r="D456" s="1">
        <v>46207</v>
      </c>
      <c r="E456" t="s">
        <v>852</v>
      </c>
      <c r="F456" t="s">
        <v>68</v>
      </c>
      <c r="G456" t="s">
        <v>295</v>
      </c>
      <c r="H456" t="s">
        <v>296</v>
      </c>
      <c r="I456" t="s">
        <v>71</v>
      </c>
      <c r="J456" t="s">
        <v>72</v>
      </c>
      <c r="K456" t="s">
        <v>73</v>
      </c>
      <c r="L456" t="s">
        <v>74</v>
      </c>
      <c r="M456" t="s">
        <v>853</v>
      </c>
      <c r="N456" t="s">
        <v>76</v>
      </c>
      <c r="O456" t="s">
        <v>854</v>
      </c>
      <c r="P456" t="s">
        <v>855</v>
      </c>
      <c r="Q456" t="s">
        <v>66</v>
      </c>
      <c r="R456" s="1">
        <v>46207</v>
      </c>
      <c r="S456" t="s">
        <v>841</v>
      </c>
      <c r="T456" t="s">
        <v>842</v>
      </c>
      <c r="U456" t="s">
        <v>843</v>
      </c>
      <c r="V456" t="s">
        <v>66</v>
      </c>
      <c r="W456" t="s">
        <v>66</v>
      </c>
      <c r="X456">
        <v>2129736</v>
      </c>
      <c r="Y456">
        <v>234270.96</v>
      </c>
      <c r="Z456">
        <v>97020</v>
      </c>
      <c r="AA456">
        <v>10672.2</v>
      </c>
      <c r="AB456">
        <v>2364006.96</v>
      </c>
      <c r="AC456">
        <v>6</v>
      </c>
      <c r="AD456" t="s">
        <v>82</v>
      </c>
      <c r="AE456">
        <v>6</v>
      </c>
      <c r="AF456" t="s">
        <v>99</v>
      </c>
      <c r="AG456">
        <f>IFERROR(VLOOKUP(AF456,[1]STOK!J:O,6,0),"")</f>
        <v>24</v>
      </c>
      <c r="AH456" s="2">
        <f t="shared" si="14"/>
        <v>0.25</v>
      </c>
      <c r="AI456" t="s">
        <v>99</v>
      </c>
      <c r="AJ456" t="s">
        <v>100</v>
      </c>
      <c r="AK456" t="s">
        <v>101</v>
      </c>
      <c r="AL456" t="s">
        <v>86</v>
      </c>
      <c r="AM456">
        <v>18315</v>
      </c>
      <c r="AN456">
        <f t="shared" si="15"/>
        <v>17948.7</v>
      </c>
      <c r="AO456" t="s">
        <v>66</v>
      </c>
      <c r="AP456">
        <v>2</v>
      </c>
      <c r="AQ456" t="s">
        <v>66</v>
      </c>
      <c r="AR456">
        <v>0</v>
      </c>
      <c r="AS456" t="s">
        <v>66</v>
      </c>
      <c r="AT456">
        <v>0</v>
      </c>
      <c r="AU456" t="s">
        <v>66</v>
      </c>
      <c r="AV456">
        <v>0</v>
      </c>
      <c r="AW456" t="s">
        <v>66</v>
      </c>
      <c r="AX456">
        <v>0</v>
      </c>
      <c r="AY456" t="s">
        <v>66</v>
      </c>
      <c r="AZ456">
        <v>0</v>
      </c>
      <c r="BA456" t="s">
        <v>66</v>
      </c>
      <c r="BB456">
        <v>0</v>
      </c>
      <c r="BC456">
        <v>0</v>
      </c>
      <c r="BD456">
        <v>107692.2</v>
      </c>
      <c r="BE456">
        <v>14915.33</v>
      </c>
      <c r="BF456">
        <v>0</v>
      </c>
      <c r="BG456" t="s">
        <v>87</v>
      </c>
      <c r="BH456" t="s">
        <v>856</v>
      </c>
      <c r="BI456">
        <v>6</v>
      </c>
      <c r="BJ456" t="s">
        <v>158</v>
      </c>
      <c r="BK456" t="s">
        <v>88</v>
      </c>
      <c r="BL456" t="s">
        <v>719</v>
      </c>
      <c r="BM456" t="s">
        <v>159</v>
      </c>
    </row>
    <row r="457" spans="1:65" x14ac:dyDescent="0.25">
      <c r="A457">
        <v>455</v>
      </c>
      <c r="B457" t="s">
        <v>851</v>
      </c>
      <c r="C457" t="s">
        <v>68</v>
      </c>
      <c r="D457" s="1">
        <v>46207</v>
      </c>
      <c r="E457" t="s">
        <v>852</v>
      </c>
      <c r="F457" t="s">
        <v>68</v>
      </c>
      <c r="G457" t="s">
        <v>295</v>
      </c>
      <c r="H457" t="s">
        <v>296</v>
      </c>
      <c r="I457" t="s">
        <v>71</v>
      </c>
      <c r="J457" t="s">
        <v>72</v>
      </c>
      <c r="K457" t="s">
        <v>73</v>
      </c>
      <c r="L457" t="s">
        <v>74</v>
      </c>
      <c r="M457" t="s">
        <v>853</v>
      </c>
      <c r="N457" t="s">
        <v>76</v>
      </c>
      <c r="O457" t="s">
        <v>854</v>
      </c>
      <c r="P457" t="s">
        <v>855</v>
      </c>
      <c r="Q457" t="s">
        <v>66</v>
      </c>
      <c r="R457" s="1">
        <v>46207</v>
      </c>
      <c r="S457" t="s">
        <v>841</v>
      </c>
      <c r="T457" t="s">
        <v>842</v>
      </c>
      <c r="U457" t="s">
        <v>843</v>
      </c>
      <c r="V457" t="s">
        <v>66</v>
      </c>
      <c r="W457" t="s">
        <v>66</v>
      </c>
      <c r="X457">
        <v>2129736</v>
      </c>
      <c r="Y457">
        <v>234270.96</v>
      </c>
      <c r="Z457">
        <v>160524</v>
      </c>
      <c r="AA457">
        <v>17657.64</v>
      </c>
      <c r="AB457">
        <v>2364006.96</v>
      </c>
      <c r="AC457">
        <v>6</v>
      </c>
      <c r="AD457" t="s">
        <v>82</v>
      </c>
      <c r="AE457">
        <v>6</v>
      </c>
      <c r="AF457" t="s">
        <v>563</v>
      </c>
      <c r="AG457">
        <f>IFERROR(VLOOKUP(AF457,[1]STOK!J:O,6,0),"")</f>
        <v>12</v>
      </c>
      <c r="AH457" s="2">
        <f t="shared" si="14"/>
        <v>0.5</v>
      </c>
      <c r="AI457" t="s">
        <v>563</v>
      </c>
      <c r="AJ457" t="s">
        <v>564</v>
      </c>
      <c r="AK457" t="s">
        <v>565</v>
      </c>
      <c r="AL457" t="s">
        <v>86</v>
      </c>
      <c r="AM457">
        <v>30303</v>
      </c>
      <c r="AN457">
        <f t="shared" si="15"/>
        <v>29696.940000000002</v>
      </c>
      <c r="AO457" t="s">
        <v>66</v>
      </c>
      <c r="AP457">
        <v>2</v>
      </c>
      <c r="AQ457" t="s">
        <v>66</v>
      </c>
      <c r="AR457">
        <v>0</v>
      </c>
      <c r="AS457" t="s">
        <v>66</v>
      </c>
      <c r="AT457">
        <v>0</v>
      </c>
      <c r="AU457" t="s">
        <v>66</v>
      </c>
      <c r="AV457">
        <v>0</v>
      </c>
      <c r="AW457" t="s">
        <v>66</v>
      </c>
      <c r="AX457">
        <v>0</v>
      </c>
      <c r="AY457" t="s">
        <v>66</v>
      </c>
      <c r="AZ457">
        <v>0</v>
      </c>
      <c r="BA457" t="s">
        <v>66</v>
      </c>
      <c r="BB457">
        <v>0</v>
      </c>
      <c r="BC457">
        <v>0</v>
      </c>
      <c r="BD457">
        <v>178181.64</v>
      </c>
      <c r="BE457">
        <v>24678.61</v>
      </c>
      <c r="BF457">
        <v>0</v>
      </c>
      <c r="BG457" t="s">
        <v>87</v>
      </c>
      <c r="BH457" t="s">
        <v>856</v>
      </c>
      <c r="BI457">
        <v>6</v>
      </c>
      <c r="BJ457" t="s">
        <v>158</v>
      </c>
      <c r="BK457" t="s">
        <v>88</v>
      </c>
      <c r="BL457" t="s">
        <v>719</v>
      </c>
      <c r="BM457" t="s">
        <v>159</v>
      </c>
    </row>
    <row r="458" spans="1:65" x14ac:dyDescent="0.25">
      <c r="A458">
        <v>456</v>
      </c>
      <c r="B458" t="s">
        <v>851</v>
      </c>
      <c r="C458" t="s">
        <v>68</v>
      </c>
      <c r="D458" s="1">
        <v>46207</v>
      </c>
      <c r="E458" t="s">
        <v>852</v>
      </c>
      <c r="F458" t="s">
        <v>68</v>
      </c>
      <c r="G458" t="s">
        <v>295</v>
      </c>
      <c r="H458" t="s">
        <v>296</v>
      </c>
      <c r="I458" t="s">
        <v>71</v>
      </c>
      <c r="J458" t="s">
        <v>72</v>
      </c>
      <c r="K458" t="s">
        <v>73</v>
      </c>
      <c r="L458" t="s">
        <v>74</v>
      </c>
      <c r="M458" t="s">
        <v>853</v>
      </c>
      <c r="N458" t="s">
        <v>76</v>
      </c>
      <c r="O458" t="s">
        <v>854</v>
      </c>
      <c r="P458" t="s">
        <v>855</v>
      </c>
      <c r="Q458" t="s">
        <v>66</v>
      </c>
      <c r="R458" s="1">
        <v>46207</v>
      </c>
      <c r="S458" t="s">
        <v>841</v>
      </c>
      <c r="T458" t="s">
        <v>842</v>
      </c>
      <c r="U458" t="s">
        <v>843</v>
      </c>
      <c r="V458" t="s">
        <v>66</v>
      </c>
      <c r="W458" t="s">
        <v>66</v>
      </c>
      <c r="X458">
        <v>2129736</v>
      </c>
      <c r="Y458">
        <v>234270.96</v>
      </c>
      <c r="Z458">
        <v>57036</v>
      </c>
      <c r="AA458">
        <v>6273.96</v>
      </c>
      <c r="AB458">
        <v>2364006.96</v>
      </c>
      <c r="AC458">
        <v>3</v>
      </c>
      <c r="AD458" t="s">
        <v>82</v>
      </c>
      <c r="AE458">
        <v>3</v>
      </c>
      <c r="AF458" t="s">
        <v>470</v>
      </c>
      <c r="AG458">
        <f>IFERROR(VLOOKUP(AF458,[1]STOK!J:O,6,0),"")</f>
        <v>24</v>
      </c>
      <c r="AH458" s="2">
        <f t="shared" si="14"/>
        <v>0.125</v>
      </c>
      <c r="AI458" t="s">
        <v>470</v>
      </c>
      <c r="AJ458" t="s">
        <v>471</v>
      </c>
      <c r="AK458" t="s">
        <v>472</v>
      </c>
      <c r="AL458" t="s">
        <v>86</v>
      </c>
      <c r="AM458">
        <v>21534</v>
      </c>
      <c r="AN458">
        <f t="shared" si="15"/>
        <v>21103.32</v>
      </c>
      <c r="AO458" t="s">
        <v>66</v>
      </c>
      <c r="AP458">
        <v>2</v>
      </c>
      <c r="AQ458" t="s">
        <v>66</v>
      </c>
      <c r="AR458">
        <v>0</v>
      </c>
      <c r="AS458" t="s">
        <v>66</v>
      </c>
      <c r="AT458">
        <v>0</v>
      </c>
      <c r="AU458" t="s">
        <v>66</v>
      </c>
      <c r="AV458">
        <v>0</v>
      </c>
      <c r="AW458" t="s">
        <v>66</v>
      </c>
      <c r="AX458">
        <v>0</v>
      </c>
      <c r="AY458" t="s">
        <v>66</v>
      </c>
      <c r="AZ458">
        <v>0</v>
      </c>
      <c r="BA458" t="s">
        <v>66</v>
      </c>
      <c r="BB458">
        <v>0</v>
      </c>
      <c r="BC458">
        <v>0</v>
      </c>
      <c r="BD458">
        <v>63309.96</v>
      </c>
      <c r="BE458">
        <v>17421.95</v>
      </c>
      <c r="BF458">
        <v>0</v>
      </c>
      <c r="BG458" t="s">
        <v>87</v>
      </c>
      <c r="BH458" t="s">
        <v>856</v>
      </c>
      <c r="BI458">
        <v>3</v>
      </c>
      <c r="BJ458" t="s">
        <v>158</v>
      </c>
      <c r="BK458" t="s">
        <v>88</v>
      </c>
      <c r="BL458" t="s">
        <v>719</v>
      </c>
      <c r="BM458" t="s">
        <v>159</v>
      </c>
    </row>
    <row r="459" spans="1:65" x14ac:dyDescent="0.25">
      <c r="A459">
        <v>457</v>
      </c>
      <c r="B459" t="s">
        <v>851</v>
      </c>
      <c r="C459" t="s">
        <v>68</v>
      </c>
      <c r="D459" s="1">
        <v>46207</v>
      </c>
      <c r="E459" t="s">
        <v>852</v>
      </c>
      <c r="F459" t="s">
        <v>68</v>
      </c>
      <c r="G459" t="s">
        <v>295</v>
      </c>
      <c r="H459" t="s">
        <v>296</v>
      </c>
      <c r="I459" t="s">
        <v>71</v>
      </c>
      <c r="J459" t="s">
        <v>72</v>
      </c>
      <c r="K459" t="s">
        <v>73</v>
      </c>
      <c r="L459" t="s">
        <v>74</v>
      </c>
      <c r="M459" t="s">
        <v>853</v>
      </c>
      <c r="N459" t="s">
        <v>76</v>
      </c>
      <c r="O459" t="s">
        <v>854</v>
      </c>
      <c r="P459" t="s">
        <v>855</v>
      </c>
      <c r="Q459" t="s">
        <v>66</v>
      </c>
      <c r="R459" s="1">
        <v>46207</v>
      </c>
      <c r="S459" t="s">
        <v>841</v>
      </c>
      <c r="T459" t="s">
        <v>842</v>
      </c>
      <c r="U459" t="s">
        <v>843</v>
      </c>
      <c r="V459" t="s">
        <v>66</v>
      </c>
      <c r="W459" t="s">
        <v>66</v>
      </c>
      <c r="X459">
        <v>2129736</v>
      </c>
      <c r="Y459">
        <v>234270.96</v>
      </c>
      <c r="Z459">
        <v>78204</v>
      </c>
      <c r="AA459">
        <v>8602.44</v>
      </c>
      <c r="AB459">
        <v>2364006.96</v>
      </c>
      <c r="AC459">
        <v>6</v>
      </c>
      <c r="AD459" t="s">
        <v>82</v>
      </c>
      <c r="AE459">
        <v>6</v>
      </c>
      <c r="AF459" t="s">
        <v>135</v>
      </c>
      <c r="AG459">
        <f>IFERROR(VLOOKUP(AF459,[1]STOK!J:O,6,0),"")</f>
        <v>12</v>
      </c>
      <c r="AH459" s="2">
        <f t="shared" si="14"/>
        <v>0.5</v>
      </c>
      <c r="AI459" t="s">
        <v>135</v>
      </c>
      <c r="AJ459" t="s">
        <v>136</v>
      </c>
      <c r="AK459" t="s">
        <v>137</v>
      </c>
      <c r="AL459" t="s">
        <v>86</v>
      </c>
      <c r="AM459">
        <v>14763</v>
      </c>
      <c r="AN459">
        <f t="shared" si="15"/>
        <v>14467.74</v>
      </c>
      <c r="AO459" t="s">
        <v>66</v>
      </c>
      <c r="AP459">
        <v>2</v>
      </c>
      <c r="AQ459" t="s">
        <v>66</v>
      </c>
      <c r="AR459">
        <v>0</v>
      </c>
      <c r="AS459" t="s">
        <v>66</v>
      </c>
      <c r="AT459">
        <v>0</v>
      </c>
      <c r="AU459" t="s">
        <v>66</v>
      </c>
      <c r="AV459">
        <v>0</v>
      </c>
      <c r="AW459" t="s">
        <v>66</v>
      </c>
      <c r="AX459">
        <v>0</v>
      </c>
      <c r="AY459" t="s">
        <v>66</v>
      </c>
      <c r="AZ459">
        <v>0</v>
      </c>
      <c r="BA459" t="s">
        <v>66</v>
      </c>
      <c r="BB459">
        <v>0</v>
      </c>
      <c r="BC459">
        <v>0</v>
      </c>
      <c r="BD459">
        <v>86806.44</v>
      </c>
      <c r="BE459">
        <v>12026.74</v>
      </c>
      <c r="BF459">
        <v>0</v>
      </c>
      <c r="BG459" t="s">
        <v>87</v>
      </c>
      <c r="BH459" t="s">
        <v>856</v>
      </c>
      <c r="BI459">
        <v>6</v>
      </c>
      <c r="BJ459" t="s">
        <v>158</v>
      </c>
      <c r="BK459" t="s">
        <v>88</v>
      </c>
      <c r="BL459" t="s">
        <v>719</v>
      </c>
      <c r="BM459" t="s">
        <v>159</v>
      </c>
    </row>
    <row r="460" spans="1:65" x14ac:dyDescent="0.25">
      <c r="A460">
        <v>458</v>
      </c>
      <c r="B460" t="s">
        <v>851</v>
      </c>
      <c r="C460" t="s">
        <v>68</v>
      </c>
      <c r="D460" s="1">
        <v>46207</v>
      </c>
      <c r="E460" t="s">
        <v>852</v>
      </c>
      <c r="F460" t="s">
        <v>68</v>
      </c>
      <c r="G460" t="s">
        <v>295</v>
      </c>
      <c r="H460" t="s">
        <v>296</v>
      </c>
      <c r="I460" t="s">
        <v>71</v>
      </c>
      <c r="J460" t="s">
        <v>72</v>
      </c>
      <c r="K460" t="s">
        <v>73</v>
      </c>
      <c r="L460" t="s">
        <v>74</v>
      </c>
      <c r="M460" t="s">
        <v>853</v>
      </c>
      <c r="N460" t="s">
        <v>76</v>
      </c>
      <c r="O460" t="s">
        <v>854</v>
      </c>
      <c r="P460" t="s">
        <v>855</v>
      </c>
      <c r="Q460" t="s">
        <v>66</v>
      </c>
      <c r="R460" s="1">
        <v>46207</v>
      </c>
      <c r="S460" t="s">
        <v>841</v>
      </c>
      <c r="T460" t="s">
        <v>842</v>
      </c>
      <c r="U460" t="s">
        <v>843</v>
      </c>
      <c r="V460" t="s">
        <v>66</v>
      </c>
      <c r="W460" t="s">
        <v>66</v>
      </c>
      <c r="X460">
        <v>2129736</v>
      </c>
      <c r="Y460">
        <v>234270.96</v>
      </c>
      <c r="Z460">
        <v>78204</v>
      </c>
      <c r="AA460">
        <v>8602.44</v>
      </c>
      <c r="AB460">
        <v>2364006.96</v>
      </c>
      <c r="AC460">
        <v>6</v>
      </c>
      <c r="AD460" t="s">
        <v>82</v>
      </c>
      <c r="AE460">
        <v>6</v>
      </c>
      <c r="AF460" t="s">
        <v>210</v>
      </c>
      <c r="AG460">
        <f>IFERROR(VLOOKUP(AF460,[1]STOK!J:O,6,0),"")</f>
        <v>12</v>
      </c>
      <c r="AH460" s="2">
        <f t="shared" si="14"/>
        <v>0.5</v>
      </c>
      <c r="AI460" t="s">
        <v>210</v>
      </c>
      <c r="AJ460" t="s">
        <v>211</v>
      </c>
      <c r="AK460" t="s">
        <v>212</v>
      </c>
      <c r="AL460" t="s">
        <v>86</v>
      </c>
      <c r="AM460">
        <v>14763</v>
      </c>
      <c r="AN460">
        <f t="shared" si="15"/>
        <v>14467.74</v>
      </c>
      <c r="AO460" t="s">
        <v>66</v>
      </c>
      <c r="AP460">
        <v>2</v>
      </c>
      <c r="AQ460" t="s">
        <v>66</v>
      </c>
      <c r="AR460">
        <v>0</v>
      </c>
      <c r="AS460" t="s">
        <v>66</v>
      </c>
      <c r="AT460">
        <v>0</v>
      </c>
      <c r="AU460" t="s">
        <v>66</v>
      </c>
      <c r="AV460">
        <v>0</v>
      </c>
      <c r="AW460" t="s">
        <v>66</v>
      </c>
      <c r="AX460">
        <v>0</v>
      </c>
      <c r="AY460" t="s">
        <v>66</v>
      </c>
      <c r="AZ460">
        <v>0</v>
      </c>
      <c r="BA460" t="s">
        <v>66</v>
      </c>
      <c r="BB460">
        <v>0</v>
      </c>
      <c r="BC460">
        <v>0</v>
      </c>
      <c r="BD460">
        <v>86806.44</v>
      </c>
      <c r="BE460">
        <v>12009.37</v>
      </c>
      <c r="BF460">
        <v>0</v>
      </c>
      <c r="BG460" t="s">
        <v>87</v>
      </c>
      <c r="BH460" t="s">
        <v>856</v>
      </c>
      <c r="BI460">
        <v>6</v>
      </c>
      <c r="BJ460" t="s">
        <v>158</v>
      </c>
      <c r="BK460" t="s">
        <v>88</v>
      </c>
      <c r="BL460" t="s">
        <v>719</v>
      </c>
      <c r="BM460" t="s">
        <v>159</v>
      </c>
    </row>
    <row r="461" spans="1:65" x14ac:dyDescent="0.25">
      <c r="A461">
        <v>459</v>
      </c>
      <c r="B461" t="s">
        <v>851</v>
      </c>
      <c r="C461" t="s">
        <v>68</v>
      </c>
      <c r="D461" s="1">
        <v>46207</v>
      </c>
      <c r="E461" t="s">
        <v>852</v>
      </c>
      <c r="F461" t="s">
        <v>68</v>
      </c>
      <c r="G461" t="s">
        <v>295</v>
      </c>
      <c r="H461" t="s">
        <v>296</v>
      </c>
      <c r="I461" t="s">
        <v>71</v>
      </c>
      <c r="J461" t="s">
        <v>72</v>
      </c>
      <c r="K461" t="s">
        <v>73</v>
      </c>
      <c r="L461" t="s">
        <v>74</v>
      </c>
      <c r="M461" t="s">
        <v>853</v>
      </c>
      <c r="N461" t="s">
        <v>76</v>
      </c>
      <c r="O461" t="s">
        <v>854</v>
      </c>
      <c r="P461" t="s">
        <v>855</v>
      </c>
      <c r="Q461" t="s">
        <v>66</v>
      </c>
      <c r="R461" s="1">
        <v>46207</v>
      </c>
      <c r="S461" t="s">
        <v>841</v>
      </c>
      <c r="T461" t="s">
        <v>842</v>
      </c>
      <c r="U461" t="s">
        <v>843</v>
      </c>
      <c r="V461" t="s">
        <v>66</v>
      </c>
      <c r="W461" t="s">
        <v>66</v>
      </c>
      <c r="X461">
        <v>2129736</v>
      </c>
      <c r="Y461">
        <v>234270.96</v>
      </c>
      <c r="Z461">
        <v>101724</v>
      </c>
      <c r="AA461">
        <v>11189.64</v>
      </c>
      <c r="AB461">
        <v>2364006.96</v>
      </c>
      <c r="AC461">
        <v>6</v>
      </c>
      <c r="AD461" t="s">
        <v>82</v>
      </c>
      <c r="AE461">
        <v>6</v>
      </c>
      <c r="AF461" t="s">
        <v>359</v>
      </c>
      <c r="AG461">
        <f>IFERROR(VLOOKUP(AF461,[1]STOK!J:O,6,0),"")</f>
        <v>12</v>
      </c>
      <c r="AH461" s="2">
        <f t="shared" si="14"/>
        <v>0.5</v>
      </c>
      <c r="AI461" t="s">
        <v>359</v>
      </c>
      <c r="AJ461" t="s">
        <v>360</v>
      </c>
      <c r="AK461" t="s">
        <v>361</v>
      </c>
      <c r="AL461" t="s">
        <v>86</v>
      </c>
      <c r="AM461">
        <v>19203</v>
      </c>
      <c r="AN461">
        <f t="shared" si="15"/>
        <v>18818.939999999999</v>
      </c>
      <c r="AO461" t="s">
        <v>66</v>
      </c>
      <c r="AP461">
        <v>2</v>
      </c>
      <c r="AQ461" t="s">
        <v>66</v>
      </c>
      <c r="AR461">
        <v>0</v>
      </c>
      <c r="AS461" t="s">
        <v>66</v>
      </c>
      <c r="AT461">
        <v>0</v>
      </c>
      <c r="AU461" t="s">
        <v>66</v>
      </c>
      <c r="AV461">
        <v>0</v>
      </c>
      <c r="AW461" t="s">
        <v>66</v>
      </c>
      <c r="AX461">
        <v>0</v>
      </c>
      <c r="AY461" t="s">
        <v>66</v>
      </c>
      <c r="AZ461">
        <v>0</v>
      </c>
      <c r="BA461" t="s">
        <v>66</v>
      </c>
      <c r="BB461">
        <v>0</v>
      </c>
      <c r="BC461">
        <v>0</v>
      </c>
      <c r="BD461">
        <v>112913.64</v>
      </c>
      <c r="BE461">
        <v>15607.61</v>
      </c>
      <c r="BF461">
        <v>0</v>
      </c>
      <c r="BG461" t="s">
        <v>87</v>
      </c>
      <c r="BH461" t="s">
        <v>856</v>
      </c>
      <c r="BI461">
        <v>6</v>
      </c>
      <c r="BJ461" t="s">
        <v>158</v>
      </c>
      <c r="BK461" t="s">
        <v>88</v>
      </c>
      <c r="BL461" t="s">
        <v>719</v>
      </c>
      <c r="BM461" t="s">
        <v>159</v>
      </c>
    </row>
    <row r="462" spans="1:65" x14ac:dyDescent="0.25">
      <c r="A462">
        <v>460</v>
      </c>
      <c r="B462" t="s">
        <v>851</v>
      </c>
      <c r="C462" t="s">
        <v>68</v>
      </c>
      <c r="D462" s="1">
        <v>46207</v>
      </c>
      <c r="E462" t="s">
        <v>852</v>
      </c>
      <c r="F462" t="s">
        <v>68</v>
      </c>
      <c r="G462" t="s">
        <v>295</v>
      </c>
      <c r="H462" t="s">
        <v>296</v>
      </c>
      <c r="I462" t="s">
        <v>71</v>
      </c>
      <c r="J462" t="s">
        <v>72</v>
      </c>
      <c r="K462" t="s">
        <v>73</v>
      </c>
      <c r="L462" t="s">
        <v>74</v>
      </c>
      <c r="M462" t="s">
        <v>853</v>
      </c>
      <c r="N462" t="s">
        <v>76</v>
      </c>
      <c r="O462" t="s">
        <v>854</v>
      </c>
      <c r="P462" t="s">
        <v>855</v>
      </c>
      <c r="Q462" t="s">
        <v>66</v>
      </c>
      <c r="R462" s="1">
        <v>46207</v>
      </c>
      <c r="S462" t="s">
        <v>841</v>
      </c>
      <c r="T462" t="s">
        <v>842</v>
      </c>
      <c r="U462" t="s">
        <v>843</v>
      </c>
      <c r="V462" t="s">
        <v>66</v>
      </c>
      <c r="W462" t="s">
        <v>66</v>
      </c>
      <c r="X462">
        <v>2129736</v>
      </c>
      <c r="Y462">
        <v>234270.96</v>
      </c>
      <c r="Z462">
        <v>117600</v>
      </c>
      <c r="AA462">
        <v>12936</v>
      </c>
      <c r="AB462">
        <v>2364006.96</v>
      </c>
      <c r="AC462">
        <v>6</v>
      </c>
      <c r="AD462" t="s">
        <v>82</v>
      </c>
      <c r="AE462">
        <v>6</v>
      </c>
      <c r="AF462" t="s">
        <v>290</v>
      </c>
      <c r="AG462">
        <f>IFERROR(VLOOKUP(AF462,[1]STOK!J:O,6,0),"")</f>
        <v>12</v>
      </c>
      <c r="AH462" s="2">
        <f t="shared" si="14"/>
        <v>0.5</v>
      </c>
      <c r="AI462" t="s">
        <v>290</v>
      </c>
      <c r="AJ462" t="s">
        <v>291</v>
      </c>
      <c r="AK462" t="s">
        <v>292</v>
      </c>
      <c r="AL462" t="s">
        <v>86</v>
      </c>
      <c r="AM462">
        <v>22200</v>
      </c>
      <c r="AN462">
        <f t="shared" si="15"/>
        <v>21756</v>
      </c>
      <c r="AO462" t="s">
        <v>66</v>
      </c>
      <c r="AP462">
        <v>2</v>
      </c>
      <c r="AQ462" t="s">
        <v>66</v>
      </c>
      <c r="AR462">
        <v>0</v>
      </c>
      <c r="AS462" t="s">
        <v>66</v>
      </c>
      <c r="AT462">
        <v>0</v>
      </c>
      <c r="AU462" t="s">
        <v>66</v>
      </c>
      <c r="AV462">
        <v>0</v>
      </c>
      <c r="AW462" t="s">
        <v>66</v>
      </c>
      <c r="AX462">
        <v>0</v>
      </c>
      <c r="AY462" t="s">
        <v>66</v>
      </c>
      <c r="AZ462">
        <v>0</v>
      </c>
      <c r="BA462" t="s">
        <v>66</v>
      </c>
      <c r="BB462">
        <v>0</v>
      </c>
      <c r="BC462">
        <v>0</v>
      </c>
      <c r="BD462">
        <v>130536</v>
      </c>
      <c r="BE462">
        <v>18106.89</v>
      </c>
      <c r="BF462">
        <v>0</v>
      </c>
      <c r="BG462" t="s">
        <v>87</v>
      </c>
      <c r="BH462" t="s">
        <v>856</v>
      </c>
      <c r="BI462">
        <v>6</v>
      </c>
      <c r="BJ462" t="s">
        <v>158</v>
      </c>
      <c r="BK462" t="s">
        <v>88</v>
      </c>
      <c r="BL462" t="s">
        <v>719</v>
      </c>
      <c r="BM462" t="s">
        <v>159</v>
      </c>
    </row>
    <row r="463" spans="1:65" x14ac:dyDescent="0.25">
      <c r="A463">
        <v>461</v>
      </c>
      <c r="B463" t="s">
        <v>851</v>
      </c>
      <c r="C463" t="s">
        <v>68</v>
      </c>
      <c r="D463" s="1">
        <v>46207</v>
      </c>
      <c r="E463" t="s">
        <v>852</v>
      </c>
      <c r="F463" t="s">
        <v>68</v>
      </c>
      <c r="G463" t="s">
        <v>295</v>
      </c>
      <c r="H463" t="s">
        <v>296</v>
      </c>
      <c r="I463" t="s">
        <v>71</v>
      </c>
      <c r="J463" t="s">
        <v>72</v>
      </c>
      <c r="K463" t="s">
        <v>73</v>
      </c>
      <c r="L463" t="s">
        <v>74</v>
      </c>
      <c r="M463" t="s">
        <v>853</v>
      </c>
      <c r="N463" t="s">
        <v>76</v>
      </c>
      <c r="O463" t="s">
        <v>854</v>
      </c>
      <c r="P463" t="s">
        <v>855</v>
      </c>
      <c r="Q463" t="s">
        <v>66</v>
      </c>
      <c r="R463" s="1">
        <v>46207</v>
      </c>
      <c r="S463" t="s">
        <v>841</v>
      </c>
      <c r="T463" t="s">
        <v>842</v>
      </c>
      <c r="U463" t="s">
        <v>843</v>
      </c>
      <c r="V463" t="s">
        <v>66</v>
      </c>
      <c r="W463" t="s">
        <v>66</v>
      </c>
      <c r="X463">
        <v>2129736</v>
      </c>
      <c r="Y463">
        <v>234270.96</v>
      </c>
      <c r="Z463">
        <v>117600</v>
      </c>
      <c r="AA463">
        <v>12936</v>
      </c>
      <c r="AB463">
        <v>2364006.96</v>
      </c>
      <c r="AC463">
        <v>6</v>
      </c>
      <c r="AD463" t="s">
        <v>82</v>
      </c>
      <c r="AE463">
        <v>6</v>
      </c>
      <c r="AF463" t="s">
        <v>102</v>
      </c>
      <c r="AG463">
        <f>IFERROR(VLOOKUP(AF463,[1]STOK!J:O,6,0),"")</f>
        <v>12</v>
      </c>
      <c r="AH463" s="2">
        <f t="shared" si="14"/>
        <v>0.5</v>
      </c>
      <c r="AI463" t="s">
        <v>102</v>
      </c>
      <c r="AJ463" t="s">
        <v>103</v>
      </c>
      <c r="AK463" t="s">
        <v>104</v>
      </c>
      <c r="AL463" t="s">
        <v>86</v>
      </c>
      <c r="AM463">
        <v>22200</v>
      </c>
      <c r="AN463">
        <f t="shared" si="15"/>
        <v>21756</v>
      </c>
      <c r="AO463" t="s">
        <v>66</v>
      </c>
      <c r="AP463">
        <v>2</v>
      </c>
      <c r="AQ463" t="s">
        <v>66</v>
      </c>
      <c r="AR463">
        <v>0</v>
      </c>
      <c r="AS463" t="s">
        <v>66</v>
      </c>
      <c r="AT463">
        <v>0</v>
      </c>
      <c r="AU463" t="s">
        <v>66</v>
      </c>
      <c r="AV463">
        <v>0</v>
      </c>
      <c r="AW463" t="s">
        <v>66</v>
      </c>
      <c r="AX463">
        <v>0</v>
      </c>
      <c r="AY463" t="s">
        <v>66</v>
      </c>
      <c r="AZ463">
        <v>0</v>
      </c>
      <c r="BA463" t="s">
        <v>66</v>
      </c>
      <c r="BB463">
        <v>0</v>
      </c>
      <c r="BC463">
        <v>0</v>
      </c>
      <c r="BD463">
        <v>130536</v>
      </c>
      <c r="BE463">
        <v>18040.98</v>
      </c>
      <c r="BF463">
        <v>0</v>
      </c>
      <c r="BG463" t="s">
        <v>87</v>
      </c>
      <c r="BH463" t="s">
        <v>856</v>
      </c>
      <c r="BI463">
        <v>6</v>
      </c>
      <c r="BJ463" t="s">
        <v>158</v>
      </c>
      <c r="BK463" t="s">
        <v>88</v>
      </c>
      <c r="BL463" t="s">
        <v>719</v>
      </c>
      <c r="BM463" t="s">
        <v>159</v>
      </c>
    </row>
    <row r="464" spans="1:65" x14ac:dyDescent="0.25">
      <c r="A464">
        <v>462</v>
      </c>
      <c r="B464" t="s">
        <v>863</v>
      </c>
      <c r="C464" t="s">
        <v>864</v>
      </c>
      <c r="D464" s="1">
        <v>46207</v>
      </c>
      <c r="E464" t="s">
        <v>865</v>
      </c>
      <c r="F464" t="s">
        <v>866</v>
      </c>
      <c r="G464" t="s">
        <v>69</v>
      </c>
      <c r="H464" t="s">
        <v>70</v>
      </c>
      <c r="I464" t="s">
        <v>71</v>
      </c>
      <c r="J464" t="s">
        <v>72</v>
      </c>
      <c r="K464" t="s">
        <v>73</v>
      </c>
      <c r="L464" t="s">
        <v>74</v>
      </c>
      <c r="M464" t="s">
        <v>867</v>
      </c>
      <c r="N464" t="s">
        <v>696</v>
      </c>
      <c r="O464" t="s">
        <v>868</v>
      </c>
      <c r="P464" t="s">
        <v>869</v>
      </c>
      <c r="Q464" t="s">
        <v>870</v>
      </c>
      <c r="R464" s="1">
        <v>46209</v>
      </c>
      <c r="S464" t="s">
        <v>871</v>
      </c>
      <c r="T464" t="s">
        <v>872</v>
      </c>
      <c r="U464" t="s">
        <v>873</v>
      </c>
      <c r="V464" t="s">
        <v>66</v>
      </c>
      <c r="W464" t="s">
        <v>66</v>
      </c>
      <c r="X464">
        <v>9424908</v>
      </c>
      <c r="Y464">
        <v>1036739.88</v>
      </c>
      <c r="Z464">
        <v>488880</v>
      </c>
      <c r="AA464">
        <v>53776.800000000003</v>
      </c>
      <c r="AB464">
        <v>10461647.880000001</v>
      </c>
      <c r="AC464">
        <v>2</v>
      </c>
      <c r="AD464" t="s">
        <v>134</v>
      </c>
      <c r="AE464">
        <v>48</v>
      </c>
      <c r="AF464" t="s">
        <v>874</v>
      </c>
      <c r="AG464">
        <f>IFERROR(VLOOKUP(AF464,[1]STOK!J:O,6,0),"")</f>
        <v>24</v>
      </c>
      <c r="AH464" s="2">
        <f t="shared" si="14"/>
        <v>2</v>
      </c>
      <c r="AI464" t="s">
        <v>874</v>
      </c>
      <c r="AJ464" t="s">
        <v>875</v>
      </c>
      <c r="AK464" t="s">
        <v>876</v>
      </c>
      <c r="AL464" t="s">
        <v>86</v>
      </c>
      <c r="AM464">
        <v>279720</v>
      </c>
      <c r="AN464">
        <f t="shared" si="15"/>
        <v>271328.40000000002</v>
      </c>
      <c r="AO464" t="s">
        <v>66</v>
      </c>
      <c r="AP464">
        <v>3</v>
      </c>
      <c r="AQ464" t="s">
        <v>66</v>
      </c>
      <c r="AR464">
        <v>0</v>
      </c>
      <c r="AS464" t="s">
        <v>66</v>
      </c>
      <c r="AT464">
        <v>0</v>
      </c>
      <c r="AU464" t="s">
        <v>66</v>
      </c>
      <c r="AV464">
        <v>0</v>
      </c>
      <c r="AW464" t="s">
        <v>66</v>
      </c>
      <c r="AX464">
        <v>0</v>
      </c>
      <c r="AY464" t="s">
        <v>66</v>
      </c>
      <c r="AZ464">
        <v>0</v>
      </c>
      <c r="BA464" t="s">
        <v>66</v>
      </c>
      <c r="BB464">
        <v>0</v>
      </c>
      <c r="BC464">
        <v>0</v>
      </c>
      <c r="BD464">
        <v>542656.80000000005</v>
      </c>
      <c r="BE464">
        <v>9488.6299999999992</v>
      </c>
      <c r="BF464">
        <v>0</v>
      </c>
      <c r="BG464" t="s">
        <v>87</v>
      </c>
      <c r="BH464" t="s">
        <v>66</v>
      </c>
      <c r="BI464">
        <v>0</v>
      </c>
      <c r="BJ464" t="s">
        <v>66</v>
      </c>
      <c r="BK464" t="s">
        <v>88</v>
      </c>
      <c r="BL464" t="s">
        <v>877</v>
      </c>
      <c r="BM464" t="s">
        <v>159</v>
      </c>
    </row>
    <row r="465" spans="1:65" x14ac:dyDescent="0.25">
      <c r="A465">
        <v>463</v>
      </c>
      <c r="B465" t="s">
        <v>863</v>
      </c>
      <c r="C465" t="s">
        <v>864</v>
      </c>
      <c r="D465" s="1">
        <v>46207</v>
      </c>
      <c r="E465" t="s">
        <v>865</v>
      </c>
      <c r="F465" t="s">
        <v>866</v>
      </c>
      <c r="G465" t="s">
        <v>69</v>
      </c>
      <c r="H465" t="s">
        <v>70</v>
      </c>
      <c r="I465" t="s">
        <v>71</v>
      </c>
      <c r="J465" t="s">
        <v>72</v>
      </c>
      <c r="K465" t="s">
        <v>73</v>
      </c>
      <c r="L465" t="s">
        <v>74</v>
      </c>
      <c r="M465" t="s">
        <v>867</v>
      </c>
      <c r="N465" t="s">
        <v>696</v>
      </c>
      <c r="O465" t="s">
        <v>868</v>
      </c>
      <c r="P465" t="s">
        <v>869</v>
      </c>
      <c r="Q465" t="s">
        <v>870</v>
      </c>
      <c r="R465" s="1">
        <v>46209</v>
      </c>
      <c r="S465" t="s">
        <v>871</v>
      </c>
      <c r="T465" t="s">
        <v>872</v>
      </c>
      <c r="U465" t="s">
        <v>873</v>
      </c>
      <c r="V465" t="s">
        <v>66</v>
      </c>
      <c r="W465" t="s">
        <v>66</v>
      </c>
      <c r="X465">
        <v>9424908</v>
      </c>
      <c r="Y465">
        <v>1036739.88</v>
      </c>
      <c r="Z465">
        <v>1920600</v>
      </c>
      <c r="AA465">
        <v>211266</v>
      </c>
      <c r="AB465">
        <v>10461647.880000001</v>
      </c>
      <c r="AC465">
        <v>5</v>
      </c>
      <c r="AD465" t="s">
        <v>134</v>
      </c>
      <c r="AE465">
        <v>120</v>
      </c>
      <c r="AF465" t="s">
        <v>96</v>
      </c>
      <c r="AG465">
        <f>IFERROR(VLOOKUP(AF465,[1]STOK!J:O,6,0),"")</f>
        <v>24</v>
      </c>
      <c r="AH465" s="2">
        <f t="shared" si="14"/>
        <v>5</v>
      </c>
      <c r="AI465" t="s">
        <v>96</v>
      </c>
      <c r="AJ465" t="s">
        <v>97</v>
      </c>
      <c r="AK465" t="s">
        <v>98</v>
      </c>
      <c r="AL465" t="s">
        <v>86</v>
      </c>
      <c r="AM465">
        <v>439560</v>
      </c>
      <c r="AN465">
        <f t="shared" si="15"/>
        <v>426373.2</v>
      </c>
      <c r="AO465" t="s">
        <v>66</v>
      </c>
      <c r="AP465">
        <v>3</v>
      </c>
      <c r="AQ465" t="s">
        <v>66</v>
      </c>
      <c r="AR465">
        <v>0</v>
      </c>
      <c r="AS465" t="s">
        <v>66</v>
      </c>
      <c r="AT465">
        <v>0</v>
      </c>
      <c r="AU465" t="s">
        <v>66</v>
      </c>
      <c r="AV465">
        <v>0</v>
      </c>
      <c r="AW465" t="s">
        <v>66</v>
      </c>
      <c r="AX465">
        <v>0</v>
      </c>
      <c r="AY465" t="s">
        <v>66</v>
      </c>
      <c r="AZ465">
        <v>0</v>
      </c>
      <c r="BA465" t="s">
        <v>66</v>
      </c>
      <c r="BB465">
        <v>0</v>
      </c>
      <c r="BC465">
        <v>0</v>
      </c>
      <c r="BD465">
        <v>2131866</v>
      </c>
      <c r="BE465">
        <v>14932.79</v>
      </c>
      <c r="BF465">
        <v>0</v>
      </c>
      <c r="BG465" t="s">
        <v>87</v>
      </c>
      <c r="BH465" t="s">
        <v>66</v>
      </c>
      <c r="BI465">
        <v>0</v>
      </c>
      <c r="BJ465" t="s">
        <v>66</v>
      </c>
      <c r="BK465" t="s">
        <v>88</v>
      </c>
      <c r="BL465" t="s">
        <v>877</v>
      </c>
      <c r="BM465" t="s">
        <v>159</v>
      </c>
    </row>
    <row r="466" spans="1:65" x14ac:dyDescent="0.25">
      <c r="A466">
        <v>464</v>
      </c>
      <c r="B466" t="s">
        <v>863</v>
      </c>
      <c r="C466" t="s">
        <v>864</v>
      </c>
      <c r="D466" s="1">
        <v>46207</v>
      </c>
      <c r="E466" t="s">
        <v>865</v>
      </c>
      <c r="F466" t="s">
        <v>866</v>
      </c>
      <c r="G466" t="s">
        <v>69</v>
      </c>
      <c r="H466" t="s">
        <v>70</v>
      </c>
      <c r="I466" t="s">
        <v>71</v>
      </c>
      <c r="J466" t="s">
        <v>72</v>
      </c>
      <c r="K466" t="s">
        <v>73</v>
      </c>
      <c r="L466" t="s">
        <v>74</v>
      </c>
      <c r="M466" t="s">
        <v>867</v>
      </c>
      <c r="N466" t="s">
        <v>696</v>
      </c>
      <c r="O466" t="s">
        <v>868</v>
      </c>
      <c r="P466" t="s">
        <v>869</v>
      </c>
      <c r="Q466" t="s">
        <v>870</v>
      </c>
      <c r="R466" s="1">
        <v>46209</v>
      </c>
      <c r="S466" t="s">
        <v>871</v>
      </c>
      <c r="T466" t="s">
        <v>872</v>
      </c>
      <c r="U466" t="s">
        <v>873</v>
      </c>
      <c r="V466" t="s">
        <v>66</v>
      </c>
      <c r="W466" t="s">
        <v>66</v>
      </c>
      <c r="X466">
        <v>9424908</v>
      </c>
      <c r="Y466">
        <v>1036739.88</v>
      </c>
      <c r="Z466">
        <v>1588860</v>
      </c>
      <c r="AA466">
        <v>174774.6</v>
      </c>
      <c r="AB466">
        <v>10461647.880000001</v>
      </c>
      <c r="AC466">
        <v>5</v>
      </c>
      <c r="AD466" t="s">
        <v>134</v>
      </c>
      <c r="AE466">
        <v>60</v>
      </c>
      <c r="AF466" t="s">
        <v>593</v>
      </c>
      <c r="AG466">
        <f>IFERROR(VLOOKUP(AF466,[1]STOK!J:O,6,0),"")</f>
        <v>12</v>
      </c>
      <c r="AH466" s="2">
        <f t="shared" si="14"/>
        <v>5</v>
      </c>
      <c r="AI466" t="s">
        <v>593</v>
      </c>
      <c r="AJ466" t="s">
        <v>594</v>
      </c>
      <c r="AK466" t="s">
        <v>595</v>
      </c>
      <c r="AL466" t="s">
        <v>86</v>
      </c>
      <c r="AM466">
        <v>363636</v>
      </c>
      <c r="AN466">
        <f t="shared" si="15"/>
        <v>352726.92000000004</v>
      </c>
      <c r="AO466" t="s">
        <v>66</v>
      </c>
      <c r="AP466">
        <v>3</v>
      </c>
      <c r="AQ466" t="s">
        <v>66</v>
      </c>
      <c r="AR466">
        <v>0</v>
      </c>
      <c r="AS466" t="s">
        <v>66</v>
      </c>
      <c r="AT466">
        <v>0</v>
      </c>
      <c r="AU466" t="s">
        <v>66</v>
      </c>
      <c r="AV466">
        <v>0</v>
      </c>
      <c r="AW466" t="s">
        <v>66</v>
      </c>
      <c r="AX466">
        <v>0</v>
      </c>
      <c r="AY466" t="s">
        <v>66</v>
      </c>
      <c r="AZ466">
        <v>0</v>
      </c>
      <c r="BA466" t="s">
        <v>66</v>
      </c>
      <c r="BB466">
        <v>0</v>
      </c>
      <c r="BC466">
        <v>0</v>
      </c>
      <c r="BD466">
        <v>1763634.6</v>
      </c>
      <c r="BE466">
        <v>24635.68</v>
      </c>
      <c r="BF466">
        <v>0</v>
      </c>
      <c r="BG466" t="s">
        <v>87</v>
      </c>
      <c r="BH466" t="s">
        <v>66</v>
      </c>
      <c r="BI466">
        <v>0</v>
      </c>
      <c r="BJ466" t="s">
        <v>66</v>
      </c>
      <c r="BK466" t="s">
        <v>88</v>
      </c>
      <c r="BL466" t="s">
        <v>877</v>
      </c>
      <c r="BM466" t="s">
        <v>159</v>
      </c>
    </row>
    <row r="467" spans="1:65" x14ac:dyDescent="0.25">
      <c r="A467">
        <v>465</v>
      </c>
      <c r="B467" t="s">
        <v>863</v>
      </c>
      <c r="C467" t="s">
        <v>864</v>
      </c>
      <c r="D467" s="1">
        <v>46207</v>
      </c>
      <c r="E467" t="s">
        <v>865</v>
      </c>
      <c r="F467" t="s">
        <v>866</v>
      </c>
      <c r="G467" t="s">
        <v>69</v>
      </c>
      <c r="H467" t="s">
        <v>70</v>
      </c>
      <c r="I467" t="s">
        <v>71</v>
      </c>
      <c r="J467" t="s">
        <v>72</v>
      </c>
      <c r="K467" t="s">
        <v>73</v>
      </c>
      <c r="L467" t="s">
        <v>74</v>
      </c>
      <c r="M467" t="s">
        <v>867</v>
      </c>
      <c r="N467" t="s">
        <v>696</v>
      </c>
      <c r="O467" t="s">
        <v>868</v>
      </c>
      <c r="P467" t="s">
        <v>869</v>
      </c>
      <c r="Q467" t="s">
        <v>870</v>
      </c>
      <c r="R467" s="1">
        <v>46209</v>
      </c>
      <c r="S467" t="s">
        <v>871</v>
      </c>
      <c r="T467" t="s">
        <v>872</v>
      </c>
      <c r="U467" t="s">
        <v>873</v>
      </c>
      <c r="V467" t="s">
        <v>66</v>
      </c>
      <c r="W467" t="s">
        <v>66</v>
      </c>
      <c r="X467">
        <v>9424908</v>
      </c>
      <c r="Y467">
        <v>1036739.88</v>
      </c>
      <c r="Z467">
        <v>635544</v>
      </c>
      <c r="AA467">
        <v>69909.84</v>
      </c>
      <c r="AB467">
        <v>10461647.880000001</v>
      </c>
      <c r="AC467">
        <v>2</v>
      </c>
      <c r="AD467" t="s">
        <v>134</v>
      </c>
      <c r="AE467">
        <v>24</v>
      </c>
      <c r="AF467" t="s">
        <v>306</v>
      </c>
      <c r="AG467">
        <f>IFERROR(VLOOKUP(AF467,[1]STOK!J:O,6,0),"")</f>
        <v>12</v>
      </c>
      <c r="AH467" s="2">
        <f t="shared" si="14"/>
        <v>2</v>
      </c>
      <c r="AI467" t="s">
        <v>306</v>
      </c>
      <c r="AJ467" t="s">
        <v>307</v>
      </c>
      <c r="AK467" t="s">
        <v>308</v>
      </c>
      <c r="AL467" t="s">
        <v>86</v>
      </c>
      <c r="AM467">
        <v>363636</v>
      </c>
      <c r="AN467">
        <f t="shared" si="15"/>
        <v>352726.92</v>
      </c>
      <c r="AO467" t="s">
        <v>66</v>
      </c>
      <c r="AP467">
        <v>3</v>
      </c>
      <c r="AQ467" t="s">
        <v>66</v>
      </c>
      <c r="AR467">
        <v>0</v>
      </c>
      <c r="AS467" t="s">
        <v>66</v>
      </c>
      <c r="AT467">
        <v>0</v>
      </c>
      <c r="AU467" t="s">
        <v>66</v>
      </c>
      <c r="AV467">
        <v>0</v>
      </c>
      <c r="AW467" t="s">
        <v>66</v>
      </c>
      <c r="AX467">
        <v>0</v>
      </c>
      <c r="AY467" t="s">
        <v>66</v>
      </c>
      <c r="AZ467">
        <v>0</v>
      </c>
      <c r="BA467" t="s">
        <v>66</v>
      </c>
      <c r="BB467">
        <v>0</v>
      </c>
      <c r="BC467">
        <v>0</v>
      </c>
      <c r="BD467">
        <v>705453.84</v>
      </c>
      <c r="BE467">
        <v>24533.98</v>
      </c>
      <c r="BF467">
        <v>0</v>
      </c>
      <c r="BG467" t="s">
        <v>87</v>
      </c>
      <c r="BH467" t="s">
        <v>66</v>
      </c>
      <c r="BI467">
        <v>0</v>
      </c>
      <c r="BJ467" t="s">
        <v>66</v>
      </c>
      <c r="BK467" t="s">
        <v>88</v>
      </c>
      <c r="BL467" t="s">
        <v>877</v>
      </c>
      <c r="BM467" t="s">
        <v>159</v>
      </c>
    </row>
    <row r="468" spans="1:65" x14ac:dyDescent="0.25">
      <c r="A468">
        <v>466</v>
      </c>
      <c r="B468" t="s">
        <v>863</v>
      </c>
      <c r="C468" t="s">
        <v>864</v>
      </c>
      <c r="D468" s="1">
        <v>46207</v>
      </c>
      <c r="E468" t="s">
        <v>865</v>
      </c>
      <c r="F468" t="s">
        <v>866</v>
      </c>
      <c r="G468" t="s">
        <v>69</v>
      </c>
      <c r="H468" t="s">
        <v>70</v>
      </c>
      <c r="I468" t="s">
        <v>71</v>
      </c>
      <c r="J468" t="s">
        <v>72</v>
      </c>
      <c r="K468" t="s">
        <v>73</v>
      </c>
      <c r="L468" t="s">
        <v>74</v>
      </c>
      <c r="M468" t="s">
        <v>867</v>
      </c>
      <c r="N468" t="s">
        <v>696</v>
      </c>
      <c r="O468" t="s">
        <v>868</v>
      </c>
      <c r="P468" t="s">
        <v>869</v>
      </c>
      <c r="Q468" t="s">
        <v>870</v>
      </c>
      <c r="R468" s="1">
        <v>46209</v>
      </c>
      <c r="S468" t="s">
        <v>871</v>
      </c>
      <c r="T468" t="s">
        <v>872</v>
      </c>
      <c r="U468" t="s">
        <v>873</v>
      </c>
      <c r="V468" t="s">
        <v>66</v>
      </c>
      <c r="W468" t="s">
        <v>66</v>
      </c>
      <c r="X468">
        <v>9424908</v>
      </c>
      <c r="Y468">
        <v>1036739.88</v>
      </c>
      <c r="Z468">
        <v>1806528</v>
      </c>
      <c r="AA468">
        <v>198718.07999999999</v>
      </c>
      <c r="AB468">
        <v>10461647.880000001</v>
      </c>
      <c r="AC468">
        <v>4</v>
      </c>
      <c r="AD468" t="s">
        <v>134</v>
      </c>
      <c r="AE468">
        <v>96</v>
      </c>
      <c r="AF468" t="s">
        <v>470</v>
      </c>
      <c r="AG468">
        <f>IFERROR(VLOOKUP(AF468,[1]STOK!J:O,6,0),"")</f>
        <v>24</v>
      </c>
      <c r="AH468" s="2">
        <f t="shared" si="14"/>
        <v>4</v>
      </c>
      <c r="AI468" t="s">
        <v>470</v>
      </c>
      <c r="AJ468" t="s">
        <v>471</v>
      </c>
      <c r="AK468" t="s">
        <v>472</v>
      </c>
      <c r="AL468" t="s">
        <v>86</v>
      </c>
      <c r="AM468">
        <v>516816</v>
      </c>
      <c r="AN468">
        <f t="shared" si="15"/>
        <v>501311.52</v>
      </c>
      <c r="AO468" t="s">
        <v>66</v>
      </c>
      <c r="AP468">
        <v>3</v>
      </c>
      <c r="AQ468" t="s">
        <v>66</v>
      </c>
      <c r="AR468">
        <v>0</v>
      </c>
      <c r="AS468" t="s">
        <v>66</v>
      </c>
      <c r="AT468">
        <v>0</v>
      </c>
      <c r="AU468" t="s">
        <v>66</v>
      </c>
      <c r="AV468">
        <v>0</v>
      </c>
      <c r="AW468" t="s">
        <v>66</v>
      </c>
      <c r="AX468">
        <v>0</v>
      </c>
      <c r="AY468" t="s">
        <v>66</v>
      </c>
      <c r="AZ468">
        <v>0</v>
      </c>
      <c r="BA468" t="s">
        <v>66</v>
      </c>
      <c r="BB468">
        <v>0</v>
      </c>
      <c r="BC468">
        <v>0</v>
      </c>
      <c r="BD468">
        <v>2005246.08</v>
      </c>
      <c r="BE468">
        <v>17421.95</v>
      </c>
      <c r="BF468">
        <v>0</v>
      </c>
      <c r="BG468" t="s">
        <v>87</v>
      </c>
      <c r="BH468" t="s">
        <v>66</v>
      </c>
      <c r="BI468">
        <v>0</v>
      </c>
      <c r="BJ468" t="s">
        <v>66</v>
      </c>
      <c r="BK468" t="s">
        <v>88</v>
      </c>
      <c r="BL468" t="s">
        <v>877</v>
      </c>
      <c r="BM468" t="s">
        <v>159</v>
      </c>
    </row>
    <row r="469" spans="1:65" x14ac:dyDescent="0.25">
      <c r="A469">
        <v>467</v>
      </c>
      <c r="B469" t="s">
        <v>863</v>
      </c>
      <c r="C469" t="s">
        <v>864</v>
      </c>
      <c r="D469" s="1">
        <v>46207</v>
      </c>
      <c r="E469" t="s">
        <v>865</v>
      </c>
      <c r="F469" t="s">
        <v>866</v>
      </c>
      <c r="G469" t="s">
        <v>69</v>
      </c>
      <c r="H469" t="s">
        <v>70</v>
      </c>
      <c r="I469" t="s">
        <v>71</v>
      </c>
      <c r="J469" t="s">
        <v>72</v>
      </c>
      <c r="K469" t="s">
        <v>73</v>
      </c>
      <c r="L469" t="s">
        <v>74</v>
      </c>
      <c r="M469" t="s">
        <v>867</v>
      </c>
      <c r="N469" t="s">
        <v>696</v>
      </c>
      <c r="O469" t="s">
        <v>868</v>
      </c>
      <c r="P469" t="s">
        <v>869</v>
      </c>
      <c r="Q469" t="s">
        <v>870</v>
      </c>
      <c r="R469" s="1">
        <v>46209</v>
      </c>
      <c r="S469" t="s">
        <v>871</v>
      </c>
      <c r="T469" t="s">
        <v>872</v>
      </c>
      <c r="U469" t="s">
        <v>873</v>
      </c>
      <c r="V469" t="s">
        <v>66</v>
      </c>
      <c r="W469" t="s">
        <v>66</v>
      </c>
      <c r="X469">
        <v>9424908</v>
      </c>
      <c r="Y469">
        <v>1036739.88</v>
      </c>
      <c r="Z469">
        <v>626232</v>
      </c>
      <c r="AA469">
        <v>68885.52</v>
      </c>
      <c r="AB469">
        <v>10461647.880000001</v>
      </c>
      <c r="AC469">
        <v>2</v>
      </c>
      <c r="AD469" t="s">
        <v>134</v>
      </c>
      <c r="AE469">
        <v>12</v>
      </c>
      <c r="AF469" t="s">
        <v>528</v>
      </c>
      <c r="AG469">
        <f>IFERROR(VLOOKUP(AF469,[1]STOK!J:O,6,0),"")</f>
        <v>6</v>
      </c>
      <c r="AH469" s="2">
        <f t="shared" si="14"/>
        <v>2</v>
      </c>
      <c r="AI469" t="s">
        <v>528</v>
      </c>
      <c r="AJ469" t="s">
        <v>529</v>
      </c>
      <c r="AK469" t="s">
        <v>530</v>
      </c>
      <c r="AL469" t="s">
        <v>86</v>
      </c>
      <c r="AM469">
        <v>358308</v>
      </c>
      <c r="AN469">
        <f t="shared" si="15"/>
        <v>347558.76</v>
      </c>
      <c r="AO469" t="s">
        <v>66</v>
      </c>
      <c r="AP469">
        <v>3</v>
      </c>
      <c r="AQ469" t="s">
        <v>66</v>
      </c>
      <c r="AR469">
        <v>0</v>
      </c>
      <c r="AS469" t="s">
        <v>66</v>
      </c>
      <c r="AT469">
        <v>0</v>
      </c>
      <c r="AU469" t="s">
        <v>66</v>
      </c>
      <c r="AV469">
        <v>0</v>
      </c>
      <c r="AW469" t="s">
        <v>66</v>
      </c>
      <c r="AX469">
        <v>0</v>
      </c>
      <c r="AY469" t="s">
        <v>66</v>
      </c>
      <c r="AZ469">
        <v>0</v>
      </c>
      <c r="BA469" t="s">
        <v>66</v>
      </c>
      <c r="BB469">
        <v>0</v>
      </c>
      <c r="BC469">
        <v>0</v>
      </c>
      <c r="BD469">
        <v>695117.52</v>
      </c>
      <c r="BE469">
        <v>48615.15</v>
      </c>
      <c r="BF469">
        <v>0</v>
      </c>
      <c r="BG469" t="s">
        <v>87</v>
      </c>
      <c r="BH469" t="s">
        <v>66</v>
      </c>
      <c r="BI469">
        <v>0</v>
      </c>
      <c r="BJ469" t="s">
        <v>66</v>
      </c>
      <c r="BK469" t="s">
        <v>88</v>
      </c>
      <c r="BL469" t="s">
        <v>877</v>
      </c>
      <c r="BM469" t="s">
        <v>159</v>
      </c>
    </row>
    <row r="470" spans="1:65" x14ac:dyDescent="0.25">
      <c r="A470">
        <v>468</v>
      </c>
      <c r="B470" t="s">
        <v>863</v>
      </c>
      <c r="C470" t="s">
        <v>864</v>
      </c>
      <c r="D470" s="1">
        <v>46207</v>
      </c>
      <c r="E470" t="s">
        <v>865</v>
      </c>
      <c r="F470" t="s">
        <v>866</v>
      </c>
      <c r="G470" t="s">
        <v>69</v>
      </c>
      <c r="H470" t="s">
        <v>70</v>
      </c>
      <c r="I470" t="s">
        <v>71</v>
      </c>
      <c r="J470" t="s">
        <v>72</v>
      </c>
      <c r="K470" t="s">
        <v>73</v>
      </c>
      <c r="L470" t="s">
        <v>74</v>
      </c>
      <c r="M470" t="s">
        <v>867</v>
      </c>
      <c r="N470" t="s">
        <v>696</v>
      </c>
      <c r="O470" t="s">
        <v>868</v>
      </c>
      <c r="P470" t="s">
        <v>869</v>
      </c>
      <c r="Q470" t="s">
        <v>870</v>
      </c>
      <c r="R470" s="1">
        <v>46209</v>
      </c>
      <c r="S470" t="s">
        <v>871</v>
      </c>
      <c r="T470" t="s">
        <v>872</v>
      </c>
      <c r="U470" t="s">
        <v>873</v>
      </c>
      <c r="V470" t="s">
        <v>66</v>
      </c>
      <c r="W470" t="s">
        <v>66</v>
      </c>
      <c r="X470">
        <v>9424908</v>
      </c>
      <c r="Y470">
        <v>1036739.88</v>
      </c>
      <c r="Z470">
        <v>626232</v>
      </c>
      <c r="AA470">
        <v>68885.52</v>
      </c>
      <c r="AB470">
        <v>10461647.880000001</v>
      </c>
      <c r="AC470">
        <v>2</v>
      </c>
      <c r="AD470" t="s">
        <v>134</v>
      </c>
      <c r="AE470">
        <v>12</v>
      </c>
      <c r="AF470" t="s">
        <v>878</v>
      </c>
      <c r="AG470">
        <f>IFERROR(VLOOKUP(AF470,[1]STOK!J:O,6,0),"")</f>
        <v>6</v>
      </c>
      <c r="AH470" s="2">
        <f t="shared" si="14"/>
        <v>2</v>
      </c>
      <c r="AI470" t="s">
        <v>878</v>
      </c>
      <c r="AJ470" t="s">
        <v>879</v>
      </c>
      <c r="AK470" t="s">
        <v>880</v>
      </c>
      <c r="AL470" t="s">
        <v>86</v>
      </c>
      <c r="AM470">
        <v>358308</v>
      </c>
      <c r="AN470">
        <f t="shared" si="15"/>
        <v>347558.76</v>
      </c>
      <c r="AO470" t="s">
        <v>66</v>
      </c>
      <c r="AP470">
        <v>3</v>
      </c>
      <c r="AQ470" t="s">
        <v>66</v>
      </c>
      <c r="AR470">
        <v>0</v>
      </c>
      <c r="AS470" t="s">
        <v>66</v>
      </c>
      <c r="AT470">
        <v>0</v>
      </c>
      <c r="AU470" t="s">
        <v>66</v>
      </c>
      <c r="AV470">
        <v>0</v>
      </c>
      <c r="AW470" t="s">
        <v>66</v>
      </c>
      <c r="AX470">
        <v>0</v>
      </c>
      <c r="AY470" t="s">
        <v>66</v>
      </c>
      <c r="AZ470">
        <v>0</v>
      </c>
      <c r="BA470" t="s">
        <v>66</v>
      </c>
      <c r="BB470">
        <v>0</v>
      </c>
      <c r="BC470">
        <v>0</v>
      </c>
      <c r="BD470">
        <v>695117.52</v>
      </c>
      <c r="BE470">
        <v>45333.57</v>
      </c>
      <c r="BF470">
        <v>0</v>
      </c>
      <c r="BG470" t="s">
        <v>87</v>
      </c>
      <c r="BH470" t="s">
        <v>66</v>
      </c>
      <c r="BI470">
        <v>0</v>
      </c>
      <c r="BJ470" t="s">
        <v>66</v>
      </c>
      <c r="BK470" t="s">
        <v>88</v>
      </c>
      <c r="BL470" t="s">
        <v>877</v>
      </c>
      <c r="BM470" t="s">
        <v>159</v>
      </c>
    </row>
    <row r="471" spans="1:65" x14ac:dyDescent="0.25">
      <c r="A471">
        <v>469</v>
      </c>
      <c r="B471" t="s">
        <v>863</v>
      </c>
      <c r="C471" t="s">
        <v>864</v>
      </c>
      <c r="D471" s="1">
        <v>46207</v>
      </c>
      <c r="E471" t="s">
        <v>865</v>
      </c>
      <c r="F471" t="s">
        <v>866</v>
      </c>
      <c r="G471" t="s">
        <v>69</v>
      </c>
      <c r="H471" t="s">
        <v>70</v>
      </c>
      <c r="I471" t="s">
        <v>71</v>
      </c>
      <c r="J471" t="s">
        <v>72</v>
      </c>
      <c r="K471" t="s">
        <v>73</v>
      </c>
      <c r="L471" t="s">
        <v>74</v>
      </c>
      <c r="M471" t="s">
        <v>867</v>
      </c>
      <c r="N471" t="s">
        <v>696</v>
      </c>
      <c r="O471" t="s">
        <v>868</v>
      </c>
      <c r="P471" t="s">
        <v>869</v>
      </c>
      <c r="Q471" t="s">
        <v>870</v>
      </c>
      <c r="R471" s="1">
        <v>46209</v>
      </c>
      <c r="S471" t="s">
        <v>871</v>
      </c>
      <c r="T471" t="s">
        <v>872</v>
      </c>
      <c r="U471" t="s">
        <v>873</v>
      </c>
      <c r="V471" t="s">
        <v>66</v>
      </c>
      <c r="W471" t="s">
        <v>66</v>
      </c>
      <c r="X471">
        <v>9424908</v>
      </c>
      <c r="Y471">
        <v>1036739.88</v>
      </c>
      <c r="Z471">
        <v>1145376</v>
      </c>
      <c r="AA471">
        <v>125991.36</v>
      </c>
      <c r="AB471">
        <v>10461647.880000001</v>
      </c>
      <c r="AC471">
        <v>4</v>
      </c>
      <c r="AD471" t="s">
        <v>134</v>
      </c>
      <c r="AE471">
        <v>48</v>
      </c>
      <c r="AF471" t="s">
        <v>534</v>
      </c>
      <c r="AG471">
        <f>IFERROR(VLOOKUP(AF471,[1]STOK!J:O,6,0),"")</f>
        <v>12</v>
      </c>
      <c r="AH471" s="2">
        <f t="shared" si="14"/>
        <v>4</v>
      </c>
      <c r="AI471" t="s">
        <v>534</v>
      </c>
      <c r="AJ471" t="s">
        <v>535</v>
      </c>
      <c r="AK471" t="s">
        <v>536</v>
      </c>
      <c r="AL471" t="s">
        <v>86</v>
      </c>
      <c r="AM471">
        <v>327672</v>
      </c>
      <c r="AN471">
        <f t="shared" si="15"/>
        <v>317841.84000000003</v>
      </c>
      <c r="AO471" t="s">
        <v>66</v>
      </c>
      <c r="AP471">
        <v>3</v>
      </c>
      <c r="AQ471" t="s">
        <v>66</v>
      </c>
      <c r="AR471">
        <v>0</v>
      </c>
      <c r="AS471" t="s">
        <v>66</v>
      </c>
      <c r="AT471">
        <v>0</v>
      </c>
      <c r="AU471" t="s">
        <v>66</v>
      </c>
      <c r="AV471">
        <v>0</v>
      </c>
      <c r="AW471" t="s">
        <v>66</v>
      </c>
      <c r="AX471">
        <v>0</v>
      </c>
      <c r="AY471" t="s">
        <v>66</v>
      </c>
      <c r="AZ471">
        <v>0</v>
      </c>
      <c r="BA471" t="s">
        <v>66</v>
      </c>
      <c r="BB471">
        <v>0</v>
      </c>
      <c r="BC471">
        <v>0</v>
      </c>
      <c r="BD471">
        <v>1271367.3600000001</v>
      </c>
      <c r="BE471">
        <v>22297.43</v>
      </c>
      <c r="BF471">
        <v>0</v>
      </c>
      <c r="BG471" t="s">
        <v>87</v>
      </c>
      <c r="BH471" t="s">
        <v>66</v>
      </c>
      <c r="BI471">
        <v>0</v>
      </c>
      <c r="BJ471" t="s">
        <v>66</v>
      </c>
      <c r="BK471" t="s">
        <v>88</v>
      </c>
      <c r="BL471" t="s">
        <v>877</v>
      </c>
      <c r="BM471" t="s">
        <v>159</v>
      </c>
    </row>
    <row r="472" spans="1:65" x14ac:dyDescent="0.25">
      <c r="A472">
        <v>470</v>
      </c>
      <c r="B472" t="s">
        <v>863</v>
      </c>
      <c r="C472" t="s">
        <v>864</v>
      </c>
      <c r="D472" s="1">
        <v>46207</v>
      </c>
      <c r="E472" t="s">
        <v>865</v>
      </c>
      <c r="F472" t="s">
        <v>866</v>
      </c>
      <c r="G472" t="s">
        <v>69</v>
      </c>
      <c r="H472" t="s">
        <v>70</v>
      </c>
      <c r="I472" t="s">
        <v>71</v>
      </c>
      <c r="J472" t="s">
        <v>72</v>
      </c>
      <c r="K472" t="s">
        <v>73</v>
      </c>
      <c r="L472" t="s">
        <v>74</v>
      </c>
      <c r="M472" t="s">
        <v>867</v>
      </c>
      <c r="N472" t="s">
        <v>696</v>
      </c>
      <c r="O472" t="s">
        <v>868</v>
      </c>
      <c r="P472" t="s">
        <v>869</v>
      </c>
      <c r="Q472" t="s">
        <v>870</v>
      </c>
      <c r="R472" s="1">
        <v>46209</v>
      </c>
      <c r="S472" t="s">
        <v>871</v>
      </c>
      <c r="T472" t="s">
        <v>872</v>
      </c>
      <c r="U472" t="s">
        <v>873</v>
      </c>
      <c r="V472" t="s">
        <v>66</v>
      </c>
      <c r="W472" t="s">
        <v>66</v>
      </c>
      <c r="X472">
        <v>9424908</v>
      </c>
      <c r="Y472">
        <v>1036739.88</v>
      </c>
      <c r="Z472">
        <v>586656</v>
      </c>
      <c r="AA472">
        <v>64532.160000000003</v>
      </c>
      <c r="AB472">
        <v>10461647.880000001</v>
      </c>
      <c r="AC472">
        <v>3</v>
      </c>
      <c r="AD472" t="s">
        <v>134</v>
      </c>
      <c r="AE472">
        <v>12</v>
      </c>
      <c r="AF472" t="s">
        <v>881</v>
      </c>
      <c r="AG472">
        <f>IFERROR(VLOOKUP(AF472,[1]STOK!J:O,6,0),"")</f>
        <v>4</v>
      </c>
      <c r="AH472" s="2">
        <f t="shared" si="14"/>
        <v>3</v>
      </c>
      <c r="AI472" t="s">
        <v>881</v>
      </c>
      <c r="AJ472" t="s">
        <v>882</v>
      </c>
      <c r="AK472" t="s">
        <v>883</v>
      </c>
      <c r="AL472" t="s">
        <v>86</v>
      </c>
      <c r="AM472">
        <v>223776</v>
      </c>
      <c r="AN472">
        <f t="shared" si="15"/>
        <v>217062.72</v>
      </c>
      <c r="AO472" t="s">
        <v>66</v>
      </c>
      <c r="AP472">
        <v>3</v>
      </c>
      <c r="AQ472" t="s">
        <v>66</v>
      </c>
      <c r="AR472">
        <v>0</v>
      </c>
      <c r="AS472" t="s">
        <v>66</v>
      </c>
      <c r="AT472">
        <v>0</v>
      </c>
      <c r="AU472" t="s">
        <v>66</v>
      </c>
      <c r="AV472">
        <v>0</v>
      </c>
      <c r="AW472" t="s">
        <v>66</v>
      </c>
      <c r="AX472">
        <v>0</v>
      </c>
      <c r="AY472" t="s">
        <v>66</v>
      </c>
      <c r="AZ472">
        <v>0</v>
      </c>
      <c r="BA472" t="s">
        <v>66</v>
      </c>
      <c r="BB472">
        <v>0</v>
      </c>
      <c r="BC472">
        <v>0</v>
      </c>
      <c r="BD472">
        <v>651188.16</v>
      </c>
      <c r="BE472">
        <v>45102.02</v>
      </c>
      <c r="BF472">
        <v>0</v>
      </c>
      <c r="BG472" t="s">
        <v>87</v>
      </c>
      <c r="BH472" t="s">
        <v>66</v>
      </c>
      <c r="BI472">
        <v>0</v>
      </c>
      <c r="BJ472" t="s">
        <v>66</v>
      </c>
      <c r="BK472" t="s">
        <v>88</v>
      </c>
      <c r="BL472" t="s">
        <v>877</v>
      </c>
      <c r="BM472" t="s">
        <v>159</v>
      </c>
    </row>
    <row r="473" spans="1:65" x14ac:dyDescent="0.25">
      <c r="A473">
        <v>471</v>
      </c>
      <c r="B473" t="s">
        <v>884</v>
      </c>
      <c r="C473" t="s">
        <v>885</v>
      </c>
      <c r="D473" s="1">
        <v>46207</v>
      </c>
      <c r="E473" t="s">
        <v>886</v>
      </c>
      <c r="F473" t="s">
        <v>887</v>
      </c>
      <c r="G473" t="s">
        <v>69</v>
      </c>
      <c r="H473" t="s">
        <v>70</v>
      </c>
      <c r="I473" t="s">
        <v>71</v>
      </c>
      <c r="J473" t="s">
        <v>72</v>
      </c>
      <c r="K473" t="s">
        <v>73</v>
      </c>
      <c r="L473" t="s">
        <v>74</v>
      </c>
      <c r="M473" t="s">
        <v>867</v>
      </c>
      <c r="N473" t="s">
        <v>696</v>
      </c>
      <c r="O473" t="s">
        <v>868</v>
      </c>
      <c r="P473" t="s">
        <v>869</v>
      </c>
      <c r="Q473" t="s">
        <v>888</v>
      </c>
      <c r="R473" s="1">
        <v>46209</v>
      </c>
      <c r="S473" t="s">
        <v>871</v>
      </c>
      <c r="T473" t="s">
        <v>872</v>
      </c>
      <c r="U473" t="s">
        <v>873</v>
      </c>
      <c r="V473" t="s">
        <v>66</v>
      </c>
      <c r="W473" t="s">
        <v>66</v>
      </c>
      <c r="X473">
        <v>284016</v>
      </c>
      <c r="Y473">
        <v>31241.759999999998</v>
      </c>
      <c r="Z473">
        <v>284016</v>
      </c>
      <c r="AA473">
        <v>31241.759999999998</v>
      </c>
      <c r="AB473">
        <v>315257.76</v>
      </c>
      <c r="AC473">
        <v>1</v>
      </c>
      <c r="AD473" t="s">
        <v>134</v>
      </c>
      <c r="AE473">
        <v>48</v>
      </c>
      <c r="AF473" t="s">
        <v>125</v>
      </c>
      <c r="AG473">
        <f>IFERROR(VLOOKUP(AF473,[1]STOK!J:O,6,0),"")</f>
        <v>48</v>
      </c>
      <c r="AH473" s="2">
        <f t="shared" si="14"/>
        <v>1</v>
      </c>
      <c r="AI473" t="s">
        <v>125</v>
      </c>
      <c r="AJ473" t="s">
        <v>126</v>
      </c>
      <c r="AK473" t="s">
        <v>127</v>
      </c>
      <c r="AL473" t="s">
        <v>86</v>
      </c>
      <c r="AM473">
        <v>325008</v>
      </c>
      <c r="AN473">
        <f t="shared" si="15"/>
        <v>315257.76</v>
      </c>
      <c r="AO473" t="s">
        <v>66</v>
      </c>
      <c r="AP473">
        <v>3</v>
      </c>
      <c r="AQ473" t="s">
        <v>66</v>
      </c>
      <c r="AR473">
        <v>0</v>
      </c>
      <c r="AS473" t="s">
        <v>66</v>
      </c>
      <c r="AT473">
        <v>0</v>
      </c>
      <c r="AU473" t="s">
        <v>66</v>
      </c>
      <c r="AV473">
        <v>0</v>
      </c>
      <c r="AW473" t="s">
        <v>66</v>
      </c>
      <c r="AX473">
        <v>0</v>
      </c>
      <c r="AY473" t="s">
        <v>66</v>
      </c>
      <c r="AZ473">
        <v>0</v>
      </c>
      <c r="BA473" t="s">
        <v>66</v>
      </c>
      <c r="BB473">
        <v>0</v>
      </c>
      <c r="BC473">
        <v>0</v>
      </c>
      <c r="BD473">
        <v>315257.76</v>
      </c>
      <c r="BE473">
        <v>5409.43</v>
      </c>
      <c r="BF473">
        <v>0</v>
      </c>
      <c r="BG473" t="s">
        <v>87</v>
      </c>
      <c r="BH473" t="s">
        <v>66</v>
      </c>
      <c r="BI473">
        <v>0</v>
      </c>
      <c r="BJ473" t="s">
        <v>66</v>
      </c>
      <c r="BK473" t="s">
        <v>88</v>
      </c>
      <c r="BL473" t="s">
        <v>877</v>
      </c>
      <c r="BM473" t="s">
        <v>159</v>
      </c>
    </row>
    <row r="474" spans="1:65" x14ac:dyDescent="0.25">
      <c r="A474">
        <v>472</v>
      </c>
      <c r="B474" t="s">
        <v>889</v>
      </c>
      <c r="C474" t="s">
        <v>890</v>
      </c>
      <c r="D474" s="1">
        <v>46207</v>
      </c>
      <c r="E474" t="s">
        <v>891</v>
      </c>
      <c r="F474" t="s">
        <v>892</v>
      </c>
      <c r="G474" t="s">
        <v>69</v>
      </c>
      <c r="H474" t="s">
        <v>70</v>
      </c>
      <c r="I474" t="s">
        <v>71</v>
      </c>
      <c r="J474" t="s">
        <v>72</v>
      </c>
      <c r="K474" t="s">
        <v>73</v>
      </c>
      <c r="L474" t="s">
        <v>74</v>
      </c>
      <c r="M474" t="s">
        <v>867</v>
      </c>
      <c r="N474" t="s">
        <v>696</v>
      </c>
      <c r="O474" t="s">
        <v>868</v>
      </c>
      <c r="P474" t="s">
        <v>869</v>
      </c>
      <c r="Q474" t="s">
        <v>893</v>
      </c>
      <c r="R474" s="1">
        <v>46207</v>
      </c>
      <c r="S474" t="s">
        <v>871</v>
      </c>
      <c r="T474" t="s">
        <v>872</v>
      </c>
      <c r="U474" t="s">
        <v>873</v>
      </c>
      <c r="V474" t="s">
        <v>66</v>
      </c>
      <c r="W474" t="s">
        <v>66</v>
      </c>
      <c r="X474">
        <v>41544324</v>
      </c>
      <c r="Y474">
        <v>4569875.6399999997</v>
      </c>
      <c r="Z474">
        <v>781044</v>
      </c>
      <c r="AA474">
        <v>85914.84</v>
      </c>
      <c r="AB474">
        <v>46114199.640000001</v>
      </c>
      <c r="AC474">
        <v>3</v>
      </c>
      <c r="AD474" t="s">
        <v>134</v>
      </c>
      <c r="AE474">
        <v>12</v>
      </c>
      <c r="AF474" t="s">
        <v>894</v>
      </c>
      <c r="AG474">
        <f>IFERROR(VLOOKUP(AF474,[1]STOK!J:O,6,0),"")</f>
        <v>4</v>
      </c>
      <c r="AH474" s="2">
        <f t="shared" si="14"/>
        <v>3</v>
      </c>
      <c r="AI474" t="s">
        <v>894</v>
      </c>
      <c r="AJ474" t="s">
        <v>895</v>
      </c>
      <c r="AK474" t="s">
        <v>896</v>
      </c>
      <c r="AL474" t="s">
        <v>86</v>
      </c>
      <c r="AM474">
        <v>297924</v>
      </c>
      <c r="AN474">
        <f t="shared" si="15"/>
        <v>288986.27999999997</v>
      </c>
      <c r="AO474" t="s">
        <v>66</v>
      </c>
      <c r="AP474">
        <v>3</v>
      </c>
      <c r="AQ474" t="s">
        <v>66</v>
      </c>
      <c r="AR474">
        <v>0</v>
      </c>
      <c r="AS474" t="s">
        <v>66</v>
      </c>
      <c r="AT474">
        <v>0</v>
      </c>
      <c r="AU474" t="s">
        <v>66</v>
      </c>
      <c r="AV474">
        <v>0</v>
      </c>
      <c r="AW474" t="s">
        <v>66</v>
      </c>
      <c r="AX474">
        <v>0</v>
      </c>
      <c r="AY474" t="s">
        <v>66</v>
      </c>
      <c r="AZ474">
        <v>0</v>
      </c>
      <c r="BA474" t="s">
        <v>66</v>
      </c>
      <c r="BB474">
        <v>0</v>
      </c>
      <c r="BC474">
        <v>0</v>
      </c>
      <c r="BD474">
        <v>866958.84</v>
      </c>
      <c r="BE474">
        <v>60373.24</v>
      </c>
      <c r="BF474">
        <v>0</v>
      </c>
      <c r="BG474" t="s">
        <v>87</v>
      </c>
      <c r="BH474" t="s">
        <v>66</v>
      </c>
      <c r="BI474">
        <v>0</v>
      </c>
      <c r="BJ474" t="s">
        <v>66</v>
      </c>
      <c r="BK474" t="s">
        <v>88</v>
      </c>
      <c r="BL474" t="s">
        <v>877</v>
      </c>
      <c r="BM474" t="s">
        <v>159</v>
      </c>
    </row>
    <row r="475" spans="1:65" x14ac:dyDescent="0.25">
      <c r="A475">
        <v>473</v>
      </c>
      <c r="B475" t="s">
        <v>889</v>
      </c>
      <c r="C475" t="s">
        <v>890</v>
      </c>
      <c r="D475" s="1">
        <v>46207</v>
      </c>
      <c r="E475" t="s">
        <v>891</v>
      </c>
      <c r="F475" t="s">
        <v>892</v>
      </c>
      <c r="G475" t="s">
        <v>69</v>
      </c>
      <c r="H475" t="s">
        <v>70</v>
      </c>
      <c r="I475" t="s">
        <v>71</v>
      </c>
      <c r="J475" t="s">
        <v>72</v>
      </c>
      <c r="K475" t="s">
        <v>73</v>
      </c>
      <c r="L475" t="s">
        <v>74</v>
      </c>
      <c r="M475" t="s">
        <v>867</v>
      </c>
      <c r="N475" t="s">
        <v>696</v>
      </c>
      <c r="O475" t="s">
        <v>868</v>
      </c>
      <c r="P475" t="s">
        <v>869</v>
      </c>
      <c r="Q475" t="s">
        <v>893</v>
      </c>
      <c r="R475" s="1">
        <v>46207</v>
      </c>
      <c r="S475" t="s">
        <v>871</v>
      </c>
      <c r="T475" t="s">
        <v>872</v>
      </c>
      <c r="U475" t="s">
        <v>873</v>
      </c>
      <c r="V475" t="s">
        <v>66</v>
      </c>
      <c r="W475" t="s">
        <v>66</v>
      </c>
      <c r="X475">
        <v>41544324</v>
      </c>
      <c r="Y475">
        <v>4569875.6399999997</v>
      </c>
      <c r="Z475">
        <v>928872</v>
      </c>
      <c r="AA475">
        <v>102175.92</v>
      </c>
      <c r="AB475">
        <v>46114199.640000001</v>
      </c>
      <c r="AC475">
        <v>6</v>
      </c>
      <c r="AD475" t="s">
        <v>134</v>
      </c>
      <c r="AE475">
        <v>72</v>
      </c>
      <c r="AF475" t="s">
        <v>210</v>
      </c>
      <c r="AG475">
        <f>IFERROR(VLOOKUP(AF475,[1]STOK!J:O,6,0),"")</f>
        <v>12</v>
      </c>
      <c r="AH475" s="2">
        <f t="shared" si="14"/>
        <v>6</v>
      </c>
      <c r="AI475" t="s">
        <v>210</v>
      </c>
      <c r="AJ475" t="s">
        <v>211</v>
      </c>
      <c r="AK475" t="s">
        <v>212</v>
      </c>
      <c r="AL475" t="s">
        <v>86</v>
      </c>
      <c r="AM475">
        <v>177156</v>
      </c>
      <c r="AN475">
        <f t="shared" si="15"/>
        <v>171841.32</v>
      </c>
      <c r="AO475" t="s">
        <v>66</v>
      </c>
      <c r="AP475">
        <v>3</v>
      </c>
      <c r="AQ475" t="s">
        <v>66</v>
      </c>
      <c r="AR475">
        <v>0</v>
      </c>
      <c r="AS475" t="s">
        <v>66</v>
      </c>
      <c r="AT475">
        <v>0</v>
      </c>
      <c r="AU475" t="s">
        <v>66</v>
      </c>
      <c r="AV475">
        <v>0</v>
      </c>
      <c r="AW475" t="s">
        <v>66</v>
      </c>
      <c r="AX475">
        <v>0</v>
      </c>
      <c r="AY475" t="s">
        <v>66</v>
      </c>
      <c r="AZ475">
        <v>0</v>
      </c>
      <c r="BA475" t="s">
        <v>66</v>
      </c>
      <c r="BB475">
        <v>0</v>
      </c>
      <c r="BC475">
        <v>0</v>
      </c>
      <c r="BD475">
        <v>1031047.92</v>
      </c>
      <c r="BE475">
        <v>12009.37</v>
      </c>
      <c r="BF475">
        <v>0</v>
      </c>
      <c r="BG475" t="s">
        <v>87</v>
      </c>
      <c r="BH475" t="s">
        <v>66</v>
      </c>
      <c r="BI475">
        <v>0</v>
      </c>
      <c r="BJ475" t="s">
        <v>66</v>
      </c>
      <c r="BK475" t="s">
        <v>88</v>
      </c>
      <c r="BL475" t="s">
        <v>877</v>
      </c>
      <c r="BM475" t="s">
        <v>159</v>
      </c>
    </row>
    <row r="476" spans="1:65" x14ac:dyDescent="0.25">
      <c r="A476">
        <v>474</v>
      </c>
      <c r="B476" t="s">
        <v>889</v>
      </c>
      <c r="C476" t="s">
        <v>890</v>
      </c>
      <c r="D476" s="1">
        <v>46207</v>
      </c>
      <c r="E476" t="s">
        <v>891</v>
      </c>
      <c r="F476" t="s">
        <v>892</v>
      </c>
      <c r="G476" t="s">
        <v>69</v>
      </c>
      <c r="H476" t="s">
        <v>70</v>
      </c>
      <c r="I476" t="s">
        <v>71</v>
      </c>
      <c r="J476" t="s">
        <v>72</v>
      </c>
      <c r="K476" t="s">
        <v>73</v>
      </c>
      <c r="L476" t="s">
        <v>74</v>
      </c>
      <c r="M476" t="s">
        <v>867</v>
      </c>
      <c r="N476" t="s">
        <v>696</v>
      </c>
      <c r="O476" t="s">
        <v>868</v>
      </c>
      <c r="P476" t="s">
        <v>869</v>
      </c>
      <c r="Q476" t="s">
        <v>893</v>
      </c>
      <c r="R476" s="1">
        <v>46207</v>
      </c>
      <c r="S476" t="s">
        <v>871</v>
      </c>
      <c r="T476" t="s">
        <v>872</v>
      </c>
      <c r="U476" t="s">
        <v>873</v>
      </c>
      <c r="V476" t="s">
        <v>66</v>
      </c>
      <c r="W476" t="s">
        <v>66</v>
      </c>
      <c r="X476">
        <v>41544324</v>
      </c>
      <c r="Y476">
        <v>4569875.6399999997</v>
      </c>
      <c r="Z476">
        <v>1208232</v>
      </c>
      <c r="AA476">
        <v>132905.51999999999</v>
      </c>
      <c r="AB476">
        <v>46114199.640000001</v>
      </c>
      <c r="AC476">
        <v>6</v>
      </c>
      <c r="AD476" t="s">
        <v>134</v>
      </c>
      <c r="AE476">
        <v>72</v>
      </c>
      <c r="AF476" t="s">
        <v>359</v>
      </c>
      <c r="AG476">
        <f>IFERROR(VLOOKUP(AF476,[1]STOK!J:O,6,0),"")</f>
        <v>12</v>
      </c>
      <c r="AH476" s="2">
        <f t="shared" si="14"/>
        <v>6</v>
      </c>
      <c r="AI476" t="s">
        <v>359</v>
      </c>
      <c r="AJ476" t="s">
        <v>360</v>
      </c>
      <c r="AK476" t="s">
        <v>361</v>
      </c>
      <c r="AL476" t="s">
        <v>86</v>
      </c>
      <c r="AM476">
        <v>230436</v>
      </c>
      <c r="AN476">
        <f t="shared" si="15"/>
        <v>223522.92</v>
      </c>
      <c r="AO476" t="s">
        <v>66</v>
      </c>
      <c r="AP476">
        <v>3</v>
      </c>
      <c r="AQ476" t="s">
        <v>66</v>
      </c>
      <c r="AR476">
        <v>0</v>
      </c>
      <c r="AS476" t="s">
        <v>66</v>
      </c>
      <c r="AT476">
        <v>0</v>
      </c>
      <c r="AU476" t="s">
        <v>66</v>
      </c>
      <c r="AV476">
        <v>0</v>
      </c>
      <c r="AW476" t="s">
        <v>66</v>
      </c>
      <c r="AX476">
        <v>0</v>
      </c>
      <c r="AY476" t="s">
        <v>66</v>
      </c>
      <c r="AZ476">
        <v>0</v>
      </c>
      <c r="BA476" t="s">
        <v>66</v>
      </c>
      <c r="BB476">
        <v>0</v>
      </c>
      <c r="BC476">
        <v>0</v>
      </c>
      <c r="BD476">
        <v>1341137.52</v>
      </c>
      <c r="BE476">
        <v>15607.61</v>
      </c>
      <c r="BF476">
        <v>0</v>
      </c>
      <c r="BG476" t="s">
        <v>87</v>
      </c>
      <c r="BH476" t="s">
        <v>66</v>
      </c>
      <c r="BI476">
        <v>0</v>
      </c>
      <c r="BJ476" t="s">
        <v>66</v>
      </c>
      <c r="BK476" t="s">
        <v>88</v>
      </c>
      <c r="BL476" t="s">
        <v>877</v>
      </c>
      <c r="BM476" t="s">
        <v>159</v>
      </c>
    </row>
    <row r="477" spans="1:65" x14ac:dyDescent="0.25">
      <c r="A477">
        <v>475</v>
      </c>
      <c r="B477" t="s">
        <v>889</v>
      </c>
      <c r="C477" t="s">
        <v>890</v>
      </c>
      <c r="D477" s="1">
        <v>46207</v>
      </c>
      <c r="E477" t="s">
        <v>891</v>
      </c>
      <c r="F477" t="s">
        <v>892</v>
      </c>
      <c r="G477" t="s">
        <v>69</v>
      </c>
      <c r="H477" t="s">
        <v>70</v>
      </c>
      <c r="I477" t="s">
        <v>71</v>
      </c>
      <c r="J477" t="s">
        <v>72</v>
      </c>
      <c r="K477" t="s">
        <v>73</v>
      </c>
      <c r="L477" t="s">
        <v>74</v>
      </c>
      <c r="M477" t="s">
        <v>867</v>
      </c>
      <c r="N477" t="s">
        <v>696</v>
      </c>
      <c r="O477" t="s">
        <v>868</v>
      </c>
      <c r="P477" t="s">
        <v>869</v>
      </c>
      <c r="Q477" t="s">
        <v>893</v>
      </c>
      <c r="R477" s="1">
        <v>46207</v>
      </c>
      <c r="S477" t="s">
        <v>871</v>
      </c>
      <c r="T477" t="s">
        <v>872</v>
      </c>
      <c r="U477" t="s">
        <v>873</v>
      </c>
      <c r="V477" t="s">
        <v>66</v>
      </c>
      <c r="W477" t="s">
        <v>66</v>
      </c>
      <c r="X477">
        <v>41544324</v>
      </c>
      <c r="Y477">
        <v>4569875.6399999997</v>
      </c>
      <c r="Z477">
        <v>27470400</v>
      </c>
      <c r="AA477">
        <v>3021744</v>
      </c>
      <c r="AB477">
        <v>46114199.640000001</v>
      </c>
      <c r="AC477">
        <v>118</v>
      </c>
      <c r="AD477" t="s">
        <v>134</v>
      </c>
      <c r="AE477">
        <v>1416</v>
      </c>
      <c r="AF477" t="s">
        <v>290</v>
      </c>
      <c r="AG477">
        <f>IFERROR(VLOOKUP(AF477,[1]STOK!J:O,6,0),"")</f>
        <v>12</v>
      </c>
      <c r="AH477" s="2">
        <f t="shared" si="14"/>
        <v>118</v>
      </c>
      <c r="AI477" t="s">
        <v>290</v>
      </c>
      <c r="AJ477" t="s">
        <v>291</v>
      </c>
      <c r="AK477" t="s">
        <v>292</v>
      </c>
      <c r="AL477" t="s">
        <v>86</v>
      </c>
      <c r="AM477">
        <v>266400</v>
      </c>
      <c r="AN477">
        <f t="shared" si="15"/>
        <v>258408</v>
      </c>
      <c r="AO477" t="s">
        <v>66</v>
      </c>
      <c r="AP477">
        <v>3</v>
      </c>
      <c r="AQ477" t="s">
        <v>66</v>
      </c>
      <c r="AR477">
        <v>0</v>
      </c>
      <c r="AS477" t="s">
        <v>66</v>
      </c>
      <c r="AT477">
        <v>0</v>
      </c>
      <c r="AU477" t="s">
        <v>66</v>
      </c>
      <c r="AV477">
        <v>0</v>
      </c>
      <c r="AW477" t="s">
        <v>66</v>
      </c>
      <c r="AX477">
        <v>0</v>
      </c>
      <c r="AY477" t="s">
        <v>66</v>
      </c>
      <c r="AZ477">
        <v>0</v>
      </c>
      <c r="BA477" t="s">
        <v>66</v>
      </c>
      <c r="BB477">
        <v>0</v>
      </c>
      <c r="BC477">
        <v>0</v>
      </c>
      <c r="BD477">
        <v>30492144</v>
      </c>
      <c r="BE477">
        <v>18106.89</v>
      </c>
      <c r="BF477">
        <v>0</v>
      </c>
      <c r="BG477" t="s">
        <v>87</v>
      </c>
      <c r="BH477" t="s">
        <v>66</v>
      </c>
      <c r="BI477">
        <v>0</v>
      </c>
      <c r="BJ477" t="s">
        <v>66</v>
      </c>
      <c r="BK477" t="s">
        <v>88</v>
      </c>
      <c r="BL477" t="s">
        <v>877</v>
      </c>
      <c r="BM477" t="s">
        <v>159</v>
      </c>
    </row>
    <row r="478" spans="1:65" x14ac:dyDescent="0.25">
      <c r="A478">
        <v>476</v>
      </c>
      <c r="B478" t="s">
        <v>889</v>
      </c>
      <c r="C478" t="s">
        <v>890</v>
      </c>
      <c r="D478" s="1">
        <v>46207</v>
      </c>
      <c r="E478" t="s">
        <v>891</v>
      </c>
      <c r="F478" t="s">
        <v>892</v>
      </c>
      <c r="G478" t="s">
        <v>69</v>
      </c>
      <c r="H478" t="s">
        <v>70</v>
      </c>
      <c r="I478" t="s">
        <v>71</v>
      </c>
      <c r="J478" t="s">
        <v>72</v>
      </c>
      <c r="K478" t="s">
        <v>73</v>
      </c>
      <c r="L478" t="s">
        <v>74</v>
      </c>
      <c r="M478" t="s">
        <v>867</v>
      </c>
      <c r="N478" t="s">
        <v>696</v>
      </c>
      <c r="O478" t="s">
        <v>868</v>
      </c>
      <c r="P478" t="s">
        <v>869</v>
      </c>
      <c r="Q478" t="s">
        <v>893</v>
      </c>
      <c r="R478" s="1">
        <v>46207</v>
      </c>
      <c r="S478" t="s">
        <v>871</v>
      </c>
      <c r="T478" t="s">
        <v>872</v>
      </c>
      <c r="U478" t="s">
        <v>873</v>
      </c>
      <c r="V478" t="s">
        <v>66</v>
      </c>
      <c r="W478" t="s">
        <v>66</v>
      </c>
      <c r="X478">
        <v>41544324</v>
      </c>
      <c r="Y478">
        <v>4569875.6399999997</v>
      </c>
      <c r="Z478">
        <v>9312000</v>
      </c>
      <c r="AA478">
        <v>1024320</v>
      </c>
      <c r="AB478">
        <v>46114199.640000001</v>
      </c>
      <c r="AC478">
        <v>40</v>
      </c>
      <c r="AD478" t="s">
        <v>134</v>
      </c>
      <c r="AE478">
        <v>480</v>
      </c>
      <c r="AF478" t="s">
        <v>102</v>
      </c>
      <c r="AG478">
        <f>IFERROR(VLOOKUP(AF478,[1]STOK!J:O,6,0),"")</f>
        <v>12</v>
      </c>
      <c r="AH478" s="2">
        <f t="shared" si="14"/>
        <v>40</v>
      </c>
      <c r="AI478" t="s">
        <v>102</v>
      </c>
      <c r="AJ478" t="s">
        <v>103</v>
      </c>
      <c r="AK478" t="s">
        <v>104</v>
      </c>
      <c r="AL478" t="s">
        <v>86</v>
      </c>
      <c r="AM478">
        <v>266400</v>
      </c>
      <c r="AN478">
        <f t="shared" si="15"/>
        <v>258408</v>
      </c>
      <c r="AO478" t="s">
        <v>66</v>
      </c>
      <c r="AP478">
        <v>3</v>
      </c>
      <c r="AQ478" t="s">
        <v>66</v>
      </c>
      <c r="AR478">
        <v>0</v>
      </c>
      <c r="AS478" t="s">
        <v>66</v>
      </c>
      <c r="AT478">
        <v>0</v>
      </c>
      <c r="AU478" t="s">
        <v>66</v>
      </c>
      <c r="AV478">
        <v>0</v>
      </c>
      <c r="AW478" t="s">
        <v>66</v>
      </c>
      <c r="AX478">
        <v>0</v>
      </c>
      <c r="AY478" t="s">
        <v>66</v>
      </c>
      <c r="AZ478">
        <v>0</v>
      </c>
      <c r="BA478" t="s">
        <v>66</v>
      </c>
      <c r="BB478">
        <v>0</v>
      </c>
      <c r="BC478">
        <v>0</v>
      </c>
      <c r="BD478">
        <v>10336320</v>
      </c>
      <c r="BE478">
        <v>18040.98</v>
      </c>
      <c r="BF478">
        <v>0</v>
      </c>
      <c r="BG478" t="s">
        <v>87</v>
      </c>
      <c r="BH478" t="s">
        <v>66</v>
      </c>
      <c r="BI478">
        <v>0</v>
      </c>
      <c r="BJ478" t="s">
        <v>66</v>
      </c>
      <c r="BK478" t="s">
        <v>88</v>
      </c>
      <c r="BL478" t="s">
        <v>877</v>
      </c>
      <c r="BM478" t="s">
        <v>159</v>
      </c>
    </row>
    <row r="479" spans="1:65" x14ac:dyDescent="0.25">
      <c r="A479">
        <v>477</v>
      </c>
      <c r="B479" t="s">
        <v>889</v>
      </c>
      <c r="C479" t="s">
        <v>890</v>
      </c>
      <c r="D479" s="1">
        <v>46207</v>
      </c>
      <c r="E479" t="s">
        <v>891</v>
      </c>
      <c r="F479" t="s">
        <v>892</v>
      </c>
      <c r="G479" t="s">
        <v>69</v>
      </c>
      <c r="H479" t="s">
        <v>70</v>
      </c>
      <c r="I479" t="s">
        <v>71</v>
      </c>
      <c r="J479" t="s">
        <v>72</v>
      </c>
      <c r="K479" t="s">
        <v>73</v>
      </c>
      <c r="L479" t="s">
        <v>74</v>
      </c>
      <c r="M479" t="s">
        <v>867</v>
      </c>
      <c r="N479" t="s">
        <v>696</v>
      </c>
      <c r="O479" t="s">
        <v>868</v>
      </c>
      <c r="P479" t="s">
        <v>869</v>
      </c>
      <c r="Q479" t="s">
        <v>893</v>
      </c>
      <c r="R479" s="1">
        <v>46207</v>
      </c>
      <c r="S479" t="s">
        <v>871</v>
      </c>
      <c r="T479" t="s">
        <v>872</v>
      </c>
      <c r="U479" t="s">
        <v>873</v>
      </c>
      <c r="V479" t="s">
        <v>66</v>
      </c>
      <c r="W479" t="s">
        <v>66</v>
      </c>
      <c r="X479">
        <v>41544324</v>
      </c>
      <c r="Y479">
        <v>4569875.6399999997</v>
      </c>
      <c r="Z479">
        <v>1843776</v>
      </c>
      <c r="AA479">
        <v>202815.35999999999</v>
      </c>
      <c r="AB479">
        <v>46114199.640000001</v>
      </c>
      <c r="AC479">
        <v>11</v>
      </c>
      <c r="AD479" t="s">
        <v>134</v>
      </c>
      <c r="AE479">
        <v>132</v>
      </c>
      <c r="AF479" t="s">
        <v>141</v>
      </c>
      <c r="AG479">
        <f>IFERROR(VLOOKUP(AF479,[1]STOK!J:O,6,0),"")</f>
        <v>12</v>
      </c>
      <c r="AH479" s="2">
        <f t="shared" si="14"/>
        <v>11</v>
      </c>
      <c r="AI479" t="s">
        <v>141</v>
      </c>
      <c r="AJ479" t="s">
        <v>142</v>
      </c>
      <c r="AK479" t="s">
        <v>143</v>
      </c>
      <c r="AL479" t="s">
        <v>86</v>
      </c>
      <c r="AM479">
        <v>191808</v>
      </c>
      <c r="AN479">
        <f t="shared" si="15"/>
        <v>186053.76000000001</v>
      </c>
      <c r="AO479" t="s">
        <v>66</v>
      </c>
      <c r="AP479">
        <v>3</v>
      </c>
      <c r="AQ479" t="s">
        <v>66</v>
      </c>
      <c r="AR479">
        <v>0</v>
      </c>
      <c r="AS479" t="s">
        <v>66</v>
      </c>
      <c r="AT479">
        <v>0</v>
      </c>
      <c r="AU479" t="s">
        <v>66</v>
      </c>
      <c r="AV479">
        <v>0</v>
      </c>
      <c r="AW479" t="s">
        <v>66</v>
      </c>
      <c r="AX479">
        <v>0</v>
      </c>
      <c r="AY479" t="s">
        <v>66</v>
      </c>
      <c r="AZ479">
        <v>0</v>
      </c>
      <c r="BA479" t="s">
        <v>66</v>
      </c>
      <c r="BB479">
        <v>0</v>
      </c>
      <c r="BC479">
        <v>0</v>
      </c>
      <c r="BD479">
        <v>2046591.36</v>
      </c>
      <c r="BE479">
        <v>13012.92</v>
      </c>
      <c r="BF479">
        <v>0</v>
      </c>
      <c r="BG479" t="s">
        <v>87</v>
      </c>
      <c r="BH479" t="s">
        <v>66</v>
      </c>
      <c r="BI479">
        <v>0</v>
      </c>
      <c r="BJ479" t="s">
        <v>66</v>
      </c>
      <c r="BK479" t="s">
        <v>88</v>
      </c>
      <c r="BL479" t="s">
        <v>877</v>
      </c>
      <c r="BM479" t="s">
        <v>159</v>
      </c>
    </row>
    <row r="480" spans="1:65" x14ac:dyDescent="0.25">
      <c r="A480">
        <v>478</v>
      </c>
      <c r="B480" t="s">
        <v>897</v>
      </c>
      <c r="C480" t="s">
        <v>898</v>
      </c>
      <c r="D480" s="1">
        <v>46207</v>
      </c>
      <c r="E480" t="s">
        <v>899</v>
      </c>
      <c r="F480" t="s">
        <v>900</v>
      </c>
      <c r="G480" t="s">
        <v>69</v>
      </c>
      <c r="H480" t="s">
        <v>70</v>
      </c>
      <c r="I480" t="s">
        <v>71</v>
      </c>
      <c r="J480" t="s">
        <v>72</v>
      </c>
      <c r="K480" t="s">
        <v>73</v>
      </c>
      <c r="L480" t="s">
        <v>74</v>
      </c>
      <c r="M480" t="s">
        <v>867</v>
      </c>
      <c r="N480" t="s">
        <v>696</v>
      </c>
      <c r="O480" t="s">
        <v>868</v>
      </c>
      <c r="P480" t="s">
        <v>869</v>
      </c>
      <c r="Q480" t="s">
        <v>66</v>
      </c>
      <c r="R480" s="1">
        <v>46207</v>
      </c>
      <c r="S480" t="s">
        <v>871</v>
      </c>
      <c r="T480" t="s">
        <v>872</v>
      </c>
      <c r="U480" t="s">
        <v>873</v>
      </c>
      <c r="V480" t="s">
        <v>66</v>
      </c>
      <c r="W480" t="s">
        <v>66</v>
      </c>
      <c r="X480">
        <v>1126752</v>
      </c>
      <c r="Y480">
        <v>123942.72</v>
      </c>
      <c r="Z480">
        <v>428352</v>
      </c>
      <c r="AA480">
        <v>47118.720000000001</v>
      </c>
      <c r="AB480">
        <v>1250694.72</v>
      </c>
      <c r="AC480">
        <v>2</v>
      </c>
      <c r="AD480" t="s">
        <v>134</v>
      </c>
      <c r="AE480">
        <v>24</v>
      </c>
      <c r="AF480" t="s">
        <v>116</v>
      </c>
      <c r="AG480">
        <f>IFERROR(VLOOKUP(AF480,[1]STOK!J:O,6,0),"")</f>
        <v>12</v>
      </c>
      <c r="AH480" s="2">
        <f t="shared" si="14"/>
        <v>2</v>
      </c>
      <c r="AI480" t="s">
        <v>116</v>
      </c>
      <c r="AJ480" t="s">
        <v>117</v>
      </c>
      <c r="AK480" t="s">
        <v>118</v>
      </c>
      <c r="AL480" t="s">
        <v>86</v>
      </c>
      <c r="AM480">
        <v>245088</v>
      </c>
      <c r="AN480">
        <f t="shared" si="15"/>
        <v>237735.36</v>
      </c>
      <c r="AO480" t="s">
        <v>66</v>
      </c>
      <c r="AP480">
        <v>3</v>
      </c>
      <c r="AQ480" t="s">
        <v>66</v>
      </c>
      <c r="AR480">
        <v>0</v>
      </c>
      <c r="AS480" t="s">
        <v>66</v>
      </c>
      <c r="AT480">
        <v>0</v>
      </c>
      <c r="AU480" t="s">
        <v>66</v>
      </c>
      <c r="AV480">
        <v>0</v>
      </c>
      <c r="AW480" t="s">
        <v>66</v>
      </c>
      <c r="AX480">
        <v>0</v>
      </c>
      <c r="AY480" t="s">
        <v>66</v>
      </c>
      <c r="AZ480">
        <v>0</v>
      </c>
      <c r="BA480" t="s">
        <v>66</v>
      </c>
      <c r="BB480">
        <v>0</v>
      </c>
      <c r="BC480">
        <v>0</v>
      </c>
      <c r="BD480">
        <v>475470.72</v>
      </c>
      <c r="BE480">
        <v>16534.41</v>
      </c>
      <c r="BF480">
        <v>0</v>
      </c>
      <c r="BG480" t="s">
        <v>87</v>
      </c>
      <c r="BH480" t="s">
        <v>901</v>
      </c>
      <c r="BI480">
        <v>24</v>
      </c>
      <c r="BJ480" t="s">
        <v>761</v>
      </c>
      <c r="BK480" t="s">
        <v>88</v>
      </c>
      <c r="BL480" t="s">
        <v>877</v>
      </c>
      <c r="BM480" t="s">
        <v>159</v>
      </c>
    </row>
    <row r="481" spans="1:65" x14ac:dyDescent="0.25">
      <c r="A481">
        <v>479</v>
      </c>
      <c r="B481" t="s">
        <v>897</v>
      </c>
      <c r="C481" t="s">
        <v>898</v>
      </c>
      <c r="D481" s="1">
        <v>46207</v>
      </c>
      <c r="E481" t="s">
        <v>899</v>
      </c>
      <c r="F481" t="s">
        <v>900</v>
      </c>
      <c r="G481" t="s">
        <v>69</v>
      </c>
      <c r="H481" t="s">
        <v>70</v>
      </c>
      <c r="I481" t="s">
        <v>71</v>
      </c>
      <c r="J481" t="s">
        <v>72</v>
      </c>
      <c r="K481" t="s">
        <v>73</v>
      </c>
      <c r="L481" t="s">
        <v>74</v>
      </c>
      <c r="M481" t="s">
        <v>867</v>
      </c>
      <c r="N481" t="s">
        <v>696</v>
      </c>
      <c r="O481" t="s">
        <v>868</v>
      </c>
      <c r="P481" t="s">
        <v>869</v>
      </c>
      <c r="Q481" t="s">
        <v>66</v>
      </c>
      <c r="R481" s="1">
        <v>46207</v>
      </c>
      <c r="S481" t="s">
        <v>871</v>
      </c>
      <c r="T481" t="s">
        <v>872</v>
      </c>
      <c r="U481" t="s">
        <v>873</v>
      </c>
      <c r="V481" t="s">
        <v>66</v>
      </c>
      <c r="W481" t="s">
        <v>66</v>
      </c>
      <c r="X481">
        <v>1126752</v>
      </c>
      <c r="Y481">
        <v>123942.72</v>
      </c>
      <c r="Z481">
        <v>698400</v>
      </c>
      <c r="AA481">
        <v>76824</v>
      </c>
      <c r="AB481">
        <v>1250694.72</v>
      </c>
      <c r="AC481">
        <v>3</v>
      </c>
      <c r="AD481" t="s">
        <v>134</v>
      </c>
      <c r="AE481">
        <v>36</v>
      </c>
      <c r="AF481" t="s">
        <v>290</v>
      </c>
      <c r="AG481">
        <f>IFERROR(VLOOKUP(AF481,[1]STOK!J:O,6,0),"")</f>
        <v>12</v>
      </c>
      <c r="AH481" s="2">
        <f t="shared" si="14"/>
        <v>3</v>
      </c>
      <c r="AI481" t="s">
        <v>290</v>
      </c>
      <c r="AJ481" t="s">
        <v>291</v>
      </c>
      <c r="AK481" t="s">
        <v>292</v>
      </c>
      <c r="AL481" t="s">
        <v>86</v>
      </c>
      <c r="AM481">
        <v>266400</v>
      </c>
      <c r="AN481">
        <f t="shared" si="15"/>
        <v>258408</v>
      </c>
      <c r="AO481" t="s">
        <v>66</v>
      </c>
      <c r="AP481">
        <v>3</v>
      </c>
      <c r="AQ481" t="s">
        <v>66</v>
      </c>
      <c r="AR481">
        <v>0</v>
      </c>
      <c r="AS481" t="s">
        <v>66</v>
      </c>
      <c r="AT481">
        <v>0</v>
      </c>
      <c r="AU481" t="s">
        <v>66</v>
      </c>
      <c r="AV481">
        <v>0</v>
      </c>
      <c r="AW481" t="s">
        <v>66</v>
      </c>
      <c r="AX481">
        <v>0</v>
      </c>
      <c r="AY481" t="s">
        <v>66</v>
      </c>
      <c r="AZ481">
        <v>0</v>
      </c>
      <c r="BA481" t="s">
        <v>66</v>
      </c>
      <c r="BB481">
        <v>0</v>
      </c>
      <c r="BC481">
        <v>0</v>
      </c>
      <c r="BD481">
        <v>775224</v>
      </c>
      <c r="BE481">
        <v>18106.89</v>
      </c>
      <c r="BF481">
        <v>0</v>
      </c>
      <c r="BG481" t="s">
        <v>87</v>
      </c>
      <c r="BH481" t="s">
        <v>901</v>
      </c>
      <c r="BI481">
        <v>36</v>
      </c>
      <c r="BJ481" t="s">
        <v>761</v>
      </c>
      <c r="BK481" t="s">
        <v>88</v>
      </c>
      <c r="BL481" t="s">
        <v>877</v>
      </c>
      <c r="BM481" t="s">
        <v>159</v>
      </c>
    </row>
    <row r="482" spans="1:65" x14ac:dyDescent="0.25">
      <c r="A482">
        <v>480</v>
      </c>
      <c r="B482" t="s">
        <v>902</v>
      </c>
      <c r="C482" t="s">
        <v>903</v>
      </c>
      <c r="D482" s="1">
        <v>46207</v>
      </c>
      <c r="E482" t="s">
        <v>904</v>
      </c>
      <c r="F482" t="s">
        <v>905</v>
      </c>
      <c r="G482" t="s">
        <v>69</v>
      </c>
      <c r="H482" t="s">
        <v>70</v>
      </c>
      <c r="I482" t="s">
        <v>71</v>
      </c>
      <c r="J482" t="s">
        <v>72</v>
      </c>
      <c r="K482" t="s">
        <v>73</v>
      </c>
      <c r="L482" t="s">
        <v>74</v>
      </c>
      <c r="M482" t="s">
        <v>867</v>
      </c>
      <c r="N482" t="s">
        <v>696</v>
      </c>
      <c r="O482" t="s">
        <v>868</v>
      </c>
      <c r="P482" t="s">
        <v>869</v>
      </c>
      <c r="Q482" t="s">
        <v>906</v>
      </c>
      <c r="R482" s="1">
        <v>46209</v>
      </c>
      <c r="S482" t="s">
        <v>871</v>
      </c>
      <c r="T482" t="s">
        <v>872</v>
      </c>
      <c r="U482" t="s">
        <v>873</v>
      </c>
      <c r="V482" t="s">
        <v>66</v>
      </c>
      <c r="W482" t="s">
        <v>66</v>
      </c>
      <c r="X482">
        <v>4801500</v>
      </c>
      <c r="Y482">
        <v>528165</v>
      </c>
      <c r="Z482">
        <v>1271088</v>
      </c>
      <c r="AA482">
        <v>139819.68</v>
      </c>
      <c r="AB482">
        <v>5329665</v>
      </c>
      <c r="AC482">
        <v>4</v>
      </c>
      <c r="AD482" t="s">
        <v>134</v>
      </c>
      <c r="AE482">
        <v>48</v>
      </c>
      <c r="AF482" t="s">
        <v>563</v>
      </c>
      <c r="AG482">
        <f>IFERROR(VLOOKUP(AF482,[1]STOK!J:O,6,0),"")</f>
        <v>12</v>
      </c>
      <c r="AH482" s="2">
        <f t="shared" si="14"/>
        <v>4</v>
      </c>
      <c r="AI482" t="s">
        <v>563</v>
      </c>
      <c r="AJ482" t="s">
        <v>564</v>
      </c>
      <c r="AK482" t="s">
        <v>565</v>
      </c>
      <c r="AL482" t="s">
        <v>86</v>
      </c>
      <c r="AM482">
        <v>363636</v>
      </c>
      <c r="AN482">
        <f t="shared" si="15"/>
        <v>352726.92</v>
      </c>
      <c r="AO482" t="s">
        <v>66</v>
      </c>
      <c r="AP482">
        <v>3</v>
      </c>
      <c r="AQ482" t="s">
        <v>66</v>
      </c>
      <c r="AR482">
        <v>0</v>
      </c>
      <c r="AS482" t="s">
        <v>66</v>
      </c>
      <c r="AT482">
        <v>0</v>
      </c>
      <c r="AU482" t="s">
        <v>66</v>
      </c>
      <c r="AV482">
        <v>0</v>
      </c>
      <c r="AW482" t="s">
        <v>66</v>
      </c>
      <c r="AX482">
        <v>0</v>
      </c>
      <c r="AY482" t="s">
        <v>66</v>
      </c>
      <c r="AZ482">
        <v>0</v>
      </c>
      <c r="BA482" t="s">
        <v>66</v>
      </c>
      <c r="BB482">
        <v>0</v>
      </c>
      <c r="BC482">
        <v>0</v>
      </c>
      <c r="BD482">
        <v>1410907.68</v>
      </c>
      <c r="BE482">
        <v>24678.61</v>
      </c>
      <c r="BF482">
        <v>0</v>
      </c>
      <c r="BG482" t="s">
        <v>87</v>
      </c>
      <c r="BH482" t="s">
        <v>66</v>
      </c>
      <c r="BI482">
        <v>0</v>
      </c>
      <c r="BJ482" t="s">
        <v>66</v>
      </c>
      <c r="BK482" t="s">
        <v>88</v>
      </c>
      <c r="BL482" t="s">
        <v>877</v>
      </c>
      <c r="BM482" t="s">
        <v>159</v>
      </c>
    </row>
    <row r="483" spans="1:65" x14ac:dyDescent="0.25">
      <c r="A483">
        <v>481</v>
      </c>
      <c r="B483" t="s">
        <v>902</v>
      </c>
      <c r="C483" t="s">
        <v>903</v>
      </c>
      <c r="D483" s="1">
        <v>46207</v>
      </c>
      <c r="E483" t="s">
        <v>904</v>
      </c>
      <c r="F483" t="s">
        <v>905</v>
      </c>
      <c r="G483" t="s">
        <v>69</v>
      </c>
      <c r="H483" t="s">
        <v>70</v>
      </c>
      <c r="I483" t="s">
        <v>71</v>
      </c>
      <c r="J483" t="s">
        <v>72</v>
      </c>
      <c r="K483" t="s">
        <v>73</v>
      </c>
      <c r="L483" t="s">
        <v>74</v>
      </c>
      <c r="M483" t="s">
        <v>867</v>
      </c>
      <c r="N483" t="s">
        <v>696</v>
      </c>
      <c r="O483" t="s">
        <v>868</v>
      </c>
      <c r="P483" t="s">
        <v>869</v>
      </c>
      <c r="Q483" t="s">
        <v>906</v>
      </c>
      <c r="R483" s="1">
        <v>46209</v>
      </c>
      <c r="S483" t="s">
        <v>871</v>
      </c>
      <c r="T483" t="s">
        <v>872</v>
      </c>
      <c r="U483" t="s">
        <v>873</v>
      </c>
      <c r="V483" t="s">
        <v>66</v>
      </c>
      <c r="W483" t="s">
        <v>66</v>
      </c>
      <c r="X483">
        <v>4801500</v>
      </c>
      <c r="Y483">
        <v>528165</v>
      </c>
      <c r="Z483">
        <v>2357100</v>
      </c>
      <c r="AA483">
        <v>259281</v>
      </c>
      <c r="AB483">
        <v>5329665</v>
      </c>
      <c r="AC483">
        <v>9</v>
      </c>
      <c r="AD483" t="s">
        <v>134</v>
      </c>
      <c r="AE483">
        <v>36</v>
      </c>
      <c r="AF483" t="s">
        <v>312</v>
      </c>
      <c r="AG483">
        <f>IFERROR(VLOOKUP(AF483,[1]STOK!J:O,6,0),"")</f>
        <v>4</v>
      </c>
      <c r="AH483" s="2">
        <f t="shared" si="14"/>
        <v>9</v>
      </c>
      <c r="AI483" t="s">
        <v>312</v>
      </c>
      <c r="AJ483" t="s">
        <v>313</v>
      </c>
      <c r="AK483" t="s">
        <v>314</v>
      </c>
      <c r="AL483" t="s">
        <v>86</v>
      </c>
      <c r="AM483">
        <v>299700</v>
      </c>
      <c r="AN483">
        <f t="shared" si="15"/>
        <v>290709</v>
      </c>
      <c r="AO483" t="s">
        <v>66</v>
      </c>
      <c r="AP483">
        <v>3</v>
      </c>
      <c r="AQ483" t="s">
        <v>66</v>
      </c>
      <c r="AR483">
        <v>0</v>
      </c>
      <c r="AS483" t="s">
        <v>66</v>
      </c>
      <c r="AT483">
        <v>0</v>
      </c>
      <c r="AU483" t="s">
        <v>66</v>
      </c>
      <c r="AV483">
        <v>0</v>
      </c>
      <c r="AW483" t="s">
        <v>66</v>
      </c>
      <c r="AX483">
        <v>0</v>
      </c>
      <c r="AY483" t="s">
        <v>66</v>
      </c>
      <c r="AZ483">
        <v>0</v>
      </c>
      <c r="BA483" t="s">
        <v>66</v>
      </c>
      <c r="BB483">
        <v>0</v>
      </c>
      <c r="BC483">
        <v>0</v>
      </c>
      <c r="BD483">
        <v>2616381</v>
      </c>
      <c r="BE483">
        <v>60292.27</v>
      </c>
      <c r="BF483">
        <v>0</v>
      </c>
      <c r="BG483" t="s">
        <v>87</v>
      </c>
      <c r="BH483" t="s">
        <v>66</v>
      </c>
      <c r="BI483">
        <v>0</v>
      </c>
      <c r="BJ483" t="s">
        <v>66</v>
      </c>
      <c r="BK483" t="s">
        <v>88</v>
      </c>
      <c r="BL483" t="s">
        <v>877</v>
      </c>
      <c r="BM483" t="s">
        <v>159</v>
      </c>
    </row>
    <row r="484" spans="1:65" x14ac:dyDescent="0.25">
      <c r="A484">
        <v>482</v>
      </c>
      <c r="B484" t="s">
        <v>902</v>
      </c>
      <c r="C484" t="s">
        <v>903</v>
      </c>
      <c r="D484" s="1">
        <v>46207</v>
      </c>
      <c r="E484" t="s">
        <v>904</v>
      </c>
      <c r="F484" t="s">
        <v>905</v>
      </c>
      <c r="G484" t="s">
        <v>69</v>
      </c>
      <c r="H484" t="s">
        <v>70</v>
      </c>
      <c r="I484" t="s">
        <v>71</v>
      </c>
      <c r="J484" t="s">
        <v>72</v>
      </c>
      <c r="K484" t="s">
        <v>73</v>
      </c>
      <c r="L484" t="s">
        <v>74</v>
      </c>
      <c r="M484" t="s">
        <v>867</v>
      </c>
      <c r="N484" t="s">
        <v>696</v>
      </c>
      <c r="O484" t="s">
        <v>868</v>
      </c>
      <c r="P484" t="s">
        <v>869</v>
      </c>
      <c r="Q484" t="s">
        <v>906</v>
      </c>
      <c r="R484" s="1">
        <v>46209</v>
      </c>
      <c r="S484" t="s">
        <v>871</v>
      </c>
      <c r="T484" t="s">
        <v>872</v>
      </c>
      <c r="U484" t="s">
        <v>873</v>
      </c>
      <c r="V484" t="s">
        <v>66</v>
      </c>
      <c r="W484" t="s">
        <v>66</v>
      </c>
      <c r="X484">
        <v>4801500</v>
      </c>
      <c r="Y484">
        <v>528165</v>
      </c>
      <c r="Z484">
        <v>1173312</v>
      </c>
      <c r="AA484">
        <v>129064.32000000001</v>
      </c>
      <c r="AB484">
        <v>5329665</v>
      </c>
      <c r="AC484">
        <v>7</v>
      </c>
      <c r="AD484" t="s">
        <v>134</v>
      </c>
      <c r="AE484">
        <v>84</v>
      </c>
      <c r="AF484" t="s">
        <v>213</v>
      </c>
      <c r="AG484">
        <f>IFERROR(VLOOKUP(AF484,[1]STOK!J:O,6,0),"")</f>
        <v>12</v>
      </c>
      <c r="AH484" s="2">
        <f t="shared" si="14"/>
        <v>7</v>
      </c>
      <c r="AI484" t="s">
        <v>213</v>
      </c>
      <c r="AJ484" t="s">
        <v>214</v>
      </c>
      <c r="AK484" t="s">
        <v>215</v>
      </c>
      <c r="AL484" t="s">
        <v>86</v>
      </c>
      <c r="AM484">
        <v>191808</v>
      </c>
      <c r="AN484">
        <f t="shared" si="15"/>
        <v>186053.76000000001</v>
      </c>
      <c r="AO484" t="s">
        <v>66</v>
      </c>
      <c r="AP484">
        <v>3</v>
      </c>
      <c r="AQ484" t="s">
        <v>66</v>
      </c>
      <c r="AR484">
        <v>0</v>
      </c>
      <c r="AS484" t="s">
        <v>66</v>
      </c>
      <c r="AT484">
        <v>0</v>
      </c>
      <c r="AU484" t="s">
        <v>66</v>
      </c>
      <c r="AV484">
        <v>0</v>
      </c>
      <c r="AW484" t="s">
        <v>66</v>
      </c>
      <c r="AX484">
        <v>0</v>
      </c>
      <c r="AY484" t="s">
        <v>66</v>
      </c>
      <c r="AZ484">
        <v>0</v>
      </c>
      <c r="BA484" t="s">
        <v>66</v>
      </c>
      <c r="BB484">
        <v>0</v>
      </c>
      <c r="BC484">
        <v>0</v>
      </c>
      <c r="BD484">
        <v>1302376.32</v>
      </c>
      <c r="BE484">
        <v>12991.38</v>
      </c>
      <c r="BF484">
        <v>0</v>
      </c>
      <c r="BG484" t="s">
        <v>87</v>
      </c>
      <c r="BH484" t="s">
        <v>66</v>
      </c>
      <c r="BI484">
        <v>0</v>
      </c>
      <c r="BJ484" t="s">
        <v>66</v>
      </c>
      <c r="BK484" t="s">
        <v>88</v>
      </c>
      <c r="BL484" t="s">
        <v>877</v>
      </c>
      <c r="BM484" t="s">
        <v>159</v>
      </c>
    </row>
    <row r="485" spans="1:65" x14ac:dyDescent="0.25">
      <c r="A485">
        <v>483</v>
      </c>
      <c r="B485" t="s">
        <v>907</v>
      </c>
      <c r="C485" t="s">
        <v>68</v>
      </c>
      <c r="D485" s="1">
        <v>46209</v>
      </c>
      <c r="E485" t="s">
        <v>908</v>
      </c>
      <c r="F485" t="s">
        <v>68</v>
      </c>
      <c r="G485" t="s">
        <v>295</v>
      </c>
      <c r="H485" t="s">
        <v>296</v>
      </c>
      <c r="I485" t="s">
        <v>71</v>
      </c>
      <c r="J485" t="s">
        <v>72</v>
      </c>
      <c r="K485" t="s">
        <v>73</v>
      </c>
      <c r="L485" t="s">
        <v>74</v>
      </c>
      <c r="M485" t="s">
        <v>909</v>
      </c>
      <c r="N485" t="s">
        <v>76</v>
      </c>
      <c r="O485" t="s">
        <v>910</v>
      </c>
      <c r="P485" t="s">
        <v>911</v>
      </c>
      <c r="Q485" t="s">
        <v>912</v>
      </c>
      <c r="R485" s="1">
        <v>46217</v>
      </c>
      <c r="S485" t="s">
        <v>841</v>
      </c>
      <c r="T485" t="s">
        <v>913</v>
      </c>
      <c r="U485" t="s">
        <v>843</v>
      </c>
      <c r="V485" t="s">
        <v>66</v>
      </c>
      <c r="W485" t="s">
        <v>66</v>
      </c>
      <c r="X485">
        <v>166110</v>
      </c>
      <c r="Y485">
        <v>18272.099999999999</v>
      </c>
      <c r="Z485">
        <v>43512</v>
      </c>
      <c r="AA485">
        <v>4786.32</v>
      </c>
      <c r="AB485">
        <v>184382.1</v>
      </c>
      <c r="AC485">
        <v>6</v>
      </c>
      <c r="AD485" t="s">
        <v>82</v>
      </c>
      <c r="AE485">
        <v>6</v>
      </c>
      <c r="AF485" t="s">
        <v>265</v>
      </c>
      <c r="AG485">
        <f>IFERROR(VLOOKUP(AF485,[1]STOK!J:O,6,0),"")</f>
        <v>24</v>
      </c>
      <c r="AH485" s="2">
        <f t="shared" si="14"/>
        <v>0.25</v>
      </c>
      <c r="AI485" t="s">
        <v>265</v>
      </c>
      <c r="AJ485" t="s">
        <v>266</v>
      </c>
      <c r="AK485" t="s">
        <v>267</v>
      </c>
      <c r="AL485" t="s">
        <v>86</v>
      </c>
      <c r="AM485">
        <v>8214</v>
      </c>
      <c r="AN485">
        <f t="shared" si="15"/>
        <v>8049.72</v>
      </c>
      <c r="AO485" t="s">
        <v>66</v>
      </c>
      <c r="AP485">
        <v>2</v>
      </c>
      <c r="AQ485" t="s">
        <v>66</v>
      </c>
      <c r="AR485">
        <v>0</v>
      </c>
      <c r="AS485" t="s">
        <v>66</v>
      </c>
      <c r="AT485">
        <v>0</v>
      </c>
      <c r="AU485" t="s">
        <v>66</v>
      </c>
      <c r="AV485">
        <v>0</v>
      </c>
      <c r="AW485" t="s">
        <v>66</v>
      </c>
      <c r="AX485">
        <v>0</v>
      </c>
      <c r="AY485" t="s">
        <v>66</v>
      </c>
      <c r="AZ485">
        <v>0</v>
      </c>
      <c r="BA485" t="s">
        <v>66</v>
      </c>
      <c r="BB485">
        <v>0</v>
      </c>
      <c r="BC485">
        <v>0</v>
      </c>
      <c r="BD485">
        <v>48298.32</v>
      </c>
      <c r="BE485">
        <v>6661.46</v>
      </c>
      <c r="BF485">
        <v>0</v>
      </c>
      <c r="BG485" t="s">
        <v>87</v>
      </c>
      <c r="BH485" t="s">
        <v>66</v>
      </c>
      <c r="BI485">
        <v>0</v>
      </c>
      <c r="BJ485" t="s">
        <v>66</v>
      </c>
      <c r="BK485" t="s">
        <v>88</v>
      </c>
      <c r="BL485" t="s">
        <v>742</v>
      </c>
      <c r="BM485" t="s">
        <v>159</v>
      </c>
    </row>
    <row r="486" spans="1:65" x14ac:dyDescent="0.25">
      <c r="A486">
        <v>484</v>
      </c>
      <c r="B486" t="s">
        <v>907</v>
      </c>
      <c r="C486" t="s">
        <v>68</v>
      </c>
      <c r="D486" s="1">
        <v>46209</v>
      </c>
      <c r="E486" t="s">
        <v>908</v>
      </c>
      <c r="F486" t="s">
        <v>68</v>
      </c>
      <c r="G486" t="s">
        <v>295</v>
      </c>
      <c r="H486" t="s">
        <v>296</v>
      </c>
      <c r="I486" t="s">
        <v>71</v>
      </c>
      <c r="J486" t="s">
        <v>72</v>
      </c>
      <c r="K486" t="s">
        <v>73</v>
      </c>
      <c r="L486" t="s">
        <v>74</v>
      </c>
      <c r="M486" t="s">
        <v>909</v>
      </c>
      <c r="N486" t="s">
        <v>76</v>
      </c>
      <c r="O486" t="s">
        <v>910</v>
      </c>
      <c r="P486" t="s">
        <v>911</v>
      </c>
      <c r="Q486" t="s">
        <v>912</v>
      </c>
      <c r="R486" s="1">
        <v>46217</v>
      </c>
      <c r="S486" t="s">
        <v>841</v>
      </c>
      <c r="T486" t="s">
        <v>913</v>
      </c>
      <c r="U486" t="s">
        <v>843</v>
      </c>
      <c r="V486" t="s">
        <v>66</v>
      </c>
      <c r="W486" t="s">
        <v>66</v>
      </c>
      <c r="X486">
        <v>166110</v>
      </c>
      <c r="Y486">
        <v>18272.099999999999</v>
      </c>
      <c r="Z486">
        <v>23226</v>
      </c>
      <c r="AA486">
        <v>2554.86</v>
      </c>
      <c r="AB486">
        <v>184382.1</v>
      </c>
      <c r="AC486">
        <v>3</v>
      </c>
      <c r="AD486" t="s">
        <v>82</v>
      </c>
      <c r="AE486">
        <v>3</v>
      </c>
      <c r="AF486" t="s">
        <v>248</v>
      </c>
      <c r="AG486">
        <f>IFERROR(VLOOKUP(AF486,[1]STOK!J:O,6,0),"")</f>
        <v>24</v>
      </c>
      <c r="AH486" s="2">
        <f t="shared" si="14"/>
        <v>0.125</v>
      </c>
      <c r="AI486" t="s">
        <v>248</v>
      </c>
      <c r="AJ486" t="s">
        <v>249</v>
      </c>
      <c r="AK486" t="s">
        <v>250</v>
      </c>
      <c r="AL486" t="s">
        <v>86</v>
      </c>
      <c r="AM486">
        <v>8769</v>
      </c>
      <c r="AN486">
        <f t="shared" si="15"/>
        <v>8593.6200000000008</v>
      </c>
      <c r="AO486" t="s">
        <v>66</v>
      </c>
      <c r="AP486">
        <v>2</v>
      </c>
      <c r="AQ486" t="s">
        <v>66</v>
      </c>
      <c r="AR486">
        <v>0</v>
      </c>
      <c r="AS486" t="s">
        <v>66</v>
      </c>
      <c r="AT486">
        <v>0</v>
      </c>
      <c r="AU486" t="s">
        <v>66</v>
      </c>
      <c r="AV486">
        <v>0</v>
      </c>
      <c r="AW486" t="s">
        <v>66</v>
      </c>
      <c r="AX486">
        <v>0</v>
      </c>
      <c r="AY486" t="s">
        <v>66</v>
      </c>
      <c r="AZ486">
        <v>0</v>
      </c>
      <c r="BA486" t="s">
        <v>66</v>
      </c>
      <c r="BB486">
        <v>0</v>
      </c>
      <c r="BC486">
        <v>0</v>
      </c>
      <c r="BD486">
        <v>25780.86</v>
      </c>
      <c r="BE486">
        <v>7032.04</v>
      </c>
      <c r="BF486">
        <v>0</v>
      </c>
      <c r="BG486" t="s">
        <v>87</v>
      </c>
      <c r="BH486" t="s">
        <v>66</v>
      </c>
      <c r="BI486">
        <v>0</v>
      </c>
      <c r="BJ486" t="s">
        <v>66</v>
      </c>
      <c r="BK486" t="s">
        <v>88</v>
      </c>
      <c r="BL486" t="s">
        <v>742</v>
      </c>
      <c r="BM486" t="s">
        <v>159</v>
      </c>
    </row>
    <row r="487" spans="1:65" x14ac:dyDescent="0.25">
      <c r="A487">
        <v>485</v>
      </c>
      <c r="B487" t="s">
        <v>907</v>
      </c>
      <c r="C487" t="s">
        <v>68</v>
      </c>
      <c r="D487" s="1">
        <v>46209</v>
      </c>
      <c r="E487" t="s">
        <v>908</v>
      </c>
      <c r="F487" t="s">
        <v>68</v>
      </c>
      <c r="G487" t="s">
        <v>295</v>
      </c>
      <c r="H487" t="s">
        <v>296</v>
      </c>
      <c r="I487" t="s">
        <v>71</v>
      </c>
      <c r="J487" t="s">
        <v>72</v>
      </c>
      <c r="K487" t="s">
        <v>73</v>
      </c>
      <c r="L487" t="s">
        <v>74</v>
      </c>
      <c r="M487" t="s">
        <v>909</v>
      </c>
      <c r="N487" t="s">
        <v>76</v>
      </c>
      <c r="O487" t="s">
        <v>910</v>
      </c>
      <c r="P487" t="s">
        <v>911</v>
      </c>
      <c r="Q487" t="s">
        <v>912</v>
      </c>
      <c r="R487" s="1">
        <v>46217</v>
      </c>
      <c r="S487" t="s">
        <v>841</v>
      </c>
      <c r="T487" t="s">
        <v>913</v>
      </c>
      <c r="U487" t="s">
        <v>843</v>
      </c>
      <c r="V487" t="s">
        <v>66</v>
      </c>
      <c r="W487" t="s">
        <v>66</v>
      </c>
      <c r="X487">
        <v>166110</v>
      </c>
      <c r="Y487">
        <v>18272.099999999999</v>
      </c>
      <c r="Z487">
        <v>48510</v>
      </c>
      <c r="AA487">
        <v>5336.1</v>
      </c>
      <c r="AB487">
        <v>184382.1</v>
      </c>
      <c r="AC487">
        <v>3</v>
      </c>
      <c r="AD487" t="s">
        <v>82</v>
      </c>
      <c r="AE487">
        <v>3</v>
      </c>
      <c r="AF487" t="s">
        <v>205</v>
      </c>
      <c r="AG487">
        <f>IFERROR(VLOOKUP(AF487,[1]STOK!J:O,6,0),"")</f>
        <v>24</v>
      </c>
      <c r="AH487" s="2">
        <f t="shared" si="14"/>
        <v>0.125</v>
      </c>
      <c r="AI487" t="s">
        <v>205</v>
      </c>
      <c r="AJ487" t="s">
        <v>206</v>
      </c>
      <c r="AK487" t="s">
        <v>207</v>
      </c>
      <c r="AL487" t="s">
        <v>86</v>
      </c>
      <c r="AM487">
        <v>18315</v>
      </c>
      <c r="AN487">
        <f t="shared" si="15"/>
        <v>17948.7</v>
      </c>
      <c r="AO487" t="s">
        <v>66</v>
      </c>
      <c r="AP487">
        <v>2</v>
      </c>
      <c r="AQ487" t="s">
        <v>66</v>
      </c>
      <c r="AR487">
        <v>0</v>
      </c>
      <c r="AS487" t="s">
        <v>66</v>
      </c>
      <c r="AT487">
        <v>0</v>
      </c>
      <c r="AU487" t="s">
        <v>66</v>
      </c>
      <c r="AV487">
        <v>0</v>
      </c>
      <c r="AW487" t="s">
        <v>66</v>
      </c>
      <c r="AX487">
        <v>0</v>
      </c>
      <c r="AY487" t="s">
        <v>66</v>
      </c>
      <c r="AZ487">
        <v>0</v>
      </c>
      <c r="BA487" t="s">
        <v>66</v>
      </c>
      <c r="BB487">
        <v>0</v>
      </c>
      <c r="BC487">
        <v>0</v>
      </c>
      <c r="BD487">
        <v>53846.1</v>
      </c>
      <c r="BE487">
        <v>14865.57</v>
      </c>
      <c r="BF487">
        <v>0</v>
      </c>
      <c r="BG487" t="s">
        <v>87</v>
      </c>
      <c r="BH487" t="s">
        <v>66</v>
      </c>
      <c r="BI487">
        <v>0</v>
      </c>
      <c r="BJ487" t="s">
        <v>66</v>
      </c>
      <c r="BK487" t="s">
        <v>88</v>
      </c>
      <c r="BL487" t="s">
        <v>742</v>
      </c>
      <c r="BM487" t="s">
        <v>159</v>
      </c>
    </row>
    <row r="488" spans="1:65" x14ac:dyDescent="0.25">
      <c r="A488">
        <v>486</v>
      </c>
      <c r="B488" t="s">
        <v>907</v>
      </c>
      <c r="C488" t="s">
        <v>68</v>
      </c>
      <c r="D488" s="1">
        <v>46209</v>
      </c>
      <c r="E488" t="s">
        <v>908</v>
      </c>
      <c r="F488" t="s">
        <v>68</v>
      </c>
      <c r="G488" t="s">
        <v>295</v>
      </c>
      <c r="H488" t="s">
        <v>296</v>
      </c>
      <c r="I488" t="s">
        <v>71</v>
      </c>
      <c r="J488" t="s">
        <v>72</v>
      </c>
      <c r="K488" t="s">
        <v>73</v>
      </c>
      <c r="L488" t="s">
        <v>74</v>
      </c>
      <c r="M488" t="s">
        <v>909</v>
      </c>
      <c r="N488" t="s">
        <v>76</v>
      </c>
      <c r="O488" t="s">
        <v>910</v>
      </c>
      <c r="P488" t="s">
        <v>911</v>
      </c>
      <c r="Q488" t="s">
        <v>912</v>
      </c>
      <c r="R488" s="1">
        <v>46217</v>
      </c>
      <c r="S488" t="s">
        <v>841</v>
      </c>
      <c r="T488" t="s">
        <v>913</v>
      </c>
      <c r="U488" t="s">
        <v>843</v>
      </c>
      <c r="V488" t="s">
        <v>66</v>
      </c>
      <c r="W488" t="s">
        <v>66</v>
      </c>
      <c r="X488">
        <v>166110</v>
      </c>
      <c r="Y488">
        <v>18272.099999999999</v>
      </c>
      <c r="Z488">
        <v>50862</v>
      </c>
      <c r="AA488">
        <v>5594.82</v>
      </c>
      <c r="AB488">
        <v>184382.1</v>
      </c>
      <c r="AC488">
        <v>3</v>
      </c>
      <c r="AD488" t="s">
        <v>82</v>
      </c>
      <c r="AE488">
        <v>3</v>
      </c>
      <c r="AF488" t="s">
        <v>359</v>
      </c>
      <c r="AG488">
        <f>IFERROR(VLOOKUP(AF488,[1]STOK!J:O,6,0),"")</f>
        <v>12</v>
      </c>
      <c r="AH488" s="2">
        <f t="shared" si="14"/>
        <v>0.25</v>
      </c>
      <c r="AI488" t="s">
        <v>359</v>
      </c>
      <c r="AJ488" t="s">
        <v>360</v>
      </c>
      <c r="AK488" t="s">
        <v>361</v>
      </c>
      <c r="AL488" t="s">
        <v>86</v>
      </c>
      <c r="AM488">
        <v>19203</v>
      </c>
      <c r="AN488">
        <f t="shared" si="15"/>
        <v>18818.939999999999</v>
      </c>
      <c r="AO488" t="s">
        <v>66</v>
      </c>
      <c r="AP488">
        <v>2</v>
      </c>
      <c r="AQ488" t="s">
        <v>66</v>
      </c>
      <c r="AR488">
        <v>0</v>
      </c>
      <c r="AS488" t="s">
        <v>66</v>
      </c>
      <c r="AT488">
        <v>0</v>
      </c>
      <c r="AU488" t="s">
        <v>66</v>
      </c>
      <c r="AV488">
        <v>0</v>
      </c>
      <c r="AW488" t="s">
        <v>66</v>
      </c>
      <c r="AX488">
        <v>0</v>
      </c>
      <c r="AY488" t="s">
        <v>66</v>
      </c>
      <c r="AZ488">
        <v>0</v>
      </c>
      <c r="BA488" t="s">
        <v>66</v>
      </c>
      <c r="BB488">
        <v>0</v>
      </c>
      <c r="BC488">
        <v>0</v>
      </c>
      <c r="BD488">
        <v>56456.82</v>
      </c>
      <c r="BE488">
        <v>15607.61</v>
      </c>
      <c r="BF488">
        <v>0</v>
      </c>
      <c r="BG488" t="s">
        <v>87</v>
      </c>
      <c r="BH488" t="s">
        <v>66</v>
      </c>
      <c r="BI488">
        <v>0</v>
      </c>
      <c r="BJ488" t="s">
        <v>66</v>
      </c>
      <c r="BK488" t="s">
        <v>88</v>
      </c>
      <c r="BL488" t="s">
        <v>742</v>
      </c>
      <c r="BM488" t="s">
        <v>159</v>
      </c>
    </row>
    <row r="489" spans="1:65" x14ac:dyDescent="0.25">
      <c r="A489">
        <v>487</v>
      </c>
      <c r="B489" t="s">
        <v>914</v>
      </c>
      <c r="C489" t="s">
        <v>915</v>
      </c>
      <c r="D489" s="1">
        <v>46209</v>
      </c>
      <c r="E489" t="s">
        <v>916</v>
      </c>
      <c r="F489" t="s">
        <v>917</v>
      </c>
      <c r="G489" t="s">
        <v>69</v>
      </c>
      <c r="H489" t="s">
        <v>70</v>
      </c>
      <c r="I489" t="s">
        <v>71</v>
      </c>
      <c r="J489" t="s">
        <v>72</v>
      </c>
      <c r="K489" t="s">
        <v>73</v>
      </c>
      <c r="L489" t="s">
        <v>74</v>
      </c>
      <c r="M489" t="s">
        <v>918</v>
      </c>
      <c r="N489" t="s">
        <v>274</v>
      </c>
      <c r="O489" t="s">
        <v>919</v>
      </c>
      <c r="P489" t="s">
        <v>613</v>
      </c>
      <c r="Q489" t="s">
        <v>920</v>
      </c>
      <c r="R489" s="1">
        <v>46205</v>
      </c>
      <c r="S489" t="s">
        <v>614</v>
      </c>
      <c r="T489" t="s">
        <v>615</v>
      </c>
      <c r="U489" t="s">
        <v>921</v>
      </c>
      <c r="V489" t="s">
        <v>66</v>
      </c>
      <c r="W489" t="s">
        <v>66</v>
      </c>
      <c r="X489">
        <v>5168492</v>
      </c>
      <c r="Y489">
        <v>568534.12</v>
      </c>
      <c r="Z489">
        <v>390060</v>
      </c>
      <c r="AA489">
        <v>42906.6</v>
      </c>
      <c r="AB489">
        <v>5737026.1200000001</v>
      </c>
      <c r="AC489">
        <v>1</v>
      </c>
      <c r="AD489" t="s">
        <v>134</v>
      </c>
      <c r="AE489">
        <v>24</v>
      </c>
      <c r="AF489" t="s">
        <v>128</v>
      </c>
      <c r="AG489">
        <f>IFERROR(VLOOKUP(AF489,[1]STOK!J:O,6,0),"")</f>
        <v>24</v>
      </c>
      <c r="AH489" s="2">
        <f t="shared" si="14"/>
        <v>1</v>
      </c>
      <c r="AI489" t="s">
        <v>128</v>
      </c>
      <c r="AJ489" t="s">
        <v>129</v>
      </c>
      <c r="AK489" t="s">
        <v>130</v>
      </c>
      <c r="AL489" t="s">
        <v>86</v>
      </c>
      <c r="AM489">
        <v>439560</v>
      </c>
      <c r="AN489">
        <f t="shared" si="15"/>
        <v>432966.6</v>
      </c>
      <c r="AO489" t="s">
        <v>66</v>
      </c>
      <c r="AP489">
        <v>1.5</v>
      </c>
      <c r="AQ489" t="s">
        <v>66</v>
      </c>
      <c r="AR489">
        <v>0</v>
      </c>
      <c r="AS489" t="s">
        <v>66</v>
      </c>
      <c r="AT489">
        <v>0</v>
      </c>
      <c r="AU489" t="s">
        <v>66</v>
      </c>
      <c r="AV489">
        <v>0</v>
      </c>
      <c r="AW489" t="s">
        <v>66</v>
      </c>
      <c r="AX489">
        <v>0</v>
      </c>
      <c r="AY489" t="s">
        <v>66</v>
      </c>
      <c r="AZ489">
        <v>0</v>
      </c>
      <c r="BA489" t="s">
        <v>66</v>
      </c>
      <c r="BB489">
        <v>0</v>
      </c>
      <c r="BC489">
        <v>0</v>
      </c>
      <c r="BD489">
        <v>432966.6</v>
      </c>
      <c r="BE489">
        <v>14907.75</v>
      </c>
      <c r="BF489">
        <v>0</v>
      </c>
      <c r="BG489" t="s">
        <v>87</v>
      </c>
      <c r="BH489" t="s">
        <v>66</v>
      </c>
      <c r="BI489">
        <v>0</v>
      </c>
      <c r="BJ489" t="s">
        <v>66</v>
      </c>
      <c r="BK489" t="s">
        <v>88</v>
      </c>
      <c r="BL489" t="s">
        <v>618</v>
      </c>
      <c r="BM489" t="s">
        <v>159</v>
      </c>
    </row>
    <row r="490" spans="1:65" x14ac:dyDescent="0.25">
      <c r="A490">
        <v>488</v>
      </c>
      <c r="B490" t="s">
        <v>914</v>
      </c>
      <c r="C490" t="s">
        <v>915</v>
      </c>
      <c r="D490" s="1">
        <v>46209</v>
      </c>
      <c r="E490" t="s">
        <v>916</v>
      </c>
      <c r="F490" t="s">
        <v>917</v>
      </c>
      <c r="G490" t="s">
        <v>69</v>
      </c>
      <c r="H490" t="s">
        <v>70</v>
      </c>
      <c r="I490" t="s">
        <v>71</v>
      </c>
      <c r="J490" t="s">
        <v>72</v>
      </c>
      <c r="K490" t="s">
        <v>73</v>
      </c>
      <c r="L490" t="s">
        <v>74</v>
      </c>
      <c r="M490" t="s">
        <v>918</v>
      </c>
      <c r="N490" t="s">
        <v>274</v>
      </c>
      <c r="O490" t="s">
        <v>919</v>
      </c>
      <c r="P490" t="s">
        <v>613</v>
      </c>
      <c r="Q490" t="s">
        <v>920</v>
      </c>
      <c r="R490" s="1">
        <v>46205</v>
      </c>
      <c r="S490" t="s">
        <v>614</v>
      </c>
      <c r="T490" t="s">
        <v>615</v>
      </c>
      <c r="U490" t="s">
        <v>921</v>
      </c>
      <c r="V490" t="s">
        <v>66</v>
      </c>
      <c r="W490" t="s">
        <v>66</v>
      </c>
      <c r="X490">
        <v>5168492</v>
      </c>
      <c r="Y490">
        <v>568534.12</v>
      </c>
      <c r="Z490">
        <v>390060</v>
      </c>
      <c r="AA490">
        <v>42906.6</v>
      </c>
      <c r="AB490">
        <v>5737026.1200000001</v>
      </c>
      <c r="AC490">
        <v>1</v>
      </c>
      <c r="AD490" t="s">
        <v>134</v>
      </c>
      <c r="AE490">
        <v>24</v>
      </c>
      <c r="AF490" t="s">
        <v>93</v>
      </c>
      <c r="AG490">
        <f>IFERROR(VLOOKUP(AF490,[1]STOK!J:O,6,0),"")</f>
        <v>24</v>
      </c>
      <c r="AH490" s="2">
        <f t="shared" si="14"/>
        <v>1</v>
      </c>
      <c r="AI490" t="s">
        <v>93</v>
      </c>
      <c r="AJ490" t="s">
        <v>94</v>
      </c>
      <c r="AK490" t="s">
        <v>95</v>
      </c>
      <c r="AL490" t="s">
        <v>86</v>
      </c>
      <c r="AM490">
        <v>439560</v>
      </c>
      <c r="AN490">
        <f t="shared" si="15"/>
        <v>432966.6</v>
      </c>
      <c r="AO490" t="s">
        <v>66</v>
      </c>
      <c r="AP490">
        <v>1.5</v>
      </c>
      <c r="AQ490" t="s">
        <v>66</v>
      </c>
      <c r="AR490">
        <v>0</v>
      </c>
      <c r="AS490" t="s">
        <v>66</v>
      </c>
      <c r="AT490">
        <v>0</v>
      </c>
      <c r="AU490" t="s">
        <v>66</v>
      </c>
      <c r="AV490">
        <v>0</v>
      </c>
      <c r="AW490" t="s">
        <v>66</v>
      </c>
      <c r="AX490">
        <v>0</v>
      </c>
      <c r="AY490" t="s">
        <v>66</v>
      </c>
      <c r="AZ490">
        <v>0</v>
      </c>
      <c r="BA490" t="s">
        <v>66</v>
      </c>
      <c r="BB490">
        <v>0</v>
      </c>
      <c r="BC490">
        <v>0</v>
      </c>
      <c r="BD490">
        <v>432966.6</v>
      </c>
      <c r="BE490">
        <v>14931.72</v>
      </c>
      <c r="BF490">
        <v>0</v>
      </c>
      <c r="BG490" t="s">
        <v>87</v>
      </c>
      <c r="BH490" t="s">
        <v>66</v>
      </c>
      <c r="BI490">
        <v>0</v>
      </c>
      <c r="BJ490" t="s">
        <v>66</v>
      </c>
      <c r="BK490" t="s">
        <v>88</v>
      </c>
      <c r="BL490" t="s">
        <v>618</v>
      </c>
      <c r="BM490" t="s">
        <v>159</v>
      </c>
    </row>
    <row r="491" spans="1:65" x14ac:dyDescent="0.25">
      <c r="A491">
        <v>489</v>
      </c>
      <c r="B491" t="s">
        <v>914</v>
      </c>
      <c r="C491" t="s">
        <v>915</v>
      </c>
      <c r="D491" s="1">
        <v>46209</v>
      </c>
      <c r="E491" t="s">
        <v>916</v>
      </c>
      <c r="F491" t="s">
        <v>917</v>
      </c>
      <c r="G491" t="s">
        <v>69</v>
      </c>
      <c r="H491" t="s">
        <v>70</v>
      </c>
      <c r="I491" t="s">
        <v>71</v>
      </c>
      <c r="J491" t="s">
        <v>72</v>
      </c>
      <c r="K491" t="s">
        <v>73</v>
      </c>
      <c r="L491" t="s">
        <v>74</v>
      </c>
      <c r="M491" t="s">
        <v>918</v>
      </c>
      <c r="N491" t="s">
        <v>274</v>
      </c>
      <c r="O491" t="s">
        <v>919</v>
      </c>
      <c r="P491" t="s">
        <v>613</v>
      </c>
      <c r="Q491" t="s">
        <v>920</v>
      </c>
      <c r="R491" s="1">
        <v>46205</v>
      </c>
      <c r="S491" t="s">
        <v>614</v>
      </c>
      <c r="T491" t="s">
        <v>615</v>
      </c>
      <c r="U491" t="s">
        <v>921</v>
      </c>
      <c r="V491" t="s">
        <v>66</v>
      </c>
      <c r="W491" t="s">
        <v>66</v>
      </c>
      <c r="X491">
        <v>5168492</v>
      </c>
      <c r="Y491">
        <v>568534.12</v>
      </c>
      <c r="Z491">
        <v>322686</v>
      </c>
      <c r="AA491">
        <v>35495.46</v>
      </c>
      <c r="AB491">
        <v>5737026.1200000001</v>
      </c>
      <c r="AC491">
        <v>1</v>
      </c>
      <c r="AD491" t="s">
        <v>134</v>
      </c>
      <c r="AE491">
        <v>12</v>
      </c>
      <c r="AF491" t="s">
        <v>563</v>
      </c>
      <c r="AG491">
        <f>IFERROR(VLOOKUP(AF491,[1]STOK!J:O,6,0),"")</f>
        <v>12</v>
      </c>
      <c r="AH491" s="2">
        <f t="shared" si="14"/>
        <v>1</v>
      </c>
      <c r="AI491" t="s">
        <v>563</v>
      </c>
      <c r="AJ491" t="s">
        <v>564</v>
      </c>
      <c r="AK491" t="s">
        <v>565</v>
      </c>
      <c r="AL491" t="s">
        <v>86</v>
      </c>
      <c r="AM491">
        <v>363636</v>
      </c>
      <c r="AN491">
        <f t="shared" si="15"/>
        <v>358181.46</v>
      </c>
      <c r="AO491" t="s">
        <v>66</v>
      </c>
      <c r="AP491">
        <v>1.5</v>
      </c>
      <c r="AQ491" t="s">
        <v>66</v>
      </c>
      <c r="AR491">
        <v>0</v>
      </c>
      <c r="AS491" t="s">
        <v>66</v>
      </c>
      <c r="AT491">
        <v>0</v>
      </c>
      <c r="AU491" t="s">
        <v>66</v>
      </c>
      <c r="AV491">
        <v>0</v>
      </c>
      <c r="AW491" t="s">
        <v>66</v>
      </c>
      <c r="AX491">
        <v>0</v>
      </c>
      <c r="AY491" t="s">
        <v>66</v>
      </c>
      <c r="AZ491">
        <v>0</v>
      </c>
      <c r="BA491" t="s">
        <v>66</v>
      </c>
      <c r="BB491">
        <v>0</v>
      </c>
      <c r="BC491">
        <v>0</v>
      </c>
      <c r="BD491">
        <v>358181.46</v>
      </c>
      <c r="BE491">
        <v>24678.61</v>
      </c>
      <c r="BF491">
        <v>0</v>
      </c>
      <c r="BG491" t="s">
        <v>87</v>
      </c>
      <c r="BH491" t="s">
        <v>66</v>
      </c>
      <c r="BI491">
        <v>0</v>
      </c>
      <c r="BJ491" t="s">
        <v>66</v>
      </c>
      <c r="BK491" t="s">
        <v>88</v>
      </c>
      <c r="BL491" t="s">
        <v>618</v>
      </c>
      <c r="BM491" t="s">
        <v>159</v>
      </c>
    </row>
    <row r="492" spans="1:65" x14ac:dyDescent="0.25">
      <c r="A492">
        <v>490</v>
      </c>
      <c r="B492" t="s">
        <v>914</v>
      </c>
      <c r="C492" t="s">
        <v>915</v>
      </c>
      <c r="D492" s="1">
        <v>46209</v>
      </c>
      <c r="E492" t="s">
        <v>916</v>
      </c>
      <c r="F492" t="s">
        <v>917</v>
      </c>
      <c r="G492" t="s">
        <v>69</v>
      </c>
      <c r="H492" t="s">
        <v>70</v>
      </c>
      <c r="I492" t="s">
        <v>71</v>
      </c>
      <c r="J492" t="s">
        <v>72</v>
      </c>
      <c r="K492" t="s">
        <v>73</v>
      </c>
      <c r="L492" t="s">
        <v>74</v>
      </c>
      <c r="M492" t="s">
        <v>918</v>
      </c>
      <c r="N492" t="s">
        <v>274</v>
      </c>
      <c r="O492" t="s">
        <v>919</v>
      </c>
      <c r="P492" t="s">
        <v>613</v>
      </c>
      <c r="Q492" t="s">
        <v>920</v>
      </c>
      <c r="R492" s="1">
        <v>46205</v>
      </c>
      <c r="S492" t="s">
        <v>614</v>
      </c>
      <c r="T492" t="s">
        <v>615</v>
      </c>
      <c r="U492" t="s">
        <v>921</v>
      </c>
      <c r="V492" t="s">
        <v>66</v>
      </c>
      <c r="W492" t="s">
        <v>66</v>
      </c>
      <c r="X492">
        <v>5168492</v>
      </c>
      <c r="Y492">
        <v>568534.12</v>
      </c>
      <c r="Z492">
        <v>509836</v>
      </c>
      <c r="AA492">
        <v>56081.96</v>
      </c>
      <c r="AB492">
        <v>5737026.1200000001</v>
      </c>
      <c r="AC492">
        <v>1</v>
      </c>
      <c r="AD492" t="s">
        <v>134</v>
      </c>
      <c r="AE492">
        <v>4</v>
      </c>
      <c r="AF492" t="s">
        <v>596</v>
      </c>
      <c r="AG492">
        <f>IFERROR(VLOOKUP(AF492,[1]STOK!J:O,6,0),"")</f>
        <v>4</v>
      </c>
      <c r="AH492" s="2">
        <f t="shared" si="14"/>
        <v>1</v>
      </c>
      <c r="AI492" t="s">
        <v>596</v>
      </c>
      <c r="AJ492" t="s">
        <v>597</v>
      </c>
      <c r="AK492" t="s">
        <v>598</v>
      </c>
      <c r="AL492" t="s">
        <v>86</v>
      </c>
      <c r="AM492">
        <v>574536</v>
      </c>
      <c r="AN492">
        <f t="shared" si="15"/>
        <v>565917.96</v>
      </c>
      <c r="AO492" t="s">
        <v>66</v>
      </c>
      <c r="AP492">
        <v>1.5</v>
      </c>
      <c r="AQ492" t="s">
        <v>66</v>
      </c>
      <c r="AR492">
        <v>0</v>
      </c>
      <c r="AS492" t="s">
        <v>66</v>
      </c>
      <c r="AT492">
        <v>0</v>
      </c>
      <c r="AU492" t="s">
        <v>66</v>
      </c>
      <c r="AV492">
        <v>0</v>
      </c>
      <c r="AW492" t="s">
        <v>66</v>
      </c>
      <c r="AX492">
        <v>0</v>
      </c>
      <c r="AY492" t="s">
        <v>66</v>
      </c>
      <c r="AZ492">
        <v>0</v>
      </c>
      <c r="BA492" t="s">
        <v>66</v>
      </c>
      <c r="BB492">
        <v>0</v>
      </c>
      <c r="BC492">
        <v>0</v>
      </c>
      <c r="BD492">
        <v>565917.96</v>
      </c>
      <c r="BE492">
        <v>115328.93</v>
      </c>
      <c r="BF492">
        <v>0</v>
      </c>
      <c r="BG492" t="s">
        <v>87</v>
      </c>
      <c r="BH492" t="s">
        <v>66</v>
      </c>
      <c r="BI492">
        <v>0</v>
      </c>
      <c r="BJ492" t="s">
        <v>66</v>
      </c>
      <c r="BK492" t="s">
        <v>88</v>
      </c>
      <c r="BL492" t="s">
        <v>618</v>
      </c>
      <c r="BM492" t="s">
        <v>159</v>
      </c>
    </row>
    <row r="493" spans="1:65" x14ac:dyDescent="0.25">
      <c r="A493">
        <v>491</v>
      </c>
      <c r="B493" t="s">
        <v>914</v>
      </c>
      <c r="C493" t="s">
        <v>915</v>
      </c>
      <c r="D493" s="1">
        <v>46209</v>
      </c>
      <c r="E493" t="s">
        <v>916</v>
      </c>
      <c r="F493" t="s">
        <v>917</v>
      </c>
      <c r="G493" t="s">
        <v>69</v>
      </c>
      <c r="H493" t="s">
        <v>70</v>
      </c>
      <c r="I493" t="s">
        <v>71</v>
      </c>
      <c r="J493" t="s">
        <v>72</v>
      </c>
      <c r="K493" t="s">
        <v>73</v>
      </c>
      <c r="L493" t="s">
        <v>74</v>
      </c>
      <c r="M493" t="s">
        <v>918</v>
      </c>
      <c r="N493" t="s">
        <v>274</v>
      </c>
      <c r="O493" t="s">
        <v>919</v>
      </c>
      <c r="P493" t="s">
        <v>613</v>
      </c>
      <c r="Q493" t="s">
        <v>920</v>
      </c>
      <c r="R493" s="1">
        <v>46205</v>
      </c>
      <c r="S493" t="s">
        <v>614</v>
      </c>
      <c r="T493" t="s">
        <v>615</v>
      </c>
      <c r="U493" t="s">
        <v>921</v>
      </c>
      <c r="V493" t="s">
        <v>66</v>
      </c>
      <c r="W493" t="s">
        <v>66</v>
      </c>
      <c r="X493">
        <v>5168492</v>
      </c>
      <c r="Y493">
        <v>568534.12</v>
      </c>
      <c r="Z493">
        <v>509836</v>
      </c>
      <c r="AA493">
        <v>56081.96</v>
      </c>
      <c r="AB493">
        <v>5737026.1200000001</v>
      </c>
      <c r="AC493">
        <v>1</v>
      </c>
      <c r="AD493" t="s">
        <v>134</v>
      </c>
      <c r="AE493">
        <v>4</v>
      </c>
      <c r="AF493" t="s">
        <v>522</v>
      </c>
      <c r="AG493">
        <f>IFERROR(VLOOKUP(AF493,[1]STOK!J:O,6,0),"")</f>
        <v>4</v>
      </c>
      <c r="AH493" s="2">
        <f t="shared" si="14"/>
        <v>1</v>
      </c>
      <c r="AI493" t="s">
        <v>522</v>
      </c>
      <c r="AJ493" t="s">
        <v>523</v>
      </c>
      <c r="AK493" t="s">
        <v>524</v>
      </c>
      <c r="AL493" t="s">
        <v>86</v>
      </c>
      <c r="AM493">
        <v>574536</v>
      </c>
      <c r="AN493">
        <f t="shared" si="15"/>
        <v>565917.96</v>
      </c>
      <c r="AO493" t="s">
        <v>66</v>
      </c>
      <c r="AP493">
        <v>1.5</v>
      </c>
      <c r="AQ493" t="s">
        <v>66</v>
      </c>
      <c r="AR493">
        <v>0</v>
      </c>
      <c r="AS493" t="s">
        <v>66</v>
      </c>
      <c r="AT493">
        <v>0</v>
      </c>
      <c r="AU493" t="s">
        <v>66</v>
      </c>
      <c r="AV493">
        <v>0</v>
      </c>
      <c r="AW493" t="s">
        <v>66</v>
      </c>
      <c r="AX493">
        <v>0</v>
      </c>
      <c r="AY493" t="s">
        <v>66</v>
      </c>
      <c r="AZ493">
        <v>0</v>
      </c>
      <c r="BA493" t="s">
        <v>66</v>
      </c>
      <c r="BB493">
        <v>0</v>
      </c>
      <c r="BC493">
        <v>0</v>
      </c>
      <c r="BD493">
        <v>565917.96</v>
      </c>
      <c r="BE493">
        <v>113522.8</v>
      </c>
      <c r="BF493">
        <v>0</v>
      </c>
      <c r="BG493" t="s">
        <v>87</v>
      </c>
      <c r="BH493" t="s">
        <v>66</v>
      </c>
      <c r="BI493">
        <v>0</v>
      </c>
      <c r="BJ493" t="s">
        <v>66</v>
      </c>
      <c r="BK493" t="s">
        <v>88</v>
      </c>
      <c r="BL493" t="s">
        <v>618</v>
      </c>
      <c r="BM493" t="s">
        <v>159</v>
      </c>
    </row>
    <row r="494" spans="1:65" x14ac:dyDescent="0.25">
      <c r="A494">
        <v>492</v>
      </c>
      <c r="B494" t="s">
        <v>914</v>
      </c>
      <c r="C494" t="s">
        <v>915</v>
      </c>
      <c r="D494" s="1">
        <v>46209</v>
      </c>
      <c r="E494" t="s">
        <v>916</v>
      </c>
      <c r="F494" t="s">
        <v>917</v>
      </c>
      <c r="G494" t="s">
        <v>69</v>
      </c>
      <c r="H494" t="s">
        <v>70</v>
      </c>
      <c r="I494" t="s">
        <v>71</v>
      </c>
      <c r="J494" t="s">
        <v>72</v>
      </c>
      <c r="K494" t="s">
        <v>73</v>
      </c>
      <c r="L494" t="s">
        <v>74</v>
      </c>
      <c r="M494" t="s">
        <v>918</v>
      </c>
      <c r="N494" t="s">
        <v>274</v>
      </c>
      <c r="O494" t="s">
        <v>919</v>
      </c>
      <c r="P494" t="s">
        <v>613</v>
      </c>
      <c r="Q494" t="s">
        <v>920</v>
      </c>
      <c r="R494" s="1">
        <v>46205</v>
      </c>
      <c r="S494" t="s">
        <v>614</v>
      </c>
      <c r="T494" t="s">
        <v>615</v>
      </c>
      <c r="U494" t="s">
        <v>921</v>
      </c>
      <c r="V494" t="s">
        <v>66</v>
      </c>
      <c r="W494" t="s">
        <v>66</v>
      </c>
      <c r="X494">
        <v>5168492</v>
      </c>
      <c r="Y494">
        <v>568534.12</v>
      </c>
      <c r="Z494">
        <v>458616</v>
      </c>
      <c r="AA494">
        <v>50447.76</v>
      </c>
      <c r="AB494">
        <v>5737026.1200000001</v>
      </c>
      <c r="AC494">
        <v>1</v>
      </c>
      <c r="AD494" t="s">
        <v>134</v>
      </c>
      <c r="AE494">
        <v>24</v>
      </c>
      <c r="AF494" t="s">
        <v>470</v>
      </c>
      <c r="AG494">
        <f>IFERROR(VLOOKUP(AF494,[1]STOK!J:O,6,0),"")</f>
        <v>24</v>
      </c>
      <c r="AH494" s="2">
        <f t="shared" si="14"/>
        <v>1</v>
      </c>
      <c r="AI494" t="s">
        <v>470</v>
      </c>
      <c r="AJ494" t="s">
        <v>471</v>
      </c>
      <c r="AK494" t="s">
        <v>472</v>
      </c>
      <c r="AL494" t="s">
        <v>86</v>
      </c>
      <c r="AM494">
        <v>516816</v>
      </c>
      <c r="AN494">
        <f t="shared" si="15"/>
        <v>509063.76</v>
      </c>
      <c r="AO494" t="s">
        <v>66</v>
      </c>
      <c r="AP494">
        <v>1.5</v>
      </c>
      <c r="AQ494" t="s">
        <v>66</v>
      </c>
      <c r="AR494">
        <v>0</v>
      </c>
      <c r="AS494" t="s">
        <v>66</v>
      </c>
      <c r="AT494">
        <v>0</v>
      </c>
      <c r="AU494" t="s">
        <v>66</v>
      </c>
      <c r="AV494">
        <v>0</v>
      </c>
      <c r="AW494" t="s">
        <v>66</v>
      </c>
      <c r="AX494">
        <v>0</v>
      </c>
      <c r="AY494" t="s">
        <v>66</v>
      </c>
      <c r="AZ494">
        <v>0</v>
      </c>
      <c r="BA494" t="s">
        <v>66</v>
      </c>
      <c r="BB494">
        <v>0</v>
      </c>
      <c r="BC494">
        <v>0</v>
      </c>
      <c r="BD494">
        <v>509063.76</v>
      </c>
      <c r="BE494">
        <v>17421.95</v>
      </c>
      <c r="BF494">
        <v>0</v>
      </c>
      <c r="BG494" t="s">
        <v>87</v>
      </c>
      <c r="BH494" t="s">
        <v>66</v>
      </c>
      <c r="BI494">
        <v>0</v>
      </c>
      <c r="BJ494" t="s">
        <v>66</v>
      </c>
      <c r="BK494" t="s">
        <v>88</v>
      </c>
      <c r="BL494" t="s">
        <v>618</v>
      </c>
      <c r="BM494" t="s">
        <v>159</v>
      </c>
    </row>
    <row r="495" spans="1:65" x14ac:dyDescent="0.25">
      <c r="A495">
        <v>493</v>
      </c>
      <c r="B495" t="s">
        <v>914</v>
      </c>
      <c r="C495" t="s">
        <v>915</v>
      </c>
      <c r="D495" s="1">
        <v>46209</v>
      </c>
      <c r="E495" t="s">
        <v>916</v>
      </c>
      <c r="F495" t="s">
        <v>917</v>
      </c>
      <c r="G495" t="s">
        <v>69</v>
      </c>
      <c r="H495" t="s">
        <v>70</v>
      </c>
      <c r="I495" t="s">
        <v>71</v>
      </c>
      <c r="J495" t="s">
        <v>72</v>
      </c>
      <c r="K495" t="s">
        <v>73</v>
      </c>
      <c r="L495" t="s">
        <v>74</v>
      </c>
      <c r="M495" t="s">
        <v>918</v>
      </c>
      <c r="N495" t="s">
        <v>274</v>
      </c>
      <c r="O495" t="s">
        <v>919</v>
      </c>
      <c r="P495" t="s">
        <v>613</v>
      </c>
      <c r="Q495" t="s">
        <v>920</v>
      </c>
      <c r="R495" s="1">
        <v>46205</v>
      </c>
      <c r="S495" t="s">
        <v>614</v>
      </c>
      <c r="T495" t="s">
        <v>615</v>
      </c>
      <c r="U495" t="s">
        <v>921</v>
      </c>
      <c r="V495" t="s">
        <v>66</v>
      </c>
      <c r="W495" t="s">
        <v>66</v>
      </c>
      <c r="X495">
        <v>5168492</v>
      </c>
      <c r="Y495">
        <v>568534.12</v>
      </c>
      <c r="Z495">
        <v>458616</v>
      </c>
      <c r="AA495">
        <v>50447.76</v>
      </c>
      <c r="AB495">
        <v>5737026.1200000001</v>
      </c>
      <c r="AC495">
        <v>1</v>
      </c>
      <c r="AD495" t="s">
        <v>134</v>
      </c>
      <c r="AE495">
        <v>24</v>
      </c>
      <c r="AF495" t="s">
        <v>467</v>
      </c>
      <c r="AG495">
        <f>IFERROR(VLOOKUP(AF495,[1]STOK!J:O,6,0),"")</f>
        <v>24</v>
      </c>
      <c r="AH495" s="2">
        <f t="shared" si="14"/>
        <v>1</v>
      </c>
      <c r="AI495" t="s">
        <v>467</v>
      </c>
      <c r="AJ495" t="s">
        <v>468</v>
      </c>
      <c r="AK495" t="s">
        <v>469</v>
      </c>
      <c r="AL495" t="s">
        <v>86</v>
      </c>
      <c r="AM495">
        <v>516816</v>
      </c>
      <c r="AN495">
        <f t="shared" si="15"/>
        <v>509063.76</v>
      </c>
      <c r="AO495" t="s">
        <v>66</v>
      </c>
      <c r="AP495">
        <v>1.5</v>
      </c>
      <c r="AQ495" t="s">
        <v>66</v>
      </c>
      <c r="AR495">
        <v>0</v>
      </c>
      <c r="AS495" t="s">
        <v>66</v>
      </c>
      <c r="AT495">
        <v>0</v>
      </c>
      <c r="AU495" t="s">
        <v>66</v>
      </c>
      <c r="AV495">
        <v>0</v>
      </c>
      <c r="AW495" t="s">
        <v>66</v>
      </c>
      <c r="AX495">
        <v>0</v>
      </c>
      <c r="AY495" t="s">
        <v>66</v>
      </c>
      <c r="AZ495">
        <v>0</v>
      </c>
      <c r="BA495" t="s">
        <v>66</v>
      </c>
      <c r="BB495">
        <v>0</v>
      </c>
      <c r="BC495">
        <v>0</v>
      </c>
      <c r="BD495">
        <v>509063.76</v>
      </c>
      <c r="BE495">
        <v>17318.07</v>
      </c>
      <c r="BF495">
        <v>0</v>
      </c>
      <c r="BG495" t="s">
        <v>87</v>
      </c>
      <c r="BH495" t="s">
        <v>66</v>
      </c>
      <c r="BI495">
        <v>0</v>
      </c>
      <c r="BJ495" t="s">
        <v>66</v>
      </c>
      <c r="BK495" t="s">
        <v>88</v>
      </c>
      <c r="BL495" t="s">
        <v>618</v>
      </c>
      <c r="BM495" t="s">
        <v>159</v>
      </c>
    </row>
    <row r="496" spans="1:65" x14ac:dyDescent="0.25">
      <c r="A496">
        <v>494</v>
      </c>
      <c r="B496" t="s">
        <v>914</v>
      </c>
      <c r="C496" t="s">
        <v>915</v>
      </c>
      <c r="D496" s="1">
        <v>46209</v>
      </c>
      <c r="E496" t="s">
        <v>916</v>
      </c>
      <c r="F496" t="s">
        <v>917</v>
      </c>
      <c r="G496" t="s">
        <v>69</v>
      </c>
      <c r="H496" t="s">
        <v>70</v>
      </c>
      <c r="I496" t="s">
        <v>71</v>
      </c>
      <c r="J496" t="s">
        <v>72</v>
      </c>
      <c r="K496" t="s">
        <v>73</v>
      </c>
      <c r="L496" t="s">
        <v>74</v>
      </c>
      <c r="M496" t="s">
        <v>918</v>
      </c>
      <c r="N496" t="s">
        <v>274</v>
      </c>
      <c r="O496" t="s">
        <v>919</v>
      </c>
      <c r="P496" t="s">
        <v>613</v>
      </c>
      <c r="Q496" t="s">
        <v>920</v>
      </c>
      <c r="R496" s="1">
        <v>46205</v>
      </c>
      <c r="S496" t="s">
        <v>614</v>
      </c>
      <c r="T496" t="s">
        <v>615</v>
      </c>
      <c r="U496" t="s">
        <v>921</v>
      </c>
      <c r="V496" t="s">
        <v>66</v>
      </c>
      <c r="W496" t="s">
        <v>66</v>
      </c>
      <c r="X496">
        <v>5168492</v>
      </c>
      <c r="Y496">
        <v>568534.12</v>
      </c>
      <c r="Z496">
        <v>458616</v>
      </c>
      <c r="AA496">
        <v>50447.76</v>
      </c>
      <c r="AB496">
        <v>5737026.1200000001</v>
      </c>
      <c r="AC496">
        <v>1</v>
      </c>
      <c r="AD496" t="s">
        <v>134</v>
      </c>
      <c r="AE496">
        <v>24</v>
      </c>
      <c r="AF496" t="s">
        <v>281</v>
      </c>
      <c r="AG496">
        <f>IFERROR(VLOOKUP(AF496,[1]STOK!J:O,6,0),"")</f>
        <v>24</v>
      </c>
      <c r="AH496" s="2">
        <f t="shared" si="14"/>
        <v>1</v>
      </c>
      <c r="AI496" t="s">
        <v>281</v>
      </c>
      <c r="AJ496" t="s">
        <v>282</v>
      </c>
      <c r="AK496" t="s">
        <v>283</v>
      </c>
      <c r="AL496" t="s">
        <v>86</v>
      </c>
      <c r="AM496">
        <v>516816</v>
      </c>
      <c r="AN496">
        <f t="shared" si="15"/>
        <v>509063.76</v>
      </c>
      <c r="AO496" t="s">
        <v>66</v>
      </c>
      <c r="AP496">
        <v>1.5</v>
      </c>
      <c r="AQ496" t="s">
        <v>66</v>
      </c>
      <c r="AR496">
        <v>0</v>
      </c>
      <c r="AS496" t="s">
        <v>66</v>
      </c>
      <c r="AT496">
        <v>0</v>
      </c>
      <c r="AU496" t="s">
        <v>66</v>
      </c>
      <c r="AV496">
        <v>0</v>
      </c>
      <c r="AW496" t="s">
        <v>66</v>
      </c>
      <c r="AX496">
        <v>0</v>
      </c>
      <c r="AY496" t="s">
        <v>66</v>
      </c>
      <c r="AZ496">
        <v>0</v>
      </c>
      <c r="BA496" t="s">
        <v>66</v>
      </c>
      <c r="BB496">
        <v>0</v>
      </c>
      <c r="BC496">
        <v>0</v>
      </c>
      <c r="BD496">
        <v>509063.76</v>
      </c>
      <c r="BE496">
        <v>17290.14</v>
      </c>
      <c r="BF496">
        <v>0</v>
      </c>
      <c r="BG496" t="s">
        <v>87</v>
      </c>
      <c r="BH496" t="s">
        <v>66</v>
      </c>
      <c r="BI496">
        <v>0</v>
      </c>
      <c r="BJ496" t="s">
        <v>66</v>
      </c>
      <c r="BK496" t="s">
        <v>88</v>
      </c>
      <c r="BL496" t="s">
        <v>618</v>
      </c>
      <c r="BM496" t="s">
        <v>159</v>
      </c>
    </row>
    <row r="497" spans="1:65" x14ac:dyDescent="0.25">
      <c r="A497">
        <v>495</v>
      </c>
      <c r="B497" t="s">
        <v>914</v>
      </c>
      <c r="C497" t="s">
        <v>915</v>
      </c>
      <c r="D497" s="1">
        <v>46209</v>
      </c>
      <c r="E497" t="s">
        <v>916</v>
      </c>
      <c r="F497" t="s">
        <v>917</v>
      </c>
      <c r="G497" t="s">
        <v>69</v>
      </c>
      <c r="H497" t="s">
        <v>70</v>
      </c>
      <c r="I497" t="s">
        <v>71</v>
      </c>
      <c r="J497" t="s">
        <v>72</v>
      </c>
      <c r="K497" t="s">
        <v>73</v>
      </c>
      <c r="L497" t="s">
        <v>74</v>
      </c>
      <c r="M497" t="s">
        <v>918</v>
      </c>
      <c r="N497" t="s">
        <v>274</v>
      </c>
      <c r="O497" t="s">
        <v>919</v>
      </c>
      <c r="P497" t="s">
        <v>613</v>
      </c>
      <c r="Q497" t="s">
        <v>920</v>
      </c>
      <c r="R497" s="1">
        <v>46205</v>
      </c>
      <c r="S497" t="s">
        <v>614</v>
      </c>
      <c r="T497" t="s">
        <v>615</v>
      </c>
      <c r="U497" t="s">
        <v>921</v>
      </c>
      <c r="V497" t="s">
        <v>66</v>
      </c>
      <c r="W497" t="s">
        <v>66</v>
      </c>
      <c r="X497">
        <v>5168492</v>
      </c>
      <c r="Y497">
        <v>568534.12</v>
      </c>
      <c r="Z497">
        <v>229308</v>
      </c>
      <c r="AA497">
        <v>25223.88</v>
      </c>
      <c r="AB497">
        <v>5737026.1200000001</v>
      </c>
      <c r="AC497">
        <v>1</v>
      </c>
      <c r="AD497" t="s">
        <v>134</v>
      </c>
      <c r="AE497">
        <v>12</v>
      </c>
      <c r="AF497" t="s">
        <v>284</v>
      </c>
      <c r="AG497">
        <f>IFERROR(VLOOKUP(AF497,[1]STOK!J:O,6,0),"")</f>
        <v>12</v>
      </c>
      <c r="AH497" s="2">
        <f t="shared" si="14"/>
        <v>1</v>
      </c>
      <c r="AI497" t="s">
        <v>284</v>
      </c>
      <c r="AJ497" t="s">
        <v>285</v>
      </c>
      <c r="AK497" t="s">
        <v>286</v>
      </c>
      <c r="AL497" t="s">
        <v>86</v>
      </c>
      <c r="AM497">
        <v>258408</v>
      </c>
      <c r="AN497">
        <f t="shared" si="15"/>
        <v>254531.88</v>
      </c>
      <c r="AO497" t="s">
        <v>66</v>
      </c>
      <c r="AP497">
        <v>1.5</v>
      </c>
      <c r="AQ497" t="s">
        <v>66</v>
      </c>
      <c r="AR497">
        <v>0</v>
      </c>
      <c r="AS497" t="s">
        <v>66</v>
      </c>
      <c r="AT497">
        <v>0</v>
      </c>
      <c r="AU497" t="s">
        <v>66</v>
      </c>
      <c r="AV497">
        <v>0</v>
      </c>
      <c r="AW497" t="s">
        <v>66</v>
      </c>
      <c r="AX497">
        <v>0</v>
      </c>
      <c r="AY497" t="s">
        <v>66</v>
      </c>
      <c r="AZ497">
        <v>0</v>
      </c>
      <c r="BA497" t="s">
        <v>66</v>
      </c>
      <c r="BB497">
        <v>0</v>
      </c>
      <c r="BC497">
        <v>0</v>
      </c>
      <c r="BD497">
        <v>254531.88</v>
      </c>
      <c r="BE497">
        <v>17371.36</v>
      </c>
      <c r="BF497">
        <v>0</v>
      </c>
      <c r="BG497" t="s">
        <v>87</v>
      </c>
      <c r="BH497" t="s">
        <v>66</v>
      </c>
      <c r="BI497">
        <v>0</v>
      </c>
      <c r="BJ497" t="s">
        <v>66</v>
      </c>
      <c r="BK497" t="s">
        <v>88</v>
      </c>
      <c r="BL497" t="s">
        <v>618</v>
      </c>
      <c r="BM497" t="s">
        <v>159</v>
      </c>
    </row>
    <row r="498" spans="1:65" x14ac:dyDescent="0.25">
      <c r="A498">
        <v>496</v>
      </c>
      <c r="B498" t="s">
        <v>914</v>
      </c>
      <c r="C498" t="s">
        <v>915</v>
      </c>
      <c r="D498" s="1">
        <v>46209</v>
      </c>
      <c r="E498" t="s">
        <v>916</v>
      </c>
      <c r="F498" t="s">
        <v>917</v>
      </c>
      <c r="G498" t="s">
        <v>69</v>
      </c>
      <c r="H498" t="s">
        <v>70</v>
      </c>
      <c r="I498" t="s">
        <v>71</v>
      </c>
      <c r="J498" t="s">
        <v>72</v>
      </c>
      <c r="K498" t="s">
        <v>73</v>
      </c>
      <c r="L498" t="s">
        <v>74</v>
      </c>
      <c r="M498" t="s">
        <v>918</v>
      </c>
      <c r="N498" t="s">
        <v>274</v>
      </c>
      <c r="O498" t="s">
        <v>919</v>
      </c>
      <c r="P498" t="s">
        <v>613</v>
      </c>
      <c r="Q498" t="s">
        <v>920</v>
      </c>
      <c r="R498" s="1">
        <v>46205</v>
      </c>
      <c r="S498" t="s">
        <v>614</v>
      </c>
      <c r="T498" t="s">
        <v>615</v>
      </c>
      <c r="U498" t="s">
        <v>921</v>
      </c>
      <c r="V498" t="s">
        <v>66</v>
      </c>
      <c r="W498" t="s">
        <v>66</v>
      </c>
      <c r="X498">
        <v>5168492</v>
      </c>
      <c r="Y498">
        <v>568534.12</v>
      </c>
      <c r="Z498">
        <v>65010</v>
      </c>
      <c r="AA498">
        <v>7151.1</v>
      </c>
      <c r="AB498">
        <v>5737026.1200000001</v>
      </c>
      <c r="AC498">
        <v>4</v>
      </c>
      <c r="AD498" t="s">
        <v>82</v>
      </c>
      <c r="AE498">
        <v>4</v>
      </c>
      <c r="AF498" t="s">
        <v>619</v>
      </c>
      <c r="AG498">
        <f>IFERROR(VLOOKUP(AF498,[1]STOK!J:O,6,0),"")</f>
        <v>12</v>
      </c>
      <c r="AH498" s="2">
        <f t="shared" si="14"/>
        <v>0.33333333333333331</v>
      </c>
      <c r="AI498" t="s">
        <v>619</v>
      </c>
      <c r="AJ498" t="s">
        <v>620</v>
      </c>
      <c r="AK498" t="s">
        <v>621</v>
      </c>
      <c r="AL498" t="s">
        <v>86</v>
      </c>
      <c r="AM498">
        <v>18315</v>
      </c>
      <c r="AN498">
        <f t="shared" si="15"/>
        <v>18040.275000000001</v>
      </c>
      <c r="AO498" t="s">
        <v>66</v>
      </c>
      <c r="AP498">
        <v>1.5</v>
      </c>
      <c r="AQ498" t="s">
        <v>66</v>
      </c>
      <c r="AR498">
        <v>0</v>
      </c>
      <c r="AS498" t="s">
        <v>66</v>
      </c>
      <c r="AT498">
        <v>0</v>
      </c>
      <c r="AU498" t="s">
        <v>66</v>
      </c>
      <c r="AV498">
        <v>0</v>
      </c>
      <c r="AW498" t="s">
        <v>66</v>
      </c>
      <c r="AX498">
        <v>0</v>
      </c>
      <c r="AY498" t="s">
        <v>66</v>
      </c>
      <c r="AZ498">
        <v>0</v>
      </c>
      <c r="BA498" t="s">
        <v>66</v>
      </c>
      <c r="BB498">
        <v>0</v>
      </c>
      <c r="BC498">
        <v>0</v>
      </c>
      <c r="BD498">
        <v>72161.100000000006</v>
      </c>
      <c r="BE498">
        <v>13974.75</v>
      </c>
      <c r="BF498">
        <v>0</v>
      </c>
      <c r="BG498" t="s">
        <v>87</v>
      </c>
      <c r="BH498" t="s">
        <v>66</v>
      </c>
      <c r="BI498">
        <v>0</v>
      </c>
      <c r="BJ498" t="s">
        <v>66</v>
      </c>
      <c r="BK498" t="s">
        <v>88</v>
      </c>
      <c r="BL498" t="s">
        <v>618</v>
      </c>
      <c r="BM498" t="s">
        <v>159</v>
      </c>
    </row>
    <row r="499" spans="1:65" x14ac:dyDescent="0.25">
      <c r="A499">
        <v>497</v>
      </c>
      <c r="B499" t="s">
        <v>914</v>
      </c>
      <c r="C499" t="s">
        <v>915</v>
      </c>
      <c r="D499" s="1">
        <v>46209</v>
      </c>
      <c r="E499" t="s">
        <v>916</v>
      </c>
      <c r="F499" t="s">
        <v>917</v>
      </c>
      <c r="G499" t="s">
        <v>69</v>
      </c>
      <c r="H499" t="s">
        <v>70</v>
      </c>
      <c r="I499" t="s">
        <v>71</v>
      </c>
      <c r="J499" t="s">
        <v>72</v>
      </c>
      <c r="K499" t="s">
        <v>73</v>
      </c>
      <c r="L499" t="s">
        <v>74</v>
      </c>
      <c r="M499" t="s">
        <v>918</v>
      </c>
      <c r="N499" t="s">
        <v>274</v>
      </c>
      <c r="O499" t="s">
        <v>919</v>
      </c>
      <c r="P499" t="s">
        <v>613</v>
      </c>
      <c r="Q499" t="s">
        <v>920</v>
      </c>
      <c r="R499" s="1">
        <v>46205</v>
      </c>
      <c r="S499" t="s">
        <v>614</v>
      </c>
      <c r="T499" t="s">
        <v>615</v>
      </c>
      <c r="U499" t="s">
        <v>921</v>
      </c>
      <c r="V499" t="s">
        <v>66</v>
      </c>
      <c r="W499" t="s">
        <v>66</v>
      </c>
      <c r="X499">
        <v>5168492</v>
      </c>
      <c r="Y499">
        <v>568534.12</v>
      </c>
      <c r="Z499">
        <v>213942</v>
      </c>
      <c r="AA499">
        <v>23533.62</v>
      </c>
      <c r="AB499">
        <v>5737026.1200000001</v>
      </c>
      <c r="AC499">
        <v>1</v>
      </c>
      <c r="AD499" t="s">
        <v>134</v>
      </c>
      <c r="AE499">
        <v>12</v>
      </c>
      <c r="AF499" t="s">
        <v>356</v>
      </c>
      <c r="AG499">
        <f>IFERROR(VLOOKUP(AF499,[1]STOK!J:O,6,0),"")</f>
        <v>12</v>
      </c>
      <c r="AH499" s="2">
        <f t="shared" si="14"/>
        <v>1</v>
      </c>
      <c r="AI499" t="s">
        <v>356</v>
      </c>
      <c r="AJ499" t="s">
        <v>357</v>
      </c>
      <c r="AK499" t="s">
        <v>358</v>
      </c>
      <c r="AL499" t="s">
        <v>86</v>
      </c>
      <c r="AM499">
        <v>241092</v>
      </c>
      <c r="AN499">
        <f t="shared" si="15"/>
        <v>237475.62</v>
      </c>
      <c r="AO499" t="s">
        <v>66</v>
      </c>
      <c r="AP499">
        <v>1.5</v>
      </c>
      <c r="AQ499" t="s">
        <v>66</v>
      </c>
      <c r="AR499">
        <v>0</v>
      </c>
      <c r="AS499" t="s">
        <v>66</v>
      </c>
      <c r="AT499">
        <v>0</v>
      </c>
      <c r="AU499" t="s">
        <v>66</v>
      </c>
      <c r="AV499">
        <v>0</v>
      </c>
      <c r="AW499" t="s">
        <v>66</v>
      </c>
      <c r="AX499">
        <v>0</v>
      </c>
      <c r="AY499" t="s">
        <v>66</v>
      </c>
      <c r="AZ499">
        <v>0</v>
      </c>
      <c r="BA499" t="s">
        <v>66</v>
      </c>
      <c r="BB499">
        <v>0</v>
      </c>
      <c r="BC499">
        <v>0</v>
      </c>
      <c r="BD499">
        <v>237475.62</v>
      </c>
      <c r="BE499">
        <v>16282.92</v>
      </c>
      <c r="BF499">
        <v>0</v>
      </c>
      <c r="BG499" t="s">
        <v>87</v>
      </c>
      <c r="BH499" t="s">
        <v>66</v>
      </c>
      <c r="BI499">
        <v>0</v>
      </c>
      <c r="BJ499" t="s">
        <v>66</v>
      </c>
      <c r="BK499" t="s">
        <v>88</v>
      </c>
      <c r="BL499" t="s">
        <v>618</v>
      </c>
      <c r="BM499" t="s">
        <v>159</v>
      </c>
    </row>
    <row r="500" spans="1:65" x14ac:dyDescent="0.25">
      <c r="A500">
        <v>498</v>
      </c>
      <c r="B500" t="s">
        <v>914</v>
      </c>
      <c r="C500" t="s">
        <v>915</v>
      </c>
      <c r="D500" s="1">
        <v>46209</v>
      </c>
      <c r="E500" t="s">
        <v>916</v>
      </c>
      <c r="F500" t="s">
        <v>917</v>
      </c>
      <c r="G500" t="s">
        <v>69</v>
      </c>
      <c r="H500" t="s">
        <v>70</v>
      </c>
      <c r="I500" t="s">
        <v>71</v>
      </c>
      <c r="J500" t="s">
        <v>72</v>
      </c>
      <c r="K500" t="s">
        <v>73</v>
      </c>
      <c r="L500" t="s">
        <v>74</v>
      </c>
      <c r="M500" t="s">
        <v>918</v>
      </c>
      <c r="N500" t="s">
        <v>274</v>
      </c>
      <c r="O500" t="s">
        <v>919</v>
      </c>
      <c r="P500" t="s">
        <v>613</v>
      </c>
      <c r="Q500" t="s">
        <v>920</v>
      </c>
      <c r="R500" s="1">
        <v>46205</v>
      </c>
      <c r="S500" t="s">
        <v>614</v>
      </c>
      <c r="T500" t="s">
        <v>615</v>
      </c>
      <c r="U500" t="s">
        <v>921</v>
      </c>
      <c r="V500" t="s">
        <v>66</v>
      </c>
      <c r="W500" t="s">
        <v>66</v>
      </c>
      <c r="X500">
        <v>5168492</v>
      </c>
      <c r="Y500">
        <v>568534.12</v>
      </c>
      <c r="Z500">
        <v>472800</v>
      </c>
      <c r="AA500">
        <v>52008</v>
      </c>
      <c r="AB500">
        <v>5737026.1200000001</v>
      </c>
      <c r="AC500">
        <v>2</v>
      </c>
      <c r="AD500" t="s">
        <v>134</v>
      </c>
      <c r="AE500">
        <v>24</v>
      </c>
      <c r="AF500" t="s">
        <v>290</v>
      </c>
      <c r="AG500">
        <f>IFERROR(VLOOKUP(AF500,[1]STOK!J:O,6,0),"")</f>
        <v>12</v>
      </c>
      <c r="AH500" s="2">
        <f t="shared" si="14"/>
        <v>2</v>
      </c>
      <c r="AI500" t="s">
        <v>290</v>
      </c>
      <c r="AJ500" t="s">
        <v>291</v>
      </c>
      <c r="AK500" t="s">
        <v>292</v>
      </c>
      <c r="AL500" t="s">
        <v>86</v>
      </c>
      <c r="AM500">
        <v>266400</v>
      </c>
      <c r="AN500">
        <f t="shared" si="15"/>
        <v>262404</v>
      </c>
      <c r="AO500" t="s">
        <v>66</v>
      </c>
      <c r="AP500">
        <v>1.5</v>
      </c>
      <c r="AQ500" t="s">
        <v>66</v>
      </c>
      <c r="AR500">
        <v>0</v>
      </c>
      <c r="AS500" t="s">
        <v>66</v>
      </c>
      <c r="AT500">
        <v>0</v>
      </c>
      <c r="AU500" t="s">
        <v>66</v>
      </c>
      <c r="AV500">
        <v>0</v>
      </c>
      <c r="AW500" t="s">
        <v>66</v>
      </c>
      <c r="AX500">
        <v>0</v>
      </c>
      <c r="AY500" t="s">
        <v>66</v>
      </c>
      <c r="AZ500">
        <v>0</v>
      </c>
      <c r="BA500" t="s">
        <v>66</v>
      </c>
      <c r="BB500">
        <v>0</v>
      </c>
      <c r="BC500">
        <v>0</v>
      </c>
      <c r="BD500">
        <v>524808</v>
      </c>
      <c r="BE500">
        <v>18106.89</v>
      </c>
      <c r="BF500">
        <v>0</v>
      </c>
      <c r="BG500" t="s">
        <v>87</v>
      </c>
      <c r="BH500" t="s">
        <v>66</v>
      </c>
      <c r="BI500">
        <v>0</v>
      </c>
      <c r="BJ500" t="s">
        <v>66</v>
      </c>
      <c r="BK500" t="s">
        <v>88</v>
      </c>
      <c r="BL500" t="s">
        <v>618</v>
      </c>
      <c r="BM500" t="s">
        <v>159</v>
      </c>
    </row>
    <row r="501" spans="1:65" x14ac:dyDescent="0.25">
      <c r="A501">
        <v>499</v>
      </c>
      <c r="B501" t="s">
        <v>914</v>
      </c>
      <c r="C501" t="s">
        <v>915</v>
      </c>
      <c r="D501" s="1">
        <v>46209</v>
      </c>
      <c r="E501" t="s">
        <v>916</v>
      </c>
      <c r="F501" t="s">
        <v>917</v>
      </c>
      <c r="G501" t="s">
        <v>69</v>
      </c>
      <c r="H501" t="s">
        <v>70</v>
      </c>
      <c r="I501" t="s">
        <v>71</v>
      </c>
      <c r="J501" t="s">
        <v>72</v>
      </c>
      <c r="K501" t="s">
        <v>73</v>
      </c>
      <c r="L501" t="s">
        <v>74</v>
      </c>
      <c r="M501" t="s">
        <v>918</v>
      </c>
      <c r="N501" t="s">
        <v>274</v>
      </c>
      <c r="O501" t="s">
        <v>919</v>
      </c>
      <c r="P501" t="s">
        <v>613</v>
      </c>
      <c r="Q501" t="s">
        <v>920</v>
      </c>
      <c r="R501" s="1">
        <v>46205</v>
      </c>
      <c r="S501" t="s">
        <v>614</v>
      </c>
      <c r="T501" t="s">
        <v>615</v>
      </c>
      <c r="U501" t="s">
        <v>921</v>
      </c>
      <c r="V501" t="s">
        <v>66</v>
      </c>
      <c r="W501" t="s">
        <v>66</v>
      </c>
      <c r="X501">
        <v>5168492</v>
      </c>
      <c r="Y501">
        <v>568534.12</v>
      </c>
      <c r="Z501">
        <v>236400</v>
      </c>
      <c r="AA501">
        <v>26004</v>
      </c>
      <c r="AB501">
        <v>5737026.1200000001</v>
      </c>
      <c r="AC501">
        <v>1</v>
      </c>
      <c r="AD501" t="s">
        <v>134</v>
      </c>
      <c r="AE501">
        <v>12</v>
      </c>
      <c r="AF501" t="s">
        <v>102</v>
      </c>
      <c r="AG501">
        <f>IFERROR(VLOOKUP(AF501,[1]STOK!J:O,6,0),"")</f>
        <v>12</v>
      </c>
      <c r="AH501" s="2">
        <f t="shared" si="14"/>
        <v>1</v>
      </c>
      <c r="AI501" t="s">
        <v>102</v>
      </c>
      <c r="AJ501" t="s">
        <v>103</v>
      </c>
      <c r="AK501" t="s">
        <v>104</v>
      </c>
      <c r="AL501" t="s">
        <v>86</v>
      </c>
      <c r="AM501">
        <v>266400</v>
      </c>
      <c r="AN501">
        <f t="shared" si="15"/>
        <v>262404</v>
      </c>
      <c r="AO501" t="s">
        <v>66</v>
      </c>
      <c r="AP501">
        <v>1.5</v>
      </c>
      <c r="AQ501" t="s">
        <v>66</v>
      </c>
      <c r="AR501">
        <v>0</v>
      </c>
      <c r="AS501" t="s">
        <v>66</v>
      </c>
      <c r="AT501">
        <v>0</v>
      </c>
      <c r="AU501" t="s">
        <v>66</v>
      </c>
      <c r="AV501">
        <v>0</v>
      </c>
      <c r="AW501" t="s">
        <v>66</v>
      </c>
      <c r="AX501">
        <v>0</v>
      </c>
      <c r="AY501" t="s">
        <v>66</v>
      </c>
      <c r="AZ501">
        <v>0</v>
      </c>
      <c r="BA501" t="s">
        <v>66</v>
      </c>
      <c r="BB501">
        <v>0</v>
      </c>
      <c r="BC501">
        <v>0</v>
      </c>
      <c r="BD501">
        <v>262404</v>
      </c>
      <c r="BE501">
        <v>18040.98</v>
      </c>
      <c r="BF501">
        <v>0</v>
      </c>
      <c r="BG501" t="s">
        <v>87</v>
      </c>
      <c r="BH501" t="s">
        <v>66</v>
      </c>
      <c r="BI501">
        <v>0</v>
      </c>
      <c r="BJ501" t="s">
        <v>66</v>
      </c>
      <c r="BK501" t="s">
        <v>88</v>
      </c>
      <c r="BL501" t="s">
        <v>618</v>
      </c>
      <c r="BM501" t="s">
        <v>159</v>
      </c>
    </row>
    <row r="502" spans="1:65" x14ac:dyDescent="0.25">
      <c r="A502">
        <v>500</v>
      </c>
      <c r="B502" t="s">
        <v>914</v>
      </c>
      <c r="C502" t="s">
        <v>915</v>
      </c>
      <c r="D502" s="1">
        <v>46209</v>
      </c>
      <c r="E502" t="s">
        <v>916</v>
      </c>
      <c r="F502" t="s">
        <v>917</v>
      </c>
      <c r="G502" t="s">
        <v>69</v>
      </c>
      <c r="H502" t="s">
        <v>70</v>
      </c>
      <c r="I502" t="s">
        <v>71</v>
      </c>
      <c r="J502" t="s">
        <v>72</v>
      </c>
      <c r="K502" t="s">
        <v>73</v>
      </c>
      <c r="L502" t="s">
        <v>74</v>
      </c>
      <c r="M502" t="s">
        <v>918</v>
      </c>
      <c r="N502" t="s">
        <v>274</v>
      </c>
      <c r="O502" t="s">
        <v>919</v>
      </c>
      <c r="P502" t="s">
        <v>613</v>
      </c>
      <c r="Q502" t="s">
        <v>920</v>
      </c>
      <c r="R502" s="1">
        <v>46205</v>
      </c>
      <c r="S502" t="s">
        <v>614</v>
      </c>
      <c r="T502" t="s">
        <v>615</v>
      </c>
      <c r="U502" t="s">
        <v>921</v>
      </c>
      <c r="V502" t="s">
        <v>66</v>
      </c>
      <c r="W502" t="s">
        <v>66</v>
      </c>
      <c r="X502">
        <v>5168492</v>
      </c>
      <c r="Y502">
        <v>568534.12</v>
      </c>
      <c r="Z502">
        <v>226353</v>
      </c>
      <c r="AA502">
        <v>24898.83</v>
      </c>
      <c r="AB502">
        <v>5737026.1200000001</v>
      </c>
      <c r="AC502">
        <v>1</v>
      </c>
      <c r="AD502" t="s">
        <v>134</v>
      </c>
      <c r="AE502">
        <v>6</v>
      </c>
      <c r="AF502" t="s">
        <v>138</v>
      </c>
      <c r="AG502">
        <f>IFERROR(VLOOKUP(AF502,[1]STOK!J:O,6,0),"")</f>
        <v>6</v>
      </c>
      <c r="AH502" s="2">
        <f t="shared" si="14"/>
        <v>1</v>
      </c>
      <c r="AI502" t="s">
        <v>138</v>
      </c>
      <c r="AJ502" t="s">
        <v>139</v>
      </c>
      <c r="AK502" t="s">
        <v>140</v>
      </c>
      <c r="AL502" t="s">
        <v>86</v>
      </c>
      <c r="AM502">
        <v>255078</v>
      </c>
      <c r="AN502">
        <f t="shared" si="15"/>
        <v>251251.83</v>
      </c>
      <c r="AO502" t="s">
        <v>66</v>
      </c>
      <c r="AP502">
        <v>1.5</v>
      </c>
      <c r="AQ502" t="s">
        <v>66</v>
      </c>
      <c r="AR502">
        <v>0</v>
      </c>
      <c r="AS502" t="s">
        <v>66</v>
      </c>
      <c r="AT502">
        <v>0</v>
      </c>
      <c r="AU502" t="s">
        <v>66</v>
      </c>
      <c r="AV502">
        <v>0</v>
      </c>
      <c r="AW502" t="s">
        <v>66</v>
      </c>
      <c r="AX502">
        <v>0</v>
      </c>
      <c r="AY502" t="s">
        <v>66</v>
      </c>
      <c r="AZ502">
        <v>0</v>
      </c>
      <c r="BA502" t="s">
        <v>66</v>
      </c>
      <c r="BB502">
        <v>0</v>
      </c>
      <c r="BC502">
        <v>0</v>
      </c>
      <c r="BD502">
        <v>251251.83</v>
      </c>
      <c r="BE502">
        <v>34660.32</v>
      </c>
      <c r="BF502">
        <v>0</v>
      </c>
      <c r="BG502" t="s">
        <v>87</v>
      </c>
      <c r="BH502" t="s">
        <v>66</v>
      </c>
      <c r="BI502">
        <v>0</v>
      </c>
      <c r="BJ502" t="s">
        <v>66</v>
      </c>
      <c r="BK502" t="s">
        <v>88</v>
      </c>
      <c r="BL502" t="s">
        <v>618</v>
      </c>
      <c r="BM502" t="s">
        <v>159</v>
      </c>
    </row>
    <row r="503" spans="1:65" x14ac:dyDescent="0.25">
      <c r="A503">
        <v>501</v>
      </c>
      <c r="B503" t="s">
        <v>914</v>
      </c>
      <c r="C503" t="s">
        <v>915</v>
      </c>
      <c r="D503" s="1">
        <v>46209</v>
      </c>
      <c r="E503" t="s">
        <v>916</v>
      </c>
      <c r="F503" t="s">
        <v>917</v>
      </c>
      <c r="G503" t="s">
        <v>69</v>
      </c>
      <c r="H503" t="s">
        <v>70</v>
      </c>
      <c r="I503" t="s">
        <v>71</v>
      </c>
      <c r="J503" t="s">
        <v>72</v>
      </c>
      <c r="K503" t="s">
        <v>73</v>
      </c>
      <c r="L503" t="s">
        <v>74</v>
      </c>
      <c r="M503" t="s">
        <v>918</v>
      </c>
      <c r="N503" t="s">
        <v>274</v>
      </c>
      <c r="O503" t="s">
        <v>919</v>
      </c>
      <c r="P503" t="s">
        <v>613</v>
      </c>
      <c r="Q503" t="s">
        <v>920</v>
      </c>
      <c r="R503" s="1">
        <v>46205</v>
      </c>
      <c r="S503" t="s">
        <v>614</v>
      </c>
      <c r="T503" t="s">
        <v>615</v>
      </c>
      <c r="U503" t="s">
        <v>921</v>
      </c>
      <c r="V503" t="s">
        <v>66</v>
      </c>
      <c r="W503" t="s">
        <v>66</v>
      </c>
      <c r="X503">
        <v>5168492</v>
      </c>
      <c r="Y503">
        <v>568534.12</v>
      </c>
      <c r="Z503">
        <v>226353</v>
      </c>
      <c r="AA503">
        <v>24898.83</v>
      </c>
      <c r="AB503">
        <v>5737026.1200000001</v>
      </c>
      <c r="AC503">
        <v>1</v>
      </c>
      <c r="AD503" t="s">
        <v>134</v>
      </c>
      <c r="AE503">
        <v>6</v>
      </c>
      <c r="AF503" t="s">
        <v>323</v>
      </c>
      <c r="AG503">
        <f>IFERROR(VLOOKUP(AF503,[1]STOK!J:O,6,0),"")</f>
        <v>6</v>
      </c>
      <c r="AH503" s="2">
        <f t="shared" si="14"/>
        <v>1</v>
      </c>
      <c r="AI503" t="s">
        <v>323</v>
      </c>
      <c r="AJ503" t="s">
        <v>324</v>
      </c>
      <c r="AK503" t="s">
        <v>325</v>
      </c>
      <c r="AL503" t="s">
        <v>86</v>
      </c>
      <c r="AM503">
        <v>255078</v>
      </c>
      <c r="AN503">
        <f t="shared" si="15"/>
        <v>251251.83</v>
      </c>
      <c r="AO503" t="s">
        <v>66</v>
      </c>
      <c r="AP503">
        <v>1.5</v>
      </c>
      <c r="AQ503" t="s">
        <v>66</v>
      </c>
      <c r="AR503">
        <v>0</v>
      </c>
      <c r="AS503" t="s">
        <v>66</v>
      </c>
      <c r="AT503">
        <v>0</v>
      </c>
      <c r="AU503" t="s">
        <v>66</v>
      </c>
      <c r="AV503">
        <v>0</v>
      </c>
      <c r="AW503" t="s">
        <v>66</v>
      </c>
      <c r="AX503">
        <v>0</v>
      </c>
      <c r="AY503" t="s">
        <v>66</v>
      </c>
      <c r="AZ503">
        <v>0</v>
      </c>
      <c r="BA503" t="s">
        <v>66</v>
      </c>
      <c r="BB503">
        <v>0</v>
      </c>
      <c r="BC503">
        <v>0</v>
      </c>
      <c r="BD503">
        <v>251251.83</v>
      </c>
      <c r="BE503">
        <v>34469.339999999997</v>
      </c>
      <c r="BF503">
        <v>0</v>
      </c>
      <c r="BG503" t="s">
        <v>87</v>
      </c>
      <c r="BH503" t="s">
        <v>66</v>
      </c>
      <c r="BI503">
        <v>0</v>
      </c>
      <c r="BJ503" t="s">
        <v>66</v>
      </c>
      <c r="BK503" t="s">
        <v>88</v>
      </c>
      <c r="BL503" t="s">
        <v>618</v>
      </c>
      <c r="BM503" t="s">
        <v>159</v>
      </c>
    </row>
    <row r="504" spans="1:65" x14ac:dyDescent="0.25">
      <c r="A504">
        <v>502</v>
      </c>
      <c r="B504" t="s">
        <v>922</v>
      </c>
      <c r="C504" t="s">
        <v>66</v>
      </c>
      <c r="D504" s="1">
        <v>46209</v>
      </c>
      <c r="E504" t="s">
        <v>923</v>
      </c>
      <c r="F504" t="s">
        <v>68</v>
      </c>
      <c r="G504" t="s">
        <v>69</v>
      </c>
      <c r="H504" t="s">
        <v>70</v>
      </c>
      <c r="I504" t="s">
        <v>71</v>
      </c>
      <c r="J504" t="s">
        <v>72</v>
      </c>
      <c r="K504" t="s">
        <v>73</v>
      </c>
      <c r="L504" t="s">
        <v>74</v>
      </c>
      <c r="M504" t="s">
        <v>924</v>
      </c>
      <c r="N504" t="s">
        <v>111</v>
      </c>
      <c r="O504" t="s">
        <v>925</v>
      </c>
      <c r="P504" t="s">
        <v>926</v>
      </c>
      <c r="Q504" t="s">
        <v>927</v>
      </c>
      <c r="R504" s="1">
        <v>46211</v>
      </c>
      <c r="S504" t="s">
        <v>544</v>
      </c>
      <c r="T504" t="s">
        <v>545</v>
      </c>
      <c r="U504" t="s">
        <v>546</v>
      </c>
      <c r="V504" t="s">
        <v>66</v>
      </c>
      <c r="W504" t="s">
        <v>66</v>
      </c>
      <c r="X504">
        <v>2960496</v>
      </c>
      <c r="Y504">
        <v>325654.56</v>
      </c>
      <c r="Z504">
        <v>65934</v>
      </c>
      <c r="AA504">
        <v>7252.74</v>
      </c>
      <c r="AB504">
        <v>3286150.56</v>
      </c>
      <c r="AC504">
        <v>9</v>
      </c>
      <c r="AD504" t="s">
        <v>82</v>
      </c>
      <c r="AE504">
        <v>9</v>
      </c>
      <c r="AF504" t="s">
        <v>262</v>
      </c>
      <c r="AG504">
        <f>IFERROR(VLOOKUP(AF504,[1]STOK!J:O,6,0),"")</f>
        <v>24</v>
      </c>
      <c r="AH504" s="2">
        <f t="shared" si="14"/>
        <v>0.375</v>
      </c>
      <c r="AI504" t="s">
        <v>262</v>
      </c>
      <c r="AJ504" t="s">
        <v>263</v>
      </c>
      <c r="AK504" t="s">
        <v>264</v>
      </c>
      <c r="AL504" t="s">
        <v>86</v>
      </c>
      <c r="AM504">
        <v>8214</v>
      </c>
      <c r="AN504">
        <f t="shared" si="15"/>
        <v>8131.8600000000006</v>
      </c>
      <c r="AO504" t="s">
        <v>66</v>
      </c>
      <c r="AP504">
        <v>1</v>
      </c>
      <c r="AQ504" t="s">
        <v>66</v>
      </c>
      <c r="AR504">
        <v>0</v>
      </c>
      <c r="AS504" t="s">
        <v>66</v>
      </c>
      <c r="AT504">
        <v>0</v>
      </c>
      <c r="AU504" t="s">
        <v>66</v>
      </c>
      <c r="AV504">
        <v>0</v>
      </c>
      <c r="AW504" t="s">
        <v>66</v>
      </c>
      <c r="AX504">
        <v>0</v>
      </c>
      <c r="AY504" t="s">
        <v>66</v>
      </c>
      <c r="AZ504">
        <v>0</v>
      </c>
      <c r="BA504" t="s">
        <v>66</v>
      </c>
      <c r="BB504">
        <v>0</v>
      </c>
      <c r="BC504">
        <v>0</v>
      </c>
      <c r="BD504">
        <v>73186.740000000005</v>
      </c>
      <c r="BE504">
        <v>6693.78</v>
      </c>
      <c r="BF504">
        <v>0</v>
      </c>
      <c r="BG504" t="s">
        <v>87</v>
      </c>
      <c r="BH504" t="s">
        <v>66</v>
      </c>
      <c r="BI504">
        <v>0</v>
      </c>
      <c r="BJ504" t="s">
        <v>66</v>
      </c>
      <c r="BK504" t="s">
        <v>88</v>
      </c>
      <c r="BL504" t="s">
        <v>547</v>
      </c>
      <c r="BM504" t="s">
        <v>159</v>
      </c>
    </row>
    <row r="505" spans="1:65" x14ac:dyDescent="0.25">
      <c r="A505">
        <v>503</v>
      </c>
      <c r="B505" t="s">
        <v>922</v>
      </c>
      <c r="C505" t="s">
        <v>66</v>
      </c>
      <c r="D505" s="1">
        <v>46209</v>
      </c>
      <c r="E505" t="s">
        <v>923</v>
      </c>
      <c r="F505" t="s">
        <v>68</v>
      </c>
      <c r="G505" t="s">
        <v>69</v>
      </c>
      <c r="H505" t="s">
        <v>70</v>
      </c>
      <c r="I505" t="s">
        <v>71</v>
      </c>
      <c r="J505" t="s">
        <v>72</v>
      </c>
      <c r="K505" t="s">
        <v>73</v>
      </c>
      <c r="L505" t="s">
        <v>74</v>
      </c>
      <c r="M505" t="s">
        <v>924</v>
      </c>
      <c r="N505" t="s">
        <v>111</v>
      </c>
      <c r="O505" t="s">
        <v>925</v>
      </c>
      <c r="P505" t="s">
        <v>926</v>
      </c>
      <c r="Q505" t="s">
        <v>927</v>
      </c>
      <c r="R505" s="1">
        <v>46211</v>
      </c>
      <c r="S505" t="s">
        <v>544</v>
      </c>
      <c r="T505" t="s">
        <v>545</v>
      </c>
      <c r="U505" t="s">
        <v>546</v>
      </c>
      <c r="V505" t="s">
        <v>66</v>
      </c>
      <c r="W505" t="s">
        <v>66</v>
      </c>
      <c r="X505">
        <v>2960496</v>
      </c>
      <c r="Y505">
        <v>325654.56</v>
      </c>
      <c r="Z505">
        <v>65934</v>
      </c>
      <c r="AA505">
        <v>7252.74</v>
      </c>
      <c r="AB505">
        <v>3286150.56</v>
      </c>
      <c r="AC505">
        <v>9</v>
      </c>
      <c r="AD505" t="s">
        <v>82</v>
      </c>
      <c r="AE505">
        <v>9</v>
      </c>
      <c r="AF505" t="s">
        <v>83</v>
      </c>
      <c r="AG505">
        <f>IFERROR(VLOOKUP(AF505,[1]STOK!J:O,6,0),"")</f>
        <v>24</v>
      </c>
      <c r="AH505" s="2">
        <f t="shared" si="14"/>
        <v>0.375</v>
      </c>
      <c r="AI505" t="s">
        <v>83</v>
      </c>
      <c r="AJ505" t="s">
        <v>84</v>
      </c>
      <c r="AK505" t="s">
        <v>85</v>
      </c>
      <c r="AL505" t="s">
        <v>86</v>
      </c>
      <c r="AM505">
        <v>8214</v>
      </c>
      <c r="AN505">
        <f t="shared" si="15"/>
        <v>8131.8600000000006</v>
      </c>
      <c r="AO505" t="s">
        <v>66</v>
      </c>
      <c r="AP505">
        <v>1</v>
      </c>
      <c r="AQ505" t="s">
        <v>66</v>
      </c>
      <c r="AR505">
        <v>0</v>
      </c>
      <c r="AS505" t="s">
        <v>66</v>
      </c>
      <c r="AT505">
        <v>0</v>
      </c>
      <c r="AU505" t="s">
        <v>66</v>
      </c>
      <c r="AV505">
        <v>0</v>
      </c>
      <c r="AW505" t="s">
        <v>66</v>
      </c>
      <c r="AX505">
        <v>0</v>
      </c>
      <c r="AY505" t="s">
        <v>66</v>
      </c>
      <c r="AZ505">
        <v>0</v>
      </c>
      <c r="BA505" t="s">
        <v>66</v>
      </c>
      <c r="BB505">
        <v>0</v>
      </c>
      <c r="BC505">
        <v>0</v>
      </c>
      <c r="BD505">
        <v>73186.740000000005</v>
      </c>
      <c r="BE505">
        <v>6704.84</v>
      </c>
      <c r="BF505">
        <v>0</v>
      </c>
      <c r="BG505" t="s">
        <v>87</v>
      </c>
      <c r="BH505" t="s">
        <v>66</v>
      </c>
      <c r="BI505">
        <v>0</v>
      </c>
      <c r="BJ505" t="s">
        <v>66</v>
      </c>
      <c r="BK505" t="s">
        <v>88</v>
      </c>
      <c r="BL505" t="s">
        <v>547</v>
      </c>
      <c r="BM505" t="s">
        <v>159</v>
      </c>
    </row>
    <row r="506" spans="1:65" x14ac:dyDescent="0.25">
      <c r="A506">
        <v>504</v>
      </c>
      <c r="B506" t="s">
        <v>922</v>
      </c>
      <c r="C506" t="s">
        <v>66</v>
      </c>
      <c r="D506" s="1">
        <v>46209</v>
      </c>
      <c r="E506" t="s">
        <v>923</v>
      </c>
      <c r="F506" t="s">
        <v>68</v>
      </c>
      <c r="G506" t="s">
        <v>69</v>
      </c>
      <c r="H506" t="s">
        <v>70</v>
      </c>
      <c r="I506" t="s">
        <v>71</v>
      </c>
      <c r="J506" t="s">
        <v>72</v>
      </c>
      <c r="K506" t="s">
        <v>73</v>
      </c>
      <c r="L506" t="s">
        <v>74</v>
      </c>
      <c r="M506" t="s">
        <v>924</v>
      </c>
      <c r="N506" t="s">
        <v>111</v>
      </c>
      <c r="O506" t="s">
        <v>925</v>
      </c>
      <c r="P506" t="s">
        <v>926</v>
      </c>
      <c r="Q506" t="s">
        <v>927</v>
      </c>
      <c r="R506" s="1">
        <v>46211</v>
      </c>
      <c r="S506" t="s">
        <v>544</v>
      </c>
      <c r="T506" t="s">
        <v>545</v>
      </c>
      <c r="U506" t="s">
        <v>546</v>
      </c>
      <c r="V506" t="s">
        <v>66</v>
      </c>
      <c r="W506" t="s">
        <v>66</v>
      </c>
      <c r="X506">
        <v>2960496</v>
      </c>
      <c r="Y506">
        <v>325654.56</v>
      </c>
      <c r="Z506">
        <v>58806</v>
      </c>
      <c r="AA506">
        <v>6468.66</v>
      </c>
      <c r="AB506">
        <v>3286150.56</v>
      </c>
      <c r="AC506">
        <v>3</v>
      </c>
      <c r="AD506" t="s">
        <v>82</v>
      </c>
      <c r="AE506">
        <v>3</v>
      </c>
      <c r="AF506" t="s">
        <v>799</v>
      </c>
      <c r="AG506">
        <f>IFERROR(VLOOKUP(AF506,[1]STOK!J:O,6,0),"")</f>
        <v>12</v>
      </c>
      <c r="AH506" s="2">
        <f t="shared" si="14"/>
        <v>0.25</v>
      </c>
      <c r="AI506" t="s">
        <v>799</v>
      </c>
      <c r="AJ506" t="s">
        <v>800</v>
      </c>
      <c r="AK506" t="s">
        <v>801</v>
      </c>
      <c r="AL506" t="s">
        <v>86</v>
      </c>
      <c r="AM506">
        <v>21978</v>
      </c>
      <c r="AN506">
        <f t="shared" si="15"/>
        <v>21758.22</v>
      </c>
      <c r="AO506" t="s">
        <v>66</v>
      </c>
      <c r="AP506">
        <v>1</v>
      </c>
      <c r="AQ506" t="s">
        <v>66</v>
      </c>
      <c r="AR506">
        <v>0</v>
      </c>
      <c r="AS506" t="s">
        <v>66</v>
      </c>
      <c r="AT506">
        <v>0</v>
      </c>
      <c r="AU506" t="s">
        <v>66</v>
      </c>
      <c r="AV506">
        <v>0</v>
      </c>
      <c r="AW506" t="s">
        <v>66</v>
      </c>
      <c r="AX506">
        <v>0</v>
      </c>
      <c r="AY506" t="s">
        <v>66</v>
      </c>
      <c r="AZ506">
        <v>0</v>
      </c>
      <c r="BA506" t="s">
        <v>66</v>
      </c>
      <c r="BB506">
        <v>0</v>
      </c>
      <c r="BC506">
        <v>0</v>
      </c>
      <c r="BD506">
        <v>65274.66</v>
      </c>
      <c r="BE506">
        <v>17479.689999999999</v>
      </c>
      <c r="BF506">
        <v>0</v>
      </c>
      <c r="BG506" t="s">
        <v>87</v>
      </c>
      <c r="BH506" t="s">
        <v>66</v>
      </c>
      <c r="BI506">
        <v>0</v>
      </c>
      <c r="BJ506" t="s">
        <v>66</v>
      </c>
      <c r="BK506" t="s">
        <v>88</v>
      </c>
      <c r="BL506" t="s">
        <v>547</v>
      </c>
      <c r="BM506" t="s">
        <v>159</v>
      </c>
    </row>
    <row r="507" spans="1:65" x14ac:dyDescent="0.25">
      <c r="A507">
        <v>505</v>
      </c>
      <c r="B507" t="s">
        <v>922</v>
      </c>
      <c r="C507" t="s">
        <v>66</v>
      </c>
      <c r="D507" s="1">
        <v>46209</v>
      </c>
      <c r="E507" t="s">
        <v>923</v>
      </c>
      <c r="F507" t="s">
        <v>68</v>
      </c>
      <c r="G507" t="s">
        <v>69</v>
      </c>
      <c r="H507" t="s">
        <v>70</v>
      </c>
      <c r="I507" t="s">
        <v>71</v>
      </c>
      <c r="J507" t="s">
        <v>72</v>
      </c>
      <c r="K507" t="s">
        <v>73</v>
      </c>
      <c r="L507" t="s">
        <v>74</v>
      </c>
      <c r="M507" t="s">
        <v>924</v>
      </c>
      <c r="N507" t="s">
        <v>111</v>
      </c>
      <c r="O507" t="s">
        <v>925</v>
      </c>
      <c r="P507" t="s">
        <v>926</v>
      </c>
      <c r="Q507" t="s">
        <v>927</v>
      </c>
      <c r="R507" s="1">
        <v>46211</v>
      </c>
      <c r="S507" t="s">
        <v>544</v>
      </c>
      <c r="T507" t="s">
        <v>545</v>
      </c>
      <c r="U507" t="s">
        <v>546</v>
      </c>
      <c r="V507" t="s">
        <v>66</v>
      </c>
      <c r="W507" t="s">
        <v>66</v>
      </c>
      <c r="X507">
        <v>2960496</v>
      </c>
      <c r="Y507">
        <v>325654.56</v>
      </c>
      <c r="Z507">
        <v>43956</v>
      </c>
      <c r="AA507">
        <v>4835.16</v>
      </c>
      <c r="AB507">
        <v>3286150.56</v>
      </c>
      <c r="AC507">
        <v>3</v>
      </c>
      <c r="AD507" t="s">
        <v>82</v>
      </c>
      <c r="AE507">
        <v>3</v>
      </c>
      <c r="AF507" t="s">
        <v>486</v>
      </c>
      <c r="AG507">
        <f>IFERROR(VLOOKUP(AF507,[1]STOK!J:O,6,0),"")</f>
        <v>12</v>
      </c>
      <c r="AH507" s="2">
        <f t="shared" si="14"/>
        <v>0.25</v>
      </c>
      <c r="AI507" t="s">
        <v>486</v>
      </c>
      <c r="AJ507" t="s">
        <v>487</v>
      </c>
      <c r="AK507" t="s">
        <v>488</v>
      </c>
      <c r="AL507" t="s">
        <v>86</v>
      </c>
      <c r="AM507">
        <v>16428</v>
      </c>
      <c r="AN507">
        <f t="shared" si="15"/>
        <v>16263.720000000001</v>
      </c>
      <c r="AO507" t="s">
        <v>66</v>
      </c>
      <c r="AP507">
        <v>1</v>
      </c>
      <c r="AQ507" t="s">
        <v>66</v>
      </c>
      <c r="AR507">
        <v>0</v>
      </c>
      <c r="AS507" t="s">
        <v>66</v>
      </c>
      <c r="AT507">
        <v>0</v>
      </c>
      <c r="AU507" t="s">
        <v>66</v>
      </c>
      <c r="AV507">
        <v>0</v>
      </c>
      <c r="AW507" t="s">
        <v>66</v>
      </c>
      <c r="AX507">
        <v>0</v>
      </c>
      <c r="AY507" t="s">
        <v>66</v>
      </c>
      <c r="AZ507">
        <v>0</v>
      </c>
      <c r="BA507" t="s">
        <v>66</v>
      </c>
      <c r="BB507">
        <v>0</v>
      </c>
      <c r="BC507">
        <v>0</v>
      </c>
      <c r="BD507">
        <v>48791.16</v>
      </c>
      <c r="BE507">
        <v>12939.01</v>
      </c>
      <c r="BF507">
        <v>0</v>
      </c>
      <c r="BG507" t="s">
        <v>87</v>
      </c>
      <c r="BH507" t="s">
        <v>66</v>
      </c>
      <c r="BI507">
        <v>0</v>
      </c>
      <c r="BJ507" t="s">
        <v>66</v>
      </c>
      <c r="BK507" t="s">
        <v>88</v>
      </c>
      <c r="BL507" t="s">
        <v>547</v>
      </c>
      <c r="BM507" t="s">
        <v>159</v>
      </c>
    </row>
    <row r="508" spans="1:65" x14ac:dyDescent="0.25">
      <c r="A508">
        <v>506</v>
      </c>
      <c r="B508" t="s">
        <v>922</v>
      </c>
      <c r="C508" t="s">
        <v>66</v>
      </c>
      <c r="D508" s="1">
        <v>46209</v>
      </c>
      <c r="E508" t="s">
        <v>923</v>
      </c>
      <c r="F508" t="s">
        <v>68</v>
      </c>
      <c r="G508" t="s">
        <v>69</v>
      </c>
      <c r="H508" t="s">
        <v>70</v>
      </c>
      <c r="I508" t="s">
        <v>71</v>
      </c>
      <c r="J508" t="s">
        <v>72</v>
      </c>
      <c r="K508" t="s">
        <v>73</v>
      </c>
      <c r="L508" t="s">
        <v>74</v>
      </c>
      <c r="M508" t="s">
        <v>924</v>
      </c>
      <c r="N508" t="s">
        <v>111</v>
      </c>
      <c r="O508" t="s">
        <v>925</v>
      </c>
      <c r="P508" t="s">
        <v>926</v>
      </c>
      <c r="Q508" t="s">
        <v>927</v>
      </c>
      <c r="R508" s="1">
        <v>46211</v>
      </c>
      <c r="S508" t="s">
        <v>544</v>
      </c>
      <c r="T508" t="s">
        <v>545</v>
      </c>
      <c r="U508" t="s">
        <v>546</v>
      </c>
      <c r="V508" t="s">
        <v>66</v>
      </c>
      <c r="W508" t="s">
        <v>66</v>
      </c>
      <c r="X508">
        <v>2960496</v>
      </c>
      <c r="Y508">
        <v>325654.56</v>
      </c>
      <c r="Z508">
        <v>43956</v>
      </c>
      <c r="AA508">
        <v>4835.16</v>
      </c>
      <c r="AB508">
        <v>3286150.56</v>
      </c>
      <c r="AC508">
        <v>3</v>
      </c>
      <c r="AD508" t="s">
        <v>82</v>
      </c>
      <c r="AE508">
        <v>3</v>
      </c>
      <c r="AF508" t="s">
        <v>845</v>
      </c>
      <c r="AG508">
        <f>IFERROR(VLOOKUP(AF508,[1]STOK!J:O,6,0),"")</f>
        <v>12</v>
      </c>
      <c r="AH508" s="2">
        <f t="shared" si="14"/>
        <v>0.25</v>
      </c>
      <c r="AI508" t="s">
        <v>845</v>
      </c>
      <c r="AJ508" t="s">
        <v>846</v>
      </c>
      <c r="AK508" t="s">
        <v>847</v>
      </c>
      <c r="AL508" t="s">
        <v>86</v>
      </c>
      <c r="AM508">
        <v>16428</v>
      </c>
      <c r="AN508">
        <f t="shared" si="15"/>
        <v>16263.720000000001</v>
      </c>
      <c r="AO508" t="s">
        <v>66</v>
      </c>
      <c r="AP508">
        <v>1</v>
      </c>
      <c r="AQ508" t="s">
        <v>66</v>
      </c>
      <c r="AR508">
        <v>0</v>
      </c>
      <c r="AS508" t="s">
        <v>66</v>
      </c>
      <c r="AT508">
        <v>0</v>
      </c>
      <c r="AU508" t="s">
        <v>66</v>
      </c>
      <c r="AV508">
        <v>0</v>
      </c>
      <c r="AW508" t="s">
        <v>66</v>
      </c>
      <c r="AX508">
        <v>0</v>
      </c>
      <c r="AY508" t="s">
        <v>66</v>
      </c>
      <c r="AZ508">
        <v>0</v>
      </c>
      <c r="BA508" t="s">
        <v>66</v>
      </c>
      <c r="BB508">
        <v>0</v>
      </c>
      <c r="BC508">
        <v>0</v>
      </c>
      <c r="BD508">
        <v>48791.16</v>
      </c>
      <c r="BE508">
        <v>13378.52</v>
      </c>
      <c r="BF508">
        <v>0</v>
      </c>
      <c r="BG508" t="s">
        <v>87</v>
      </c>
      <c r="BH508" t="s">
        <v>66</v>
      </c>
      <c r="BI508">
        <v>0</v>
      </c>
      <c r="BJ508" t="s">
        <v>66</v>
      </c>
      <c r="BK508" t="s">
        <v>88</v>
      </c>
      <c r="BL508" t="s">
        <v>547</v>
      </c>
      <c r="BM508" t="s">
        <v>159</v>
      </c>
    </row>
    <row r="509" spans="1:65" x14ac:dyDescent="0.25">
      <c r="A509">
        <v>507</v>
      </c>
      <c r="B509" t="s">
        <v>922</v>
      </c>
      <c r="C509" t="s">
        <v>66</v>
      </c>
      <c r="D509" s="1">
        <v>46209</v>
      </c>
      <c r="E509" t="s">
        <v>923</v>
      </c>
      <c r="F509" t="s">
        <v>68</v>
      </c>
      <c r="G509" t="s">
        <v>69</v>
      </c>
      <c r="H509" t="s">
        <v>70</v>
      </c>
      <c r="I509" t="s">
        <v>71</v>
      </c>
      <c r="J509" t="s">
        <v>72</v>
      </c>
      <c r="K509" t="s">
        <v>73</v>
      </c>
      <c r="L509" t="s">
        <v>74</v>
      </c>
      <c r="M509" t="s">
        <v>924</v>
      </c>
      <c r="N509" t="s">
        <v>111</v>
      </c>
      <c r="O509" t="s">
        <v>925</v>
      </c>
      <c r="P509" t="s">
        <v>926</v>
      </c>
      <c r="Q509" t="s">
        <v>927</v>
      </c>
      <c r="R509" s="1">
        <v>46211</v>
      </c>
      <c r="S509" t="s">
        <v>544</v>
      </c>
      <c r="T509" t="s">
        <v>545</v>
      </c>
      <c r="U509" t="s">
        <v>546</v>
      </c>
      <c r="V509" t="s">
        <v>66</v>
      </c>
      <c r="W509" t="s">
        <v>66</v>
      </c>
      <c r="X509">
        <v>2960496</v>
      </c>
      <c r="Y509">
        <v>325654.56</v>
      </c>
      <c r="Z509">
        <v>87912</v>
      </c>
      <c r="AA509">
        <v>9670.32</v>
      </c>
      <c r="AB509">
        <v>3286150.56</v>
      </c>
      <c r="AC509">
        <v>6</v>
      </c>
      <c r="AD509" t="s">
        <v>82</v>
      </c>
      <c r="AE509">
        <v>6</v>
      </c>
      <c r="AF509" t="s">
        <v>119</v>
      </c>
      <c r="AG509">
        <f>IFERROR(VLOOKUP(AF509,[1]STOK!J:O,6,0),"")</f>
        <v>12</v>
      </c>
      <c r="AH509" s="2">
        <f t="shared" si="14"/>
        <v>0.5</v>
      </c>
      <c r="AI509" t="s">
        <v>119</v>
      </c>
      <c r="AJ509" t="s">
        <v>120</v>
      </c>
      <c r="AK509" t="s">
        <v>121</v>
      </c>
      <c r="AL509" t="s">
        <v>86</v>
      </c>
      <c r="AM509">
        <v>16428</v>
      </c>
      <c r="AN509">
        <f t="shared" si="15"/>
        <v>16263.720000000001</v>
      </c>
      <c r="AO509" t="s">
        <v>66</v>
      </c>
      <c r="AP509">
        <v>1</v>
      </c>
      <c r="AQ509" t="s">
        <v>66</v>
      </c>
      <c r="AR509">
        <v>0</v>
      </c>
      <c r="AS509" t="s">
        <v>66</v>
      </c>
      <c r="AT509">
        <v>0</v>
      </c>
      <c r="AU509" t="s">
        <v>66</v>
      </c>
      <c r="AV509">
        <v>0</v>
      </c>
      <c r="AW509" t="s">
        <v>66</v>
      </c>
      <c r="AX509">
        <v>0</v>
      </c>
      <c r="AY509" t="s">
        <v>66</v>
      </c>
      <c r="AZ509">
        <v>0</v>
      </c>
      <c r="BA509" t="s">
        <v>66</v>
      </c>
      <c r="BB509">
        <v>0</v>
      </c>
      <c r="BC509">
        <v>0</v>
      </c>
      <c r="BD509">
        <v>97582.32</v>
      </c>
      <c r="BE509">
        <v>13306.83</v>
      </c>
      <c r="BF509">
        <v>0</v>
      </c>
      <c r="BG509" t="s">
        <v>87</v>
      </c>
      <c r="BH509" t="s">
        <v>66</v>
      </c>
      <c r="BI509">
        <v>0</v>
      </c>
      <c r="BJ509" t="s">
        <v>66</v>
      </c>
      <c r="BK509" t="s">
        <v>88</v>
      </c>
      <c r="BL509" t="s">
        <v>547</v>
      </c>
      <c r="BM509" t="s">
        <v>159</v>
      </c>
    </row>
    <row r="510" spans="1:65" x14ac:dyDescent="0.25">
      <c r="A510">
        <v>508</v>
      </c>
      <c r="B510" t="s">
        <v>922</v>
      </c>
      <c r="C510" t="s">
        <v>66</v>
      </c>
      <c r="D510" s="1">
        <v>46209</v>
      </c>
      <c r="E510" t="s">
        <v>923</v>
      </c>
      <c r="F510" t="s">
        <v>68</v>
      </c>
      <c r="G510" t="s">
        <v>69</v>
      </c>
      <c r="H510" t="s">
        <v>70</v>
      </c>
      <c r="I510" t="s">
        <v>71</v>
      </c>
      <c r="J510" t="s">
        <v>72</v>
      </c>
      <c r="K510" t="s">
        <v>73</v>
      </c>
      <c r="L510" t="s">
        <v>74</v>
      </c>
      <c r="M510" t="s">
        <v>924</v>
      </c>
      <c r="N510" t="s">
        <v>111</v>
      </c>
      <c r="O510" t="s">
        <v>925</v>
      </c>
      <c r="P510" t="s">
        <v>926</v>
      </c>
      <c r="Q510" t="s">
        <v>927</v>
      </c>
      <c r="R510" s="1">
        <v>46211</v>
      </c>
      <c r="S510" t="s">
        <v>544</v>
      </c>
      <c r="T510" t="s">
        <v>545</v>
      </c>
      <c r="U510" t="s">
        <v>546</v>
      </c>
      <c r="V510" t="s">
        <v>66</v>
      </c>
      <c r="W510" t="s">
        <v>66</v>
      </c>
      <c r="X510">
        <v>2960496</v>
      </c>
      <c r="Y510">
        <v>325654.56</v>
      </c>
      <c r="Z510">
        <v>59994</v>
      </c>
      <c r="AA510">
        <v>6599.34</v>
      </c>
      <c r="AB510">
        <v>3286150.56</v>
      </c>
      <c r="AC510">
        <v>3</v>
      </c>
      <c r="AD510" t="s">
        <v>82</v>
      </c>
      <c r="AE510">
        <v>3</v>
      </c>
      <c r="AF510" t="s">
        <v>239</v>
      </c>
      <c r="AG510">
        <f>IFERROR(VLOOKUP(AF510,[1]STOK!J:O,6,0),"")</f>
        <v>12</v>
      </c>
      <c r="AH510" s="2">
        <f t="shared" si="14"/>
        <v>0.25</v>
      </c>
      <c r="AI510" t="s">
        <v>239</v>
      </c>
      <c r="AJ510" t="s">
        <v>240</v>
      </c>
      <c r="AK510" t="s">
        <v>241</v>
      </c>
      <c r="AL510" t="s">
        <v>86</v>
      </c>
      <c r="AM510">
        <v>22422</v>
      </c>
      <c r="AN510">
        <f t="shared" si="15"/>
        <v>22197.78</v>
      </c>
      <c r="AO510" t="s">
        <v>66</v>
      </c>
      <c r="AP510">
        <v>1</v>
      </c>
      <c r="AQ510" t="s">
        <v>66</v>
      </c>
      <c r="AR510">
        <v>0</v>
      </c>
      <c r="AS510" t="s">
        <v>66</v>
      </c>
      <c r="AT510">
        <v>0</v>
      </c>
      <c r="AU510" t="s">
        <v>66</v>
      </c>
      <c r="AV510">
        <v>0</v>
      </c>
      <c r="AW510" t="s">
        <v>66</v>
      </c>
      <c r="AX510">
        <v>0</v>
      </c>
      <c r="AY510" t="s">
        <v>66</v>
      </c>
      <c r="AZ510">
        <v>0</v>
      </c>
      <c r="BA510" t="s">
        <v>66</v>
      </c>
      <c r="BB510">
        <v>0</v>
      </c>
      <c r="BC510">
        <v>0</v>
      </c>
      <c r="BD510">
        <v>66593.34</v>
      </c>
      <c r="BE510">
        <v>16652.55</v>
      </c>
      <c r="BF510">
        <v>0</v>
      </c>
      <c r="BG510" t="s">
        <v>87</v>
      </c>
      <c r="BH510" t="s">
        <v>66</v>
      </c>
      <c r="BI510">
        <v>0</v>
      </c>
      <c r="BJ510" t="s">
        <v>66</v>
      </c>
      <c r="BK510" t="s">
        <v>88</v>
      </c>
      <c r="BL510" t="s">
        <v>547</v>
      </c>
      <c r="BM510" t="s">
        <v>159</v>
      </c>
    </row>
    <row r="511" spans="1:65" x14ac:dyDescent="0.25">
      <c r="A511">
        <v>509</v>
      </c>
      <c r="B511" t="s">
        <v>922</v>
      </c>
      <c r="C511" t="s">
        <v>66</v>
      </c>
      <c r="D511" s="1">
        <v>46209</v>
      </c>
      <c r="E511" t="s">
        <v>923</v>
      </c>
      <c r="F511" t="s">
        <v>68</v>
      </c>
      <c r="G511" t="s">
        <v>69</v>
      </c>
      <c r="H511" t="s">
        <v>70</v>
      </c>
      <c r="I511" t="s">
        <v>71</v>
      </c>
      <c r="J511" t="s">
        <v>72</v>
      </c>
      <c r="K511" t="s">
        <v>73</v>
      </c>
      <c r="L511" t="s">
        <v>74</v>
      </c>
      <c r="M511" t="s">
        <v>924</v>
      </c>
      <c r="N511" t="s">
        <v>111</v>
      </c>
      <c r="O511" t="s">
        <v>925</v>
      </c>
      <c r="P511" t="s">
        <v>926</v>
      </c>
      <c r="Q511" t="s">
        <v>927</v>
      </c>
      <c r="R511" s="1">
        <v>46211</v>
      </c>
      <c r="S511" t="s">
        <v>544</v>
      </c>
      <c r="T511" t="s">
        <v>545</v>
      </c>
      <c r="U511" t="s">
        <v>546</v>
      </c>
      <c r="V511" t="s">
        <v>66</v>
      </c>
      <c r="W511" t="s">
        <v>66</v>
      </c>
      <c r="X511">
        <v>2960496</v>
      </c>
      <c r="Y511">
        <v>325654.56</v>
      </c>
      <c r="Z511">
        <v>30294</v>
      </c>
      <c r="AA511">
        <v>3332.34</v>
      </c>
      <c r="AB511">
        <v>3286150.56</v>
      </c>
      <c r="AC511">
        <v>6</v>
      </c>
      <c r="AD511" t="s">
        <v>82</v>
      </c>
      <c r="AE511">
        <v>6</v>
      </c>
      <c r="AF511" t="s">
        <v>347</v>
      </c>
      <c r="AG511">
        <f>IFERROR(VLOOKUP(AF511,[1]STOK!J:O,6,0),"")</f>
        <v>48</v>
      </c>
      <c r="AH511" s="2">
        <f t="shared" si="14"/>
        <v>0.125</v>
      </c>
      <c r="AI511" t="s">
        <v>347</v>
      </c>
      <c r="AJ511" t="s">
        <v>348</v>
      </c>
      <c r="AK511" t="s">
        <v>349</v>
      </c>
      <c r="AL511" t="s">
        <v>86</v>
      </c>
      <c r="AM511">
        <v>5661</v>
      </c>
      <c r="AN511">
        <f t="shared" si="15"/>
        <v>5604.3899999999994</v>
      </c>
      <c r="AO511" t="s">
        <v>66</v>
      </c>
      <c r="AP511">
        <v>1</v>
      </c>
      <c r="AQ511" t="s">
        <v>66</v>
      </c>
      <c r="AR511">
        <v>0</v>
      </c>
      <c r="AS511" t="s">
        <v>66</v>
      </c>
      <c r="AT511">
        <v>0</v>
      </c>
      <c r="AU511" t="s">
        <v>66</v>
      </c>
      <c r="AV511">
        <v>0</v>
      </c>
      <c r="AW511" t="s">
        <v>66</v>
      </c>
      <c r="AX511">
        <v>0</v>
      </c>
      <c r="AY511" t="s">
        <v>66</v>
      </c>
      <c r="AZ511">
        <v>0</v>
      </c>
      <c r="BA511" t="s">
        <v>66</v>
      </c>
      <c r="BB511">
        <v>0</v>
      </c>
      <c r="BC511">
        <v>0</v>
      </c>
      <c r="BD511">
        <v>33626.339999999997</v>
      </c>
      <c r="BE511">
        <v>4249.95</v>
      </c>
      <c r="BF511">
        <v>0</v>
      </c>
      <c r="BG511" t="s">
        <v>87</v>
      </c>
      <c r="BH511" t="s">
        <v>66</v>
      </c>
      <c r="BI511">
        <v>0</v>
      </c>
      <c r="BJ511" t="s">
        <v>66</v>
      </c>
      <c r="BK511" t="s">
        <v>88</v>
      </c>
      <c r="BL511" t="s">
        <v>547</v>
      </c>
      <c r="BM511" t="s">
        <v>159</v>
      </c>
    </row>
    <row r="512" spans="1:65" x14ac:dyDescent="0.25">
      <c r="A512">
        <v>510</v>
      </c>
      <c r="B512" t="s">
        <v>922</v>
      </c>
      <c r="C512" t="s">
        <v>66</v>
      </c>
      <c r="D512" s="1">
        <v>46209</v>
      </c>
      <c r="E512" t="s">
        <v>923</v>
      </c>
      <c r="F512" t="s">
        <v>68</v>
      </c>
      <c r="G512" t="s">
        <v>69</v>
      </c>
      <c r="H512" t="s">
        <v>70</v>
      </c>
      <c r="I512" t="s">
        <v>71</v>
      </c>
      <c r="J512" t="s">
        <v>72</v>
      </c>
      <c r="K512" t="s">
        <v>73</v>
      </c>
      <c r="L512" t="s">
        <v>74</v>
      </c>
      <c r="M512" t="s">
        <v>924</v>
      </c>
      <c r="N512" t="s">
        <v>111</v>
      </c>
      <c r="O512" t="s">
        <v>925</v>
      </c>
      <c r="P512" t="s">
        <v>926</v>
      </c>
      <c r="Q512" t="s">
        <v>927</v>
      </c>
      <c r="R512" s="1">
        <v>46211</v>
      </c>
      <c r="S512" t="s">
        <v>544</v>
      </c>
      <c r="T512" t="s">
        <v>545</v>
      </c>
      <c r="U512" t="s">
        <v>546</v>
      </c>
      <c r="V512" t="s">
        <v>66</v>
      </c>
      <c r="W512" t="s">
        <v>66</v>
      </c>
      <c r="X512">
        <v>2960496</v>
      </c>
      <c r="Y512">
        <v>325654.56</v>
      </c>
      <c r="Z512">
        <v>67122</v>
      </c>
      <c r="AA512">
        <v>7383.42</v>
      </c>
      <c r="AB512">
        <v>3286150.56</v>
      </c>
      <c r="AC512">
        <v>6</v>
      </c>
      <c r="AD512" t="s">
        <v>82</v>
      </c>
      <c r="AE512">
        <v>6</v>
      </c>
      <c r="AF512" t="s">
        <v>122</v>
      </c>
      <c r="AG512">
        <f>IFERROR(VLOOKUP(AF512,[1]STOK!J:O,6,0),"")</f>
        <v>24</v>
      </c>
      <c r="AH512" s="2">
        <f t="shared" si="14"/>
        <v>0.25</v>
      </c>
      <c r="AI512" t="s">
        <v>122</v>
      </c>
      <c r="AJ512" t="s">
        <v>123</v>
      </c>
      <c r="AK512" t="s">
        <v>124</v>
      </c>
      <c r="AL512" t="s">
        <v>86</v>
      </c>
      <c r="AM512">
        <v>12543</v>
      </c>
      <c r="AN512">
        <f t="shared" si="15"/>
        <v>12417.57</v>
      </c>
      <c r="AO512" t="s">
        <v>66</v>
      </c>
      <c r="AP512">
        <v>1</v>
      </c>
      <c r="AQ512" t="s">
        <v>66</v>
      </c>
      <c r="AR512">
        <v>0</v>
      </c>
      <c r="AS512" t="s">
        <v>66</v>
      </c>
      <c r="AT512">
        <v>0</v>
      </c>
      <c r="AU512" t="s">
        <v>66</v>
      </c>
      <c r="AV512">
        <v>0</v>
      </c>
      <c r="AW512" t="s">
        <v>66</v>
      </c>
      <c r="AX512">
        <v>0</v>
      </c>
      <c r="AY512" t="s">
        <v>66</v>
      </c>
      <c r="AZ512">
        <v>0</v>
      </c>
      <c r="BA512" t="s">
        <v>66</v>
      </c>
      <c r="BB512">
        <v>0</v>
      </c>
      <c r="BC512">
        <v>0</v>
      </c>
      <c r="BD512">
        <v>74505.42</v>
      </c>
      <c r="BE512">
        <v>10140.08</v>
      </c>
      <c r="BF512">
        <v>0</v>
      </c>
      <c r="BG512" t="s">
        <v>87</v>
      </c>
      <c r="BH512" t="s">
        <v>66</v>
      </c>
      <c r="BI512">
        <v>0</v>
      </c>
      <c r="BJ512" t="s">
        <v>66</v>
      </c>
      <c r="BK512" t="s">
        <v>88</v>
      </c>
      <c r="BL512" t="s">
        <v>547</v>
      </c>
      <c r="BM512" t="s">
        <v>159</v>
      </c>
    </row>
    <row r="513" spans="1:65" x14ac:dyDescent="0.25">
      <c r="A513">
        <v>511</v>
      </c>
      <c r="B513" t="s">
        <v>922</v>
      </c>
      <c r="C513" t="s">
        <v>66</v>
      </c>
      <c r="D513" s="1">
        <v>46209</v>
      </c>
      <c r="E513" t="s">
        <v>923</v>
      </c>
      <c r="F513" t="s">
        <v>68</v>
      </c>
      <c r="G513" t="s">
        <v>69</v>
      </c>
      <c r="H513" t="s">
        <v>70</v>
      </c>
      <c r="I513" t="s">
        <v>71</v>
      </c>
      <c r="J513" t="s">
        <v>72</v>
      </c>
      <c r="K513" t="s">
        <v>73</v>
      </c>
      <c r="L513" t="s">
        <v>74</v>
      </c>
      <c r="M513" t="s">
        <v>924</v>
      </c>
      <c r="N513" t="s">
        <v>111</v>
      </c>
      <c r="O513" t="s">
        <v>925</v>
      </c>
      <c r="P513" t="s">
        <v>926</v>
      </c>
      <c r="Q513" t="s">
        <v>927</v>
      </c>
      <c r="R513" s="1">
        <v>46211</v>
      </c>
      <c r="S513" t="s">
        <v>544</v>
      </c>
      <c r="T513" t="s">
        <v>545</v>
      </c>
      <c r="U513" t="s">
        <v>546</v>
      </c>
      <c r="V513" t="s">
        <v>66</v>
      </c>
      <c r="W513" t="s">
        <v>66</v>
      </c>
      <c r="X513">
        <v>2960496</v>
      </c>
      <c r="Y513">
        <v>325654.56</v>
      </c>
      <c r="Z513">
        <v>72468</v>
      </c>
      <c r="AA513">
        <v>7971.48</v>
      </c>
      <c r="AB513">
        <v>3286150.56</v>
      </c>
      <c r="AC513">
        <v>12</v>
      </c>
      <c r="AD513" t="s">
        <v>82</v>
      </c>
      <c r="AE513">
        <v>12</v>
      </c>
      <c r="AF513" t="s">
        <v>125</v>
      </c>
      <c r="AG513">
        <f>IFERROR(VLOOKUP(AF513,[1]STOK!J:O,6,0),"")</f>
        <v>48</v>
      </c>
      <c r="AH513" s="2">
        <f t="shared" si="14"/>
        <v>0.25</v>
      </c>
      <c r="AI513" t="s">
        <v>125</v>
      </c>
      <c r="AJ513" t="s">
        <v>126</v>
      </c>
      <c r="AK513" t="s">
        <v>127</v>
      </c>
      <c r="AL513" t="s">
        <v>86</v>
      </c>
      <c r="AM513">
        <v>6771</v>
      </c>
      <c r="AN513">
        <f t="shared" si="15"/>
        <v>6703.29</v>
      </c>
      <c r="AO513" t="s">
        <v>66</v>
      </c>
      <c r="AP513">
        <v>1</v>
      </c>
      <c r="AQ513" t="s">
        <v>66</v>
      </c>
      <c r="AR513">
        <v>0</v>
      </c>
      <c r="AS513" t="s">
        <v>66</v>
      </c>
      <c r="AT513">
        <v>0</v>
      </c>
      <c r="AU513" t="s">
        <v>66</v>
      </c>
      <c r="AV513">
        <v>0</v>
      </c>
      <c r="AW513" t="s">
        <v>66</v>
      </c>
      <c r="AX513">
        <v>0</v>
      </c>
      <c r="AY513" t="s">
        <v>66</v>
      </c>
      <c r="AZ513">
        <v>0</v>
      </c>
      <c r="BA513" t="s">
        <v>66</v>
      </c>
      <c r="BB513">
        <v>0</v>
      </c>
      <c r="BC513">
        <v>0</v>
      </c>
      <c r="BD513">
        <v>80439.48</v>
      </c>
      <c r="BE513">
        <v>5409.43</v>
      </c>
      <c r="BF513">
        <v>0</v>
      </c>
      <c r="BG513" t="s">
        <v>87</v>
      </c>
      <c r="BH513" t="s">
        <v>66</v>
      </c>
      <c r="BI513">
        <v>0</v>
      </c>
      <c r="BJ513" t="s">
        <v>66</v>
      </c>
      <c r="BK513" t="s">
        <v>88</v>
      </c>
      <c r="BL513" t="s">
        <v>547</v>
      </c>
      <c r="BM513" t="s">
        <v>159</v>
      </c>
    </row>
    <row r="514" spans="1:65" x14ac:dyDescent="0.25">
      <c r="A514">
        <v>512</v>
      </c>
      <c r="B514" t="s">
        <v>922</v>
      </c>
      <c r="C514" t="s">
        <v>66</v>
      </c>
      <c r="D514" s="1">
        <v>46209</v>
      </c>
      <c r="E514" t="s">
        <v>923</v>
      </c>
      <c r="F514" t="s">
        <v>68</v>
      </c>
      <c r="G514" t="s">
        <v>69</v>
      </c>
      <c r="H514" t="s">
        <v>70</v>
      </c>
      <c r="I514" t="s">
        <v>71</v>
      </c>
      <c r="J514" t="s">
        <v>72</v>
      </c>
      <c r="K514" t="s">
        <v>73</v>
      </c>
      <c r="L514" t="s">
        <v>74</v>
      </c>
      <c r="M514" t="s">
        <v>924</v>
      </c>
      <c r="N514" t="s">
        <v>111</v>
      </c>
      <c r="O514" t="s">
        <v>925</v>
      </c>
      <c r="P514" t="s">
        <v>926</v>
      </c>
      <c r="Q514" t="s">
        <v>927</v>
      </c>
      <c r="R514" s="1">
        <v>46211</v>
      </c>
      <c r="S514" t="s">
        <v>544</v>
      </c>
      <c r="T514" t="s">
        <v>545</v>
      </c>
      <c r="U514" t="s">
        <v>546</v>
      </c>
      <c r="V514" t="s">
        <v>66</v>
      </c>
      <c r="W514" t="s">
        <v>66</v>
      </c>
      <c r="X514">
        <v>2960496</v>
      </c>
      <c r="Y514">
        <v>325654.56</v>
      </c>
      <c r="Z514">
        <v>57618</v>
      </c>
      <c r="AA514">
        <v>6337.98</v>
      </c>
      <c r="AB514">
        <v>3286150.56</v>
      </c>
      <c r="AC514">
        <v>3</v>
      </c>
      <c r="AD514" t="s">
        <v>82</v>
      </c>
      <c r="AE514">
        <v>3</v>
      </c>
      <c r="AF514" t="s">
        <v>928</v>
      </c>
      <c r="AG514">
        <f>IFERROR(VLOOKUP(AF514,[1]STOK!J:O,6,0),"")</f>
        <v>12</v>
      </c>
      <c r="AH514" s="2">
        <f t="shared" si="14"/>
        <v>0.25</v>
      </c>
      <c r="AI514" t="s">
        <v>928</v>
      </c>
      <c r="AJ514" t="s">
        <v>929</v>
      </c>
      <c r="AK514" t="s">
        <v>930</v>
      </c>
      <c r="AL514" t="s">
        <v>86</v>
      </c>
      <c r="AM514">
        <v>21534</v>
      </c>
      <c r="AN514">
        <f t="shared" si="15"/>
        <v>21318.66</v>
      </c>
      <c r="AO514" t="s">
        <v>66</v>
      </c>
      <c r="AP514">
        <v>1</v>
      </c>
      <c r="AQ514" t="s">
        <v>66</v>
      </c>
      <c r="AR514">
        <v>0</v>
      </c>
      <c r="AS514" t="s">
        <v>66</v>
      </c>
      <c r="AT514">
        <v>0</v>
      </c>
      <c r="AU514" t="s">
        <v>66</v>
      </c>
      <c r="AV514">
        <v>0</v>
      </c>
      <c r="AW514" t="s">
        <v>66</v>
      </c>
      <c r="AX514">
        <v>0</v>
      </c>
      <c r="AY514" t="s">
        <v>66</v>
      </c>
      <c r="AZ514">
        <v>0</v>
      </c>
      <c r="BA514" t="s">
        <v>66</v>
      </c>
      <c r="BB514">
        <v>0</v>
      </c>
      <c r="BC514">
        <v>0</v>
      </c>
      <c r="BD514">
        <v>63955.98</v>
      </c>
      <c r="BE514">
        <v>15928.2</v>
      </c>
      <c r="BF514">
        <v>0</v>
      </c>
      <c r="BG514" t="s">
        <v>87</v>
      </c>
      <c r="BH514" t="s">
        <v>66</v>
      </c>
      <c r="BI514">
        <v>0</v>
      </c>
      <c r="BJ514" t="s">
        <v>66</v>
      </c>
      <c r="BK514" t="s">
        <v>88</v>
      </c>
      <c r="BL514" t="s">
        <v>547</v>
      </c>
      <c r="BM514" t="s">
        <v>159</v>
      </c>
    </row>
    <row r="515" spans="1:65" x14ac:dyDescent="0.25">
      <c r="A515">
        <v>513</v>
      </c>
      <c r="B515" t="s">
        <v>922</v>
      </c>
      <c r="C515" t="s">
        <v>66</v>
      </c>
      <c r="D515" s="1">
        <v>46209</v>
      </c>
      <c r="E515" t="s">
        <v>923</v>
      </c>
      <c r="F515" t="s">
        <v>68</v>
      </c>
      <c r="G515" t="s">
        <v>69</v>
      </c>
      <c r="H515" t="s">
        <v>70</v>
      </c>
      <c r="I515" t="s">
        <v>71</v>
      </c>
      <c r="J515" t="s">
        <v>72</v>
      </c>
      <c r="K515" t="s">
        <v>73</v>
      </c>
      <c r="L515" t="s">
        <v>74</v>
      </c>
      <c r="M515" t="s">
        <v>924</v>
      </c>
      <c r="N515" t="s">
        <v>111</v>
      </c>
      <c r="O515" t="s">
        <v>925</v>
      </c>
      <c r="P515" t="s">
        <v>926</v>
      </c>
      <c r="Q515" t="s">
        <v>927</v>
      </c>
      <c r="R515" s="1">
        <v>46211</v>
      </c>
      <c r="S515" t="s">
        <v>544</v>
      </c>
      <c r="T515" t="s">
        <v>545</v>
      </c>
      <c r="U515" t="s">
        <v>546</v>
      </c>
      <c r="V515" t="s">
        <v>66</v>
      </c>
      <c r="W515" t="s">
        <v>66</v>
      </c>
      <c r="X515">
        <v>2960496</v>
      </c>
      <c r="Y515">
        <v>325654.56</v>
      </c>
      <c r="Z515">
        <v>16929</v>
      </c>
      <c r="AA515">
        <v>1862.19</v>
      </c>
      <c r="AB515">
        <v>3286150.56</v>
      </c>
      <c r="AC515">
        <v>3</v>
      </c>
      <c r="AD515" t="s">
        <v>82</v>
      </c>
      <c r="AE515">
        <v>3</v>
      </c>
      <c r="AF515" t="s">
        <v>90</v>
      </c>
      <c r="AG515">
        <f>IFERROR(VLOOKUP(AF515,[1]STOK!J:O,6,0),"")</f>
        <v>48</v>
      </c>
      <c r="AH515" s="2">
        <f t="shared" si="14"/>
        <v>6.25E-2</v>
      </c>
      <c r="AI515" t="s">
        <v>90</v>
      </c>
      <c r="AJ515" t="s">
        <v>91</v>
      </c>
      <c r="AK515" t="s">
        <v>92</v>
      </c>
      <c r="AL515" t="s">
        <v>86</v>
      </c>
      <c r="AM515">
        <v>6327</v>
      </c>
      <c r="AN515">
        <f t="shared" si="15"/>
        <v>6263.73</v>
      </c>
      <c r="AO515" t="s">
        <v>66</v>
      </c>
      <c r="AP515">
        <v>1</v>
      </c>
      <c r="AQ515" t="s">
        <v>66</v>
      </c>
      <c r="AR515">
        <v>0</v>
      </c>
      <c r="AS515" t="s">
        <v>66</v>
      </c>
      <c r="AT515">
        <v>0</v>
      </c>
      <c r="AU515" t="s">
        <v>66</v>
      </c>
      <c r="AV515">
        <v>0</v>
      </c>
      <c r="AW515" t="s">
        <v>66</v>
      </c>
      <c r="AX515">
        <v>0</v>
      </c>
      <c r="AY515" t="s">
        <v>66</v>
      </c>
      <c r="AZ515">
        <v>0</v>
      </c>
      <c r="BA515" t="s">
        <v>66</v>
      </c>
      <c r="BB515">
        <v>0</v>
      </c>
      <c r="BC515">
        <v>0</v>
      </c>
      <c r="BD515">
        <v>18791.189999999999</v>
      </c>
      <c r="BE515">
        <v>4953.2299999999996</v>
      </c>
      <c r="BF515">
        <v>0</v>
      </c>
      <c r="BG515" t="s">
        <v>87</v>
      </c>
      <c r="BH515" t="s">
        <v>66</v>
      </c>
      <c r="BI515">
        <v>0</v>
      </c>
      <c r="BJ515" t="s">
        <v>66</v>
      </c>
      <c r="BK515" t="s">
        <v>88</v>
      </c>
      <c r="BL515" t="s">
        <v>547</v>
      </c>
      <c r="BM515" t="s">
        <v>159</v>
      </c>
    </row>
    <row r="516" spans="1:65" x14ac:dyDescent="0.25">
      <c r="A516">
        <v>514</v>
      </c>
      <c r="B516" t="s">
        <v>922</v>
      </c>
      <c r="C516" t="s">
        <v>66</v>
      </c>
      <c r="D516" s="1">
        <v>46209</v>
      </c>
      <c r="E516" t="s">
        <v>923</v>
      </c>
      <c r="F516" t="s">
        <v>68</v>
      </c>
      <c r="G516" t="s">
        <v>69</v>
      </c>
      <c r="H516" t="s">
        <v>70</v>
      </c>
      <c r="I516" t="s">
        <v>71</v>
      </c>
      <c r="J516" t="s">
        <v>72</v>
      </c>
      <c r="K516" t="s">
        <v>73</v>
      </c>
      <c r="L516" t="s">
        <v>74</v>
      </c>
      <c r="M516" t="s">
        <v>924</v>
      </c>
      <c r="N516" t="s">
        <v>111</v>
      </c>
      <c r="O516" t="s">
        <v>925</v>
      </c>
      <c r="P516" t="s">
        <v>926</v>
      </c>
      <c r="Q516" t="s">
        <v>927</v>
      </c>
      <c r="R516" s="1">
        <v>46211</v>
      </c>
      <c r="S516" t="s">
        <v>544</v>
      </c>
      <c r="T516" t="s">
        <v>545</v>
      </c>
      <c r="U516" t="s">
        <v>546</v>
      </c>
      <c r="V516" t="s">
        <v>66</v>
      </c>
      <c r="W516" t="s">
        <v>66</v>
      </c>
      <c r="X516">
        <v>2960496</v>
      </c>
      <c r="Y516">
        <v>325654.56</v>
      </c>
      <c r="Z516">
        <v>16929</v>
      </c>
      <c r="AA516">
        <v>1862.19</v>
      </c>
      <c r="AB516">
        <v>3286150.56</v>
      </c>
      <c r="AC516">
        <v>3</v>
      </c>
      <c r="AD516" t="s">
        <v>82</v>
      </c>
      <c r="AE516">
        <v>3</v>
      </c>
      <c r="AF516" t="s">
        <v>202</v>
      </c>
      <c r="AG516">
        <f>IFERROR(VLOOKUP(AF516,[1]STOK!J:O,6,0),"")</f>
        <v>48</v>
      </c>
      <c r="AH516" s="2">
        <f t="shared" ref="AH516:AH579" si="16">AE516/AG516</f>
        <v>6.25E-2</v>
      </c>
      <c r="AI516" t="s">
        <v>202</v>
      </c>
      <c r="AJ516" t="s">
        <v>203</v>
      </c>
      <c r="AK516" t="s">
        <v>204</v>
      </c>
      <c r="AL516" t="s">
        <v>86</v>
      </c>
      <c r="AM516">
        <v>6327</v>
      </c>
      <c r="AN516">
        <f t="shared" ref="AN516:AN579" si="17">BD516/AC516</f>
        <v>6263.73</v>
      </c>
      <c r="AO516" t="s">
        <v>66</v>
      </c>
      <c r="AP516">
        <v>1</v>
      </c>
      <c r="AQ516" t="s">
        <v>66</v>
      </c>
      <c r="AR516">
        <v>0</v>
      </c>
      <c r="AS516" t="s">
        <v>66</v>
      </c>
      <c r="AT516">
        <v>0</v>
      </c>
      <c r="AU516" t="s">
        <v>66</v>
      </c>
      <c r="AV516">
        <v>0</v>
      </c>
      <c r="AW516" t="s">
        <v>66</v>
      </c>
      <c r="AX516">
        <v>0</v>
      </c>
      <c r="AY516" t="s">
        <v>66</v>
      </c>
      <c r="AZ516">
        <v>0</v>
      </c>
      <c r="BA516" t="s">
        <v>66</v>
      </c>
      <c r="BB516">
        <v>0</v>
      </c>
      <c r="BC516">
        <v>0</v>
      </c>
      <c r="BD516">
        <v>18791.189999999999</v>
      </c>
      <c r="BE516">
        <v>5116.25</v>
      </c>
      <c r="BF516">
        <v>0</v>
      </c>
      <c r="BG516" t="s">
        <v>87</v>
      </c>
      <c r="BH516" t="s">
        <v>66</v>
      </c>
      <c r="BI516">
        <v>0</v>
      </c>
      <c r="BJ516" t="s">
        <v>66</v>
      </c>
      <c r="BK516" t="s">
        <v>88</v>
      </c>
      <c r="BL516" t="s">
        <v>547</v>
      </c>
      <c r="BM516" t="s">
        <v>159</v>
      </c>
    </row>
    <row r="517" spans="1:65" x14ac:dyDescent="0.25">
      <c r="A517">
        <v>515</v>
      </c>
      <c r="B517" t="s">
        <v>922</v>
      </c>
      <c r="C517" t="s">
        <v>66</v>
      </c>
      <c r="D517" s="1">
        <v>46209</v>
      </c>
      <c r="E517" t="s">
        <v>923</v>
      </c>
      <c r="F517" t="s">
        <v>68</v>
      </c>
      <c r="G517" t="s">
        <v>69</v>
      </c>
      <c r="H517" t="s">
        <v>70</v>
      </c>
      <c r="I517" t="s">
        <v>71</v>
      </c>
      <c r="J517" t="s">
        <v>72</v>
      </c>
      <c r="K517" t="s">
        <v>73</v>
      </c>
      <c r="L517" t="s">
        <v>74</v>
      </c>
      <c r="M517" t="s">
        <v>924</v>
      </c>
      <c r="N517" t="s">
        <v>111</v>
      </c>
      <c r="O517" t="s">
        <v>925</v>
      </c>
      <c r="P517" t="s">
        <v>926</v>
      </c>
      <c r="Q517" t="s">
        <v>927</v>
      </c>
      <c r="R517" s="1">
        <v>46211</v>
      </c>
      <c r="S517" t="s">
        <v>544</v>
      </c>
      <c r="T517" t="s">
        <v>545</v>
      </c>
      <c r="U517" t="s">
        <v>546</v>
      </c>
      <c r="V517" t="s">
        <v>66</v>
      </c>
      <c r="W517" t="s">
        <v>66</v>
      </c>
      <c r="X517">
        <v>2960496</v>
      </c>
      <c r="Y517">
        <v>325654.56</v>
      </c>
      <c r="Z517">
        <v>16929</v>
      </c>
      <c r="AA517">
        <v>1862.19</v>
      </c>
      <c r="AB517">
        <v>3286150.56</v>
      </c>
      <c r="AC517">
        <v>3</v>
      </c>
      <c r="AD517" t="s">
        <v>82</v>
      </c>
      <c r="AE517">
        <v>3</v>
      </c>
      <c r="AF517" t="s">
        <v>350</v>
      </c>
      <c r="AG517">
        <f>IFERROR(VLOOKUP(AF517,[1]STOK!J:O,6,0),"")</f>
        <v>48</v>
      </c>
      <c r="AH517" s="2">
        <f t="shared" si="16"/>
        <v>6.25E-2</v>
      </c>
      <c r="AI517" t="s">
        <v>350</v>
      </c>
      <c r="AJ517" t="s">
        <v>351</v>
      </c>
      <c r="AK517" t="s">
        <v>352</v>
      </c>
      <c r="AL517" t="s">
        <v>86</v>
      </c>
      <c r="AM517">
        <v>6327</v>
      </c>
      <c r="AN517">
        <f t="shared" si="17"/>
        <v>6263.73</v>
      </c>
      <c r="AO517" t="s">
        <v>66</v>
      </c>
      <c r="AP517">
        <v>1</v>
      </c>
      <c r="AQ517" t="s">
        <v>66</v>
      </c>
      <c r="AR517">
        <v>0</v>
      </c>
      <c r="AS517" t="s">
        <v>66</v>
      </c>
      <c r="AT517">
        <v>0</v>
      </c>
      <c r="AU517" t="s">
        <v>66</v>
      </c>
      <c r="AV517">
        <v>0</v>
      </c>
      <c r="AW517" t="s">
        <v>66</v>
      </c>
      <c r="AX517">
        <v>0</v>
      </c>
      <c r="AY517" t="s">
        <v>66</v>
      </c>
      <c r="AZ517">
        <v>0</v>
      </c>
      <c r="BA517" t="s">
        <v>66</v>
      </c>
      <c r="BB517">
        <v>0</v>
      </c>
      <c r="BC517">
        <v>0</v>
      </c>
      <c r="BD517">
        <v>18791.189999999999</v>
      </c>
      <c r="BE517">
        <v>5143.3999999999996</v>
      </c>
      <c r="BF517">
        <v>0</v>
      </c>
      <c r="BG517" t="s">
        <v>87</v>
      </c>
      <c r="BH517" t="s">
        <v>66</v>
      </c>
      <c r="BI517">
        <v>0</v>
      </c>
      <c r="BJ517" t="s">
        <v>66</v>
      </c>
      <c r="BK517" t="s">
        <v>88</v>
      </c>
      <c r="BL517" t="s">
        <v>547</v>
      </c>
      <c r="BM517" t="s">
        <v>159</v>
      </c>
    </row>
    <row r="518" spans="1:65" x14ac:dyDescent="0.25">
      <c r="A518">
        <v>516</v>
      </c>
      <c r="B518" t="s">
        <v>922</v>
      </c>
      <c r="C518" t="s">
        <v>66</v>
      </c>
      <c r="D518" s="1">
        <v>46209</v>
      </c>
      <c r="E518" t="s">
        <v>923</v>
      </c>
      <c r="F518" t="s">
        <v>68</v>
      </c>
      <c r="G518" t="s">
        <v>69</v>
      </c>
      <c r="H518" t="s">
        <v>70</v>
      </c>
      <c r="I518" t="s">
        <v>71</v>
      </c>
      <c r="J518" t="s">
        <v>72</v>
      </c>
      <c r="K518" t="s">
        <v>73</v>
      </c>
      <c r="L518" t="s">
        <v>74</v>
      </c>
      <c r="M518" t="s">
        <v>924</v>
      </c>
      <c r="N518" t="s">
        <v>111</v>
      </c>
      <c r="O518" t="s">
        <v>925</v>
      </c>
      <c r="P518" t="s">
        <v>926</v>
      </c>
      <c r="Q518" t="s">
        <v>927</v>
      </c>
      <c r="R518" s="1">
        <v>46211</v>
      </c>
      <c r="S518" t="s">
        <v>544</v>
      </c>
      <c r="T518" t="s">
        <v>545</v>
      </c>
      <c r="U518" t="s">
        <v>546</v>
      </c>
      <c r="V518" t="s">
        <v>66</v>
      </c>
      <c r="W518" t="s">
        <v>66</v>
      </c>
      <c r="X518">
        <v>2960496</v>
      </c>
      <c r="Y518">
        <v>325654.56</v>
      </c>
      <c r="Z518">
        <v>49005</v>
      </c>
      <c r="AA518">
        <v>5390.55</v>
      </c>
      <c r="AB518">
        <v>3286150.56</v>
      </c>
      <c r="AC518">
        <v>3</v>
      </c>
      <c r="AD518" t="s">
        <v>82</v>
      </c>
      <c r="AE518">
        <v>3</v>
      </c>
      <c r="AF518" t="s">
        <v>93</v>
      </c>
      <c r="AG518">
        <f>IFERROR(VLOOKUP(AF518,[1]STOK!J:O,6,0),"")</f>
        <v>24</v>
      </c>
      <c r="AH518" s="2">
        <f t="shared" si="16"/>
        <v>0.125</v>
      </c>
      <c r="AI518" t="s">
        <v>93</v>
      </c>
      <c r="AJ518" t="s">
        <v>94</v>
      </c>
      <c r="AK518" t="s">
        <v>95</v>
      </c>
      <c r="AL518" t="s">
        <v>86</v>
      </c>
      <c r="AM518">
        <v>18315</v>
      </c>
      <c r="AN518">
        <f t="shared" si="17"/>
        <v>18131.850000000002</v>
      </c>
      <c r="AO518" t="s">
        <v>66</v>
      </c>
      <c r="AP518">
        <v>1</v>
      </c>
      <c r="AQ518" t="s">
        <v>66</v>
      </c>
      <c r="AR518">
        <v>0</v>
      </c>
      <c r="AS518" t="s">
        <v>66</v>
      </c>
      <c r="AT518">
        <v>0</v>
      </c>
      <c r="AU518" t="s">
        <v>66</v>
      </c>
      <c r="AV518">
        <v>0</v>
      </c>
      <c r="AW518" t="s">
        <v>66</v>
      </c>
      <c r="AX518">
        <v>0</v>
      </c>
      <c r="AY518" t="s">
        <v>66</v>
      </c>
      <c r="AZ518">
        <v>0</v>
      </c>
      <c r="BA518" t="s">
        <v>66</v>
      </c>
      <c r="BB518">
        <v>0</v>
      </c>
      <c r="BC518">
        <v>0</v>
      </c>
      <c r="BD518">
        <v>54395.55</v>
      </c>
      <c r="BE518">
        <v>14931.72</v>
      </c>
      <c r="BF518">
        <v>0</v>
      </c>
      <c r="BG518" t="s">
        <v>87</v>
      </c>
      <c r="BH518" t="s">
        <v>66</v>
      </c>
      <c r="BI518">
        <v>0</v>
      </c>
      <c r="BJ518" t="s">
        <v>66</v>
      </c>
      <c r="BK518" t="s">
        <v>88</v>
      </c>
      <c r="BL518" t="s">
        <v>547</v>
      </c>
      <c r="BM518" t="s">
        <v>159</v>
      </c>
    </row>
    <row r="519" spans="1:65" x14ac:dyDescent="0.25">
      <c r="A519">
        <v>517</v>
      </c>
      <c r="B519" t="s">
        <v>922</v>
      </c>
      <c r="C519" t="s">
        <v>66</v>
      </c>
      <c r="D519" s="1">
        <v>46209</v>
      </c>
      <c r="E519" t="s">
        <v>923</v>
      </c>
      <c r="F519" t="s">
        <v>68</v>
      </c>
      <c r="G519" t="s">
        <v>69</v>
      </c>
      <c r="H519" t="s">
        <v>70</v>
      </c>
      <c r="I519" t="s">
        <v>71</v>
      </c>
      <c r="J519" t="s">
        <v>72</v>
      </c>
      <c r="K519" t="s">
        <v>73</v>
      </c>
      <c r="L519" t="s">
        <v>74</v>
      </c>
      <c r="M519" t="s">
        <v>924</v>
      </c>
      <c r="N519" t="s">
        <v>111</v>
      </c>
      <c r="O519" t="s">
        <v>925</v>
      </c>
      <c r="P519" t="s">
        <v>926</v>
      </c>
      <c r="Q519" t="s">
        <v>927</v>
      </c>
      <c r="R519" s="1">
        <v>46211</v>
      </c>
      <c r="S519" t="s">
        <v>544</v>
      </c>
      <c r="T519" t="s">
        <v>545</v>
      </c>
      <c r="U519" t="s">
        <v>546</v>
      </c>
      <c r="V519" t="s">
        <v>66</v>
      </c>
      <c r="W519" t="s">
        <v>66</v>
      </c>
      <c r="X519">
        <v>2960496</v>
      </c>
      <c r="Y519">
        <v>325654.56</v>
      </c>
      <c r="Z519">
        <v>49005</v>
      </c>
      <c r="AA519">
        <v>5390.55</v>
      </c>
      <c r="AB519">
        <v>3286150.56</v>
      </c>
      <c r="AC519">
        <v>3</v>
      </c>
      <c r="AD519" t="s">
        <v>82</v>
      </c>
      <c r="AE519">
        <v>3</v>
      </c>
      <c r="AF519" t="s">
        <v>96</v>
      </c>
      <c r="AG519">
        <f>IFERROR(VLOOKUP(AF519,[1]STOK!J:O,6,0),"")</f>
        <v>24</v>
      </c>
      <c r="AH519" s="2">
        <f t="shared" si="16"/>
        <v>0.125</v>
      </c>
      <c r="AI519" t="s">
        <v>96</v>
      </c>
      <c r="AJ519" t="s">
        <v>97</v>
      </c>
      <c r="AK519" t="s">
        <v>98</v>
      </c>
      <c r="AL519" t="s">
        <v>86</v>
      </c>
      <c r="AM519">
        <v>18315</v>
      </c>
      <c r="AN519">
        <f t="shared" si="17"/>
        <v>18131.850000000002</v>
      </c>
      <c r="AO519" t="s">
        <v>66</v>
      </c>
      <c r="AP519">
        <v>1</v>
      </c>
      <c r="AQ519" t="s">
        <v>66</v>
      </c>
      <c r="AR519">
        <v>0</v>
      </c>
      <c r="AS519" t="s">
        <v>66</v>
      </c>
      <c r="AT519">
        <v>0</v>
      </c>
      <c r="AU519" t="s">
        <v>66</v>
      </c>
      <c r="AV519">
        <v>0</v>
      </c>
      <c r="AW519" t="s">
        <v>66</v>
      </c>
      <c r="AX519">
        <v>0</v>
      </c>
      <c r="AY519" t="s">
        <v>66</v>
      </c>
      <c r="AZ519">
        <v>0</v>
      </c>
      <c r="BA519" t="s">
        <v>66</v>
      </c>
      <c r="BB519">
        <v>0</v>
      </c>
      <c r="BC519">
        <v>0</v>
      </c>
      <c r="BD519">
        <v>54395.55</v>
      </c>
      <c r="BE519">
        <v>14932.79</v>
      </c>
      <c r="BF519">
        <v>0</v>
      </c>
      <c r="BG519" t="s">
        <v>87</v>
      </c>
      <c r="BH519" t="s">
        <v>66</v>
      </c>
      <c r="BI519">
        <v>0</v>
      </c>
      <c r="BJ519" t="s">
        <v>66</v>
      </c>
      <c r="BK519" t="s">
        <v>88</v>
      </c>
      <c r="BL519" t="s">
        <v>547</v>
      </c>
      <c r="BM519" t="s">
        <v>159</v>
      </c>
    </row>
    <row r="520" spans="1:65" x14ac:dyDescent="0.25">
      <c r="A520">
        <v>518</v>
      </c>
      <c r="B520" t="s">
        <v>922</v>
      </c>
      <c r="C520" t="s">
        <v>66</v>
      </c>
      <c r="D520" s="1">
        <v>46209</v>
      </c>
      <c r="E520" t="s">
        <v>923</v>
      </c>
      <c r="F520" t="s">
        <v>68</v>
      </c>
      <c r="G520" t="s">
        <v>69</v>
      </c>
      <c r="H520" t="s">
        <v>70</v>
      </c>
      <c r="I520" t="s">
        <v>71</v>
      </c>
      <c r="J520" t="s">
        <v>72</v>
      </c>
      <c r="K520" t="s">
        <v>73</v>
      </c>
      <c r="L520" t="s">
        <v>74</v>
      </c>
      <c r="M520" t="s">
        <v>924</v>
      </c>
      <c r="N520" t="s">
        <v>111</v>
      </c>
      <c r="O520" t="s">
        <v>925</v>
      </c>
      <c r="P520" t="s">
        <v>926</v>
      </c>
      <c r="Q520" t="s">
        <v>927</v>
      </c>
      <c r="R520" s="1">
        <v>46211</v>
      </c>
      <c r="S520" t="s">
        <v>544</v>
      </c>
      <c r="T520" t="s">
        <v>545</v>
      </c>
      <c r="U520" t="s">
        <v>546</v>
      </c>
      <c r="V520" t="s">
        <v>66</v>
      </c>
      <c r="W520" t="s">
        <v>66</v>
      </c>
      <c r="X520">
        <v>2960496</v>
      </c>
      <c r="Y520">
        <v>325654.56</v>
      </c>
      <c r="Z520">
        <v>49005</v>
      </c>
      <c r="AA520">
        <v>5390.55</v>
      </c>
      <c r="AB520">
        <v>3286150.56</v>
      </c>
      <c r="AC520">
        <v>3</v>
      </c>
      <c r="AD520" t="s">
        <v>82</v>
      </c>
      <c r="AE520">
        <v>3</v>
      </c>
      <c r="AF520" t="s">
        <v>99</v>
      </c>
      <c r="AG520">
        <f>IFERROR(VLOOKUP(AF520,[1]STOK!J:O,6,0),"")</f>
        <v>24</v>
      </c>
      <c r="AH520" s="2">
        <f t="shared" si="16"/>
        <v>0.125</v>
      </c>
      <c r="AI520" t="s">
        <v>99</v>
      </c>
      <c r="AJ520" t="s">
        <v>100</v>
      </c>
      <c r="AK520" t="s">
        <v>101</v>
      </c>
      <c r="AL520" t="s">
        <v>86</v>
      </c>
      <c r="AM520">
        <v>18315</v>
      </c>
      <c r="AN520">
        <f t="shared" si="17"/>
        <v>18131.850000000002</v>
      </c>
      <c r="AO520" t="s">
        <v>66</v>
      </c>
      <c r="AP520">
        <v>1</v>
      </c>
      <c r="AQ520" t="s">
        <v>66</v>
      </c>
      <c r="AR520">
        <v>0</v>
      </c>
      <c r="AS520" t="s">
        <v>66</v>
      </c>
      <c r="AT520">
        <v>0</v>
      </c>
      <c r="AU520" t="s">
        <v>66</v>
      </c>
      <c r="AV520">
        <v>0</v>
      </c>
      <c r="AW520" t="s">
        <v>66</v>
      </c>
      <c r="AX520">
        <v>0</v>
      </c>
      <c r="AY520" t="s">
        <v>66</v>
      </c>
      <c r="AZ520">
        <v>0</v>
      </c>
      <c r="BA520" t="s">
        <v>66</v>
      </c>
      <c r="BB520">
        <v>0</v>
      </c>
      <c r="BC520">
        <v>0</v>
      </c>
      <c r="BD520">
        <v>54395.55</v>
      </c>
      <c r="BE520">
        <v>14915.33</v>
      </c>
      <c r="BF520">
        <v>0</v>
      </c>
      <c r="BG520" t="s">
        <v>87</v>
      </c>
      <c r="BH520" t="s">
        <v>66</v>
      </c>
      <c r="BI520">
        <v>0</v>
      </c>
      <c r="BJ520" t="s">
        <v>66</v>
      </c>
      <c r="BK520" t="s">
        <v>88</v>
      </c>
      <c r="BL520" t="s">
        <v>547</v>
      </c>
      <c r="BM520" t="s">
        <v>159</v>
      </c>
    </row>
    <row r="521" spans="1:65" x14ac:dyDescent="0.25">
      <c r="A521">
        <v>519</v>
      </c>
      <c r="B521" t="s">
        <v>922</v>
      </c>
      <c r="C521" t="s">
        <v>66</v>
      </c>
      <c r="D521" s="1">
        <v>46209</v>
      </c>
      <c r="E521" t="s">
        <v>923</v>
      </c>
      <c r="F521" t="s">
        <v>68</v>
      </c>
      <c r="G521" t="s">
        <v>69</v>
      </c>
      <c r="H521" t="s">
        <v>70</v>
      </c>
      <c r="I521" t="s">
        <v>71</v>
      </c>
      <c r="J521" t="s">
        <v>72</v>
      </c>
      <c r="K521" t="s">
        <v>73</v>
      </c>
      <c r="L521" t="s">
        <v>74</v>
      </c>
      <c r="M521" t="s">
        <v>924</v>
      </c>
      <c r="N521" t="s">
        <v>111</v>
      </c>
      <c r="O521" t="s">
        <v>925</v>
      </c>
      <c r="P521" t="s">
        <v>926</v>
      </c>
      <c r="Q521" t="s">
        <v>927</v>
      </c>
      <c r="R521" s="1">
        <v>46211</v>
      </c>
      <c r="S521" t="s">
        <v>544</v>
      </c>
      <c r="T521" t="s">
        <v>545</v>
      </c>
      <c r="U521" t="s">
        <v>546</v>
      </c>
      <c r="V521" t="s">
        <v>66</v>
      </c>
      <c r="W521" t="s">
        <v>66</v>
      </c>
      <c r="X521">
        <v>2960496</v>
      </c>
      <c r="Y521">
        <v>325654.56</v>
      </c>
      <c r="Z521">
        <v>158004</v>
      </c>
      <c r="AA521">
        <v>17380.439999999999</v>
      </c>
      <c r="AB521">
        <v>3286150.56</v>
      </c>
      <c r="AC521">
        <v>12</v>
      </c>
      <c r="AD521" t="s">
        <v>82</v>
      </c>
      <c r="AE521">
        <v>12</v>
      </c>
      <c r="AF521" t="s">
        <v>210</v>
      </c>
      <c r="AG521">
        <f>IFERROR(VLOOKUP(AF521,[1]STOK!J:O,6,0),"")</f>
        <v>12</v>
      </c>
      <c r="AH521" s="2">
        <f t="shared" si="16"/>
        <v>1</v>
      </c>
      <c r="AI521" t="s">
        <v>210</v>
      </c>
      <c r="AJ521" t="s">
        <v>211</v>
      </c>
      <c r="AK521" t="s">
        <v>212</v>
      </c>
      <c r="AL521" t="s">
        <v>86</v>
      </c>
      <c r="AM521">
        <v>14763</v>
      </c>
      <c r="AN521">
        <f t="shared" si="17"/>
        <v>14615.37</v>
      </c>
      <c r="AO521" t="s">
        <v>66</v>
      </c>
      <c r="AP521">
        <v>1</v>
      </c>
      <c r="AQ521" t="s">
        <v>66</v>
      </c>
      <c r="AR521">
        <v>0</v>
      </c>
      <c r="AS521" t="s">
        <v>66</v>
      </c>
      <c r="AT521">
        <v>0</v>
      </c>
      <c r="AU521" t="s">
        <v>66</v>
      </c>
      <c r="AV521">
        <v>0</v>
      </c>
      <c r="AW521" t="s">
        <v>66</v>
      </c>
      <c r="AX521">
        <v>0</v>
      </c>
      <c r="AY521" t="s">
        <v>66</v>
      </c>
      <c r="AZ521">
        <v>0</v>
      </c>
      <c r="BA521" t="s">
        <v>66</v>
      </c>
      <c r="BB521">
        <v>0</v>
      </c>
      <c r="BC521">
        <v>0</v>
      </c>
      <c r="BD521">
        <v>175384.44</v>
      </c>
      <c r="BE521">
        <v>12009.37</v>
      </c>
      <c r="BF521">
        <v>0</v>
      </c>
      <c r="BG521" t="s">
        <v>87</v>
      </c>
      <c r="BH521" t="s">
        <v>66</v>
      </c>
      <c r="BI521">
        <v>0</v>
      </c>
      <c r="BJ521" t="s">
        <v>66</v>
      </c>
      <c r="BK521" t="s">
        <v>88</v>
      </c>
      <c r="BL521" t="s">
        <v>547</v>
      </c>
      <c r="BM521" t="s">
        <v>159</v>
      </c>
    </row>
    <row r="522" spans="1:65" x14ac:dyDescent="0.25">
      <c r="A522">
        <v>520</v>
      </c>
      <c r="B522" t="s">
        <v>922</v>
      </c>
      <c r="C522" t="s">
        <v>66</v>
      </c>
      <c r="D522" s="1">
        <v>46209</v>
      </c>
      <c r="E522" t="s">
        <v>923</v>
      </c>
      <c r="F522" t="s">
        <v>68</v>
      </c>
      <c r="G522" t="s">
        <v>69</v>
      </c>
      <c r="H522" t="s">
        <v>70</v>
      </c>
      <c r="I522" t="s">
        <v>71</v>
      </c>
      <c r="J522" t="s">
        <v>72</v>
      </c>
      <c r="K522" t="s">
        <v>73</v>
      </c>
      <c r="L522" t="s">
        <v>74</v>
      </c>
      <c r="M522" t="s">
        <v>924</v>
      </c>
      <c r="N522" t="s">
        <v>111</v>
      </c>
      <c r="O522" t="s">
        <v>925</v>
      </c>
      <c r="P522" t="s">
        <v>926</v>
      </c>
      <c r="Q522" t="s">
        <v>927</v>
      </c>
      <c r="R522" s="1">
        <v>46211</v>
      </c>
      <c r="S522" t="s">
        <v>544</v>
      </c>
      <c r="T522" t="s">
        <v>545</v>
      </c>
      <c r="U522" t="s">
        <v>546</v>
      </c>
      <c r="V522" t="s">
        <v>66</v>
      </c>
      <c r="W522" t="s">
        <v>66</v>
      </c>
      <c r="X522">
        <v>2960496</v>
      </c>
      <c r="Y522">
        <v>325654.56</v>
      </c>
      <c r="Z522">
        <v>118800</v>
      </c>
      <c r="AA522">
        <v>13068</v>
      </c>
      <c r="AB522">
        <v>3286150.56</v>
      </c>
      <c r="AC522">
        <v>6</v>
      </c>
      <c r="AD522" t="s">
        <v>82</v>
      </c>
      <c r="AE522">
        <v>6</v>
      </c>
      <c r="AF522" t="s">
        <v>290</v>
      </c>
      <c r="AG522">
        <f>IFERROR(VLOOKUP(AF522,[1]STOK!J:O,6,0),"")</f>
        <v>12</v>
      </c>
      <c r="AH522" s="2">
        <f t="shared" si="16"/>
        <v>0.5</v>
      </c>
      <c r="AI522" t="s">
        <v>290</v>
      </c>
      <c r="AJ522" t="s">
        <v>291</v>
      </c>
      <c r="AK522" t="s">
        <v>292</v>
      </c>
      <c r="AL522" t="s">
        <v>86</v>
      </c>
      <c r="AM522">
        <v>22200</v>
      </c>
      <c r="AN522">
        <f t="shared" si="17"/>
        <v>21978</v>
      </c>
      <c r="AO522" t="s">
        <v>66</v>
      </c>
      <c r="AP522">
        <v>1</v>
      </c>
      <c r="AQ522" t="s">
        <v>66</v>
      </c>
      <c r="AR522">
        <v>0</v>
      </c>
      <c r="AS522" t="s">
        <v>66</v>
      </c>
      <c r="AT522">
        <v>0</v>
      </c>
      <c r="AU522" t="s">
        <v>66</v>
      </c>
      <c r="AV522">
        <v>0</v>
      </c>
      <c r="AW522" t="s">
        <v>66</v>
      </c>
      <c r="AX522">
        <v>0</v>
      </c>
      <c r="AY522" t="s">
        <v>66</v>
      </c>
      <c r="AZ522">
        <v>0</v>
      </c>
      <c r="BA522" t="s">
        <v>66</v>
      </c>
      <c r="BB522">
        <v>0</v>
      </c>
      <c r="BC522">
        <v>0</v>
      </c>
      <c r="BD522">
        <v>131868</v>
      </c>
      <c r="BE522">
        <v>18106.89</v>
      </c>
      <c r="BF522">
        <v>0</v>
      </c>
      <c r="BG522" t="s">
        <v>87</v>
      </c>
      <c r="BH522" t="s">
        <v>66</v>
      </c>
      <c r="BI522">
        <v>0</v>
      </c>
      <c r="BJ522" t="s">
        <v>66</v>
      </c>
      <c r="BK522" t="s">
        <v>88</v>
      </c>
      <c r="BL522" t="s">
        <v>547</v>
      </c>
      <c r="BM522" t="s">
        <v>159</v>
      </c>
    </row>
    <row r="523" spans="1:65" x14ac:dyDescent="0.25">
      <c r="A523">
        <v>521</v>
      </c>
      <c r="B523" t="s">
        <v>922</v>
      </c>
      <c r="C523" t="s">
        <v>66</v>
      </c>
      <c r="D523" s="1">
        <v>46209</v>
      </c>
      <c r="E523" t="s">
        <v>923</v>
      </c>
      <c r="F523" t="s">
        <v>68</v>
      </c>
      <c r="G523" t="s">
        <v>69</v>
      </c>
      <c r="H523" t="s">
        <v>70</v>
      </c>
      <c r="I523" t="s">
        <v>71</v>
      </c>
      <c r="J523" t="s">
        <v>72</v>
      </c>
      <c r="K523" t="s">
        <v>73</v>
      </c>
      <c r="L523" t="s">
        <v>74</v>
      </c>
      <c r="M523" t="s">
        <v>924</v>
      </c>
      <c r="N523" t="s">
        <v>111</v>
      </c>
      <c r="O523" t="s">
        <v>925</v>
      </c>
      <c r="P523" t="s">
        <v>926</v>
      </c>
      <c r="Q523" t="s">
        <v>927</v>
      </c>
      <c r="R523" s="1">
        <v>46211</v>
      </c>
      <c r="S523" t="s">
        <v>544</v>
      </c>
      <c r="T523" t="s">
        <v>545</v>
      </c>
      <c r="U523" t="s">
        <v>546</v>
      </c>
      <c r="V523" t="s">
        <v>66</v>
      </c>
      <c r="W523" t="s">
        <v>66</v>
      </c>
      <c r="X523">
        <v>2960496</v>
      </c>
      <c r="Y523">
        <v>325654.56</v>
      </c>
      <c r="Z523">
        <v>237600</v>
      </c>
      <c r="AA523">
        <v>26136</v>
      </c>
      <c r="AB523">
        <v>3286150.56</v>
      </c>
      <c r="AC523">
        <v>12</v>
      </c>
      <c r="AD523" t="s">
        <v>82</v>
      </c>
      <c r="AE523">
        <v>12</v>
      </c>
      <c r="AF523" t="s">
        <v>102</v>
      </c>
      <c r="AG523">
        <f>IFERROR(VLOOKUP(AF523,[1]STOK!J:O,6,0),"")</f>
        <v>12</v>
      </c>
      <c r="AH523" s="2">
        <f t="shared" si="16"/>
        <v>1</v>
      </c>
      <c r="AI523" t="s">
        <v>102</v>
      </c>
      <c r="AJ523" t="s">
        <v>103</v>
      </c>
      <c r="AK523" t="s">
        <v>104</v>
      </c>
      <c r="AL523" t="s">
        <v>86</v>
      </c>
      <c r="AM523">
        <v>22200</v>
      </c>
      <c r="AN523">
        <f t="shared" si="17"/>
        <v>21978</v>
      </c>
      <c r="AO523" t="s">
        <v>66</v>
      </c>
      <c r="AP523">
        <v>1</v>
      </c>
      <c r="AQ523" t="s">
        <v>66</v>
      </c>
      <c r="AR523">
        <v>0</v>
      </c>
      <c r="AS523" t="s">
        <v>66</v>
      </c>
      <c r="AT523">
        <v>0</v>
      </c>
      <c r="AU523" t="s">
        <v>66</v>
      </c>
      <c r="AV523">
        <v>0</v>
      </c>
      <c r="AW523" t="s">
        <v>66</v>
      </c>
      <c r="AX523">
        <v>0</v>
      </c>
      <c r="AY523" t="s">
        <v>66</v>
      </c>
      <c r="AZ523">
        <v>0</v>
      </c>
      <c r="BA523" t="s">
        <v>66</v>
      </c>
      <c r="BB523">
        <v>0</v>
      </c>
      <c r="BC523">
        <v>0</v>
      </c>
      <c r="BD523">
        <v>263736</v>
      </c>
      <c r="BE523">
        <v>18040.98</v>
      </c>
      <c r="BF523">
        <v>0</v>
      </c>
      <c r="BG523" t="s">
        <v>87</v>
      </c>
      <c r="BH523" t="s">
        <v>66</v>
      </c>
      <c r="BI523">
        <v>0</v>
      </c>
      <c r="BJ523" t="s">
        <v>66</v>
      </c>
      <c r="BK523" t="s">
        <v>88</v>
      </c>
      <c r="BL523" t="s">
        <v>547</v>
      </c>
      <c r="BM523" t="s">
        <v>159</v>
      </c>
    </row>
    <row r="524" spans="1:65" x14ac:dyDescent="0.25">
      <c r="A524">
        <v>522</v>
      </c>
      <c r="B524" t="s">
        <v>922</v>
      </c>
      <c r="C524" t="s">
        <v>66</v>
      </c>
      <c r="D524" s="1">
        <v>46209</v>
      </c>
      <c r="E524" t="s">
        <v>923</v>
      </c>
      <c r="F524" t="s">
        <v>68</v>
      </c>
      <c r="G524" t="s">
        <v>69</v>
      </c>
      <c r="H524" t="s">
        <v>70</v>
      </c>
      <c r="I524" t="s">
        <v>71</v>
      </c>
      <c r="J524" t="s">
        <v>72</v>
      </c>
      <c r="K524" t="s">
        <v>73</v>
      </c>
      <c r="L524" t="s">
        <v>74</v>
      </c>
      <c r="M524" t="s">
        <v>924</v>
      </c>
      <c r="N524" t="s">
        <v>111</v>
      </c>
      <c r="O524" t="s">
        <v>925</v>
      </c>
      <c r="P524" t="s">
        <v>926</v>
      </c>
      <c r="Q524" t="s">
        <v>927</v>
      </c>
      <c r="R524" s="1">
        <v>46211</v>
      </c>
      <c r="S524" t="s">
        <v>544</v>
      </c>
      <c r="T524" t="s">
        <v>545</v>
      </c>
      <c r="U524" t="s">
        <v>546</v>
      </c>
      <c r="V524" t="s">
        <v>66</v>
      </c>
      <c r="W524" t="s">
        <v>66</v>
      </c>
      <c r="X524">
        <v>2960496</v>
      </c>
      <c r="Y524">
        <v>325654.56</v>
      </c>
      <c r="Z524">
        <v>455004</v>
      </c>
      <c r="AA524">
        <v>50050.44</v>
      </c>
      <c r="AB524">
        <v>3286150.56</v>
      </c>
      <c r="AC524">
        <v>12</v>
      </c>
      <c r="AD524" t="s">
        <v>82</v>
      </c>
      <c r="AE524">
        <v>12</v>
      </c>
      <c r="AF524" t="s">
        <v>138</v>
      </c>
      <c r="AG524">
        <f>IFERROR(VLOOKUP(AF524,[1]STOK!J:O,6,0),"")</f>
        <v>6</v>
      </c>
      <c r="AH524" s="2">
        <f t="shared" si="16"/>
        <v>2</v>
      </c>
      <c r="AI524" t="s">
        <v>138</v>
      </c>
      <c r="AJ524" t="s">
        <v>139</v>
      </c>
      <c r="AK524" t="s">
        <v>140</v>
      </c>
      <c r="AL524" t="s">
        <v>86</v>
      </c>
      <c r="AM524">
        <v>42513</v>
      </c>
      <c r="AN524">
        <f t="shared" si="17"/>
        <v>42087.87</v>
      </c>
      <c r="AO524" t="s">
        <v>66</v>
      </c>
      <c r="AP524">
        <v>1</v>
      </c>
      <c r="AQ524" t="s">
        <v>66</v>
      </c>
      <c r="AR524">
        <v>0</v>
      </c>
      <c r="AS524" t="s">
        <v>66</v>
      </c>
      <c r="AT524">
        <v>0</v>
      </c>
      <c r="AU524" t="s">
        <v>66</v>
      </c>
      <c r="AV524">
        <v>0</v>
      </c>
      <c r="AW524" t="s">
        <v>66</v>
      </c>
      <c r="AX524">
        <v>0</v>
      </c>
      <c r="AY524" t="s">
        <v>66</v>
      </c>
      <c r="AZ524">
        <v>0</v>
      </c>
      <c r="BA524" t="s">
        <v>66</v>
      </c>
      <c r="BB524">
        <v>0</v>
      </c>
      <c r="BC524">
        <v>0</v>
      </c>
      <c r="BD524">
        <v>505054.44</v>
      </c>
      <c r="BE524">
        <v>34660.32</v>
      </c>
      <c r="BF524">
        <v>0</v>
      </c>
      <c r="BG524" t="s">
        <v>87</v>
      </c>
      <c r="BH524" t="s">
        <v>66</v>
      </c>
      <c r="BI524">
        <v>0</v>
      </c>
      <c r="BJ524" t="s">
        <v>66</v>
      </c>
      <c r="BK524" t="s">
        <v>88</v>
      </c>
      <c r="BL524" t="s">
        <v>547</v>
      </c>
      <c r="BM524" t="s">
        <v>159</v>
      </c>
    </row>
    <row r="525" spans="1:65" x14ac:dyDescent="0.25">
      <c r="A525">
        <v>523</v>
      </c>
      <c r="B525" t="s">
        <v>922</v>
      </c>
      <c r="C525" t="s">
        <v>66</v>
      </c>
      <c r="D525" s="1">
        <v>46209</v>
      </c>
      <c r="E525" t="s">
        <v>923</v>
      </c>
      <c r="F525" t="s">
        <v>68</v>
      </c>
      <c r="G525" t="s">
        <v>69</v>
      </c>
      <c r="H525" t="s">
        <v>70</v>
      </c>
      <c r="I525" t="s">
        <v>71</v>
      </c>
      <c r="J525" t="s">
        <v>72</v>
      </c>
      <c r="K525" t="s">
        <v>73</v>
      </c>
      <c r="L525" t="s">
        <v>74</v>
      </c>
      <c r="M525" t="s">
        <v>924</v>
      </c>
      <c r="N525" t="s">
        <v>111</v>
      </c>
      <c r="O525" t="s">
        <v>925</v>
      </c>
      <c r="P525" t="s">
        <v>926</v>
      </c>
      <c r="Q525" t="s">
        <v>927</v>
      </c>
      <c r="R525" s="1">
        <v>46211</v>
      </c>
      <c r="S525" t="s">
        <v>544</v>
      </c>
      <c r="T525" t="s">
        <v>545</v>
      </c>
      <c r="U525" t="s">
        <v>546</v>
      </c>
      <c r="V525" t="s">
        <v>66</v>
      </c>
      <c r="W525" t="s">
        <v>66</v>
      </c>
      <c r="X525">
        <v>2960496</v>
      </c>
      <c r="Y525">
        <v>325654.56</v>
      </c>
      <c r="Z525">
        <v>455004</v>
      </c>
      <c r="AA525">
        <v>50050.44</v>
      </c>
      <c r="AB525">
        <v>3286150.56</v>
      </c>
      <c r="AC525">
        <v>12</v>
      </c>
      <c r="AD525" t="s">
        <v>82</v>
      </c>
      <c r="AE525">
        <v>12</v>
      </c>
      <c r="AF525" t="s">
        <v>323</v>
      </c>
      <c r="AG525">
        <f>IFERROR(VLOOKUP(AF525,[1]STOK!J:O,6,0),"")</f>
        <v>6</v>
      </c>
      <c r="AH525" s="2">
        <f t="shared" si="16"/>
        <v>2</v>
      </c>
      <c r="AI525" t="s">
        <v>323</v>
      </c>
      <c r="AJ525" t="s">
        <v>324</v>
      </c>
      <c r="AK525" t="s">
        <v>325</v>
      </c>
      <c r="AL525" t="s">
        <v>86</v>
      </c>
      <c r="AM525">
        <v>42513</v>
      </c>
      <c r="AN525">
        <f t="shared" si="17"/>
        <v>42087.87</v>
      </c>
      <c r="AO525" t="s">
        <v>66</v>
      </c>
      <c r="AP525">
        <v>1</v>
      </c>
      <c r="AQ525" t="s">
        <v>66</v>
      </c>
      <c r="AR525">
        <v>0</v>
      </c>
      <c r="AS525" t="s">
        <v>66</v>
      </c>
      <c r="AT525">
        <v>0</v>
      </c>
      <c r="AU525" t="s">
        <v>66</v>
      </c>
      <c r="AV525">
        <v>0</v>
      </c>
      <c r="AW525" t="s">
        <v>66</v>
      </c>
      <c r="AX525">
        <v>0</v>
      </c>
      <c r="AY525" t="s">
        <v>66</v>
      </c>
      <c r="AZ525">
        <v>0</v>
      </c>
      <c r="BA525" t="s">
        <v>66</v>
      </c>
      <c r="BB525">
        <v>0</v>
      </c>
      <c r="BC525">
        <v>0</v>
      </c>
      <c r="BD525">
        <v>505054.44</v>
      </c>
      <c r="BE525">
        <v>34469.339999999997</v>
      </c>
      <c r="BF525">
        <v>0</v>
      </c>
      <c r="BG525" t="s">
        <v>87</v>
      </c>
      <c r="BH525" t="s">
        <v>66</v>
      </c>
      <c r="BI525">
        <v>0</v>
      </c>
      <c r="BJ525" t="s">
        <v>66</v>
      </c>
      <c r="BK525" t="s">
        <v>88</v>
      </c>
      <c r="BL525" t="s">
        <v>547</v>
      </c>
      <c r="BM525" t="s">
        <v>159</v>
      </c>
    </row>
    <row r="526" spans="1:65" x14ac:dyDescent="0.25">
      <c r="A526">
        <v>524</v>
      </c>
      <c r="B526" t="s">
        <v>922</v>
      </c>
      <c r="C526" t="s">
        <v>66</v>
      </c>
      <c r="D526" s="1">
        <v>46209</v>
      </c>
      <c r="E526" t="s">
        <v>923</v>
      </c>
      <c r="F526" t="s">
        <v>68</v>
      </c>
      <c r="G526" t="s">
        <v>69</v>
      </c>
      <c r="H526" t="s">
        <v>70</v>
      </c>
      <c r="I526" t="s">
        <v>71</v>
      </c>
      <c r="J526" t="s">
        <v>72</v>
      </c>
      <c r="K526" t="s">
        <v>73</v>
      </c>
      <c r="L526" t="s">
        <v>74</v>
      </c>
      <c r="M526" t="s">
        <v>924</v>
      </c>
      <c r="N526" t="s">
        <v>111</v>
      </c>
      <c r="O526" t="s">
        <v>925</v>
      </c>
      <c r="P526" t="s">
        <v>926</v>
      </c>
      <c r="Q526" t="s">
        <v>927</v>
      </c>
      <c r="R526" s="1">
        <v>46211</v>
      </c>
      <c r="S526" t="s">
        <v>544</v>
      </c>
      <c r="T526" t="s">
        <v>545</v>
      </c>
      <c r="U526" t="s">
        <v>546</v>
      </c>
      <c r="V526" t="s">
        <v>66</v>
      </c>
      <c r="W526" t="s">
        <v>66</v>
      </c>
      <c r="X526">
        <v>2960496</v>
      </c>
      <c r="Y526">
        <v>325654.56</v>
      </c>
      <c r="Z526">
        <v>342144</v>
      </c>
      <c r="AA526">
        <v>37635.839999999997</v>
      </c>
      <c r="AB526">
        <v>3286150.56</v>
      </c>
      <c r="AC526">
        <v>24</v>
      </c>
      <c r="AD526" t="s">
        <v>82</v>
      </c>
      <c r="AE526">
        <v>24</v>
      </c>
      <c r="AF526" t="s">
        <v>141</v>
      </c>
      <c r="AG526">
        <f>IFERROR(VLOOKUP(AF526,[1]STOK!J:O,6,0),"")</f>
        <v>12</v>
      </c>
      <c r="AH526" s="2">
        <f t="shared" si="16"/>
        <v>2</v>
      </c>
      <c r="AI526" t="s">
        <v>141</v>
      </c>
      <c r="AJ526" t="s">
        <v>142</v>
      </c>
      <c r="AK526" t="s">
        <v>143</v>
      </c>
      <c r="AL526" t="s">
        <v>86</v>
      </c>
      <c r="AM526">
        <v>15984</v>
      </c>
      <c r="AN526">
        <f t="shared" si="17"/>
        <v>15824.160000000002</v>
      </c>
      <c r="AO526" t="s">
        <v>66</v>
      </c>
      <c r="AP526">
        <v>1</v>
      </c>
      <c r="AQ526" t="s">
        <v>66</v>
      </c>
      <c r="AR526">
        <v>0</v>
      </c>
      <c r="AS526" t="s">
        <v>66</v>
      </c>
      <c r="AT526">
        <v>0</v>
      </c>
      <c r="AU526" t="s">
        <v>66</v>
      </c>
      <c r="AV526">
        <v>0</v>
      </c>
      <c r="AW526" t="s">
        <v>66</v>
      </c>
      <c r="AX526">
        <v>0</v>
      </c>
      <c r="AY526" t="s">
        <v>66</v>
      </c>
      <c r="AZ526">
        <v>0</v>
      </c>
      <c r="BA526" t="s">
        <v>66</v>
      </c>
      <c r="BB526">
        <v>0</v>
      </c>
      <c r="BC526">
        <v>0</v>
      </c>
      <c r="BD526">
        <v>379779.84000000003</v>
      </c>
      <c r="BE526">
        <v>13012.92</v>
      </c>
      <c r="BF526">
        <v>0</v>
      </c>
      <c r="BG526" t="s">
        <v>87</v>
      </c>
      <c r="BH526" t="s">
        <v>66</v>
      </c>
      <c r="BI526">
        <v>0</v>
      </c>
      <c r="BJ526" t="s">
        <v>66</v>
      </c>
      <c r="BK526" t="s">
        <v>88</v>
      </c>
      <c r="BL526" t="s">
        <v>547</v>
      </c>
      <c r="BM526" t="s">
        <v>159</v>
      </c>
    </row>
    <row r="527" spans="1:65" x14ac:dyDescent="0.25">
      <c r="A527">
        <v>525</v>
      </c>
      <c r="B527" t="s">
        <v>922</v>
      </c>
      <c r="C527" t="s">
        <v>66</v>
      </c>
      <c r="D527" s="1">
        <v>46209</v>
      </c>
      <c r="E527" t="s">
        <v>923</v>
      </c>
      <c r="F527" t="s">
        <v>68</v>
      </c>
      <c r="G527" t="s">
        <v>69</v>
      </c>
      <c r="H527" t="s">
        <v>70</v>
      </c>
      <c r="I527" t="s">
        <v>71</v>
      </c>
      <c r="J527" t="s">
        <v>72</v>
      </c>
      <c r="K527" t="s">
        <v>73</v>
      </c>
      <c r="L527" t="s">
        <v>74</v>
      </c>
      <c r="M527" t="s">
        <v>924</v>
      </c>
      <c r="N527" t="s">
        <v>111</v>
      </c>
      <c r="O527" t="s">
        <v>925</v>
      </c>
      <c r="P527" t="s">
        <v>926</v>
      </c>
      <c r="Q527" t="s">
        <v>927</v>
      </c>
      <c r="R527" s="1">
        <v>46211</v>
      </c>
      <c r="S527" t="s">
        <v>544</v>
      </c>
      <c r="T527" t="s">
        <v>545</v>
      </c>
      <c r="U527" t="s">
        <v>546</v>
      </c>
      <c r="V527" t="s">
        <v>66</v>
      </c>
      <c r="W527" t="s">
        <v>66</v>
      </c>
      <c r="X527">
        <v>2960496</v>
      </c>
      <c r="Y527">
        <v>325654.56</v>
      </c>
      <c r="Z527">
        <v>342144</v>
      </c>
      <c r="AA527">
        <v>37635.839999999997</v>
      </c>
      <c r="AB527">
        <v>3286150.56</v>
      </c>
      <c r="AC527">
        <v>24</v>
      </c>
      <c r="AD527" t="s">
        <v>82</v>
      </c>
      <c r="AE527">
        <v>24</v>
      </c>
      <c r="AF527" t="s">
        <v>213</v>
      </c>
      <c r="AG527">
        <f>IFERROR(VLOOKUP(AF527,[1]STOK!J:O,6,0),"")</f>
        <v>12</v>
      </c>
      <c r="AH527" s="2">
        <f t="shared" si="16"/>
        <v>2</v>
      </c>
      <c r="AI527" t="s">
        <v>213</v>
      </c>
      <c r="AJ527" t="s">
        <v>214</v>
      </c>
      <c r="AK527" t="s">
        <v>215</v>
      </c>
      <c r="AL527" t="s">
        <v>86</v>
      </c>
      <c r="AM527">
        <v>15984</v>
      </c>
      <c r="AN527">
        <f t="shared" si="17"/>
        <v>15824.160000000002</v>
      </c>
      <c r="AO527" t="s">
        <v>66</v>
      </c>
      <c r="AP527">
        <v>1</v>
      </c>
      <c r="AQ527" t="s">
        <v>66</v>
      </c>
      <c r="AR527">
        <v>0</v>
      </c>
      <c r="AS527" t="s">
        <v>66</v>
      </c>
      <c r="AT527">
        <v>0</v>
      </c>
      <c r="AU527" t="s">
        <v>66</v>
      </c>
      <c r="AV527">
        <v>0</v>
      </c>
      <c r="AW527" t="s">
        <v>66</v>
      </c>
      <c r="AX527">
        <v>0</v>
      </c>
      <c r="AY527" t="s">
        <v>66</v>
      </c>
      <c r="AZ527">
        <v>0</v>
      </c>
      <c r="BA527" t="s">
        <v>66</v>
      </c>
      <c r="BB527">
        <v>0</v>
      </c>
      <c r="BC527">
        <v>0</v>
      </c>
      <c r="BD527">
        <v>379779.84000000003</v>
      </c>
      <c r="BE527">
        <v>12991.38</v>
      </c>
      <c r="BF527">
        <v>0</v>
      </c>
      <c r="BG527" t="s">
        <v>87</v>
      </c>
      <c r="BH527" t="s">
        <v>66</v>
      </c>
      <c r="BI527">
        <v>0</v>
      </c>
      <c r="BJ527" t="s">
        <v>66</v>
      </c>
      <c r="BK527" t="s">
        <v>88</v>
      </c>
      <c r="BL527" t="s">
        <v>547</v>
      </c>
      <c r="BM527" t="s">
        <v>159</v>
      </c>
    </row>
    <row r="528" spans="1:65" x14ac:dyDescent="0.25">
      <c r="A528">
        <v>526</v>
      </c>
      <c r="B528" t="s">
        <v>931</v>
      </c>
      <c r="C528" t="s">
        <v>66</v>
      </c>
      <c r="D528" s="1">
        <v>46209</v>
      </c>
      <c r="E528" t="s">
        <v>932</v>
      </c>
      <c r="F528" t="s">
        <v>68</v>
      </c>
      <c r="G528" t="s">
        <v>69</v>
      </c>
      <c r="H528" t="s">
        <v>70</v>
      </c>
      <c r="I528" t="s">
        <v>71</v>
      </c>
      <c r="J528" t="s">
        <v>72</v>
      </c>
      <c r="K528" t="s">
        <v>73</v>
      </c>
      <c r="L528" t="s">
        <v>74</v>
      </c>
      <c r="M528" t="s">
        <v>933</v>
      </c>
      <c r="N528" t="s">
        <v>111</v>
      </c>
      <c r="O528" t="s">
        <v>934</v>
      </c>
      <c r="P528" t="s">
        <v>935</v>
      </c>
      <c r="Q528" t="s">
        <v>936</v>
      </c>
      <c r="R528" s="1">
        <v>46211</v>
      </c>
      <c r="S528" t="s">
        <v>934</v>
      </c>
      <c r="T528" t="s">
        <v>935</v>
      </c>
      <c r="U528" t="s">
        <v>937</v>
      </c>
      <c r="V528" t="s">
        <v>66</v>
      </c>
      <c r="W528" t="s">
        <v>66</v>
      </c>
      <c r="X528">
        <v>1356696</v>
      </c>
      <c r="Y528">
        <v>149236.56</v>
      </c>
      <c r="Z528">
        <v>196020</v>
      </c>
      <c r="AA528">
        <v>21562.2</v>
      </c>
      <c r="AB528">
        <v>1505932.56</v>
      </c>
      <c r="AC528">
        <v>12</v>
      </c>
      <c r="AD528" t="s">
        <v>82</v>
      </c>
      <c r="AE528">
        <v>12</v>
      </c>
      <c r="AF528" t="s">
        <v>99</v>
      </c>
      <c r="AG528">
        <f>IFERROR(VLOOKUP(AF528,[1]STOK!J:O,6,0),"")</f>
        <v>24</v>
      </c>
      <c r="AH528" s="2">
        <f t="shared" si="16"/>
        <v>0.5</v>
      </c>
      <c r="AI528" t="s">
        <v>99</v>
      </c>
      <c r="AJ528" t="s">
        <v>100</v>
      </c>
      <c r="AK528" t="s">
        <v>101</v>
      </c>
      <c r="AL528" t="s">
        <v>86</v>
      </c>
      <c r="AM528">
        <v>18315</v>
      </c>
      <c r="AN528">
        <f t="shared" si="17"/>
        <v>18131.850000000002</v>
      </c>
      <c r="AO528" t="s">
        <v>66</v>
      </c>
      <c r="AP528">
        <v>1</v>
      </c>
      <c r="AQ528" t="s">
        <v>66</v>
      </c>
      <c r="AR528">
        <v>0</v>
      </c>
      <c r="AS528" t="s">
        <v>66</v>
      </c>
      <c r="AT528">
        <v>0</v>
      </c>
      <c r="AU528" t="s">
        <v>66</v>
      </c>
      <c r="AV528">
        <v>0</v>
      </c>
      <c r="AW528" t="s">
        <v>66</v>
      </c>
      <c r="AX528">
        <v>0</v>
      </c>
      <c r="AY528" t="s">
        <v>66</v>
      </c>
      <c r="AZ528">
        <v>0</v>
      </c>
      <c r="BA528" t="s">
        <v>66</v>
      </c>
      <c r="BB528">
        <v>0</v>
      </c>
      <c r="BC528">
        <v>0</v>
      </c>
      <c r="BD528">
        <v>217582.2</v>
      </c>
      <c r="BE528">
        <v>14915.33</v>
      </c>
      <c r="BF528">
        <v>0</v>
      </c>
      <c r="BG528" t="s">
        <v>87</v>
      </c>
      <c r="BH528" t="s">
        <v>66</v>
      </c>
      <c r="BI528">
        <v>0</v>
      </c>
      <c r="BJ528" t="s">
        <v>66</v>
      </c>
      <c r="BK528" t="s">
        <v>88</v>
      </c>
      <c r="BL528" t="s">
        <v>66</v>
      </c>
      <c r="BM528" t="s">
        <v>159</v>
      </c>
    </row>
    <row r="529" spans="1:65" x14ac:dyDescent="0.25">
      <c r="A529">
        <v>527</v>
      </c>
      <c r="B529" t="s">
        <v>931</v>
      </c>
      <c r="C529" t="s">
        <v>66</v>
      </c>
      <c r="D529" s="1">
        <v>46209</v>
      </c>
      <c r="E529" t="s">
        <v>932</v>
      </c>
      <c r="F529" t="s">
        <v>68</v>
      </c>
      <c r="G529" t="s">
        <v>69</v>
      </c>
      <c r="H529" t="s">
        <v>70</v>
      </c>
      <c r="I529" t="s">
        <v>71</v>
      </c>
      <c r="J529" t="s">
        <v>72</v>
      </c>
      <c r="K529" t="s">
        <v>73</v>
      </c>
      <c r="L529" t="s">
        <v>74</v>
      </c>
      <c r="M529" t="s">
        <v>933</v>
      </c>
      <c r="N529" t="s">
        <v>111</v>
      </c>
      <c r="O529" t="s">
        <v>934</v>
      </c>
      <c r="P529" t="s">
        <v>935</v>
      </c>
      <c r="Q529" t="s">
        <v>936</v>
      </c>
      <c r="R529" s="1">
        <v>46211</v>
      </c>
      <c r="S529" t="s">
        <v>934</v>
      </c>
      <c r="T529" t="s">
        <v>935</v>
      </c>
      <c r="U529" t="s">
        <v>937</v>
      </c>
      <c r="V529" t="s">
        <v>66</v>
      </c>
      <c r="W529" t="s">
        <v>66</v>
      </c>
      <c r="X529">
        <v>1356696</v>
      </c>
      <c r="Y529">
        <v>149236.56</v>
      </c>
      <c r="Z529">
        <v>230472</v>
      </c>
      <c r="AA529">
        <v>25351.919999999998</v>
      </c>
      <c r="AB529">
        <v>1505932.56</v>
      </c>
      <c r="AC529">
        <v>12</v>
      </c>
      <c r="AD529" t="s">
        <v>82</v>
      </c>
      <c r="AE529">
        <v>12</v>
      </c>
      <c r="AF529" t="s">
        <v>281</v>
      </c>
      <c r="AG529">
        <f>IFERROR(VLOOKUP(AF529,[1]STOK!J:O,6,0),"")</f>
        <v>24</v>
      </c>
      <c r="AH529" s="2">
        <f t="shared" si="16"/>
        <v>0.5</v>
      </c>
      <c r="AI529" t="s">
        <v>281</v>
      </c>
      <c r="AJ529" t="s">
        <v>282</v>
      </c>
      <c r="AK529" t="s">
        <v>283</v>
      </c>
      <c r="AL529" t="s">
        <v>86</v>
      </c>
      <c r="AM529">
        <v>21534</v>
      </c>
      <c r="AN529">
        <f t="shared" si="17"/>
        <v>21318.66</v>
      </c>
      <c r="AO529" t="s">
        <v>66</v>
      </c>
      <c r="AP529">
        <v>1</v>
      </c>
      <c r="AQ529" t="s">
        <v>66</v>
      </c>
      <c r="AR529">
        <v>0</v>
      </c>
      <c r="AS529" t="s">
        <v>66</v>
      </c>
      <c r="AT529">
        <v>0</v>
      </c>
      <c r="AU529" t="s">
        <v>66</v>
      </c>
      <c r="AV529">
        <v>0</v>
      </c>
      <c r="AW529" t="s">
        <v>66</v>
      </c>
      <c r="AX529">
        <v>0</v>
      </c>
      <c r="AY529" t="s">
        <v>66</v>
      </c>
      <c r="AZ529">
        <v>0</v>
      </c>
      <c r="BA529" t="s">
        <v>66</v>
      </c>
      <c r="BB529">
        <v>0</v>
      </c>
      <c r="BC529">
        <v>0</v>
      </c>
      <c r="BD529">
        <v>255823.92</v>
      </c>
      <c r="BE529">
        <v>17290.14</v>
      </c>
      <c r="BF529">
        <v>0</v>
      </c>
      <c r="BG529" t="s">
        <v>87</v>
      </c>
      <c r="BH529" t="s">
        <v>66</v>
      </c>
      <c r="BI529">
        <v>0</v>
      </c>
      <c r="BJ529" t="s">
        <v>66</v>
      </c>
      <c r="BK529" t="s">
        <v>88</v>
      </c>
      <c r="BL529" t="s">
        <v>66</v>
      </c>
      <c r="BM529" t="s">
        <v>159</v>
      </c>
    </row>
    <row r="530" spans="1:65" x14ac:dyDescent="0.25">
      <c r="A530">
        <v>528</v>
      </c>
      <c r="B530" t="s">
        <v>931</v>
      </c>
      <c r="C530" t="s">
        <v>66</v>
      </c>
      <c r="D530" s="1">
        <v>46209</v>
      </c>
      <c r="E530" t="s">
        <v>932</v>
      </c>
      <c r="F530" t="s">
        <v>68</v>
      </c>
      <c r="G530" t="s">
        <v>69</v>
      </c>
      <c r="H530" t="s">
        <v>70</v>
      </c>
      <c r="I530" t="s">
        <v>71</v>
      </c>
      <c r="J530" t="s">
        <v>72</v>
      </c>
      <c r="K530" t="s">
        <v>73</v>
      </c>
      <c r="L530" t="s">
        <v>74</v>
      </c>
      <c r="M530" t="s">
        <v>933</v>
      </c>
      <c r="N530" t="s">
        <v>111</v>
      </c>
      <c r="O530" t="s">
        <v>934</v>
      </c>
      <c r="P530" t="s">
        <v>935</v>
      </c>
      <c r="Q530" t="s">
        <v>936</v>
      </c>
      <c r="R530" s="1">
        <v>46211</v>
      </c>
      <c r="S530" t="s">
        <v>934</v>
      </c>
      <c r="T530" t="s">
        <v>935</v>
      </c>
      <c r="U530" t="s">
        <v>937</v>
      </c>
      <c r="V530" t="s">
        <v>66</v>
      </c>
      <c r="W530" t="s">
        <v>66</v>
      </c>
      <c r="X530">
        <v>1356696</v>
      </c>
      <c r="Y530">
        <v>149236.56</v>
      </c>
      <c r="Z530">
        <v>475200</v>
      </c>
      <c r="AA530">
        <v>52272</v>
      </c>
      <c r="AB530">
        <v>1505932.56</v>
      </c>
      <c r="AC530">
        <v>24</v>
      </c>
      <c r="AD530" t="s">
        <v>82</v>
      </c>
      <c r="AE530">
        <v>24</v>
      </c>
      <c r="AF530" t="s">
        <v>102</v>
      </c>
      <c r="AG530">
        <f>IFERROR(VLOOKUP(AF530,[1]STOK!J:O,6,0),"")</f>
        <v>12</v>
      </c>
      <c r="AH530" s="2">
        <f t="shared" si="16"/>
        <v>2</v>
      </c>
      <c r="AI530" t="s">
        <v>102</v>
      </c>
      <c r="AJ530" t="s">
        <v>103</v>
      </c>
      <c r="AK530" t="s">
        <v>104</v>
      </c>
      <c r="AL530" t="s">
        <v>86</v>
      </c>
      <c r="AM530">
        <v>22200</v>
      </c>
      <c r="AN530">
        <f t="shared" si="17"/>
        <v>21978</v>
      </c>
      <c r="AO530" t="s">
        <v>66</v>
      </c>
      <c r="AP530">
        <v>1</v>
      </c>
      <c r="AQ530" t="s">
        <v>66</v>
      </c>
      <c r="AR530">
        <v>0</v>
      </c>
      <c r="AS530" t="s">
        <v>66</v>
      </c>
      <c r="AT530">
        <v>0</v>
      </c>
      <c r="AU530" t="s">
        <v>66</v>
      </c>
      <c r="AV530">
        <v>0</v>
      </c>
      <c r="AW530" t="s">
        <v>66</v>
      </c>
      <c r="AX530">
        <v>0</v>
      </c>
      <c r="AY530" t="s">
        <v>66</v>
      </c>
      <c r="AZ530">
        <v>0</v>
      </c>
      <c r="BA530" t="s">
        <v>66</v>
      </c>
      <c r="BB530">
        <v>0</v>
      </c>
      <c r="BC530">
        <v>0</v>
      </c>
      <c r="BD530">
        <v>527472</v>
      </c>
      <c r="BE530">
        <v>18040.98</v>
      </c>
      <c r="BF530">
        <v>0</v>
      </c>
      <c r="BG530" t="s">
        <v>87</v>
      </c>
      <c r="BH530" t="s">
        <v>66</v>
      </c>
      <c r="BI530">
        <v>0</v>
      </c>
      <c r="BJ530" t="s">
        <v>66</v>
      </c>
      <c r="BK530" t="s">
        <v>88</v>
      </c>
      <c r="BL530" t="s">
        <v>66</v>
      </c>
      <c r="BM530" t="s">
        <v>159</v>
      </c>
    </row>
    <row r="531" spans="1:65" x14ac:dyDescent="0.25">
      <c r="A531">
        <v>529</v>
      </c>
      <c r="B531" t="s">
        <v>931</v>
      </c>
      <c r="C531" t="s">
        <v>66</v>
      </c>
      <c r="D531" s="1">
        <v>46209</v>
      </c>
      <c r="E531" t="s">
        <v>932</v>
      </c>
      <c r="F531" t="s">
        <v>68</v>
      </c>
      <c r="G531" t="s">
        <v>69</v>
      </c>
      <c r="H531" t="s">
        <v>70</v>
      </c>
      <c r="I531" t="s">
        <v>71</v>
      </c>
      <c r="J531" t="s">
        <v>72</v>
      </c>
      <c r="K531" t="s">
        <v>73</v>
      </c>
      <c r="L531" t="s">
        <v>74</v>
      </c>
      <c r="M531" t="s">
        <v>933</v>
      </c>
      <c r="N531" t="s">
        <v>111</v>
      </c>
      <c r="O531" t="s">
        <v>934</v>
      </c>
      <c r="P531" t="s">
        <v>935</v>
      </c>
      <c r="Q531" t="s">
        <v>936</v>
      </c>
      <c r="R531" s="1">
        <v>46211</v>
      </c>
      <c r="S531" t="s">
        <v>934</v>
      </c>
      <c r="T531" t="s">
        <v>935</v>
      </c>
      <c r="U531" t="s">
        <v>937</v>
      </c>
      <c r="V531" t="s">
        <v>66</v>
      </c>
      <c r="W531" t="s">
        <v>66</v>
      </c>
      <c r="X531">
        <v>1356696</v>
      </c>
      <c r="Y531">
        <v>149236.56</v>
      </c>
      <c r="Z531">
        <v>455004</v>
      </c>
      <c r="AA531">
        <v>50050.44</v>
      </c>
      <c r="AB531">
        <v>1505932.56</v>
      </c>
      <c r="AC531">
        <v>2</v>
      </c>
      <c r="AD531" t="s">
        <v>134</v>
      </c>
      <c r="AE531">
        <v>12</v>
      </c>
      <c r="AF531" t="s">
        <v>138</v>
      </c>
      <c r="AG531">
        <f>IFERROR(VLOOKUP(AF531,[1]STOK!J:O,6,0),"")</f>
        <v>6</v>
      </c>
      <c r="AH531" s="2">
        <f t="shared" si="16"/>
        <v>2</v>
      </c>
      <c r="AI531" t="s">
        <v>138</v>
      </c>
      <c r="AJ531" t="s">
        <v>139</v>
      </c>
      <c r="AK531" t="s">
        <v>140</v>
      </c>
      <c r="AL531" t="s">
        <v>86</v>
      </c>
      <c r="AM531">
        <v>255078</v>
      </c>
      <c r="AN531">
        <f t="shared" si="17"/>
        <v>252527.22</v>
      </c>
      <c r="AO531" t="s">
        <v>66</v>
      </c>
      <c r="AP531">
        <v>1</v>
      </c>
      <c r="AQ531" t="s">
        <v>66</v>
      </c>
      <c r="AR531">
        <v>0</v>
      </c>
      <c r="AS531" t="s">
        <v>66</v>
      </c>
      <c r="AT531">
        <v>0</v>
      </c>
      <c r="AU531" t="s">
        <v>66</v>
      </c>
      <c r="AV531">
        <v>0</v>
      </c>
      <c r="AW531" t="s">
        <v>66</v>
      </c>
      <c r="AX531">
        <v>0</v>
      </c>
      <c r="AY531" t="s">
        <v>66</v>
      </c>
      <c r="AZ531">
        <v>0</v>
      </c>
      <c r="BA531" t="s">
        <v>66</v>
      </c>
      <c r="BB531">
        <v>0</v>
      </c>
      <c r="BC531">
        <v>0</v>
      </c>
      <c r="BD531">
        <v>505054.44</v>
      </c>
      <c r="BE531">
        <v>34660.32</v>
      </c>
      <c r="BF531">
        <v>0</v>
      </c>
      <c r="BG531" t="s">
        <v>87</v>
      </c>
      <c r="BH531" t="s">
        <v>66</v>
      </c>
      <c r="BI531">
        <v>0</v>
      </c>
      <c r="BJ531" t="s">
        <v>66</v>
      </c>
      <c r="BK531" t="s">
        <v>88</v>
      </c>
      <c r="BL531" t="s">
        <v>66</v>
      </c>
      <c r="BM531" t="s">
        <v>159</v>
      </c>
    </row>
    <row r="532" spans="1:65" x14ac:dyDescent="0.25">
      <c r="A532">
        <v>530</v>
      </c>
      <c r="B532" t="s">
        <v>938</v>
      </c>
      <c r="C532" t="s">
        <v>66</v>
      </c>
      <c r="D532" s="1">
        <v>46210</v>
      </c>
      <c r="E532" t="s">
        <v>939</v>
      </c>
      <c r="F532" t="s">
        <v>68</v>
      </c>
      <c r="G532" t="s">
        <v>69</v>
      </c>
      <c r="H532" t="s">
        <v>70</v>
      </c>
      <c r="I532" t="s">
        <v>71</v>
      </c>
      <c r="J532" t="s">
        <v>72</v>
      </c>
      <c r="K532" t="s">
        <v>73</v>
      </c>
      <c r="L532" t="s">
        <v>74</v>
      </c>
      <c r="M532" t="s">
        <v>556</v>
      </c>
      <c r="N532" t="s">
        <v>111</v>
      </c>
      <c r="O532" t="s">
        <v>557</v>
      </c>
      <c r="P532" t="s">
        <v>558</v>
      </c>
      <c r="Q532" t="s">
        <v>940</v>
      </c>
      <c r="R532" s="1">
        <v>46211</v>
      </c>
      <c r="S532" t="s">
        <v>560</v>
      </c>
      <c r="T532" t="s">
        <v>561</v>
      </c>
      <c r="U532" t="s">
        <v>562</v>
      </c>
      <c r="V532" t="s">
        <v>66</v>
      </c>
      <c r="W532" t="s">
        <v>66</v>
      </c>
      <c r="X532">
        <v>3070980</v>
      </c>
      <c r="Y532">
        <v>337807.8</v>
      </c>
      <c r="Z532">
        <v>392040</v>
      </c>
      <c r="AA532">
        <v>43124.4</v>
      </c>
      <c r="AB532">
        <v>3408787.8</v>
      </c>
      <c r="AC532">
        <v>1</v>
      </c>
      <c r="AD532" t="s">
        <v>134</v>
      </c>
      <c r="AE532">
        <v>24</v>
      </c>
      <c r="AF532" t="s">
        <v>93</v>
      </c>
      <c r="AG532">
        <f>IFERROR(VLOOKUP(AF532,[1]STOK!J:O,6,0),"")</f>
        <v>24</v>
      </c>
      <c r="AH532" s="2">
        <f t="shared" si="16"/>
        <v>1</v>
      </c>
      <c r="AI532" t="s">
        <v>93</v>
      </c>
      <c r="AJ532" t="s">
        <v>94</v>
      </c>
      <c r="AK532" t="s">
        <v>95</v>
      </c>
      <c r="AL532" t="s">
        <v>86</v>
      </c>
      <c r="AM532">
        <v>439560</v>
      </c>
      <c r="AN532">
        <f t="shared" si="17"/>
        <v>435164.4</v>
      </c>
      <c r="AO532" t="s">
        <v>66</v>
      </c>
      <c r="AP532">
        <v>1</v>
      </c>
      <c r="AQ532" t="s">
        <v>66</v>
      </c>
      <c r="AR532">
        <v>0</v>
      </c>
      <c r="AS532" t="s">
        <v>66</v>
      </c>
      <c r="AT532">
        <v>0</v>
      </c>
      <c r="AU532" t="s">
        <v>66</v>
      </c>
      <c r="AV532">
        <v>0</v>
      </c>
      <c r="AW532" t="s">
        <v>66</v>
      </c>
      <c r="AX532">
        <v>0</v>
      </c>
      <c r="AY532" t="s">
        <v>66</v>
      </c>
      <c r="AZ532">
        <v>0</v>
      </c>
      <c r="BA532" t="s">
        <v>66</v>
      </c>
      <c r="BB532">
        <v>0</v>
      </c>
      <c r="BC532">
        <v>0</v>
      </c>
      <c r="BD532">
        <v>435164.4</v>
      </c>
      <c r="BE532">
        <v>14931.72</v>
      </c>
      <c r="BF532">
        <v>0</v>
      </c>
      <c r="BG532" t="s">
        <v>87</v>
      </c>
      <c r="BH532" t="s">
        <v>66</v>
      </c>
      <c r="BI532">
        <v>0</v>
      </c>
      <c r="BJ532" t="s">
        <v>66</v>
      </c>
      <c r="BK532" t="s">
        <v>88</v>
      </c>
      <c r="BL532" t="s">
        <v>66</v>
      </c>
      <c r="BM532" t="s">
        <v>159</v>
      </c>
    </row>
    <row r="533" spans="1:65" x14ac:dyDescent="0.25">
      <c r="A533">
        <v>531</v>
      </c>
      <c r="B533" t="s">
        <v>938</v>
      </c>
      <c r="C533" t="s">
        <v>66</v>
      </c>
      <c r="D533" s="1">
        <v>46210</v>
      </c>
      <c r="E533" t="s">
        <v>939</v>
      </c>
      <c r="F533" t="s">
        <v>68</v>
      </c>
      <c r="G533" t="s">
        <v>69</v>
      </c>
      <c r="H533" t="s">
        <v>70</v>
      </c>
      <c r="I533" t="s">
        <v>71</v>
      </c>
      <c r="J533" t="s">
        <v>72</v>
      </c>
      <c r="K533" t="s">
        <v>73</v>
      </c>
      <c r="L533" t="s">
        <v>74</v>
      </c>
      <c r="M533" t="s">
        <v>556</v>
      </c>
      <c r="N533" t="s">
        <v>111</v>
      </c>
      <c r="O533" t="s">
        <v>557</v>
      </c>
      <c r="P533" t="s">
        <v>558</v>
      </c>
      <c r="Q533" t="s">
        <v>940</v>
      </c>
      <c r="R533" s="1">
        <v>46211</v>
      </c>
      <c r="S533" t="s">
        <v>560</v>
      </c>
      <c r="T533" t="s">
        <v>561</v>
      </c>
      <c r="U533" t="s">
        <v>562</v>
      </c>
      <c r="V533" t="s">
        <v>66</v>
      </c>
      <c r="W533" t="s">
        <v>66</v>
      </c>
      <c r="X533">
        <v>3070980</v>
      </c>
      <c r="Y533">
        <v>337807.8</v>
      </c>
      <c r="Z533">
        <v>392040</v>
      </c>
      <c r="AA533">
        <v>43124.4</v>
      </c>
      <c r="AB533">
        <v>3408787.8</v>
      </c>
      <c r="AC533">
        <v>1</v>
      </c>
      <c r="AD533" t="s">
        <v>134</v>
      </c>
      <c r="AE533">
        <v>24</v>
      </c>
      <c r="AF533" t="s">
        <v>96</v>
      </c>
      <c r="AG533">
        <f>IFERROR(VLOOKUP(AF533,[1]STOK!J:O,6,0),"")</f>
        <v>24</v>
      </c>
      <c r="AH533" s="2">
        <f t="shared" si="16"/>
        <v>1</v>
      </c>
      <c r="AI533" t="s">
        <v>96</v>
      </c>
      <c r="AJ533" t="s">
        <v>97</v>
      </c>
      <c r="AK533" t="s">
        <v>98</v>
      </c>
      <c r="AL533" t="s">
        <v>86</v>
      </c>
      <c r="AM533">
        <v>439560</v>
      </c>
      <c r="AN533">
        <f t="shared" si="17"/>
        <v>435164.4</v>
      </c>
      <c r="AO533" t="s">
        <v>66</v>
      </c>
      <c r="AP533">
        <v>1</v>
      </c>
      <c r="AQ533" t="s">
        <v>66</v>
      </c>
      <c r="AR533">
        <v>0</v>
      </c>
      <c r="AS533" t="s">
        <v>66</v>
      </c>
      <c r="AT533">
        <v>0</v>
      </c>
      <c r="AU533" t="s">
        <v>66</v>
      </c>
      <c r="AV533">
        <v>0</v>
      </c>
      <c r="AW533" t="s">
        <v>66</v>
      </c>
      <c r="AX533">
        <v>0</v>
      </c>
      <c r="AY533" t="s">
        <v>66</v>
      </c>
      <c r="AZ533">
        <v>0</v>
      </c>
      <c r="BA533" t="s">
        <v>66</v>
      </c>
      <c r="BB533">
        <v>0</v>
      </c>
      <c r="BC533">
        <v>0</v>
      </c>
      <c r="BD533">
        <v>435164.4</v>
      </c>
      <c r="BE533">
        <v>14932.79</v>
      </c>
      <c r="BF533">
        <v>0</v>
      </c>
      <c r="BG533" t="s">
        <v>87</v>
      </c>
      <c r="BH533" t="s">
        <v>66</v>
      </c>
      <c r="BI533">
        <v>0</v>
      </c>
      <c r="BJ533" t="s">
        <v>66</v>
      </c>
      <c r="BK533" t="s">
        <v>88</v>
      </c>
      <c r="BL533" t="s">
        <v>66</v>
      </c>
      <c r="BM533" t="s">
        <v>159</v>
      </c>
    </row>
    <row r="534" spans="1:65" x14ac:dyDescent="0.25">
      <c r="A534">
        <v>532</v>
      </c>
      <c r="B534" t="s">
        <v>938</v>
      </c>
      <c r="C534" t="s">
        <v>66</v>
      </c>
      <c r="D534" s="1">
        <v>46210</v>
      </c>
      <c r="E534" t="s">
        <v>939</v>
      </c>
      <c r="F534" t="s">
        <v>68</v>
      </c>
      <c r="G534" t="s">
        <v>69</v>
      </c>
      <c r="H534" t="s">
        <v>70</v>
      </c>
      <c r="I534" t="s">
        <v>71</v>
      </c>
      <c r="J534" t="s">
        <v>72</v>
      </c>
      <c r="K534" t="s">
        <v>73</v>
      </c>
      <c r="L534" t="s">
        <v>74</v>
      </c>
      <c r="M534" t="s">
        <v>556</v>
      </c>
      <c r="N534" t="s">
        <v>111</v>
      </c>
      <c r="O534" t="s">
        <v>557</v>
      </c>
      <c r="P534" t="s">
        <v>558</v>
      </c>
      <c r="Q534" t="s">
        <v>940</v>
      </c>
      <c r="R534" s="1">
        <v>46211</v>
      </c>
      <c r="S534" t="s">
        <v>560</v>
      </c>
      <c r="T534" t="s">
        <v>561</v>
      </c>
      <c r="U534" t="s">
        <v>562</v>
      </c>
      <c r="V534" t="s">
        <v>66</v>
      </c>
      <c r="W534" t="s">
        <v>66</v>
      </c>
      <c r="X534">
        <v>3070980</v>
      </c>
      <c r="Y534">
        <v>337807.8</v>
      </c>
      <c r="Z534">
        <v>460944</v>
      </c>
      <c r="AA534">
        <v>50703.839999999997</v>
      </c>
      <c r="AB534">
        <v>3408787.8</v>
      </c>
      <c r="AC534">
        <v>1</v>
      </c>
      <c r="AD534" t="s">
        <v>134</v>
      </c>
      <c r="AE534">
        <v>24</v>
      </c>
      <c r="AF534" t="s">
        <v>281</v>
      </c>
      <c r="AG534">
        <f>IFERROR(VLOOKUP(AF534,[1]STOK!J:O,6,0),"")</f>
        <v>24</v>
      </c>
      <c r="AH534" s="2">
        <f t="shared" si="16"/>
        <v>1</v>
      </c>
      <c r="AI534" t="s">
        <v>281</v>
      </c>
      <c r="AJ534" t="s">
        <v>282</v>
      </c>
      <c r="AK534" t="s">
        <v>283</v>
      </c>
      <c r="AL534" t="s">
        <v>86</v>
      </c>
      <c r="AM534">
        <v>516816</v>
      </c>
      <c r="AN534">
        <f t="shared" si="17"/>
        <v>511647.84</v>
      </c>
      <c r="AO534" t="s">
        <v>66</v>
      </c>
      <c r="AP534">
        <v>1</v>
      </c>
      <c r="AQ534" t="s">
        <v>66</v>
      </c>
      <c r="AR534">
        <v>0</v>
      </c>
      <c r="AS534" t="s">
        <v>66</v>
      </c>
      <c r="AT534">
        <v>0</v>
      </c>
      <c r="AU534" t="s">
        <v>66</v>
      </c>
      <c r="AV534">
        <v>0</v>
      </c>
      <c r="AW534" t="s">
        <v>66</v>
      </c>
      <c r="AX534">
        <v>0</v>
      </c>
      <c r="AY534" t="s">
        <v>66</v>
      </c>
      <c r="AZ534">
        <v>0</v>
      </c>
      <c r="BA534" t="s">
        <v>66</v>
      </c>
      <c r="BB534">
        <v>0</v>
      </c>
      <c r="BC534">
        <v>0</v>
      </c>
      <c r="BD534">
        <v>511647.84</v>
      </c>
      <c r="BE534">
        <v>17290.14</v>
      </c>
      <c r="BF534">
        <v>0</v>
      </c>
      <c r="BG534" t="s">
        <v>87</v>
      </c>
      <c r="BH534" t="s">
        <v>66</v>
      </c>
      <c r="BI534">
        <v>0</v>
      </c>
      <c r="BJ534" t="s">
        <v>66</v>
      </c>
      <c r="BK534" t="s">
        <v>88</v>
      </c>
      <c r="BL534" t="s">
        <v>66</v>
      </c>
      <c r="BM534" t="s">
        <v>159</v>
      </c>
    </row>
    <row r="535" spans="1:65" x14ac:dyDescent="0.25">
      <c r="A535">
        <v>533</v>
      </c>
      <c r="B535" t="s">
        <v>938</v>
      </c>
      <c r="C535" t="s">
        <v>66</v>
      </c>
      <c r="D535" s="1">
        <v>46210</v>
      </c>
      <c r="E535" t="s">
        <v>939</v>
      </c>
      <c r="F535" t="s">
        <v>68</v>
      </c>
      <c r="G535" t="s">
        <v>69</v>
      </c>
      <c r="H535" t="s">
        <v>70</v>
      </c>
      <c r="I535" t="s">
        <v>71</v>
      </c>
      <c r="J535" t="s">
        <v>72</v>
      </c>
      <c r="K535" t="s">
        <v>73</v>
      </c>
      <c r="L535" t="s">
        <v>74</v>
      </c>
      <c r="M535" t="s">
        <v>556</v>
      </c>
      <c r="N535" t="s">
        <v>111</v>
      </c>
      <c r="O535" t="s">
        <v>557</v>
      </c>
      <c r="P535" t="s">
        <v>558</v>
      </c>
      <c r="Q535" t="s">
        <v>940</v>
      </c>
      <c r="R535" s="1">
        <v>46211</v>
      </c>
      <c r="S535" t="s">
        <v>560</v>
      </c>
      <c r="T535" t="s">
        <v>561</v>
      </c>
      <c r="U535" t="s">
        <v>562</v>
      </c>
      <c r="V535" t="s">
        <v>66</v>
      </c>
      <c r="W535" t="s">
        <v>66</v>
      </c>
      <c r="X535">
        <v>3070980</v>
      </c>
      <c r="Y535">
        <v>337807.8</v>
      </c>
      <c r="Z535">
        <v>323136</v>
      </c>
      <c r="AA535">
        <v>35544.959999999999</v>
      </c>
      <c r="AB535">
        <v>3408787.8</v>
      </c>
      <c r="AC535">
        <v>1</v>
      </c>
      <c r="AD535" t="s">
        <v>134</v>
      </c>
      <c r="AE535">
        <v>12</v>
      </c>
      <c r="AF535" t="s">
        <v>774</v>
      </c>
      <c r="AG535">
        <f>IFERROR(VLOOKUP(AF535,[1]STOK!J:O,6,0),"")</f>
        <v>12</v>
      </c>
      <c r="AH535" s="2">
        <f t="shared" si="16"/>
        <v>1</v>
      </c>
      <c r="AI535" t="s">
        <v>774</v>
      </c>
      <c r="AJ535" t="s">
        <v>775</v>
      </c>
      <c r="AK535" t="s">
        <v>776</v>
      </c>
      <c r="AL535" t="s">
        <v>86</v>
      </c>
      <c r="AM535">
        <v>362304</v>
      </c>
      <c r="AN535">
        <f t="shared" si="17"/>
        <v>358680.96</v>
      </c>
      <c r="AO535" t="s">
        <v>66</v>
      </c>
      <c r="AP535">
        <v>1</v>
      </c>
      <c r="AQ535" t="s">
        <v>66</v>
      </c>
      <c r="AR535">
        <v>0</v>
      </c>
      <c r="AS535" t="s">
        <v>66</v>
      </c>
      <c r="AT535">
        <v>0</v>
      </c>
      <c r="AU535" t="s">
        <v>66</v>
      </c>
      <c r="AV535">
        <v>0</v>
      </c>
      <c r="AW535" t="s">
        <v>66</v>
      </c>
      <c r="AX535">
        <v>0</v>
      </c>
      <c r="AY535" t="s">
        <v>66</v>
      </c>
      <c r="AZ535">
        <v>0</v>
      </c>
      <c r="BA535" t="s">
        <v>66</v>
      </c>
      <c r="BB535">
        <v>0</v>
      </c>
      <c r="BC535">
        <v>0</v>
      </c>
      <c r="BD535">
        <v>358680.96</v>
      </c>
      <c r="BE535">
        <v>24962.33</v>
      </c>
      <c r="BF535">
        <v>0</v>
      </c>
      <c r="BG535" t="s">
        <v>87</v>
      </c>
      <c r="BH535" t="s">
        <v>66</v>
      </c>
      <c r="BI535">
        <v>0</v>
      </c>
      <c r="BJ535" t="s">
        <v>66</v>
      </c>
      <c r="BK535" t="s">
        <v>88</v>
      </c>
      <c r="BL535" t="s">
        <v>66</v>
      </c>
      <c r="BM535" t="s">
        <v>159</v>
      </c>
    </row>
    <row r="536" spans="1:65" x14ac:dyDescent="0.25">
      <c r="A536">
        <v>534</v>
      </c>
      <c r="B536" t="s">
        <v>938</v>
      </c>
      <c r="C536" t="s">
        <v>66</v>
      </c>
      <c r="D536" s="1">
        <v>46210</v>
      </c>
      <c r="E536" t="s">
        <v>939</v>
      </c>
      <c r="F536" t="s">
        <v>68</v>
      </c>
      <c r="G536" t="s">
        <v>69</v>
      </c>
      <c r="H536" t="s">
        <v>70</v>
      </c>
      <c r="I536" t="s">
        <v>71</v>
      </c>
      <c r="J536" t="s">
        <v>72</v>
      </c>
      <c r="K536" t="s">
        <v>73</v>
      </c>
      <c r="L536" t="s">
        <v>74</v>
      </c>
      <c r="M536" t="s">
        <v>556</v>
      </c>
      <c r="N536" t="s">
        <v>111</v>
      </c>
      <c r="O536" t="s">
        <v>557</v>
      </c>
      <c r="P536" t="s">
        <v>558</v>
      </c>
      <c r="Q536" t="s">
        <v>940</v>
      </c>
      <c r="R536" s="1">
        <v>46211</v>
      </c>
      <c r="S536" t="s">
        <v>560</v>
      </c>
      <c r="T536" t="s">
        <v>561</v>
      </c>
      <c r="U536" t="s">
        <v>562</v>
      </c>
      <c r="V536" t="s">
        <v>66</v>
      </c>
      <c r="W536" t="s">
        <v>66</v>
      </c>
      <c r="X536">
        <v>3070980</v>
      </c>
      <c r="Y536">
        <v>337807.8</v>
      </c>
      <c r="Z536">
        <v>319572</v>
      </c>
      <c r="AA536">
        <v>35152.92</v>
      </c>
      <c r="AB536">
        <v>3408787.8</v>
      </c>
      <c r="AC536">
        <v>1</v>
      </c>
      <c r="AD536" t="s">
        <v>134</v>
      </c>
      <c r="AE536">
        <v>6</v>
      </c>
      <c r="AF536" t="s">
        <v>878</v>
      </c>
      <c r="AG536">
        <f>IFERROR(VLOOKUP(AF536,[1]STOK!J:O,6,0),"")</f>
        <v>6</v>
      </c>
      <c r="AH536" s="2">
        <f t="shared" si="16"/>
        <v>1</v>
      </c>
      <c r="AI536" t="s">
        <v>878</v>
      </c>
      <c r="AJ536" t="s">
        <v>879</v>
      </c>
      <c r="AK536" t="s">
        <v>880</v>
      </c>
      <c r="AL536" t="s">
        <v>86</v>
      </c>
      <c r="AM536">
        <v>358308</v>
      </c>
      <c r="AN536">
        <f t="shared" si="17"/>
        <v>354724.92</v>
      </c>
      <c r="AO536" t="s">
        <v>66</v>
      </c>
      <c r="AP536">
        <v>1</v>
      </c>
      <c r="AQ536" t="s">
        <v>66</v>
      </c>
      <c r="AR536">
        <v>0</v>
      </c>
      <c r="AS536" t="s">
        <v>66</v>
      </c>
      <c r="AT536">
        <v>0</v>
      </c>
      <c r="AU536" t="s">
        <v>66</v>
      </c>
      <c r="AV536">
        <v>0</v>
      </c>
      <c r="AW536" t="s">
        <v>66</v>
      </c>
      <c r="AX536">
        <v>0</v>
      </c>
      <c r="AY536" t="s">
        <v>66</v>
      </c>
      <c r="AZ536">
        <v>0</v>
      </c>
      <c r="BA536" t="s">
        <v>66</v>
      </c>
      <c r="BB536">
        <v>0</v>
      </c>
      <c r="BC536">
        <v>0</v>
      </c>
      <c r="BD536">
        <v>354724.92</v>
      </c>
      <c r="BE536">
        <v>45333.57</v>
      </c>
      <c r="BF536">
        <v>0</v>
      </c>
      <c r="BG536" t="s">
        <v>87</v>
      </c>
      <c r="BH536" t="s">
        <v>66</v>
      </c>
      <c r="BI536">
        <v>0</v>
      </c>
      <c r="BJ536" t="s">
        <v>66</v>
      </c>
      <c r="BK536" t="s">
        <v>88</v>
      </c>
      <c r="BL536" t="s">
        <v>66</v>
      </c>
      <c r="BM536" t="s">
        <v>159</v>
      </c>
    </row>
    <row r="537" spans="1:65" x14ac:dyDescent="0.25">
      <c r="A537">
        <v>535</v>
      </c>
      <c r="B537" t="s">
        <v>938</v>
      </c>
      <c r="C537" t="s">
        <v>66</v>
      </c>
      <c r="D537" s="1">
        <v>46210</v>
      </c>
      <c r="E537" t="s">
        <v>939</v>
      </c>
      <c r="F537" t="s">
        <v>68</v>
      </c>
      <c r="G537" t="s">
        <v>69</v>
      </c>
      <c r="H537" t="s">
        <v>70</v>
      </c>
      <c r="I537" t="s">
        <v>71</v>
      </c>
      <c r="J537" t="s">
        <v>72</v>
      </c>
      <c r="K537" t="s">
        <v>73</v>
      </c>
      <c r="L537" t="s">
        <v>74</v>
      </c>
      <c r="M537" t="s">
        <v>556</v>
      </c>
      <c r="N537" t="s">
        <v>111</v>
      </c>
      <c r="O537" t="s">
        <v>557</v>
      </c>
      <c r="P537" t="s">
        <v>558</v>
      </c>
      <c r="Q537" t="s">
        <v>940</v>
      </c>
      <c r="R537" s="1">
        <v>46211</v>
      </c>
      <c r="S537" t="s">
        <v>560</v>
      </c>
      <c r="T537" t="s">
        <v>561</v>
      </c>
      <c r="U537" t="s">
        <v>562</v>
      </c>
      <c r="V537" t="s">
        <v>66</v>
      </c>
      <c r="W537" t="s">
        <v>66</v>
      </c>
      <c r="X537">
        <v>3070980</v>
      </c>
      <c r="Y537">
        <v>337807.8</v>
      </c>
      <c r="Z537">
        <v>430056</v>
      </c>
      <c r="AA537">
        <v>47306.16</v>
      </c>
      <c r="AB537">
        <v>3408787.8</v>
      </c>
      <c r="AC537">
        <v>2</v>
      </c>
      <c r="AD537" t="s">
        <v>134</v>
      </c>
      <c r="AE537">
        <v>24</v>
      </c>
      <c r="AF537" t="s">
        <v>356</v>
      </c>
      <c r="AG537">
        <f>IFERROR(VLOOKUP(AF537,[1]STOK!J:O,6,0),"")</f>
        <v>12</v>
      </c>
      <c r="AH537" s="2">
        <f t="shared" si="16"/>
        <v>2</v>
      </c>
      <c r="AI537" t="s">
        <v>356</v>
      </c>
      <c r="AJ537" t="s">
        <v>357</v>
      </c>
      <c r="AK537" t="s">
        <v>358</v>
      </c>
      <c r="AL537" t="s">
        <v>86</v>
      </c>
      <c r="AM537">
        <v>241092</v>
      </c>
      <c r="AN537">
        <f t="shared" si="17"/>
        <v>238681.08</v>
      </c>
      <c r="AO537" t="s">
        <v>66</v>
      </c>
      <c r="AP537">
        <v>1</v>
      </c>
      <c r="AQ537" t="s">
        <v>66</v>
      </c>
      <c r="AR537">
        <v>0</v>
      </c>
      <c r="AS537" t="s">
        <v>66</v>
      </c>
      <c r="AT537">
        <v>0</v>
      </c>
      <c r="AU537" t="s">
        <v>66</v>
      </c>
      <c r="AV537">
        <v>0</v>
      </c>
      <c r="AW537" t="s">
        <v>66</v>
      </c>
      <c r="AX537">
        <v>0</v>
      </c>
      <c r="AY537" t="s">
        <v>66</v>
      </c>
      <c r="AZ537">
        <v>0</v>
      </c>
      <c r="BA537" t="s">
        <v>66</v>
      </c>
      <c r="BB537">
        <v>0</v>
      </c>
      <c r="BC537">
        <v>0</v>
      </c>
      <c r="BD537">
        <v>477362.16</v>
      </c>
      <c r="BE537">
        <v>16282.92</v>
      </c>
      <c r="BF537">
        <v>0</v>
      </c>
      <c r="BG537" t="s">
        <v>87</v>
      </c>
      <c r="BH537" t="s">
        <v>66</v>
      </c>
      <c r="BI537">
        <v>0</v>
      </c>
      <c r="BJ537" t="s">
        <v>66</v>
      </c>
      <c r="BK537" t="s">
        <v>88</v>
      </c>
      <c r="BL537" t="s">
        <v>66</v>
      </c>
      <c r="BM537" t="s">
        <v>159</v>
      </c>
    </row>
    <row r="538" spans="1:65" x14ac:dyDescent="0.25">
      <c r="A538">
        <v>536</v>
      </c>
      <c r="B538" t="s">
        <v>938</v>
      </c>
      <c r="C538" t="s">
        <v>66</v>
      </c>
      <c r="D538" s="1">
        <v>46210</v>
      </c>
      <c r="E538" t="s">
        <v>939</v>
      </c>
      <c r="F538" t="s">
        <v>68</v>
      </c>
      <c r="G538" t="s">
        <v>69</v>
      </c>
      <c r="H538" t="s">
        <v>70</v>
      </c>
      <c r="I538" t="s">
        <v>71</v>
      </c>
      <c r="J538" t="s">
        <v>72</v>
      </c>
      <c r="K538" t="s">
        <v>73</v>
      </c>
      <c r="L538" t="s">
        <v>74</v>
      </c>
      <c r="M538" t="s">
        <v>556</v>
      </c>
      <c r="N538" t="s">
        <v>111</v>
      </c>
      <c r="O538" t="s">
        <v>557</v>
      </c>
      <c r="P538" t="s">
        <v>558</v>
      </c>
      <c r="Q538" t="s">
        <v>940</v>
      </c>
      <c r="R538" s="1">
        <v>46211</v>
      </c>
      <c r="S538" t="s">
        <v>560</v>
      </c>
      <c r="T538" t="s">
        <v>561</v>
      </c>
      <c r="U538" t="s">
        <v>562</v>
      </c>
      <c r="V538" t="s">
        <v>66</v>
      </c>
      <c r="W538" t="s">
        <v>66</v>
      </c>
      <c r="X538">
        <v>3070980</v>
      </c>
      <c r="Y538">
        <v>337807.8</v>
      </c>
      <c r="Z538">
        <v>411048</v>
      </c>
      <c r="AA538">
        <v>45215.28</v>
      </c>
      <c r="AB538">
        <v>3408787.8</v>
      </c>
      <c r="AC538">
        <v>2</v>
      </c>
      <c r="AD538" t="s">
        <v>134</v>
      </c>
      <c r="AE538">
        <v>24</v>
      </c>
      <c r="AF538" t="s">
        <v>359</v>
      </c>
      <c r="AG538">
        <f>IFERROR(VLOOKUP(AF538,[1]STOK!J:O,6,0),"")</f>
        <v>12</v>
      </c>
      <c r="AH538" s="2">
        <f t="shared" si="16"/>
        <v>2</v>
      </c>
      <c r="AI538" t="s">
        <v>359</v>
      </c>
      <c r="AJ538" t="s">
        <v>360</v>
      </c>
      <c r="AK538" t="s">
        <v>361</v>
      </c>
      <c r="AL538" t="s">
        <v>86</v>
      </c>
      <c r="AM538">
        <v>230436</v>
      </c>
      <c r="AN538">
        <f t="shared" si="17"/>
        <v>228131.64</v>
      </c>
      <c r="AO538" t="s">
        <v>66</v>
      </c>
      <c r="AP538">
        <v>1</v>
      </c>
      <c r="AQ538" t="s">
        <v>66</v>
      </c>
      <c r="AR538">
        <v>0</v>
      </c>
      <c r="AS538" t="s">
        <v>66</v>
      </c>
      <c r="AT538">
        <v>0</v>
      </c>
      <c r="AU538" t="s">
        <v>66</v>
      </c>
      <c r="AV538">
        <v>0</v>
      </c>
      <c r="AW538" t="s">
        <v>66</v>
      </c>
      <c r="AX538">
        <v>0</v>
      </c>
      <c r="AY538" t="s">
        <v>66</v>
      </c>
      <c r="AZ538">
        <v>0</v>
      </c>
      <c r="BA538" t="s">
        <v>66</v>
      </c>
      <c r="BB538">
        <v>0</v>
      </c>
      <c r="BC538">
        <v>0</v>
      </c>
      <c r="BD538">
        <v>456263.28</v>
      </c>
      <c r="BE538">
        <v>15607.61</v>
      </c>
      <c r="BF538">
        <v>0</v>
      </c>
      <c r="BG538" t="s">
        <v>87</v>
      </c>
      <c r="BH538" t="s">
        <v>66</v>
      </c>
      <c r="BI538">
        <v>0</v>
      </c>
      <c r="BJ538" t="s">
        <v>66</v>
      </c>
      <c r="BK538" t="s">
        <v>88</v>
      </c>
      <c r="BL538" t="s">
        <v>66</v>
      </c>
      <c r="BM538" t="s">
        <v>159</v>
      </c>
    </row>
    <row r="539" spans="1:65" x14ac:dyDescent="0.25">
      <c r="A539">
        <v>537</v>
      </c>
      <c r="B539" t="s">
        <v>938</v>
      </c>
      <c r="C539" t="s">
        <v>66</v>
      </c>
      <c r="D539" s="1">
        <v>46210</v>
      </c>
      <c r="E539" t="s">
        <v>939</v>
      </c>
      <c r="F539" t="s">
        <v>68</v>
      </c>
      <c r="G539" t="s">
        <v>69</v>
      </c>
      <c r="H539" t="s">
        <v>70</v>
      </c>
      <c r="I539" t="s">
        <v>71</v>
      </c>
      <c r="J539" t="s">
        <v>72</v>
      </c>
      <c r="K539" t="s">
        <v>73</v>
      </c>
      <c r="L539" t="s">
        <v>74</v>
      </c>
      <c r="M539" t="s">
        <v>556</v>
      </c>
      <c r="N539" t="s">
        <v>111</v>
      </c>
      <c r="O539" t="s">
        <v>557</v>
      </c>
      <c r="P539" t="s">
        <v>558</v>
      </c>
      <c r="Q539" t="s">
        <v>940</v>
      </c>
      <c r="R539" s="1">
        <v>46211</v>
      </c>
      <c r="S539" t="s">
        <v>560</v>
      </c>
      <c r="T539" t="s">
        <v>561</v>
      </c>
      <c r="U539" t="s">
        <v>562</v>
      </c>
      <c r="V539" t="s">
        <v>66</v>
      </c>
      <c r="W539" t="s">
        <v>66</v>
      </c>
      <c r="X539">
        <v>3070980</v>
      </c>
      <c r="Y539">
        <v>337807.8</v>
      </c>
      <c r="Z539">
        <v>342144</v>
      </c>
      <c r="AA539">
        <v>37635.839999999997</v>
      </c>
      <c r="AB539">
        <v>3408787.8</v>
      </c>
      <c r="AC539">
        <v>2</v>
      </c>
      <c r="AD539" t="s">
        <v>134</v>
      </c>
      <c r="AE539">
        <v>24</v>
      </c>
      <c r="AF539" t="s">
        <v>213</v>
      </c>
      <c r="AG539">
        <f>IFERROR(VLOOKUP(AF539,[1]STOK!J:O,6,0),"")</f>
        <v>12</v>
      </c>
      <c r="AH539" s="2">
        <f t="shared" si="16"/>
        <v>2</v>
      </c>
      <c r="AI539" t="s">
        <v>213</v>
      </c>
      <c r="AJ539" t="s">
        <v>214</v>
      </c>
      <c r="AK539" t="s">
        <v>215</v>
      </c>
      <c r="AL539" t="s">
        <v>86</v>
      </c>
      <c r="AM539">
        <v>191808</v>
      </c>
      <c r="AN539">
        <f t="shared" si="17"/>
        <v>189889.92000000001</v>
      </c>
      <c r="AO539" t="s">
        <v>66</v>
      </c>
      <c r="AP539">
        <v>1</v>
      </c>
      <c r="AQ539" t="s">
        <v>66</v>
      </c>
      <c r="AR539">
        <v>0</v>
      </c>
      <c r="AS539" t="s">
        <v>66</v>
      </c>
      <c r="AT539">
        <v>0</v>
      </c>
      <c r="AU539" t="s">
        <v>66</v>
      </c>
      <c r="AV539">
        <v>0</v>
      </c>
      <c r="AW539" t="s">
        <v>66</v>
      </c>
      <c r="AX539">
        <v>0</v>
      </c>
      <c r="AY539" t="s">
        <v>66</v>
      </c>
      <c r="AZ539">
        <v>0</v>
      </c>
      <c r="BA539" t="s">
        <v>66</v>
      </c>
      <c r="BB539">
        <v>0</v>
      </c>
      <c r="BC539">
        <v>0</v>
      </c>
      <c r="BD539">
        <v>379779.84000000003</v>
      </c>
      <c r="BE539">
        <v>12991.38</v>
      </c>
      <c r="BF539">
        <v>0</v>
      </c>
      <c r="BG539" t="s">
        <v>87</v>
      </c>
      <c r="BH539" t="s">
        <v>66</v>
      </c>
      <c r="BI539">
        <v>0</v>
      </c>
      <c r="BJ539" t="s">
        <v>66</v>
      </c>
      <c r="BK539" t="s">
        <v>88</v>
      </c>
      <c r="BL539" t="s">
        <v>66</v>
      </c>
      <c r="BM539" t="s">
        <v>159</v>
      </c>
    </row>
    <row r="540" spans="1:65" x14ac:dyDescent="0.25">
      <c r="A540">
        <v>538</v>
      </c>
      <c r="B540" t="s">
        <v>941</v>
      </c>
      <c r="C540" t="s">
        <v>66</v>
      </c>
      <c r="D540" s="1">
        <v>46210</v>
      </c>
      <c r="E540" t="s">
        <v>942</v>
      </c>
      <c r="F540" t="s">
        <v>68</v>
      </c>
      <c r="G540" t="s">
        <v>69</v>
      </c>
      <c r="H540" t="s">
        <v>70</v>
      </c>
      <c r="I540" t="s">
        <v>71</v>
      </c>
      <c r="J540" t="s">
        <v>72</v>
      </c>
      <c r="K540" t="s">
        <v>73</v>
      </c>
      <c r="L540" t="s">
        <v>74</v>
      </c>
      <c r="M540" t="s">
        <v>571</v>
      </c>
      <c r="N540" t="s">
        <v>76</v>
      </c>
      <c r="O540" t="s">
        <v>572</v>
      </c>
      <c r="P540" t="s">
        <v>573</v>
      </c>
      <c r="Q540" t="s">
        <v>943</v>
      </c>
      <c r="R540" s="1">
        <v>46212</v>
      </c>
      <c r="S540" t="s">
        <v>575</v>
      </c>
      <c r="T540" t="s">
        <v>576</v>
      </c>
      <c r="U540" t="s">
        <v>577</v>
      </c>
      <c r="V540" t="s">
        <v>66</v>
      </c>
      <c r="W540" t="s">
        <v>66</v>
      </c>
      <c r="X540">
        <v>7836436</v>
      </c>
      <c r="Y540">
        <v>862007.96</v>
      </c>
      <c r="Z540">
        <v>346872</v>
      </c>
      <c r="AA540">
        <v>38155.919999999998</v>
      </c>
      <c r="AB540">
        <v>8698443.9600000009</v>
      </c>
      <c r="AC540">
        <v>24</v>
      </c>
      <c r="AD540" t="s">
        <v>82</v>
      </c>
      <c r="AE540">
        <v>24</v>
      </c>
      <c r="AF540" t="s">
        <v>944</v>
      </c>
      <c r="AG540">
        <f>IFERROR(VLOOKUP(AF540,[1]STOK!J:O,6,0),"")</f>
        <v>24</v>
      </c>
      <c r="AH540" s="2">
        <f t="shared" si="16"/>
        <v>1</v>
      </c>
      <c r="AI540" t="s">
        <v>944</v>
      </c>
      <c r="AJ540" t="s">
        <v>945</v>
      </c>
      <c r="AK540" t="s">
        <v>946</v>
      </c>
      <c r="AL540" t="s">
        <v>86</v>
      </c>
      <c r="AM540">
        <v>16539</v>
      </c>
      <c r="AN540">
        <f t="shared" si="17"/>
        <v>16042.83</v>
      </c>
      <c r="AO540" t="s">
        <v>66</v>
      </c>
      <c r="AP540">
        <v>3</v>
      </c>
      <c r="AQ540" t="s">
        <v>66</v>
      </c>
      <c r="AR540">
        <v>0</v>
      </c>
      <c r="AS540" t="s">
        <v>66</v>
      </c>
      <c r="AT540">
        <v>0</v>
      </c>
      <c r="AU540" t="s">
        <v>66</v>
      </c>
      <c r="AV540">
        <v>0</v>
      </c>
      <c r="AW540" t="s">
        <v>66</v>
      </c>
      <c r="AX540">
        <v>0</v>
      </c>
      <c r="AY540" t="s">
        <v>66</v>
      </c>
      <c r="AZ540">
        <v>0</v>
      </c>
      <c r="BA540" t="s">
        <v>66</v>
      </c>
      <c r="BB540">
        <v>0</v>
      </c>
      <c r="BC540">
        <v>0</v>
      </c>
      <c r="BD540">
        <v>385027.92</v>
      </c>
      <c r="BE540">
        <v>12592.45</v>
      </c>
      <c r="BF540">
        <v>0</v>
      </c>
      <c r="BG540" t="s">
        <v>87</v>
      </c>
      <c r="BH540" t="s">
        <v>66</v>
      </c>
      <c r="BI540">
        <v>0</v>
      </c>
      <c r="BJ540" t="s">
        <v>66</v>
      </c>
      <c r="BK540" t="s">
        <v>88</v>
      </c>
      <c r="BL540" t="s">
        <v>66</v>
      </c>
      <c r="BM540" t="s">
        <v>159</v>
      </c>
    </row>
    <row r="541" spans="1:65" x14ac:dyDescent="0.25">
      <c r="A541">
        <v>539</v>
      </c>
      <c r="B541" t="s">
        <v>941</v>
      </c>
      <c r="C541" t="s">
        <v>66</v>
      </c>
      <c r="D541" s="1">
        <v>46210</v>
      </c>
      <c r="E541" t="s">
        <v>942</v>
      </c>
      <c r="F541" t="s">
        <v>68</v>
      </c>
      <c r="G541" t="s">
        <v>69</v>
      </c>
      <c r="H541" t="s">
        <v>70</v>
      </c>
      <c r="I541" t="s">
        <v>71</v>
      </c>
      <c r="J541" t="s">
        <v>72</v>
      </c>
      <c r="K541" t="s">
        <v>73</v>
      </c>
      <c r="L541" t="s">
        <v>74</v>
      </c>
      <c r="M541" t="s">
        <v>571</v>
      </c>
      <c r="N541" t="s">
        <v>76</v>
      </c>
      <c r="O541" t="s">
        <v>572</v>
      </c>
      <c r="P541" t="s">
        <v>573</v>
      </c>
      <c r="Q541" t="s">
        <v>943</v>
      </c>
      <c r="R541" s="1">
        <v>46212</v>
      </c>
      <c r="S541" t="s">
        <v>575</v>
      </c>
      <c r="T541" t="s">
        <v>576</v>
      </c>
      <c r="U541" t="s">
        <v>577</v>
      </c>
      <c r="V541" t="s">
        <v>66</v>
      </c>
      <c r="W541" t="s">
        <v>66</v>
      </c>
      <c r="X541">
        <v>7836436</v>
      </c>
      <c r="Y541">
        <v>862007.96</v>
      </c>
      <c r="Z541">
        <v>346872</v>
      </c>
      <c r="AA541">
        <v>38155.919999999998</v>
      </c>
      <c r="AB541">
        <v>8698443.9600000009</v>
      </c>
      <c r="AC541">
        <v>24</v>
      </c>
      <c r="AD541" t="s">
        <v>82</v>
      </c>
      <c r="AE541">
        <v>24</v>
      </c>
      <c r="AF541" t="s">
        <v>947</v>
      </c>
      <c r="AG541">
        <f>IFERROR(VLOOKUP(AF541,[1]STOK!J:O,6,0),"")</f>
        <v>24</v>
      </c>
      <c r="AH541" s="2">
        <f t="shared" si="16"/>
        <v>1</v>
      </c>
      <c r="AI541" t="s">
        <v>947</v>
      </c>
      <c r="AJ541" t="s">
        <v>948</v>
      </c>
      <c r="AK541" t="s">
        <v>949</v>
      </c>
      <c r="AL541" t="s">
        <v>86</v>
      </c>
      <c r="AM541">
        <v>16539</v>
      </c>
      <c r="AN541">
        <f t="shared" si="17"/>
        <v>16042.83</v>
      </c>
      <c r="AO541" t="s">
        <v>66</v>
      </c>
      <c r="AP541">
        <v>3</v>
      </c>
      <c r="AQ541" t="s">
        <v>66</v>
      </c>
      <c r="AR541">
        <v>0</v>
      </c>
      <c r="AS541" t="s">
        <v>66</v>
      </c>
      <c r="AT541">
        <v>0</v>
      </c>
      <c r="AU541" t="s">
        <v>66</v>
      </c>
      <c r="AV541">
        <v>0</v>
      </c>
      <c r="AW541" t="s">
        <v>66</v>
      </c>
      <c r="AX541">
        <v>0</v>
      </c>
      <c r="AY541" t="s">
        <v>66</v>
      </c>
      <c r="AZ541">
        <v>0</v>
      </c>
      <c r="BA541" t="s">
        <v>66</v>
      </c>
      <c r="BB541">
        <v>0</v>
      </c>
      <c r="BC541">
        <v>0</v>
      </c>
      <c r="BD541">
        <v>385027.92</v>
      </c>
      <c r="BE541">
        <v>12405.86</v>
      </c>
      <c r="BF541">
        <v>0</v>
      </c>
      <c r="BG541" t="s">
        <v>87</v>
      </c>
      <c r="BH541" t="s">
        <v>66</v>
      </c>
      <c r="BI541">
        <v>0</v>
      </c>
      <c r="BJ541" t="s">
        <v>66</v>
      </c>
      <c r="BK541" t="s">
        <v>88</v>
      </c>
      <c r="BL541" t="s">
        <v>66</v>
      </c>
      <c r="BM541" t="s">
        <v>159</v>
      </c>
    </row>
    <row r="542" spans="1:65" x14ac:dyDescent="0.25">
      <c r="A542">
        <v>540</v>
      </c>
      <c r="B542" t="s">
        <v>941</v>
      </c>
      <c r="C542" t="s">
        <v>66</v>
      </c>
      <c r="D542" s="1">
        <v>46210</v>
      </c>
      <c r="E542" t="s">
        <v>942</v>
      </c>
      <c r="F542" t="s">
        <v>68</v>
      </c>
      <c r="G542" t="s">
        <v>69</v>
      </c>
      <c r="H542" t="s">
        <v>70</v>
      </c>
      <c r="I542" t="s">
        <v>71</v>
      </c>
      <c r="J542" t="s">
        <v>72</v>
      </c>
      <c r="K542" t="s">
        <v>73</v>
      </c>
      <c r="L542" t="s">
        <v>74</v>
      </c>
      <c r="M542" t="s">
        <v>571</v>
      </c>
      <c r="N542" t="s">
        <v>76</v>
      </c>
      <c r="O542" t="s">
        <v>572</v>
      </c>
      <c r="P542" t="s">
        <v>573</v>
      </c>
      <c r="Q542" t="s">
        <v>943</v>
      </c>
      <c r="R542" s="1">
        <v>46212</v>
      </c>
      <c r="S542" t="s">
        <v>575</v>
      </c>
      <c r="T542" t="s">
        <v>576</v>
      </c>
      <c r="U542" t="s">
        <v>577</v>
      </c>
      <c r="V542" t="s">
        <v>66</v>
      </c>
      <c r="W542" t="s">
        <v>66</v>
      </c>
      <c r="X542">
        <v>7836436</v>
      </c>
      <c r="Y542">
        <v>862007.96</v>
      </c>
      <c r="Z542">
        <v>117564</v>
      </c>
      <c r="AA542">
        <v>12932.04</v>
      </c>
      <c r="AB542">
        <v>8698443.9600000009</v>
      </c>
      <c r="AC542">
        <v>12</v>
      </c>
      <c r="AD542" t="s">
        <v>82</v>
      </c>
      <c r="AE542">
        <v>12</v>
      </c>
      <c r="AF542" t="s">
        <v>848</v>
      </c>
      <c r="AG542">
        <f>IFERROR(VLOOKUP(AF542,[1]STOK!J:O,6,0),"")</f>
        <v>24</v>
      </c>
      <c r="AH542" s="2">
        <f t="shared" si="16"/>
        <v>0.5</v>
      </c>
      <c r="AI542" t="s">
        <v>848</v>
      </c>
      <c r="AJ542" t="s">
        <v>849</v>
      </c>
      <c r="AK542" t="s">
        <v>850</v>
      </c>
      <c r="AL542" t="s">
        <v>86</v>
      </c>
      <c r="AM542">
        <v>11211</v>
      </c>
      <c r="AN542">
        <f t="shared" si="17"/>
        <v>10874.67</v>
      </c>
      <c r="AO542" t="s">
        <v>66</v>
      </c>
      <c r="AP542">
        <v>3</v>
      </c>
      <c r="AQ542" t="s">
        <v>66</v>
      </c>
      <c r="AR542">
        <v>0</v>
      </c>
      <c r="AS542" t="s">
        <v>66</v>
      </c>
      <c r="AT542">
        <v>0</v>
      </c>
      <c r="AU542" t="s">
        <v>66</v>
      </c>
      <c r="AV542">
        <v>0</v>
      </c>
      <c r="AW542" t="s">
        <v>66</v>
      </c>
      <c r="AX542">
        <v>0</v>
      </c>
      <c r="AY542" t="s">
        <v>66</v>
      </c>
      <c r="AZ542">
        <v>0</v>
      </c>
      <c r="BA542" t="s">
        <v>66</v>
      </c>
      <c r="BB542">
        <v>0</v>
      </c>
      <c r="BC542">
        <v>0</v>
      </c>
      <c r="BD542">
        <v>130496.04</v>
      </c>
      <c r="BE542">
        <v>9026.11</v>
      </c>
      <c r="BF542">
        <v>0</v>
      </c>
      <c r="BG542" t="s">
        <v>87</v>
      </c>
      <c r="BH542" t="s">
        <v>66</v>
      </c>
      <c r="BI542">
        <v>0</v>
      </c>
      <c r="BJ542" t="s">
        <v>66</v>
      </c>
      <c r="BK542" t="s">
        <v>88</v>
      </c>
      <c r="BL542" t="s">
        <v>66</v>
      </c>
      <c r="BM542" t="s">
        <v>159</v>
      </c>
    </row>
    <row r="543" spans="1:65" x14ac:dyDescent="0.25">
      <c r="A543">
        <v>541</v>
      </c>
      <c r="B543" t="s">
        <v>941</v>
      </c>
      <c r="C543" t="s">
        <v>66</v>
      </c>
      <c r="D543" s="1">
        <v>46210</v>
      </c>
      <c r="E543" t="s">
        <v>942</v>
      </c>
      <c r="F543" t="s">
        <v>68</v>
      </c>
      <c r="G543" t="s">
        <v>69</v>
      </c>
      <c r="H543" t="s">
        <v>70</v>
      </c>
      <c r="I543" t="s">
        <v>71</v>
      </c>
      <c r="J543" t="s">
        <v>72</v>
      </c>
      <c r="K543" t="s">
        <v>73</v>
      </c>
      <c r="L543" t="s">
        <v>74</v>
      </c>
      <c r="M543" t="s">
        <v>571</v>
      </c>
      <c r="N543" t="s">
        <v>76</v>
      </c>
      <c r="O543" t="s">
        <v>572</v>
      </c>
      <c r="P543" t="s">
        <v>573</v>
      </c>
      <c r="Q543" t="s">
        <v>943</v>
      </c>
      <c r="R543" s="1">
        <v>46212</v>
      </c>
      <c r="S543" t="s">
        <v>575</v>
      </c>
      <c r="T543" t="s">
        <v>576</v>
      </c>
      <c r="U543" t="s">
        <v>577</v>
      </c>
      <c r="V543" t="s">
        <v>66</v>
      </c>
      <c r="W543" t="s">
        <v>66</v>
      </c>
      <c r="X543">
        <v>7836436</v>
      </c>
      <c r="Y543">
        <v>862007.96</v>
      </c>
      <c r="Z543">
        <v>136188</v>
      </c>
      <c r="AA543">
        <v>14980.68</v>
      </c>
      <c r="AB543">
        <v>8698443.9600000009</v>
      </c>
      <c r="AC543">
        <v>12</v>
      </c>
      <c r="AD543" t="s">
        <v>82</v>
      </c>
      <c r="AE543">
        <v>12</v>
      </c>
      <c r="AF543" t="s">
        <v>950</v>
      </c>
      <c r="AG543">
        <f>IFERROR(VLOOKUP(AF543,[1]STOK!J:O,6,0),"")</f>
        <v>12</v>
      </c>
      <c r="AH543" s="2">
        <f t="shared" si="16"/>
        <v>1</v>
      </c>
      <c r="AI543" t="s">
        <v>950</v>
      </c>
      <c r="AJ543" t="s">
        <v>951</v>
      </c>
      <c r="AK543" t="s">
        <v>952</v>
      </c>
      <c r="AL543" t="s">
        <v>86</v>
      </c>
      <c r="AM543">
        <v>12987</v>
      </c>
      <c r="AN543">
        <f t="shared" si="17"/>
        <v>12597.39</v>
      </c>
      <c r="AO543" t="s">
        <v>66</v>
      </c>
      <c r="AP543">
        <v>3</v>
      </c>
      <c r="AQ543" t="s">
        <v>66</v>
      </c>
      <c r="AR543">
        <v>0</v>
      </c>
      <c r="AS543" t="s">
        <v>66</v>
      </c>
      <c r="AT543">
        <v>0</v>
      </c>
      <c r="AU543" t="s">
        <v>66</v>
      </c>
      <c r="AV543">
        <v>0</v>
      </c>
      <c r="AW543" t="s">
        <v>66</v>
      </c>
      <c r="AX543">
        <v>0</v>
      </c>
      <c r="AY543" t="s">
        <v>66</v>
      </c>
      <c r="AZ543">
        <v>0</v>
      </c>
      <c r="BA543" t="s">
        <v>66</v>
      </c>
      <c r="BB543">
        <v>0</v>
      </c>
      <c r="BC543">
        <v>0</v>
      </c>
      <c r="BD543">
        <v>151168.68</v>
      </c>
      <c r="BE543">
        <v>9997.75</v>
      </c>
      <c r="BF543">
        <v>0</v>
      </c>
      <c r="BG543" t="s">
        <v>87</v>
      </c>
      <c r="BH543" t="s">
        <v>66</v>
      </c>
      <c r="BI543">
        <v>0</v>
      </c>
      <c r="BJ543" t="s">
        <v>66</v>
      </c>
      <c r="BK543" t="s">
        <v>88</v>
      </c>
      <c r="BL543" t="s">
        <v>66</v>
      </c>
      <c r="BM543" t="s">
        <v>159</v>
      </c>
    </row>
    <row r="544" spans="1:65" x14ac:dyDescent="0.25">
      <c r="A544">
        <v>542</v>
      </c>
      <c r="B544" t="s">
        <v>941</v>
      </c>
      <c r="C544" t="s">
        <v>66</v>
      </c>
      <c r="D544" s="1">
        <v>46210</v>
      </c>
      <c r="E544" t="s">
        <v>942</v>
      </c>
      <c r="F544" t="s">
        <v>68</v>
      </c>
      <c r="G544" t="s">
        <v>69</v>
      </c>
      <c r="H544" t="s">
        <v>70</v>
      </c>
      <c r="I544" t="s">
        <v>71</v>
      </c>
      <c r="J544" t="s">
        <v>72</v>
      </c>
      <c r="K544" t="s">
        <v>73</v>
      </c>
      <c r="L544" t="s">
        <v>74</v>
      </c>
      <c r="M544" t="s">
        <v>571</v>
      </c>
      <c r="N544" t="s">
        <v>76</v>
      </c>
      <c r="O544" t="s">
        <v>572</v>
      </c>
      <c r="P544" t="s">
        <v>573</v>
      </c>
      <c r="Q544" t="s">
        <v>943</v>
      </c>
      <c r="R544" s="1">
        <v>46212</v>
      </c>
      <c r="S544" t="s">
        <v>575</v>
      </c>
      <c r="T544" t="s">
        <v>576</v>
      </c>
      <c r="U544" t="s">
        <v>577</v>
      </c>
      <c r="V544" t="s">
        <v>66</v>
      </c>
      <c r="W544" t="s">
        <v>66</v>
      </c>
      <c r="X544">
        <v>7836436</v>
      </c>
      <c r="Y544">
        <v>862007.96</v>
      </c>
      <c r="Z544">
        <v>132696</v>
      </c>
      <c r="AA544">
        <v>14596.56</v>
      </c>
      <c r="AB544">
        <v>8698443.9600000009</v>
      </c>
      <c r="AC544">
        <v>24</v>
      </c>
      <c r="AD544" t="s">
        <v>82</v>
      </c>
      <c r="AE544">
        <v>24</v>
      </c>
      <c r="AF544" t="s">
        <v>202</v>
      </c>
      <c r="AG544">
        <f>IFERROR(VLOOKUP(AF544,[1]STOK!J:O,6,0),"")</f>
        <v>48</v>
      </c>
      <c r="AH544" s="2">
        <f t="shared" si="16"/>
        <v>0.5</v>
      </c>
      <c r="AI544" t="s">
        <v>202</v>
      </c>
      <c r="AJ544" t="s">
        <v>203</v>
      </c>
      <c r="AK544" t="s">
        <v>204</v>
      </c>
      <c r="AL544" t="s">
        <v>86</v>
      </c>
      <c r="AM544">
        <v>6327</v>
      </c>
      <c r="AN544">
        <f t="shared" si="17"/>
        <v>6137.19</v>
      </c>
      <c r="AO544" t="s">
        <v>66</v>
      </c>
      <c r="AP544">
        <v>3</v>
      </c>
      <c r="AQ544" t="s">
        <v>66</v>
      </c>
      <c r="AR544">
        <v>0</v>
      </c>
      <c r="AS544" t="s">
        <v>66</v>
      </c>
      <c r="AT544">
        <v>0</v>
      </c>
      <c r="AU544" t="s">
        <v>66</v>
      </c>
      <c r="AV544">
        <v>0</v>
      </c>
      <c r="AW544" t="s">
        <v>66</v>
      </c>
      <c r="AX544">
        <v>0</v>
      </c>
      <c r="AY544" t="s">
        <v>66</v>
      </c>
      <c r="AZ544">
        <v>0</v>
      </c>
      <c r="BA544" t="s">
        <v>66</v>
      </c>
      <c r="BB544">
        <v>0</v>
      </c>
      <c r="BC544">
        <v>0</v>
      </c>
      <c r="BD544">
        <v>147292.56</v>
      </c>
      <c r="BE544">
        <v>5116.25</v>
      </c>
      <c r="BF544">
        <v>0</v>
      </c>
      <c r="BG544" t="s">
        <v>87</v>
      </c>
      <c r="BH544" t="s">
        <v>66</v>
      </c>
      <c r="BI544">
        <v>0</v>
      </c>
      <c r="BJ544" t="s">
        <v>66</v>
      </c>
      <c r="BK544" t="s">
        <v>88</v>
      </c>
      <c r="BL544" t="s">
        <v>66</v>
      </c>
      <c r="BM544" t="s">
        <v>159</v>
      </c>
    </row>
    <row r="545" spans="1:65" x14ac:dyDescent="0.25">
      <c r="A545">
        <v>543</v>
      </c>
      <c r="B545" t="s">
        <v>941</v>
      </c>
      <c r="C545" t="s">
        <v>66</v>
      </c>
      <c r="D545" s="1">
        <v>46210</v>
      </c>
      <c r="E545" t="s">
        <v>942</v>
      </c>
      <c r="F545" t="s">
        <v>68</v>
      </c>
      <c r="G545" t="s">
        <v>69</v>
      </c>
      <c r="H545" t="s">
        <v>70</v>
      </c>
      <c r="I545" t="s">
        <v>71</v>
      </c>
      <c r="J545" t="s">
        <v>72</v>
      </c>
      <c r="K545" t="s">
        <v>73</v>
      </c>
      <c r="L545" t="s">
        <v>74</v>
      </c>
      <c r="M545" t="s">
        <v>571</v>
      </c>
      <c r="N545" t="s">
        <v>76</v>
      </c>
      <c r="O545" t="s">
        <v>572</v>
      </c>
      <c r="P545" t="s">
        <v>573</v>
      </c>
      <c r="Q545" t="s">
        <v>943</v>
      </c>
      <c r="R545" s="1">
        <v>46212</v>
      </c>
      <c r="S545" t="s">
        <v>575</v>
      </c>
      <c r="T545" t="s">
        <v>576</v>
      </c>
      <c r="U545" t="s">
        <v>577</v>
      </c>
      <c r="V545" t="s">
        <v>66</v>
      </c>
      <c r="W545" t="s">
        <v>66</v>
      </c>
      <c r="X545">
        <v>7836436</v>
      </c>
      <c r="Y545">
        <v>862007.96</v>
      </c>
      <c r="Z545">
        <v>132696</v>
      </c>
      <c r="AA545">
        <v>14596.56</v>
      </c>
      <c r="AB545">
        <v>8698443.9600000009</v>
      </c>
      <c r="AC545">
        <v>24</v>
      </c>
      <c r="AD545" t="s">
        <v>82</v>
      </c>
      <c r="AE545">
        <v>24</v>
      </c>
      <c r="AF545" t="s">
        <v>350</v>
      </c>
      <c r="AG545">
        <f>IFERROR(VLOOKUP(AF545,[1]STOK!J:O,6,0),"")</f>
        <v>48</v>
      </c>
      <c r="AH545" s="2">
        <f t="shared" si="16"/>
        <v>0.5</v>
      </c>
      <c r="AI545" t="s">
        <v>350</v>
      </c>
      <c r="AJ545" t="s">
        <v>351</v>
      </c>
      <c r="AK545" t="s">
        <v>352</v>
      </c>
      <c r="AL545" t="s">
        <v>86</v>
      </c>
      <c r="AM545">
        <v>6327</v>
      </c>
      <c r="AN545">
        <f t="shared" si="17"/>
        <v>6137.19</v>
      </c>
      <c r="AO545" t="s">
        <v>66</v>
      </c>
      <c r="AP545">
        <v>3</v>
      </c>
      <c r="AQ545" t="s">
        <v>66</v>
      </c>
      <c r="AR545">
        <v>0</v>
      </c>
      <c r="AS545" t="s">
        <v>66</v>
      </c>
      <c r="AT545">
        <v>0</v>
      </c>
      <c r="AU545" t="s">
        <v>66</v>
      </c>
      <c r="AV545">
        <v>0</v>
      </c>
      <c r="AW545" t="s">
        <v>66</v>
      </c>
      <c r="AX545">
        <v>0</v>
      </c>
      <c r="AY545" t="s">
        <v>66</v>
      </c>
      <c r="AZ545">
        <v>0</v>
      </c>
      <c r="BA545" t="s">
        <v>66</v>
      </c>
      <c r="BB545">
        <v>0</v>
      </c>
      <c r="BC545">
        <v>0</v>
      </c>
      <c r="BD545">
        <v>147292.56</v>
      </c>
      <c r="BE545">
        <v>5143.3999999999996</v>
      </c>
      <c r="BF545">
        <v>0</v>
      </c>
      <c r="BG545" t="s">
        <v>87</v>
      </c>
      <c r="BH545" t="s">
        <v>66</v>
      </c>
      <c r="BI545">
        <v>0</v>
      </c>
      <c r="BJ545" t="s">
        <v>66</v>
      </c>
      <c r="BK545" t="s">
        <v>88</v>
      </c>
      <c r="BL545" t="s">
        <v>66</v>
      </c>
      <c r="BM545" t="s">
        <v>159</v>
      </c>
    </row>
    <row r="546" spans="1:65" x14ac:dyDescent="0.25">
      <c r="A546">
        <v>544</v>
      </c>
      <c r="B546" t="s">
        <v>941</v>
      </c>
      <c r="C546" t="s">
        <v>66</v>
      </c>
      <c r="D546" s="1">
        <v>46210</v>
      </c>
      <c r="E546" t="s">
        <v>942</v>
      </c>
      <c r="F546" t="s">
        <v>68</v>
      </c>
      <c r="G546" t="s">
        <v>69</v>
      </c>
      <c r="H546" t="s">
        <v>70</v>
      </c>
      <c r="I546" t="s">
        <v>71</v>
      </c>
      <c r="J546" t="s">
        <v>72</v>
      </c>
      <c r="K546" t="s">
        <v>73</v>
      </c>
      <c r="L546" t="s">
        <v>74</v>
      </c>
      <c r="M546" t="s">
        <v>571</v>
      </c>
      <c r="N546" t="s">
        <v>76</v>
      </c>
      <c r="O546" t="s">
        <v>572</v>
      </c>
      <c r="P546" t="s">
        <v>573</v>
      </c>
      <c r="Q546" t="s">
        <v>943</v>
      </c>
      <c r="R546" s="1">
        <v>46212</v>
      </c>
      <c r="S546" t="s">
        <v>575</v>
      </c>
      <c r="T546" t="s">
        <v>576</v>
      </c>
      <c r="U546" t="s">
        <v>577</v>
      </c>
      <c r="V546" t="s">
        <v>66</v>
      </c>
      <c r="W546" t="s">
        <v>66</v>
      </c>
      <c r="X546">
        <v>7836436</v>
      </c>
      <c r="Y546">
        <v>862007.96</v>
      </c>
      <c r="Z546">
        <v>502072</v>
      </c>
      <c r="AA546">
        <v>55227.92</v>
      </c>
      <c r="AB546">
        <v>8698443.9600000009</v>
      </c>
      <c r="AC546">
        <v>1</v>
      </c>
      <c r="AD546" t="s">
        <v>134</v>
      </c>
      <c r="AE546">
        <v>4</v>
      </c>
      <c r="AF546" t="s">
        <v>519</v>
      </c>
      <c r="AG546">
        <f>IFERROR(VLOOKUP(AF546,[1]STOK!J:O,6,0),"")</f>
        <v>4</v>
      </c>
      <c r="AH546" s="2">
        <f t="shared" si="16"/>
        <v>1</v>
      </c>
      <c r="AI546" t="s">
        <v>519</v>
      </c>
      <c r="AJ546" t="s">
        <v>520</v>
      </c>
      <c r="AK546" t="s">
        <v>521</v>
      </c>
      <c r="AL546" t="s">
        <v>86</v>
      </c>
      <c r="AM546">
        <v>574536</v>
      </c>
      <c r="AN546">
        <f t="shared" si="17"/>
        <v>557299.92000000004</v>
      </c>
      <c r="AO546" t="s">
        <v>66</v>
      </c>
      <c r="AP546">
        <v>3</v>
      </c>
      <c r="AQ546" t="s">
        <v>66</v>
      </c>
      <c r="AR546">
        <v>0</v>
      </c>
      <c r="AS546" t="s">
        <v>66</v>
      </c>
      <c r="AT546">
        <v>0</v>
      </c>
      <c r="AU546" t="s">
        <v>66</v>
      </c>
      <c r="AV546">
        <v>0</v>
      </c>
      <c r="AW546" t="s">
        <v>66</v>
      </c>
      <c r="AX546">
        <v>0</v>
      </c>
      <c r="AY546" t="s">
        <v>66</v>
      </c>
      <c r="AZ546">
        <v>0</v>
      </c>
      <c r="BA546" t="s">
        <v>66</v>
      </c>
      <c r="BB546">
        <v>0</v>
      </c>
      <c r="BC546">
        <v>0</v>
      </c>
      <c r="BD546">
        <v>557299.92000000004</v>
      </c>
      <c r="BE546">
        <v>114637.35</v>
      </c>
      <c r="BF546">
        <v>0</v>
      </c>
      <c r="BG546" t="s">
        <v>87</v>
      </c>
      <c r="BH546" t="s">
        <v>66</v>
      </c>
      <c r="BI546">
        <v>0</v>
      </c>
      <c r="BJ546" t="s">
        <v>66</v>
      </c>
      <c r="BK546" t="s">
        <v>88</v>
      </c>
      <c r="BL546" t="s">
        <v>66</v>
      </c>
      <c r="BM546" t="s">
        <v>159</v>
      </c>
    </row>
    <row r="547" spans="1:65" x14ac:dyDescent="0.25">
      <c r="A547">
        <v>545</v>
      </c>
      <c r="B547" t="s">
        <v>941</v>
      </c>
      <c r="C547" t="s">
        <v>66</v>
      </c>
      <c r="D547" s="1">
        <v>46210</v>
      </c>
      <c r="E547" t="s">
        <v>942</v>
      </c>
      <c r="F547" t="s">
        <v>68</v>
      </c>
      <c r="G547" t="s">
        <v>69</v>
      </c>
      <c r="H547" t="s">
        <v>70</v>
      </c>
      <c r="I547" t="s">
        <v>71</v>
      </c>
      <c r="J547" t="s">
        <v>72</v>
      </c>
      <c r="K547" t="s">
        <v>73</v>
      </c>
      <c r="L547" t="s">
        <v>74</v>
      </c>
      <c r="M547" t="s">
        <v>571</v>
      </c>
      <c r="N547" t="s">
        <v>76</v>
      </c>
      <c r="O547" t="s">
        <v>572</v>
      </c>
      <c r="P547" t="s">
        <v>573</v>
      </c>
      <c r="Q547" t="s">
        <v>943</v>
      </c>
      <c r="R547" s="1">
        <v>46212</v>
      </c>
      <c r="S547" t="s">
        <v>575</v>
      </c>
      <c r="T547" t="s">
        <v>576</v>
      </c>
      <c r="U547" t="s">
        <v>577</v>
      </c>
      <c r="V547" t="s">
        <v>66</v>
      </c>
      <c r="W547" t="s">
        <v>66</v>
      </c>
      <c r="X547">
        <v>7836436</v>
      </c>
      <c r="Y547">
        <v>862007.96</v>
      </c>
      <c r="Z547">
        <v>903264</v>
      </c>
      <c r="AA547">
        <v>99359.039999999994</v>
      </c>
      <c r="AB547">
        <v>8698443.9600000009</v>
      </c>
      <c r="AC547">
        <v>4</v>
      </c>
      <c r="AD547" t="s">
        <v>134</v>
      </c>
      <c r="AE547">
        <v>48</v>
      </c>
      <c r="AF547" t="s">
        <v>287</v>
      </c>
      <c r="AG547">
        <f>IFERROR(VLOOKUP(AF547,[1]STOK!J:O,6,0),"")</f>
        <v>12</v>
      </c>
      <c r="AH547" s="2">
        <f t="shared" si="16"/>
        <v>4</v>
      </c>
      <c r="AI547" t="s">
        <v>287</v>
      </c>
      <c r="AJ547" t="s">
        <v>288</v>
      </c>
      <c r="AK547" t="s">
        <v>289</v>
      </c>
      <c r="AL547" t="s">
        <v>86</v>
      </c>
      <c r="AM547">
        <v>258408</v>
      </c>
      <c r="AN547">
        <f t="shared" si="17"/>
        <v>250655.76</v>
      </c>
      <c r="AO547" t="s">
        <v>66</v>
      </c>
      <c r="AP547">
        <v>3</v>
      </c>
      <c r="AQ547" t="s">
        <v>66</v>
      </c>
      <c r="AR547">
        <v>0</v>
      </c>
      <c r="AS547" t="s">
        <v>66</v>
      </c>
      <c r="AT547">
        <v>0</v>
      </c>
      <c r="AU547" t="s">
        <v>66</v>
      </c>
      <c r="AV547">
        <v>0</v>
      </c>
      <c r="AW547" t="s">
        <v>66</v>
      </c>
      <c r="AX547">
        <v>0</v>
      </c>
      <c r="AY547" t="s">
        <v>66</v>
      </c>
      <c r="AZ547">
        <v>0</v>
      </c>
      <c r="BA547" t="s">
        <v>66</v>
      </c>
      <c r="BB547">
        <v>0</v>
      </c>
      <c r="BC547">
        <v>0</v>
      </c>
      <c r="BD547">
        <v>1002623.04</v>
      </c>
      <c r="BE547">
        <v>17422.02</v>
      </c>
      <c r="BF547">
        <v>0</v>
      </c>
      <c r="BG547" t="s">
        <v>87</v>
      </c>
      <c r="BH547" t="s">
        <v>66</v>
      </c>
      <c r="BI547">
        <v>0</v>
      </c>
      <c r="BJ547" t="s">
        <v>66</v>
      </c>
      <c r="BK547" t="s">
        <v>88</v>
      </c>
      <c r="BL547" t="s">
        <v>66</v>
      </c>
      <c r="BM547" t="s">
        <v>159</v>
      </c>
    </row>
    <row r="548" spans="1:65" x14ac:dyDescent="0.25">
      <c r="A548">
        <v>546</v>
      </c>
      <c r="B548" t="s">
        <v>941</v>
      </c>
      <c r="C548" t="s">
        <v>66</v>
      </c>
      <c r="D548" s="1">
        <v>46210</v>
      </c>
      <c r="E548" t="s">
        <v>942</v>
      </c>
      <c r="F548" t="s">
        <v>68</v>
      </c>
      <c r="G548" t="s">
        <v>69</v>
      </c>
      <c r="H548" t="s">
        <v>70</v>
      </c>
      <c r="I548" t="s">
        <v>71</v>
      </c>
      <c r="J548" t="s">
        <v>72</v>
      </c>
      <c r="K548" t="s">
        <v>73</v>
      </c>
      <c r="L548" t="s">
        <v>74</v>
      </c>
      <c r="M548" t="s">
        <v>571</v>
      </c>
      <c r="N548" t="s">
        <v>76</v>
      </c>
      <c r="O548" t="s">
        <v>572</v>
      </c>
      <c r="P548" t="s">
        <v>573</v>
      </c>
      <c r="Q548" t="s">
        <v>943</v>
      </c>
      <c r="R548" s="1">
        <v>46212</v>
      </c>
      <c r="S548" t="s">
        <v>575</v>
      </c>
      <c r="T548" t="s">
        <v>576</v>
      </c>
      <c r="U548" t="s">
        <v>577</v>
      </c>
      <c r="V548" t="s">
        <v>66</v>
      </c>
      <c r="W548" t="s">
        <v>66</v>
      </c>
      <c r="X548">
        <v>7836436</v>
      </c>
      <c r="Y548">
        <v>862007.96</v>
      </c>
      <c r="Z548">
        <v>805488</v>
      </c>
      <c r="AA548">
        <v>88603.68</v>
      </c>
      <c r="AB548">
        <v>8698443.9600000009</v>
      </c>
      <c r="AC548">
        <v>4</v>
      </c>
      <c r="AD548" t="s">
        <v>134</v>
      </c>
      <c r="AE548">
        <v>48</v>
      </c>
      <c r="AF548" t="s">
        <v>359</v>
      </c>
      <c r="AG548">
        <f>IFERROR(VLOOKUP(AF548,[1]STOK!J:O,6,0),"")</f>
        <v>12</v>
      </c>
      <c r="AH548" s="2">
        <f t="shared" si="16"/>
        <v>4</v>
      </c>
      <c r="AI548" t="s">
        <v>359</v>
      </c>
      <c r="AJ548" t="s">
        <v>360</v>
      </c>
      <c r="AK548" t="s">
        <v>361</v>
      </c>
      <c r="AL548" t="s">
        <v>86</v>
      </c>
      <c r="AM548">
        <v>230436</v>
      </c>
      <c r="AN548">
        <f t="shared" si="17"/>
        <v>223522.92</v>
      </c>
      <c r="AO548" t="s">
        <v>66</v>
      </c>
      <c r="AP548">
        <v>3</v>
      </c>
      <c r="AQ548" t="s">
        <v>66</v>
      </c>
      <c r="AR548">
        <v>0</v>
      </c>
      <c r="AS548" t="s">
        <v>66</v>
      </c>
      <c r="AT548">
        <v>0</v>
      </c>
      <c r="AU548" t="s">
        <v>66</v>
      </c>
      <c r="AV548">
        <v>0</v>
      </c>
      <c r="AW548" t="s">
        <v>66</v>
      </c>
      <c r="AX548">
        <v>0</v>
      </c>
      <c r="AY548" t="s">
        <v>66</v>
      </c>
      <c r="AZ548">
        <v>0</v>
      </c>
      <c r="BA548" t="s">
        <v>66</v>
      </c>
      <c r="BB548">
        <v>0</v>
      </c>
      <c r="BC548">
        <v>0</v>
      </c>
      <c r="BD548">
        <v>894091.68</v>
      </c>
      <c r="BE548">
        <v>15607.61</v>
      </c>
      <c r="BF548">
        <v>0</v>
      </c>
      <c r="BG548" t="s">
        <v>87</v>
      </c>
      <c r="BH548" t="s">
        <v>66</v>
      </c>
      <c r="BI548">
        <v>0</v>
      </c>
      <c r="BJ548" t="s">
        <v>66</v>
      </c>
      <c r="BK548" t="s">
        <v>88</v>
      </c>
      <c r="BL548" t="s">
        <v>66</v>
      </c>
      <c r="BM548" t="s">
        <v>159</v>
      </c>
    </row>
    <row r="549" spans="1:65" x14ac:dyDescent="0.25">
      <c r="A549">
        <v>547</v>
      </c>
      <c r="B549" t="s">
        <v>941</v>
      </c>
      <c r="C549" t="s">
        <v>66</v>
      </c>
      <c r="D549" s="1">
        <v>46210</v>
      </c>
      <c r="E549" t="s">
        <v>942</v>
      </c>
      <c r="F549" t="s">
        <v>68</v>
      </c>
      <c r="G549" t="s">
        <v>69</v>
      </c>
      <c r="H549" t="s">
        <v>70</v>
      </c>
      <c r="I549" t="s">
        <v>71</v>
      </c>
      <c r="J549" t="s">
        <v>72</v>
      </c>
      <c r="K549" t="s">
        <v>73</v>
      </c>
      <c r="L549" t="s">
        <v>74</v>
      </c>
      <c r="M549" t="s">
        <v>571</v>
      </c>
      <c r="N549" t="s">
        <v>76</v>
      </c>
      <c r="O549" t="s">
        <v>572</v>
      </c>
      <c r="P549" t="s">
        <v>573</v>
      </c>
      <c r="Q549" t="s">
        <v>943</v>
      </c>
      <c r="R549" s="1">
        <v>46212</v>
      </c>
      <c r="S549" t="s">
        <v>575</v>
      </c>
      <c r="T549" t="s">
        <v>576</v>
      </c>
      <c r="U549" t="s">
        <v>577</v>
      </c>
      <c r="V549" t="s">
        <v>66</v>
      </c>
      <c r="W549" t="s">
        <v>66</v>
      </c>
      <c r="X549">
        <v>7836436</v>
      </c>
      <c r="Y549">
        <v>862007.96</v>
      </c>
      <c r="Z549">
        <v>2211600</v>
      </c>
      <c r="AA549">
        <v>243276</v>
      </c>
      <c r="AB549">
        <v>8698443.9600000009</v>
      </c>
      <c r="AC549">
        <v>10</v>
      </c>
      <c r="AD549" t="s">
        <v>134</v>
      </c>
      <c r="AE549">
        <v>120</v>
      </c>
      <c r="AF549" t="s">
        <v>290</v>
      </c>
      <c r="AG549">
        <f>IFERROR(VLOOKUP(AF549,[1]STOK!J:O,6,0),"")</f>
        <v>12</v>
      </c>
      <c r="AH549" s="2">
        <f t="shared" si="16"/>
        <v>10</v>
      </c>
      <c r="AI549" t="s">
        <v>290</v>
      </c>
      <c r="AJ549" t="s">
        <v>291</v>
      </c>
      <c r="AK549" t="s">
        <v>292</v>
      </c>
      <c r="AL549" t="s">
        <v>86</v>
      </c>
      <c r="AM549">
        <v>266400</v>
      </c>
      <c r="AN549">
        <f t="shared" si="17"/>
        <v>245487.6</v>
      </c>
      <c r="AO549" t="s">
        <v>66</v>
      </c>
      <c r="AP549">
        <v>3</v>
      </c>
      <c r="AQ549" t="s">
        <v>66</v>
      </c>
      <c r="AR549">
        <v>0</v>
      </c>
      <c r="AS549" t="s">
        <v>66</v>
      </c>
      <c r="AT549">
        <v>0</v>
      </c>
      <c r="AU549" t="s">
        <v>66</v>
      </c>
      <c r="AV549">
        <v>5</v>
      </c>
      <c r="AW549" t="s">
        <v>66</v>
      </c>
      <c r="AX549">
        <v>0</v>
      </c>
      <c r="AY549" t="s">
        <v>66</v>
      </c>
      <c r="AZ549">
        <v>0</v>
      </c>
      <c r="BA549" t="s">
        <v>66</v>
      </c>
      <c r="BB549">
        <v>0</v>
      </c>
      <c r="BC549">
        <v>0</v>
      </c>
      <c r="BD549">
        <v>2454876</v>
      </c>
      <c r="BE549">
        <v>18106.89</v>
      </c>
      <c r="BF549">
        <v>0</v>
      </c>
      <c r="BG549" t="s">
        <v>87</v>
      </c>
      <c r="BH549" t="s">
        <v>66</v>
      </c>
      <c r="BI549">
        <v>0</v>
      </c>
      <c r="BJ549" t="s">
        <v>66</v>
      </c>
      <c r="BK549" t="s">
        <v>88</v>
      </c>
      <c r="BL549" t="s">
        <v>66</v>
      </c>
      <c r="BM549" t="s">
        <v>159</v>
      </c>
    </row>
    <row r="550" spans="1:65" x14ac:dyDescent="0.25">
      <c r="A550">
        <v>548</v>
      </c>
      <c r="B550" t="s">
        <v>941</v>
      </c>
      <c r="C550" t="s">
        <v>66</v>
      </c>
      <c r="D550" s="1">
        <v>46210</v>
      </c>
      <c r="E550" t="s">
        <v>942</v>
      </c>
      <c r="F550" t="s">
        <v>68</v>
      </c>
      <c r="G550" t="s">
        <v>69</v>
      </c>
      <c r="H550" t="s">
        <v>70</v>
      </c>
      <c r="I550" t="s">
        <v>71</v>
      </c>
      <c r="J550" t="s">
        <v>72</v>
      </c>
      <c r="K550" t="s">
        <v>73</v>
      </c>
      <c r="L550" t="s">
        <v>74</v>
      </c>
      <c r="M550" t="s">
        <v>571</v>
      </c>
      <c r="N550" t="s">
        <v>76</v>
      </c>
      <c r="O550" t="s">
        <v>572</v>
      </c>
      <c r="P550" t="s">
        <v>573</v>
      </c>
      <c r="Q550" t="s">
        <v>943</v>
      </c>
      <c r="R550" s="1">
        <v>46212</v>
      </c>
      <c r="S550" t="s">
        <v>575</v>
      </c>
      <c r="T550" t="s">
        <v>576</v>
      </c>
      <c r="U550" t="s">
        <v>577</v>
      </c>
      <c r="V550" t="s">
        <v>66</v>
      </c>
      <c r="W550" t="s">
        <v>66</v>
      </c>
      <c r="X550">
        <v>7836436</v>
      </c>
      <c r="Y550">
        <v>862007.96</v>
      </c>
      <c r="Z550">
        <v>891624</v>
      </c>
      <c r="AA550">
        <v>98078.64</v>
      </c>
      <c r="AB550">
        <v>8698443.9600000009</v>
      </c>
      <c r="AC550">
        <v>4</v>
      </c>
      <c r="AD550" t="s">
        <v>134</v>
      </c>
      <c r="AE550">
        <v>24</v>
      </c>
      <c r="AF550" t="s">
        <v>138</v>
      </c>
      <c r="AG550">
        <f>IFERROR(VLOOKUP(AF550,[1]STOK!J:O,6,0),"")</f>
        <v>6</v>
      </c>
      <c r="AH550" s="2">
        <f t="shared" si="16"/>
        <v>4</v>
      </c>
      <c r="AI550" t="s">
        <v>138</v>
      </c>
      <c r="AJ550" t="s">
        <v>139</v>
      </c>
      <c r="AK550" t="s">
        <v>140</v>
      </c>
      <c r="AL550" t="s">
        <v>86</v>
      </c>
      <c r="AM550">
        <v>255078</v>
      </c>
      <c r="AN550">
        <f t="shared" si="17"/>
        <v>247425.66</v>
      </c>
      <c r="AO550" t="s">
        <v>66</v>
      </c>
      <c r="AP550">
        <v>3</v>
      </c>
      <c r="AQ550" t="s">
        <v>66</v>
      </c>
      <c r="AR550">
        <v>0</v>
      </c>
      <c r="AS550" t="s">
        <v>66</v>
      </c>
      <c r="AT550">
        <v>0</v>
      </c>
      <c r="AU550" t="s">
        <v>66</v>
      </c>
      <c r="AV550">
        <v>0</v>
      </c>
      <c r="AW550" t="s">
        <v>66</v>
      </c>
      <c r="AX550">
        <v>0</v>
      </c>
      <c r="AY550" t="s">
        <v>66</v>
      </c>
      <c r="AZ550">
        <v>0</v>
      </c>
      <c r="BA550" t="s">
        <v>66</v>
      </c>
      <c r="BB550">
        <v>0</v>
      </c>
      <c r="BC550">
        <v>0</v>
      </c>
      <c r="BD550">
        <v>989702.64</v>
      </c>
      <c r="BE550">
        <v>34660.32</v>
      </c>
      <c r="BF550">
        <v>0</v>
      </c>
      <c r="BG550" t="s">
        <v>87</v>
      </c>
      <c r="BH550" t="s">
        <v>66</v>
      </c>
      <c r="BI550">
        <v>0</v>
      </c>
      <c r="BJ550" t="s">
        <v>66</v>
      </c>
      <c r="BK550" t="s">
        <v>88</v>
      </c>
      <c r="BL550" t="s">
        <v>66</v>
      </c>
      <c r="BM550" t="s">
        <v>159</v>
      </c>
    </row>
    <row r="551" spans="1:65" x14ac:dyDescent="0.25">
      <c r="A551">
        <v>549</v>
      </c>
      <c r="B551" t="s">
        <v>941</v>
      </c>
      <c r="C551" t="s">
        <v>66</v>
      </c>
      <c r="D551" s="1">
        <v>46210</v>
      </c>
      <c r="E551" t="s">
        <v>942</v>
      </c>
      <c r="F551" t="s">
        <v>68</v>
      </c>
      <c r="G551" t="s">
        <v>69</v>
      </c>
      <c r="H551" t="s">
        <v>70</v>
      </c>
      <c r="I551" t="s">
        <v>71</v>
      </c>
      <c r="J551" t="s">
        <v>72</v>
      </c>
      <c r="K551" t="s">
        <v>73</v>
      </c>
      <c r="L551" t="s">
        <v>74</v>
      </c>
      <c r="M551" t="s">
        <v>571</v>
      </c>
      <c r="N551" t="s">
        <v>76</v>
      </c>
      <c r="O551" t="s">
        <v>572</v>
      </c>
      <c r="P551" t="s">
        <v>573</v>
      </c>
      <c r="Q551" t="s">
        <v>943</v>
      </c>
      <c r="R551" s="1">
        <v>46212</v>
      </c>
      <c r="S551" t="s">
        <v>575</v>
      </c>
      <c r="T551" t="s">
        <v>576</v>
      </c>
      <c r="U551" t="s">
        <v>577</v>
      </c>
      <c r="V551" t="s">
        <v>66</v>
      </c>
      <c r="W551" t="s">
        <v>66</v>
      </c>
      <c r="X551">
        <v>7836436</v>
      </c>
      <c r="Y551">
        <v>862007.96</v>
      </c>
      <c r="Z551">
        <v>1309500</v>
      </c>
      <c r="AA551">
        <v>144045</v>
      </c>
      <c r="AB551">
        <v>8698443.9600000009</v>
      </c>
      <c r="AC551">
        <v>5</v>
      </c>
      <c r="AD551" t="s">
        <v>134</v>
      </c>
      <c r="AE551">
        <v>20</v>
      </c>
      <c r="AF551" t="s">
        <v>312</v>
      </c>
      <c r="AG551">
        <f>IFERROR(VLOOKUP(AF551,[1]STOK!J:O,6,0),"")</f>
        <v>4</v>
      </c>
      <c r="AH551" s="2">
        <f t="shared" si="16"/>
        <v>5</v>
      </c>
      <c r="AI551" t="s">
        <v>312</v>
      </c>
      <c r="AJ551" t="s">
        <v>313</v>
      </c>
      <c r="AK551" t="s">
        <v>314</v>
      </c>
      <c r="AL551" t="s">
        <v>86</v>
      </c>
      <c r="AM551">
        <v>299700</v>
      </c>
      <c r="AN551">
        <f t="shared" si="17"/>
        <v>290709</v>
      </c>
      <c r="AO551" t="s">
        <v>66</v>
      </c>
      <c r="AP551">
        <v>3</v>
      </c>
      <c r="AQ551" t="s">
        <v>66</v>
      </c>
      <c r="AR551">
        <v>0</v>
      </c>
      <c r="AS551" t="s">
        <v>66</v>
      </c>
      <c r="AT551">
        <v>0</v>
      </c>
      <c r="AU551" t="s">
        <v>66</v>
      </c>
      <c r="AV551">
        <v>0</v>
      </c>
      <c r="AW551" t="s">
        <v>66</v>
      </c>
      <c r="AX551">
        <v>0</v>
      </c>
      <c r="AY551" t="s">
        <v>66</v>
      </c>
      <c r="AZ551">
        <v>0</v>
      </c>
      <c r="BA551" t="s">
        <v>66</v>
      </c>
      <c r="BB551">
        <v>0</v>
      </c>
      <c r="BC551">
        <v>0</v>
      </c>
      <c r="BD551">
        <v>1453545</v>
      </c>
      <c r="BE551">
        <v>60292.27</v>
      </c>
      <c r="BF551">
        <v>0</v>
      </c>
      <c r="BG551" t="s">
        <v>87</v>
      </c>
      <c r="BH551" t="s">
        <v>66</v>
      </c>
      <c r="BI551">
        <v>0</v>
      </c>
      <c r="BJ551" t="s">
        <v>66</v>
      </c>
      <c r="BK551" t="s">
        <v>88</v>
      </c>
      <c r="BL551" t="s">
        <v>66</v>
      </c>
      <c r="BM551" t="s">
        <v>159</v>
      </c>
    </row>
    <row r="552" spans="1:65" x14ac:dyDescent="0.25">
      <c r="A552">
        <v>550</v>
      </c>
      <c r="B552" t="s">
        <v>953</v>
      </c>
      <c r="C552" t="s">
        <v>66</v>
      </c>
      <c r="D552" s="1">
        <v>46210</v>
      </c>
      <c r="E552" t="s">
        <v>954</v>
      </c>
      <c r="F552" t="s">
        <v>68</v>
      </c>
      <c r="G552" t="s">
        <v>69</v>
      </c>
      <c r="H552" t="s">
        <v>70</v>
      </c>
      <c r="I552" t="s">
        <v>71</v>
      </c>
      <c r="J552" t="s">
        <v>72</v>
      </c>
      <c r="K552" t="s">
        <v>73</v>
      </c>
      <c r="L552" t="s">
        <v>74</v>
      </c>
      <c r="M552" t="s">
        <v>556</v>
      </c>
      <c r="N552" t="s">
        <v>111</v>
      </c>
      <c r="O552" t="s">
        <v>557</v>
      </c>
      <c r="P552" t="s">
        <v>558</v>
      </c>
      <c r="Q552" t="s">
        <v>955</v>
      </c>
      <c r="R552" s="1">
        <v>46211</v>
      </c>
      <c r="S552" t="s">
        <v>560</v>
      </c>
      <c r="T552" t="s">
        <v>561</v>
      </c>
      <c r="U552" t="s">
        <v>562</v>
      </c>
      <c r="V552" t="s">
        <v>66</v>
      </c>
      <c r="W552" t="s">
        <v>66</v>
      </c>
      <c r="X552">
        <v>205524</v>
      </c>
      <c r="Y552">
        <v>22607.64</v>
      </c>
      <c r="Z552">
        <v>117612</v>
      </c>
      <c r="AA552">
        <v>12937.32</v>
      </c>
      <c r="AB552">
        <v>228131.64</v>
      </c>
      <c r="AC552">
        <v>6</v>
      </c>
      <c r="AD552" t="s">
        <v>82</v>
      </c>
      <c r="AE552">
        <v>6</v>
      </c>
      <c r="AF552" t="s">
        <v>743</v>
      </c>
      <c r="AG552">
        <f>IFERROR(VLOOKUP(AF552,[1]STOK!J:O,6,0),"")</f>
        <v>12</v>
      </c>
      <c r="AH552" s="2">
        <f t="shared" si="16"/>
        <v>0.5</v>
      </c>
      <c r="AI552" t="s">
        <v>743</v>
      </c>
      <c r="AJ552" t="s">
        <v>744</v>
      </c>
      <c r="AK552" t="s">
        <v>745</v>
      </c>
      <c r="AL552" t="s">
        <v>86</v>
      </c>
      <c r="AM552">
        <v>21978</v>
      </c>
      <c r="AN552">
        <f t="shared" si="17"/>
        <v>21758.22</v>
      </c>
      <c r="AO552" t="s">
        <v>66</v>
      </c>
      <c r="AP552">
        <v>1</v>
      </c>
      <c r="AQ552" t="s">
        <v>66</v>
      </c>
      <c r="AR552">
        <v>0</v>
      </c>
      <c r="AS552" t="s">
        <v>66</v>
      </c>
      <c r="AT552">
        <v>0</v>
      </c>
      <c r="AU552" t="s">
        <v>66</v>
      </c>
      <c r="AV552">
        <v>0</v>
      </c>
      <c r="AW552" t="s">
        <v>66</v>
      </c>
      <c r="AX552">
        <v>0</v>
      </c>
      <c r="AY552" t="s">
        <v>66</v>
      </c>
      <c r="AZ552">
        <v>0</v>
      </c>
      <c r="BA552" t="s">
        <v>66</v>
      </c>
      <c r="BB552">
        <v>0</v>
      </c>
      <c r="BC552">
        <v>0</v>
      </c>
      <c r="BD552">
        <v>130549.32</v>
      </c>
      <c r="BE552">
        <v>17682.32</v>
      </c>
      <c r="BF552">
        <v>0</v>
      </c>
      <c r="BG552" t="s">
        <v>87</v>
      </c>
      <c r="BH552" t="s">
        <v>66</v>
      </c>
      <c r="BI552">
        <v>0</v>
      </c>
      <c r="BJ552" t="s">
        <v>66</v>
      </c>
      <c r="BK552" t="s">
        <v>88</v>
      </c>
      <c r="BL552" t="s">
        <v>66</v>
      </c>
      <c r="BM552" t="s">
        <v>159</v>
      </c>
    </row>
    <row r="553" spans="1:65" x14ac:dyDescent="0.25">
      <c r="A553">
        <v>551</v>
      </c>
      <c r="B553" t="s">
        <v>953</v>
      </c>
      <c r="C553" t="s">
        <v>66</v>
      </c>
      <c r="D553" s="1">
        <v>46210</v>
      </c>
      <c r="E553" t="s">
        <v>954</v>
      </c>
      <c r="F553" t="s">
        <v>68</v>
      </c>
      <c r="G553" t="s">
        <v>69</v>
      </c>
      <c r="H553" t="s">
        <v>70</v>
      </c>
      <c r="I553" t="s">
        <v>71</v>
      </c>
      <c r="J553" t="s">
        <v>72</v>
      </c>
      <c r="K553" t="s">
        <v>73</v>
      </c>
      <c r="L553" t="s">
        <v>74</v>
      </c>
      <c r="M553" t="s">
        <v>556</v>
      </c>
      <c r="N553" t="s">
        <v>111</v>
      </c>
      <c r="O553" t="s">
        <v>557</v>
      </c>
      <c r="P553" t="s">
        <v>558</v>
      </c>
      <c r="Q553" t="s">
        <v>955</v>
      </c>
      <c r="R553" s="1">
        <v>46211</v>
      </c>
      <c r="S553" t="s">
        <v>560</v>
      </c>
      <c r="T553" t="s">
        <v>561</v>
      </c>
      <c r="U553" t="s">
        <v>562</v>
      </c>
      <c r="V553" t="s">
        <v>66</v>
      </c>
      <c r="W553" t="s">
        <v>66</v>
      </c>
      <c r="X553">
        <v>205524</v>
      </c>
      <c r="Y553">
        <v>22607.64</v>
      </c>
      <c r="Z553">
        <v>87912</v>
      </c>
      <c r="AA553">
        <v>9670.32</v>
      </c>
      <c r="AB553">
        <v>228131.64</v>
      </c>
      <c r="AC553">
        <v>6</v>
      </c>
      <c r="AD553" t="s">
        <v>82</v>
      </c>
      <c r="AE553">
        <v>6</v>
      </c>
      <c r="AF553" t="s">
        <v>119</v>
      </c>
      <c r="AG553">
        <f>IFERROR(VLOOKUP(AF553,[1]STOK!J:O,6,0),"")</f>
        <v>12</v>
      </c>
      <c r="AH553" s="2">
        <f t="shared" si="16"/>
        <v>0.5</v>
      </c>
      <c r="AI553" t="s">
        <v>119</v>
      </c>
      <c r="AJ553" t="s">
        <v>120</v>
      </c>
      <c r="AK553" t="s">
        <v>121</v>
      </c>
      <c r="AL553" t="s">
        <v>86</v>
      </c>
      <c r="AM553">
        <v>16428</v>
      </c>
      <c r="AN553">
        <f t="shared" si="17"/>
        <v>16263.720000000001</v>
      </c>
      <c r="AO553" t="s">
        <v>66</v>
      </c>
      <c r="AP553">
        <v>1</v>
      </c>
      <c r="AQ553" t="s">
        <v>66</v>
      </c>
      <c r="AR553">
        <v>0</v>
      </c>
      <c r="AS553" t="s">
        <v>66</v>
      </c>
      <c r="AT553">
        <v>0</v>
      </c>
      <c r="AU553" t="s">
        <v>66</v>
      </c>
      <c r="AV553">
        <v>0</v>
      </c>
      <c r="AW553" t="s">
        <v>66</v>
      </c>
      <c r="AX553">
        <v>0</v>
      </c>
      <c r="AY553" t="s">
        <v>66</v>
      </c>
      <c r="AZ553">
        <v>0</v>
      </c>
      <c r="BA553" t="s">
        <v>66</v>
      </c>
      <c r="BB553">
        <v>0</v>
      </c>
      <c r="BC553">
        <v>0</v>
      </c>
      <c r="BD553">
        <v>97582.32</v>
      </c>
      <c r="BE553">
        <v>13306.83</v>
      </c>
      <c r="BF553">
        <v>0</v>
      </c>
      <c r="BG553" t="s">
        <v>87</v>
      </c>
      <c r="BH553" t="s">
        <v>66</v>
      </c>
      <c r="BI553">
        <v>0</v>
      </c>
      <c r="BJ553" t="s">
        <v>66</v>
      </c>
      <c r="BK553" t="s">
        <v>88</v>
      </c>
      <c r="BL553" t="s">
        <v>66</v>
      </c>
      <c r="BM553" t="s">
        <v>159</v>
      </c>
    </row>
    <row r="554" spans="1:65" x14ac:dyDescent="0.25">
      <c r="A554">
        <v>552</v>
      </c>
      <c r="B554" t="s">
        <v>956</v>
      </c>
      <c r="C554" t="s">
        <v>68</v>
      </c>
      <c r="D554" s="1">
        <v>46210</v>
      </c>
      <c r="E554" t="s">
        <v>957</v>
      </c>
      <c r="F554" t="s">
        <v>68</v>
      </c>
      <c r="G554" t="s">
        <v>69</v>
      </c>
      <c r="H554" t="s">
        <v>70</v>
      </c>
      <c r="I554" t="s">
        <v>71</v>
      </c>
      <c r="J554" t="s">
        <v>72</v>
      </c>
      <c r="K554" t="s">
        <v>73</v>
      </c>
      <c r="L554" t="s">
        <v>74</v>
      </c>
      <c r="M554" t="s">
        <v>958</v>
      </c>
      <c r="N554" t="s">
        <v>76</v>
      </c>
      <c r="O554" t="s">
        <v>959</v>
      </c>
      <c r="P554" t="s">
        <v>960</v>
      </c>
      <c r="Q554" t="s">
        <v>961</v>
      </c>
      <c r="R554" s="1">
        <v>46212</v>
      </c>
      <c r="S554" t="s">
        <v>962</v>
      </c>
      <c r="T554" t="s">
        <v>963</v>
      </c>
      <c r="U554" t="s">
        <v>964</v>
      </c>
      <c r="V554" t="s">
        <v>66</v>
      </c>
      <c r="W554" t="s">
        <v>66</v>
      </c>
      <c r="X554">
        <v>3319728</v>
      </c>
      <c r="Y554">
        <v>365170.08</v>
      </c>
      <c r="Z554">
        <v>192060</v>
      </c>
      <c r="AA554">
        <v>21126.6</v>
      </c>
      <c r="AB554">
        <v>3684898.08</v>
      </c>
      <c r="AC554">
        <v>12</v>
      </c>
      <c r="AD554" t="s">
        <v>82</v>
      </c>
      <c r="AE554">
        <v>12</v>
      </c>
      <c r="AF554" t="s">
        <v>99</v>
      </c>
      <c r="AG554">
        <f>IFERROR(VLOOKUP(AF554,[1]STOK!J:O,6,0),"")</f>
        <v>24</v>
      </c>
      <c r="AH554" s="2">
        <f t="shared" si="16"/>
        <v>0.5</v>
      </c>
      <c r="AI554" t="s">
        <v>99</v>
      </c>
      <c r="AJ554" t="s">
        <v>100</v>
      </c>
      <c r="AK554" t="s">
        <v>101</v>
      </c>
      <c r="AL554" t="s">
        <v>86</v>
      </c>
      <c r="AM554">
        <v>18315</v>
      </c>
      <c r="AN554">
        <f t="shared" si="17"/>
        <v>17765.55</v>
      </c>
      <c r="AO554" t="s">
        <v>66</v>
      </c>
      <c r="AP554">
        <v>3</v>
      </c>
      <c r="AQ554" t="s">
        <v>66</v>
      </c>
      <c r="AR554">
        <v>0</v>
      </c>
      <c r="AS554" t="s">
        <v>66</v>
      </c>
      <c r="AT554">
        <v>0</v>
      </c>
      <c r="AU554" t="s">
        <v>66</v>
      </c>
      <c r="AV554">
        <v>0</v>
      </c>
      <c r="AW554" t="s">
        <v>66</v>
      </c>
      <c r="AX554">
        <v>0</v>
      </c>
      <c r="AY554" t="s">
        <v>66</v>
      </c>
      <c r="AZ554">
        <v>0</v>
      </c>
      <c r="BA554" t="s">
        <v>66</v>
      </c>
      <c r="BB554">
        <v>0</v>
      </c>
      <c r="BC554">
        <v>0</v>
      </c>
      <c r="BD554">
        <v>213186.6</v>
      </c>
      <c r="BE554">
        <v>14915.33</v>
      </c>
      <c r="BF554">
        <v>0</v>
      </c>
      <c r="BG554" t="s">
        <v>87</v>
      </c>
      <c r="BH554" t="s">
        <v>66</v>
      </c>
      <c r="BI554">
        <v>0</v>
      </c>
      <c r="BJ554" t="s">
        <v>66</v>
      </c>
      <c r="BK554" t="s">
        <v>88</v>
      </c>
      <c r="BL554" t="s">
        <v>965</v>
      </c>
      <c r="BM554" t="s">
        <v>159</v>
      </c>
    </row>
    <row r="555" spans="1:65" x14ac:dyDescent="0.25">
      <c r="A555">
        <v>553</v>
      </c>
      <c r="B555" t="s">
        <v>956</v>
      </c>
      <c r="C555" t="s">
        <v>68</v>
      </c>
      <c r="D555" s="1">
        <v>46210</v>
      </c>
      <c r="E555" t="s">
        <v>957</v>
      </c>
      <c r="F555" t="s">
        <v>68</v>
      </c>
      <c r="G555" t="s">
        <v>69</v>
      </c>
      <c r="H555" t="s">
        <v>70</v>
      </c>
      <c r="I555" t="s">
        <v>71</v>
      </c>
      <c r="J555" t="s">
        <v>72</v>
      </c>
      <c r="K555" t="s">
        <v>73</v>
      </c>
      <c r="L555" t="s">
        <v>74</v>
      </c>
      <c r="M555" t="s">
        <v>958</v>
      </c>
      <c r="N555" t="s">
        <v>76</v>
      </c>
      <c r="O555" t="s">
        <v>959</v>
      </c>
      <c r="P555" t="s">
        <v>960</v>
      </c>
      <c r="Q555" t="s">
        <v>961</v>
      </c>
      <c r="R555" s="1">
        <v>46212</v>
      </c>
      <c r="S555" t="s">
        <v>962</v>
      </c>
      <c r="T555" t="s">
        <v>963</v>
      </c>
      <c r="U555" t="s">
        <v>964</v>
      </c>
      <c r="V555" t="s">
        <v>66</v>
      </c>
      <c r="W555" t="s">
        <v>66</v>
      </c>
      <c r="X555">
        <v>3319728</v>
      </c>
      <c r="Y555">
        <v>365170.08</v>
      </c>
      <c r="Z555">
        <v>393432</v>
      </c>
      <c r="AA555">
        <v>43277.52</v>
      </c>
      <c r="AB555">
        <v>3684898.08</v>
      </c>
      <c r="AC555">
        <v>12</v>
      </c>
      <c r="AD555" t="s">
        <v>82</v>
      </c>
      <c r="AE555">
        <v>12</v>
      </c>
      <c r="AF555" t="s">
        <v>771</v>
      </c>
      <c r="AG555">
        <f>IFERROR(VLOOKUP(AF555,[1]STOK!J:O,6,0),"")</f>
        <v>12</v>
      </c>
      <c r="AH555" s="2">
        <f t="shared" si="16"/>
        <v>1</v>
      </c>
      <c r="AI555" t="s">
        <v>771</v>
      </c>
      <c r="AJ555" t="s">
        <v>772</v>
      </c>
      <c r="AK555" t="s">
        <v>773</v>
      </c>
      <c r="AL555" t="s">
        <v>86</v>
      </c>
      <c r="AM555">
        <v>37518</v>
      </c>
      <c r="AN555">
        <f t="shared" si="17"/>
        <v>36392.46</v>
      </c>
      <c r="AO555" t="s">
        <v>66</v>
      </c>
      <c r="AP555">
        <v>3</v>
      </c>
      <c r="AQ555" t="s">
        <v>66</v>
      </c>
      <c r="AR555">
        <v>0</v>
      </c>
      <c r="AS555" t="s">
        <v>66</v>
      </c>
      <c r="AT555">
        <v>0</v>
      </c>
      <c r="AU555" t="s">
        <v>66</v>
      </c>
      <c r="AV555">
        <v>0</v>
      </c>
      <c r="AW555" t="s">
        <v>66</v>
      </c>
      <c r="AX555">
        <v>0</v>
      </c>
      <c r="AY555" t="s">
        <v>66</v>
      </c>
      <c r="AZ555">
        <v>0</v>
      </c>
      <c r="BA555" t="s">
        <v>66</v>
      </c>
      <c r="BB555">
        <v>0</v>
      </c>
      <c r="BC555">
        <v>0</v>
      </c>
      <c r="BD555">
        <v>436709.52</v>
      </c>
      <c r="BE555">
        <v>28316.59</v>
      </c>
      <c r="BF555">
        <v>0</v>
      </c>
      <c r="BG555" t="s">
        <v>87</v>
      </c>
      <c r="BH555" t="s">
        <v>66</v>
      </c>
      <c r="BI555">
        <v>0</v>
      </c>
      <c r="BJ555" t="s">
        <v>66</v>
      </c>
      <c r="BK555" t="s">
        <v>88</v>
      </c>
      <c r="BL555" t="s">
        <v>965</v>
      </c>
      <c r="BM555" t="s">
        <v>159</v>
      </c>
    </row>
    <row r="556" spans="1:65" x14ac:dyDescent="0.25">
      <c r="A556">
        <v>554</v>
      </c>
      <c r="B556" t="s">
        <v>956</v>
      </c>
      <c r="C556" t="s">
        <v>68</v>
      </c>
      <c r="D556" s="1">
        <v>46210</v>
      </c>
      <c r="E556" t="s">
        <v>957</v>
      </c>
      <c r="F556" t="s">
        <v>68</v>
      </c>
      <c r="G556" t="s">
        <v>69</v>
      </c>
      <c r="H556" t="s">
        <v>70</v>
      </c>
      <c r="I556" t="s">
        <v>71</v>
      </c>
      <c r="J556" t="s">
        <v>72</v>
      </c>
      <c r="K556" t="s">
        <v>73</v>
      </c>
      <c r="L556" t="s">
        <v>74</v>
      </c>
      <c r="M556" t="s">
        <v>958</v>
      </c>
      <c r="N556" t="s">
        <v>76</v>
      </c>
      <c r="O556" t="s">
        <v>959</v>
      </c>
      <c r="P556" t="s">
        <v>960</v>
      </c>
      <c r="Q556" t="s">
        <v>961</v>
      </c>
      <c r="R556" s="1">
        <v>46212</v>
      </c>
      <c r="S556" t="s">
        <v>962</v>
      </c>
      <c r="T556" t="s">
        <v>963</v>
      </c>
      <c r="U556" t="s">
        <v>964</v>
      </c>
      <c r="V556" t="s">
        <v>66</v>
      </c>
      <c r="W556" t="s">
        <v>66</v>
      </c>
      <c r="X556">
        <v>3319728</v>
      </c>
      <c r="Y556">
        <v>365170.08</v>
      </c>
      <c r="Z556">
        <v>309624</v>
      </c>
      <c r="AA556">
        <v>34058.639999999999</v>
      </c>
      <c r="AB556">
        <v>3684898.08</v>
      </c>
      <c r="AC556">
        <v>24</v>
      </c>
      <c r="AD556" t="s">
        <v>82</v>
      </c>
      <c r="AE556">
        <v>24</v>
      </c>
      <c r="AF556" t="s">
        <v>135</v>
      </c>
      <c r="AG556">
        <f>IFERROR(VLOOKUP(AF556,[1]STOK!J:O,6,0),"")</f>
        <v>12</v>
      </c>
      <c r="AH556" s="2">
        <f t="shared" si="16"/>
        <v>2</v>
      </c>
      <c r="AI556" t="s">
        <v>135</v>
      </c>
      <c r="AJ556" t="s">
        <v>136</v>
      </c>
      <c r="AK556" t="s">
        <v>137</v>
      </c>
      <c r="AL556" t="s">
        <v>86</v>
      </c>
      <c r="AM556">
        <v>14763</v>
      </c>
      <c r="AN556">
        <f t="shared" si="17"/>
        <v>14320.11</v>
      </c>
      <c r="AO556" t="s">
        <v>66</v>
      </c>
      <c r="AP556">
        <v>3</v>
      </c>
      <c r="AQ556" t="s">
        <v>66</v>
      </c>
      <c r="AR556">
        <v>0</v>
      </c>
      <c r="AS556" t="s">
        <v>66</v>
      </c>
      <c r="AT556">
        <v>0</v>
      </c>
      <c r="AU556" t="s">
        <v>66</v>
      </c>
      <c r="AV556">
        <v>0</v>
      </c>
      <c r="AW556" t="s">
        <v>66</v>
      </c>
      <c r="AX556">
        <v>0</v>
      </c>
      <c r="AY556" t="s">
        <v>66</v>
      </c>
      <c r="AZ556">
        <v>0</v>
      </c>
      <c r="BA556" t="s">
        <v>66</v>
      </c>
      <c r="BB556">
        <v>0</v>
      </c>
      <c r="BC556">
        <v>0</v>
      </c>
      <c r="BD556">
        <v>343682.64</v>
      </c>
      <c r="BE556">
        <v>12026.74</v>
      </c>
      <c r="BF556">
        <v>0</v>
      </c>
      <c r="BG556" t="s">
        <v>87</v>
      </c>
      <c r="BH556" t="s">
        <v>66</v>
      </c>
      <c r="BI556">
        <v>0</v>
      </c>
      <c r="BJ556" t="s">
        <v>66</v>
      </c>
      <c r="BK556" t="s">
        <v>88</v>
      </c>
      <c r="BL556" t="s">
        <v>965</v>
      </c>
      <c r="BM556" t="s">
        <v>159</v>
      </c>
    </row>
    <row r="557" spans="1:65" x14ac:dyDescent="0.25">
      <c r="A557">
        <v>555</v>
      </c>
      <c r="B557" t="s">
        <v>956</v>
      </c>
      <c r="C557" t="s">
        <v>68</v>
      </c>
      <c r="D557" s="1">
        <v>46210</v>
      </c>
      <c r="E557" t="s">
        <v>957</v>
      </c>
      <c r="F557" t="s">
        <v>68</v>
      </c>
      <c r="G557" t="s">
        <v>69</v>
      </c>
      <c r="H557" t="s">
        <v>70</v>
      </c>
      <c r="I557" t="s">
        <v>71</v>
      </c>
      <c r="J557" t="s">
        <v>72</v>
      </c>
      <c r="K557" t="s">
        <v>73</v>
      </c>
      <c r="L557" t="s">
        <v>74</v>
      </c>
      <c r="M557" t="s">
        <v>958</v>
      </c>
      <c r="N557" t="s">
        <v>76</v>
      </c>
      <c r="O557" t="s">
        <v>959</v>
      </c>
      <c r="P557" t="s">
        <v>960</v>
      </c>
      <c r="Q557" t="s">
        <v>961</v>
      </c>
      <c r="R557" s="1">
        <v>46212</v>
      </c>
      <c r="S557" t="s">
        <v>962</v>
      </c>
      <c r="T557" t="s">
        <v>963</v>
      </c>
      <c r="U557" t="s">
        <v>964</v>
      </c>
      <c r="V557" t="s">
        <v>66</v>
      </c>
      <c r="W557" t="s">
        <v>66</v>
      </c>
      <c r="X557">
        <v>3319728</v>
      </c>
      <c r="Y557">
        <v>365170.08</v>
      </c>
      <c r="Z557">
        <v>201372</v>
      </c>
      <c r="AA557">
        <v>22150.92</v>
      </c>
      <c r="AB557">
        <v>3684898.08</v>
      </c>
      <c r="AC557">
        <v>12</v>
      </c>
      <c r="AD557" t="s">
        <v>82</v>
      </c>
      <c r="AE557">
        <v>12</v>
      </c>
      <c r="AF557" t="s">
        <v>359</v>
      </c>
      <c r="AG557">
        <f>IFERROR(VLOOKUP(AF557,[1]STOK!J:O,6,0),"")</f>
        <v>12</v>
      </c>
      <c r="AH557" s="2">
        <f t="shared" si="16"/>
        <v>1</v>
      </c>
      <c r="AI557" t="s">
        <v>359</v>
      </c>
      <c r="AJ557" t="s">
        <v>360</v>
      </c>
      <c r="AK557" t="s">
        <v>361</v>
      </c>
      <c r="AL557" t="s">
        <v>86</v>
      </c>
      <c r="AM557">
        <v>19203</v>
      </c>
      <c r="AN557">
        <f t="shared" si="17"/>
        <v>18626.91</v>
      </c>
      <c r="AO557" t="s">
        <v>66</v>
      </c>
      <c r="AP557">
        <v>3</v>
      </c>
      <c r="AQ557" t="s">
        <v>66</v>
      </c>
      <c r="AR557">
        <v>0</v>
      </c>
      <c r="AS557" t="s">
        <v>66</v>
      </c>
      <c r="AT557">
        <v>0</v>
      </c>
      <c r="AU557" t="s">
        <v>66</v>
      </c>
      <c r="AV557">
        <v>0</v>
      </c>
      <c r="AW557" t="s">
        <v>66</v>
      </c>
      <c r="AX557">
        <v>0</v>
      </c>
      <c r="AY557" t="s">
        <v>66</v>
      </c>
      <c r="AZ557">
        <v>0</v>
      </c>
      <c r="BA557" t="s">
        <v>66</v>
      </c>
      <c r="BB557">
        <v>0</v>
      </c>
      <c r="BC557">
        <v>0</v>
      </c>
      <c r="BD557">
        <v>223522.92</v>
      </c>
      <c r="BE557">
        <v>15607.61</v>
      </c>
      <c r="BF557">
        <v>0</v>
      </c>
      <c r="BG557" t="s">
        <v>87</v>
      </c>
      <c r="BH557" t="s">
        <v>66</v>
      </c>
      <c r="BI557">
        <v>0</v>
      </c>
      <c r="BJ557" t="s">
        <v>66</v>
      </c>
      <c r="BK557" t="s">
        <v>88</v>
      </c>
      <c r="BL557" t="s">
        <v>965</v>
      </c>
      <c r="BM557" t="s">
        <v>159</v>
      </c>
    </row>
    <row r="558" spans="1:65" x14ac:dyDescent="0.25">
      <c r="A558">
        <v>556</v>
      </c>
      <c r="B558" t="s">
        <v>956</v>
      </c>
      <c r="C558" t="s">
        <v>68</v>
      </c>
      <c r="D558" s="1">
        <v>46210</v>
      </c>
      <c r="E558" t="s">
        <v>957</v>
      </c>
      <c r="F558" t="s">
        <v>68</v>
      </c>
      <c r="G558" t="s">
        <v>69</v>
      </c>
      <c r="H558" t="s">
        <v>70</v>
      </c>
      <c r="I558" t="s">
        <v>71</v>
      </c>
      <c r="J558" t="s">
        <v>72</v>
      </c>
      <c r="K558" t="s">
        <v>73</v>
      </c>
      <c r="L558" t="s">
        <v>74</v>
      </c>
      <c r="M558" t="s">
        <v>958</v>
      </c>
      <c r="N558" t="s">
        <v>76</v>
      </c>
      <c r="O558" t="s">
        <v>959</v>
      </c>
      <c r="P558" t="s">
        <v>960</v>
      </c>
      <c r="Q558" t="s">
        <v>961</v>
      </c>
      <c r="R558" s="1">
        <v>46212</v>
      </c>
      <c r="S558" t="s">
        <v>962</v>
      </c>
      <c r="T558" t="s">
        <v>963</v>
      </c>
      <c r="U558" t="s">
        <v>964</v>
      </c>
      <c r="V558" t="s">
        <v>66</v>
      </c>
      <c r="W558" t="s">
        <v>66</v>
      </c>
      <c r="X558">
        <v>3319728</v>
      </c>
      <c r="Y558">
        <v>365170.08</v>
      </c>
      <c r="Z558">
        <v>931200</v>
      </c>
      <c r="AA558">
        <v>102432</v>
      </c>
      <c r="AB558">
        <v>3684898.08</v>
      </c>
      <c r="AC558">
        <v>48</v>
      </c>
      <c r="AD558" t="s">
        <v>82</v>
      </c>
      <c r="AE558">
        <v>48</v>
      </c>
      <c r="AF558" t="s">
        <v>290</v>
      </c>
      <c r="AG558">
        <f>IFERROR(VLOOKUP(AF558,[1]STOK!J:O,6,0),"")</f>
        <v>12</v>
      </c>
      <c r="AH558" s="2">
        <f t="shared" si="16"/>
        <v>4</v>
      </c>
      <c r="AI558" t="s">
        <v>290</v>
      </c>
      <c r="AJ558" t="s">
        <v>291</v>
      </c>
      <c r="AK558" t="s">
        <v>292</v>
      </c>
      <c r="AL558" t="s">
        <v>86</v>
      </c>
      <c r="AM558">
        <v>22200</v>
      </c>
      <c r="AN558">
        <f t="shared" si="17"/>
        <v>21534</v>
      </c>
      <c r="AO558" t="s">
        <v>66</v>
      </c>
      <c r="AP558">
        <v>3</v>
      </c>
      <c r="AQ558" t="s">
        <v>66</v>
      </c>
      <c r="AR558">
        <v>0</v>
      </c>
      <c r="AS558" t="s">
        <v>66</v>
      </c>
      <c r="AT558">
        <v>0</v>
      </c>
      <c r="AU558" t="s">
        <v>66</v>
      </c>
      <c r="AV558">
        <v>0</v>
      </c>
      <c r="AW558" t="s">
        <v>66</v>
      </c>
      <c r="AX558">
        <v>0</v>
      </c>
      <c r="AY558" t="s">
        <v>66</v>
      </c>
      <c r="AZ558">
        <v>0</v>
      </c>
      <c r="BA558" t="s">
        <v>66</v>
      </c>
      <c r="BB558">
        <v>0</v>
      </c>
      <c r="BC558">
        <v>0</v>
      </c>
      <c r="BD558">
        <v>1033632</v>
      </c>
      <c r="BE558">
        <v>18106.89</v>
      </c>
      <c r="BF558">
        <v>0</v>
      </c>
      <c r="BG558" t="s">
        <v>87</v>
      </c>
      <c r="BH558" t="s">
        <v>66</v>
      </c>
      <c r="BI558">
        <v>0</v>
      </c>
      <c r="BJ558" t="s">
        <v>66</v>
      </c>
      <c r="BK558" t="s">
        <v>88</v>
      </c>
      <c r="BL558" t="s">
        <v>965</v>
      </c>
      <c r="BM558" t="s">
        <v>159</v>
      </c>
    </row>
    <row r="559" spans="1:65" x14ac:dyDescent="0.25">
      <c r="A559">
        <v>557</v>
      </c>
      <c r="B559" t="s">
        <v>956</v>
      </c>
      <c r="C559" t="s">
        <v>68</v>
      </c>
      <c r="D559" s="1">
        <v>46210</v>
      </c>
      <c r="E559" t="s">
        <v>957</v>
      </c>
      <c r="F559" t="s">
        <v>68</v>
      </c>
      <c r="G559" t="s">
        <v>69</v>
      </c>
      <c r="H559" t="s">
        <v>70</v>
      </c>
      <c r="I559" t="s">
        <v>71</v>
      </c>
      <c r="J559" t="s">
        <v>72</v>
      </c>
      <c r="K559" t="s">
        <v>73</v>
      </c>
      <c r="L559" t="s">
        <v>74</v>
      </c>
      <c r="M559" t="s">
        <v>958</v>
      </c>
      <c r="N559" t="s">
        <v>76</v>
      </c>
      <c r="O559" t="s">
        <v>959</v>
      </c>
      <c r="P559" t="s">
        <v>960</v>
      </c>
      <c r="Q559" t="s">
        <v>961</v>
      </c>
      <c r="R559" s="1">
        <v>46212</v>
      </c>
      <c r="S559" t="s">
        <v>962</v>
      </c>
      <c r="T559" t="s">
        <v>963</v>
      </c>
      <c r="U559" t="s">
        <v>964</v>
      </c>
      <c r="V559" t="s">
        <v>66</v>
      </c>
      <c r="W559" t="s">
        <v>66</v>
      </c>
      <c r="X559">
        <v>3319728</v>
      </c>
      <c r="Y559">
        <v>365170.08</v>
      </c>
      <c r="Z559">
        <v>232800</v>
      </c>
      <c r="AA559">
        <v>25608</v>
      </c>
      <c r="AB559">
        <v>3684898.08</v>
      </c>
      <c r="AC559">
        <v>12</v>
      </c>
      <c r="AD559" t="s">
        <v>82</v>
      </c>
      <c r="AE559">
        <v>12</v>
      </c>
      <c r="AF559" t="s">
        <v>102</v>
      </c>
      <c r="AG559">
        <f>IFERROR(VLOOKUP(AF559,[1]STOK!J:O,6,0),"")</f>
        <v>12</v>
      </c>
      <c r="AH559" s="2">
        <f t="shared" si="16"/>
        <v>1</v>
      </c>
      <c r="AI559" t="s">
        <v>102</v>
      </c>
      <c r="AJ559" t="s">
        <v>103</v>
      </c>
      <c r="AK559" t="s">
        <v>104</v>
      </c>
      <c r="AL559" t="s">
        <v>86</v>
      </c>
      <c r="AM559">
        <v>22200</v>
      </c>
      <c r="AN559">
        <f t="shared" si="17"/>
        <v>21534</v>
      </c>
      <c r="AO559" t="s">
        <v>66</v>
      </c>
      <c r="AP559">
        <v>3</v>
      </c>
      <c r="AQ559" t="s">
        <v>66</v>
      </c>
      <c r="AR559">
        <v>0</v>
      </c>
      <c r="AS559" t="s">
        <v>66</v>
      </c>
      <c r="AT559">
        <v>0</v>
      </c>
      <c r="AU559" t="s">
        <v>66</v>
      </c>
      <c r="AV559">
        <v>0</v>
      </c>
      <c r="AW559" t="s">
        <v>66</v>
      </c>
      <c r="AX559">
        <v>0</v>
      </c>
      <c r="AY559" t="s">
        <v>66</v>
      </c>
      <c r="AZ559">
        <v>0</v>
      </c>
      <c r="BA559" t="s">
        <v>66</v>
      </c>
      <c r="BB559">
        <v>0</v>
      </c>
      <c r="BC559">
        <v>0</v>
      </c>
      <c r="BD559">
        <v>258408</v>
      </c>
      <c r="BE559">
        <v>18040.98</v>
      </c>
      <c r="BF559">
        <v>0</v>
      </c>
      <c r="BG559" t="s">
        <v>87</v>
      </c>
      <c r="BH559" t="s">
        <v>66</v>
      </c>
      <c r="BI559">
        <v>0</v>
      </c>
      <c r="BJ559" t="s">
        <v>66</v>
      </c>
      <c r="BK559" t="s">
        <v>88</v>
      </c>
      <c r="BL559" t="s">
        <v>965</v>
      </c>
      <c r="BM559" t="s">
        <v>159</v>
      </c>
    </row>
    <row r="560" spans="1:65" x14ac:dyDescent="0.25">
      <c r="A560">
        <v>558</v>
      </c>
      <c r="B560" t="s">
        <v>956</v>
      </c>
      <c r="C560" t="s">
        <v>68</v>
      </c>
      <c r="D560" s="1">
        <v>46210</v>
      </c>
      <c r="E560" t="s">
        <v>957</v>
      </c>
      <c r="F560" t="s">
        <v>68</v>
      </c>
      <c r="G560" t="s">
        <v>69</v>
      </c>
      <c r="H560" t="s">
        <v>70</v>
      </c>
      <c r="I560" t="s">
        <v>71</v>
      </c>
      <c r="J560" t="s">
        <v>72</v>
      </c>
      <c r="K560" t="s">
        <v>73</v>
      </c>
      <c r="L560" t="s">
        <v>74</v>
      </c>
      <c r="M560" t="s">
        <v>958</v>
      </c>
      <c r="N560" t="s">
        <v>76</v>
      </c>
      <c r="O560" t="s">
        <v>959</v>
      </c>
      <c r="P560" t="s">
        <v>960</v>
      </c>
      <c r="Q560" t="s">
        <v>961</v>
      </c>
      <c r="R560" s="1">
        <v>46212</v>
      </c>
      <c r="S560" t="s">
        <v>962</v>
      </c>
      <c r="T560" t="s">
        <v>963</v>
      </c>
      <c r="U560" t="s">
        <v>964</v>
      </c>
      <c r="V560" t="s">
        <v>66</v>
      </c>
      <c r="W560" t="s">
        <v>66</v>
      </c>
      <c r="X560">
        <v>3319728</v>
      </c>
      <c r="Y560">
        <v>365170.08</v>
      </c>
      <c r="Z560">
        <v>445812</v>
      </c>
      <c r="AA560">
        <v>49039.32</v>
      </c>
      <c r="AB560">
        <v>3684898.08</v>
      </c>
      <c r="AC560">
        <v>12</v>
      </c>
      <c r="AD560" t="s">
        <v>82</v>
      </c>
      <c r="AE560">
        <v>12</v>
      </c>
      <c r="AF560" t="s">
        <v>138</v>
      </c>
      <c r="AG560">
        <f>IFERROR(VLOOKUP(AF560,[1]STOK!J:O,6,0),"")</f>
        <v>6</v>
      </c>
      <c r="AH560" s="2">
        <f t="shared" si="16"/>
        <v>2</v>
      </c>
      <c r="AI560" t="s">
        <v>138</v>
      </c>
      <c r="AJ560" t="s">
        <v>139</v>
      </c>
      <c r="AK560" t="s">
        <v>140</v>
      </c>
      <c r="AL560" t="s">
        <v>86</v>
      </c>
      <c r="AM560">
        <v>42513</v>
      </c>
      <c r="AN560">
        <f t="shared" si="17"/>
        <v>41237.61</v>
      </c>
      <c r="AO560" t="s">
        <v>66</v>
      </c>
      <c r="AP560">
        <v>3</v>
      </c>
      <c r="AQ560" t="s">
        <v>66</v>
      </c>
      <c r="AR560">
        <v>0</v>
      </c>
      <c r="AS560" t="s">
        <v>66</v>
      </c>
      <c r="AT560">
        <v>0</v>
      </c>
      <c r="AU560" t="s">
        <v>66</v>
      </c>
      <c r="AV560">
        <v>0</v>
      </c>
      <c r="AW560" t="s">
        <v>66</v>
      </c>
      <c r="AX560">
        <v>0</v>
      </c>
      <c r="AY560" t="s">
        <v>66</v>
      </c>
      <c r="AZ560">
        <v>0</v>
      </c>
      <c r="BA560" t="s">
        <v>66</v>
      </c>
      <c r="BB560">
        <v>0</v>
      </c>
      <c r="BC560">
        <v>0</v>
      </c>
      <c r="BD560">
        <v>494851.32</v>
      </c>
      <c r="BE560">
        <v>34660.32</v>
      </c>
      <c r="BF560">
        <v>0</v>
      </c>
      <c r="BG560" t="s">
        <v>87</v>
      </c>
      <c r="BH560" t="s">
        <v>66</v>
      </c>
      <c r="BI560">
        <v>0</v>
      </c>
      <c r="BJ560" t="s">
        <v>66</v>
      </c>
      <c r="BK560" t="s">
        <v>88</v>
      </c>
      <c r="BL560" t="s">
        <v>965</v>
      </c>
      <c r="BM560" t="s">
        <v>159</v>
      </c>
    </row>
    <row r="561" spans="1:65" x14ac:dyDescent="0.25">
      <c r="A561">
        <v>559</v>
      </c>
      <c r="B561" t="s">
        <v>956</v>
      </c>
      <c r="C561" t="s">
        <v>68</v>
      </c>
      <c r="D561" s="1">
        <v>46210</v>
      </c>
      <c r="E561" t="s">
        <v>957</v>
      </c>
      <c r="F561" t="s">
        <v>68</v>
      </c>
      <c r="G561" t="s">
        <v>69</v>
      </c>
      <c r="H561" t="s">
        <v>70</v>
      </c>
      <c r="I561" t="s">
        <v>71</v>
      </c>
      <c r="J561" t="s">
        <v>72</v>
      </c>
      <c r="K561" t="s">
        <v>73</v>
      </c>
      <c r="L561" t="s">
        <v>74</v>
      </c>
      <c r="M561" t="s">
        <v>958</v>
      </c>
      <c r="N561" t="s">
        <v>76</v>
      </c>
      <c r="O561" t="s">
        <v>959</v>
      </c>
      <c r="P561" t="s">
        <v>960</v>
      </c>
      <c r="Q561" t="s">
        <v>961</v>
      </c>
      <c r="R561" s="1">
        <v>46212</v>
      </c>
      <c r="S561" t="s">
        <v>962</v>
      </c>
      <c r="T561" t="s">
        <v>963</v>
      </c>
      <c r="U561" t="s">
        <v>964</v>
      </c>
      <c r="V561" t="s">
        <v>66</v>
      </c>
      <c r="W561" t="s">
        <v>66</v>
      </c>
      <c r="X561">
        <v>3319728</v>
      </c>
      <c r="Y561">
        <v>365170.08</v>
      </c>
      <c r="Z561">
        <v>445812</v>
      </c>
      <c r="AA561">
        <v>49039.32</v>
      </c>
      <c r="AB561">
        <v>3684898.08</v>
      </c>
      <c r="AC561">
        <v>12</v>
      </c>
      <c r="AD561" t="s">
        <v>82</v>
      </c>
      <c r="AE561">
        <v>12</v>
      </c>
      <c r="AF561" t="s">
        <v>323</v>
      </c>
      <c r="AG561">
        <f>IFERROR(VLOOKUP(AF561,[1]STOK!J:O,6,0),"")</f>
        <v>6</v>
      </c>
      <c r="AH561" s="2">
        <f t="shared" si="16"/>
        <v>2</v>
      </c>
      <c r="AI561" t="s">
        <v>323</v>
      </c>
      <c r="AJ561" t="s">
        <v>324</v>
      </c>
      <c r="AK561" t="s">
        <v>325</v>
      </c>
      <c r="AL561" t="s">
        <v>86</v>
      </c>
      <c r="AM561">
        <v>42513</v>
      </c>
      <c r="AN561">
        <f t="shared" si="17"/>
        <v>41237.61</v>
      </c>
      <c r="AO561" t="s">
        <v>66</v>
      </c>
      <c r="AP561">
        <v>3</v>
      </c>
      <c r="AQ561" t="s">
        <v>66</v>
      </c>
      <c r="AR561">
        <v>0</v>
      </c>
      <c r="AS561" t="s">
        <v>66</v>
      </c>
      <c r="AT561">
        <v>0</v>
      </c>
      <c r="AU561" t="s">
        <v>66</v>
      </c>
      <c r="AV561">
        <v>0</v>
      </c>
      <c r="AW561" t="s">
        <v>66</v>
      </c>
      <c r="AX561">
        <v>0</v>
      </c>
      <c r="AY561" t="s">
        <v>66</v>
      </c>
      <c r="AZ561">
        <v>0</v>
      </c>
      <c r="BA561" t="s">
        <v>66</v>
      </c>
      <c r="BB561">
        <v>0</v>
      </c>
      <c r="BC561">
        <v>0</v>
      </c>
      <c r="BD561">
        <v>494851.32</v>
      </c>
      <c r="BE561">
        <v>34469.339999999997</v>
      </c>
      <c r="BF561">
        <v>0</v>
      </c>
      <c r="BG561" t="s">
        <v>87</v>
      </c>
      <c r="BH561" t="s">
        <v>66</v>
      </c>
      <c r="BI561">
        <v>0</v>
      </c>
      <c r="BJ561" t="s">
        <v>66</v>
      </c>
      <c r="BK561" t="s">
        <v>88</v>
      </c>
      <c r="BL561" t="s">
        <v>965</v>
      </c>
      <c r="BM561" t="s">
        <v>159</v>
      </c>
    </row>
    <row r="562" spans="1:65" x14ac:dyDescent="0.25">
      <c r="A562">
        <v>560</v>
      </c>
      <c r="B562" t="s">
        <v>956</v>
      </c>
      <c r="C562" t="s">
        <v>68</v>
      </c>
      <c r="D562" s="1">
        <v>46210</v>
      </c>
      <c r="E562" t="s">
        <v>957</v>
      </c>
      <c r="F562" t="s">
        <v>68</v>
      </c>
      <c r="G562" t="s">
        <v>69</v>
      </c>
      <c r="H562" t="s">
        <v>70</v>
      </c>
      <c r="I562" t="s">
        <v>71</v>
      </c>
      <c r="J562" t="s">
        <v>72</v>
      </c>
      <c r="K562" t="s">
        <v>73</v>
      </c>
      <c r="L562" t="s">
        <v>74</v>
      </c>
      <c r="M562" t="s">
        <v>958</v>
      </c>
      <c r="N562" t="s">
        <v>76</v>
      </c>
      <c r="O562" t="s">
        <v>959</v>
      </c>
      <c r="P562" t="s">
        <v>960</v>
      </c>
      <c r="Q562" t="s">
        <v>961</v>
      </c>
      <c r="R562" s="1">
        <v>46212</v>
      </c>
      <c r="S562" t="s">
        <v>962</v>
      </c>
      <c r="T562" t="s">
        <v>963</v>
      </c>
      <c r="U562" t="s">
        <v>964</v>
      </c>
      <c r="V562" t="s">
        <v>66</v>
      </c>
      <c r="W562" t="s">
        <v>66</v>
      </c>
      <c r="X562">
        <v>3319728</v>
      </c>
      <c r="Y562">
        <v>365170.08</v>
      </c>
      <c r="Z562">
        <v>167616</v>
      </c>
      <c r="AA562">
        <v>18437.759999999998</v>
      </c>
      <c r="AB562">
        <v>3684898.08</v>
      </c>
      <c r="AC562">
        <v>12</v>
      </c>
      <c r="AD562" t="s">
        <v>82</v>
      </c>
      <c r="AE562">
        <v>12</v>
      </c>
      <c r="AF562" t="s">
        <v>141</v>
      </c>
      <c r="AG562">
        <f>IFERROR(VLOOKUP(AF562,[1]STOK!J:O,6,0),"")</f>
        <v>12</v>
      </c>
      <c r="AH562" s="2">
        <f t="shared" si="16"/>
        <v>1</v>
      </c>
      <c r="AI562" t="s">
        <v>141</v>
      </c>
      <c r="AJ562" t="s">
        <v>142</v>
      </c>
      <c r="AK562" t="s">
        <v>143</v>
      </c>
      <c r="AL562" t="s">
        <v>86</v>
      </c>
      <c r="AM562">
        <v>15984</v>
      </c>
      <c r="AN562">
        <f t="shared" si="17"/>
        <v>15504.480000000001</v>
      </c>
      <c r="AO562" t="s">
        <v>66</v>
      </c>
      <c r="AP562">
        <v>3</v>
      </c>
      <c r="AQ562" t="s">
        <v>66</v>
      </c>
      <c r="AR562">
        <v>0</v>
      </c>
      <c r="AS562" t="s">
        <v>66</v>
      </c>
      <c r="AT562">
        <v>0</v>
      </c>
      <c r="AU562" t="s">
        <v>66</v>
      </c>
      <c r="AV562">
        <v>0</v>
      </c>
      <c r="AW562" t="s">
        <v>66</v>
      </c>
      <c r="AX562">
        <v>0</v>
      </c>
      <c r="AY562" t="s">
        <v>66</v>
      </c>
      <c r="AZ562">
        <v>0</v>
      </c>
      <c r="BA562" t="s">
        <v>66</v>
      </c>
      <c r="BB562">
        <v>0</v>
      </c>
      <c r="BC562">
        <v>0</v>
      </c>
      <c r="BD562">
        <v>186053.76000000001</v>
      </c>
      <c r="BE562">
        <v>13012.92</v>
      </c>
      <c r="BF562">
        <v>0</v>
      </c>
      <c r="BG562" t="s">
        <v>87</v>
      </c>
      <c r="BH562" t="s">
        <v>66</v>
      </c>
      <c r="BI562">
        <v>0</v>
      </c>
      <c r="BJ562" t="s">
        <v>66</v>
      </c>
      <c r="BK562" t="s">
        <v>88</v>
      </c>
      <c r="BL562" t="s">
        <v>965</v>
      </c>
      <c r="BM562" t="s">
        <v>159</v>
      </c>
    </row>
    <row r="563" spans="1:65" x14ac:dyDescent="0.25">
      <c r="A563">
        <v>561</v>
      </c>
      <c r="B563" t="s">
        <v>966</v>
      </c>
      <c r="C563" t="s">
        <v>68</v>
      </c>
      <c r="D563" s="1">
        <v>46210</v>
      </c>
      <c r="E563" t="s">
        <v>967</v>
      </c>
      <c r="F563" t="s">
        <v>68</v>
      </c>
      <c r="G563" t="s">
        <v>69</v>
      </c>
      <c r="H563" t="s">
        <v>70</v>
      </c>
      <c r="I563" t="s">
        <v>71</v>
      </c>
      <c r="J563" t="s">
        <v>72</v>
      </c>
      <c r="K563" t="s">
        <v>73</v>
      </c>
      <c r="L563" t="s">
        <v>74</v>
      </c>
      <c r="M563" t="s">
        <v>968</v>
      </c>
      <c r="N563" t="s">
        <v>76</v>
      </c>
      <c r="O563" t="s">
        <v>969</v>
      </c>
      <c r="P563" t="s">
        <v>970</v>
      </c>
      <c r="Q563" t="s">
        <v>971</v>
      </c>
      <c r="R563" s="1">
        <v>46213</v>
      </c>
      <c r="S563" t="s">
        <v>962</v>
      </c>
      <c r="T563" t="s">
        <v>963</v>
      </c>
      <c r="U563" t="s">
        <v>964</v>
      </c>
      <c r="V563" t="s">
        <v>66</v>
      </c>
      <c r="W563" t="s">
        <v>66</v>
      </c>
      <c r="X563">
        <v>1789068</v>
      </c>
      <c r="Y563">
        <v>196797.48</v>
      </c>
      <c r="Z563">
        <v>122220</v>
      </c>
      <c r="AA563">
        <v>13444.2</v>
      </c>
      <c r="AB563">
        <v>1985865.48</v>
      </c>
      <c r="AC563">
        <v>12</v>
      </c>
      <c r="AD563" t="s">
        <v>82</v>
      </c>
      <c r="AE563">
        <v>12</v>
      </c>
      <c r="AF563" t="s">
        <v>874</v>
      </c>
      <c r="AG563">
        <f>IFERROR(VLOOKUP(AF563,[1]STOK!J:O,6,0),"")</f>
        <v>24</v>
      </c>
      <c r="AH563" s="2">
        <f t="shared" si="16"/>
        <v>0.5</v>
      </c>
      <c r="AI563" t="s">
        <v>874</v>
      </c>
      <c r="AJ563" t="s">
        <v>875</v>
      </c>
      <c r="AK563" t="s">
        <v>876</v>
      </c>
      <c r="AL563" t="s">
        <v>86</v>
      </c>
      <c r="AM563">
        <v>11655</v>
      </c>
      <c r="AN563">
        <f t="shared" si="17"/>
        <v>11305.35</v>
      </c>
      <c r="AO563" t="s">
        <v>66</v>
      </c>
      <c r="AP563">
        <v>3</v>
      </c>
      <c r="AQ563" t="s">
        <v>66</v>
      </c>
      <c r="AR563">
        <v>0</v>
      </c>
      <c r="AS563" t="s">
        <v>66</v>
      </c>
      <c r="AT563">
        <v>0</v>
      </c>
      <c r="AU563" t="s">
        <v>66</v>
      </c>
      <c r="AV563">
        <v>0</v>
      </c>
      <c r="AW563" t="s">
        <v>66</v>
      </c>
      <c r="AX563">
        <v>0</v>
      </c>
      <c r="AY563" t="s">
        <v>66</v>
      </c>
      <c r="AZ563">
        <v>0</v>
      </c>
      <c r="BA563" t="s">
        <v>66</v>
      </c>
      <c r="BB563">
        <v>0</v>
      </c>
      <c r="BC563">
        <v>0</v>
      </c>
      <c r="BD563">
        <v>135664.20000000001</v>
      </c>
      <c r="BE563">
        <v>9488.6299999999992</v>
      </c>
      <c r="BF563">
        <v>0</v>
      </c>
      <c r="BG563" t="s">
        <v>87</v>
      </c>
      <c r="BH563" t="s">
        <v>66</v>
      </c>
      <c r="BI563">
        <v>0</v>
      </c>
      <c r="BJ563" t="s">
        <v>66</v>
      </c>
      <c r="BK563" t="s">
        <v>88</v>
      </c>
      <c r="BL563" t="s">
        <v>965</v>
      </c>
      <c r="BM563" t="s">
        <v>159</v>
      </c>
    </row>
    <row r="564" spans="1:65" x14ac:dyDescent="0.25">
      <c r="A564">
        <v>562</v>
      </c>
      <c r="B564" t="s">
        <v>966</v>
      </c>
      <c r="C564" t="s">
        <v>68</v>
      </c>
      <c r="D564" s="1">
        <v>46210</v>
      </c>
      <c r="E564" t="s">
        <v>967</v>
      </c>
      <c r="F564" t="s">
        <v>68</v>
      </c>
      <c r="G564" t="s">
        <v>69</v>
      </c>
      <c r="H564" t="s">
        <v>70</v>
      </c>
      <c r="I564" t="s">
        <v>71</v>
      </c>
      <c r="J564" t="s">
        <v>72</v>
      </c>
      <c r="K564" t="s">
        <v>73</v>
      </c>
      <c r="L564" t="s">
        <v>74</v>
      </c>
      <c r="M564" t="s">
        <v>968</v>
      </c>
      <c r="N564" t="s">
        <v>76</v>
      </c>
      <c r="O564" t="s">
        <v>969</v>
      </c>
      <c r="P564" t="s">
        <v>970</v>
      </c>
      <c r="Q564" t="s">
        <v>971</v>
      </c>
      <c r="R564" s="1">
        <v>46213</v>
      </c>
      <c r="S564" t="s">
        <v>962</v>
      </c>
      <c r="T564" t="s">
        <v>963</v>
      </c>
      <c r="U564" t="s">
        <v>964</v>
      </c>
      <c r="V564" t="s">
        <v>66</v>
      </c>
      <c r="W564" t="s">
        <v>66</v>
      </c>
      <c r="X564">
        <v>1789068</v>
      </c>
      <c r="Y564">
        <v>196797.48</v>
      </c>
      <c r="Z564">
        <v>118728</v>
      </c>
      <c r="AA564">
        <v>13060.08</v>
      </c>
      <c r="AB564">
        <v>1985865.48</v>
      </c>
      <c r="AC564">
        <v>12</v>
      </c>
      <c r="AD564" t="s">
        <v>82</v>
      </c>
      <c r="AE564">
        <v>12</v>
      </c>
      <c r="AF564" t="s">
        <v>726</v>
      </c>
      <c r="AG564">
        <f>IFERROR(VLOOKUP(AF564,[1]STOK!J:O,6,0),"")</f>
        <v>24</v>
      </c>
      <c r="AH564" s="2">
        <f t="shared" si="16"/>
        <v>0.5</v>
      </c>
      <c r="AI564" t="s">
        <v>726</v>
      </c>
      <c r="AJ564" t="s">
        <v>727</v>
      </c>
      <c r="AK564" t="s">
        <v>728</v>
      </c>
      <c r="AL564" t="s">
        <v>86</v>
      </c>
      <c r="AM564">
        <v>11322</v>
      </c>
      <c r="AN564">
        <f t="shared" si="17"/>
        <v>10982.339999999998</v>
      </c>
      <c r="AO564" t="s">
        <v>66</v>
      </c>
      <c r="AP564">
        <v>3</v>
      </c>
      <c r="AQ564" t="s">
        <v>66</v>
      </c>
      <c r="AR564">
        <v>0</v>
      </c>
      <c r="AS564" t="s">
        <v>66</v>
      </c>
      <c r="AT564">
        <v>0</v>
      </c>
      <c r="AU564" t="s">
        <v>66</v>
      </c>
      <c r="AV564">
        <v>0</v>
      </c>
      <c r="AW564" t="s">
        <v>66</v>
      </c>
      <c r="AX564">
        <v>0</v>
      </c>
      <c r="AY564" t="s">
        <v>66</v>
      </c>
      <c r="AZ564">
        <v>0</v>
      </c>
      <c r="BA564" t="s">
        <v>66</v>
      </c>
      <c r="BB564">
        <v>0</v>
      </c>
      <c r="BC564">
        <v>0</v>
      </c>
      <c r="BD564">
        <v>131788.07999999999</v>
      </c>
      <c r="BE564">
        <v>8839.89</v>
      </c>
      <c r="BF564">
        <v>0</v>
      </c>
      <c r="BG564" t="s">
        <v>87</v>
      </c>
      <c r="BH564" t="s">
        <v>66</v>
      </c>
      <c r="BI564">
        <v>0</v>
      </c>
      <c r="BJ564" t="s">
        <v>66</v>
      </c>
      <c r="BK564" t="s">
        <v>88</v>
      </c>
      <c r="BL564" t="s">
        <v>965</v>
      </c>
      <c r="BM564" t="s">
        <v>159</v>
      </c>
    </row>
    <row r="565" spans="1:65" x14ac:dyDescent="0.25">
      <c r="A565">
        <v>563</v>
      </c>
      <c r="B565" t="s">
        <v>966</v>
      </c>
      <c r="C565" t="s">
        <v>68</v>
      </c>
      <c r="D565" s="1">
        <v>46210</v>
      </c>
      <c r="E565" t="s">
        <v>967</v>
      </c>
      <c r="F565" t="s">
        <v>68</v>
      </c>
      <c r="G565" t="s">
        <v>69</v>
      </c>
      <c r="H565" t="s">
        <v>70</v>
      </c>
      <c r="I565" t="s">
        <v>71</v>
      </c>
      <c r="J565" t="s">
        <v>72</v>
      </c>
      <c r="K565" t="s">
        <v>73</v>
      </c>
      <c r="L565" t="s">
        <v>74</v>
      </c>
      <c r="M565" t="s">
        <v>968</v>
      </c>
      <c r="N565" t="s">
        <v>76</v>
      </c>
      <c r="O565" t="s">
        <v>969</v>
      </c>
      <c r="P565" t="s">
        <v>970</v>
      </c>
      <c r="Q565" t="s">
        <v>971</v>
      </c>
      <c r="R565" s="1">
        <v>46213</v>
      </c>
      <c r="S565" t="s">
        <v>962</v>
      </c>
      <c r="T565" t="s">
        <v>963</v>
      </c>
      <c r="U565" t="s">
        <v>964</v>
      </c>
      <c r="V565" t="s">
        <v>66</v>
      </c>
      <c r="W565" t="s">
        <v>66</v>
      </c>
      <c r="X565">
        <v>1789068</v>
      </c>
      <c r="Y565">
        <v>196797.48</v>
      </c>
      <c r="Z565">
        <v>316608</v>
      </c>
      <c r="AA565">
        <v>34826.879999999997</v>
      </c>
      <c r="AB565">
        <v>1985865.48</v>
      </c>
      <c r="AC565">
        <v>12</v>
      </c>
      <c r="AD565" t="s">
        <v>82</v>
      </c>
      <c r="AE565">
        <v>12</v>
      </c>
      <c r="AF565" t="s">
        <v>774</v>
      </c>
      <c r="AG565">
        <f>IFERROR(VLOOKUP(AF565,[1]STOK!J:O,6,0),"")</f>
        <v>12</v>
      </c>
      <c r="AH565" s="2">
        <f t="shared" si="16"/>
        <v>1</v>
      </c>
      <c r="AI565" t="s">
        <v>774</v>
      </c>
      <c r="AJ565" t="s">
        <v>775</v>
      </c>
      <c r="AK565" t="s">
        <v>776</v>
      </c>
      <c r="AL565" t="s">
        <v>86</v>
      </c>
      <c r="AM565">
        <v>30192</v>
      </c>
      <c r="AN565">
        <f t="shared" si="17"/>
        <v>29286.240000000002</v>
      </c>
      <c r="AO565" t="s">
        <v>66</v>
      </c>
      <c r="AP565">
        <v>3</v>
      </c>
      <c r="AQ565" t="s">
        <v>66</v>
      </c>
      <c r="AR565">
        <v>0</v>
      </c>
      <c r="AS565" t="s">
        <v>66</v>
      </c>
      <c r="AT565">
        <v>0</v>
      </c>
      <c r="AU565" t="s">
        <v>66</v>
      </c>
      <c r="AV565">
        <v>0</v>
      </c>
      <c r="AW565" t="s">
        <v>66</v>
      </c>
      <c r="AX565">
        <v>0</v>
      </c>
      <c r="AY565" t="s">
        <v>66</v>
      </c>
      <c r="AZ565">
        <v>0</v>
      </c>
      <c r="BA565" t="s">
        <v>66</v>
      </c>
      <c r="BB565">
        <v>0</v>
      </c>
      <c r="BC565">
        <v>0</v>
      </c>
      <c r="BD565">
        <v>351434.88</v>
      </c>
      <c r="BE565">
        <v>24962.33</v>
      </c>
      <c r="BF565">
        <v>0</v>
      </c>
      <c r="BG565" t="s">
        <v>87</v>
      </c>
      <c r="BH565" t="s">
        <v>66</v>
      </c>
      <c r="BI565">
        <v>0</v>
      </c>
      <c r="BJ565" t="s">
        <v>66</v>
      </c>
      <c r="BK565" t="s">
        <v>88</v>
      </c>
      <c r="BL565" t="s">
        <v>965</v>
      </c>
      <c r="BM565" t="s">
        <v>159</v>
      </c>
    </row>
    <row r="566" spans="1:65" x14ac:dyDescent="0.25">
      <c r="A566">
        <v>564</v>
      </c>
      <c r="B566" t="s">
        <v>966</v>
      </c>
      <c r="C566" t="s">
        <v>68</v>
      </c>
      <c r="D566" s="1">
        <v>46210</v>
      </c>
      <c r="E566" t="s">
        <v>967</v>
      </c>
      <c r="F566" t="s">
        <v>68</v>
      </c>
      <c r="G566" t="s">
        <v>69</v>
      </c>
      <c r="H566" t="s">
        <v>70</v>
      </c>
      <c r="I566" t="s">
        <v>71</v>
      </c>
      <c r="J566" t="s">
        <v>72</v>
      </c>
      <c r="K566" t="s">
        <v>73</v>
      </c>
      <c r="L566" t="s">
        <v>74</v>
      </c>
      <c r="M566" t="s">
        <v>968</v>
      </c>
      <c r="N566" t="s">
        <v>76</v>
      </c>
      <c r="O566" t="s">
        <v>969</v>
      </c>
      <c r="P566" t="s">
        <v>970</v>
      </c>
      <c r="Q566" t="s">
        <v>971</v>
      </c>
      <c r="R566" s="1">
        <v>46213</v>
      </c>
      <c r="S566" t="s">
        <v>962</v>
      </c>
      <c r="T566" t="s">
        <v>963</v>
      </c>
      <c r="U566" t="s">
        <v>964</v>
      </c>
      <c r="V566" t="s">
        <v>66</v>
      </c>
      <c r="W566" t="s">
        <v>66</v>
      </c>
      <c r="X566">
        <v>1789068</v>
      </c>
      <c r="Y566">
        <v>196797.48</v>
      </c>
      <c r="Z566">
        <v>210684</v>
      </c>
      <c r="AA566">
        <v>23175.24</v>
      </c>
      <c r="AB566">
        <v>1985865.48</v>
      </c>
      <c r="AC566">
        <v>12</v>
      </c>
      <c r="AD566" t="s">
        <v>82</v>
      </c>
      <c r="AE566">
        <v>12</v>
      </c>
      <c r="AF566" t="s">
        <v>356</v>
      </c>
      <c r="AG566">
        <f>IFERROR(VLOOKUP(AF566,[1]STOK!J:O,6,0),"")</f>
        <v>12</v>
      </c>
      <c r="AH566" s="2">
        <f t="shared" si="16"/>
        <v>1</v>
      </c>
      <c r="AI566" t="s">
        <v>356</v>
      </c>
      <c r="AJ566" t="s">
        <v>357</v>
      </c>
      <c r="AK566" t="s">
        <v>358</v>
      </c>
      <c r="AL566" t="s">
        <v>86</v>
      </c>
      <c r="AM566">
        <v>20091</v>
      </c>
      <c r="AN566">
        <f t="shared" si="17"/>
        <v>19488.27</v>
      </c>
      <c r="AO566" t="s">
        <v>66</v>
      </c>
      <c r="AP566">
        <v>3</v>
      </c>
      <c r="AQ566" t="s">
        <v>66</v>
      </c>
      <c r="AR566">
        <v>0</v>
      </c>
      <c r="AS566" t="s">
        <v>66</v>
      </c>
      <c r="AT566">
        <v>0</v>
      </c>
      <c r="AU566" t="s">
        <v>66</v>
      </c>
      <c r="AV566">
        <v>0</v>
      </c>
      <c r="AW566" t="s">
        <v>66</v>
      </c>
      <c r="AX566">
        <v>0</v>
      </c>
      <c r="AY566" t="s">
        <v>66</v>
      </c>
      <c r="AZ566">
        <v>0</v>
      </c>
      <c r="BA566" t="s">
        <v>66</v>
      </c>
      <c r="BB566">
        <v>0</v>
      </c>
      <c r="BC566">
        <v>0</v>
      </c>
      <c r="BD566">
        <v>233859.24</v>
      </c>
      <c r="BE566">
        <v>16282.92</v>
      </c>
      <c r="BF566">
        <v>0</v>
      </c>
      <c r="BG566" t="s">
        <v>87</v>
      </c>
      <c r="BH566" t="s">
        <v>66</v>
      </c>
      <c r="BI566">
        <v>0</v>
      </c>
      <c r="BJ566" t="s">
        <v>66</v>
      </c>
      <c r="BK566" t="s">
        <v>88</v>
      </c>
      <c r="BL566" t="s">
        <v>965</v>
      </c>
      <c r="BM566" t="s">
        <v>159</v>
      </c>
    </row>
    <row r="567" spans="1:65" x14ac:dyDescent="0.25">
      <c r="A567">
        <v>565</v>
      </c>
      <c r="B567" t="s">
        <v>966</v>
      </c>
      <c r="C567" t="s">
        <v>68</v>
      </c>
      <c r="D567" s="1">
        <v>46210</v>
      </c>
      <c r="E567" t="s">
        <v>967</v>
      </c>
      <c r="F567" t="s">
        <v>68</v>
      </c>
      <c r="G567" t="s">
        <v>69</v>
      </c>
      <c r="H567" t="s">
        <v>70</v>
      </c>
      <c r="I567" t="s">
        <v>71</v>
      </c>
      <c r="J567" t="s">
        <v>72</v>
      </c>
      <c r="K567" t="s">
        <v>73</v>
      </c>
      <c r="L567" t="s">
        <v>74</v>
      </c>
      <c r="M567" t="s">
        <v>968</v>
      </c>
      <c r="N567" t="s">
        <v>76</v>
      </c>
      <c r="O567" t="s">
        <v>969</v>
      </c>
      <c r="P567" t="s">
        <v>970</v>
      </c>
      <c r="Q567" t="s">
        <v>971</v>
      </c>
      <c r="R567" s="1">
        <v>46213</v>
      </c>
      <c r="S567" t="s">
        <v>962</v>
      </c>
      <c r="T567" t="s">
        <v>963</v>
      </c>
      <c r="U567" t="s">
        <v>964</v>
      </c>
      <c r="V567" t="s">
        <v>66</v>
      </c>
      <c r="W567" t="s">
        <v>66</v>
      </c>
      <c r="X567">
        <v>1789068</v>
      </c>
      <c r="Y567">
        <v>196797.48</v>
      </c>
      <c r="Z567">
        <v>154812</v>
      </c>
      <c r="AA567">
        <v>17029.32</v>
      </c>
      <c r="AB567">
        <v>1985865.48</v>
      </c>
      <c r="AC567">
        <v>12</v>
      </c>
      <c r="AD567" t="s">
        <v>82</v>
      </c>
      <c r="AE567">
        <v>12</v>
      </c>
      <c r="AF567" t="s">
        <v>210</v>
      </c>
      <c r="AG567">
        <f>IFERROR(VLOOKUP(AF567,[1]STOK!J:O,6,0),"")</f>
        <v>12</v>
      </c>
      <c r="AH567" s="2">
        <f t="shared" si="16"/>
        <v>1</v>
      </c>
      <c r="AI567" t="s">
        <v>210</v>
      </c>
      <c r="AJ567" t="s">
        <v>211</v>
      </c>
      <c r="AK567" t="s">
        <v>212</v>
      </c>
      <c r="AL567" t="s">
        <v>86</v>
      </c>
      <c r="AM567">
        <v>14763</v>
      </c>
      <c r="AN567">
        <f t="shared" si="17"/>
        <v>14320.11</v>
      </c>
      <c r="AO567" t="s">
        <v>66</v>
      </c>
      <c r="AP567">
        <v>3</v>
      </c>
      <c r="AQ567" t="s">
        <v>66</v>
      </c>
      <c r="AR567">
        <v>0</v>
      </c>
      <c r="AS567" t="s">
        <v>66</v>
      </c>
      <c r="AT567">
        <v>0</v>
      </c>
      <c r="AU567" t="s">
        <v>66</v>
      </c>
      <c r="AV567">
        <v>0</v>
      </c>
      <c r="AW567" t="s">
        <v>66</v>
      </c>
      <c r="AX567">
        <v>0</v>
      </c>
      <c r="AY567" t="s">
        <v>66</v>
      </c>
      <c r="AZ567">
        <v>0</v>
      </c>
      <c r="BA567" t="s">
        <v>66</v>
      </c>
      <c r="BB567">
        <v>0</v>
      </c>
      <c r="BC567">
        <v>0</v>
      </c>
      <c r="BD567">
        <v>171841.32</v>
      </c>
      <c r="BE567">
        <v>12009.37</v>
      </c>
      <c r="BF567">
        <v>0</v>
      </c>
      <c r="BG567" t="s">
        <v>87</v>
      </c>
      <c r="BH567" t="s">
        <v>66</v>
      </c>
      <c r="BI567">
        <v>0</v>
      </c>
      <c r="BJ567" t="s">
        <v>66</v>
      </c>
      <c r="BK567" t="s">
        <v>88</v>
      </c>
      <c r="BL567" t="s">
        <v>965</v>
      </c>
      <c r="BM567" t="s">
        <v>159</v>
      </c>
    </row>
    <row r="568" spans="1:65" x14ac:dyDescent="0.25">
      <c r="A568">
        <v>566</v>
      </c>
      <c r="B568" t="s">
        <v>966</v>
      </c>
      <c r="C568" t="s">
        <v>68</v>
      </c>
      <c r="D568" s="1">
        <v>46210</v>
      </c>
      <c r="E568" t="s">
        <v>967</v>
      </c>
      <c r="F568" t="s">
        <v>68</v>
      </c>
      <c r="G568" t="s">
        <v>69</v>
      </c>
      <c r="H568" t="s">
        <v>70</v>
      </c>
      <c r="I568" t="s">
        <v>71</v>
      </c>
      <c r="J568" t="s">
        <v>72</v>
      </c>
      <c r="K568" t="s">
        <v>73</v>
      </c>
      <c r="L568" t="s">
        <v>74</v>
      </c>
      <c r="M568" t="s">
        <v>968</v>
      </c>
      <c r="N568" t="s">
        <v>76</v>
      </c>
      <c r="O568" t="s">
        <v>969</v>
      </c>
      <c r="P568" t="s">
        <v>970</v>
      </c>
      <c r="Q568" t="s">
        <v>971</v>
      </c>
      <c r="R568" s="1">
        <v>46213</v>
      </c>
      <c r="S568" t="s">
        <v>962</v>
      </c>
      <c r="T568" t="s">
        <v>963</v>
      </c>
      <c r="U568" t="s">
        <v>964</v>
      </c>
      <c r="V568" t="s">
        <v>66</v>
      </c>
      <c r="W568" t="s">
        <v>66</v>
      </c>
      <c r="X568">
        <v>1789068</v>
      </c>
      <c r="Y568">
        <v>196797.48</v>
      </c>
      <c r="Z568">
        <v>698400</v>
      </c>
      <c r="AA568">
        <v>76824</v>
      </c>
      <c r="AB568">
        <v>1985865.48</v>
      </c>
      <c r="AC568">
        <v>36</v>
      </c>
      <c r="AD568" t="s">
        <v>82</v>
      </c>
      <c r="AE568">
        <v>36</v>
      </c>
      <c r="AF568" t="s">
        <v>290</v>
      </c>
      <c r="AG568">
        <f>IFERROR(VLOOKUP(AF568,[1]STOK!J:O,6,0),"")</f>
        <v>12</v>
      </c>
      <c r="AH568" s="2">
        <f t="shared" si="16"/>
        <v>3</v>
      </c>
      <c r="AI568" t="s">
        <v>290</v>
      </c>
      <c r="AJ568" t="s">
        <v>291</v>
      </c>
      <c r="AK568" t="s">
        <v>292</v>
      </c>
      <c r="AL568" t="s">
        <v>86</v>
      </c>
      <c r="AM568">
        <v>22200</v>
      </c>
      <c r="AN568">
        <f t="shared" si="17"/>
        <v>21534</v>
      </c>
      <c r="AO568" t="s">
        <v>66</v>
      </c>
      <c r="AP568">
        <v>3</v>
      </c>
      <c r="AQ568" t="s">
        <v>66</v>
      </c>
      <c r="AR568">
        <v>0</v>
      </c>
      <c r="AS568" t="s">
        <v>66</v>
      </c>
      <c r="AT568">
        <v>0</v>
      </c>
      <c r="AU568" t="s">
        <v>66</v>
      </c>
      <c r="AV568">
        <v>0</v>
      </c>
      <c r="AW568" t="s">
        <v>66</v>
      </c>
      <c r="AX568">
        <v>0</v>
      </c>
      <c r="AY568" t="s">
        <v>66</v>
      </c>
      <c r="AZ568">
        <v>0</v>
      </c>
      <c r="BA568" t="s">
        <v>66</v>
      </c>
      <c r="BB568">
        <v>0</v>
      </c>
      <c r="BC568">
        <v>0</v>
      </c>
      <c r="BD568">
        <v>775224</v>
      </c>
      <c r="BE568">
        <v>18106.89</v>
      </c>
      <c r="BF568">
        <v>0</v>
      </c>
      <c r="BG568" t="s">
        <v>87</v>
      </c>
      <c r="BH568" t="s">
        <v>66</v>
      </c>
      <c r="BI568">
        <v>0</v>
      </c>
      <c r="BJ568" t="s">
        <v>66</v>
      </c>
      <c r="BK568" t="s">
        <v>88</v>
      </c>
      <c r="BL568" t="s">
        <v>965</v>
      </c>
      <c r="BM568" t="s">
        <v>159</v>
      </c>
    </row>
    <row r="569" spans="1:65" x14ac:dyDescent="0.25">
      <c r="A569">
        <v>567</v>
      </c>
      <c r="B569" t="s">
        <v>966</v>
      </c>
      <c r="C569" t="s">
        <v>68</v>
      </c>
      <c r="D569" s="1">
        <v>46210</v>
      </c>
      <c r="E569" t="s">
        <v>967</v>
      </c>
      <c r="F569" t="s">
        <v>68</v>
      </c>
      <c r="G569" t="s">
        <v>69</v>
      </c>
      <c r="H569" t="s">
        <v>70</v>
      </c>
      <c r="I569" t="s">
        <v>71</v>
      </c>
      <c r="J569" t="s">
        <v>72</v>
      </c>
      <c r="K569" t="s">
        <v>73</v>
      </c>
      <c r="L569" t="s">
        <v>74</v>
      </c>
      <c r="M569" t="s">
        <v>968</v>
      </c>
      <c r="N569" t="s">
        <v>76</v>
      </c>
      <c r="O569" t="s">
        <v>969</v>
      </c>
      <c r="P569" t="s">
        <v>970</v>
      </c>
      <c r="Q569" t="s">
        <v>971</v>
      </c>
      <c r="R569" s="1">
        <v>46213</v>
      </c>
      <c r="S569" t="s">
        <v>962</v>
      </c>
      <c r="T569" t="s">
        <v>963</v>
      </c>
      <c r="U569" t="s">
        <v>964</v>
      </c>
      <c r="V569" t="s">
        <v>66</v>
      </c>
      <c r="W569" t="s">
        <v>66</v>
      </c>
      <c r="X569">
        <v>1789068</v>
      </c>
      <c r="Y569">
        <v>196797.48</v>
      </c>
      <c r="Z569">
        <v>167616</v>
      </c>
      <c r="AA569">
        <v>18437.759999999998</v>
      </c>
      <c r="AB569">
        <v>1985865.48</v>
      </c>
      <c r="AC569">
        <v>12</v>
      </c>
      <c r="AD569" t="s">
        <v>82</v>
      </c>
      <c r="AE569">
        <v>12</v>
      </c>
      <c r="AF569" t="s">
        <v>213</v>
      </c>
      <c r="AG569">
        <f>IFERROR(VLOOKUP(AF569,[1]STOK!J:O,6,0),"")</f>
        <v>12</v>
      </c>
      <c r="AH569" s="2">
        <f t="shared" si="16"/>
        <v>1</v>
      </c>
      <c r="AI569" t="s">
        <v>213</v>
      </c>
      <c r="AJ569" t="s">
        <v>214</v>
      </c>
      <c r="AK569" t="s">
        <v>215</v>
      </c>
      <c r="AL569" t="s">
        <v>86</v>
      </c>
      <c r="AM569">
        <v>15984</v>
      </c>
      <c r="AN569">
        <f t="shared" si="17"/>
        <v>15504.480000000001</v>
      </c>
      <c r="AO569" t="s">
        <v>66</v>
      </c>
      <c r="AP569">
        <v>3</v>
      </c>
      <c r="AQ569" t="s">
        <v>66</v>
      </c>
      <c r="AR569">
        <v>0</v>
      </c>
      <c r="AS569" t="s">
        <v>66</v>
      </c>
      <c r="AT569">
        <v>0</v>
      </c>
      <c r="AU569" t="s">
        <v>66</v>
      </c>
      <c r="AV569">
        <v>0</v>
      </c>
      <c r="AW569" t="s">
        <v>66</v>
      </c>
      <c r="AX569">
        <v>0</v>
      </c>
      <c r="AY569" t="s">
        <v>66</v>
      </c>
      <c r="AZ569">
        <v>0</v>
      </c>
      <c r="BA569" t="s">
        <v>66</v>
      </c>
      <c r="BB569">
        <v>0</v>
      </c>
      <c r="BC569">
        <v>0</v>
      </c>
      <c r="BD569">
        <v>186053.76000000001</v>
      </c>
      <c r="BE569">
        <v>12991.38</v>
      </c>
      <c r="BF569">
        <v>0</v>
      </c>
      <c r="BG569" t="s">
        <v>87</v>
      </c>
      <c r="BH569" t="s">
        <v>66</v>
      </c>
      <c r="BI569">
        <v>0</v>
      </c>
      <c r="BJ569" t="s">
        <v>66</v>
      </c>
      <c r="BK569" t="s">
        <v>88</v>
      </c>
      <c r="BL569" t="s">
        <v>965</v>
      </c>
      <c r="BM569" t="s">
        <v>159</v>
      </c>
    </row>
    <row r="570" spans="1:65" x14ac:dyDescent="0.25">
      <c r="A570">
        <v>568</v>
      </c>
      <c r="B570" t="s">
        <v>972</v>
      </c>
      <c r="C570" t="s">
        <v>66</v>
      </c>
      <c r="D570" s="1">
        <v>46210</v>
      </c>
      <c r="E570" t="s">
        <v>973</v>
      </c>
      <c r="F570" t="s">
        <v>68</v>
      </c>
      <c r="G570" t="s">
        <v>69</v>
      </c>
      <c r="H570" t="s">
        <v>70</v>
      </c>
      <c r="I570" t="s">
        <v>71</v>
      </c>
      <c r="J570" t="s">
        <v>72</v>
      </c>
      <c r="K570" t="s">
        <v>73</v>
      </c>
      <c r="L570" t="s">
        <v>74</v>
      </c>
      <c r="M570" t="s">
        <v>974</v>
      </c>
      <c r="N570" t="s">
        <v>274</v>
      </c>
      <c r="O570" t="s">
        <v>975</v>
      </c>
      <c r="P570" t="s">
        <v>677</v>
      </c>
      <c r="Q570" t="s">
        <v>976</v>
      </c>
      <c r="R570" s="1">
        <v>46212</v>
      </c>
      <c r="S570" t="s">
        <v>679</v>
      </c>
      <c r="T570" t="s">
        <v>977</v>
      </c>
      <c r="U570" t="s">
        <v>681</v>
      </c>
      <c r="V570" t="s">
        <v>66</v>
      </c>
      <c r="W570" t="s">
        <v>66</v>
      </c>
      <c r="X570">
        <v>1165344</v>
      </c>
      <c r="Y570">
        <v>128187.84</v>
      </c>
      <c r="Z570">
        <v>231636</v>
      </c>
      <c r="AA570">
        <v>25479.96</v>
      </c>
      <c r="AB570">
        <v>1293531.8400000001</v>
      </c>
      <c r="AC570">
        <v>12</v>
      </c>
      <c r="AD570" t="s">
        <v>82</v>
      </c>
      <c r="AE570">
        <v>12</v>
      </c>
      <c r="AF570" t="s">
        <v>467</v>
      </c>
      <c r="AG570">
        <f>IFERROR(VLOOKUP(AF570,[1]STOK!J:O,6,0),"")</f>
        <v>24</v>
      </c>
      <c r="AH570" s="2">
        <f t="shared" si="16"/>
        <v>0.5</v>
      </c>
      <c r="AI570" t="s">
        <v>467</v>
      </c>
      <c r="AJ570" t="s">
        <v>468</v>
      </c>
      <c r="AK570" t="s">
        <v>469</v>
      </c>
      <c r="AL570" t="s">
        <v>86</v>
      </c>
      <c r="AM570">
        <v>21534</v>
      </c>
      <c r="AN570">
        <f t="shared" si="17"/>
        <v>21426.329999999998</v>
      </c>
      <c r="AO570" t="s">
        <v>66</v>
      </c>
      <c r="AP570">
        <v>0.5</v>
      </c>
      <c r="AQ570" t="s">
        <v>66</v>
      </c>
      <c r="AR570">
        <v>0</v>
      </c>
      <c r="AS570" t="s">
        <v>66</v>
      </c>
      <c r="AT570">
        <v>0</v>
      </c>
      <c r="AU570" t="s">
        <v>66</v>
      </c>
      <c r="AV570">
        <v>0</v>
      </c>
      <c r="AW570" t="s">
        <v>66</v>
      </c>
      <c r="AX570">
        <v>0</v>
      </c>
      <c r="AY570" t="s">
        <v>66</v>
      </c>
      <c r="AZ570">
        <v>0</v>
      </c>
      <c r="BA570" t="s">
        <v>66</v>
      </c>
      <c r="BB570">
        <v>0</v>
      </c>
      <c r="BC570">
        <v>0</v>
      </c>
      <c r="BD570">
        <v>257115.96</v>
      </c>
      <c r="BE570">
        <v>17318.07</v>
      </c>
      <c r="BF570">
        <v>0</v>
      </c>
      <c r="BG570" t="s">
        <v>87</v>
      </c>
      <c r="BH570" t="s">
        <v>978</v>
      </c>
      <c r="BI570">
        <v>12</v>
      </c>
      <c r="BJ570" t="s">
        <v>209</v>
      </c>
      <c r="BK570" t="s">
        <v>88</v>
      </c>
      <c r="BL570" t="s">
        <v>66</v>
      </c>
      <c r="BM570" t="s">
        <v>159</v>
      </c>
    </row>
    <row r="571" spans="1:65" x14ac:dyDescent="0.25">
      <c r="A571">
        <v>569</v>
      </c>
      <c r="B571" t="s">
        <v>972</v>
      </c>
      <c r="C571" t="s">
        <v>66</v>
      </c>
      <c r="D571" s="1">
        <v>46210</v>
      </c>
      <c r="E571" t="s">
        <v>973</v>
      </c>
      <c r="F571" t="s">
        <v>68</v>
      </c>
      <c r="G571" t="s">
        <v>69</v>
      </c>
      <c r="H571" t="s">
        <v>70</v>
      </c>
      <c r="I571" t="s">
        <v>71</v>
      </c>
      <c r="J571" t="s">
        <v>72</v>
      </c>
      <c r="K571" t="s">
        <v>73</v>
      </c>
      <c r="L571" t="s">
        <v>74</v>
      </c>
      <c r="M571" t="s">
        <v>974</v>
      </c>
      <c r="N571" t="s">
        <v>274</v>
      </c>
      <c r="O571" t="s">
        <v>975</v>
      </c>
      <c r="P571" t="s">
        <v>677</v>
      </c>
      <c r="Q571" t="s">
        <v>976</v>
      </c>
      <c r="R571" s="1">
        <v>46212</v>
      </c>
      <c r="S571" t="s">
        <v>679</v>
      </c>
      <c r="T571" t="s">
        <v>977</v>
      </c>
      <c r="U571" t="s">
        <v>681</v>
      </c>
      <c r="V571" t="s">
        <v>66</v>
      </c>
      <c r="W571" t="s">
        <v>66</v>
      </c>
      <c r="X571">
        <v>1165344</v>
      </c>
      <c r="Y571">
        <v>128187.84</v>
      </c>
      <c r="Z571">
        <v>231636</v>
      </c>
      <c r="AA571">
        <v>25479.96</v>
      </c>
      <c r="AB571">
        <v>1293531.8400000001</v>
      </c>
      <c r="AC571">
        <v>12</v>
      </c>
      <c r="AD571" t="s">
        <v>82</v>
      </c>
      <c r="AE571">
        <v>12</v>
      </c>
      <c r="AF571" t="s">
        <v>470</v>
      </c>
      <c r="AG571">
        <f>IFERROR(VLOOKUP(AF571,[1]STOK!J:O,6,0),"")</f>
        <v>24</v>
      </c>
      <c r="AH571" s="2">
        <f t="shared" si="16"/>
        <v>0.5</v>
      </c>
      <c r="AI571" t="s">
        <v>470</v>
      </c>
      <c r="AJ571" t="s">
        <v>471</v>
      </c>
      <c r="AK571" t="s">
        <v>472</v>
      </c>
      <c r="AL571" t="s">
        <v>86</v>
      </c>
      <c r="AM571">
        <v>21534</v>
      </c>
      <c r="AN571">
        <f t="shared" si="17"/>
        <v>21426.329999999998</v>
      </c>
      <c r="AO571" t="s">
        <v>66</v>
      </c>
      <c r="AP571">
        <v>0.5</v>
      </c>
      <c r="AQ571" t="s">
        <v>66</v>
      </c>
      <c r="AR571">
        <v>0</v>
      </c>
      <c r="AS571" t="s">
        <v>66</v>
      </c>
      <c r="AT571">
        <v>0</v>
      </c>
      <c r="AU571" t="s">
        <v>66</v>
      </c>
      <c r="AV571">
        <v>0</v>
      </c>
      <c r="AW571" t="s">
        <v>66</v>
      </c>
      <c r="AX571">
        <v>0</v>
      </c>
      <c r="AY571" t="s">
        <v>66</v>
      </c>
      <c r="AZ571">
        <v>0</v>
      </c>
      <c r="BA571" t="s">
        <v>66</v>
      </c>
      <c r="BB571">
        <v>0</v>
      </c>
      <c r="BC571">
        <v>0</v>
      </c>
      <c r="BD571">
        <v>257115.96</v>
      </c>
      <c r="BE571">
        <v>17421.95</v>
      </c>
      <c r="BF571">
        <v>0</v>
      </c>
      <c r="BG571" t="s">
        <v>87</v>
      </c>
      <c r="BH571" t="s">
        <v>66</v>
      </c>
      <c r="BI571">
        <v>0</v>
      </c>
      <c r="BJ571" t="s">
        <v>66</v>
      </c>
      <c r="BK571" t="s">
        <v>88</v>
      </c>
      <c r="BL571" t="s">
        <v>66</v>
      </c>
      <c r="BM571" t="s">
        <v>159</v>
      </c>
    </row>
    <row r="572" spans="1:65" x14ac:dyDescent="0.25">
      <c r="A572">
        <v>570</v>
      </c>
      <c r="B572" t="s">
        <v>972</v>
      </c>
      <c r="C572" t="s">
        <v>66</v>
      </c>
      <c r="D572" s="1">
        <v>46210</v>
      </c>
      <c r="E572" t="s">
        <v>973</v>
      </c>
      <c r="F572" t="s">
        <v>68</v>
      </c>
      <c r="G572" t="s">
        <v>69</v>
      </c>
      <c r="H572" t="s">
        <v>70</v>
      </c>
      <c r="I572" t="s">
        <v>71</v>
      </c>
      <c r="J572" t="s">
        <v>72</v>
      </c>
      <c r="K572" t="s">
        <v>73</v>
      </c>
      <c r="L572" t="s">
        <v>74</v>
      </c>
      <c r="M572" t="s">
        <v>974</v>
      </c>
      <c r="N572" t="s">
        <v>274</v>
      </c>
      <c r="O572" t="s">
        <v>975</v>
      </c>
      <c r="P572" t="s">
        <v>677</v>
      </c>
      <c r="Q572" t="s">
        <v>976</v>
      </c>
      <c r="R572" s="1">
        <v>46212</v>
      </c>
      <c r="S572" t="s">
        <v>679</v>
      </c>
      <c r="T572" t="s">
        <v>977</v>
      </c>
      <c r="U572" t="s">
        <v>681</v>
      </c>
      <c r="V572" t="s">
        <v>66</v>
      </c>
      <c r="W572" t="s">
        <v>66</v>
      </c>
      <c r="X572">
        <v>1165344</v>
      </c>
      <c r="Y572">
        <v>128187.84</v>
      </c>
      <c r="Z572">
        <v>231636</v>
      </c>
      <c r="AA572">
        <v>25479.96</v>
      </c>
      <c r="AB572">
        <v>1293531.8400000001</v>
      </c>
      <c r="AC572">
        <v>12</v>
      </c>
      <c r="AD572" t="s">
        <v>82</v>
      </c>
      <c r="AE572">
        <v>12</v>
      </c>
      <c r="AF572" t="s">
        <v>467</v>
      </c>
      <c r="AG572">
        <f>IFERROR(VLOOKUP(AF572,[1]STOK!J:O,6,0),"")</f>
        <v>24</v>
      </c>
      <c r="AH572" s="2">
        <f t="shared" si="16"/>
        <v>0.5</v>
      </c>
      <c r="AI572" t="s">
        <v>467</v>
      </c>
      <c r="AJ572" t="s">
        <v>468</v>
      </c>
      <c r="AK572" t="s">
        <v>469</v>
      </c>
      <c r="AL572" t="s">
        <v>86</v>
      </c>
      <c r="AM572">
        <v>21534</v>
      </c>
      <c r="AN572">
        <f t="shared" si="17"/>
        <v>21426.329999999998</v>
      </c>
      <c r="AO572" t="s">
        <v>66</v>
      </c>
      <c r="AP572">
        <v>0.5</v>
      </c>
      <c r="AQ572" t="s">
        <v>66</v>
      </c>
      <c r="AR572">
        <v>0</v>
      </c>
      <c r="AS572" t="s">
        <v>66</v>
      </c>
      <c r="AT572">
        <v>0</v>
      </c>
      <c r="AU572" t="s">
        <v>66</v>
      </c>
      <c r="AV572">
        <v>0</v>
      </c>
      <c r="AW572" t="s">
        <v>66</v>
      </c>
      <c r="AX572">
        <v>0</v>
      </c>
      <c r="AY572" t="s">
        <v>66</v>
      </c>
      <c r="AZ572">
        <v>0</v>
      </c>
      <c r="BA572" t="s">
        <v>66</v>
      </c>
      <c r="BB572">
        <v>0</v>
      </c>
      <c r="BC572">
        <v>0</v>
      </c>
      <c r="BD572">
        <v>257115.96</v>
      </c>
      <c r="BE572">
        <v>17318.07</v>
      </c>
      <c r="BF572">
        <v>0</v>
      </c>
      <c r="BG572" t="s">
        <v>87</v>
      </c>
      <c r="BH572" t="s">
        <v>978</v>
      </c>
      <c r="BI572">
        <v>12</v>
      </c>
      <c r="BJ572" t="s">
        <v>209</v>
      </c>
      <c r="BK572" t="s">
        <v>88</v>
      </c>
      <c r="BL572" t="s">
        <v>66</v>
      </c>
      <c r="BM572" t="s">
        <v>159</v>
      </c>
    </row>
    <row r="573" spans="1:65" x14ac:dyDescent="0.25">
      <c r="A573">
        <v>571</v>
      </c>
      <c r="B573" t="s">
        <v>972</v>
      </c>
      <c r="C573" t="s">
        <v>66</v>
      </c>
      <c r="D573" s="1">
        <v>46210</v>
      </c>
      <c r="E573" t="s">
        <v>973</v>
      </c>
      <c r="F573" t="s">
        <v>68</v>
      </c>
      <c r="G573" t="s">
        <v>69</v>
      </c>
      <c r="H573" t="s">
        <v>70</v>
      </c>
      <c r="I573" t="s">
        <v>71</v>
      </c>
      <c r="J573" t="s">
        <v>72</v>
      </c>
      <c r="K573" t="s">
        <v>73</v>
      </c>
      <c r="L573" t="s">
        <v>74</v>
      </c>
      <c r="M573" t="s">
        <v>974</v>
      </c>
      <c r="N573" t="s">
        <v>274</v>
      </c>
      <c r="O573" t="s">
        <v>975</v>
      </c>
      <c r="P573" t="s">
        <v>677</v>
      </c>
      <c r="Q573" t="s">
        <v>976</v>
      </c>
      <c r="R573" s="1">
        <v>46212</v>
      </c>
      <c r="S573" t="s">
        <v>679</v>
      </c>
      <c r="T573" t="s">
        <v>977</v>
      </c>
      <c r="U573" t="s">
        <v>681</v>
      </c>
      <c r="V573" t="s">
        <v>66</v>
      </c>
      <c r="W573" t="s">
        <v>66</v>
      </c>
      <c r="X573">
        <v>1165344</v>
      </c>
      <c r="Y573">
        <v>128187.84</v>
      </c>
      <c r="Z573">
        <v>231636</v>
      </c>
      <c r="AA573">
        <v>25479.96</v>
      </c>
      <c r="AB573">
        <v>1293531.8400000001</v>
      </c>
      <c r="AC573">
        <v>12</v>
      </c>
      <c r="AD573" t="s">
        <v>82</v>
      </c>
      <c r="AE573">
        <v>12</v>
      </c>
      <c r="AF573" t="s">
        <v>284</v>
      </c>
      <c r="AG573">
        <f>IFERROR(VLOOKUP(AF573,[1]STOK!J:O,6,0),"")</f>
        <v>12</v>
      </c>
      <c r="AH573" s="2">
        <f t="shared" si="16"/>
        <v>1</v>
      </c>
      <c r="AI573" t="s">
        <v>284</v>
      </c>
      <c r="AJ573" t="s">
        <v>285</v>
      </c>
      <c r="AK573" t="s">
        <v>286</v>
      </c>
      <c r="AL573" t="s">
        <v>86</v>
      </c>
      <c r="AM573">
        <v>21534</v>
      </c>
      <c r="AN573">
        <f t="shared" si="17"/>
        <v>21426.329999999998</v>
      </c>
      <c r="AO573" t="s">
        <v>66</v>
      </c>
      <c r="AP573">
        <v>0.5</v>
      </c>
      <c r="AQ573" t="s">
        <v>66</v>
      </c>
      <c r="AR573">
        <v>0</v>
      </c>
      <c r="AS573" t="s">
        <v>66</v>
      </c>
      <c r="AT573">
        <v>0</v>
      </c>
      <c r="AU573" t="s">
        <v>66</v>
      </c>
      <c r="AV573">
        <v>0</v>
      </c>
      <c r="AW573" t="s">
        <v>66</v>
      </c>
      <c r="AX573">
        <v>0</v>
      </c>
      <c r="AY573" t="s">
        <v>66</v>
      </c>
      <c r="AZ573">
        <v>0</v>
      </c>
      <c r="BA573" t="s">
        <v>66</v>
      </c>
      <c r="BB573">
        <v>0</v>
      </c>
      <c r="BC573">
        <v>0</v>
      </c>
      <c r="BD573">
        <v>257115.96</v>
      </c>
      <c r="BE573">
        <v>17371.36</v>
      </c>
      <c r="BF573">
        <v>0</v>
      </c>
      <c r="BG573" t="s">
        <v>87</v>
      </c>
      <c r="BH573" t="s">
        <v>66</v>
      </c>
      <c r="BI573">
        <v>0</v>
      </c>
      <c r="BJ573" t="s">
        <v>66</v>
      </c>
      <c r="BK573" t="s">
        <v>88</v>
      </c>
      <c r="BL573" t="s">
        <v>66</v>
      </c>
      <c r="BM573" t="s">
        <v>159</v>
      </c>
    </row>
    <row r="574" spans="1:65" x14ac:dyDescent="0.25">
      <c r="A574">
        <v>572</v>
      </c>
      <c r="B574" t="s">
        <v>972</v>
      </c>
      <c r="C574" t="s">
        <v>66</v>
      </c>
      <c r="D574" s="1">
        <v>46210</v>
      </c>
      <c r="E574" t="s">
        <v>973</v>
      </c>
      <c r="F574" t="s">
        <v>68</v>
      </c>
      <c r="G574" t="s">
        <v>69</v>
      </c>
      <c r="H574" t="s">
        <v>70</v>
      </c>
      <c r="I574" t="s">
        <v>71</v>
      </c>
      <c r="J574" t="s">
        <v>72</v>
      </c>
      <c r="K574" t="s">
        <v>73</v>
      </c>
      <c r="L574" t="s">
        <v>74</v>
      </c>
      <c r="M574" t="s">
        <v>974</v>
      </c>
      <c r="N574" t="s">
        <v>274</v>
      </c>
      <c r="O574" t="s">
        <v>975</v>
      </c>
      <c r="P574" t="s">
        <v>677</v>
      </c>
      <c r="Q574" t="s">
        <v>976</v>
      </c>
      <c r="R574" s="1">
        <v>46212</v>
      </c>
      <c r="S574" t="s">
        <v>679</v>
      </c>
      <c r="T574" t="s">
        <v>977</v>
      </c>
      <c r="U574" t="s">
        <v>681</v>
      </c>
      <c r="V574" t="s">
        <v>66</v>
      </c>
      <c r="W574" t="s">
        <v>66</v>
      </c>
      <c r="X574">
        <v>1165344</v>
      </c>
      <c r="Y574">
        <v>128187.84</v>
      </c>
      <c r="Z574">
        <v>238800</v>
      </c>
      <c r="AA574">
        <v>26268</v>
      </c>
      <c r="AB574">
        <v>1293531.8400000001</v>
      </c>
      <c r="AC574">
        <v>12</v>
      </c>
      <c r="AD574" t="s">
        <v>82</v>
      </c>
      <c r="AE574">
        <v>12</v>
      </c>
      <c r="AF574" t="s">
        <v>290</v>
      </c>
      <c r="AG574">
        <f>IFERROR(VLOOKUP(AF574,[1]STOK!J:O,6,0),"")</f>
        <v>12</v>
      </c>
      <c r="AH574" s="2">
        <f t="shared" si="16"/>
        <v>1</v>
      </c>
      <c r="AI574" t="s">
        <v>290</v>
      </c>
      <c r="AJ574" t="s">
        <v>291</v>
      </c>
      <c r="AK574" t="s">
        <v>292</v>
      </c>
      <c r="AL574" t="s">
        <v>86</v>
      </c>
      <c r="AM574">
        <v>22200</v>
      </c>
      <c r="AN574">
        <f t="shared" si="17"/>
        <v>22089</v>
      </c>
      <c r="AO574" t="s">
        <v>66</v>
      </c>
      <c r="AP574">
        <v>0.5</v>
      </c>
      <c r="AQ574" t="s">
        <v>66</v>
      </c>
      <c r="AR574">
        <v>0</v>
      </c>
      <c r="AS574" t="s">
        <v>66</v>
      </c>
      <c r="AT574">
        <v>0</v>
      </c>
      <c r="AU574" t="s">
        <v>66</v>
      </c>
      <c r="AV574">
        <v>0</v>
      </c>
      <c r="AW574" t="s">
        <v>66</v>
      </c>
      <c r="AX574">
        <v>0</v>
      </c>
      <c r="AY574" t="s">
        <v>66</v>
      </c>
      <c r="AZ574">
        <v>0</v>
      </c>
      <c r="BA574" t="s">
        <v>66</v>
      </c>
      <c r="BB574">
        <v>0</v>
      </c>
      <c r="BC574">
        <v>0</v>
      </c>
      <c r="BD574">
        <v>265068</v>
      </c>
      <c r="BE574">
        <v>18106.89</v>
      </c>
      <c r="BF574">
        <v>0</v>
      </c>
      <c r="BG574" t="s">
        <v>87</v>
      </c>
      <c r="BH574" t="s">
        <v>66</v>
      </c>
      <c r="BI574">
        <v>0</v>
      </c>
      <c r="BJ574" t="s">
        <v>66</v>
      </c>
      <c r="BK574" t="s">
        <v>88</v>
      </c>
      <c r="BL574" t="s">
        <v>66</v>
      </c>
      <c r="BM574" t="s">
        <v>159</v>
      </c>
    </row>
    <row r="575" spans="1:65" x14ac:dyDescent="0.25">
      <c r="A575">
        <v>573</v>
      </c>
      <c r="B575" t="s">
        <v>979</v>
      </c>
      <c r="C575" t="s">
        <v>68</v>
      </c>
      <c r="D575" s="1">
        <v>46210</v>
      </c>
      <c r="E575" t="s">
        <v>980</v>
      </c>
      <c r="F575" t="s">
        <v>68</v>
      </c>
      <c r="G575" t="s">
        <v>295</v>
      </c>
      <c r="H575" t="s">
        <v>296</v>
      </c>
      <c r="I575" t="s">
        <v>71</v>
      </c>
      <c r="J575" t="s">
        <v>72</v>
      </c>
      <c r="K575" t="s">
        <v>73</v>
      </c>
      <c r="L575" t="s">
        <v>74</v>
      </c>
      <c r="M575" t="s">
        <v>981</v>
      </c>
      <c r="N575" t="s">
        <v>76</v>
      </c>
      <c r="O575" t="s">
        <v>982</v>
      </c>
      <c r="P575" t="s">
        <v>983</v>
      </c>
      <c r="Q575" t="s">
        <v>984</v>
      </c>
      <c r="R575" s="1">
        <v>46211</v>
      </c>
      <c r="S575" t="s">
        <v>841</v>
      </c>
      <c r="T575" t="s">
        <v>913</v>
      </c>
      <c r="U575" t="s">
        <v>843</v>
      </c>
      <c r="V575" t="s">
        <v>66</v>
      </c>
      <c r="W575" t="s">
        <v>66</v>
      </c>
      <c r="X575">
        <v>369264</v>
      </c>
      <c r="Y575">
        <v>40619.040000000001</v>
      </c>
      <c r="Z575">
        <v>97020</v>
      </c>
      <c r="AA575">
        <v>10672.2</v>
      </c>
      <c r="AB575">
        <v>409883.04</v>
      </c>
      <c r="AC575">
        <v>6</v>
      </c>
      <c r="AD575" t="s">
        <v>82</v>
      </c>
      <c r="AE575">
        <v>6</v>
      </c>
      <c r="AF575" t="s">
        <v>128</v>
      </c>
      <c r="AG575">
        <f>IFERROR(VLOOKUP(AF575,[1]STOK!J:O,6,0),"")</f>
        <v>24</v>
      </c>
      <c r="AH575" s="2">
        <f t="shared" si="16"/>
        <v>0.25</v>
      </c>
      <c r="AI575" t="s">
        <v>128</v>
      </c>
      <c r="AJ575" t="s">
        <v>129</v>
      </c>
      <c r="AK575" t="s">
        <v>130</v>
      </c>
      <c r="AL575" t="s">
        <v>86</v>
      </c>
      <c r="AM575">
        <v>18315</v>
      </c>
      <c r="AN575">
        <f t="shared" si="17"/>
        <v>17948.7</v>
      </c>
      <c r="AO575" t="s">
        <v>66</v>
      </c>
      <c r="AP575">
        <v>2</v>
      </c>
      <c r="AQ575" t="s">
        <v>66</v>
      </c>
      <c r="AR575">
        <v>0</v>
      </c>
      <c r="AS575" t="s">
        <v>66</v>
      </c>
      <c r="AT575">
        <v>0</v>
      </c>
      <c r="AU575" t="s">
        <v>66</v>
      </c>
      <c r="AV575">
        <v>0</v>
      </c>
      <c r="AW575" t="s">
        <v>66</v>
      </c>
      <c r="AX575">
        <v>0</v>
      </c>
      <c r="AY575" t="s">
        <v>66</v>
      </c>
      <c r="AZ575">
        <v>0</v>
      </c>
      <c r="BA575" t="s">
        <v>66</v>
      </c>
      <c r="BB575">
        <v>0</v>
      </c>
      <c r="BC575">
        <v>0</v>
      </c>
      <c r="BD575">
        <v>107692.2</v>
      </c>
      <c r="BE575">
        <v>14907.75</v>
      </c>
      <c r="BF575">
        <v>0</v>
      </c>
      <c r="BG575" t="s">
        <v>87</v>
      </c>
      <c r="BH575" t="s">
        <v>66</v>
      </c>
      <c r="BI575">
        <v>0</v>
      </c>
      <c r="BJ575" t="s">
        <v>66</v>
      </c>
      <c r="BK575" t="s">
        <v>88</v>
      </c>
      <c r="BL575" t="s">
        <v>742</v>
      </c>
      <c r="BM575" t="s">
        <v>159</v>
      </c>
    </row>
    <row r="576" spans="1:65" x14ac:dyDescent="0.25">
      <c r="A576">
        <v>574</v>
      </c>
      <c r="B576" t="s">
        <v>979</v>
      </c>
      <c r="C576" t="s">
        <v>68</v>
      </c>
      <c r="D576" s="1">
        <v>46210</v>
      </c>
      <c r="E576" t="s">
        <v>980</v>
      </c>
      <c r="F576" t="s">
        <v>68</v>
      </c>
      <c r="G576" t="s">
        <v>295</v>
      </c>
      <c r="H576" t="s">
        <v>296</v>
      </c>
      <c r="I576" t="s">
        <v>71</v>
      </c>
      <c r="J576" t="s">
        <v>72</v>
      </c>
      <c r="K576" t="s">
        <v>73</v>
      </c>
      <c r="L576" t="s">
        <v>74</v>
      </c>
      <c r="M576" t="s">
        <v>981</v>
      </c>
      <c r="N576" t="s">
        <v>76</v>
      </c>
      <c r="O576" t="s">
        <v>982</v>
      </c>
      <c r="P576" t="s">
        <v>983</v>
      </c>
      <c r="Q576" t="s">
        <v>984</v>
      </c>
      <c r="R576" s="1">
        <v>46211</v>
      </c>
      <c r="S576" t="s">
        <v>841</v>
      </c>
      <c r="T576" t="s">
        <v>913</v>
      </c>
      <c r="U576" t="s">
        <v>843</v>
      </c>
      <c r="V576" t="s">
        <v>66</v>
      </c>
      <c r="W576" t="s">
        <v>66</v>
      </c>
      <c r="X576">
        <v>369264</v>
      </c>
      <c r="Y576">
        <v>40619.040000000001</v>
      </c>
      <c r="Z576">
        <v>97020</v>
      </c>
      <c r="AA576">
        <v>10672.2</v>
      </c>
      <c r="AB576">
        <v>409883.04</v>
      </c>
      <c r="AC576">
        <v>6</v>
      </c>
      <c r="AD576" t="s">
        <v>82</v>
      </c>
      <c r="AE576">
        <v>6</v>
      </c>
      <c r="AF576" t="s">
        <v>96</v>
      </c>
      <c r="AG576">
        <f>IFERROR(VLOOKUP(AF576,[1]STOK!J:O,6,0),"")</f>
        <v>24</v>
      </c>
      <c r="AH576" s="2">
        <f t="shared" si="16"/>
        <v>0.25</v>
      </c>
      <c r="AI576" t="s">
        <v>96</v>
      </c>
      <c r="AJ576" t="s">
        <v>97</v>
      </c>
      <c r="AK576" t="s">
        <v>98</v>
      </c>
      <c r="AL576" t="s">
        <v>86</v>
      </c>
      <c r="AM576">
        <v>18315</v>
      </c>
      <c r="AN576">
        <f t="shared" si="17"/>
        <v>17948.7</v>
      </c>
      <c r="AO576" t="s">
        <v>66</v>
      </c>
      <c r="AP576">
        <v>2</v>
      </c>
      <c r="AQ576" t="s">
        <v>66</v>
      </c>
      <c r="AR576">
        <v>0</v>
      </c>
      <c r="AS576" t="s">
        <v>66</v>
      </c>
      <c r="AT576">
        <v>0</v>
      </c>
      <c r="AU576" t="s">
        <v>66</v>
      </c>
      <c r="AV576">
        <v>0</v>
      </c>
      <c r="AW576" t="s">
        <v>66</v>
      </c>
      <c r="AX576">
        <v>0</v>
      </c>
      <c r="AY576" t="s">
        <v>66</v>
      </c>
      <c r="AZ576">
        <v>0</v>
      </c>
      <c r="BA576" t="s">
        <v>66</v>
      </c>
      <c r="BB576">
        <v>0</v>
      </c>
      <c r="BC576">
        <v>0</v>
      </c>
      <c r="BD576">
        <v>107692.2</v>
      </c>
      <c r="BE576">
        <v>14932.79</v>
      </c>
      <c r="BF576">
        <v>0</v>
      </c>
      <c r="BG576" t="s">
        <v>87</v>
      </c>
      <c r="BH576" t="s">
        <v>66</v>
      </c>
      <c r="BI576">
        <v>0</v>
      </c>
      <c r="BJ576" t="s">
        <v>66</v>
      </c>
      <c r="BK576" t="s">
        <v>88</v>
      </c>
      <c r="BL576" t="s">
        <v>742</v>
      </c>
      <c r="BM576" t="s">
        <v>159</v>
      </c>
    </row>
    <row r="577" spans="1:65" x14ac:dyDescent="0.25">
      <c r="A577">
        <v>575</v>
      </c>
      <c r="B577" t="s">
        <v>979</v>
      </c>
      <c r="C577" t="s">
        <v>68</v>
      </c>
      <c r="D577" s="1">
        <v>46210</v>
      </c>
      <c r="E577" t="s">
        <v>980</v>
      </c>
      <c r="F577" t="s">
        <v>68</v>
      </c>
      <c r="G577" t="s">
        <v>295</v>
      </c>
      <c r="H577" t="s">
        <v>296</v>
      </c>
      <c r="I577" t="s">
        <v>71</v>
      </c>
      <c r="J577" t="s">
        <v>72</v>
      </c>
      <c r="K577" t="s">
        <v>73</v>
      </c>
      <c r="L577" t="s">
        <v>74</v>
      </c>
      <c r="M577" t="s">
        <v>981</v>
      </c>
      <c r="N577" t="s">
        <v>76</v>
      </c>
      <c r="O577" t="s">
        <v>982</v>
      </c>
      <c r="P577" t="s">
        <v>983</v>
      </c>
      <c r="Q577" t="s">
        <v>984</v>
      </c>
      <c r="R577" s="1">
        <v>46211</v>
      </c>
      <c r="S577" t="s">
        <v>841</v>
      </c>
      <c r="T577" t="s">
        <v>913</v>
      </c>
      <c r="U577" t="s">
        <v>843</v>
      </c>
      <c r="V577" t="s">
        <v>66</v>
      </c>
      <c r="W577" t="s">
        <v>66</v>
      </c>
      <c r="X577">
        <v>369264</v>
      </c>
      <c r="Y577">
        <v>40619.040000000001</v>
      </c>
      <c r="Z577">
        <v>97020</v>
      </c>
      <c r="AA577">
        <v>10672.2</v>
      </c>
      <c r="AB577">
        <v>409883.04</v>
      </c>
      <c r="AC577">
        <v>6</v>
      </c>
      <c r="AD577" t="s">
        <v>82</v>
      </c>
      <c r="AE577">
        <v>6</v>
      </c>
      <c r="AF577" t="s">
        <v>99</v>
      </c>
      <c r="AG577">
        <f>IFERROR(VLOOKUP(AF577,[1]STOK!J:O,6,0),"")</f>
        <v>24</v>
      </c>
      <c r="AH577" s="2">
        <f t="shared" si="16"/>
        <v>0.25</v>
      </c>
      <c r="AI577" t="s">
        <v>99</v>
      </c>
      <c r="AJ577" t="s">
        <v>100</v>
      </c>
      <c r="AK577" t="s">
        <v>101</v>
      </c>
      <c r="AL577" t="s">
        <v>86</v>
      </c>
      <c r="AM577">
        <v>18315</v>
      </c>
      <c r="AN577">
        <f t="shared" si="17"/>
        <v>17948.7</v>
      </c>
      <c r="AO577" t="s">
        <v>66</v>
      </c>
      <c r="AP577">
        <v>2</v>
      </c>
      <c r="AQ577" t="s">
        <v>66</v>
      </c>
      <c r="AR577">
        <v>0</v>
      </c>
      <c r="AS577" t="s">
        <v>66</v>
      </c>
      <c r="AT577">
        <v>0</v>
      </c>
      <c r="AU577" t="s">
        <v>66</v>
      </c>
      <c r="AV577">
        <v>0</v>
      </c>
      <c r="AW577" t="s">
        <v>66</v>
      </c>
      <c r="AX577">
        <v>0</v>
      </c>
      <c r="AY577" t="s">
        <v>66</v>
      </c>
      <c r="AZ577">
        <v>0</v>
      </c>
      <c r="BA577" t="s">
        <v>66</v>
      </c>
      <c r="BB577">
        <v>0</v>
      </c>
      <c r="BC577">
        <v>0</v>
      </c>
      <c r="BD577">
        <v>107692.2</v>
      </c>
      <c r="BE577">
        <v>14915.33</v>
      </c>
      <c r="BF577">
        <v>0</v>
      </c>
      <c r="BG577" t="s">
        <v>87</v>
      </c>
      <c r="BH577" t="s">
        <v>66</v>
      </c>
      <c r="BI577">
        <v>0</v>
      </c>
      <c r="BJ577" t="s">
        <v>66</v>
      </c>
      <c r="BK577" t="s">
        <v>88</v>
      </c>
      <c r="BL577" t="s">
        <v>742</v>
      </c>
      <c r="BM577" t="s">
        <v>159</v>
      </c>
    </row>
    <row r="578" spans="1:65" x14ac:dyDescent="0.25">
      <c r="A578">
        <v>576</v>
      </c>
      <c r="B578" t="s">
        <v>979</v>
      </c>
      <c r="C578" t="s">
        <v>68</v>
      </c>
      <c r="D578" s="1">
        <v>46210</v>
      </c>
      <c r="E578" t="s">
        <v>980</v>
      </c>
      <c r="F578" t="s">
        <v>68</v>
      </c>
      <c r="G578" t="s">
        <v>295</v>
      </c>
      <c r="H578" t="s">
        <v>296</v>
      </c>
      <c r="I578" t="s">
        <v>71</v>
      </c>
      <c r="J578" t="s">
        <v>72</v>
      </c>
      <c r="K578" t="s">
        <v>73</v>
      </c>
      <c r="L578" t="s">
        <v>74</v>
      </c>
      <c r="M578" t="s">
        <v>981</v>
      </c>
      <c r="N578" t="s">
        <v>76</v>
      </c>
      <c r="O578" t="s">
        <v>982</v>
      </c>
      <c r="P578" t="s">
        <v>983</v>
      </c>
      <c r="Q578" t="s">
        <v>984</v>
      </c>
      <c r="R578" s="1">
        <v>46211</v>
      </c>
      <c r="S578" t="s">
        <v>841</v>
      </c>
      <c r="T578" t="s">
        <v>913</v>
      </c>
      <c r="U578" t="s">
        <v>843</v>
      </c>
      <c r="V578" t="s">
        <v>66</v>
      </c>
      <c r="W578" t="s">
        <v>66</v>
      </c>
      <c r="X578">
        <v>369264</v>
      </c>
      <c r="Y578">
        <v>40619.040000000001</v>
      </c>
      <c r="Z578">
        <v>78204</v>
      </c>
      <c r="AA578">
        <v>8602.44</v>
      </c>
      <c r="AB578">
        <v>409883.04</v>
      </c>
      <c r="AC578">
        <v>6</v>
      </c>
      <c r="AD578" t="s">
        <v>82</v>
      </c>
      <c r="AE578">
        <v>6</v>
      </c>
      <c r="AF578" t="s">
        <v>135</v>
      </c>
      <c r="AG578">
        <f>IFERROR(VLOOKUP(AF578,[1]STOK!J:O,6,0),"")</f>
        <v>12</v>
      </c>
      <c r="AH578" s="2">
        <f t="shared" si="16"/>
        <v>0.5</v>
      </c>
      <c r="AI578" t="s">
        <v>135</v>
      </c>
      <c r="AJ578" t="s">
        <v>136</v>
      </c>
      <c r="AK578" t="s">
        <v>137</v>
      </c>
      <c r="AL578" t="s">
        <v>86</v>
      </c>
      <c r="AM578">
        <v>14763</v>
      </c>
      <c r="AN578">
        <f t="shared" si="17"/>
        <v>14467.74</v>
      </c>
      <c r="AO578" t="s">
        <v>66</v>
      </c>
      <c r="AP578">
        <v>2</v>
      </c>
      <c r="AQ578" t="s">
        <v>66</v>
      </c>
      <c r="AR578">
        <v>0</v>
      </c>
      <c r="AS578" t="s">
        <v>66</v>
      </c>
      <c r="AT578">
        <v>0</v>
      </c>
      <c r="AU578" t="s">
        <v>66</v>
      </c>
      <c r="AV578">
        <v>0</v>
      </c>
      <c r="AW578" t="s">
        <v>66</v>
      </c>
      <c r="AX578">
        <v>0</v>
      </c>
      <c r="AY578" t="s">
        <v>66</v>
      </c>
      <c r="AZ578">
        <v>0</v>
      </c>
      <c r="BA578" t="s">
        <v>66</v>
      </c>
      <c r="BB578">
        <v>0</v>
      </c>
      <c r="BC578">
        <v>0</v>
      </c>
      <c r="BD578">
        <v>86806.44</v>
      </c>
      <c r="BE578">
        <v>12026.74</v>
      </c>
      <c r="BF578">
        <v>0</v>
      </c>
      <c r="BG578" t="s">
        <v>87</v>
      </c>
      <c r="BH578" t="s">
        <v>66</v>
      </c>
      <c r="BI578">
        <v>0</v>
      </c>
      <c r="BJ578" t="s">
        <v>66</v>
      </c>
      <c r="BK578" t="s">
        <v>88</v>
      </c>
      <c r="BL578" t="s">
        <v>742</v>
      </c>
      <c r="BM578" t="s">
        <v>159</v>
      </c>
    </row>
    <row r="579" spans="1:65" x14ac:dyDescent="0.25">
      <c r="A579">
        <v>577</v>
      </c>
      <c r="B579" t="s">
        <v>985</v>
      </c>
      <c r="C579" t="s">
        <v>68</v>
      </c>
      <c r="D579" s="1">
        <v>46210</v>
      </c>
      <c r="E579" t="s">
        <v>986</v>
      </c>
      <c r="F579" t="s">
        <v>68</v>
      </c>
      <c r="G579" t="s">
        <v>295</v>
      </c>
      <c r="H579" t="s">
        <v>296</v>
      </c>
      <c r="I579" t="s">
        <v>71</v>
      </c>
      <c r="J579" t="s">
        <v>72</v>
      </c>
      <c r="K579" t="s">
        <v>73</v>
      </c>
      <c r="L579" t="s">
        <v>74</v>
      </c>
      <c r="M579" t="s">
        <v>987</v>
      </c>
      <c r="N579" t="s">
        <v>76</v>
      </c>
      <c r="O579" t="s">
        <v>988</v>
      </c>
      <c r="P579" t="s">
        <v>989</v>
      </c>
      <c r="Q579" t="s">
        <v>990</v>
      </c>
      <c r="R579" s="1">
        <v>46213</v>
      </c>
      <c r="S579" t="s">
        <v>841</v>
      </c>
      <c r="T579" t="s">
        <v>842</v>
      </c>
      <c r="U579" t="s">
        <v>843</v>
      </c>
      <c r="V579" t="s">
        <v>66</v>
      </c>
      <c r="W579" t="s">
        <v>66</v>
      </c>
      <c r="X579">
        <v>940506</v>
      </c>
      <c r="Y579">
        <v>103455.66</v>
      </c>
      <c r="Z579">
        <v>23226</v>
      </c>
      <c r="AA579">
        <v>2554.86</v>
      </c>
      <c r="AB579">
        <v>1043961.66</v>
      </c>
      <c r="AC579">
        <v>3</v>
      </c>
      <c r="AD579" t="s">
        <v>82</v>
      </c>
      <c r="AE579">
        <v>3</v>
      </c>
      <c r="AF579" t="s">
        <v>199</v>
      </c>
      <c r="AG579">
        <f>IFERROR(VLOOKUP(AF579,[1]STOK!J:O,6,0),"")</f>
        <v>24</v>
      </c>
      <c r="AH579" s="2">
        <f t="shared" si="16"/>
        <v>0.125</v>
      </c>
      <c r="AI579" t="s">
        <v>199</v>
      </c>
      <c r="AJ579" t="s">
        <v>200</v>
      </c>
      <c r="AK579" t="s">
        <v>201</v>
      </c>
      <c r="AL579" t="s">
        <v>86</v>
      </c>
      <c r="AM579">
        <v>8769</v>
      </c>
      <c r="AN579">
        <f t="shared" si="17"/>
        <v>8593.6200000000008</v>
      </c>
      <c r="AO579" t="s">
        <v>66</v>
      </c>
      <c r="AP579">
        <v>2</v>
      </c>
      <c r="AQ579" t="s">
        <v>66</v>
      </c>
      <c r="AR579">
        <v>0</v>
      </c>
      <c r="AS579" t="s">
        <v>66</v>
      </c>
      <c r="AT579">
        <v>0</v>
      </c>
      <c r="AU579" t="s">
        <v>66</v>
      </c>
      <c r="AV579">
        <v>0</v>
      </c>
      <c r="AW579" t="s">
        <v>66</v>
      </c>
      <c r="AX579">
        <v>0</v>
      </c>
      <c r="AY579" t="s">
        <v>66</v>
      </c>
      <c r="AZ579">
        <v>0</v>
      </c>
      <c r="BA579" t="s">
        <v>66</v>
      </c>
      <c r="BB579">
        <v>0</v>
      </c>
      <c r="BC579">
        <v>0</v>
      </c>
      <c r="BD579">
        <v>25780.86</v>
      </c>
      <c r="BE579">
        <v>7114.38</v>
      </c>
      <c r="BF579">
        <v>0</v>
      </c>
      <c r="BG579" t="s">
        <v>87</v>
      </c>
      <c r="BH579" t="s">
        <v>66</v>
      </c>
      <c r="BI579">
        <v>0</v>
      </c>
      <c r="BJ579" t="s">
        <v>66</v>
      </c>
      <c r="BK579" t="s">
        <v>88</v>
      </c>
      <c r="BL579" t="s">
        <v>719</v>
      </c>
      <c r="BM579" t="s">
        <v>159</v>
      </c>
    </row>
    <row r="580" spans="1:65" x14ac:dyDescent="0.25">
      <c r="A580">
        <v>578</v>
      </c>
      <c r="B580" t="s">
        <v>985</v>
      </c>
      <c r="C580" t="s">
        <v>68</v>
      </c>
      <c r="D580" s="1">
        <v>46210</v>
      </c>
      <c r="E580" t="s">
        <v>986</v>
      </c>
      <c r="F580" t="s">
        <v>68</v>
      </c>
      <c r="G580" t="s">
        <v>295</v>
      </c>
      <c r="H580" t="s">
        <v>296</v>
      </c>
      <c r="I580" t="s">
        <v>71</v>
      </c>
      <c r="J580" t="s">
        <v>72</v>
      </c>
      <c r="K580" t="s">
        <v>73</v>
      </c>
      <c r="L580" t="s">
        <v>74</v>
      </c>
      <c r="M580" t="s">
        <v>987</v>
      </c>
      <c r="N580" t="s">
        <v>76</v>
      </c>
      <c r="O580" t="s">
        <v>988</v>
      </c>
      <c r="P580" t="s">
        <v>989</v>
      </c>
      <c r="Q580" t="s">
        <v>990</v>
      </c>
      <c r="R580" s="1">
        <v>46213</v>
      </c>
      <c r="S580" t="s">
        <v>841</v>
      </c>
      <c r="T580" t="s">
        <v>842</v>
      </c>
      <c r="U580" t="s">
        <v>843</v>
      </c>
      <c r="V580" t="s">
        <v>66</v>
      </c>
      <c r="W580" t="s">
        <v>66</v>
      </c>
      <c r="X580">
        <v>940506</v>
      </c>
      <c r="Y580">
        <v>103455.66</v>
      </c>
      <c r="Z580">
        <v>97020</v>
      </c>
      <c r="AA580">
        <v>10672.2</v>
      </c>
      <c r="AB580">
        <v>1043961.66</v>
      </c>
      <c r="AC580">
        <v>6</v>
      </c>
      <c r="AD580" t="s">
        <v>82</v>
      </c>
      <c r="AE580">
        <v>6</v>
      </c>
      <c r="AF580" t="s">
        <v>128</v>
      </c>
      <c r="AG580">
        <f>IFERROR(VLOOKUP(AF580,[1]STOK!J:O,6,0),"")</f>
        <v>24</v>
      </c>
      <c r="AH580" s="2">
        <f t="shared" ref="AH580:AH643" si="18">AE580/AG580</f>
        <v>0.25</v>
      </c>
      <c r="AI580" t="s">
        <v>128</v>
      </c>
      <c r="AJ580" t="s">
        <v>129</v>
      </c>
      <c r="AK580" t="s">
        <v>130</v>
      </c>
      <c r="AL580" t="s">
        <v>86</v>
      </c>
      <c r="AM580">
        <v>18315</v>
      </c>
      <c r="AN580">
        <f t="shared" ref="AN580:AN643" si="19">BD580/AC580</f>
        <v>17948.7</v>
      </c>
      <c r="AO580" t="s">
        <v>66</v>
      </c>
      <c r="AP580">
        <v>2</v>
      </c>
      <c r="AQ580" t="s">
        <v>66</v>
      </c>
      <c r="AR580">
        <v>0</v>
      </c>
      <c r="AS580" t="s">
        <v>66</v>
      </c>
      <c r="AT580">
        <v>0</v>
      </c>
      <c r="AU580" t="s">
        <v>66</v>
      </c>
      <c r="AV580">
        <v>0</v>
      </c>
      <c r="AW580" t="s">
        <v>66</v>
      </c>
      <c r="AX580">
        <v>0</v>
      </c>
      <c r="AY580" t="s">
        <v>66</v>
      </c>
      <c r="AZ580">
        <v>0</v>
      </c>
      <c r="BA580" t="s">
        <v>66</v>
      </c>
      <c r="BB580">
        <v>0</v>
      </c>
      <c r="BC580">
        <v>0</v>
      </c>
      <c r="BD580">
        <v>107692.2</v>
      </c>
      <c r="BE580">
        <v>14907.75</v>
      </c>
      <c r="BF580">
        <v>0</v>
      </c>
      <c r="BG580" t="s">
        <v>87</v>
      </c>
      <c r="BH580" t="s">
        <v>66</v>
      </c>
      <c r="BI580">
        <v>0</v>
      </c>
      <c r="BJ580" t="s">
        <v>66</v>
      </c>
      <c r="BK580" t="s">
        <v>88</v>
      </c>
      <c r="BL580" t="s">
        <v>719</v>
      </c>
      <c r="BM580" t="s">
        <v>159</v>
      </c>
    </row>
    <row r="581" spans="1:65" x14ac:dyDescent="0.25">
      <c r="A581">
        <v>579</v>
      </c>
      <c r="B581" t="s">
        <v>985</v>
      </c>
      <c r="C581" t="s">
        <v>68</v>
      </c>
      <c r="D581" s="1">
        <v>46210</v>
      </c>
      <c r="E581" t="s">
        <v>986</v>
      </c>
      <c r="F581" t="s">
        <v>68</v>
      </c>
      <c r="G581" t="s">
        <v>295</v>
      </c>
      <c r="H581" t="s">
        <v>296</v>
      </c>
      <c r="I581" t="s">
        <v>71</v>
      </c>
      <c r="J581" t="s">
        <v>72</v>
      </c>
      <c r="K581" t="s">
        <v>73</v>
      </c>
      <c r="L581" t="s">
        <v>74</v>
      </c>
      <c r="M581" t="s">
        <v>987</v>
      </c>
      <c r="N581" t="s">
        <v>76</v>
      </c>
      <c r="O581" t="s">
        <v>988</v>
      </c>
      <c r="P581" t="s">
        <v>989</v>
      </c>
      <c r="Q581" t="s">
        <v>990</v>
      </c>
      <c r="R581" s="1">
        <v>46213</v>
      </c>
      <c r="S581" t="s">
        <v>841</v>
      </c>
      <c r="T581" t="s">
        <v>842</v>
      </c>
      <c r="U581" t="s">
        <v>843</v>
      </c>
      <c r="V581" t="s">
        <v>66</v>
      </c>
      <c r="W581" t="s">
        <v>66</v>
      </c>
      <c r="X581">
        <v>940506</v>
      </c>
      <c r="Y581">
        <v>103455.66</v>
      </c>
      <c r="Z581">
        <v>97020</v>
      </c>
      <c r="AA581">
        <v>10672.2</v>
      </c>
      <c r="AB581">
        <v>1043961.66</v>
      </c>
      <c r="AC581">
        <v>6</v>
      </c>
      <c r="AD581" t="s">
        <v>82</v>
      </c>
      <c r="AE581">
        <v>6</v>
      </c>
      <c r="AF581" t="s">
        <v>93</v>
      </c>
      <c r="AG581">
        <f>IFERROR(VLOOKUP(AF581,[1]STOK!J:O,6,0),"")</f>
        <v>24</v>
      </c>
      <c r="AH581" s="2">
        <f t="shared" si="18"/>
        <v>0.25</v>
      </c>
      <c r="AI581" t="s">
        <v>93</v>
      </c>
      <c r="AJ581" t="s">
        <v>94</v>
      </c>
      <c r="AK581" t="s">
        <v>95</v>
      </c>
      <c r="AL581" t="s">
        <v>86</v>
      </c>
      <c r="AM581">
        <v>18315</v>
      </c>
      <c r="AN581">
        <f t="shared" si="19"/>
        <v>17948.7</v>
      </c>
      <c r="AO581" t="s">
        <v>66</v>
      </c>
      <c r="AP581">
        <v>2</v>
      </c>
      <c r="AQ581" t="s">
        <v>66</v>
      </c>
      <c r="AR581">
        <v>0</v>
      </c>
      <c r="AS581" t="s">
        <v>66</v>
      </c>
      <c r="AT581">
        <v>0</v>
      </c>
      <c r="AU581" t="s">
        <v>66</v>
      </c>
      <c r="AV581">
        <v>0</v>
      </c>
      <c r="AW581" t="s">
        <v>66</v>
      </c>
      <c r="AX581">
        <v>0</v>
      </c>
      <c r="AY581" t="s">
        <v>66</v>
      </c>
      <c r="AZ581">
        <v>0</v>
      </c>
      <c r="BA581" t="s">
        <v>66</v>
      </c>
      <c r="BB581">
        <v>0</v>
      </c>
      <c r="BC581">
        <v>0</v>
      </c>
      <c r="BD581">
        <v>107692.2</v>
      </c>
      <c r="BE581">
        <v>14931.72</v>
      </c>
      <c r="BF581">
        <v>0</v>
      </c>
      <c r="BG581" t="s">
        <v>87</v>
      </c>
      <c r="BH581" t="s">
        <v>66</v>
      </c>
      <c r="BI581">
        <v>0</v>
      </c>
      <c r="BJ581" t="s">
        <v>66</v>
      </c>
      <c r="BK581" t="s">
        <v>88</v>
      </c>
      <c r="BL581" t="s">
        <v>719</v>
      </c>
      <c r="BM581" t="s">
        <v>159</v>
      </c>
    </row>
    <row r="582" spans="1:65" x14ac:dyDescent="0.25">
      <c r="A582">
        <v>580</v>
      </c>
      <c r="B582" t="s">
        <v>985</v>
      </c>
      <c r="C582" t="s">
        <v>68</v>
      </c>
      <c r="D582" s="1">
        <v>46210</v>
      </c>
      <c r="E582" t="s">
        <v>986</v>
      </c>
      <c r="F582" t="s">
        <v>68</v>
      </c>
      <c r="G582" t="s">
        <v>295</v>
      </c>
      <c r="H582" t="s">
        <v>296</v>
      </c>
      <c r="I582" t="s">
        <v>71</v>
      </c>
      <c r="J582" t="s">
        <v>72</v>
      </c>
      <c r="K582" t="s">
        <v>73</v>
      </c>
      <c r="L582" t="s">
        <v>74</v>
      </c>
      <c r="M582" t="s">
        <v>987</v>
      </c>
      <c r="N582" t="s">
        <v>76</v>
      </c>
      <c r="O582" t="s">
        <v>988</v>
      </c>
      <c r="P582" t="s">
        <v>989</v>
      </c>
      <c r="Q582" t="s">
        <v>990</v>
      </c>
      <c r="R582" s="1">
        <v>46213</v>
      </c>
      <c r="S582" t="s">
        <v>841</v>
      </c>
      <c r="T582" t="s">
        <v>842</v>
      </c>
      <c r="U582" t="s">
        <v>843</v>
      </c>
      <c r="V582" t="s">
        <v>66</v>
      </c>
      <c r="W582" t="s">
        <v>66</v>
      </c>
      <c r="X582">
        <v>940506</v>
      </c>
      <c r="Y582">
        <v>103455.66</v>
      </c>
      <c r="Z582">
        <v>97020</v>
      </c>
      <c r="AA582">
        <v>10672.2</v>
      </c>
      <c r="AB582">
        <v>1043961.66</v>
      </c>
      <c r="AC582">
        <v>6</v>
      </c>
      <c r="AD582" t="s">
        <v>82</v>
      </c>
      <c r="AE582">
        <v>6</v>
      </c>
      <c r="AF582" t="s">
        <v>96</v>
      </c>
      <c r="AG582">
        <f>IFERROR(VLOOKUP(AF582,[1]STOK!J:O,6,0),"")</f>
        <v>24</v>
      </c>
      <c r="AH582" s="2">
        <f t="shared" si="18"/>
        <v>0.25</v>
      </c>
      <c r="AI582" t="s">
        <v>96</v>
      </c>
      <c r="AJ582" t="s">
        <v>97</v>
      </c>
      <c r="AK582" t="s">
        <v>98</v>
      </c>
      <c r="AL582" t="s">
        <v>86</v>
      </c>
      <c r="AM582">
        <v>18315</v>
      </c>
      <c r="AN582">
        <f t="shared" si="19"/>
        <v>17948.7</v>
      </c>
      <c r="AO582" t="s">
        <v>66</v>
      </c>
      <c r="AP582">
        <v>2</v>
      </c>
      <c r="AQ582" t="s">
        <v>66</v>
      </c>
      <c r="AR582">
        <v>0</v>
      </c>
      <c r="AS582" t="s">
        <v>66</v>
      </c>
      <c r="AT582">
        <v>0</v>
      </c>
      <c r="AU582" t="s">
        <v>66</v>
      </c>
      <c r="AV582">
        <v>0</v>
      </c>
      <c r="AW582" t="s">
        <v>66</v>
      </c>
      <c r="AX582">
        <v>0</v>
      </c>
      <c r="AY582" t="s">
        <v>66</v>
      </c>
      <c r="AZ582">
        <v>0</v>
      </c>
      <c r="BA582" t="s">
        <v>66</v>
      </c>
      <c r="BB582">
        <v>0</v>
      </c>
      <c r="BC582">
        <v>0</v>
      </c>
      <c r="BD582">
        <v>107692.2</v>
      </c>
      <c r="BE582">
        <v>14932.79</v>
      </c>
      <c r="BF582">
        <v>0</v>
      </c>
      <c r="BG582" t="s">
        <v>87</v>
      </c>
      <c r="BH582" t="s">
        <v>66</v>
      </c>
      <c r="BI582">
        <v>0</v>
      </c>
      <c r="BJ582" t="s">
        <v>66</v>
      </c>
      <c r="BK582" t="s">
        <v>88</v>
      </c>
      <c r="BL582" t="s">
        <v>719</v>
      </c>
      <c r="BM582" t="s">
        <v>159</v>
      </c>
    </row>
    <row r="583" spans="1:65" x14ac:dyDescent="0.25">
      <c r="A583">
        <v>581</v>
      </c>
      <c r="B583" t="s">
        <v>985</v>
      </c>
      <c r="C583" t="s">
        <v>68</v>
      </c>
      <c r="D583" s="1">
        <v>46210</v>
      </c>
      <c r="E583" t="s">
        <v>986</v>
      </c>
      <c r="F583" t="s">
        <v>68</v>
      </c>
      <c r="G583" t="s">
        <v>295</v>
      </c>
      <c r="H583" t="s">
        <v>296</v>
      </c>
      <c r="I583" t="s">
        <v>71</v>
      </c>
      <c r="J583" t="s">
        <v>72</v>
      </c>
      <c r="K583" t="s">
        <v>73</v>
      </c>
      <c r="L583" t="s">
        <v>74</v>
      </c>
      <c r="M583" t="s">
        <v>987</v>
      </c>
      <c r="N583" t="s">
        <v>76</v>
      </c>
      <c r="O583" t="s">
        <v>988</v>
      </c>
      <c r="P583" t="s">
        <v>989</v>
      </c>
      <c r="Q583" t="s">
        <v>990</v>
      </c>
      <c r="R583" s="1">
        <v>46213</v>
      </c>
      <c r="S583" t="s">
        <v>841</v>
      </c>
      <c r="T583" t="s">
        <v>842</v>
      </c>
      <c r="U583" t="s">
        <v>843</v>
      </c>
      <c r="V583" t="s">
        <v>66</v>
      </c>
      <c r="W583" t="s">
        <v>66</v>
      </c>
      <c r="X583">
        <v>940506</v>
      </c>
      <c r="Y583">
        <v>103455.66</v>
      </c>
      <c r="Z583">
        <v>97020</v>
      </c>
      <c r="AA583">
        <v>10672.2</v>
      </c>
      <c r="AB583">
        <v>1043961.66</v>
      </c>
      <c r="AC583">
        <v>6</v>
      </c>
      <c r="AD583" t="s">
        <v>82</v>
      </c>
      <c r="AE583">
        <v>6</v>
      </c>
      <c r="AF583" t="s">
        <v>99</v>
      </c>
      <c r="AG583">
        <f>IFERROR(VLOOKUP(AF583,[1]STOK!J:O,6,0),"")</f>
        <v>24</v>
      </c>
      <c r="AH583" s="2">
        <f t="shared" si="18"/>
        <v>0.25</v>
      </c>
      <c r="AI583" t="s">
        <v>99</v>
      </c>
      <c r="AJ583" t="s">
        <v>100</v>
      </c>
      <c r="AK583" t="s">
        <v>101</v>
      </c>
      <c r="AL583" t="s">
        <v>86</v>
      </c>
      <c r="AM583">
        <v>18315</v>
      </c>
      <c r="AN583">
        <f t="shared" si="19"/>
        <v>17948.7</v>
      </c>
      <c r="AO583" t="s">
        <v>66</v>
      </c>
      <c r="AP583">
        <v>2</v>
      </c>
      <c r="AQ583" t="s">
        <v>66</v>
      </c>
      <c r="AR583">
        <v>0</v>
      </c>
      <c r="AS583" t="s">
        <v>66</v>
      </c>
      <c r="AT583">
        <v>0</v>
      </c>
      <c r="AU583" t="s">
        <v>66</v>
      </c>
      <c r="AV583">
        <v>0</v>
      </c>
      <c r="AW583" t="s">
        <v>66</v>
      </c>
      <c r="AX583">
        <v>0</v>
      </c>
      <c r="AY583" t="s">
        <v>66</v>
      </c>
      <c r="AZ583">
        <v>0</v>
      </c>
      <c r="BA583" t="s">
        <v>66</v>
      </c>
      <c r="BB583">
        <v>0</v>
      </c>
      <c r="BC583">
        <v>0</v>
      </c>
      <c r="BD583">
        <v>107692.2</v>
      </c>
      <c r="BE583">
        <v>14915.33</v>
      </c>
      <c r="BF583">
        <v>0</v>
      </c>
      <c r="BG583" t="s">
        <v>87</v>
      </c>
      <c r="BH583" t="s">
        <v>66</v>
      </c>
      <c r="BI583">
        <v>0</v>
      </c>
      <c r="BJ583" t="s">
        <v>66</v>
      </c>
      <c r="BK583" t="s">
        <v>88</v>
      </c>
      <c r="BL583" t="s">
        <v>719</v>
      </c>
      <c r="BM583" t="s">
        <v>159</v>
      </c>
    </row>
    <row r="584" spans="1:65" x14ac:dyDescent="0.25">
      <c r="A584">
        <v>582</v>
      </c>
      <c r="B584" t="s">
        <v>985</v>
      </c>
      <c r="C584" t="s">
        <v>68</v>
      </c>
      <c r="D584" s="1">
        <v>46210</v>
      </c>
      <c r="E584" t="s">
        <v>986</v>
      </c>
      <c r="F584" t="s">
        <v>68</v>
      </c>
      <c r="G584" t="s">
        <v>295</v>
      </c>
      <c r="H584" t="s">
        <v>296</v>
      </c>
      <c r="I584" t="s">
        <v>71</v>
      </c>
      <c r="J584" t="s">
        <v>72</v>
      </c>
      <c r="K584" t="s">
        <v>73</v>
      </c>
      <c r="L584" t="s">
        <v>74</v>
      </c>
      <c r="M584" t="s">
        <v>987</v>
      </c>
      <c r="N584" t="s">
        <v>76</v>
      </c>
      <c r="O584" t="s">
        <v>988</v>
      </c>
      <c r="P584" t="s">
        <v>989</v>
      </c>
      <c r="Q584" t="s">
        <v>990</v>
      </c>
      <c r="R584" s="1">
        <v>46213</v>
      </c>
      <c r="S584" t="s">
        <v>841</v>
      </c>
      <c r="T584" t="s">
        <v>842</v>
      </c>
      <c r="U584" t="s">
        <v>843</v>
      </c>
      <c r="V584" t="s">
        <v>66</v>
      </c>
      <c r="W584" t="s">
        <v>66</v>
      </c>
      <c r="X584">
        <v>940506</v>
      </c>
      <c r="Y584">
        <v>103455.66</v>
      </c>
      <c r="Z584">
        <v>114072</v>
      </c>
      <c r="AA584">
        <v>12547.92</v>
      </c>
      <c r="AB584">
        <v>1043961.66</v>
      </c>
      <c r="AC584">
        <v>6</v>
      </c>
      <c r="AD584" t="s">
        <v>82</v>
      </c>
      <c r="AE584">
        <v>6</v>
      </c>
      <c r="AF584" t="s">
        <v>470</v>
      </c>
      <c r="AG584">
        <f>IFERROR(VLOOKUP(AF584,[1]STOK!J:O,6,0),"")</f>
        <v>24</v>
      </c>
      <c r="AH584" s="2">
        <f t="shared" si="18"/>
        <v>0.25</v>
      </c>
      <c r="AI584" t="s">
        <v>470</v>
      </c>
      <c r="AJ584" t="s">
        <v>471</v>
      </c>
      <c r="AK584" t="s">
        <v>472</v>
      </c>
      <c r="AL584" t="s">
        <v>86</v>
      </c>
      <c r="AM584">
        <v>21534</v>
      </c>
      <c r="AN584">
        <f t="shared" si="19"/>
        <v>21103.32</v>
      </c>
      <c r="AO584" t="s">
        <v>66</v>
      </c>
      <c r="AP584">
        <v>2</v>
      </c>
      <c r="AQ584" t="s">
        <v>66</v>
      </c>
      <c r="AR584">
        <v>0</v>
      </c>
      <c r="AS584" t="s">
        <v>66</v>
      </c>
      <c r="AT584">
        <v>0</v>
      </c>
      <c r="AU584" t="s">
        <v>66</v>
      </c>
      <c r="AV584">
        <v>0</v>
      </c>
      <c r="AW584" t="s">
        <v>66</v>
      </c>
      <c r="AX584">
        <v>0</v>
      </c>
      <c r="AY584" t="s">
        <v>66</v>
      </c>
      <c r="AZ584">
        <v>0</v>
      </c>
      <c r="BA584" t="s">
        <v>66</v>
      </c>
      <c r="BB584">
        <v>0</v>
      </c>
      <c r="BC584">
        <v>0</v>
      </c>
      <c r="BD584">
        <v>126619.92</v>
      </c>
      <c r="BE584">
        <v>17421.95</v>
      </c>
      <c r="BF584">
        <v>0</v>
      </c>
      <c r="BG584" t="s">
        <v>87</v>
      </c>
      <c r="BH584" t="s">
        <v>66</v>
      </c>
      <c r="BI584">
        <v>0</v>
      </c>
      <c r="BJ584" t="s">
        <v>66</v>
      </c>
      <c r="BK584" t="s">
        <v>88</v>
      </c>
      <c r="BL584" t="s">
        <v>719</v>
      </c>
      <c r="BM584" t="s">
        <v>159</v>
      </c>
    </row>
    <row r="585" spans="1:65" x14ac:dyDescent="0.25">
      <c r="A585">
        <v>583</v>
      </c>
      <c r="B585" t="s">
        <v>985</v>
      </c>
      <c r="C585" t="s">
        <v>68</v>
      </c>
      <c r="D585" s="1">
        <v>46210</v>
      </c>
      <c r="E585" t="s">
        <v>986</v>
      </c>
      <c r="F585" t="s">
        <v>68</v>
      </c>
      <c r="G585" t="s">
        <v>295</v>
      </c>
      <c r="H585" t="s">
        <v>296</v>
      </c>
      <c r="I585" t="s">
        <v>71</v>
      </c>
      <c r="J585" t="s">
        <v>72</v>
      </c>
      <c r="K585" t="s">
        <v>73</v>
      </c>
      <c r="L585" t="s">
        <v>74</v>
      </c>
      <c r="M585" t="s">
        <v>987</v>
      </c>
      <c r="N585" t="s">
        <v>76</v>
      </c>
      <c r="O585" t="s">
        <v>988</v>
      </c>
      <c r="P585" t="s">
        <v>989</v>
      </c>
      <c r="Q585" t="s">
        <v>990</v>
      </c>
      <c r="R585" s="1">
        <v>46213</v>
      </c>
      <c r="S585" t="s">
        <v>841</v>
      </c>
      <c r="T585" t="s">
        <v>842</v>
      </c>
      <c r="U585" t="s">
        <v>843</v>
      </c>
      <c r="V585" t="s">
        <v>66</v>
      </c>
      <c r="W585" t="s">
        <v>66</v>
      </c>
      <c r="X585">
        <v>940506</v>
      </c>
      <c r="Y585">
        <v>103455.66</v>
      </c>
      <c r="Z585">
        <v>78204</v>
      </c>
      <c r="AA585">
        <v>8602.44</v>
      </c>
      <c r="AB585">
        <v>1043961.66</v>
      </c>
      <c r="AC585">
        <v>6</v>
      </c>
      <c r="AD585" t="s">
        <v>82</v>
      </c>
      <c r="AE585">
        <v>6</v>
      </c>
      <c r="AF585" t="s">
        <v>135</v>
      </c>
      <c r="AG585">
        <f>IFERROR(VLOOKUP(AF585,[1]STOK!J:O,6,0),"")</f>
        <v>12</v>
      </c>
      <c r="AH585" s="2">
        <f t="shared" si="18"/>
        <v>0.5</v>
      </c>
      <c r="AI585" t="s">
        <v>135</v>
      </c>
      <c r="AJ585" t="s">
        <v>136</v>
      </c>
      <c r="AK585" t="s">
        <v>137</v>
      </c>
      <c r="AL585" t="s">
        <v>86</v>
      </c>
      <c r="AM585">
        <v>14763</v>
      </c>
      <c r="AN585">
        <f t="shared" si="19"/>
        <v>14467.74</v>
      </c>
      <c r="AO585" t="s">
        <v>66</v>
      </c>
      <c r="AP585">
        <v>2</v>
      </c>
      <c r="AQ585" t="s">
        <v>66</v>
      </c>
      <c r="AR585">
        <v>0</v>
      </c>
      <c r="AS585" t="s">
        <v>66</v>
      </c>
      <c r="AT585">
        <v>0</v>
      </c>
      <c r="AU585" t="s">
        <v>66</v>
      </c>
      <c r="AV585">
        <v>0</v>
      </c>
      <c r="AW585" t="s">
        <v>66</v>
      </c>
      <c r="AX585">
        <v>0</v>
      </c>
      <c r="AY585" t="s">
        <v>66</v>
      </c>
      <c r="AZ585">
        <v>0</v>
      </c>
      <c r="BA585" t="s">
        <v>66</v>
      </c>
      <c r="BB585">
        <v>0</v>
      </c>
      <c r="BC585">
        <v>0</v>
      </c>
      <c r="BD585">
        <v>86806.44</v>
      </c>
      <c r="BE585">
        <v>12026.74</v>
      </c>
      <c r="BF585">
        <v>0</v>
      </c>
      <c r="BG585" t="s">
        <v>87</v>
      </c>
      <c r="BH585" t="s">
        <v>66</v>
      </c>
      <c r="BI585">
        <v>0</v>
      </c>
      <c r="BJ585" t="s">
        <v>66</v>
      </c>
      <c r="BK585" t="s">
        <v>88</v>
      </c>
      <c r="BL585" t="s">
        <v>719</v>
      </c>
      <c r="BM585" t="s">
        <v>159</v>
      </c>
    </row>
    <row r="586" spans="1:65" x14ac:dyDescent="0.25">
      <c r="A586">
        <v>584</v>
      </c>
      <c r="B586" t="s">
        <v>985</v>
      </c>
      <c r="C586" t="s">
        <v>68</v>
      </c>
      <c r="D586" s="1">
        <v>46210</v>
      </c>
      <c r="E586" t="s">
        <v>986</v>
      </c>
      <c r="F586" t="s">
        <v>68</v>
      </c>
      <c r="G586" t="s">
        <v>295</v>
      </c>
      <c r="H586" t="s">
        <v>296</v>
      </c>
      <c r="I586" t="s">
        <v>71</v>
      </c>
      <c r="J586" t="s">
        <v>72</v>
      </c>
      <c r="K586" t="s">
        <v>73</v>
      </c>
      <c r="L586" t="s">
        <v>74</v>
      </c>
      <c r="M586" t="s">
        <v>987</v>
      </c>
      <c r="N586" t="s">
        <v>76</v>
      </c>
      <c r="O586" t="s">
        <v>988</v>
      </c>
      <c r="P586" t="s">
        <v>989</v>
      </c>
      <c r="Q586" t="s">
        <v>990</v>
      </c>
      <c r="R586" s="1">
        <v>46213</v>
      </c>
      <c r="S586" t="s">
        <v>841</v>
      </c>
      <c r="T586" t="s">
        <v>842</v>
      </c>
      <c r="U586" t="s">
        <v>843</v>
      </c>
      <c r="V586" t="s">
        <v>66</v>
      </c>
      <c r="W586" t="s">
        <v>66</v>
      </c>
      <c r="X586">
        <v>940506</v>
      </c>
      <c r="Y586">
        <v>103455.66</v>
      </c>
      <c r="Z586">
        <v>101724</v>
      </c>
      <c r="AA586">
        <v>11189.64</v>
      </c>
      <c r="AB586">
        <v>1043961.66</v>
      </c>
      <c r="AC586">
        <v>6</v>
      </c>
      <c r="AD586" t="s">
        <v>82</v>
      </c>
      <c r="AE586">
        <v>6</v>
      </c>
      <c r="AF586" t="s">
        <v>359</v>
      </c>
      <c r="AG586">
        <f>IFERROR(VLOOKUP(AF586,[1]STOK!J:O,6,0),"")</f>
        <v>12</v>
      </c>
      <c r="AH586" s="2">
        <f t="shared" si="18"/>
        <v>0.5</v>
      </c>
      <c r="AI586" t="s">
        <v>359</v>
      </c>
      <c r="AJ586" t="s">
        <v>360</v>
      </c>
      <c r="AK586" t="s">
        <v>361</v>
      </c>
      <c r="AL586" t="s">
        <v>86</v>
      </c>
      <c r="AM586">
        <v>19203</v>
      </c>
      <c r="AN586">
        <f t="shared" si="19"/>
        <v>18818.939999999999</v>
      </c>
      <c r="AO586" t="s">
        <v>66</v>
      </c>
      <c r="AP586">
        <v>2</v>
      </c>
      <c r="AQ586" t="s">
        <v>66</v>
      </c>
      <c r="AR586">
        <v>0</v>
      </c>
      <c r="AS586" t="s">
        <v>66</v>
      </c>
      <c r="AT586">
        <v>0</v>
      </c>
      <c r="AU586" t="s">
        <v>66</v>
      </c>
      <c r="AV586">
        <v>0</v>
      </c>
      <c r="AW586" t="s">
        <v>66</v>
      </c>
      <c r="AX586">
        <v>0</v>
      </c>
      <c r="AY586" t="s">
        <v>66</v>
      </c>
      <c r="AZ586">
        <v>0</v>
      </c>
      <c r="BA586" t="s">
        <v>66</v>
      </c>
      <c r="BB586">
        <v>0</v>
      </c>
      <c r="BC586">
        <v>0</v>
      </c>
      <c r="BD586">
        <v>112913.64</v>
      </c>
      <c r="BE586">
        <v>15607.61</v>
      </c>
      <c r="BF586">
        <v>0</v>
      </c>
      <c r="BG586" t="s">
        <v>87</v>
      </c>
      <c r="BH586" t="s">
        <v>66</v>
      </c>
      <c r="BI586">
        <v>0</v>
      </c>
      <c r="BJ586" t="s">
        <v>66</v>
      </c>
      <c r="BK586" t="s">
        <v>88</v>
      </c>
      <c r="BL586" t="s">
        <v>719</v>
      </c>
      <c r="BM586" t="s">
        <v>159</v>
      </c>
    </row>
    <row r="587" spans="1:65" x14ac:dyDescent="0.25">
      <c r="A587">
        <v>585</v>
      </c>
      <c r="B587" t="s">
        <v>985</v>
      </c>
      <c r="C587" t="s">
        <v>68</v>
      </c>
      <c r="D587" s="1">
        <v>46210</v>
      </c>
      <c r="E587" t="s">
        <v>986</v>
      </c>
      <c r="F587" t="s">
        <v>68</v>
      </c>
      <c r="G587" t="s">
        <v>295</v>
      </c>
      <c r="H587" t="s">
        <v>296</v>
      </c>
      <c r="I587" t="s">
        <v>71</v>
      </c>
      <c r="J587" t="s">
        <v>72</v>
      </c>
      <c r="K587" t="s">
        <v>73</v>
      </c>
      <c r="L587" t="s">
        <v>74</v>
      </c>
      <c r="M587" t="s">
        <v>987</v>
      </c>
      <c r="N587" t="s">
        <v>76</v>
      </c>
      <c r="O587" t="s">
        <v>988</v>
      </c>
      <c r="P587" t="s">
        <v>989</v>
      </c>
      <c r="Q587" t="s">
        <v>990</v>
      </c>
      <c r="R587" s="1">
        <v>46213</v>
      </c>
      <c r="S587" t="s">
        <v>841</v>
      </c>
      <c r="T587" t="s">
        <v>842</v>
      </c>
      <c r="U587" t="s">
        <v>843</v>
      </c>
      <c r="V587" t="s">
        <v>66</v>
      </c>
      <c r="W587" t="s">
        <v>66</v>
      </c>
      <c r="X587">
        <v>940506</v>
      </c>
      <c r="Y587">
        <v>103455.66</v>
      </c>
      <c r="Z587">
        <v>117600</v>
      </c>
      <c r="AA587">
        <v>12936</v>
      </c>
      <c r="AB587">
        <v>1043961.66</v>
      </c>
      <c r="AC587">
        <v>6</v>
      </c>
      <c r="AD587" t="s">
        <v>82</v>
      </c>
      <c r="AE587">
        <v>6</v>
      </c>
      <c r="AF587" t="s">
        <v>290</v>
      </c>
      <c r="AG587">
        <f>IFERROR(VLOOKUP(AF587,[1]STOK!J:O,6,0),"")</f>
        <v>12</v>
      </c>
      <c r="AH587" s="2">
        <f t="shared" si="18"/>
        <v>0.5</v>
      </c>
      <c r="AI587" t="s">
        <v>290</v>
      </c>
      <c r="AJ587" t="s">
        <v>291</v>
      </c>
      <c r="AK587" t="s">
        <v>292</v>
      </c>
      <c r="AL587" t="s">
        <v>86</v>
      </c>
      <c r="AM587">
        <v>22200</v>
      </c>
      <c r="AN587">
        <f t="shared" si="19"/>
        <v>21756</v>
      </c>
      <c r="AO587" t="s">
        <v>66</v>
      </c>
      <c r="AP587">
        <v>2</v>
      </c>
      <c r="AQ587" t="s">
        <v>66</v>
      </c>
      <c r="AR587">
        <v>0</v>
      </c>
      <c r="AS587" t="s">
        <v>66</v>
      </c>
      <c r="AT587">
        <v>0</v>
      </c>
      <c r="AU587" t="s">
        <v>66</v>
      </c>
      <c r="AV587">
        <v>0</v>
      </c>
      <c r="AW587" t="s">
        <v>66</v>
      </c>
      <c r="AX587">
        <v>0</v>
      </c>
      <c r="AY587" t="s">
        <v>66</v>
      </c>
      <c r="AZ587">
        <v>0</v>
      </c>
      <c r="BA587" t="s">
        <v>66</v>
      </c>
      <c r="BB587">
        <v>0</v>
      </c>
      <c r="BC587">
        <v>0</v>
      </c>
      <c r="BD587">
        <v>130536</v>
      </c>
      <c r="BE587">
        <v>18106.89</v>
      </c>
      <c r="BF587">
        <v>0</v>
      </c>
      <c r="BG587" t="s">
        <v>87</v>
      </c>
      <c r="BH587" t="s">
        <v>66</v>
      </c>
      <c r="BI587">
        <v>0</v>
      </c>
      <c r="BJ587" t="s">
        <v>66</v>
      </c>
      <c r="BK587" t="s">
        <v>88</v>
      </c>
      <c r="BL587" t="s">
        <v>719</v>
      </c>
      <c r="BM587" t="s">
        <v>159</v>
      </c>
    </row>
    <row r="588" spans="1:65" x14ac:dyDescent="0.25">
      <c r="A588">
        <v>586</v>
      </c>
      <c r="B588" t="s">
        <v>985</v>
      </c>
      <c r="C588" t="s">
        <v>68</v>
      </c>
      <c r="D588" s="1">
        <v>46210</v>
      </c>
      <c r="E588" t="s">
        <v>986</v>
      </c>
      <c r="F588" t="s">
        <v>68</v>
      </c>
      <c r="G588" t="s">
        <v>295</v>
      </c>
      <c r="H588" t="s">
        <v>296</v>
      </c>
      <c r="I588" t="s">
        <v>71</v>
      </c>
      <c r="J588" t="s">
        <v>72</v>
      </c>
      <c r="K588" t="s">
        <v>73</v>
      </c>
      <c r="L588" t="s">
        <v>74</v>
      </c>
      <c r="M588" t="s">
        <v>987</v>
      </c>
      <c r="N588" t="s">
        <v>76</v>
      </c>
      <c r="O588" t="s">
        <v>988</v>
      </c>
      <c r="P588" t="s">
        <v>989</v>
      </c>
      <c r="Q588" t="s">
        <v>990</v>
      </c>
      <c r="R588" s="1">
        <v>46213</v>
      </c>
      <c r="S588" t="s">
        <v>841</v>
      </c>
      <c r="T588" t="s">
        <v>842</v>
      </c>
      <c r="U588" t="s">
        <v>843</v>
      </c>
      <c r="V588" t="s">
        <v>66</v>
      </c>
      <c r="W588" t="s">
        <v>66</v>
      </c>
      <c r="X588">
        <v>940506</v>
      </c>
      <c r="Y588">
        <v>103455.66</v>
      </c>
      <c r="Z588">
        <v>117600</v>
      </c>
      <c r="AA588">
        <v>12936</v>
      </c>
      <c r="AB588">
        <v>1043961.66</v>
      </c>
      <c r="AC588">
        <v>6</v>
      </c>
      <c r="AD588" t="s">
        <v>82</v>
      </c>
      <c r="AE588">
        <v>6</v>
      </c>
      <c r="AF588" t="s">
        <v>102</v>
      </c>
      <c r="AG588">
        <f>IFERROR(VLOOKUP(AF588,[1]STOK!J:O,6,0),"")</f>
        <v>12</v>
      </c>
      <c r="AH588" s="2">
        <f t="shared" si="18"/>
        <v>0.5</v>
      </c>
      <c r="AI588" t="s">
        <v>102</v>
      </c>
      <c r="AJ588" t="s">
        <v>103</v>
      </c>
      <c r="AK588" t="s">
        <v>104</v>
      </c>
      <c r="AL588" t="s">
        <v>86</v>
      </c>
      <c r="AM588">
        <v>22200</v>
      </c>
      <c r="AN588">
        <f t="shared" si="19"/>
        <v>21756</v>
      </c>
      <c r="AO588" t="s">
        <v>66</v>
      </c>
      <c r="AP588">
        <v>2</v>
      </c>
      <c r="AQ588" t="s">
        <v>66</v>
      </c>
      <c r="AR588">
        <v>0</v>
      </c>
      <c r="AS588" t="s">
        <v>66</v>
      </c>
      <c r="AT588">
        <v>0</v>
      </c>
      <c r="AU588" t="s">
        <v>66</v>
      </c>
      <c r="AV588">
        <v>0</v>
      </c>
      <c r="AW588" t="s">
        <v>66</v>
      </c>
      <c r="AX588">
        <v>0</v>
      </c>
      <c r="AY588" t="s">
        <v>66</v>
      </c>
      <c r="AZ588">
        <v>0</v>
      </c>
      <c r="BA588" t="s">
        <v>66</v>
      </c>
      <c r="BB588">
        <v>0</v>
      </c>
      <c r="BC588">
        <v>0</v>
      </c>
      <c r="BD588">
        <v>130536</v>
      </c>
      <c r="BE588">
        <v>18040.98</v>
      </c>
      <c r="BF588">
        <v>0</v>
      </c>
      <c r="BG588" t="s">
        <v>87</v>
      </c>
      <c r="BH588" t="s">
        <v>66</v>
      </c>
      <c r="BI588">
        <v>0</v>
      </c>
      <c r="BJ588" t="s">
        <v>66</v>
      </c>
      <c r="BK588" t="s">
        <v>88</v>
      </c>
      <c r="BL588" t="s">
        <v>719</v>
      </c>
      <c r="BM588" t="s">
        <v>159</v>
      </c>
    </row>
    <row r="589" spans="1:65" x14ac:dyDescent="0.25">
      <c r="A589">
        <v>587</v>
      </c>
      <c r="B589" t="s">
        <v>991</v>
      </c>
      <c r="C589" t="s">
        <v>992</v>
      </c>
      <c r="D589" s="1">
        <v>46210</v>
      </c>
      <c r="E589" t="s">
        <v>993</v>
      </c>
      <c r="F589" t="s">
        <v>994</v>
      </c>
      <c r="G589" t="s">
        <v>295</v>
      </c>
      <c r="H589" t="s">
        <v>296</v>
      </c>
      <c r="I589" t="s">
        <v>71</v>
      </c>
      <c r="J589" t="s">
        <v>72</v>
      </c>
      <c r="K589" t="s">
        <v>73</v>
      </c>
      <c r="L589" t="s">
        <v>74</v>
      </c>
      <c r="M589" t="s">
        <v>995</v>
      </c>
      <c r="N589" t="s">
        <v>111</v>
      </c>
      <c r="O589" t="s">
        <v>996</v>
      </c>
      <c r="P589" t="s">
        <v>997</v>
      </c>
      <c r="Q589" t="s">
        <v>998</v>
      </c>
      <c r="R589" s="1">
        <v>46211</v>
      </c>
      <c r="S589" t="s">
        <v>999</v>
      </c>
      <c r="T589" t="s">
        <v>1000</v>
      </c>
      <c r="U589" t="s">
        <v>1001</v>
      </c>
      <c r="V589" t="s">
        <v>66</v>
      </c>
      <c r="W589" t="s">
        <v>66</v>
      </c>
      <c r="X589">
        <v>221791.47</v>
      </c>
      <c r="Y589">
        <v>24397.06</v>
      </c>
      <c r="Z589">
        <v>221791.47</v>
      </c>
      <c r="AA589">
        <v>24397.06</v>
      </c>
      <c r="AB589">
        <v>246188.53</v>
      </c>
      <c r="AC589">
        <v>1</v>
      </c>
      <c r="AD589" t="s">
        <v>134</v>
      </c>
      <c r="AE589">
        <v>6</v>
      </c>
      <c r="AF589" t="s">
        <v>138</v>
      </c>
      <c r="AG589">
        <f>IFERROR(VLOOKUP(AF589,[1]STOK!J:O,6,0),"")</f>
        <v>6</v>
      </c>
      <c r="AH589" s="2">
        <f t="shared" si="18"/>
        <v>1</v>
      </c>
      <c r="AI589" t="s">
        <v>138</v>
      </c>
      <c r="AJ589" t="s">
        <v>139</v>
      </c>
      <c r="AK589" t="s">
        <v>140</v>
      </c>
      <c r="AL589" t="s">
        <v>86</v>
      </c>
      <c r="AM589">
        <v>255078</v>
      </c>
      <c r="AN589">
        <f t="shared" si="19"/>
        <v>246188.53</v>
      </c>
      <c r="AO589" t="s">
        <v>66</v>
      </c>
      <c r="AP589">
        <v>3</v>
      </c>
      <c r="AQ589" t="s">
        <v>66</v>
      </c>
      <c r="AR589">
        <v>0</v>
      </c>
      <c r="AS589" t="s">
        <v>66</v>
      </c>
      <c r="AT589">
        <v>0</v>
      </c>
      <c r="AU589" t="s">
        <v>66</v>
      </c>
      <c r="AV589">
        <v>0.5</v>
      </c>
      <c r="AW589" t="s">
        <v>66</v>
      </c>
      <c r="AX589">
        <v>0</v>
      </c>
      <c r="AY589" t="s">
        <v>66</v>
      </c>
      <c r="AZ589">
        <v>0</v>
      </c>
      <c r="BA589" t="s">
        <v>66</v>
      </c>
      <c r="BB589">
        <v>0</v>
      </c>
      <c r="BC589">
        <v>0</v>
      </c>
      <c r="BD589">
        <v>246188.53</v>
      </c>
      <c r="BE589">
        <v>34660.32</v>
      </c>
      <c r="BF589">
        <v>0</v>
      </c>
      <c r="BG589" t="s">
        <v>87</v>
      </c>
      <c r="BH589" t="s">
        <v>66</v>
      </c>
      <c r="BI589">
        <v>0</v>
      </c>
      <c r="BJ589" t="s">
        <v>66</v>
      </c>
      <c r="BK589" t="s">
        <v>88</v>
      </c>
      <c r="BL589" t="s">
        <v>66</v>
      </c>
      <c r="BM589" t="s">
        <v>159</v>
      </c>
    </row>
    <row r="590" spans="1:65" x14ac:dyDescent="0.25">
      <c r="A590">
        <v>588</v>
      </c>
      <c r="B590" t="s">
        <v>1002</v>
      </c>
      <c r="C590" t="s">
        <v>68</v>
      </c>
      <c r="D590" s="1">
        <v>46210</v>
      </c>
      <c r="E590" t="s">
        <v>1003</v>
      </c>
      <c r="F590" t="s">
        <v>68</v>
      </c>
      <c r="G590" t="s">
        <v>295</v>
      </c>
      <c r="H590" t="s">
        <v>296</v>
      </c>
      <c r="I590" t="s">
        <v>71</v>
      </c>
      <c r="J590" t="s">
        <v>72</v>
      </c>
      <c r="K590" t="s">
        <v>73</v>
      </c>
      <c r="L590" t="s">
        <v>74</v>
      </c>
      <c r="M590" t="s">
        <v>1004</v>
      </c>
      <c r="N590" t="s">
        <v>111</v>
      </c>
      <c r="O590" t="s">
        <v>1005</v>
      </c>
      <c r="P590" t="s">
        <v>1006</v>
      </c>
      <c r="Q590" t="s">
        <v>1007</v>
      </c>
      <c r="R590" s="1">
        <v>46213</v>
      </c>
      <c r="S590" t="s">
        <v>1008</v>
      </c>
      <c r="T590" t="s">
        <v>1009</v>
      </c>
      <c r="U590" t="s">
        <v>1010</v>
      </c>
      <c r="V590" t="s">
        <v>66</v>
      </c>
      <c r="W590" t="s">
        <v>66</v>
      </c>
      <c r="X590">
        <v>1115556</v>
      </c>
      <c r="Y590">
        <v>122711.16</v>
      </c>
      <c r="Z590">
        <v>21756</v>
      </c>
      <c r="AA590">
        <v>2393.16</v>
      </c>
      <c r="AB590">
        <v>1238267.1599999999</v>
      </c>
      <c r="AC590">
        <v>3</v>
      </c>
      <c r="AD590" t="s">
        <v>82</v>
      </c>
      <c r="AE590">
        <v>3</v>
      </c>
      <c r="AF590" t="s">
        <v>415</v>
      </c>
      <c r="AG590">
        <f>IFERROR(VLOOKUP(AF590,[1]STOK!J:O,6,0),"")</f>
        <v>24</v>
      </c>
      <c r="AH590" s="2">
        <f t="shared" si="18"/>
        <v>0.125</v>
      </c>
      <c r="AI590" t="s">
        <v>415</v>
      </c>
      <c r="AJ590" t="s">
        <v>416</v>
      </c>
      <c r="AK590" t="s">
        <v>417</v>
      </c>
      <c r="AL590" t="s">
        <v>86</v>
      </c>
      <c r="AM590">
        <v>8214</v>
      </c>
      <c r="AN590">
        <f t="shared" si="19"/>
        <v>8049.72</v>
      </c>
      <c r="AO590" t="s">
        <v>66</v>
      </c>
      <c r="AP590">
        <v>2</v>
      </c>
      <c r="AQ590" t="s">
        <v>66</v>
      </c>
      <c r="AR590">
        <v>0</v>
      </c>
      <c r="AS590" t="s">
        <v>66</v>
      </c>
      <c r="AT590">
        <v>0</v>
      </c>
      <c r="AU590" t="s">
        <v>66</v>
      </c>
      <c r="AV590">
        <v>0</v>
      </c>
      <c r="AW590" t="s">
        <v>66</v>
      </c>
      <c r="AX590">
        <v>0</v>
      </c>
      <c r="AY590" t="s">
        <v>66</v>
      </c>
      <c r="AZ590">
        <v>0</v>
      </c>
      <c r="BA590" t="s">
        <v>66</v>
      </c>
      <c r="BB590">
        <v>0</v>
      </c>
      <c r="BC590">
        <v>0</v>
      </c>
      <c r="BD590">
        <v>24149.16</v>
      </c>
      <c r="BE590">
        <v>6632.9</v>
      </c>
      <c r="BF590">
        <v>0</v>
      </c>
      <c r="BG590" t="s">
        <v>87</v>
      </c>
      <c r="BH590" t="s">
        <v>66</v>
      </c>
      <c r="BI590">
        <v>0</v>
      </c>
      <c r="BJ590" t="s">
        <v>66</v>
      </c>
      <c r="BK590" t="s">
        <v>88</v>
      </c>
      <c r="BL590" t="s">
        <v>66</v>
      </c>
      <c r="BM590" t="s">
        <v>159</v>
      </c>
    </row>
    <row r="591" spans="1:65" x14ac:dyDescent="0.25">
      <c r="A591">
        <v>589</v>
      </c>
      <c r="B591" t="s">
        <v>1002</v>
      </c>
      <c r="C591" t="s">
        <v>68</v>
      </c>
      <c r="D591" s="1">
        <v>46210</v>
      </c>
      <c r="E591" t="s">
        <v>1003</v>
      </c>
      <c r="F591" t="s">
        <v>68</v>
      </c>
      <c r="G591" t="s">
        <v>295</v>
      </c>
      <c r="H591" t="s">
        <v>296</v>
      </c>
      <c r="I591" t="s">
        <v>71</v>
      </c>
      <c r="J591" t="s">
        <v>72</v>
      </c>
      <c r="K591" t="s">
        <v>73</v>
      </c>
      <c r="L591" t="s">
        <v>74</v>
      </c>
      <c r="M591" t="s">
        <v>1004</v>
      </c>
      <c r="N591" t="s">
        <v>111</v>
      </c>
      <c r="O591" t="s">
        <v>1005</v>
      </c>
      <c r="P591" t="s">
        <v>1006</v>
      </c>
      <c r="Q591" t="s">
        <v>1007</v>
      </c>
      <c r="R591" s="1">
        <v>46213</v>
      </c>
      <c r="S591" t="s">
        <v>1008</v>
      </c>
      <c r="T591" t="s">
        <v>1009</v>
      </c>
      <c r="U591" t="s">
        <v>1010</v>
      </c>
      <c r="V591" t="s">
        <v>66</v>
      </c>
      <c r="W591" t="s">
        <v>66</v>
      </c>
      <c r="X591">
        <v>1115556</v>
      </c>
      <c r="Y591">
        <v>122711.16</v>
      </c>
      <c r="Z591">
        <v>22200</v>
      </c>
      <c r="AA591">
        <v>2442</v>
      </c>
      <c r="AB591">
        <v>1238267.1599999999</v>
      </c>
      <c r="AC591">
        <v>3</v>
      </c>
      <c r="AD591" t="s">
        <v>82</v>
      </c>
      <c r="AE591">
        <v>3</v>
      </c>
      <c r="AF591" t="s">
        <v>83</v>
      </c>
      <c r="AG591">
        <f>IFERROR(VLOOKUP(AF591,[1]STOK!J:O,6,0),"")</f>
        <v>24</v>
      </c>
      <c r="AH591" s="2">
        <f t="shared" si="18"/>
        <v>0.125</v>
      </c>
      <c r="AI591" t="s">
        <v>83</v>
      </c>
      <c r="AJ591" t="s">
        <v>84</v>
      </c>
      <c r="AK591" t="s">
        <v>85</v>
      </c>
      <c r="AL591" t="s">
        <v>86</v>
      </c>
      <c r="AM591">
        <v>8214</v>
      </c>
      <c r="AN591">
        <f t="shared" si="19"/>
        <v>8214</v>
      </c>
      <c r="AO591" t="s">
        <v>66</v>
      </c>
      <c r="AP591">
        <v>0</v>
      </c>
      <c r="AQ591" t="s">
        <v>66</v>
      </c>
      <c r="AR591">
        <v>0</v>
      </c>
      <c r="AS591" t="s">
        <v>66</v>
      </c>
      <c r="AT591">
        <v>0</v>
      </c>
      <c r="AU591" t="s">
        <v>66</v>
      </c>
      <c r="AV591">
        <v>0</v>
      </c>
      <c r="AW591" t="s">
        <v>66</v>
      </c>
      <c r="AX591">
        <v>0</v>
      </c>
      <c r="AY591" t="s">
        <v>66</v>
      </c>
      <c r="AZ591">
        <v>0</v>
      </c>
      <c r="BA591" t="s">
        <v>66</v>
      </c>
      <c r="BB591">
        <v>0</v>
      </c>
      <c r="BC591">
        <v>0</v>
      </c>
      <c r="BD591">
        <v>24642</v>
      </c>
      <c r="BE591">
        <v>6704.84</v>
      </c>
      <c r="BF591">
        <v>0</v>
      </c>
      <c r="BG591" t="s">
        <v>87</v>
      </c>
      <c r="BH591" t="s">
        <v>66</v>
      </c>
      <c r="BI591">
        <v>0</v>
      </c>
      <c r="BJ591" t="s">
        <v>66</v>
      </c>
      <c r="BK591" t="s">
        <v>88</v>
      </c>
      <c r="BL591" t="s">
        <v>66</v>
      </c>
      <c r="BM591" t="s">
        <v>159</v>
      </c>
    </row>
    <row r="592" spans="1:65" x14ac:dyDescent="0.25">
      <c r="A592">
        <v>590</v>
      </c>
      <c r="B592" t="s">
        <v>1002</v>
      </c>
      <c r="C592" t="s">
        <v>68</v>
      </c>
      <c r="D592" s="1">
        <v>46210</v>
      </c>
      <c r="E592" t="s">
        <v>1003</v>
      </c>
      <c r="F592" t="s">
        <v>68</v>
      </c>
      <c r="G592" t="s">
        <v>295</v>
      </c>
      <c r="H592" t="s">
        <v>296</v>
      </c>
      <c r="I592" t="s">
        <v>71</v>
      </c>
      <c r="J592" t="s">
        <v>72</v>
      </c>
      <c r="K592" t="s">
        <v>73</v>
      </c>
      <c r="L592" t="s">
        <v>74</v>
      </c>
      <c r="M592" t="s">
        <v>1004</v>
      </c>
      <c r="N592" t="s">
        <v>111</v>
      </c>
      <c r="O592" t="s">
        <v>1005</v>
      </c>
      <c r="P592" t="s">
        <v>1006</v>
      </c>
      <c r="Q592" t="s">
        <v>1007</v>
      </c>
      <c r="R592" s="1">
        <v>46213</v>
      </c>
      <c r="S592" t="s">
        <v>1008</v>
      </c>
      <c r="T592" t="s">
        <v>1009</v>
      </c>
      <c r="U592" t="s">
        <v>1010</v>
      </c>
      <c r="V592" t="s">
        <v>66</v>
      </c>
      <c r="W592" t="s">
        <v>66</v>
      </c>
      <c r="X592">
        <v>1115556</v>
      </c>
      <c r="Y592">
        <v>122711.16</v>
      </c>
      <c r="Z592">
        <v>59400</v>
      </c>
      <c r="AA592">
        <v>6534</v>
      </c>
      <c r="AB592">
        <v>1238267.1599999999</v>
      </c>
      <c r="AC592">
        <v>3</v>
      </c>
      <c r="AD592" t="s">
        <v>82</v>
      </c>
      <c r="AE592">
        <v>3</v>
      </c>
      <c r="AF592" t="s">
        <v>370</v>
      </c>
      <c r="AG592">
        <f>IFERROR(VLOOKUP(AF592,[1]STOK!J:O,6,0),"")</f>
        <v>12</v>
      </c>
      <c r="AH592" s="2">
        <f t="shared" si="18"/>
        <v>0.25</v>
      </c>
      <c r="AI592" t="s">
        <v>370</v>
      </c>
      <c r="AJ592" t="s">
        <v>371</v>
      </c>
      <c r="AK592" t="s">
        <v>372</v>
      </c>
      <c r="AL592" t="s">
        <v>86</v>
      </c>
      <c r="AM592">
        <v>21978</v>
      </c>
      <c r="AN592">
        <f t="shared" si="19"/>
        <v>21978</v>
      </c>
      <c r="AO592" t="s">
        <v>66</v>
      </c>
      <c r="AP592">
        <v>0</v>
      </c>
      <c r="AQ592" t="s">
        <v>66</v>
      </c>
      <c r="AR592">
        <v>0</v>
      </c>
      <c r="AS592" t="s">
        <v>66</v>
      </c>
      <c r="AT592">
        <v>0</v>
      </c>
      <c r="AU592" t="s">
        <v>66</v>
      </c>
      <c r="AV592">
        <v>0</v>
      </c>
      <c r="AW592" t="s">
        <v>66</v>
      </c>
      <c r="AX592">
        <v>0</v>
      </c>
      <c r="AY592" t="s">
        <v>66</v>
      </c>
      <c r="AZ592">
        <v>0</v>
      </c>
      <c r="BA592" t="s">
        <v>66</v>
      </c>
      <c r="BB592">
        <v>0</v>
      </c>
      <c r="BC592">
        <v>0</v>
      </c>
      <c r="BD592">
        <v>65934</v>
      </c>
      <c r="BE592">
        <v>17475.02</v>
      </c>
      <c r="BF592">
        <v>0</v>
      </c>
      <c r="BG592" t="s">
        <v>87</v>
      </c>
      <c r="BH592" t="s">
        <v>66</v>
      </c>
      <c r="BI592">
        <v>0</v>
      </c>
      <c r="BJ592" t="s">
        <v>66</v>
      </c>
      <c r="BK592" t="s">
        <v>88</v>
      </c>
      <c r="BL592" t="s">
        <v>66</v>
      </c>
      <c r="BM592" t="s">
        <v>159</v>
      </c>
    </row>
    <row r="593" spans="1:65" x14ac:dyDescent="0.25">
      <c r="A593">
        <v>591</v>
      </c>
      <c r="B593" t="s">
        <v>1002</v>
      </c>
      <c r="C593" t="s">
        <v>68</v>
      </c>
      <c r="D593" s="1">
        <v>46210</v>
      </c>
      <c r="E593" t="s">
        <v>1003</v>
      </c>
      <c r="F593" t="s">
        <v>68</v>
      </c>
      <c r="G593" t="s">
        <v>295</v>
      </c>
      <c r="H593" t="s">
        <v>296</v>
      </c>
      <c r="I593" t="s">
        <v>71</v>
      </c>
      <c r="J593" t="s">
        <v>72</v>
      </c>
      <c r="K593" t="s">
        <v>73</v>
      </c>
      <c r="L593" t="s">
        <v>74</v>
      </c>
      <c r="M593" t="s">
        <v>1004</v>
      </c>
      <c r="N593" t="s">
        <v>111</v>
      </c>
      <c r="O593" t="s">
        <v>1005</v>
      </c>
      <c r="P593" t="s">
        <v>1006</v>
      </c>
      <c r="Q593" t="s">
        <v>1007</v>
      </c>
      <c r="R593" s="1">
        <v>46213</v>
      </c>
      <c r="S593" t="s">
        <v>1008</v>
      </c>
      <c r="T593" t="s">
        <v>1009</v>
      </c>
      <c r="U593" t="s">
        <v>1010</v>
      </c>
      <c r="V593" t="s">
        <v>66</v>
      </c>
      <c r="W593" t="s">
        <v>66</v>
      </c>
      <c r="X593">
        <v>1115556</v>
      </c>
      <c r="Y593">
        <v>122711.16</v>
      </c>
      <c r="Z593">
        <v>59400</v>
      </c>
      <c r="AA593">
        <v>6534</v>
      </c>
      <c r="AB593">
        <v>1238267.1599999999</v>
      </c>
      <c r="AC593">
        <v>3</v>
      </c>
      <c r="AD593" t="s">
        <v>82</v>
      </c>
      <c r="AE593">
        <v>3</v>
      </c>
      <c r="AF593" t="s">
        <v>799</v>
      </c>
      <c r="AG593">
        <f>IFERROR(VLOOKUP(AF593,[1]STOK!J:O,6,0),"")</f>
        <v>12</v>
      </c>
      <c r="AH593" s="2">
        <f t="shared" si="18"/>
        <v>0.25</v>
      </c>
      <c r="AI593" t="s">
        <v>799</v>
      </c>
      <c r="AJ593" t="s">
        <v>800</v>
      </c>
      <c r="AK593" t="s">
        <v>801</v>
      </c>
      <c r="AL593" t="s">
        <v>86</v>
      </c>
      <c r="AM593">
        <v>21978</v>
      </c>
      <c r="AN593">
        <f t="shared" si="19"/>
        <v>21978</v>
      </c>
      <c r="AO593" t="s">
        <v>66</v>
      </c>
      <c r="AP593">
        <v>0</v>
      </c>
      <c r="AQ593" t="s">
        <v>66</v>
      </c>
      <c r="AR593">
        <v>0</v>
      </c>
      <c r="AS593" t="s">
        <v>66</v>
      </c>
      <c r="AT593">
        <v>0</v>
      </c>
      <c r="AU593" t="s">
        <v>66</v>
      </c>
      <c r="AV593">
        <v>0</v>
      </c>
      <c r="AW593" t="s">
        <v>66</v>
      </c>
      <c r="AX593">
        <v>0</v>
      </c>
      <c r="AY593" t="s">
        <v>66</v>
      </c>
      <c r="AZ593">
        <v>0</v>
      </c>
      <c r="BA593" t="s">
        <v>66</v>
      </c>
      <c r="BB593">
        <v>0</v>
      </c>
      <c r="BC593">
        <v>0</v>
      </c>
      <c r="BD593">
        <v>65934</v>
      </c>
      <c r="BE593">
        <v>17479.689999999999</v>
      </c>
      <c r="BF593">
        <v>0</v>
      </c>
      <c r="BG593" t="s">
        <v>87</v>
      </c>
      <c r="BH593" t="s">
        <v>66</v>
      </c>
      <c r="BI593">
        <v>0</v>
      </c>
      <c r="BJ593" t="s">
        <v>66</v>
      </c>
      <c r="BK593" t="s">
        <v>88</v>
      </c>
      <c r="BL593" t="s">
        <v>66</v>
      </c>
      <c r="BM593" t="s">
        <v>159</v>
      </c>
    </row>
    <row r="594" spans="1:65" x14ac:dyDescent="0.25">
      <c r="A594">
        <v>592</v>
      </c>
      <c r="B594" t="s">
        <v>1002</v>
      </c>
      <c r="C594" t="s">
        <v>68</v>
      </c>
      <c r="D594" s="1">
        <v>46210</v>
      </c>
      <c r="E594" t="s">
        <v>1003</v>
      </c>
      <c r="F594" t="s">
        <v>68</v>
      </c>
      <c r="G594" t="s">
        <v>295</v>
      </c>
      <c r="H594" t="s">
        <v>296</v>
      </c>
      <c r="I594" t="s">
        <v>71</v>
      </c>
      <c r="J594" t="s">
        <v>72</v>
      </c>
      <c r="K594" t="s">
        <v>73</v>
      </c>
      <c r="L594" t="s">
        <v>74</v>
      </c>
      <c r="M594" t="s">
        <v>1004</v>
      </c>
      <c r="N594" t="s">
        <v>111</v>
      </c>
      <c r="O594" t="s">
        <v>1005</v>
      </c>
      <c r="P594" t="s">
        <v>1006</v>
      </c>
      <c r="Q594" t="s">
        <v>1007</v>
      </c>
      <c r="R594" s="1">
        <v>46213</v>
      </c>
      <c r="S594" t="s">
        <v>1008</v>
      </c>
      <c r="T594" t="s">
        <v>1009</v>
      </c>
      <c r="U594" t="s">
        <v>1010</v>
      </c>
      <c r="V594" t="s">
        <v>66</v>
      </c>
      <c r="W594" t="s">
        <v>66</v>
      </c>
      <c r="X594">
        <v>1115556</v>
      </c>
      <c r="Y594">
        <v>122711.16</v>
      </c>
      <c r="Z594">
        <v>44400</v>
      </c>
      <c r="AA594">
        <v>4884</v>
      </c>
      <c r="AB594">
        <v>1238267.1599999999</v>
      </c>
      <c r="AC594">
        <v>3</v>
      </c>
      <c r="AD594" t="s">
        <v>82</v>
      </c>
      <c r="AE594">
        <v>3</v>
      </c>
      <c r="AF594" t="s">
        <v>548</v>
      </c>
      <c r="AG594">
        <f>IFERROR(VLOOKUP(AF594,[1]STOK!J:O,6,0),"")</f>
        <v>12</v>
      </c>
      <c r="AH594" s="2">
        <f t="shared" si="18"/>
        <v>0.25</v>
      </c>
      <c r="AI594" t="s">
        <v>548</v>
      </c>
      <c r="AJ594" t="s">
        <v>549</v>
      </c>
      <c r="AK594" t="s">
        <v>550</v>
      </c>
      <c r="AL594" t="s">
        <v>86</v>
      </c>
      <c r="AM594">
        <v>16428</v>
      </c>
      <c r="AN594">
        <f t="shared" si="19"/>
        <v>16428</v>
      </c>
      <c r="AO594" t="s">
        <v>66</v>
      </c>
      <c r="AP594">
        <v>0</v>
      </c>
      <c r="AQ594" t="s">
        <v>66</v>
      </c>
      <c r="AR594">
        <v>0</v>
      </c>
      <c r="AS594" t="s">
        <v>66</v>
      </c>
      <c r="AT594">
        <v>0</v>
      </c>
      <c r="AU594" t="s">
        <v>66</v>
      </c>
      <c r="AV594">
        <v>0</v>
      </c>
      <c r="AW594" t="s">
        <v>66</v>
      </c>
      <c r="AX594">
        <v>0</v>
      </c>
      <c r="AY594" t="s">
        <v>66</v>
      </c>
      <c r="AZ594">
        <v>0</v>
      </c>
      <c r="BA594" t="s">
        <v>66</v>
      </c>
      <c r="BB594">
        <v>0</v>
      </c>
      <c r="BC594">
        <v>0</v>
      </c>
      <c r="BD594">
        <v>49284</v>
      </c>
      <c r="BE594">
        <v>12746.03</v>
      </c>
      <c r="BF594">
        <v>0</v>
      </c>
      <c r="BG594" t="s">
        <v>87</v>
      </c>
      <c r="BH594" t="s">
        <v>66</v>
      </c>
      <c r="BI594">
        <v>0</v>
      </c>
      <c r="BJ594" t="s">
        <v>66</v>
      </c>
      <c r="BK594" t="s">
        <v>88</v>
      </c>
      <c r="BL594" t="s">
        <v>66</v>
      </c>
      <c r="BM594" t="s">
        <v>159</v>
      </c>
    </row>
    <row r="595" spans="1:65" x14ac:dyDescent="0.25">
      <c r="A595">
        <v>593</v>
      </c>
      <c r="B595" t="s">
        <v>1002</v>
      </c>
      <c r="C595" t="s">
        <v>68</v>
      </c>
      <c r="D595" s="1">
        <v>46210</v>
      </c>
      <c r="E595" t="s">
        <v>1003</v>
      </c>
      <c r="F595" t="s">
        <v>68</v>
      </c>
      <c r="G595" t="s">
        <v>295</v>
      </c>
      <c r="H595" t="s">
        <v>296</v>
      </c>
      <c r="I595" t="s">
        <v>71</v>
      </c>
      <c r="J595" t="s">
        <v>72</v>
      </c>
      <c r="K595" t="s">
        <v>73</v>
      </c>
      <c r="L595" t="s">
        <v>74</v>
      </c>
      <c r="M595" t="s">
        <v>1004</v>
      </c>
      <c r="N595" t="s">
        <v>111</v>
      </c>
      <c r="O595" t="s">
        <v>1005</v>
      </c>
      <c r="P595" t="s">
        <v>1006</v>
      </c>
      <c r="Q595" t="s">
        <v>1007</v>
      </c>
      <c r="R595" s="1">
        <v>46213</v>
      </c>
      <c r="S595" t="s">
        <v>1008</v>
      </c>
      <c r="T595" t="s">
        <v>1009</v>
      </c>
      <c r="U595" t="s">
        <v>1010</v>
      </c>
      <c r="V595" t="s">
        <v>66</v>
      </c>
      <c r="W595" t="s">
        <v>66</v>
      </c>
      <c r="X595">
        <v>1115556</v>
      </c>
      <c r="Y595">
        <v>122711.16</v>
      </c>
      <c r="Z595">
        <v>49500</v>
      </c>
      <c r="AA595">
        <v>5445</v>
      </c>
      <c r="AB595">
        <v>1238267.1599999999</v>
      </c>
      <c r="AC595">
        <v>3</v>
      </c>
      <c r="AD595" t="s">
        <v>82</v>
      </c>
      <c r="AE595">
        <v>3</v>
      </c>
      <c r="AF595" t="s">
        <v>128</v>
      </c>
      <c r="AG595">
        <f>IFERROR(VLOOKUP(AF595,[1]STOK!J:O,6,0),"")</f>
        <v>24</v>
      </c>
      <c r="AH595" s="2">
        <f t="shared" si="18"/>
        <v>0.125</v>
      </c>
      <c r="AI595" t="s">
        <v>128</v>
      </c>
      <c r="AJ595" t="s">
        <v>129</v>
      </c>
      <c r="AK595" t="s">
        <v>130</v>
      </c>
      <c r="AL595" t="s">
        <v>86</v>
      </c>
      <c r="AM595">
        <v>18315</v>
      </c>
      <c r="AN595">
        <f t="shared" si="19"/>
        <v>18315</v>
      </c>
      <c r="AO595" t="s">
        <v>66</v>
      </c>
      <c r="AP595">
        <v>0</v>
      </c>
      <c r="AQ595" t="s">
        <v>66</v>
      </c>
      <c r="AR595">
        <v>0</v>
      </c>
      <c r="AS595" t="s">
        <v>66</v>
      </c>
      <c r="AT595">
        <v>0</v>
      </c>
      <c r="AU595" t="s">
        <v>66</v>
      </c>
      <c r="AV595">
        <v>0</v>
      </c>
      <c r="AW595" t="s">
        <v>66</v>
      </c>
      <c r="AX595">
        <v>0</v>
      </c>
      <c r="AY595" t="s">
        <v>66</v>
      </c>
      <c r="AZ595">
        <v>0</v>
      </c>
      <c r="BA595" t="s">
        <v>66</v>
      </c>
      <c r="BB595">
        <v>0</v>
      </c>
      <c r="BC595">
        <v>0</v>
      </c>
      <c r="BD595">
        <v>54945</v>
      </c>
      <c r="BE595">
        <v>14907.75</v>
      </c>
      <c r="BF595">
        <v>0</v>
      </c>
      <c r="BG595" t="s">
        <v>87</v>
      </c>
      <c r="BH595" t="s">
        <v>66</v>
      </c>
      <c r="BI595">
        <v>0</v>
      </c>
      <c r="BJ595" t="s">
        <v>66</v>
      </c>
      <c r="BK595" t="s">
        <v>88</v>
      </c>
      <c r="BL595" t="s">
        <v>66</v>
      </c>
      <c r="BM595" t="s">
        <v>159</v>
      </c>
    </row>
    <row r="596" spans="1:65" x14ac:dyDescent="0.25">
      <c r="A596">
        <v>594</v>
      </c>
      <c r="B596" t="s">
        <v>1002</v>
      </c>
      <c r="C596" t="s">
        <v>68</v>
      </c>
      <c r="D596" s="1">
        <v>46210</v>
      </c>
      <c r="E596" t="s">
        <v>1003</v>
      </c>
      <c r="F596" t="s">
        <v>68</v>
      </c>
      <c r="G596" t="s">
        <v>295</v>
      </c>
      <c r="H596" t="s">
        <v>296</v>
      </c>
      <c r="I596" t="s">
        <v>71</v>
      </c>
      <c r="J596" t="s">
        <v>72</v>
      </c>
      <c r="K596" t="s">
        <v>73</v>
      </c>
      <c r="L596" t="s">
        <v>74</v>
      </c>
      <c r="M596" t="s">
        <v>1004</v>
      </c>
      <c r="N596" t="s">
        <v>111</v>
      </c>
      <c r="O596" t="s">
        <v>1005</v>
      </c>
      <c r="P596" t="s">
        <v>1006</v>
      </c>
      <c r="Q596" t="s">
        <v>1007</v>
      </c>
      <c r="R596" s="1">
        <v>46213</v>
      </c>
      <c r="S596" t="s">
        <v>1008</v>
      </c>
      <c r="T596" t="s">
        <v>1009</v>
      </c>
      <c r="U596" t="s">
        <v>1010</v>
      </c>
      <c r="V596" t="s">
        <v>66</v>
      </c>
      <c r="W596" t="s">
        <v>66</v>
      </c>
      <c r="X596">
        <v>1115556</v>
      </c>
      <c r="Y596">
        <v>122711.16</v>
      </c>
      <c r="Z596">
        <v>49500</v>
      </c>
      <c r="AA596">
        <v>5445</v>
      </c>
      <c r="AB596">
        <v>1238267.1599999999</v>
      </c>
      <c r="AC596">
        <v>3</v>
      </c>
      <c r="AD596" t="s">
        <v>82</v>
      </c>
      <c r="AE596">
        <v>3</v>
      </c>
      <c r="AF596" t="s">
        <v>205</v>
      </c>
      <c r="AG596">
        <f>IFERROR(VLOOKUP(AF596,[1]STOK!J:O,6,0),"")</f>
        <v>24</v>
      </c>
      <c r="AH596" s="2">
        <f t="shared" si="18"/>
        <v>0.125</v>
      </c>
      <c r="AI596" t="s">
        <v>205</v>
      </c>
      <c r="AJ596" t="s">
        <v>206</v>
      </c>
      <c r="AK596" t="s">
        <v>207</v>
      </c>
      <c r="AL596" t="s">
        <v>86</v>
      </c>
      <c r="AM596">
        <v>18315</v>
      </c>
      <c r="AN596">
        <f t="shared" si="19"/>
        <v>18315</v>
      </c>
      <c r="AO596" t="s">
        <v>66</v>
      </c>
      <c r="AP596">
        <v>0</v>
      </c>
      <c r="AQ596" t="s">
        <v>66</v>
      </c>
      <c r="AR596">
        <v>0</v>
      </c>
      <c r="AS596" t="s">
        <v>66</v>
      </c>
      <c r="AT596">
        <v>0</v>
      </c>
      <c r="AU596" t="s">
        <v>66</v>
      </c>
      <c r="AV596">
        <v>0</v>
      </c>
      <c r="AW596" t="s">
        <v>66</v>
      </c>
      <c r="AX596">
        <v>0</v>
      </c>
      <c r="AY596" t="s">
        <v>66</v>
      </c>
      <c r="AZ596">
        <v>0</v>
      </c>
      <c r="BA596" t="s">
        <v>66</v>
      </c>
      <c r="BB596">
        <v>0</v>
      </c>
      <c r="BC596">
        <v>0</v>
      </c>
      <c r="BD596">
        <v>54945</v>
      </c>
      <c r="BE596">
        <v>14865.57</v>
      </c>
      <c r="BF596">
        <v>0</v>
      </c>
      <c r="BG596" t="s">
        <v>87</v>
      </c>
      <c r="BH596" t="s">
        <v>66</v>
      </c>
      <c r="BI596">
        <v>0</v>
      </c>
      <c r="BJ596" t="s">
        <v>66</v>
      </c>
      <c r="BK596" t="s">
        <v>88</v>
      </c>
      <c r="BL596" t="s">
        <v>66</v>
      </c>
      <c r="BM596" t="s">
        <v>159</v>
      </c>
    </row>
    <row r="597" spans="1:65" x14ac:dyDescent="0.25">
      <c r="A597">
        <v>595</v>
      </c>
      <c r="B597" t="s">
        <v>1002</v>
      </c>
      <c r="C597" t="s">
        <v>68</v>
      </c>
      <c r="D597" s="1">
        <v>46210</v>
      </c>
      <c r="E597" t="s">
        <v>1003</v>
      </c>
      <c r="F597" t="s">
        <v>68</v>
      </c>
      <c r="G597" t="s">
        <v>295</v>
      </c>
      <c r="H597" t="s">
        <v>296</v>
      </c>
      <c r="I597" t="s">
        <v>71</v>
      </c>
      <c r="J597" t="s">
        <v>72</v>
      </c>
      <c r="K597" t="s">
        <v>73</v>
      </c>
      <c r="L597" t="s">
        <v>74</v>
      </c>
      <c r="M597" t="s">
        <v>1004</v>
      </c>
      <c r="N597" t="s">
        <v>111</v>
      </c>
      <c r="O597" t="s">
        <v>1005</v>
      </c>
      <c r="P597" t="s">
        <v>1006</v>
      </c>
      <c r="Q597" t="s">
        <v>1007</v>
      </c>
      <c r="R597" s="1">
        <v>46213</v>
      </c>
      <c r="S597" t="s">
        <v>1008</v>
      </c>
      <c r="T597" t="s">
        <v>1009</v>
      </c>
      <c r="U597" t="s">
        <v>1010</v>
      </c>
      <c r="V597" t="s">
        <v>66</v>
      </c>
      <c r="W597" t="s">
        <v>66</v>
      </c>
      <c r="X597">
        <v>1115556</v>
      </c>
      <c r="Y597">
        <v>122711.16</v>
      </c>
      <c r="Z597">
        <v>99000</v>
      </c>
      <c r="AA597">
        <v>10890</v>
      </c>
      <c r="AB597">
        <v>1238267.1599999999</v>
      </c>
      <c r="AC597">
        <v>6</v>
      </c>
      <c r="AD597" t="s">
        <v>82</v>
      </c>
      <c r="AE597">
        <v>6</v>
      </c>
      <c r="AF597" t="s">
        <v>96</v>
      </c>
      <c r="AG597">
        <f>IFERROR(VLOOKUP(AF597,[1]STOK!J:O,6,0),"")</f>
        <v>24</v>
      </c>
      <c r="AH597" s="2">
        <f t="shared" si="18"/>
        <v>0.25</v>
      </c>
      <c r="AI597" t="s">
        <v>96</v>
      </c>
      <c r="AJ597" t="s">
        <v>97</v>
      </c>
      <c r="AK597" t="s">
        <v>98</v>
      </c>
      <c r="AL597" t="s">
        <v>86</v>
      </c>
      <c r="AM597">
        <v>18315</v>
      </c>
      <c r="AN597">
        <f t="shared" si="19"/>
        <v>18315</v>
      </c>
      <c r="AO597" t="s">
        <v>66</v>
      </c>
      <c r="AP597">
        <v>0</v>
      </c>
      <c r="AQ597" t="s">
        <v>66</v>
      </c>
      <c r="AR597">
        <v>0</v>
      </c>
      <c r="AS597" t="s">
        <v>66</v>
      </c>
      <c r="AT597">
        <v>0</v>
      </c>
      <c r="AU597" t="s">
        <v>66</v>
      </c>
      <c r="AV597">
        <v>0</v>
      </c>
      <c r="AW597" t="s">
        <v>66</v>
      </c>
      <c r="AX597">
        <v>0</v>
      </c>
      <c r="AY597" t="s">
        <v>66</v>
      </c>
      <c r="AZ597">
        <v>0</v>
      </c>
      <c r="BA597" t="s">
        <v>66</v>
      </c>
      <c r="BB597">
        <v>0</v>
      </c>
      <c r="BC597">
        <v>0</v>
      </c>
      <c r="BD597">
        <v>109890</v>
      </c>
      <c r="BE597">
        <v>14932.79</v>
      </c>
      <c r="BF597">
        <v>0</v>
      </c>
      <c r="BG597" t="s">
        <v>87</v>
      </c>
      <c r="BH597" t="s">
        <v>1011</v>
      </c>
      <c r="BI597">
        <v>1</v>
      </c>
      <c r="BJ597" t="s">
        <v>209</v>
      </c>
      <c r="BK597" t="s">
        <v>88</v>
      </c>
      <c r="BL597" t="s">
        <v>66</v>
      </c>
      <c r="BM597" t="s">
        <v>159</v>
      </c>
    </row>
    <row r="598" spans="1:65" x14ac:dyDescent="0.25">
      <c r="A598">
        <v>596</v>
      </c>
      <c r="B598" t="s">
        <v>1002</v>
      </c>
      <c r="C598" t="s">
        <v>68</v>
      </c>
      <c r="D598" s="1">
        <v>46210</v>
      </c>
      <c r="E598" t="s">
        <v>1003</v>
      </c>
      <c r="F598" t="s">
        <v>68</v>
      </c>
      <c r="G598" t="s">
        <v>295</v>
      </c>
      <c r="H598" t="s">
        <v>296</v>
      </c>
      <c r="I598" t="s">
        <v>71</v>
      </c>
      <c r="J598" t="s">
        <v>72</v>
      </c>
      <c r="K598" t="s">
        <v>73</v>
      </c>
      <c r="L598" t="s">
        <v>74</v>
      </c>
      <c r="M598" t="s">
        <v>1004</v>
      </c>
      <c r="N598" t="s">
        <v>111</v>
      </c>
      <c r="O598" t="s">
        <v>1005</v>
      </c>
      <c r="P598" t="s">
        <v>1006</v>
      </c>
      <c r="Q598" t="s">
        <v>1007</v>
      </c>
      <c r="R598" s="1">
        <v>46213</v>
      </c>
      <c r="S598" t="s">
        <v>1008</v>
      </c>
      <c r="T598" t="s">
        <v>1009</v>
      </c>
      <c r="U598" t="s">
        <v>1010</v>
      </c>
      <c r="V598" t="s">
        <v>66</v>
      </c>
      <c r="W598" t="s">
        <v>66</v>
      </c>
      <c r="X598">
        <v>1115556</v>
      </c>
      <c r="Y598">
        <v>122711.16</v>
      </c>
      <c r="Z598">
        <v>99000</v>
      </c>
      <c r="AA598">
        <v>10890</v>
      </c>
      <c r="AB598">
        <v>1238267.1599999999</v>
      </c>
      <c r="AC598">
        <v>6</v>
      </c>
      <c r="AD598" t="s">
        <v>82</v>
      </c>
      <c r="AE598">
        <v>6</v>
      </c>
      <c r="AF598" t="s">
        <v>99</v>
      </c>
      <c r="AG598">
        <f>IFERROR(VLOOKUP(AF598,[1]STOK!J:O,6,0),"")</f>
        <v>24</v>
      </c>
      <c r="AH598" s="2">
        <f t="shared" si="18"/>
        <v>0.25</v>
      </c>
      <c r="AI598" t="s">
        <v>99</v>
      </c>
      <c r="AJ598" t="s">
        <v>100</v>
      </c>
      <c r="AK598" t="s">
        <v>101</v>
      </c>
      <c r="AL598" t="s">
        <v>86</v>
      </c>
      <c r="AM598">
        <v>18315</v>
      </c>
      <c r="AN598">
        <f t="shared" si="19"/>
        <v>18315</v>
      </c>
      <c r="AO598" t="s">
        <v>66</v>
      </c>
      <c r="AP598">
        <v>0</v>
      </c>
      <c r="AQ598" t="s">
        <v>66</v>
      </c>
      <c r="AR598">
        <v>0</v>
      </c>
      <c r="AS598" t="s">
        <v>66</v>
      </c>
      <c r="AT598">
        <v>0</v>
      </c>
      <c r="AU598" t="s">
        <v>66</v>
      </c>
      <c r="AV598">
        <v>0</v>
      </c>
      <c r="AW598" t="s">
        <v>66</v>
      </c>
      <c r="AX598">
        <v>0</v>
      </c>
      <c r="AY598" t="s">
        <v>66</v>
      </c>
      <c r="AZ598">
        <v>0</v>
      </c>
      <c r="BA598" t="s">
        <v>66</v>
      </c>
      <c r="BB598">
        <v>0</v>
      </c>
      <c r="BC598">
        <v>0</v>
      </c>
      <c r="BD598">
        <v>109890</v>
      </c>
      <c r="BE598">
        <v>14915.33</v>
      </c>
      <c r="BF598">
        <v>0</v>
      </c>
      <c r="BG598" t="s">
        <v>87</v>
      </c>
      <c r="BH598" t="s">
        <v>66</v>
      </c>
      <c r="BI598">
        <v>0</v>
      </c>
      <c r="BJ598" t="s">
        <v>66</v>
      </c>
      <c r="BK598" t="s">
        <v>88</v>
      </c>
      <c r="BL598" t="s">
        <v>66</v>
      </c>
      <c r="BM598" t="s">
        <v>159</v>
      </c>
    </row>
    <row r="599" spans="1:65" x14ac:dyDescent="0.25">
      <c r="A599">
        <v>597</v>
      </c>
      <c r="B599" t="s">
        <v>1002</v>
      </c>
      <c r="C599" t="s">
        <v>68</v>
      </c>
      <c r="D599" s="1">
        <v>46210</v>
      </c>
      <c r="E599" t="s">
        <v>1003</v>
      </c>
      <c r="F599" t="s">
        <v>68</v>
      </c>
      <c r="G599" t="s">
        <v>295</v>
      </c>
      <c r="H599" t="s">
        <v>296</v>
      </c>
      <c r="I599" t="s">
        <v>71</v>
      </c>
      <c r="J599" t="s">
        <v>72</v>
      </c>
      <c r="K599" t="s">
        <v>73</v>
      </c>
      <c r="L599" t="s">
        <v>74</v>
      </c>
      <c r="M599" t="s">
        <v>1004</v>
      </c>
      <c r="N599" t="s">
        <v>111</v>
      </c>
      <c r="O599" t="s">
        <v>1005</v>
      </c>
      <c r="P599" t="s">
        <v>1006</v>
      </c>
      <c r="Q599" t="s">
        <v>1007</v>
      </c>
      <c r="R599" s="1">
        <v>46213</v>
      </c>
      <c r="S599" t="s">
        <v>1008</v>
      </c>
      <c r="T599" t="s">
        <v>1009</v>
      </c>
      <c r="U599" t="s">
        <v>1010</v>
      </c>
      <c r="V599" t="s">
        <v>66</v>
      </c>
      <c r="W599" t="s">
        <v>66</v>
      </c>
      <c r="X599">
        <v>1115556</v>
      </c>
      <c r="Y599">
        <v>122711.16</v>
      </c>
      <c r="Z599">
        <v>81900</v>
      </c>
      <c r="AA599">
        <v>9009</v>
      </c>
      <c r="AB599">
        <v>1238267.1599999999</v>
      </c>
      <c r="AC599">
        <v>3</v>
      </c>
      <c r="AD599" t="s">
        <v>82</v>
      </c>
      <c r="AE599">
        <v>3</v>
      </c>
      <c r="AF599" t="s">
        <v>303</v>
      </c>
      <c r="AG599">
        <f>IFERROR(VLOOKUP(AF599,[1]STOK!J:O,6,0),"")</f>
        <v>12</v>
      </c>
      <c r="AH599" s="2">
        <f t="shared" si="18"/>
        <v>0.25</v>
      </c>
      <c r="AI599" t="s">
        <v>303</v>
      </c>
      <c r="AJ599" t="s">
        <v>304</v>
      </c>
      <c r="AK599" t="s">
        <v>305</v>
      </c>
      <c r="AL599" t="s">
        <v>86</v>
      </c>
      <c r="AM599">
        <v>30303</v>
      </c>
      <c r="AN599">
        <f t="shared" si="19"/>
        <v>30303</v>
      </c>
      <c r="AO599" t="s">
        <v>66</v>
      </c>
      <c r="AP599">
        <v>0</v>
      </c>
      <c r="AQ599" t="s">
        <v>66</v>
      </c>
      <c r="AR599">
        <v>0</v>
      </c>
      <c r="AS599" t="s">
        <v>66</v>
      </c>
      <c r="AT599">
        <v>0</v>
      </c>
      <c r="AU599" t="s">
        <v>66</v>
      </c>
      <c r="AV599">
        <v>0</v>
      </c>
      <c r="AW599" t="s">
        <v>66</v>
      </c>
      <c r="AX599">
        <v>0</v>
      </c>
      <c r="AY599" t="s">
        <v>66</v>
      </c>
      <c r="AZ599">
        <v>0</v>
      </c>
      <c r="BA599" t="s">
        <v>66</v>
      </c>
      <c r="BB599">
        <v>0</v>
      </c>
      <c r="BC599">
        <v>0</v>
      </c>
      <c r="BD599">
        <v>90909</v>
      </c>
      <c r="BE599">
        <v>24631.7</v>
      </c>
      <c r="BF599">
        <v>0</v>
      </c>
      <c r="BG599" t="s">
        <v>87</v>
      </c>
      <c r="BH599" t="s">
        <v>66</v>
      </c>
      <c r="BI599">
        <v>0</v>
      </c>
      <c r="BJ599" t="s">
        <v>66</v>
      </c>
      <c r="BK599" t="s">
        <v>88</v>
      </c>
      <c r="BL599" t="s">
        <v>66</v>
      </c>
      <c r="BM599" t="s">
        <v>159</v>
      </c>
    </row>
    <row r="600" spans="1:65" x14ac:dyDescent="0.25">
      <c r="A600">
        <v>598</v>
      </c>
      <c r="B600" t="s">
        <v>1002</v>
      </c>
      <c r="C600" t="s">
        <v>68</v>
      </c>
      <c r="D600" s="1">
        <v>46210</v>
      </c>
      <c r="E600" t="s">
        <v>1003</v>
      </c>
      <c r="F600" t="s">
        <v>68</v>
      </c>
      <c r="G600" t="s">
        <v>295</v>
      </c>
      <c r="H600" t="s">
        <v>296</v>
      </c>
      <c r="I600" t="s">
        <v>71</v>
      </c>
      <c r="J600" t="s">
        <v>72</v>
      </c>
      <c r="K600" t="s">
        <v>73</v>
      </c>
      <c r="L600" t="s">
        <v>74</v>
      </c>
      <c r="M600" t="s">
        <v>1004</v>
      </c>
      <c r="N600" t="s">
        <v>111</v>
      </c>
      <c r="O600" t="s">
        <v>1005</v>
      </c>
      <c r="P600" t="s">
        <v>1006</v>
      </c>
      <c r="Q600" t="s">
        <v>1007</v>
      </c>
      <c r="R600" s="1">
        <v>46213</v>
      </c>
      <c r="S600" t="s">
        <v>1008</v>
      </c>
      <c r="T600" t="s">
        <v>1009</v>
      </c>
      <c r="U600" t="s">
        <v>1010</v>
      </c>
      <c r="V600" t="s">
        <v>66</v>
      </c>
      <c r="W600" t="s">
        <v>66</v>
      </c>
      <c r="X600">
        <v>1115556</v>
      </c>
      <c r="Y600">
        <v>122711.16</v>
      </c>
      <c r="Z600">
        <v>81900</v>
      </c>
      <c r="AA600">
        <v>9009</v>
      </c>
      <c r="AB600">
        <v>1238267.1599999999</v>
      </c>
      <c r="AC600">
        <v>3</v>
      </c>
      <c r="AD600" t="s">
        <v>82</v>
      </c>
      <c r="AE600">
        <v>3</v>
      </c>
      <c r="AF600" t="s">
        <v>563</v>
      </c>
      <c r="AG600">
        <f>IFERROR(VLOOKUP(AF600,[1]STOK!J:O,6,0),"")</f>
        <v>12</v>
      </c>
      <c r="AH600" s="2">
        <f t="shared" si="18"/>
        <v>0.25</v>
      </c>
      <c r="AI600" t="s">
        <v>563</v>
      </c>
      <c r="AJ600" t="s">
        <v>564</v>
      </c>
      <c r="AK600" t="s">
        <v>565</v>
      </c>
      <c r="AL600" t="s">
        <v>86</v>
      </c>
      <c r="AM600">
        <v>30303</v>
      </c>
      <c r="AN600">
        <f t="shared" si="19"/>
        <v>30303</v>
      </c>
      <c r="AO600" t="s">
        <v>66</v>
      </c>
      <c r="AP600">
        <v>0</v>
      </c>
      <c r="AQ600" t="s">
        <v>66</v>
      </c>
      <c r="AR600">
        <v>0</v>
      </c>
      <c r="AS600" t="s">
        <v>66</v>
      </c>
      <c r="AT600">
        <v>0</v>
      </c>
      <c r="AU600" t="s">
        <v>66</v>
      </c>
      <c r="AV600">
        <v>0</v>
      </c>
      <c r="AW600" t="s">
        <v>66</v>
      </c>
      <c r="AX600">
        <v>0</v>
      </c>
      <c r="AY600" t="s">
        <v>66</v>
      </c>
      <c r="AZ600">
        <v>0</v>
      </c>
      <c r="BA600" t="s">
        <v>66</v>
      </c>
      <c r="BB600">
        <v>0</v>
      </c>
      <c r="BC600">
        <v>0</v>
      </c>
      <c r="BD600">
        <v>90909</v>
      </c>
      <c r="BE600">
        <v>24678.61</v>
      </c>
      <c r="BF600">
        <v>0</v>
      </c>
      <c r="BG600" t="s">
        <v>87</v>
      </c>
      <c r="BH600" t="s">
        <v>66</v>
      </c>
      <c r="BI600">
        <v>0</v>
      </c>
      <c r="BJ600" t="s">
        <v>66</v>
      </c>
      <c r="BK600" t="s">
        <v>88</v>
      </c>
      <c r="BL600" t="s">
        <v>66</v>
      </c>
      <c r="BM600" t="s">
        <v>159</v>
      </c>
    </row>
    <row r="601" spans="1:65" x14ac:dyDescent="0.25">
      <c r="A601">
        <v>599</v>
      </c>
      <c r="B601" t="s">
        <v>1002</v>
      </c>
      <c r="C601" t="s">
        <v>68</v>
      </c>
      <c r="D601" s="1">
        <v>46210</v>
      </c>
      <c r="E601" t="s">
        <v>1003</v>
      </c>
      <c r="F601" t="s">
        <v>68</v>
      </c>
      <c r="G601" t="s">
        <v>295</v>
      </c>
      <c r="H601" t="s">
        <v>296</v>
      </c>
      <c r="I601" t="s">
        <v>71</v>
      </c>
      <c r="J601" t="s">
        <v>72</v>
      </c>
      <c r="K601" t="s">
        <v>73</v>
      </c>
      <c r="L601" t="s">
        <v>74</v>
      </c>
      <c r="M601" t="s">
        <v>1004</v>
      </c>
      <c r="N601" t="s">
        <v>111</v>
      </c>
      <c r="O601" t="s">
        <v>1005</v>
      </c>
      <c r="P601" t="s">
        <v>1006</v>
      </c>
      <c r="Q601" t="s">
        <v>1007</v>
      </c>
      <c r="R601" s="1">
        <v>46213</v>
      </c>
      <c r="S601" t="s">
        <v>1008</v>
      </c>
      <c r="T601" t="s">
        <v>1009</v>
      </c>
      <c r="U601" t="s">
        <v>1010</v>
      </c>
      <c r="V601" t="s">
        <v>66</v>
      </c>
      <c r="W601" t="s">
        <v>66</v>
      </c>
      <c r="X601">
        <v>1115556</v>
      </c>
      <c r="Y601">
        <v>122711.16</v>
      </c>
      <c r="Z601">
        <v>207600</v>
      </c>
      <c r="AA601">
        <v>22836</v>
      </c>
      <c r="AB601">
        <v>1238267.1599999999</v>
      </c>
      <c r="AC601">
        <v>12</v>
      </c>
      <c r="AD601" t="s">
        <v>82</v>
      </c>
      <c r="AE601">
        <v>12</v>
      </c>
      <c r="AF601" t="s">
        <v>359</v>
      </c>
      <c r="AG601">
        <f>IFERROR(VLOOKUP(AF601,[1]STOK!J:O,6,0),"")</f>
        <v>12</v>
      </c>
      <c r="AH601" s="2">
        <f t="shared" si="18"/>
        <v>1</v>
      </c>
      <c r="AI601" t="s">
        <v>359</v>
      </c>
      <c r="AJ601" t="s">
        <v>360</v>
      </c>
      <c r="AK601" t="s">
        <v>361</v>
      </c>
      <c r="AL601" t="s">
        <v>86</v>
      </c>
      <c r="AM601">
        <v>19203</v>
      </c>
      <c r="AN601">
        <f t="shared" si="19"/>
        <v>19203</v>
      </c>
      <c r="AO601" t="s">
        <v>66</v>
      </c>
      <c r="AP601">
        <v>0</v>
      </c>
      <c r="AQ601" t="s">
        <v>66</v>
      </c>
      <c r="AR601">
        <v>0</v>
      </c>
      <c r="AS601" t="s">
        <v>66</v>
      </c>
      <c r="AT601">
        <v>0</v>
      </c>
      <c r="AU601" t="s">
        <v>66</v>
      </c>
      <c r="AV601">
        <v>0</v>
      </c>
      <c r="AW601" t="s">
        <v>66</v>
      </c>
      <c r="AX601">
        <v>0</v>
      </c>
      <c r="AY601" t="s">
        <v>66</v>
      </c>
      <c r="AZ601">
        <v>0</v>
      </c>
      <c r="BA601" t="s">
        <v>66</v>
      </c>
      <c r="BB601">
        <v>0</v>
      </c>
      <c r="BC601">
        <v>0</v>
      </c>
      <c r="BD601">
        <v>230436</v>
      </c>
      <c r="BE601">
        <v>15607.61</v>
      </c>
      <c r="BF601">
        <v>0</v>
      </c>
      <c r="BG601" t="s">
        <v>87</v>
      </c>
      <c r="BH601" t="s">
        <v>66</v>
      </c>
      <c r="BI601">
        <v>0</v>
      </c>
      <c r="BJ601" t="s">
        <v>66</v>
      </c>
      <c r="BK601" t="s">
        <v>88</v>
      </c>
      <c r="BL601" t="s">
        <v>66</v>
      </c>
      <c r="BM601" t="s">
        <v>159</v>
      </c>
    </row>
    <row r="602" spans="1:65" x14ac:dyDescent="0.25">
      <c r="A602">
        <v>600</v>
      </c>
      <c r="B602" t="s">
        <v>1002</v>
      </c>
      <c r="C602" t="s">
        <v>68</v>
      </c>
      <c r="D602" s="1">
        <v>46210</v>
      </c>
      <c r="E602" t="s">
        <v>1003</v>
      </c>
      <c r="F602" t="s">
        <v>68</v>
      </c>
      <c r="G602" t="s">
        <v>295</v>
      </c>
      <c r="H602" t="s">
        <v>296</v>
      </c>
      <c r="I602" t="s">
        <v>71</v>
      </c>
      <c r="J602" t="s">
        <v>72</v>
      </c>
      <c r="K602" t="s">
        <v>73</v>
      </c>
      <c r="L602" t="s">
        <v>74</v>
      </c>
      <c r="M602" t="s">
        <v>1004</v>
      </c>
      <c r="N602" t="s">
        <v>111</v>
      </c>
      <c r="O602" t="s">
        <v>1005</v>
      </c>
      <c r="P602" t="s">
        <v>1006</v>
      </c>
      <c r="Q602" t="s">
        <v>1007</v>
      </c>
      <c r="R602" s="1">
        <v>46213</v>
      </c>
      <c r="S602" t="s">
        <v>1008</v>
      </c>
      <c r="T602" t="s">
        <v>1009</v>
      </c>
      <c r="U602" t="s">
        <v>1010</v>
      </c>
      <c r="V602" t="s">
        <v>66</v>
      </c>
      <c r="W602" t="s">
        <v>66</v>
      </c>
      <c r="X602">
        <v>1115556</v>
      </c>
      <c r="Y602">
        <v>122711.16</v>
      </c>
      <c r="Z602">
        <v>240000</v>
      </c>
      <c r="AA602">
        <v>26400</v>
      </c>
      <c r="AB602">
        <v>1238267.1599999999</v>
      </c>
      <c r="AC602">
        <v>12</v>
      </c>
      <c r="AD602" t="s">
        <v>82</v>
      </c>
      <c r="AE602">
        <v>12</v>
      </c>
      <c r="AF602" t="s">
        <v>290</v>
      </c>
      <c r="AG602">
        <f>IFERROR(VLOOKUP(AF602,[1]STOK!J:O,6,0),"")</f>
        <v>12</v>
      </c>
      <c r="AH602" s="2">
        <f t="shared" si="18"/>
        <v>1</v>
      </c>
      <c r="AI602" t="s">
        <v>290</v>
      </c>
      <c r="AJ602" t="s">
        <v>291</v>
      </c>
      <c r="AK602" t="s">
        <v>292</v>
      </c>
      <c r="AL602" t="s">
        <v>86</v>
      </c>
      <c r="AM602">
        <v>22200</v>
      </c>
      <c r="AN602">
        <f t="shared" si="19"/>
        <v>22200</v>
      </c>
      <c r="AO602" t="s">
        <v>66</v>
      </c>
      <c r="AP602">
        <v>0</v>
      </c>
      <c r="AQ602" t="s">
        <v>66</v>
      </c>
      <c r="AR602">
        <v>0</v>
      </c>
      <c r="AS602" t="s">
        <v>66</v>
      </c>
      <c r="AT602">
        <v>0</v>
      </c>
      <c r="AU602" t="s">
        <v>66</v>
      </c>
      <c r="AV602">
        <v>0</v>
      </c>
      <c r="AW602" t="s">
        <v>66</v>
      </c>
      <c r="AX602">
        <v>0</v>
      </c>
      <c r="AY602" t="s">
        <v>66</v>
      </c>
      <c r="AZ602">
        <v>0</v>
      </c>
      <c r="BA602" t="s">
        <v>66</v>
      </c>
      <c r="BB602">
        <v>0</v>
      </c>
      <c r="BC602">
        <v>0</v>
      </c>
      <c r="BD602">
        <v>266400</v>
      </c>
      <c r="BE602">
        <v>18106.89</v>
      </c>
      <c r="BF602">
        <v>0</v>
      </c>
      <c r="BG602" t="s">
        <v>87</v>
      </c>
      <c r="BH602" t="s">
        <v>66</v>
      </c>
      <c r="BI602">
        <v>0</v>
      </c>
      <c r="BJ602" t="s">
        <v>66</v>
      </c>
      <c r="BK602" t="s">
        <v>88</v>
      </c>
      <c r="BL602" t="s">
        <v>66</v>
      </c>
      <c r="BM602" t="s">
        <v>159</v>
      </c>
    </row>
    <row r="603" spans="1:65" x14ac:dyDescent="0.25">
      <c r="A603">
        <v>601</v>
      </c>
      <c r="B603" t="s">
        <v>1012</v>
      </c>
      <c r="C603" t="s">
        <v>68</v>
      </c>
      <c r="D603" s="1">
        <v>46210</v>
      </c>
      <c r="E603" t="s">
        <v>1013</v>
      </c>
      <c r="F603" t="s">
        <v>68</v>
      </c>
      <c r="G603" t="s">
        <v>295</v>
      </c>
      <c r="H603" t="s">
        <v>296</v>
      </c>
      <c r="I603" t="s">
        <v>71</v>
      </c>
      <c r="J603" t="s">
        <v>72</v>
      </c>
      <c r="K603" t="s">
        <v>73</v>
      </c>
      <c r="L603" t="s">
        <v>74</v>
      </c>
      <c r="M603" t="s">
        <v>1014</v>
      </c>
      <c r="N603" t="s">
        <v>76</v>
      </c>
      <c r="O603" t="s">
        <v>1015</v>
      </c>
      <c r="P603" t="s">
        <v>1016</v>
      </c>
      <c r="Q603" t="s">
        <v>1017</v>
      </c>
      <c r="R603" s="1">
        <v>46212</v>
      </c>
      <c r="S603" t="s">
        <v>1018</v>
      </c>
      <c r="T603" t="s">
        <v>977</v>
      </c>
      <c r="U603" t="s">
        <v>681</v>
      </c>
      <c r="V603" t="s">
        <v>66</v>
      </c>
      <c r="W603" t="s">
        <v>66</v>
      </c>
      <c r="X603">
        <v>481800</v>
      </c>
      <c r="Y603">
        <v>52998</v>
      </c>
      <c r="Z603">
        <v>99000</v>
      </c>
      <c r="AA603">
        <v>10890</v>
      </c>
      <c r="AB603">
        <v>534798</v>
      </c>
      <c r="AC603">
        <v>6</v>
      </c>
      <c r="AD603" t="s">
        <v>82</v>
      </c>
      <c r="AE603">
        <v>6</v>
      </c>
      <c r="AF603" t="s">
        <v>93</v>
      </c>
      <c r="AG603">
        <f>IFERROR(VLOOKUP(AF603,[1]STOK!J:O,6,0),"")</f>
        <v>24</v>
      </c>
      <c r="AH603" s="2">
        <f t="shared" si="18"/>
        <v>0.25</v>
      </c>
      <c r="AI603" t="s">
        <v>93</v>
      </c>
      <c r="AJ603" t="s">
        <v>94</v>
      </c>
      <c r="AK603" t="s">
        <v>95</v>
      </c>
      <c r="AL603" t="s">
        <v>86</v>
      </c>
      <c r="AM603">
        <v>18315</v>
      </c>
      <c r="AN603">
        <f t="shared" si="19"/>
        <v>18315</v>
      </c>
      <c r="AO603" t="s">
        <v>66</v>
      </c>
      <c r="AP603">
        <v>0</v>
      </c>
      <c r="AQ603" t="s">
        <v>66</v>
      </c>
      <c r="AR603">
        <v>0</v>
      </c>
      <c r="AS603" t="s">
        <v>66</v>
      </c>
      <c r="AT603">
        <v>0</v>
      </c>
      <c r="AU603" t="s">
        <v>66</v>
      </c>
      <c r="AV603">
        <v>0</v>
      </c>
      <c r="AW603" t="s">
        <v>66</v>
      </c>
      <c r="AX603">
        <v>0</v>
      </c>
      <c r="AY603" t="s">
        <v>66</v>
      </c>
      <c r="AZ603">
        <v>0</v>
      </c>
      <c r="BA603" t="s">
        <v>66</v>
      </c>
      <c r="BB603">
        <v>0</v>
      </c>
      <c r="BC603">
        <v>0</v>
      </c>
      <c r="BD603">
        <v>109890</v>
      </c>
      <c r="BE603">
        <v>14931.72</v>
      </c>
      <c r="BF603">
        <v>0</v>
      </c>
      <c r="BG603" t="s">
        <v>87</v>
      </c>
      <c r="BH603" t="s">
        <v>66</v>
      </c>
      <c r="BI603">
        <v>0</v>
      </c>
      <c r="BJ603" t="s">
        <v>66</v>
      </c>
      <c r="BK603" t="s">
        <v>88</v>
      </c>
      <c r="BL603" t="s">
        <v>66</v>
      </c>
      <c r="BM603" t="s">
        <v>159</v>
      </c>
    </row>
    <row r="604" spans="1:65" x14ac:dyDescent="0.25">
      <c r="A604">
        <v>602</v>
      </c>
      <c r="B604" t="s">
        <v>1012</v>
      </c>
      <c r="C604" t="s">
        <v>68</v>
      </c>
      <c r="D604" s="1">
        <v>46210</v>
      </c>
      <c r="E604" t="s">
        <v>1013</v>
      </c>
      <c r="F604" t="s">
        <v>68</v>
      </c>
      <c r="G604" t="s">
        <v>295</v>
      </c>
      <c r="H604" t="s">
        <v>296</v>
      </c>
      <c r="I604" t="s">
        <v>71</v>
      </c>
      <c r="J604" t="s">
        <v>72</v>
      </c>
      <c r="K604" t="s">
        <v>73</v>
      </c>
      <c r="L604" t="s">
        <v>74</v>
      </c>
      <c r="M604" t="s">
        <v>1014</v>
      </c>
      <c r="N604" t="s">
        <v>76</v>
      </c>
      <c r="O604" t="s">
        <v>1015</v>
      </c>
      <c r="P604" t="s">
        <v>1016</v>
      </c>
      <c r="Q604" t="s">
        <v>1017</v>
      </c>
      <c r="R604" s="1">
        <v>46212</v>
      </c>
      <c r="S604" t="s">
        <v>1018</v>
      </c>
      <c r="T604" t="s">
        <v>977</v>
      </c>
      <c r="U604" t="s">
        <v>681</v>
      </c>
      <c r="V604" t="s">
        <v>66</v>
      </c>
      <c r="W604" t="s">
        <v>66</v>
      </c>
      <c r="X604">
        <v>481800</v>
      </c>
      <c r="Y604">
        <v>52998</v>
      </c>
      <c r="Z604">
        <v>99000</v>
      </c>
      <c r="AA604">
        <v>10890</v>
      </c>
      <c r="AB604">
        <v>534798</v>
      </c>
      <c r="AC604">
        <v>6</v>
      </c>
      <c r="AD604" t="s">
        <v>82</v>
      </c>
      <c r="AE604">
        <v>6</v>
      </c>
      <c r="AF604" t="s">
        <v>99</v>
      </c>
      <c r="AG604">
        <f>IFERROR(VLOOKUP(AF604,[1]STOK!J:O,6,0),"")</f>
        <v>24</v>
      </c>
      <c r="AH604" s="2">
        <f t="shared" si="18"/>
        <v>0.25</v>
      </c>
      <c r="AI604" t="s">
        <v>99</v>
      </c>
      <c r="AJ604" t="s">
        <v>100</v>
      </c>
      <c r="AK604" t="s">
        <v>101</v>
      </c>
      <c r="AL604" t="s">
        <v>86</v>
      </c>
      <c r="AM604">
        <v>18315</v>
      </c>
      <c r="AN604">
        <f t="shared" si="19"/>
        <v>18315</v>
      </c>
      <c r="AO604" t="s">
        <v>66</v>
      </c>
      <c r="AP604">
        <v>0</v>
      </c>
      <c r="AQ604" t="s">
        <v>66</v>
      </c>
      <c r="AR604">
        <v>0</v>
      </c>
      <c r="AS604" t="s">
        <v>66</v>
      </c>
      <c r="AT604">
        <v>0</v>
      </c>
      <c r="AU604" t="s">
        <v>66</v>
      </c>
      <c r="AV604">
        <v>0</v>
      </c>
      <c r="AW604" t="s">
        <v>66</v>
      </c>
      <c r="AX604">
        <v>0</v>
      </c>
      <c r="AY604" t="s">
        <v>66</v>
      </c>
      <c r="AZ604">
        <v>0</v>
      </c>
      <c r="BA604" t="s">
        <v>66</v>
      </c>
      <c r="BB604">
        <v>0</v>
      </c>
      <c r="BC604">
        <v>0</v>
      </c>
      <c r="BD604">
        <v>109890</v>
      </c>
      <c r="BE604">
        <v>14915.33</v>
      </c>
      <c r="BF604">
        <v>0</v>
      </c>
      <c r="BG604" t="s">
        <v>87</v>
      </c>
      <c r="BH604" t="s">
        <v>66</v>
      </c>
      <c r="BI604">
        <v>0</v>
      </c>
      <c r="BJ604" t="s">
        <v>66</v>
      </c>
      <c r="BK604" t="s">
        <v>88</v>
      </c>
      <c r="BL604" t="s">
        <v>66</v>
      </c>
      <c r="BM604" t="s">
        <v>159</v>
      </c>
    </row>
    <row r="605" spans="1:65" x14ac:dyDescent="0.25">
      <c r="A605">
        <v>603</v>
      </c>
      <c r="B605" t="s">
        <v>1012</v>
      </c>
      <c r="C605" t="s">
        <v>68</v>
      </c>
      <c r="D605" s="1">
        <v>46210</v>
      </c>
      <c r="E605" t="s">
        <v>1013</v>
      </c>
      <c r="F605" t="s">
        <v>68</v>
      </c>
      <c r="G605" t="s">
        <v>295</v>
      </c>
      <c r="H605" t="s">
        <v>296</v>
      </c>
      <c r="I605" t="s">
        <v>71</v>
      </c>
      <c r="J605" t="s">
        <v>72</v>
      </c>
      <c r="K605" t="s">
        <v>73</v>
      </c>
      <c r="L605" t="s">
        <v>74</v>
      </c>
      <c r="M605" t="s">
        <v>1014</v>
      </c>
      <c r="N605" t="s">
        <v>76</v>
      </c>
      <c r="O605" t="s">
        <v>1015</v>
      </c>
      <c r="P605" t="s">
        <v>1016</v>
      </c>
      <c r="Q605" t="s">
        <v>1017</v>
      </c>
      <c r="R605" s="1">
        <v>46212</v>
      </c>
      <c r="S605" t="s">
        <v>1018</v>
      </c>
      <c r="T605" t="s">
        <v>977</v>
      </c>
      <c r="U605" t="s">
        <v>681</v>
      </c>
      <c r="V605" t="s">
        <v>66</v>
      </c>
      <c r="W605" t="s">
        <v>66</v>
      </c>
      <c r="X605">
        <v>481800</v>
      </c>
      <c r="Y605">
        <v>52998</v>
      </c>
      <c r="Z605">
        <v>163800</v>
      </c>
      <c r="AA605">
        <v>18018</v>
      </c>
      <c r="AB605">
        <v>534798</v>
      </c>
      <c r="AC605">
        <v>6</v>
      </c>
      <c r="AD605" t="s">
        <v>82</v>
      </c>
      <c r="AE605">
        <v>6</v>
      </c>
      <c r="AF605" t="s">
        <v>563</v>
      </c>
      <c r="AG605">
        <f>IFERROR(VLOOKUP(AF605,[1]STOK!J:O,6,0),"")</f>
        <v>12</v>
      </c>
      <c r="AH605" s="2">
        <f t="shared" si="18"/>
        <v>0.5</v>
      </c>
      <c r="AI605" t="s">
        <v>563</v>
      </c>
      <c r="AJ605" t="s">
        <v>564</v>
      </c>
      <c r="AK605" t="s">
        <v>565</v>
      </c>
      <c r="AL605" t="s">
        <v>86</v>
      </c>
      <c r="AM605">
        <v>30303</v>
      </c>
      <c r="AN605">
        <f t="shared" si="19"/>
        <v>30303</v>
      </c>
      <c r="AO605" t="s">
        <v>66</v>
      </c>
      <c r="AP605">
        <v>0</v>
      </c>
      <c r="AQ605" t="s">
        <v>66</v>
      </c>
      <c r="AR605">
        <v>0</v>
      </c>
      <c r="AS605" t="s">
        <v>66</v>
      </c>
      <c r="AT605">
        <v>0</v>
      </c>
      <c r="AU605" t="s">
        <v>66</v>
      </c>
      <c r="AV605">
        <v>0</v>
      </c>
      <c r="AW605" t="s">
        <v>66</v>
      </c>
      <c r="AX605">
        <v>0</v>
      </c>
      <c r="AY605" t="s">
        <v>66</v>
      </c>
      <c r="AZ605">
        <v>0</v>
      </c>
      <c r="BA605" t="s">
        <v>66</v>
      </c>
      <c r="BB605">
        <v>0</v>
      </c>
      <c r="BC605">
        <v>0</v>
      </c>
      <c r="BD605">
        <v>181818</v>
      </c>
      <c r="BE605">
        <v>24678.61</v>
      </c>
      <c r="BF605">
        <v>0</v>
      </c>
      <c r="BG605" t="s">
        <v>87</v>
      </c>
      <c r="BH605" t="s">
        <v>66</v>
      </c>
      <c r="BI605">
        <v>0</v>
      </c>
      <c r="BJ605" t="s">
        <v>66</v>
      </c>
      <c r="BK605" t="s">
        <v>88</v>
      </c>
      <c r="BL605" t="s">
        <v>66</v>
      </c>
      <c r="BM605" t="s">
        <v>159</v>
      </c>
    </row>
    <row r="606" spans="1:65" x14ac:dyDescent="0.25">
      <c r="A606">
        <v>604</v>
      </c>
      <c r="B606" t="s">
        <v>1012</v>
      </c>
      <c r="C606" t="s">
        <v>68</v>
      </c>
      <c r="D606" s="1">
        <v>46210</v>
      </c>
      <c r="E606" t="s">
        <v>1013</v>
      </c>
      <c r="F606" t="s">
        <v>68</v>
      </c>
      <c r="G606" t="s">
        <v>295</v>
      </c>
      <c r="H606" t="s">
        <v>296</v>
      </c>
      <c r="I606" t="s">
        <v>71</v>
      </c>
      <c r="J606" t="s">
        <v>72</v>
      </c>
      <c r="K606" t="s">
        <v>73</v>
      </c>
      <c r="L606" t="s">
        <v>74</v>
      </c>
      <c r="M606" t="s">
        <v>1014</v>
      </c>
      <c r="N606" t="s">
        <v>76</v>
      </c>
      <c r="O606" t="s">
        <v>1015</v>
      </c>
      <c r="P606" t="s">
        <v>1016</v>
      </c>
      <c r="Q606" t="s">
        <v>1017</v>
      </c>
      <c r="R606" s="1">
        <v>46212</v>
      </c>
      <c r="S606" t="s">
        <v>1018</v>
      </c>
      <c r="T606" t="s">
        <v>977</v>
      </c>
      <c r="U606" t="s">
        <v>681</v>
      </c>
      <c r="V606" t="s">
        <v>66</v>
      </c>
      <c r="W606" t="s">
        <v>66</v>
      </c>
      <c r="X606">
        <v>481800</v>
      </c>
      <c r="Y606">
        <v>52998</v>
      </c>
      <c r="Z606">
        <v>120000</v>
      </c>
      <c r="AA606">
        <v>13200</v>
      </c>
      <c r="AB606">
        <v>534798</v>
      </c>
      <c r="AC606">
        <v>6</v>
      </c>
      <c r="AD606" t="s">
        <v>82</v>
      </c>
      <c r="AE606">
        <v>6</v>
      </c>
      <c r="AF606" t="s">
        <v>290</v>
      </c>
      <c r="AG606">
        <f>IFERROR(VLOOKUP(AF606,[1]STOK!J:O,6,0),"")</f>
        <v>12</v>
      </c>
      <c r="AH606" s="2">
        <f t="shared" si="18"/>
        <v>0.5</v>
      </c>
      <c r="AI606" t="s">
        <v>290</v>
      </c>
      <c r="AJ606" t="s">
        <v>291</v>
      </c>
      <c r="AK606" t="s">
        <v>292</v>
      </c>
      <c r="AL606" t="s">
        <v>86</v>
      </c>
      <c r="AM606">
        <v>22200</v>
      </c>
      <c r="AN606">
        <f t="shared" si="19"/>
        <v>22200</v>
      </c>
      <c r="AO606" t="s">
        <v>66</v>
      </c>
      <c r="AP606">
        <v>0</v>
      </c>
      <c r="AQ606" t="s">
        <v>66</v>
      </c>
      <c r="AR606">
        <v>0</v>
      </c>
      <c r="AS606" t="s">
        <v>66</v>
      </c>
      <c r="AT606">
        <v>0</v>
      </c>
      <c r="AU606" t="s">
        <v>66</v>
      </c>
      <c r="AV606">
        <v>0</v>
      </c>
      <c r="AW606" t="s">
        <v>66</v>
      </c>
      <c r="AX606">
        <v>0</v>
      </c>
      <c r="AY606" t="s">
        <v>66</v>
      </c>
      <c r="AZ606">
        <v>0</v>
      </c>
      <c r="BA606" t="s">
        <v>66</v>
      </c>
      <c r="BB606">
        <v>0</v>
      </c>
      <c r="BC606">
        <v>0</v>
      </c>
      <c r="BD606">
        <v>133200</v>
      </c>
      <c r="BE606">
        <v>18106.89</v>
      </c>
      <c r="BF606">
        <v>0</v>
      </c>
      <c r="BG606" t="s">
        <v>87</v>
      </c>
      <c r="BH606" t="s">
        <v>66</v>
      </c>
      <c r="BI606">
        <v>0</v>
      </c>
      <c r="BJ606" t="s">
        <v>66</v>
      </c>
      <c r="BK606" t="s">
        <v>88</v>
      </c>
      <c r="BL606" t="s">
        <v>66</v>
      </c>
      <c r="BM606" t="s">
        <v>159</v>
      </c>
    </row>
    <row r="607" spans="1:65" x14ac:dyDescent="0.25">
      <c r="A607">
        <v>605</v>
      </c>
      <c r="B607" t="s">
        <v>1019</v>
      </c>
      <c r="C607" t="s">
        <v>68</v>
      </c>
      <c r="D607" s="1">
        <v>46210</v>
      </c>
      <c r="E607" t="s">
        <v>1020</v>
      </c>
      <c r="F607" t="s">
        <v>68</v>
      </c>
      <c r="G607" t="s">
        <v>295</v>
      </c>
      <c r="H607" t="s">
        <v>296</v>
      </c>
      <c r="I607" t="s">
        <v>71</v>
      </c>
      <c r="J607" t="s">
        <v>72</v>
      </c>
      <c r="K607" t="s">
        <v>73</v>
      </c>
      <c r="L607" t="s">
        <v>74</v>
      </c>
      <c r="M607" t="s">
        <v>1021</v>
      </c>
      <c r="N607" t="s">
        <v>76</v>
      </c>
      <c r="O607" t="s">
        <v>1022</v>
      </c>
      <c r="P607" t="s">
        <v>1023</v>
      </c>
      <c r="Q607" t="s">
        <v>66</v>
      </c>
      <c r="R607" s="1">
        <v>46210</v>
      </c>
      <c r="S607" t="s">
        <v>841</v>
      </c>
      <c r="T607" t="s">
        <v>842</v>
      </c>
      <c r="U607" t="s">
        <v>843</v>
      </c>
      <c r="V607" t="s">
        <v>66</v>
      </c>
      <c r="W607" t="s">
        <v>66</v>
      </c>
      <c r="X607">
        <v>414834</v>
      </c>
      <c r="Y607">
        <v>45631.74</v>
      </c>
      <c r="Z607">
        <v>43512</v>
      </c>
      <c r="AA607">
        <v>4786.32</v>
      </c>
      <c r="AB607">
        <v>460465.74</v>
      </c>
      <c r="AC607">
        <v>6</v>
      </c>
      <c r="AD607" t="s">
        <v>82</v>
      </c>
      <c r="AE607">
        <v>6</v>
      </c>
      <c r="AF607" t="s">
        <v>262</v>
      </c>
      <c r="AG607">
        <f>IFERROR(VLOOKUP(AF607,[1]STOK!J:O,6,0),"")</f>
        <v>24</v>
      </c>
      <c r="AH607" s="2">
        <f t="shared" si="18"/>
        <v>0.25</v>
      </c>
      <c r="AI607" t="s">
        <v>262</v>
      </c>
      <c r="AJ607" t="s">
        <v>263</v>
      </c>
      <c r="AK607" t="s">
        <v>264</v>
      </c>
      <c r="AL607" t="s">
        <v>86</v>
      </c>
      <c r="AM607">
        <v>8214</v>
      </c>
      <c r="AN607">
        <f t="shared" si="19"/>
        <v>8049.72</v>
      </c>
      <c r="AO607" t="s">
        <v>66</v>
      </c>
      <c r="AP607">
        <v>2</v>
      </c>
      <c r="AQ607" t="s">
        <v>66</v>
      </c>
      <c r="AR607">
        <v>0</v>
      </c>
      <c r="AS607" t="s">
        <v>66</v>
      </c>
      <c r="AT607">
        <v>0</v>
      </c>
      <c r="AU607" t="s">
        <v>66</v>
      </c>
      <c r="AV607">
        <v>0</v>
      </c>
      <c r="AW607" t="s">
        <v>66</v>
      </c>
      <c r="AX607">
        <v>0</v>
      </c>
      <c r="AY607" t="s">
        <v>66</v>
      </c>
      <c r="AZ607">
        <v>0</v>
      </c>
      <c r="BA607" t="s">
        <v>66</v>
      </c>
      <c r="BB607">
        <v>0</v>
      </c>
      <c r="BC607">
        <v>0</v>
      </c>
      <c r="BD607">
        <v>48298.32</v>
      </c>
      <c r="BE607">
        <v>6693.78</v>
      </c>
      <c r="BF607">
        <v>0</v>
      </c>
      <c r="BG607" t="s">
        <v>87</v>
      </c>
      <c r="BH607" t="s">
        <v>1024</v>
      </c>
      <c r="BI607">
        <v>6</v>
      </c>
      <c r="BJ607" t="s">
        <v>158</v>
      </c>
      <c r="BK607" t="s">
        <v>88</v>
      </c>
      <c r="BL607" t="s">
        <v>719</v>
      </c>
      <c r="BM607" t="s">
        <v>159</v>
      </c>
    </row>
    <row r="608" spans="1:65" x14ac:dyDescent="0.25">
      <c r="A608">
        <v>606</v>
      </c>
      <c r="B608" t="s">
        <v>1019</v>
      </c>
      <c r="C608" t="s">
        <v>68</v>
      </c>
      <c r="D608" s="1">
        <v>46210</v>
      </c>
      <c r="E608" t="s">
        <v>1020</v>
      </c>
      <c r="F608" t="s">
        <v>68</v>
      </c>
      <c r="G608" t="s">
        <v>295</v>
      </c>
      <c r="H608" t="s">
        <v>296</v>
      </c>
      <c r="I608" t="s">
        <v>71</v>
      </c>
      <c r="J608" t="s">
        <v>72</v>
      </c>
      <c r="K608" t="s">
        <v>73</v>
      </c>
      <c r="L608" t="s">
        <v>74</v>
      </c>
      <c r="M608" t="s">
        <v>1021</v>
      </c>
      <c r="N608" t="s">
        <v>76</v>
      </c>
      <c r="O608" t="s">
        <v>1022</v>
      </c>
      <c r="P608" t="s">
        <v>1023</v>
      </c>
      <c r="Q608" t="s">
        <v>66</v>
      </c>
      <c r="R608" s="1">
        <v>46210</v>
      </c>
      <c r="S608" t="s">
        <v>841</v>
      </c>
      <c r="T608" t="s">
        <v>842</v>
      </c>
      <c r="U608" t="s">
        <v>843</v>
      </c>
      <c r="V608" t="s">
        <v>66</v>
      </c>
      <c r="W608" t="s">
        <v>66</v>
      </c>
      <c r="X608">
        <v>414834</v>
      </c>
      <c r="Y608">
        <v>45631.74</v>
      </c>
      <c r="Z608">
        <v>29694</v>
      </c>
      <c r="AA608">
        <v>3266.34</v>
      </c>
      <c r="AB608">
        <v>460465.74</v>
      </c>
      <c r="AC608">
        <v>3</v>
      </c>
      <c r="AD608" t="s">
        <v>82</v>
      </c>
      <c r="AE608">
        <v>3</v>
      </c>
      <c r="AF608" t="s">
        <v>857</v>
      </c>
      <c r="AG608">
        <f>IFERROR(VLOOKUP(AF608,[1]STOK!J:O,6,0),"")</f>
        <v>24</v>
      </c>
      <c r="AH608" s="2">
        <f t="shared" si="18"/>
        <v>0.125</v>
      </c>
      <c r="AI608" t="s">
        <v>857</v>
      </c>
      <c r="AJ608" t="s">
        <v>858</v>
      </c>
      <c r="AK608" t="s">
        <v>859</v>
      </c>
      <c r="AL608" t="s">
        <v>86</v>
      </c>
      <c r="AM608">
        <v>11211</v>
      </c>
      <c r="AN608">
        <f t="shared" si="19"/>
        <v>10986.779999999999</v>
      </c>
      <c r="AO608" t="s">
        <v>66</v>
      </c>
      <c r="AP608">
        <v>2</v>
      </c>
      <c r="AQ608" t="s">
        <v>66</v>
      </c>
      <c r="AR608">
        <v>0</v>
      </c>
      <c r="AS608" t="s">
        <v>66</v>
      </c>
      <c r="AT608">
        <v>0</v>
      </c>
      <c r="AU608" t="s">
        <v>66</v>
      </c>
      <c r="AV608">
        <v>0</v>
      </c>
      <c r="AW608" t="s">
        <v>66</v>
      </c>
      <c r="AX608">
        <v>0</v>
      </c>
      <c r="AY608" t="s">
        <v>66</v>
      </c>
      <c r="AZ608">
        <v>0</v>
      </c>
      <c r="BA608" t="s">
        <v>66</v>
      </c>
      <c r="BB608">
        <v>0</v>
      </c>
      <c r="BC608">
        <v>0</v>
      </c>
      <c r="BD608">
        <v>32960.339999999997</v>
      </c>
      <c r="BE608">
        <v>8645.48</v>
      </c>
      <c r="BF608">
        <v>0</v>
      </c>
      <c r="BG608" t="s">
        <v>87</v>
      </c>
      <c r="BH608" t="s">
        <v>1024</v>
      </c>
      <c r="BI608">
        <v>3</v>
      </c>
      <c r="BJ608" t="s">
        <v>158</v>
      </c>
      <c r="BK608" t="s">
        <v>88</v>
      </c>
      <c r="BL608" t="s">
        <v>719</v>
      </c>
      <c r="BM608" t="s">
        <v>159</v>
      </c>
    </row>
    <row r="609" spans="1:65" x14ac:dyDescent="0.25">
      <c r="A609">
        <v>607</v>
      </c>
      <c r="B609" t="s">
        <v>1019</v>
      </c>
      <c r="C609" t="s">
        <v>68</v>
      </c>
      <c r="D609" s="1">
        <v>46210</v>
      </c>
      <c r="E609" t="s">
        <v>1020</v>
      </c>
      <c r="F609" t="s">
        <v>68</v>
      </c>
      <c r="G609" t="s">
        <v>295</v>
      </c>
      <c r="H609" t="s">
        <v>296</v>
      </c>
      <c r="I609" t="s">
        <v>71</v>
      </c>
      <c r="J609" t="s">
        <v>72</v>
      </c>
      <c r="K609" t="s">
        <v>73</v>
      </c>
      <c r="L609" t="s">
        <v>74</v>
      </c>
      <c r="M609" t="s">
        <v>1021</v>
      </c>
      <c r="N609" t="s">
        <v>76</v>
      </c>
      <c r="O609" t="s">
        <v>1022</v>
      </c>
      <c r="P609" t="s">
        <v>1023</v>
      </c>
      <c r="Q609" t="s">
        <v>66</v>
      </c>
      <c r="R609" s="1">
        <v>46210</v>
      </c>
      <c r="S609" t="s">
        <v>841</v>
      </c>
      <c r="T609" t="s">
        <v>842</v>
      </c>
      <c r="U609" t="s">
        <v>843</v>
      </c>
      <c r="V609" t="s">
        <v>66</v>
      </c>
      <c r="W609" t="s">
        <v>66</v>
      </c>
      <c r="X609">
        <v>414834</v>
      </c>
      <c r="Y609">
        <v>45631.74</v>
      </c>
      <c r="Z609">
        <v>29988</v>
      </c>
      <c r="AA609">
        <v>3298.68</v>
      </c>
      <c r="AB609">
        <v>460465.74</v>
      </c>
      <c r="AC609">
        <v>3</v>
      </c>
      <c r="AD609" t="s">
        <v>82</v>
      </c>
      <c r="AE609">
        <v>3</v>
      </c>
      <c r="AF609" t="s">
        <v>726</v>
      </c>
      <c r="AG609">
        <f>IFERROR(VLOOKUP(AF609,[1]STOK!J:O,6,0),"")</f>
        <v>24</v>
      </c>
      <c r="AH609" s="2">
        <f t="shared" si="18"/>
        <v>0.125</v>
      </c>
      <c r="AI609" t="s">
        <v>726</v>
      </c>
      <c r="AJ609" t="s">
        <v>727</v>
      </c>
      <c r="AK609" t="s">
        <v>728</v>
      </c>
      <c r="AL609" t="s">
        <v>86</v>
      </c>
      <c r="AM609">
        <v>11322</v>
      </c>
      <c r="AN609">
        <f t="shared" si="19"/>
        <v>11095.56</v>
      </c>
      <c r="AO609" t="s">
        <v>66</v>
      </c>
      <c r="AP609">
        <v>2</v>
      </c>
      <c r="AQ609" t="s">
        <v>66</v>
      </c>
      <c r="AR609">
        <v>0</v>
      </c>
      <c r="AS609" t="s">
        <v>66</v>
      </c>
      <c r="AT609">
        <v>0</v>
      </c>
      <c r="AU609" t="s">
        <v>66</v>
      </c>
      <c r="AV609">
        <v>0</v>
      </c>
      <c r="AW609" t="s">
        <v>66</v>
      </c>
      <c r="AX609">
        <v>0</v>
      </c>
      <c r="AY609" t="s">
        <v>66</v>
      </c>
      <c r="AZ609">
        <v>0</v>
      </c>
      <c r="BA609" t="s">
        <v>66</v>
      </c>
      <c r="BB609">
        <v>0</v>
      </c>
      <c r="BC609">
        <v>0</v>
      </c>
      <c r="BD609">
        <v>33286.68</v>
      </c>
      <c r="BE609">
        <v>8839.89</v>
      </c>
      <c r="BF609">
        <v>0</v>
      </c>
      <c r="BG609" t="s">
        <v>87</v>
      </c>
      <c r="BH609" t="s">
        <v>1024</v>
      </c>
      <c r="BI609">
        <v>3</v>
      </c>
      <c r="BJ609" t="s">
        <v>158</v>
      </c>
      <c r="BK609" t="s">
        <v>88</v>
      </c>
      <c r="BL609" t="s">
        <v>719</v>
      </c>
      <c r="BM609" t="s">
        <v>159</v>
      </c>
    </row>
    <row r="610" spans="1:65" x14ac:dyDescent="0.25">
      <c r="A610">
        <v>608</v>
      </c>
      <c r="B610" t="s">
        <v>1019</v>
      </c>
      <c r="C610" t="s">
        <v>68</v>
      </c>
      <c r="D610" s="1">
        <v>46210</v>
      </c>
      <c r="E610" t="s">
        <v>1020</v>
      </c>
      <c r="F610" t="s">
        <v>68</v>
      </c>
      <c r="G610" t="s">
        <v>295</v>
      </c>
      <c r="H610" t="s">
        <v>296</v>
      </c>
      <c r="I610" t="s">
        <v>71</v>
      </c>
      <c r="J610" t="s">
        <v>72</v>
      </c>
      <c r="K610" t="s">
        <v>73</v>
      </c>
      <c r="L610" t="s">
        <v>74</v>
      </c>
      <c r="M610" t="s">
        <v>1021</v>
      </c>
      <c r="N610" t="s">
        <v>76</v>
      </c>
      <c r="O610" t="s">
        <v>1022</v>
      </c>
      <c r="P610" t="s">
        <v>1023</v>
      </c>
      <c r="Q610" t="s">
        <v>66</v>
      </c>
      <c r="R610" s="1">
        <v>46210</v>
      </c>
      <c r="S610" t="s">
        <v>841</v>
      </c>
      <c r="T610" t="s">
        <v>842</v>
      </c>
      <c r="U610" t="s">
        <v>843</v>
      </c>
      <c r="V610" t="s">
        <v>66</v>
      </c>
      <c r="W610" t="s">
        <v>66</v>
      </c>
      <c r="X610">
        <v>414834</v>
      </c>
      <c r="Y610">
        <v>45631.74</v>
      </c>
      <c r="Z610">
        <v>33516</v>
      </c>
      <c r="AA610">
        <v>3686.76</v>
      </c>
      <c r="AB610">
        <v>460465.74</v>
      </c>
      <c r="AC610">
        <v>6</v>
      </c>
      <c r="AD610" t="s">
        <v>82</v>
      </c>
      <c r="AE610">
        <v>6</v>
      </c>
      <c r="AF610" t="s">
        <v>90</v>
      </c>
      <c r="AG610">
        <f>IFERROR(VLOOKUP(AF610,[1]STOK!J:O,6,0),"")</f>
        <v>48</v>
      </c>
      <c r="AH610" s="2">
        <f t="shared" si="18"/>
        <v>0.125</v>
      </c>
      <c r="AI610" t="s">
        <v>90</v>
      </c>
      <c r="AJ610" t="s">
        <v>91</v>
      </c>
      <c r="AK610" t="s">
        <v>92</v>
      </c>
      <c r="AL610" t="s">
        <v>86</v>
      </c>
      <c r="AM610">
        <v>6327</v>
      </c>
      <c r="AN610">
        <f t="shared" si="19"/>
        <v>6200.46</v>
      </c>
      <c r="AO610" t="s">
        <v>66</v>
      </c>
      <c r="AP610">
        <v>2</v>
      </c>
      <c r="AQ610" t="s">
        <v>66</v>
      </c>
      <c r="AR610">
        <v>0</v>
      </c>
      <c r="AS610" t="s">
        <v>66</v>
      </c>
      <c r="AT610">
        <v>0</v>
      </c>
      <c r="AU610" t="s">
        <v>66</v>
      </c>
      <c r="AV610">
        <v>0</v>
      </c>
      <c r="AW610" t="s">
        <v>66</v>
      </c>
      <c r="AX610">
        <v>0</v>
      </c>
      <c r="AY610" t="s">
        <v>66</v>
      </c>
      <c r="AZ610">
        <v>0</v>
      </c>
      <c r="BA610" t="s">
        <v>66</v>
      </c>
      <c r="BB610">
        <v>0</v>
      </c>
      <c r="BC610">
        <v>0</v>
      </c>
      <c r="BD610">
        <v>37202.76</v>
      </c>
      <c r="BE610">
        <v>4953.2299999999996</v>
      </c>
      <c r="BF610">
        <v>0</v>
      </c>
      <c r="BG610" t="s">
        <v>87</v>
      </c>
      <c r="BH610" t="s">
        <v>1024</v>
      </c>
      <c r="BI610">
        <v>6</v>
      </c>
      <c r="BJ610" t="s">
        <v>158</v>
      </c>
      <c r="BK610" t="s">
        <v>88</v>
      </c>
      <c r="BL610" t="s">
        <v>719</v>
      </c>
      <c r="BM610" t="s">
        <v>159</v>
      </c>
    </row>
    <row r="611" spans="1:65" x14ac:dyDescent="0.25">
      <c r="A611">
        <v>609</v>
      </c>
      <c r="B611" t="s">
        <v>1019</v>
      </c>
      <c r="C611" t="s">
        <v>68</v>
      </c>
      <c r="D611" s="1">
        <v>46210</v>
      </c>
      <c r="E611" t="s">
        <v>1020</v>
      </c>
      <c r="F611" t="s">
        <v>68</v>
      </c>
      <c r="G611" t="s">
        <v>295</v>
      </c>
      <c r="H611" t="s">
        <v>296</v>
      </c>
      <c r="I611" t="s">
        <v>71</v>
      </c>
      <c r="J611" t="s">
        <v>72</v>
      </c>
      <c r="K611" t="s">
        <v>73</v>
      </c>
      <c r="L611" t="s">
        <v>74</v>
      </c>
      <c r="M611" t="s">
        <v>1021</v>
      </c>
      <c r="N611" t="s">
        <v>76</v>
      </c>
      <c r="O611" t="s">
        <v>1022</v>
      </c>
      <c r="P611" t="s">
        <v>1023</v>
      </c>
      <c r="Q611" t="s">
        <v>66</v>
      </c>
      <c r="R611" s="1">
        <v>46210</v>
      </c>
      <c r="S611" t="s">
        <v>841</v>
      </c>
      <c r="T611" t="s">
        <v>842</v>
      </c>
      <c r="U611" t="s">
        <v>843</v>
      </c>
      <c r="V611" t="s">
        <v>66</v>
      </c>
      <c r="W611" t="s">
        <v>66</v>
      </c>
      <c r="X611">
        <v>414834</v>
      </c>
      <c r="Y611">
        <v>45631.74</v>
      </c>
      <c r="Z611">
        <v>160524</v>
      </c>
      <c r="AA611">
        <v>17657.64</v>
      </c>
      <c r="AB611">
        <v>460465.74</v>
      </c>
      <c r="AC611">
        <v>6</v>
      </c>
      <c r="AD611" t="s">
        <v>82</v>
      </c>
      <c r="AE611">
        <v>6</v>
      </c>
      <c r="AF611" t="s">
        <v>563</v>
      </c>
      <c r="AG611">
        <f>IFERROR(VLOOKUP(AF611,[1]STOK!J:O,6,0),"")</f>
        <v>12</v>
      </c>
      <c r="AH611" s="2">
        <f t="shared" si="18"/>
        <v>0.5</v>
      </c>
      <c r="AI611" t="s">
        <v>563</v>
      </c>
      <c r="AJ611" t="s">
        <v>564</v>
      </c>
      <c r="AK611" t="s">
        <v>565</v>
      </c>
      <c r="AL611" t="s">
        <v>86</v>
      </c>
      <c r="AM611">
        <v>30303</v>
      </c>
      <c r="AN611">
        <f t="shared" si="19"/>
        <v>29696.940000000002</v>
      </c>
      <c r="AO611" t="s">
        <v>66</v>
      </c>
      <c r="AP611">
        <v>2</v>
      </c>
      <c r="AQ611" t="s">
        <v>66</v>
      </c>
      <c r="AR611">
        <v>0</v>
      </c>
      <c r="AS611" t="s">
        <v>66</v>
      </c>
      <c r="AT611">
        <v>0</v>
      </c>
      <c r="AU611" t="s">
        <v>66</v>
      </c>
      <c r="AV611">
        <v>0</v>
      </c>
      <c r="AW611" t="s">
        <v>66</v>
      </c>
      <c r="AX611">
        <v>0</v>
      </c>
      <c r="AY611" t="s">
        <v>66</v>
      </c>
      <c r="AZ611">
        <v>0</v>
      </c>
      <c r="BA611" t="s">
        <v>66</v>
      </c>
      <c r="BB611">
        <v>0</v>
      </c>
      <c r="BC611">
        <v>0</v>
      </c>
      <c r="BD611">
        <v>178181.64</v>
      </c>
      <c r="BE611">
        <v>24678.61</v>
      </c>
      <c r="BF611">
        <v>0</v>
      </c>
      <c r="BG611" t="s">
        <v>87</v>
      </c>
      <c r="BH611" t="s">
        <v>1024</v>
      </c>
      <c r="BI611">
        <v>6</v>
      </c>
      <c r="BJ611" t="s">
        <v>158</v>
      </c>
      <c r="BK611" t="s">
        <v>88</v>
      </c>
      <c r="BL611" t="s">
        <v>719</v>
      </c>
      <c r="BM611" t="s">
        <v>159</v>
      </c>
    </row>
    <row r="612" spans="1:65" x14ac:dyDescent="0.25">
      <c r="A612">
        <v>610</v>
      </c>
      <c r="B612" t="s">
        <v>1019</v>
      </c>
      <c r="C612" t="s">
        <v>68</v>
      </c>
      <c r="D612" s="1">
        <v>46210</v>
      </c>
      <c r="E612" t="s">
        <v>1020</v>
      </c>
      <c r="F612" t="s">
        <v>68</v>
      </c>
      <c r="G612" t="s">
        <v>295</v>
      </c>
      <c r="H612" t="s">
        <v>296</v>
      </c>
      <c r="I612" t="s">
        <v>71</v>
      </c>
      <c r="J612" t="s">
        <v>72</v>
      </c>
      <c r="K612" t="s">
        <v>73</v>
      </c>
      <c r="L612" t="s">
        <v>74</v>
      </c>
      <c r="M612" t="s">
        <v>1021</v>
      </c>
      <c r="N612" t="s">
        <v>76</v>
      </c>
      <c r="O612" t="s">
        <v>1022</v>
      </c>
      <c r="P612" t="s">
        <v>1023</v>
      </c>
      <c r="Q612" t="s">
        <v>66</v>
      </c>
      <c r="R612" s="1">
        <v>46210</v>
      </c>
      <c r="S612" t="s">
        <v>841</v>
      </c>
      <c r="T612" t="s">
        <v>842</v>
      </c>
      <c r="U612" t="s">
        <v>843</v>
      </c>
      <c r="V612" t="s">
        <v>66</v>
      </c>
      <c r="W612" t="s">
        <v>66</v>
      </c>
      <c r="X612">
        <v>414834</v>
      </c>
      <c r="Y612">
        <v>45631.74</v>
      </c>
      <c r="Z612">
        <v>58800</v>
      </c>
      <c r="AA612">
        <v>6468</v>
      </c>
      <c r="AB612">
        <v>460465.74</v>
      </c>
      <c r="AC612">
        <v>3</v>
      </c>
      <c r="AD612" t="s">
        <v>82</v>
      </c>
      <c r="AE612">
        <v>3</v>
      </c>
      <c r="AF612" t="s">
        <v>290</v>
      </c>
      <c r="AG612">
        <f>IFERROR(VLOOKUP(AF612,[1]STOK!J:O,6,0),"")</f>
        <v>12</v>
      </c>
      <c r="AH612" s="2">
        <f t="shared" si="18"/>
        <v>0.25</v>
      </c>
      <c r="AI612" t="s">
        <v>290</v>
      </c>
      <c r="AJ612" t="s">
        <v>291</v>
      </c>
      <c r="AK612" t="s">
        <v>292</v>
      </c>
      <c r="AL612" t="s">
        <v>86</v>
      </c>
      <c r="AM612">
        <v>22200</v>
      </c>
      <c r="AN612">
        <f t="shared" si="19"/>
        <v>21756</v>
      </c>
      <c r="AO612" t="s">
        <v>66</v>
      </c>
      <c r="AP612">
        <v>2</v>
      </c>
      <c r="AQ612" t="s">
        <v>66</v>
      </c>
      <c r="AR612">
        <v>0</v>
      </c>
      <c r="AS612" t="s">
        <v>66</v>
      </c>
      <c r="AT612">
        <v>0</v>
      </c>
      <c r="AU612" t="s">
        <v>66</v>
      </c>
      <c r="AV612">
        <v>0</v>
      </c>
      <c r="AW612" t="s">
        <v>66</v>
      </c>
      <c r="AX612">
        <v>0</v>
      </c>
      <c r="AY612" t="s">
        <v>66</v>
      </c>
      <c r="AZ612">
        <v>0</v>
      </c>
      <c r="BA612" t="s">
        <v>66</v>
      </c>
      <c r="BB612">
        <v>0</v>
      </c>
      <c r="BC612">
        <v>0</v>
      </c>
      <c r="BD612">
        <v>65268</v>
      </c>
      <c r="BE612">
        <v>18106.89</v>
      </c>
      <c r="BF612">
        <v>0</v>
      </c>
      <c r="BG612" t="s">
        <v>87</v>
      </c>
      <c r="BH612" t="s">
        <v>1024</v>
      </c>
      <c r="BI612">
        <v>3</v>
      </c>
      <c r="BJ612" t="s">
        <v>158</v>
      </c>
      <c r="BK612" t="s">
        <v>88</v>
      </c>
      <c r="BL612" t="s">
        <v>719</v>
      </c>
      <c r="BM612" t="s">
        <v>159</v>
      </c>
    </row>
    <row r="613" spans="1:65" x14ac:dyDescent="0.25">
      <c r="A613">
        <v>611</v>
      </c>
      <c r="B613" t="s">
        <v>1019</v>
      </c>
      <c r="C613" t="s">
        <v>68</v>
      </c>
      <c r="D613" s="1">
        <v>46210</v>
      </c>
      <c r="E613" t="s">
        <v>1020</v>
      </c>
      <c r="F613" t="s">
        <v>68</v>
      </c>
      <c r="G613" t="s">
        <v>295</v>
      </c>
      <c r="H613" t="s">
        <v>296</v>
      </c>
      <c r="I613" t="s">
        <v>71</v>
      </c>
      <c r="J613" t="s">
        <v>72</v>
      </c>
      <c r="K613" t="s">
        <v>73</v>
      </c>
      <c r="L613" t="s">
        <v>74</v>
      </c>
      <c r="M613" t="s">
        <v>1021</v>
      </c>
      <c r="N613" t="s">
        <v>76</v>
      </c>
      <c r="O613" t="s">
        <v>1022</v>
      </c>
      <c r="P613" t="s">
        <v>1023</v>
      </c>
      <c r="Q613" t="s">
        <v>66</v>
      </c>
      <c r="R613" s="1">
        <v>46210</v>
      </c>
      <c r="S613" t="s">
        <v>841</v>
      </c>
      <c r="T613" t="s">
        <v>842</v>
      </c>
      <c r="U613" t="s">
        <v>843</v>
      </c>
      <c r="V613" t="s">
        <v>66</v>
      </c>
      <c r="W613" t="s">
        <v>66</v>
      </c>
      <c r="X613">
        <v>414834</v>
      </c>
      <c r="Y613">
        <v>45631.74</v>
      </c>
      <c r="Z613">
        <v>58800</v>
      </c>
      <c r="AA613">
        <v>6468</v>
      </c>
      <c r="AB613">
        <v>460465.74</v>
      </c>
      <c r="AC613">
        <v>3</v>
      </c>
      <c r="AD613" t="s">
        <v>82</v>
      </c>
      <c r="AE613">
        <v>3</v>
      </c>
      <c r="AF613" t="s">
        <v>102</v>
      </c>
      <c r="AG613">
        <f>IFERROR(VLOOKUP(AF613,[1]STOK!J:O,6,0),"")</f>
        <v>12</v>
      </c>
      <c r="AH613" s="2">
        <f t="shared" si="18"/>
        <v>0.25</v>
      </c>
      <c r="AI613" t="s">
        <v>102</v>
      </c>
      <c r="AJ613" t="s">
        <v>103</v>
      </c>
      <c r="AK613" t="s">
        <v>104</v>
      </c>
      <c r="AL613" t="s">
        <v>86</v>
      </c>
      <c r="AM613">
        <v>22200</v>
      </c>
      <c r="AN613">
        <f t="shared" si="19"/>
        <v>21756</v>
      </c>
      <c r="AO613" t="s">
        <v>66</v>
      </c>
      <c r="AP613">
        <v>2</v>
      </c>
      <c r="AQ613" t="s">
        <v>66</v>
      </c>
      <c r="AR613">
        <v>0</v>
      </c>
      <c r="AS613" t="s">
        <v>66</v>
      </c>
      <c r="AT613">
        <v>0</v>
      </c>
      <c r="AU613" t="s">
        <v>66</v>
      </c>
      <c r="AV613">
        <v>0</v>
      </c>
      <c r="AW613" t="s">
        <v>66</v>
      </c>
      <c r="AX613">
        <v>0</v>
      </c>
      <c r="AY613" t="s">
        <v>66</v>
      </c>
      <c r="AZ613">
        <v>0</v>
      </c>
      <c r="BA613" t="s">
        <v>66</v>
      </c>
      <c r="BB613">
        <v>0</v>
      </c>
      <c r="BC613">
        <v>0</v>
      </c>
      <c r="BD613">
        <v>65268</v>
      </c>
      <c r="BE613">
        <v>18040.98</v>
      </c>
      <c r="BF613">
        <v>0</v>
      </c>
      <c r="BG613" t="s">
        <v>87</v>
      </c>
      <c r="BH613" t="s">
        <v>1024</v>
      </c>
      <c r="BI613">
        <v>3</v>
      </c>
      <c r="BJ613" t="s">
        <v>158</v>
      </c>
      <c r="BK613" t="s">
        <v>88</v>
      </c>
      <c r="BL613" t="s">
        <v>719</v>
      </c>
      <c r="BM613" t="s">
        <v>159</v>
      </c>
    </row>
    <row r="614" spans="1:65" x14ac:dyDescent="0.25">
      <c r="A614">
        <v>612</v>
      </c>
      <c r="B614" t="s">
        <v>1025</v>
      </c>
      <c r="C614" t="s">
        <v>1026</v>
      </c>
      <c r="D614" s="1">
        <v>46210</v>
      </c>
      <c r="E614" t="s">
        <v>1027</v>
      </c>
      <c r="F614" t="s">
        <v>1028</v>
      </c>
      <c r="G614" t="s">
        <v>69</v>
      </c>
      <c r="H614" t="s">
        <v>70</v>
      </c>
      <c r="I614" t="s">
        <v>71</v>
      </c>
      <c r="J614" t="s">
        <v>72</v>
      </c>
      <c r="K614" t="s">
        <v>73</v>
      </c>
      <c r="L614" t="s">
        <v>74</v>
      </c>
      <c r="M614" t="s">
        <v>867</v>
      </c>
      <c r="N614" t="s">
        <v>696</v>
      </c>
      <c r="O614" t="s">
        <v>868</v>
      </c>
      <c r="P614" t="s">
        <v>869</v>
      </c>
      <c r="Q614" t="s">
        <v>1029</v>
      </c>
      <c r="R614" s="1">
        <v>46211</v>
      </c>
      <c r="S614" t="s">
        <v>871</v>
      </c>
      <c r="T614" t="s">
        <v>872</v>
      </c>
      <c r="U614" t="s">
        <v>873</v>
      </c>
      <c r="V614" t="s">
        <v>66</v>
      </c>
      <c r="W614" t="s">
        <v>66</v>
      </c>
      <c r="X614">
        <v>16989336</v>
      </c>
      <c r="Y614">
        <v>1868826.96</v>
      </c>
      <c r="Z614">
        <v>1920600</v>
      </c>
      <c r="AA614">
        <v>211266</v>
      </c>
      <c r="AB614">
        <v>18858162.960000001</v>
      </c>
      <c r="AC614">
        <v>5</v>
      </c>
      <c r="AD614" t="s">
        <v>134</v>
      </c>
      <c r="AE614">
        <v>120</v>
      </c>
      <c r="AF614" t="s">
        <v>128</v>
      </c>
      <c r="AG614">
        <f>IFERROR(VLOOKUP(AF614,[1]STOK!J:O,6,0),"")</f>
        <v>24</v>
      </c>
      <c r="AH614" s="2">
        <f t="shared" si="18"/>
        <v>5</v>
      </c>
      <c r="AI614" t="s">
        <v>128</v>
      </c>
      <c r="AJ614" t="s">
        <v>129</v>
      </c>
      <c r="AK614" t="s">
        <v>130</v>
      </c>
      <c r="AL614" t="s">
        <v>86</v>
      </c>
      <c r="AM614">
        <v>439560</v>
      </c>
      <c r="AN614">
        <f t="shared" si="19"/>
        <v>426373.2</v>
      </c>
      <c r="AO614" t="s">
        <v>66</v>
      </c>
      <c r="AP614">
        <v>3</v>
      </c>
      <c r="AQ614" t="s">
        <v>66</v>
      </c>
      <c r="AR614">
        <v>0</v>
      </c>
      <c r="AS614" t="s">
        <v>66</v>
      </c>
      <c r="AT614">
        <v>0</v>
      </c>
      <c r="AU614" t="s">
        <v>66</v>
      </c>
      <c r="AV614">
        <v>0</v>
      </c>
      <c r="AW614" t="s">
        <v>66</v>
      </c>
      <c r="AX614">
        <v>0</v>
      </c>
      <c r="AY614" t="s">
        <v>66</v>
      </c>
      <c r="AZ614">
        <v>0</v>
      </c>
      <c r="BA614" t="s">
        <v>66</v>
      </c>
      <c r="BB614">
        <v>0</v>
      </c>
      <c r="BC614">
        <v>0</v>
      </c>
      <c r="BD614">
        <v>2131866</v>
      </c>
      <c r="BE614">
        <v>14907.75</v>
      </c>
      <c r="BF614">
        <v>0</v>
      </c>
      <c r="BG614" t="s">
        <v>87</v>
      </c>
      <c r="BH614" t="s">
        <v>66</v>
      </c>
      <c r="BI614">
        <v>0</v>
      </c>
      <c r="BJ614" t="s">
        <v>66</v>
      </c>
      <c r="BK614" t="s">
        <v>88</v>
      </c>
      <c r="BL614" t="s">
        <v>877</v>
      </c>
      <c r="BM614" t="s">
        <v>159</v>
      </c>
    </row>
    <row r="615" spans="1:65" x14ac:dyDescent="0.25">
      <c r="A615">
        <v>613</v>
      </c>
      <c r="B615" t="s">
        <v>1025</v>
      </c>
      <c r="C615" t="s">
        <v>1026</v>
      </c>
      <c r="D615" s="1">
        <v>46210</v>
      </c>
      <c r="E615" t="s">
        <v>1027</v>
      </c>
      <c r="F615" t="s">
        <v>1028</v>
      </c>
      <c r="G615" t="s">
        <v>69</v>
      </c>
      <c r="H615" t="s">
        <v>70</v>
      </c>
      <c r="I615" t="s">
        <v>71</v>
      </c>
      <c r="J615" t="s">
        <v>72</v>
      </c>
      <c r="K615" t="s">
        <v>73</v>
      </c>
      <c r="L615" t="s">
        <v>74</v>
      </c>
      <c r="M615" t="s">
        <v>867</v>
      </c>
      <c r="N615" t="s">
        <v>696</v>
      </c>
      <c r="O615" t="s">
        <v>868</v>
      </c>
      <c r="P615" t="s">
        <v>869</v>
      </c>
      <c r="Q615" t="s">
        <v>1029</v>
      </c>
      <c r="R615" s="1">
        <v>46211</v>
      </c>
      <c r="S615" t="s">
        <v>871</v>
      </c>
      <c r="T615" t="s">
        <v>872</v>
      </c>
      <c r="U615" t="s">
        <v>873</v>
      </c>
      <c r="V615" t="s">
        <v>66</v>
      </c>
      <c r="W615" t="s">
        <v>66</v>
      </c>
      <c r="X615">
        <v>16989336</v>
      </c>
      <c r="Y615">
        <v>1868826.96</v>
      </c>
      <c r="Z615">
        <v>3168000</v>
      </c>
      <c r="AA615">
        <v>348480</v>
      </c>
      <c r="AB615">
        <v>18858162.960000001</v>
      </c>
      <c r="AC615">
        <v>8</v>
      </c>
      <c r="AD615" t="s">
        <v>134</v>
      </c>
      <c r="AE615">
        <v>192</v>
      </c>
      <c r="AF615" t="s">
        <v>99</v>
      </c>
      <c r="AG615">
        <f>IFERROR(VLOOKUP(AF615,[1]STOK!J:O,6,0),"")</f>
        <v>24</v>
      </c>
      <c r="AH615" s="2">
        <f t="shared" si="18"/>
        <v>8</v>
      </c>
      <c r="AI615" t="s">
        <v>99</v>
      </c>
      <c r="AJ615" t="s">
        <v>100</v>
      </c>
      <c r="AK615" t="s">
        <v>101</v>
      </c>
      <c r="AL615" t="s">
        <v>86</v>
      </c>
      <c r="AM615">
        <v>439560</v>
      </c>
      <c r="AN615">
        <f t="shared" si="19"/>
        <v>439560</v>
      </c>
      <c r="AO615" t="s">
        <v>66</v>
      </c>
      <c r="AP615">
        <v>0</v>
      </c>
      <c r="AQ615" t="s">
        <v>66</v>
      </c>
      <c r="AR615">
        <v>0</v>
      </c>
      <c r="AS615" t="s">
        <v>66</v>
      </c>
      <c r="AT615">
        <v>0</v>
      </c>
      <c r="AU615" t="s">
        <v>66</v>
      </c>
      <c r="AV615">
        <v>0</v>
      </c>
      <c r="AW615" t="s">
        <v>66</v>
      </c>
      <c r="AX615">
        <v>0</v>
      </c>
      <c r="AY615" t="s">
        <v>66</v>
      </c>
      <c r="AZ615">
        <v>0</v>
      </c>
      <c r="BA615" t="s">
        <v>66</v>
      </c>
      <c r="BB615">
        <v>0</v>
      </c>
      <c r="BC615">
        <v>0</v>
      </c>
      <c r="BD615">
        <v>3516480</v>
      </c>
      <c r="BE615">
        <v>14915.33</v>
      </c>
      <c r="BF615">
        <v>0</v>
      </c>
      <c r="BG615" t="s">
        <v>87</v>
      </c>
      <c r="BH615" t="s">
        <v>66</v>
      </c>
      <c r="BI615">
        <v>0</v>
      </c>
      <c r="BJ615" t="s">
        <v>66</v>
      </c>
      <c r="BK615" t="s">
        <v>88</v>
      </c>
      <c r="BL615" t="s">
        <v>877</v>
      </c>
      <c r="BM615" t="s">
        <v>159</v>
      </c>
    </row>
    <row r="616" spans="1:65" x14ac:dyDescent="0.25">
      <c r="A616">
        <v>614</v>
      </c>
      <c r="B616" t="s">
        <v>1025</v>
      </c>
      <c r="C616" t="s">
        <v>1026</v>
      </c>
      <c r="D616" s="1">
        <v>46210</v>
      </c>
      <c r="E616" t="s">
        <v>1027</v>
      </c>
      <c r="F616" t="s">
        <v>1028</v>
      </c>
      <c r="G616" t="s">
        <v>69</v>
      </c>
      <c r="H616" t="s">
        <v>70</v>
      </c>
      <c r="I616" t="s">
        <v>71</v>
      </c>
      <c r="J616" t="s">
        <v>72</v>
      </c>
      <c r="K616" t="s">
        <v>73</v>
      </c>
      <c r="L616" t="s">
        <v>74</v>
      </c>
      <c r="M616" t="s">
        <v>867</v>
      </c>
      <c r="N616" t="s">
        <v>696</v>
      </c>
      <c r="O616" t="s">
        <v>868</v>
      </c>
      <c r="P616" t="s">
        <v>869</v>
      </c>
      <c r="Q616" t="s">
        <v>1029</v>
      </c>
      <c r="R616" s="1">
        <v>46211</v>
      </c>
      <c r="S616" t="s">
        <v>871</v>
      </c>
      <c r="T616" t="s">
        <v>872</v>
      </c>
      <c r="U616" t="s">
        <v>873</v>
      </c>
      <c r="V616" t="s">
        <v>66</v>
      </c>
      <c r="W616" t="s">
        <v>66</v>
      </c>
      <c r="X616">
        <v>16989336</v>
      </c>
      <c r="Y616">
        <v>1868826.96</v>
      </c>
      <c r="Z616">
        <v>1906632</v>
      </c>
      <c r="AA616">
        <v>209729.52</v>
      </c>
      <c r="AB616">
        <v>18858162.960000001</v>
      </c>
      <c r="AC616">
        <v>6</v>
      </c>
      <c r="AD616" t="s">
        <v>134</v>
      </c>
      <c r="AE616">
        <v>72</v>
      </c>
      <c r="AF616" t="s">
        <v>309</v>
      </c>
      <c r="AG616">
        <f>IFERROR(VLOOKUP(AF616,[1]STOK!J:O,6,0),"")</f>
        <v>12</v>
      </c>
      <c r="AH616" s="2">
        <f t="shared" si="18"/>
        <v>6</v>
      </c>
      <c r="AI616" t="s">
        <v>309</v>
      </c>
      <c r="AJ616" t="s">
        <v>310</v>
      </c>
      <c r="AK616" t="s">
        <v>311</v>
      </c>
      <c r="AL616" t="s">
        <v>86</v>
      </c>
      <c r="AM616">
        <v>363636</v>
      </c>
      <c r="AN616">
        <f t="shared" si="19"/>
        <v>352726.92</v>
      </c>
      <c r="AO616" t="s">
        <v>66</v>
      </c>
      <c r="AP616">
        <v>3</v>
      </c>
      <c r="AQ616" t="s">
        <v>66</v>
      </c>
      <c r="AR616">
        <v>0</v>
      </c>
      <c r="AS616" t="s">
        <v>66</v>
      </c>
      <c r="AT616">
        <v>0</v>
      </c>
      <c r="AU616" t="s">
        <v>66</v>
      </c>
      <c r="AV616">
        <v>0</v>
      </c>
      <c r="AW616" t="s">
        <v>66</v>
      </c>
      <c r="AX616">
        <v>0</v>
      </c>
      <c r="AY616" t="s">
        <v>66</v>
      </c>
      <c r="AZ616">
        <v>0</v>
      </c>
      <c r="BA616" t="s">
        <v>66</v>
      </c>
      <c r="BB616">
        <v>0</v>
      </c>
      <c r="BC616">
        <v>0</v>
      </c>
      <c r="BD616">
        <v>2116361.52</v>
      </c>
      <c r="BE616">
        <v>24610.52</v>
      </c>
      <c r="BF616">
        <v>0</v>
      </c>
      <c r="BG616" t="s">
        <v>87</v>
      </c>
      <c r="BH616" t="s">
        <v>66</v>
      </c>
      <c r="BI616">
        <v>0</v>
      </c>
      <c r="BJ616" t="s">
        <v>66</v>
      </c>
      <c r="BK616" t="s">
        <v>88</v>
      </c>
      <c r="BL616" t="s">
        <v>877</v>
      </c>
      <c r="BM616" t="s">
        <v>159</v>
      </c>
    </row>
    <row r="617" spans="1:65" x14ac:dyDescent="0.25">
      <c r="A617">
        <v>615</v>
      </c>
      <c r="B617" t="s">
        <v>1025</v>
      </c>
      <c r="C617" t="s">
        <v>1026</v>
      </c>
      <c r="D617" s="1">
        <v>46210</v>
      </c>
      <c r="E617" t="s">
        <v>1027</v>
      </c>
      <c r="F617" t="s">
        <v>1028</v>
      </c>
      <c r="G617" t="s">
        <v>69</v>
      </c>
      <c r="H617" t="s">
        <v>70</v>
      </c>
      <c r="I617" t="s">
        <v>71</v>
      </c>
      <c r="J617" t="s">
        <v>72</v>
      </c>
      <c r="K617" t="s">
        <v>73</v>
      </c>
      <c r="L617" t="s">
        <v>74</v>
      </c>
      <c r="M617" t="s">
        <v>867</v>
      </c>
      <c r="N617" t="s">
        <v>696</v>
      </c>
      <c r="O617" t="s">
        <v>868</v>
      </c>
      <c r="P617" t="s">
        <v>869</v>
      </c>
      <c r="Q617" t="s">
        <v>1029</v>
      </c>
      <c r="R617" s="1">
        <v>46211</v>
      </c>
      <c r="S617" t="s">
        <v>871</v>
      </c>
      <c r="T617" t="s">
        <v>872</v>
      </c>
      <c r="U617" t="s">
        <v>873</v>
      </c>
      <c r="V617" t="s">
        <v>66</v>
      </c>
      <c r="W617" t="s">
        <v>66</v>
      </c>
      <c r="X617">
        <v>16989336</v>
      </c>
      <c r="Y617">
        <v>1868826.96</v>
      </c>
      <c r="Z617">
        <v>1580712</v>
      </c>
      <c r="AA617">
        <v>173878.32</v>
      </c>
      <c r="AB617">
        <v>18858162.960000001</v>
      </c>
      <c r="AC617">
        <v>7</v>
      </c>
      <c r="AD617" t="s">
        <v>134</v>
      </c>
      <c r="AE617">
        <v>84</v>
      </c>
      <c r="AF617" t="s">
        <v>284</v>
      </c>
      <c r="AG617">
        <f>IFERROR(VLOOKUP(AF617,[1]STOK!J:O,6,0),"")</f>
        <v>12</v>
      </c>
      <c r="AH617" s="2">
        <f t="shared" si="18"/>
        <v>7</v>
      </c>
      <c r="AI617" t="s">
        <v>284</v>
      </c>
      <c r="AJ617" t="s">
        <v>285</v>
      </c>
      <c r="AK617" t="s">
        <v>286</v>
      </c>
      <c r="AL617" t="s">
        <v>86</v>
      </c>
      <c r="AM617">
        <v>258408</v>
      </c>
      <c r="AN617">
        <f t="shared" si="19"/>
        <v>250655.76</v>
      </c>
      <c r="AO617" t="s">
        <v>66</v>
      </c>
      <c r="AP617">
        <v>3</v>
      </c>
      <c r="AQ617" t="s">
        <v>66</v>
      </c>
      <c r="AR617">
        <v>0</v>
      </c>
      <c r="AS617" t="s">
        <v>66</v>
      </c>
      <c r="AT617">
        <v>0</v>
      </c>
      <c r="AU617" t="s">
        <v>66</v>
      </c>
      <c r="AV617">
        <v>0</v>
      </c>
      <c r="AW617" t="s">
        <v>66</v>
      </c>
      <c r="AX617">
        <v>0</v>
      </c>
      <c r="AY617" t="s">
        <v>66</v>
      </c>
      <c r="AZ617">
        <v>0</v>
      </c>
      <c r="BA617" t="s">
        <v>66</v>
      </c>
      <c r="BB617">
        <v>0</v>
      </c>
      <c r="BC617">
        <v>0</v>
      </c>
      <c r="BD617">
        <v>1754590.32</v>
      </c>
      <c r="BE617">
        <v>17371.36</v>
      </c>
      <c r="BF617">
        <v>0</v>
      </c>
      <c r="BG617" t="s">
        <v>87</v>
      </c>
      <c r="BH617" t="s">
        <v>66</v>
      </c>
      <c r="BI617">
        <v>0</v>
      </c>
      <c r="BJ617" t="s">
        <v>66</v>
      </c>
      <c r="BK617" t="s">
        <v>88</v>
      </c>
      <c r="BL617" t="s">
        <v>877</v>
      </c>
      <c r="BM617" t="s">
        <v>159</v>
      </c>
    </row>
    <row r="618" spans="1:65" x14ac:dyDescent="0.25">
      <c r="A618">
        <v>616</v>
      </c>
      <c r="B618" t="s">
        <v>1025</v>
      </c>
      <c r="C618" t="s">
        <v>1026</v>
      </c>
      <c r="D618" s="1">
        <v>46210</v>
      </c>
      <c r="E618" t="s">
        <v>1027</v>
      </c>
      <c r="F618" t="s">
        <v>1028</v>
      </c>
      <c r="G618" t="s">
        <v>69</v>
      </c>
      <c r="H618" t="s">
        <v>70</v>
      </c>
      <c r="I618" t="s">
        <v>71</v>
      </c>
      <c r="J618" t="s">
        <v>72</v>
      </c>
      <c r="K618" t="s">
        <v>73</v>
      </c>
      <c r="L618" t="s">
        <v>74</v>
      </c>
      <c r="M618" t="s">
        <v>867</v>
      </c>
      <c r="N618" t="s">
        <v>696</v>
      </c>
      <c r="O618" t="s">
        <v>868</v>
      </c>
      <c r="P618" t="s">
        <v>869</v>
      </c>
      <c r="Q618" t="s">
        <v>1029</v>
      </c>
      <c r="R618" s="1">
        <v>46211</v>
      </c>
      <c r="S618" t="s">
        <v>871</v>
      </c>
      <c r="T618" t="s">
        <v>872</v>
      </c>
      <c r="U618" t="s">
        <v>873</v>
      </c>
      <c r="V618" t="s">
        <v>66</v>
      </c>
      <c r="W618" t="s">
        <v>66</v>
      </c>
      <c r="X618">
        <v>16989336</v>
      </c>
      <c r="Y618">
        <v>1868826.96</v>
      </c>
      <c r="Z618">
        <v>1395636</v>
      </c>
      <c r="AA618">
        <v>153519.96</v>
      </c>
      <c r="AB618">
        <v>18858162.960000001</v>
      </c>
      <c r="AC618">
        <v>3</v>
      </c>
      <c r="AD618" t="s">
        <v>134</v>
      </c>
      <c r="AE618">
        <v>12</v>
      </c>
      <c r="AF618" t="s">
        <v>1030</v>
      </c>
      <c r="AG618">
        <f>IFERROR(VLOOKUP(AF618,[1]STOK!J:O,6,0),"")</f>
        <v>4</v>
      </c>
      <c r="AH618" s="2">
        <f t="shared" si="18"/>
        <v>3</v>
      </c>
      <c r="AI618" t="s">
        <v>1030</v>
      </c>
      <c r="AJ618" t="s">
        <v>1031</v>
      </c>
      <c r="AK618" t="s">
        <v>1032</v>
      </c>
      <c r="AL618" t="s">
        <v>86</v>
      </c>
      <c r="AM618">
        <v>532356</v>
      </c>
      <c r="AN618">
        <f t="shared" si="19"/>
        <v>516385.32</v>
      </c>
      <c r="AO618" t="s">
        <v>66</v>
      </c>
      <c r="AP618">
        <v>3</v>
      </c>
      <c r="AQ618" t="s">
        <v>66</v>
      </c>
      <c r="AR618">
        <v>0</v>
      </c>
      <c r="AS618" t="s">
        <v>66</v>
      </c>
      <c r="AT618">
        <v>0</v>
      </c>
      <c r="AU618" t="s">
        <v>66</v>
      </c>
      <c r="AV618">
        <v>0</v>
      </c>
      <c r="AW618" t="s">
        <v>66</v>
      </c>
      <c r="AX618">
        <v>0</v>
      </c>
      <c r="AY618" t="s">
        <v>66</v>
      </c>
      <c r="AZ618">
        <v>0</v>
      </c>
      <c r="BA618" t="s">
        <v>66</v>
      </c>
      <c r="BB618">
        <v>0</v>
      </c>
      <c r="BC618">
        <v>0</v>
      </c>
      <c r="BD618">
        <v>1549155.96</v>
      </c>
      <c r="BE618">
        <v>99335.89</v>
      </c>
      <c r="BF618">
        <v>0</v>
      </c>
      <c r="BG618" t="s">
        <v>87</v>
      </c>
      <c r="BH618" t="s">
        <v>1033</v>
      </c>
      <c r="BI618">
        <v>12</v>
      </c>
      <c r="BJ618" t="s">
        <v>1034</v>
      </c>
      <c r="BK618" t="s">
        <v>88</v>
      </c>
      <c r="BL618" t="s">
        <v>877</v>
      </c>
      <c r="BM618" t="s">
        <v>159</v>
      </c>
    </row>
    <row r="619" spans="1:65" x14ac:dyDescent="0.25">
      <c r="A619">
        <v>617</v>
      </c>
      <c r="B619" t="s">
        <v>1025</v>
      </c>
      <c r="C619" t="s">
        <v>1026</v>
      </c>
      <c r="D619" s="1">
        <v>46210</v>
      </c>
      <c r="E619" t="s">
        <v>1027</v>
      </c>
      <c r="F619" t="s">
        <v>1028</v>
      </c>
      <c r="G619" t="s">
        <v>69</v>
      </c>
      <c r="H619" t="s">
        <v>70</v>
      </c>
      <c r="I619" t="s">
        <v>71</v>
      </c>
      <c r="J619" t="s">
        <v>72</v>
      </c>
      <c r="K619" t="s">
        <v>73</v>
      </c>
      <c r="L619" t="s">
        <v>74</v>
      </c>
      <c r="M619" t="s">
        <v>867</v>
      </c>
      <c r="N619" t="s">
        <v>696</v>
      </c>
      <c r="O619" t="s">
        <v>868</v>
      </c>
      <c r="P619" t="s">
        <v>869</v>
      </c>
      <c r="Q619" t="s">
        <v>1029</v>
      </c>
      <c r="R619" s="1">
        <v>46211</v>
      </c>
      <c r="S619" t="s">
        <v>871</v>
      </c>
      <c r="T619" t="s">
        <v>872</v>
      </c>
      <c r="U619" t="s">
        <v>873</v>
      </c>
      <c r="V619" t="s">
        <v>66</v>
      </c>
      <c r="W619" t="s">
        <v>66</v>
      </c>
      <c r="X619">
        <v>16989336</v>
      </c>
      <c r="Y619">
        <v>1868826.96</v>
      </c>
      <c r="Z619">
        <v>1129080</v>
      </c>
      <c r="AA619">
        <v>124198.8</v>
      </c>
      <c r="AB619">
        <v>18858162.960000001</v>
      </c>
      <c r="AC619">
        <v>5</v>
      </c>
      <c r="AD619" t="s">
        <v>134</v>
      </c>
      <c r="AE619">
        <v>60</v>
      </c>
      <c r="AF619" t="s">
        <v>287</v>
      </c>
      <c r="AG619">
        <f>IFERROR(VLOOKUP(AF619,[1]STOK!J:O,6,0),"")</f>
        <v>12</v>
      </c>
      <c r="AH619" s="2">
        <f t="shared" si="18"/>
        <v>5</v>
      </c>
      <c r="AI619" t="s">
        <v>287</v>
      </c>
      <c r="AJ619" t="s">
        <v>288</v>
      </c>
      <c r="AK619" t="s">
        <v>289</v>
      </c>
      <c r="AL619" t="s">
        <v>86</v>
      </c>
      <c r="AM619">
        <v>258408</v>
      </c>
      <c r="AN619">
        <f t="shared" si="19"/>
        <v>250655.76</v>
      </c>
      <c r="AO619" t="s">
        <v>66</v>
      </c>
      <c r="AP619">
        <v>3</v>
      </c>
      <c r="AQ619" t="s">
        <v>66</v>
      </c>
      <c r="AR619">
        <v>0</v>
      </c>
      <c r="AS619" t="s">
        <v>66</v>
      </c>
      <c r="AT619">
        <v>0</v>
      </c>
      <c r="AU619" t="s">
        <v>66</v>
      </c>
      <c r="AV619">
        <v>0</v>
      </c>
      <c r="AW619" t="s">
        <v>66</v>
      </c>
      <c r="AX619">
        <v>0</v>
      </c>
      <c r="AY619" t="s">
        <v>66</v>
      </c>
      <c r="AZ619">
        <v>0</v>
      </c>
      <c r="BA619" t="s">
        <v>66</v>
      </c>
      <c r="BB619">
        <v>0</v>
      </c>
      <c r="BC619">
        <v>0</v>
      </c>
      <c r="BD619">
        <v>1253278.8</v>
      </c>
      <c r="BE619">
        <v>17422.02</v>
      </c>
      <c r="BF619">
        <v>0</v>
      </c>
      <c r="BG619" t="s">
        <v>87</v>
      </c>
      <c r="BH619" t="s">
        <v>66</v>
      </c>
      <c r="BI619">
        <v>0</v>
      </c>
      <c r="BJ619" t="s">
        <v>66</v>
      </c>
      <c r="BK619" t="s">
        <v>88</v>
      </c>
      <c r="BL619" t="s">
        <v>877</v>
      </c>
      <c r="BM619" t="s">
        <v>159</v>
      </c>
    </row>
    <row r="620" spans="1:65" x14ac:dyDescent="0.25">
      <c r="A620">
        <v>618</v>
      </c>
      <c r="B620" t="s">
        <v>1025</v>
      </c>
      <c r="C620" t="s">
        <v>1026</v>
      </c>
      <c r="D620" s="1">
        <v>46210</v>
      </c>
      <c r="E620" t="s">
        <v>1027</v>
      </c>
      <c r="F620" t="s">
        <v>1028</v>
      </c>
      <c r="G620" t="s">
        <v>69</v>
      </c>
      <c r="H620" t="s">
        <v>70</v>
      </c>
      <c r="I620" t="s">
        <v>71</v>
      </c>
      <c r="J620" t="s">
        <v>72</v>
      </c>
      <c r="K620" t="s">
        <v>73</v>
      </c>
      <c r="L620" t="s">
        <v>74</v>
      </c>
      <c r="M620" t="s">
        <v>867</v>
      </c>
      <c r="N620" t="s">
        <v>696</v>
      </c>
      <c r="O620" t="s">
        <v>868</v>
      </c>
      <c r="P620" t="s">
        <v>869</v>
      </c>
      <c r="Q620" t="s">
        <v>1029</v>
      </c>
      <c r="R620" s="1">
        <v>46211</v>
      </c>
      <c r="S620" t="s">
        <v>871</v>
      </c>
      <c r="T620" t="s">
        <v>872</v>
      </c>
      <c r="U620" t="s">
        <v>873</v>
      </c>
      <c r="V620" t="s">
        <v>66</v>
      </c>
      <c r="W620" t="s">
        <v>66</v>
      </c>
      <c r="X620">
        <v>16989336</v>
      </c>
      <c r="Y620">
        <v>1868826.96</v>
      </c>
      <c r="Z620">
        <v>2322180</v>
      </c>
      <c r="AA620">
        <v>255439.8</v>
      </c>
      <c r="AB620">
        <v>18858162.960000001</v>
      </c>
      <c r="AC620">
        <v>15</v>
      </c>
      <c r="AD620" t="s">
        <v>134</v>
      </c>
      <c r="AE620">
        <v>180</v>
      </c>
      <c r="AF620" t="s">
        <v>135</v>
      </c>
      <c r="AG620">
        <f>IFERROR(VLOOKUP(AF620,[1]STOK!J:O,6,0),"")</f>
        <v>12</v>
      </c>
      <c r="AH620" s="2">
        <f t="shared" si="18"/>
        <v>15</v>
      </c>
      <c r="AI620" t="s">
        <v>135</v>
      </c>
      <c r="AJ620" t="s">
        <v>136</v>
      </c>
      <c r="AK620" t="s">
        <v>137</v>
      </c>
      <c r="AL620" t="s">
        <v>86</v>
      </c>
      <c r="AM620">
        <v>177156</v>
      </c>
      <c r="AN620">
        <f t="shared" si="19"/>
        <v>171841.31999999998</v>
      </c>
      <c r="AO620" t="s">
        <v>66</v>
      </c>
      <c r="AP620">
        <v>3</v>
      </c>
      <c r="AQ620" t="s">
        <v>66</v>
      </c>
      <c r="AR620">
        <v>0</v>
      </c>
      <c r="AS620" t="s">
        <v>66</v>
      </c>
      <c r="AT620">
        <v>0</v>
      </c>
      <c r="AU620" t="s">
        <v>66</v>
      </c>
      <c r="AV620">
        <v>0</v>
      </c>
      <c r="AW620" t="s">
        <v>66</v>
      </c>
      <c r="AX620">
        <v>0</v>
      </c>
      <c r="AY620" t="s">
        <v>66</v>
      </c>
      <c r="AZ620">
        <v>0</v>
      </c>
      <c r="BA620" t="s">
        <v>66</v>
      </c>
      <c r="BB620">
        <v>0</v>
      </c>
      <c r="BC620">
        <v>0</v>
      </c>
      <c r="BD620">
        <v>2577619.7999999998</v>
      </c>
      <c r="BE620">
        <v>12026.74</v>
      </c>
      <c r="BF620">
        <v>0</v>
      </c>
      <c r="BG620" t="s">
        <v>87</v>
      </c>
      <c r="BH620" t="s">
        <v>66</v>
      </c>
      <c r="BI620">
        <v>0</v>
      </c>
      <c r="BJ620" t="s">
        <v>66</v>
      </c>
      <c r="BK620" t="s">
        <v>88</v>
      </c>
      <c r="BL620" t="s">
        <v>877</v>
      </c>
      <c r="BM620" t="s">
        <v>159</v>
      </c>
    </row>
    <row r="621" spans="1:65" x14ac:dyDescent="0.25">
      <c r="A621">
        <v>619</v>
      </c>
      <c r="B621" t="s">
        <v>1025</v>
      </c>
      <c r="C621" t="s">
        <v>1026</v>
      </c>
      <c r="D621" s="1">
        <v>46210</v>
      </c>
      <c r="E621" t="s">
        <v>1027</v>
      </c>
      <c r="F621" t="s">
        <v>1028</v>
      </c>
      <c r="G621" t="s">
        <v>69</v>
      </c>
      <c r="H621" t="s">
        <v>70</v>
      </c>
      <c r="I621" t="s">
        <v>71</v>
      </c>
      <c r="J621" t="s">
        <v>72</v>
      </c>
      <c r="K621" t="s">
        <v>73</v>
      </c>
      <c r="L621" t="s">
        <v>74</v>
      </c>
      <c r="M621" t="s">
        <v>867</v>
      </c>
      <c r="N621" t="s">
        <v>696</v>
      </c>
      <c r="O621" t="s">
        <v>868</v>
      </c>
      <c r="P621" t="s">
        <v>869</v>
      </c>
      <c r="Q621" t="s">
        <v>1029</v>
      </c>
      <c r="R621" s="1">
        <v>46211</v>
      </c>
      <c r="S621" t="s">
        <v>871</v>
      </c>
      <c r="T621" t="s">
        <v>872</v>
      </c>
      <c r="U621" t="s">
        <v>873</v>
      </c>
      <c r="V621" t="s">
        <v>66</v>
      </c>
      <c r="W621" t="s">
        <v>66</v>
      </c>
      <c r="X621">
        <v>16989336</v>
      </c>
      <c r="Y621">
        <v>1868826.96</v>
      </c>
      <c r="Z621">
        <v>3566496</v>
      </c>
      <c r="AA621">
        <v>392314.56</v>
      </c>
      <c r="AB621">
        <v>18858162.960000001</v>
      </c>
      <c r="AC621">
        <v>16</v>
      </c>
      <c r="AD621" t="s">
        <v>134</v>
      </c>
      <c r="AE621">
        <v>96</v>
      </c>
      <c r="AF621" t="s">
        <v>138</v>
      </c>
      <c r="AG621">
        <f>IFERROR(VLOOKUP(AF621,[1]STOK!J:O,6,0),"")</f>
        <v>6</v>
      </c>
      <c r="AH621" s="2">
        <f t="shared" si="18"/>
        <v>16</v>
      </c>
      <c r="AI621" t="s">
        <v>138</v>
      </c>
      <c r="AJ621" t="s">
        <v>139</v>
      </c>
      <c r="AK621" t="s">
        <v>140</v>
      </c>
      <c r="AL621" t="s">
        <v>86</v>
      </c>
      <c r="AM621">
        <v>255078</v>
      </c>
      <c r="AN621">
        <f t="shared" si="19"/>
        <v>247425.66</v>
      </c>
      <c r="AO621" t="s">
        <v>66</v>
      </c>
      <c r="AP621">
        <v>3</v>
      </c>
      <c r="AQ621" t="s">
        <v>66</v>
      </c>
      <c r="AR621">
        <v>0</v>
      </c>
      <c r="AS621" t="s">
        <v>66</v>
      </c>
      <c r="AT621">
        <v>0</v>
      </c>
      <c r="AU621" t="s">
        <v>66</v>
      </c>
      <c r="AV621">
        <v>0</v>
      </c>
      <c r="AW621" t="s">
        <v>66</v>
      </c>
      <c r="AX621">
        <v>0</v>
      </c>
      <c r="AY621" t="s">
        <v>66</v>
      </c>
      <c r="AZ621">
        <v>0</v>
      </c>
      <c r="BA621" t="s">
        <v>66</v>
      </c>
      <c r="BB621">
        <v>0</v>
      </c>
      <c r="BC621">
        <v>0</v>
      </c>
      <c r="BD621">
        <v>3958810.56</v>
      </c>
      <c r="BE621">
        <v>34660.32</v>
      </c>
      <c r="BF621">
        <v>0</v>
      </c>
      <c r="BG621" t="s">
        <v>87</v>
      </c>
      <c r="BH621" t="s">
        <v>66</v>
      </c>
      <c r="BI621">
        <v>0</v>
      </c>
      <c r="BJ621" t="s">
        <v>66</v>
      </c>
      <c r="BK621" t="s">
        <v>88</v>
      </c>
      <c r="BL621" t="s">
        <v>877</v>
      </c>
      <c r="BM621" t="s">
        <v>159</v>
      </c>
    </row>
    <row r="622" spans="1:65" x14ac:dyDescent="0.25">
      <c r="A622">
        <v>620</v>
      </c>
      <c r="B622" t="s">
        <v>1035</v>
      </c>
      <c r="C622" t="s">
        <v>1036</v>
      </c>
      <c r="D622" s="1">
        <v>46210</v>
      </c>
      <c r="E622" t="s">
        <v>1037</v>
      </c>
      <c r="F622" t="s">
        <v>1038</v>
      </c>
      <c r="G622" t="s">
        <v>69</v>
      </c>
      <c r="H622" t="s">
        <v>70</v>
      </c>
      <c r="I622" t="s">
        <v>71</v>
      </c>
      <c r="J622" t="s">
        <v>72</v>
      </c>
      <c r="K622" t="s">
        <v>73</v>
      </c>
      <c r="L622" t="s">
        <v>74</v>
      </c>
      <c r="M622" t="s">
        <v>867</v>
      </c>
      <c r="N622" t="s">
        <v>696</v>
      </c>
      <c r="O622" t="s">
        <v>868</v>
      </c>
      <c r="P622" t="s">
        <v>869</v>
      </c>
      <c r="Q622" t="s">
        <v>1039</v>
      </c>
      <c r="R622" s="1">
        <v>46211</v>
      </c>
      <c r="S622" t="s">
        <v>871</v>
      </c>
      <c r="T622" t="s">
        <v>872</v>
      </c>
      <c r="U622" t="s">
        <v>873</v>
      </c>
      <c r="V622" t="s">
        <v>66</v>
      </c>
      <c r="W622" t="s">
        <v>66</v>
      </c>
      <c r="X622">
        <v>526128</v>
      </c>
      <c r="Y622">
        <v>57874.080000000002</v>
      </c>
      <c r="Z622">
        <v>526128</v>
      </c>
      <c r="AA622">
        <v>57874.080000000002</v>
      </c>
      <c r="AB622">
        <v>584002.07999999996</v>
      </c>
      <c r="AC622">
        <v>2</v>
      </c>
      <c r="AD622" t="s">
        <v>134</v>
      </c>
      <c r="AE622">
        <v>48</v>
      </c>
      <c r="AF622" t="s">
        <v>122</v>
      </c>
      <c r="AG622">
        <f>IFERROR(VLOOKUP(AF622,[1]STOK!J:O,6,0),"")</f>
        <v>24</v>
      </c>
      <c r="AH622" s="2">
        <f t="shared" si="18"/>
        <v>2</v>
      </c>
      <c r="AI622" t="s">
        <v>122</v>
      </c>
      <c r="AJ622" t="s">
        <v>123</v>
      </c>
      <c r="AK622" t="s">
        <v>124</v>
      </c>
      <c r="AL622" t="s">
        <v>86</v>
      </c>
      <c r="AM622">
        <v>301032</v>
      </c>
      <c r="AN622">
        <f t="shared" si="19"/>
        <v>292001.03999999998</v>
      </c>
      <c r="AO622" t="s">
        <v>66</v>
      </c>
      <c r="AP622">
        <v>3</v>
      </c>
      <c r="AQ622" t="s">
        <v>66</v>
      </c>
      <c r="AR622">
        <v>0</v>
      </c>
      <c r="AS622" t="s">
        <v>66</v>
      </c>
      <c r="AT622">
        <v>0</v>
      </c>
      <c r="AU622" t="s">
        <v>66</v>
      </c>
      <c r="AV622">
        <v>0</v>
      </c>
      <c r="AW622" t="s">
        <v>66</v>
      </c>
      <c r="AX622">
        <v>0</v>
      </c>
      <c r="AY622" t="s">
        <v>66</v>
      </c>
      <c r="AZ622">
        <v>0</v>
      </c>
      <c r="BA622" t="s">
        <v>66</v>
      </c>
      <c r="BB622">
        <v>0</v>
      </c>
      <c r="BC622">
        <v>0</v>
      </c>
      <c r="BD622">
        <v>584002.07999999996</v>
      </c>
      <c r="BE622">
        <v>10140.08</v>
      </c>
      <c r="BF622">
        <v>0</v>
      </c>
      <c r="BG622" t="s">
        <v>87</v>
      </c>
      <c r="BH622" t="s">
        <v>66</v>
      </c>
      <c r="BI622">
        <v>0</v>
      </c>
      <c r="BJ622" t="s">
        <v>66</v>
      </c>
      <c r="BK622" t="s">
        <v>88</v>
      </c>
      <c r="BL622" t="s">
        <v>877</v>
      </c>
      <c r="BM622" t="s">
        <v>159</v>
      </c>
    </row>
    <row r="623" spans="1:65" x14ac:dyDescent="0.25">
      <c r="A623">
        <v>621</v>
      </c>
      <c r="B623" t="s">
        <v>1040</v>
      </c>
      <c r="C623" t="s">
        <v>898</v>
      </c>
      <c r="D623" s="1">
        <v>46210</v>
      </c>
      <c r="E623" t="s">
        <v>1041</v>
      </c>
      <c r="F623" t="s">
        <v>900</v>
      </c>
      <c r="G623" t="s">
        <v>69</v>
      </c>
      <c r="H623" t="s">
        <v>70</v>
      </c>
      <c r="I623" t="s">
        <v>71</v>
      </c>
      <c r="J623" t="s">
        <v>72</v>
      </c>
      <c r="K623" t="s">
        <v>73</v>
      </c>
      <c r="L623" t="s">
        <v>74</v>
      </c>
      <c r="M623" t="s">
        <v>867</v>
      </c>
      <c r="N623" t="s">
        <v>696</v>
      </c>
      <c r="O623" t="s">
        <v>868</v>
      </c>
      <c r="P623" t="s">
        <v>869</v>
      </c>
      <c r="Q623" t="s">
        <v>1042</v>
      </c>
      <c r="R623" s="1">
        <v>46211</v>
      </c>
      <c r="S623" t="s">
        <v>871</v>
      </c>
      <c r="T623" t="s">
        <v>872</v>
      </c>
      <c r="U623" t="s">
        <v>873</v>
      </c>
      <c r="V623" t="s">
        <v>66</v>
      </c>
      <c r="W623" t="s">
        <v>66</v>
      </c>
      <c r="X623">
        <v>698400</v>
      </c>
      <c r="Y623">
        <v>76824</v>
      </c>
      <c r="Z623">
        <v>698400</v>
      </c>
      <c r="AA623">
        <v>76824</v>
      </c>
      <c r="AB623">
        <v>775224</v>
      </c>
      <c r="AC623">
        <v>3</v>
      </c>
      <c r="AD623" t="s">
        <v>134</v>
      </c>
      <c r="AE623">
        <v>36</v>
      </c>
      <c r="AF623" t="s">
        <v>290</v>
      </c>
      <c r="AG623">
        <f>IFERROR(VLOOKUP(AF623,[1]STOK!J:O,6,0),"")</f>
        <v>12</v>
      </c>
      <c r="AH623" s="2">
        <f t="shared" si="18"/>
        <v>3</v>
      </c>
      <c r="AI623" t="s">
        <v>290</v>
      </c>
      <c r="AJ623" t="s">
        <v>291</v>
      </c>
      <c r="AK623" t="s">
        <v>292</v>
      </c>
      <c r="AL623" t="s">
        <v>86</v>
      </c>
      <c r="AM623">
        <v>266400</v>
      </c>
      <c r="AN623">
        <f t="shared" si="19"/>
        <v>258408</v>
      </c>
      <c r="AO623" t="s">
        <v>66</v>
      </c>
      <c r="AP623">
        <v>3</v>
      </c>
      <c r="AQ623" t="s">
        <v>66</v>
      </c>
      <c r="AR623">
        <v>0</v>
      </c>
      <c r="AS623" t="s">
        <v>66</v>
      </c>
      <c r="AT623">
        <v>0</v>
      </c>
      <c r="AU623" t="s">
        <v>66</v>
      </c>
      <c r="AV623">
        <v>0</v>
      </c>
      <c r="AW623" t="s">
        <v>66</v>
      </c>
      <c r="AX623">
        <v>0</v>
      </c>
      <c r="AY623" t="s">
        <v>66</v>
      </c>
      <c r="AZ623">
        <v>0</v>
      </c>
      <c r="BA623" t="s">
        <v>66</v>
      </c>
      <c r="BB623">
        <v>0</v>
      </c>
      <c r="BC623">
        <v>0</v>
      </c>
      <c r="BD623">
        <v>775224</v>
      </c>
      <c r="BE623">
        <v>18106.89</v>
      </c>
      <c r="BF623">
        <v>0</v>
      </c>
      <c r="BG623" t="s">
        <v>87</v>
      </c>
      <c r="BH623" t="s">
        <v>66</v>
      </c>
      <c r="BI623">
        <v>0</v>
      </c>
      <c r="BJ623" t="s">
        <v>66</v>
      </c>
      <c r="BK623" t="s">
        <v>88</v>
      </c>
      <c r="BL623" t="s">
        <v>877</v>
      </c>
      <c r="BM623" t="s">
        <v>159</v>
      </c>
    </row>
    <row r="624" spans="1:65" x14ac:dyDescent="0.25">
      <c r="A624">
        <v>622</v>
      </c>
      <c r="B624" t="s">
        <v>1043</v>
      </c>
      <c r="C624" t="s">
        <v>68</v>
      </c>
      <c r="D624" s="1">
        <v>46211</v>
      </c>
      <c r="E624" t="s">
        <v>1044</v>
      </c>
      <c r="F624" t="s">
        <v>68</v>
      </c>
      <c r="G624" t="s">
        <v>295</v>
      </c>
      <c r="H624" t="s">
        <v>296</v>
      </c>
      <c r="I624" t="s">
        <v>71</v>
      </c>
      <c r="J624" t="s">
        <v>72</v>
      </c>
      <c r="K624" t="s">
        <v>73</v>
      </c>
      <c r="L624" t="s">
        <v>74</v>
      </c>
      <c r="M624" t="s">
        <v>503</v>
      </c>
      <c r="N624" t="s">
        <v>111</v>
      </c>
      <c r="O624" t="s">
        <v>504</v>
      </c>
      <c r="P624" t="s">
        <v>505</v>
      </c>
      <c r="Q624" t="s">
        <v>1045</v>
      </c>
      <c r="R624" s="1">
        <v>46212</v>
      </c>
      <c r="S624" t="s">
        <v>507</v>
      </c>
      <c r="T624" t="s">
        <v>508</v>
      </c>
      <c r="U624" t="s">
        <v>509</v>
      </c>
      <c r="V624" t="s">
        <v>66</v>
      </c>
      <c r="W624" t="s">
        <v>66</v>
      </c>
      <c r="X624">
        <v>2113848</v>
      </c>
      <c r="Y624">
        <v>232523.28</v>
      </c>
      <c r="Z624">
        <v>230472</v>
      </c>
      <c r="AA624">
        <v>25351.919999999998</v>
      </c>
      <c r="AB624">
        <v>2346371.2799999998</v>
      </c>
      <c r="AC624">
        <v>1</v>
      </c>
      <c r="AD624" t="s">
        <v>134</v>
      </c>
      <c r="AE624">
        <v>12</v>
      </c>
      <c r="AF624" t="s">
        <v>284</v>
      </c>
      <c r="AG624">
        <f>IFERROR(VLOOKUP(AF624,[1]STOK!J:O,6,0),"")</f>
        <v>12</v>
      </c>
      <c r="AH624" s="2">
        <f t="shared" si="18"/>
        <v>1</v>
      </c>
      <c r="AI624" t="s">
        <v>284</v>
      </c>
      <c r="AJ624" t="s">
        <v>285</v>
      </c>
      <c r="AK624" t="s">
        <v>286</v>
      </c>
      <c r="AL624" t="s">
        <v>86</v>
      </c>
      <c r="AM624">
        <v>258408</v>
      </c>
      <c r="AN624">
        <f t="shared" si="19"/>
        <v>255823.92</v>
      </c>
      <c r="AO624" t="s">
        <v>66</v>
      </c>
      <c r="AP624">
        <v>1</v>
      </c>
      <c r="AQ624" t="s">
        <v>66</v>
      </c>
      <c r="AR624">
        <v>0</v>
      </c>
      <c r="AS624" t="s">
        <v>66</v>
      </c>
      <c r="AT624">
        <v>0</v>
      </c>
      <c r="AU624" t="s">
        <v>66</v>
      </c>
      <c r="AV624">
        <v>0</v>
      </c>
      <c r="AW624" t="s">
        <v>66</v>
      </c>
      <c r="AX624">
        <v>0</v>
      </c>
      <c r="AY624" t="s">
        <v>66</v>
      </c>
      <c r="AZ624">
        <v>0</v>
      </c>
      <c r="BA624" t="s">
        <v>66</v>
      </c>
      <c r="BB624">
        <v>0</v>
      </c>
      <c r="BC624">
        <v>0</v>
      </c>
      <c r="BD624">
        <v>255823.92</v>
      </c>
      <c r="BE624">
        <v>17371.36</v>
      </c>
      <c r="BF624">
        <v>0</v>
      </c>
      <c r="BG624" t="s">
        <v>87</v>
      </c>
      <c r="BH624" t="s">
        <v>66</v>
      </c>
      <c r="BI624">
        <v>0</v>
      </c>
      <c r="BJ624" t="s">
        <v>66</v>
      </c>
      <c r="BK624" t="s">
        <v>88</v>
      </c>
      <c r="BL624" t="s">
        <v>66</v>
      </c>
      <c r="BM624" t="s">
        <v>159</v>
      </c>
    </row>
    <row r="625" spans="1:65" x14ac:dyDescent="0.25">
      <c r="A625">
        <v>623</v>
      </c>
      <c r="B625" t="s">
        <v>1043</v>
      </c>
      <c r="C625" t="s">
        <v>68</v>
      </c>
      <c r="D625" s="1">
        <v>46211</v>
      </c>
      <c r="E625" t="s">
        <v>1044</v>
      </c>
      <c r="F625" t="s">
        <v>68</v>
      </c>
      <c r="G625" t="s">
        <v>295</v>
      </c>
      <c r="H625" t="s">
        <v>296</v>
      </c>
      <c r="I625" t="s">
        <v>71</v>
      </c>
      <c r="J625" t="s">
        <v>72</v>
      </c>
      <c r="K625" t="s">
        <v>73</v>
      </c>
      <c r="L625" t="s">
        <v>74</v>
      </c>
      <c r="M625" t="s">
        <v>503</v>
      </c>
      <c r="N625" t="s">
        <v>111</v>
      </c>
      <c r="O625" t="s">
        <v>504</v>
      </c>
      <c r="P625" t="s">
        <v>505</v>
      </c>
      <c r="Q625" t="s">
        <v>1045</v>
      </c>
      <c r="R625" s="1">
        <v>46212</v>
      </c>
      <c r="S625" t="s">
        <v>507</v>
      </c>
      <c r="T625" t="s">
        <v>508</v>
      </c>
      <c r="U625" t="s">
        <v>509</v>
      </c>
      <c r="V625" t="s">
        <v>66</v>
      </c>
      <c r="W625" t="s">
        <v>66</v>
      </c>
      <c r="X625">
        <v>2113848</v>
      </c>
      <c r="Y625">
        <v>232523.28</v>
      </c>
      <c r="Z625">
        <v>230472</v>
      </c>
      <c r="AA625">
        <v>25351.919999999998</v>
      </c>
      <c r="AB625">
        <v>2346371.2799999998</v>
      </c>
      <c r="AC625">
        <v>1</v>
      </c>
      <c r="AD625" t="s">
        <v>134</v>
      </c>
      <c r="AE625">
        <v>12</v>
      </c>
      <c r="AF625" t="s">
        <v>287</v>
      </c>
      <c r="AG625">
        <f>IFERROR(VLOOKUP(AF625,[1]STOK!J:O,6,0),"")</f>
        <v>12</v>
      </c>
      <c r="AH625" s="2">
        <f t="shared" si="18"/>
        <v>1</v>
      </c>
      <c r="AI625" t="s">
        <v>287</v>
      </c>
      <c r="AJ625" t="s">
        <v>288</v>
      </c>
      <c r="AK625" t="s">
        <v>289</v>
      </c>
      <c r="AL625" t="s">
        <v>86</v>
      </c>
      <c r="AM625">
        <v>258408</v>
      </c>
      <c r="AN625">
        <f t="shared" si="19"/>
        <v>255823.92</v>
      </c>
      <c r="AO625" t="s">
        <v>66</v>
      </c>
      <c r="AP625">
        <v>1</v>
      </c>
      <c r="AQ625" t="s">
        <v>66</v>
      </c>
      <c r="AR625">
        <v>0</v>
      </c>
      <c r="AS625" t="s">
        <v>66</v>
      </c>
      <c r="AT625">
        <v>0</v>
      </c>
      <c r="AU625" t="s">
        <v>66</v>
      </c>
      <c r="AV625">
        <v>0</v>
      </c>
      <c r="AW625" t="s">
        <v>66</v>
      </c>
      <c r="AX625">
        <v>0</v>
      </c>
      <c r="AY625" t="s">
        <v>66</v>
      </c>
      <c r="AZ625">
        <v>0</v>
      </c>
      <c r="BA625" t="s">
        <v>66</v>
      </c>
      <c r="BB625">
        <v>0</v>
      </c>
      <c r="BC625">
        <v>0</v>
      </c>
      <c r="BD625">
        <v>255823.92</v>
      </c>
      <c r="BE625">
        <v>17422.02</v>
      </c>
      <c r="BF625">
        <v>0</v>
      </c>
      <c r="BG625" t="s">
        <v>87</v>
      </c>
      <c r="BH625" t="s">
        <v>66</v>
      </c>
      <c r="BI625">
        <v>0</v>
      </c>
      <c r="BJ625" t="s">
        <v>66</v>
      </c>
      <c r="BK625" t="s">
        <v>88</v>
      </c>
      <c r="BL625" t="s">
        <v>66</v>
      </c>
      <c r="BM625" t="s">
        <v>159</v>
      </c>
    </row>
    <row r="626" spans="1:65" x14ac:dyDescent="0.25">
      <c r="A626">
        <v>624</v>
      </c>
      <c r="B626" t="s">
        <v>1043</v>
      </c>
      <c r="C626" t="s">
        <v>68</v>
      </c>
      <c r="D626" s="1">
        <v>46211</v>
      </c>
      <c r="E626" t="s">
        <v>1044</v>
      </c>
      <c r="F626" t="s">
        <v>68</v>
      </c>
      <c r="G626" t="s">
        <v>295</v>
      </c>
      <c r="H626" t="s">
        <v>296</v>
      </c>
      <c r="I626" t="s">
        <v>71</v>
      </c>
      <c r="J626" t="s">
        <v>72</v>
      </c>
      <c r="K626" t="s">
        <v>73</v>
      </c>
      <c r="L626" t="s">
        <v>74</v>
      </c>
      <c r="M626" t="s">
        <v>503</v>
      </c>
      <c r="N626" t="s">
        <v>111</v>
      </c>
      <c r="O626" t="s">
        <v>504</v>
      </c>
      <c r="P626" t="s">
        <v>505</v>
      </c>
      <c r="Q626" t="s">
        <v>1045</v>
      </c>
      <c r="R626" s="1">
        <v>46212</v>
      </c>
      <c r="S626" t="s">
        <v>507</v>
      </c>
      <c r="T626" t="s">
        <v>508</v>
      </c>
      <c r="U626" t="s">
        <v>509</v>
      </c>
      <c r="V626" t="s">
        <v>66</v>
      </c>
      <c r="W626" t="s">
        <v>66</v>
      </c>
      <c r="X626">
        <v>2113848</v>
      </c>
      <c r="Y626">
        <v>232523.28</v>
      </c>
      <c r="Z626">
        <v>417384</v>
      </c>
      <c r="AA626">
        <v>45912.24</v>
      </c>
      <c r="AB626">
        <v>2346371.2799999998</v>
      </c>
      <c r="AC626">
        <v>1</v>
      </c>
      <c r="AD626" t="s">
        <v>134</v>
      </c>
      <c r="AE626">
        <v>4</v>
      </c>
      <c r="AF626" t="s">
        <v>1046</v>
      </c>
      <c r="AG626">
        <f>IFERROR(VLOOKUP(AF626,[1]STOK!J:O,6,0),"")</f>
        <v>4</v>
      </c>
      <c r="AH626" s="2">
        <f t="shared" si="18"/>
        <v>1</v>
      </c>
      <c r="AI626" t="s">
        <v>1046</v>
      </c>
      <c r="AJ626" t="s">
        <v>1047</v>
      </c>
      <c r="AK626" t="s">
        <v>1048</v>
      </c>
      <c r="AL626" t="s">
        <v>86</v>
      </c>
      <c r="AM626">
        <v>467976</v>
      </c>
      <c r="AN626">
        <f t="shared" si="19"/>
        <v>463296.24</v>
      </c>
      <c r="AO626" t="s">
        <v>66</v>
      </c>
      <c r="AP626">
        <v>1</v>
      </c>
      <c r="AQ626" t="s">
        <v>66</v>
      </c>
      <c r="AR626">
        <v>0</v>
      </c>
      <c r="AS626" t="s">
        <v>66</v>
      </c>
      <c r="AT626">
        <v>0</v>
      </c>
      <c r="AU626" t="s">
        <v>66</v>
      </c>
      <c r="AV626">
        <v>0</v>
      </c>
      <c r="AW626" t="s">
        <v>66</v>
      </c>
      <c r="AX626">
        <v>0</v>
      </c>
      <c r="AY626" t="s">
        <v>66</v>
      </c>
      <c r="AZ626">
        <v>0</v>
      </c>
      <c r="BA626" t="s">
        <v>66</v>
      </c>
      <c r="BB626">
        <v>0</v>
      </c>
      <c r="BC626">
        <v>0</v>
      </c>
      <c r="BD626">
        <v>463296.24</v>
      </c>
      <c r="BE626">
        <v>87349.74</v>
      </c>
      <c r="BF626">
        <v>0</v>
      </c>
      <c r="BG626" t="s">
        <v>87</v>
      </c>
      <c r="BH626" t="s">
        <v>66</v>
      </c>
      <c r="BI626">
        <v>0</v>
      </c>
      <c r="BJ626" t="s">
        <v>66</v>
      </c>
      <c r="BK626" t="s">
        <v>88</v>
      </c>
      <c r="BL626" t="s">
        <v>66</v>
      </c>
      <c r="BM626" t="s">
        <v>159</v>
      </c>
    </row>
    <row r="627" spans="1:65" x14ac:dyDescent="0.25">
      <c r="A627">
        <v>625</v>
      </c>
      <c r="B627" t="s">
        <v>1043</v>
      </c>
      <c r="C627" t="s">
        <v>68</v>
      </c>
      <c r="D627" s="1">
        <v>46211</v>
      </c>
      <c r="E627" t="s">
        <v>1044</v>
      </c>
      <c r="F627" t="s">
        <v>68</v>
      </c>
      <c r="G627" t="s">
        <v>295</v>
      </c>
      <c r="H627" t="s">
        <v>296</v>
      </c>
      <c r="I627" t="s">
        <v>71</v>
      </c>
      <c r="J627" t="s">
        <v>72</v>
      </c>
      <c r="K627" t="s">
        <v>73</v>
      </c>
      <c r="L627" t="s">
        <v>74</v>
      </c>
      <c r="M627" t="s">
        <v>503</v>
      </c>
      <c r="N627" t="s">
        <v>111</v>
      </c>
      <c r="O627" t="s">
        <v>504</v>
      </c>
      <c r="P627" t="s">
        <v>505</v>
      </c>
      <c r="Q627" t="s">
        <v>1045</v>
      </c>
      <c r="R627" s="1">
        <v>46212</v>
      </c>
      <c r="S627" t="s">
        <v>507</v>
      </c>
      <c r="T627" t="s">
        <v>508</v>
      </c>
      <c r="U627" t="s">
        <v>509</v>
      </c>
      <c r="V627" t="s">
        <v>66</v>
      </c>
      <c r="W627" t="s">
        <v>66</v>
      </c>
      <c r="X627">
        <v>2113848</v>
      </c>
      <c r="Y627">
        <v>232523.28</v>
      </c>
      <c r="Z627">
        <v>254232</v>
      </c>
      <c r="AA627">
        <v>27965.52</v>
      </c>
      <c r="AB627">
        <v>2346371.2799999998</v>
      </c>
      <c r="AC627">
        <v>2</v>
      </c>
      <c r="AD627" t="s">
        <v>134</v>
      </c>
      <c r="AE627">
        <v>24</v>
      </c>
      <c r="AF627" t="s">
        <v>578</v>
      </c>
      <c r="AG627">
        <f>IFERROR(VLOOKUP(AF627,[1]STOK!J:O,6,0),"")</f>
        <v>12</v>
      </c>
      <c r="AH627" s="2">
        <f t="shared" si="18"/>
        <v>2</v>
      </c>
      <c r="AI627" t="s">
        <v>578</v>
      </c>
      <c r="AJ627" t="s">
        <v>579</v>
      </c>
      <c r="AK627" t="s">
        <v>580</v>
      </c>
      <c r="AL627" t="s">
        <v>86</v>
      </c>
      <c r="AM627">
        <v>142524</v>
      </c>
      <c r="AN627">
        <f t="shared" si="19"/>
        <v>141098.76</v>
      </c>
      <c r="AO627" t="s">
        <v>66</v>
      </c>
      <c r="AP627">
        <v>1</v>
      </c>
      <c r="AQ627" t="s">
        <v>66</v>
      </c>
      <c r="AR627">
        <v>0</v>
      </c>
      <c r="AS627" t="s">
        <v>66</v>
      </c>
      <c r="AT627">
        <v>0</v>
      </c>
      <c r="AU627" t="s">
        <v>66</v>
      </c>
      <c r="AV627">
        <v>0</v>
      </c>
      <c r="AW627" t="s">
        <v>66</v>
      </c>
      <c r="AX627">
        <v>0</v>
      </c>
      <c r="AY627" t="s">
        <v>66</v>
      </c>
      <c r="AZ627">
        <v>0</v>
      </c>
      <c r="BA627" t="s">
        <v>66</v>
      </c>
      <c r="BB627">
        <v>0</v>
      </c>
      <c r="BC627">
        <v>0</v>
      </c>
      <c r="BD627">
        <v>282197.52</v>
      </c>
      <c r="BE627">
        <v>9646.18</v>
      </c>
      <c r="BF627">
        <v>0</v>
      </c>
      <c r="BG627" t="s">
        <v>87</v>
      </c>
      <c r="BH627" t="s">
        <v>66</v>
      </c>
      <c r="BI627">
        <v>0</v>
      </c>
      <c r="BJ627" t="s">
        <v>66</v>
      </c>
      <c r="BK627" t="s">
        <v>88</v>
      </c>
      <c r="BL627" t="s">
        <v>66</v>
      </c>
      <c r="BM627" t="s">
        <v>159</v>
      </c>
    </row>
    <row r="628" spans="1:65" x14ac:dyDescent="0.25">
      <c r="A628">
        <v>626</v>
      </c>
      <c r="B628" t="s">
        <v>1043</v>
      </c>
      <c r="C628" t="s">
        <v>68</v>
      </c>
      <c r="D628" s="1">
        <v>46211</v>
      </c>
      <c r="E628" t="s">
        <v>1044</v>
      </c>
      <c r="F628" t="s">
        <v>68</v>
      </c>
      <c r="G628" t="s">
        <v>295</v>
      </c>
      <c r="H628" t="s">
        <v>296</v>
      </c>
      <c r="I628" t="s">
        <v>71</v>
      </c>
      <c r="J628" t="s">
        <v>72</v>
      </c>
      <c r="K628" t="s">
        <v>73</v>
      </c>
      <c r="L628" t="s">
        <v>74</v>
      </c>
      <c r="M628" t="s">
        <v>503</v>
      </c>
      <c r="N628" t="s">
        <v>111</v>
      </c>
      <c r="O628" t="s">
        <v>504</v>
      </c>
      <c r="P628" t="s">
        <v>505</v>
      </c>
      <c r="Q628" t="s">
        <v>1045</v>
      </c>
      <c r="R628" s="1">
        <v>46212</v>
      </c>
      <c r="S628" t="s">
        <v>507</v>
      </c>
      <c r="T628" t="s">
        <v>508</v>
      </c>
      <c r="U628" t="s">
        <v>509</v>
      </c>
      <c r="V628" t="s">
        <v>66</v>
      </c>
      <c r="W628" t="s">
        <v>66</v>
      </c>
      <c r="X628">
        <v>2113848</v>
      </c>
      <c r="Y628">
        <v>232523.28</v>
      </c>
      <c r="Z628">
        <v>127116</v>
      </c>
      <c r="AA628">
        <v>13982.76</v>
      </c>
      <c r="AB628">
        <v>2346371.2799999998</v>
      </c>
      <c r="AC628">
        <v>1</v>
      </c>
      <c r="AD628" t="s">
        <v>134</v>
      </c>
      <c r="AE628">
        <v>12</v>
      </c>
      <c r="AF628" t="s">
        <v>1049</v>
      </c>
      <c r="AG628">
        <f>IFERROR(VLOOKUP(AF628,[1]STOK!J:O,6,0),"")</f>
        <v>12</v>
      </c>
      <c r="AH628" s="2">
        <f t="shared" si="18"/>
        <v>1</v>
      </c>
      <c r="AI628" t="s">
        <v>1049</v>
      </c>
      <c r="AJ628" t="s">
        <v>1050</v>
      </c>
      <c r="AK628" t="s">
        <v>1051</v>
      </c>
      <c r="AL628" t="s">
        <v>86</v>
      </c>
      <c r="AM628">
        <v>142524</v>
      </c>
      <c r="AN628">
        <f t="shared" si="19"/>
        <v>141098.76</v>
      </c>
      <c r="AO628" t="s">
        <v>66</v>
      </c>
      <c r="AP628">
        <v>1</v>
      </c>
      <c r="AQ628" t="s">
        <v>66</v>
      </c>
      <c r="AR628">
        <v>0</v>
      </c>
      <c r="AS628" t="s">
        <v>66</v>
      </c>
      <c r="AT628">
        <v>0</v>
      </c>
      <c r="AU628" t="s">
        <v>66</v>
      </c>
      <c r="AV628">
        <v>0</v>
      </c>
      <c r="AW628" t="s">
        <v>66</v>
      </c>
      <c r="AX628">
        <v>0</v>
      </c>
      <c r="AY628" t="s">
        <v>66</v>
      </c>
      <c r="AZ628">
        <v>0</v>
      </c>
      <c r="BA628" t="s">
        <v>66</v>
      </c>
      <c r="BB628">
        <v>0</v>
      </c>
      <c r="BC628">
        <v>0</v>
      </c>
      <c r="BD628">
        <v>141098.76</v>
      </c>
      <c r="BE628">
        <v>9545.4</v>
      </c>
      <c r="BF628">
        <v>0</v>
      </c>
      <c r="BG628" t="s">
        <v>87</v>
      </c>
      <c r="BH628" t="s">
        <v>66</v>
      </c>
      <c r="BI628">
        <v>0</v>
      </c>
      <c r="BJ628" t="s">
        <v>66</v>
      </c>
      <c r="BK628" t="s">
        <v>88</v>
      </c>
      <c r="BL628" t="s">
        <v>66</v>
      </c>
      <c r="BM628" t="s">
        <v>159</v>
      </c>
    </row>
    <row r="629" spans="1:65" x14ac:dyDescent="0.25">
      <c r="A629">
        <v>627</v>
      </c>
      <c r="B629" t="s">
        <v>1043</v>
      </c>
      <c r="C629" t="s">
        <v>68</v>
      </c>
      <c r="D629" s="1">
        <v>46211</v>
      </c>
      <c r="E629" t="s">
        <v>1044</v>
      </c>
      <c r="F629" t="s">
        <v>68</v>
      </c>
      <c r="G629" t="s">
        <v>295</v>
      </c>
      <c r="H629" t="s">
        <v>296</v>
      </c>
      <c r="I629" t="s">
        <v>71</v>
      </c>
      <c r="J629" t="s">
        <v>72</v>
      </c>
      <c r="K629" t="s">
        <v>73</v>
      </c>
      <c r="L629" t="s">
        <v>74</v>
      </c>
      <c r="M629" t="s">
        <v>503</v>
      </c>
      <c r="N629" t="s">
        <v>111</v>
      </c>
      <c r="O629" t="s">
        <v>504</v>
      </c>
      <c r="P629" t="s">
        <v>505</v>
      </c>
      <c r="Q629" t="s">
        <v>1045</v>
      </c>
      <c r="R629" s="1">
        <v>46212</v>
      </c>
      <c r="S629" t="s">
        <v>507</v>
      </c>
      <c r="T629" t="s">
        <v>508</v>
      </c>
      <c r="U629" t="s">
        <v>509</v>
      </c>
      <c r="V629" t="s">
        <v>66</v>
      </c>
      <c r="W629" t="s">
        <v>66</v>
      </c>
      <c r="X629">
        <v>2113848</v>
      </c>
      <c r="Y629">
        <v>232523.28</v>
      </c>
      <c r="Z629">
        <v>616572</v>
      </c>
      <c r="AA629">
        <v>67822.92</v>
      </c>
      <c r="AB629">
        <v>2346371.2799999998</v>
      </c>
      <c r="AC629">
        <v>3</v>
      </c>
      <c r="AD629" t="s">
        <v>134</v>
      </c>
      <c r="AE629">
        <v>36</v>
      </c>
      <c r="AF629" t="s">
        <v>359</v>
      </c>
      <c r="AG629">
        <f>IFERROR(VLOOKUP(AF629,[1]STOK!J:O,6,0),"")</f>
        <v>12</v>
      </c>
      <c r="AH629" s="2">
        <f t="shared" si="18"/>
        <v>3</v>
      </c>
      <c r="AI629" t="s">
        <v>359</v>
      </c>
      <c r="AJ629" t="s">
        <v>360</v>
      </c>
      <c r="AK629" t="s">
        <v>361</v>
      </c>
      <c r="AL629" t="s">
        <v>86</v>
      </c>
      <c r="AM629">
        <v>230436</v>
      </c>
      <c r="AN629">
        <f t="shared" si="19"/>
        <v>228131.64</v>
      </c>
      <c r="AO629" t="s">
        <v>66</v>
      </c>
      <c r="AP629">
        <v>1</v>
      </c>
      <c r="AQ629" t="s">
        <v>66</v>
      </c>
      <c r="AR629">
        <v>0</v>
      </c>
      <c r="AS629" t="s">
        <v>66</v>
      </c>
      <c r="AT629">
        <v>0</v>
      </c>
      <c r="AU629" t="s">
        <v>66</v>
      </c>
      <c r="AV629">
        <v>0</v>
      </c>
      <c r="AW629" t="s">
        <v>66</v>
      </c>
      <c r="AX629">
        <v>0</v>
      </c>
      <c r="AY629" t="s">
        <v>66</v>
      </c>
      <c r="AZ629">
        <v>0</v>
      </c>
      <c r="BA629" t="s">
        <v>66</v>
      </c>
      <c r="BB629">
        <v>0</v>
      </c>
      <c r="BC629">
        <v>0</v>
      </c>
      <c r="BD629">
        <v>684394.92</v>
      </c>
      <c r="BE629">
        <v>15607.61</v>
      </c>
      <c r="BF629">
        <v>0</v>
      </c>
      <c r="BG629" t="s">
        <v>87</v>
      </c>
      <c r="BH629" t="s">
        <v>66</v>
      </c>
      <c r="BI629">
        <v>0</v>
      </c>
      <c r="BJ629" t="s">
        <v>66</v>
      </c>
      <c r="BK629" t="s">
        <v>88</v>
      </c>
      <c r="BL629" t="s">
        <v>66</v>
      </c>
      <c r="BM629" t="s">
        <v>159</v>
      </c>
    </row>
    <row r="630" spans="1:65" x14ac:dyDescent="0.25">
      <c r="A630">
        <v>628</v>
      </c>
      <c r="B630" t="s">
        <v>1043</v>
      </c>
      <c r="C630" t="s">
        <v>68</v>
      </c>
      <c r="D630" s="1">
        <v>46211</v>
      </c>
      <c r="E630" t="s">
        <v>1044</v>
      </c>
      <c r="F630" t="s">
        <v>68</v>
      </c>
      <c r="G630" t="s">
        <v>295</v>
      </c>
      <c r="H630" t="s">
        <v>296</v>
      </c>
      <c r="I630" t="s">
        <v>71</v>
      </c>
      <c r="J630" t="s">
        <v>72</v>
      </c>
      <c r="K630" t="s">
        <v>73</v>
      </c>
      <c r="L630" t="s">
        <v>74</v>
      </c>
      <c r="M630" t="s">
        <v>503</v>
      </c>
      <c r="N630" t="s">
        <v>111</v>
      </c>
      <c r="O630" t="s">
        <v>504</v>
      </c>
      <c r="P630" t="s">
        <v>505</v>
      </c>
      <c r="Q630" t="s">
        <v>1045</v>
      </c>
      <c r="R630" s="1">
        <v>46212</v>
      </c>
      <c r="S630" t="s">
        <v>507</v>
      </c>
      <c r="T630" t="s">
        <v>508</v>
      </c>
      <c r="U630" t="s">
        <v>509</v>
      </c>
      <c r="V630" t="s">
        <v>66</v>
      </c>
      <c r="W630" t="s">
        <v>66</v>
      </c>
      <c r="X630">
        <v>2113848</v>
      </c>
      <c r="Y630">
        <v>232523.28</v>
      </c>
      <c r="Z630">
        <v>237600</v>
      </c>
      <c r="AA630">
        <v>26136</v>
      </c>
      <c r="AB630">
        <v>2346371.2799999998</v>
      </c>
      <c r="AC630">
        <v>1</v>
      </c>
      <c r="AD630" t="s">
        <v>134</v>
      </c>
      <c r="AE630">
        <v>12</v>
      </c>
      <c r="AF630" t="s">
        <v>290</v>
      </c>
      <c r="AG630">
        <f>IFERROR(VLOOKUP(AF630,[1]STOK!J:O,6,0),"")</f>
        <v>12</v>
      </c>
      <c r="AH630" s="2">
        <f t="shared" si="18"/>
        <v>1</v>
      </c>
      <c r="AI630" t="s">
        <v>290</v>
      </c>
      <c r="AJ630" t="s">
        <v>291</v>
      </c>
      <c r="AK630" t="s">
        <v>292</v>
      </c>
      <c r="AL630" t="s">
        <v>86</v>
      </c>
      <c r="AM630">
        <v>266400</v>
      </c>
      <c r="AN630">
        <f t="shared" si="19"/>
        <v>263736</v>
      </c>
      <c r="AO630" t="s">
        <v>66</v>
      </c>
      <c r="AP630">
        <v>1</v>
      </c>
      <c r="AQ630" t="s">
        <v>66</v>
      </c>
      <c r="AR630">
        <v>0</v>
      </c>
      <c r="AS630" t="s">
        <v>66</v>
      </c>
      <c r="AT630">
        <v>0</v>
      </c>
      <c r="AU630" t="s">
        <v>66</v>
      </c>
      <c r="AV630">
        <v>0</v>
      </c>
      <c r="AW630" t="s">
        <v>66</v>
      </c>
      <c r="AX630">
        <v>0</v>
      </c>
      <c r="AY630" t="s">
        <v>66</v>
      </c>
      <c r="AZ630">
        <v>0</v>
      </c>
      <c r="BA630" t="s">
        <v>66</v>
      </c>
      <c r="BB630">
        <v>0</v>
      </c>
      <c r="BC630">
        <v>0</v>
      </c>
      <c r="BD630">
        <v>263736</v>
      </c>
      <c r="BE630">
        <v>18106.89</v>
      </c>
      <c r="BF630">
        <v>0</v>
      </c>
      <c r="BG630" t="s">
        <v>87</v>
      </c>
      <c r="BH630" t="s">
        <v>66</v>
      </c>
      <c r="BI630">
        <v>0</v>
      </c>
      <c r="BJ630" t="s">
        <v>66</v>
      </c>
      <c r="BK630" t="s">
        <v>88</v>
      </c>
      <c r="BL630" t="s">
        <v>66</v>
      </c>
      <c r="BM630" t="s">
        <v>159</v>
      </c>
    </row>
    <row r="631" spans="1:65" x14ac:dyDescent="0.25">
      <c r="A631">
        <v>629</v>
      </c>
      <c r="B631" t="s">
        <v>1052</v>
      </c>
      <c r="C631" t="s">
        <v>68</v>
      </c>
      <c r="D631" s="1">
        <v>46211</v>
      </c>
      <c r="E631" t="s">
        <v>1053</v>
      </c>
      <c r="F631" t="s">
        <v>68</v>
      </c>
      <c r="G631" t="s">
        <v>69</v>
      </c>
      <c r="H631" t="s">
        <v>70</v>
      </c>
      <c r="I631" t="s">
        <v>71</v>
      </c>
      <c r="J631" t="s">
        <v>72</v>
      </c>
      <c r="K631" t="s">
        <v>73</v>
      </c>
      <c r="L631" t="s">
        <v>74</v>
      </c>
      <c r="M631" t="s">
        <v>1054</v>
      </c>
      <c r="N631" t="s">
        <v>76</v>
      </c>
      <c r="O631" t="s">
        <v>1055</v>
      </c>
      <c r="P631" t="s">
        <v>1056</v>
      </c>
      <c r="Q631" t="s">
        <v>1057</v>
      </c>
      <c r="R631" s="1">
        <v>46214</v>
      </c>
      <c r="S631" t="s">
        <v>278</v>
      </c>
      <c r="T631" t="s">
        <v>279</v>
      </c>
      <c r="U631" t="s">
        <v>280</v>
      </c>
      <c r="V631" t="s">
        <v>66</v>
      </c>
      <c r="W631" t="s">
        <v>66</v>
      </c>
      <c r="X631">
        <v>3863170</v>
      </c>
      <c r="Y631">
        <v>424948.7</v>
      </c>
      <c r="Z631">
        <v>390060</v>
      </c>
      <c r="AA631">
        <v>42906.6</v>
      </c>
      <c r="AB631">
        <v>4288118.7</v>
      </c>
      <c r="AC631">
        <v>1</v>
      </c>
      <c r="AD631" t="s">
        <v>134</v>
      </c>
      <c r="AE631">
        <v>24</v>
      </c>
      <c r="AF631" t="s">
        <v>96</v>
      </c>
      <c r="AG631">
        <f>IFERROR(VLOOKUP(AF631,[1]STOK!J:O,6,0),"")</f>
        <v>24</v>
      </c>
      <c r="AH631" s="2">
        <f t="shared" si="18"/>
        <v>1</v>
      </c>
      <c r="AI631" t="s">
        <v>96</v>
      </c>
      <c r="AJ631" t="s">
        <v>97</v>
      </c>
      <c r="AK631" t="s">
        <v>98</v>
      </c>
      <c r="AL631" t="s">
        <v>86</v>
      </c>
      <c r="AM631">
        <v>439560</v>
      </c>
      <c r="AN631">
        <f t="shared" si="19"/>
        <v>432966.6</v>
      </c>
      <c r="AO631" t="s">
        <v>66</v>
      </c>
      <c r="AP631">
        <v>1.5</v>
      </c>
      <c r="AQ631" t="s">
        <v>66</v>
      </c>
      <c r="AR631">
        <v>0</v>
      </c>
      <c r="AS631" t="s">
        <v>66</v>
      </c>
      <c r="AT631">
        <v>0</v>
      </c>
      <c r="AU631" t="s">
        <v>66</v>
      </c>
      <c r="AV631">
        <v>0</v>
      </c>
      <c r="AW631" t="s">
        <v>66</v>
      </c>
      <c r="AX631">
        <v>0</v>
      </c>
      <c r="AY631" t="s">
        <v>66</v>
      </c>
      <c r="AZ631">
        <v>0</v>
      </c>
      <c r="BA631" t="s">
        <v>66</v>
      </c>
      <c r="BB631">
        <v>0</v>
      </c>
      <c r="BC631">
        <v>0</v>
      </c>
      <c r="BD631">
        <v>432966.6</v>
      </c>
      <c r="BE631">
        <v>14932.85</v>
      </c>
      <c r="BF631">
        <v>0</v>
      </c>
      <c r="BG631" t="s">
        <v>87</v>
      </c>
      <c r="BH631" t="s">
        <v>66</v>
      </c>
      <c r="BI631">
        <v>0</v>
      </c>
      <c r="BJ631" t="s">
        <v>66</v>
      </c>
      <c r="BK631" t="s">
        <v>88</v>
      </c>
      <c r="BL631" t="s">
        <v>66</v>
      </c>
      <c r="BM631" t="s">
        <v>159</v>
      </c>
    </row>
    <row r="632" spans="1:65" x14ac:dyDescent="0.25">
      <c r="A632">
        <v>630</v>
      </c>
      <c r="B632" t="s">
        <v>1052</v>
      </c>
      <c r="C632" t="s">
        <v>68</v>
      </c>
      <c r="D632" s="1">
        <v>46211</v>
      </c>
      <c r="E632" t="s">
        <v>1053</v>
      </c>
      <c r="F632" t="s">
        <v>68</v>
      </c>
      <c r="G632" t="s">
        <v>69</v>
      </c>
      <c r="H632" t="s">
        <v>70</v>
      </c>
      <c r="I632" t="s">
        <v>71</v>
      </c>
      <c r="J632" t="s">
        <v>72</v>
      </c>
      <c r="K632" t="s">
        <v>73</v>
      </c>
      <c r="L632" t="s">
        <v>74</v>
      </c>
      <c r="M632" t="s">
        <v>1054</v>
      </c>
      <c r="N632" t="s">
        <v>76</v>
      </c>
      <c r="O632" t="s">
        <v>1055</v>
      </c>
      <c r="P632" t="s">
        <v>1056</v>
      </c>
      <c r="Q632" t="s">
        <v>1057</v>
      </c>
      <c r="R632" s="1">
        <v>46214</v>
      </c>
      <c r="S632" t="s">
        <v>278</v>
      </c>
      <c r="T632" t="s">
        <v>279</v>
      </c>
      <c r="U632" t="s">
        <v>280</v>
      </c>
      <c r="V632" t="s">
        <v>66</v>
      </c>
      <c r="W632" t="s">
        <v>66</v>
      </c>
      <c r="X632">
        <v>3863170</v>
      </c>
      <c r="Y632">
        <v>424948.7</v>
      </c>
      <c r="Z632">
        <v>509836</v>
      </c>
      <c r="AA632">
        <v>56081.96</v>
      </c>
      <c r="AB632">
        <v>4288118.7</v>
      </c>
      <c r="AC632">
        <v>1</v>
      </c>
      <c r="AD632" t="s">
        <v>134</v>
      </c>
      <c r="AE632">
        <v>4</v>
      </c>
      <c r="AF632" t="s">
        <v>522</v>
      </c>
      <c r="AG632">
        <f>IFERROR(VLOOKUP(AF632,[1]STOK!J:O,6,0),"")</f>
        <v>4</v>
      </c>
      <c r="AH632" s="2">
        <f t="shared" si="18"/>
        <v>1</v>
      </c>
      <c r="AI632" t="s">
        <v>522</v>
      </c>
      <c r="AJ632" t="s">
        <v>523</v>
      </c>
      <c r="AK632" t="s">
        <v>524</v>
      </c>
      <c r="AL632" t="s">
        <v>86</v>
      </c>
      <c r="AM632">
        <v>574536</v>
      </c>
      <c r="AN632">
        <f t="shared" si="19"/>
        <v>565917.96</v>
      </c>
      <c r="AO632" t="s">
        <v>66</v>
      </c>
      <c r="AP632">
        <v>1.5</v>
      </c>
      <c r="AQ632" t="s">
        <v>66</v>
      </c>
      <c r="AR632">
        <v>0</v>
      </c>
      <c r="AS632" t="s">
        <v>66</v>
      </c>
      <c r="AT632">
        <v>0</v>
      </c>
      <c r="AU632" t="s">
        <v>66</v>
      </c>
      <c r="AV632">
        <v>0</v>
      </c>
      <c r="AW632" t="s">
        <v>66</v>
      </c>
      <c r="AX632">
        <v>0</v>
      </c>
      <c r="AY632" t="s">
        <v>66</v>
      </c>
      <c r="AZ632">
        <v>0</v>
      </c>
      <c r="BA632" t="s">
        <v>66</v>
      </c>
      <c r="BB632">
        <v>0</v>
      </c>
      <c r="BC632">
        <v>0</v>
      </c>
      <c r="BD632">
        <v>565917.96</v>
      </c>
      <c r="BE632">
        <v>113711.67999999999</v>
      </c>
      <c r="BF632">
        <v>0</v>
      </c>
      <c r="BG632" t="s">
        <v>87</v>
      </c>
      <c r="BH632" t="s">
        <v>66</v>
      </c>
      <c r="BI632">
        <v>0</v>
      </c>
      <c r="BJ632" t="s">
        <v>66</v>
      </c>
      <c r="BK632" t="s">
        <v>88</v>
      </c>
      <c r="BL632" t="s">
        <v>66</v>
      </c>
      <c r="BM632" t="s">
        <v>159</v>
      </c>
    </row>
    <row r="633" spans="1:65" x14ac:dyDescent="0.25">
      <c r="A633">
        <v>631</v>
      </c>
      <c r="B633" t="s">
        <v>1052</v>
      </c>
      <c r="C633" t="s">
        <v>68</v>
      </c>
      <c r="D633" s="1">
        <v>46211</v>
      </c>
      <c r="E633" t="s">
        <v>1053</v>
      </c>
      <c r="F633" t="s">
        <v>68</v>
      </c>
      <c r="G633" t="s">
        <v>69</v>
      </c>
      <c r="H633" t="s">
        <v>70</v>
      </c>
      <c r="I633" t="s">
        <v>71</v>
      </c>
      <c r="J633" t="s">
        <v>72</v>
      </c>
      <c r="K633" t="s">
        <v>73</v>
      </c>
      <c r="L633" t="s">
        <v>74</v>
      </c>
      <c r="M633" t="s">
        <v>1054</v>
      </c>
      <c r="N633" t="s">
        <v>76</v>
      </c>
      <c r="O633" t="s">
        <v>1055</v>
      </c>
      <c r="P633" t="s">
        <v>1056</v>
      </c>
      <c r="Q633" t="s">
        <v>1057</v>
      </c>
      <c r="R633" s="1">
        <v>46214</v>
      </c>
      <c r="S633" t="s">
        <v>278</v>
      </c>
      <c r="T633" t="s">
        <v>279</v>
      </c>
      <c r="U633" t="s">
        <v>280</v>
      </c>
      <c r="V633" t="s">
        <v>66</v>
      </c>
      <c r="W633" t="s">
        <v>66</v>
      </c>
      <c r="X633">
        <v>3863170</v>
      </c>
      <c r="Y633">
        <v>424948.7</v>
      </c>
      <c r="Z633">
        <v>458616</v>
      </c>
      <c r="AA633">
        <v>50447.76</v>
      </c>
      <c r="AB633">
        <v>4288118.7</v>
      </c>
      <c r="AC633">
        <v>1</v>
      </c>
      <c r="AD633" t="s">
        <v>134</v>
      </c>
      <c r="AE633">
        <v>24</v>
      </c>
      <c r="AF633" t="s">
        <v>467</v>
      </c>
      <c r="AG633">
        <f>IFERROR(VLOOKUP(AF633,[1]STOK!J:O,6,0),"")</f>
        <v>24</v>
      </c>
      <c r="AH633" s="2">
        <f t="shared" si="18"/>
        <v>1</v>
      </c>
      <c r="AI633" t="s">
        <v>467</v>
      </c>
      <c r="AJ633" t="s">
        <v>468</v>
      </c>
      <c r="AK633" t="s">
        <v>469</v>
      </c>
      <c r="AL633" t="s">
        <v>86</v>
      </c>
      <c r="AM633">
        <v>516816</v>
      </c>
      <c r="AN633">
        <f t="shared" si="19"/>
        <v>509063.76</v>
      </c>
      <c r="AO633" t="s">
        <v>66</v>
      </c>
      <c r="AP633">
        <v>1.5</v>
      </c>
      <c r="AQ633" t="s">
        <v>66</v>
      </c>
      <c r="AR633">
        <v>0</v>
      </c>
      <c r="AS633" t="s">
        <v>66</v>
      </c>
      <c r="AT633">
        <v>0</v>
      </c>
      <c r="AU633" t="s">
        <v>66</v>
      </c>
      <c r="AV633">
        <v>0</v>
      </c>
      <c r="AW633" t="s">
        <v>66</v>
      </c>
      <c r="AX633">
        <v>0</v>
      </c>
      <c r="AY633" t="s">
        <v>66</v>
      </c>
      <c r="AZ633">
        <v>0</v>
      </c>
      <c r="BA633" t="s">
        <v>66</v>
      </c>
      <c r="BB633">
        <v>0</v>
      </c>
      <c r="BC633">
        <v>0</v>
      </c>
      <c r="BD633">
        <v>509063.76</v>
      </c>
      <c r="BE633">
        <v>17318.07</v>
      </c>
      <c r="BF633">
        <v>0</v>
      </c>
      <c r="BG633" t="s">
        <v>87</v>
      </c>
      <c r="BH633" t="s">
        <v>66</v>
      </c>
      <c r="BI633">
        <v>0</v>
      </c>
      <c r="BJ633" t="s">
        <v>66</v>
      </c>
      <c r="BK633" t="s">
        <v>88</v>
      </c>
      <c r="BL633" t="s">
        <v>66</v>
      </c>
      <c r="BM633" t="s">
        <v>159</v>
      </c>
    </row>
    <row r="634" spans="1:65" x14ac:dyDescent="0.25">
      <c r="A634">
        <v>632</v>
      </c>
      <c r="B634" t="s">
        <v>1052</v>
      </c>
      <c r="C634" t="s">
        <v>68</v>
      </c>
      <c r="D634" s="1">
        <v>46211</v>
      </c>
      <c r="E634" t="s">
        <v>1053</v>
      </c>
      <c r="F634" t="s">
        <v>68</v>
      </c>
      <c r="G634" t="s">
        <v>69</v>
      </c>
      <c r="H634" t="s">
        <v>70</v>
      </c>
      <c r="I634" t="s">
        <v>71</v>
      </c>
      <c r="J634" t="s">
        <v>72</v>
      </c>
      <c r="K634" t="s">
        <v>73</v>
      </c>
      <c r="L634" t="s">
        <v>74</v>
      </c>
      <c r="M634" t="s">
        <v>1054</v>
      </c>
      <c r="N634" t="s">
        <v>76</v>
      </c>
      <c r="O634" t="s">
        <v>1055</v>
      </c>
      <c r="P634" t="s">
        <v>1056</v>
      </c>
      <c r="Q634" t="s">
        <v>1057</v>
      </c>
      <c r="R634" s="1">
        <v>46214</v>
      </c>
      <c r="S634" t="s">
        <v>278</v>
      </c>
      <c r="T634" t="s">
        <v>279</v>
      </c>
      <c r="U634" t="s">
        <v>280</v>
      </c>
      <c r="V634" t="s">
        <v>66</v>
      </c>
      <c r="W634" t="s">
        <v>66</v>
      </c>
      <c r="X634">
        <v>3863170</v>
      </c>
      <c r="Y634">
        <v>424948.7</v>
      </c>
      <c r="Z634">
        <v>458616</v>
      </c>
      <c r="AA634">
        <v>50447.76</v>
      </c>
      <c r="AB634">
        <v>4288118.7</v>
      </c>
      <c r="AC634">
        <v>1</v>
      </c>
      <c r="AD634" t="s">
        <v>134</v>
      </c>
      <c r="AE634">
        <v>24</v>
      </c>
      <c r="AF634" t="s">
        <v>281</v>
      </c>
      <c r="AG634">
        <f>IFERROR(VLOOKUP(AF634,[1]STOK!J:O,6,0),"")</f>
        <v>24</v>
      </c>
      <c r="AH634" s="2">
        <f t="shared" si="18"/>
        <v>1</v>
      </c>
      <c r="AI634" t="s">
        <v>281</v>
      </c>
      <c r="AJ634" t="s">
        <v>282</v>
      </c>
      <c r="AK634" t="s">
        <v>283</v>
      </c>
      <c r="AL634" t="s">
        <v>86</v>
      </c>
      <c r="AM634">
        <v>516816</v>
      </c>
      <c r="AN634">
        <f t="shared" si="19"/>
        <v>509063.76</v>
      </c>
      <c r="AO634" t="s">
        <v>66</v>
      </c>
      <c r="AP634">
        <v>1.5</v>
      </c>
      <c r="AQ634" t="s">
        <v>66</v>
      </c>
      <c r="AR634">
        <v>0</v>
      </c>
      <c r="AS634" t="s">
        <v>66</v>
      </c>
      <c r="AT634">
        <v>0</v>
      </c>
      <c r="AU634" t="s">
        <v>66</v>
      </c>
      <c r="AV634">
        <v>0</v>
      </c>
      <c r="AW634" t="s">
        <v>66</v>
      </c>
      <c r="AX634">
        <v>0</v>
      </c>
      <c r="AY634" t="s">
        <v>66</v>
      </c>
      <c r="AZ634">
        <v>0</v>
      </c>
      <c r="BA634" t="s">
        <v>66</v>
      </c>
      <c r="BB634">
        <v>0</v>
      </c>
      <c r="BC634">
        <v>0</v>
      </c>
      <c r="BD634">
        <v>509063.76</v>
      </c>
      <c r="BE634">
        <v>17290.14</v>
      </c>
      <c r="BF634">
        <v>0</v>
      </c>
      <c r="BG634" t="s">
        <v>87</v>
      </c>
      <c r="BH634" t="s">
        <v>66</v>
      </c>
      <c r="BI634">
        <v>0</v>
      </c>
      <c r="BJ634" t="s">
        <v>66</v>
      </c>
      <c r="BK634" t="s">
        <v>88</v>
      </c>
      <c r="BL634" t="s">
        <v>66</v>
      </c>
      <c r="BM634" t="s">
        <v>159</v>
      </c>
    </row>
    <row r="635" spans="1:65" x14ac:dyDescent="0.25">
      <c r="A635">
        <v>633</v>
      </c>
      <c r="B635" t="s">
        <v>1052</v>
      </c>
      <c r="C635" t="s">
        <v>68</v>
      </c>
      <c r="D635" s="1">
        <v>46211</v>
      </c>
      <c r="E635" t="s">
        <v>1053</v>
      </c>
      <c r="F635" t="s">
        <v>68</v>
      </c>
      <c r="G635" t="s">
        <v>69</v>
      </c>
      <c r="H635" t="s">
        <v>70</v>
      </c>
      <c r="I635" t="s">
        <v>71</v>
      </c>
      <c r="J635" t="s">
        <v>72</v>
      </c>
      <c r="K635" t="s">
        <v>73</v>
      </c>
      <c r="L635" t="s">
        <v>74</v>
      </c>
      <c r="M635" t="s">
        <v>1054</v>
      </c>
      <c r="N635" t="s">
        <v>76</v>
      </c>
      <c r="O635" t="s">
        <v>1055</v>
      </c>
      <c r="P635" t="s">
        <v>1056</v>
      </c>
      <c r="Q635" t="s">
        <v>1057</v>
      </c>
      <c r="R635" s="1">
        <v>46214</v>
      </c>
      <c r="S635" t="s">
        <v>278</v>
      </c>
      <c r="T635" t="s">
        <v>279</v>
      </c>
      <c r="U635" t="s">
        <v>280</v>
      </c>
      <c r="V635" t="s">
        <v>66</v>
      </c>
      <c r="W635" t="s">
        <v>66</v>
      </c>
      <c r="X635">
        <v>3863170</v>
      </c>
      <c r="Y635">
        <v>424948.7</v>
      </c>
      <c r="Z635">
        <v>229308</v>
      </c>
      <c r="AA635">
        <v>25223.88</v>
      </c>
      <c r="AB635">
        <v>4288118.7</v>
      </c>
      <c r="AC635">
        <v>1</v>
      </c>
      <c r="AD635" t="s">
        <v>134</v>
      </c>
      <c r="AE635">
        <v>12</v>
      </c>
      <c r="AF635" t="s">
        <v>284</v>
      </c>
      <c r="AG635">
        <f>IFERROR(VLOOKUP(AF635,[1]STOK!J:O,6,0),"")</f>
        <v>12</v>
      </c>
      <c r="AH635" s="2">
        <f t="shared" si="18"/>
        <v>1</v>
      </c>
      <c r="AI635" t="s">
        <v>284</v>
      </c>
      <c r="AJ635" t="s">
        <v>285</v>
      </c>
      <c r="AK635" t="s">
        <v>286</v>
      </c>
      <c r="AL635" t="s">
        <v>86</v>
      </c>
      <c r="AM635">
        <v>258408</v>
      </c>
      <c r="AN635">
        <f t="shared" si="19"/>
        <v>254531.88</v>
      </c>
      <c r="AO635" t="s">
        <v>66</v>
      </c>
      <c r="AP635">
        <v>1.5</v>
      </c>
      <c r="AQ635" t="s">
        <v>66</v>
      </c>
      <c r="AR635">
        <v>0</v>
      </c>
      <c r="AS635" t="s">
        <v>66</v>
      </c>
      <c r="AT635">
        <v>0</v>
      </c>
      <c r="AU635" t="s">
        <v>66</v>
      </c>
      <c r="AV635">
        <v>0</v>
      </c>
      <c r="AW635" t="s">
        <v>66</v>
      </c>
      <c r="AX635">
        <v>0</v>
      </c>
      <c r="AY635" t="s">
        <v>66</v>
      </c>
      <c r="AZ635">
        <v>0</v>
      </c>
      <c r="BA635" t="s">
        <v>66</v>
      </c>
      <c r="BB635">
        <v>0</v>
      </c>
      <c r="BC635">
        <v>0</v>
      </c>
      <c r="BD635">
        <v>254531.88</v>
      </c>
      <c r="BE635">
        <v>17371.36</v>
      </c>
      <c r="BF635">
        <v>0</v>
      </c>
      <c r="BG635" t="s">
        <v>87</v>
      </c>
      <c r="BH635" t="s">
        <v>66</v>
      </c>
      <c r="BI635">
        <v>0</v>
      </c>
      <c r="BJ635" t="s">
        <v>66</v>
      </c>
      <c r="BK635" t="s">
        <v>88</v>
      </c>
      <c r="BL635" t="s">
        <v>66</v>
      </c>
      <c r="BM635" t="s">
        <v>159</v>
      </c>
    </row>
    <row r="636" spans="1:65" x14ac:dyDescent="0.25">
      <c r="A636">
        <v>634</v>
      </c>
      <c r="B636" t="s">
        <v>1052</v>
      </c>
      <c r="C636" t="s">
        <v>68</v>
      </c>
      <c r="D636" s="1">
        <v>46211</v>
      </c>
      <c r="E636" t="s">
        <v>1053</v>
      </c>
      <c r="F636" t="s">
        <v>68</v>
      </c>
      <c r="G636" t="s">
        <v>69</v>
      </c>
      <c r="H636" t="s">
        <v>70</v>
      </c>
      <c r="I636" t="s">
        <v>71</v>
      </c>
      <c r="J636" t="s">
        <v>72</v>
      </c>
      <c r="K636" t="s">
        <v>73</v>
      </c>
      <c r="L636" t="s">
        <v>74</v>
      </c>
      <c r="M636" t="s">
        <v>1054</v>
      </c>
      <c r="N636" t="s">
        <v>76</v>
      </c>
      <c r="O636" t="s">
        <v>1055</v>
      </c>
      <c r="P636" t="s">
        <v>1056</v>
      </c>
      <c r="Q636" t="s">
        <v>1057</v>
      </c>
      <c r="R636" s="1">
        <v>46214</v>
      </c>
      <c r="S636" t="s">
        <v>278</v>
      </c>
      <c r="T636" t="s">
        <v>279</v>
      </c>
      <c r="U636" t="s">
        <v>280</v>
      </c>
      <c r="V636" t="s">
        <v>66</v>
      </c>
      <c r="W636" t="s">
        <v>66</v>
      </c>
      <c r="X636">
        <v>3863170</v>
      </c>
      <c r="Y636">
        <v>424948.7</v>
      </c>
      <c r="Z636">
        <v>229308</v>
      </c>
      <c r="AA636">
        <v>25223.88</v>
      </c>
      <c r="AB636">
        <v>4288118.7</v>
      </c>
      <c r="AC636">
        <v>1</v>
      </c>
      <c r="AD636" t="s">
        <v>134</v>
      </c>
      <c r="AE636">
        <v>12</v>
      </c>
      <c r="AF636" t="s">
        <v>287</v>
      </c>
      <c r="AG636">
        <f>IFERROR(VLOOKUP(AF636,[1]STOK!J:O,6,0),"")</f>
        <v>12</v>
      </c>
      <c r="AH636" s="2">
        <f t="shared" si="18"/>
        <v>1</v>
      </c>
      <c r="AI636" t="s">
        <v>287</v>
      </c>
      <c r="AJ636" t="s">
        <v>288</v>
      </c>
      <c r="AK636" t="s">
        <v>289</v>
      </c>
      <c r="AL636" t="s">
        <v>86</v>
      </c>
      <c r="AM636">
        <v>258408</v>
      </c>
      <c r="AN636">
        <f t="shared" si="19"/>
        <v>254531.88</v>
      </c>
      <c r="AO636" t="s">
        <v>66</v>
      </c>
      <c r="AP636">
        <v>1.5</v>
      </c>
      <c r="AQ636" t="s">
        <v>66</v>
      </c>
      <c r="AR636">
        <v>0</v>
      </c>
      <c r="AS636" t="s">
        <v>66</v>
      </c>
      <c r="AT636">
        <v>0</v>
      </c>
      <c r="AU636" t="s">
        <v>66</v>
      </c>
      <c r="AV636">
        <v>0</v>
      </c>
      <c r="AW636" t="s">
        <v>66</v>
      </c>
      <c r="AX636">
        <v>0</v>
      </c>
      <c r="AY636" t="s">
        <v>66</v>
      </c>
      <c r="AZ636">
        <v>0</v>
      </c>
      <c r="BA636" t="s">
        <v>66</v>
      </c>
      <c r="BB636">
        <v>0</v>
      </c>
      <c r="BC636">
        <v>0</v>
      </c>
      <c r="BD636">
        <v>254531.88</v>
      </c>
      <c r="BE636">
        <v>17422.02</v>
      </c>
      <c r="BF636">
        <v>0</v>
      </c>
      <c r="BG636" t="s">
        <v>87</v>
      </c>
      <c r="BH636" t="s">
        <v>66</v>
      </c>
      <c r="BI636">
        <v>0</v>
      </c>
      <c r="BJ636" t="s">
        <v>66</v>
      </c>
      <c r="BK636" t="s">
        <v>88</v>
      </c>
      <c r="BL636" t="s">
        <v>66</v>
      </c>
      <c r="BM636" t="s">
        <v>159</v>
      </c>
    </row>
    <row r="637" spans="1:65" x14ac:dyDescent="0.25">
      <c r="A637">
        <v>635</v>
      </c>
      <c r="B637" t="s">
        <v>1052</v>
      </c>
      <c r="C637" t="s">
        <v>68</v>
      </c>
      <c r="D637" s="1">
        <v>46211</v>
      </c>
      <c r="E637" t="s">
        <v>1053</v>
      </c>
      <c r="F637" t="s">
        <v>68</v>
      </c>
      <c r="G637" t="s">
        <v>69</v>
      </c>
      <c r="H637" t="s">
        <v>70</v>
      </c>
      <c r="I637" t="s">
        <v>71</v>
      </c>
      <c r="J637" t="s">
        <v>72</v>
      </c>
      <c r="K637" t="s">
        <v>73</v>
      </c>
      <c r="L637" t="s">
        <v>74</v>
      </c>
      <c r="M637" t="s">
        <v>1054</v>
      </c>
      <c r="N637" t="s">
        <v>76</v>
      </c>
      <c r="O637" t="s">
        <v>1055</v>
      </c>
      <c r="P637" t="s">
        <v>1056</v>
      </c>
      <c r="Q637" t="s">
        <v>1057</v>
      </c>
      <c r="R637" s="1">
        <v>46214</v>
      </c>
      <c r="S637" t="s">
        <v>278</v>
      </c>
      <c r="T637" t="s">
        <v>279</v>
      </c>
      <c r="U637" t="s">
        <v>280</v>
      </c>
      <c r="V637" t="s">
        <v>66</v>
      </c>
      <c r="W637" t="s">
        <v>66</v>
      </c>
      <c r="X637">
        <v>3863170</v>
      </c>
      <c r="Y637">
        <v>424948.7</v>
      </c>
      <c r="Z637">
        <v>126474</v>
      </c>
      <c r="AA637">
        <v>13912.14</v>
      </c>
      <c r="AB637">
        <v>4288118.7</v>
      </c>
      <c r="AC637">
        <v>12</v>
      </c>
      <c r="AD637" t="s">
        <v>82</v>
      </c>
      <c r="AE637">
        <v>12</v>
      </c>
      <c r="AF637" t="s">
        <v>578</v>
      </c>
      <c r="AG637">
        <f>IFERROR(VLOOKUP(AF637,[1]STOK!J:O,6,0),"")</f>
        <v>12</v>
      </c>
      <c r="AH637" s="2">
        <f t="shared" si="18"/>
        <v>1</v>
      </c>
      <c r="AI637" t="s">
        <v>578</v>
      </c>
      <c r="AJ637" t="s">
        <v>579</v>
      </c>
      <c r="AK637" t="s">
        <v>580</v>
      </c>
      <c r="AL637" t="s">
        <v>86</v>
      </c>
      <c r="AM637">
        <v>11877</v>
      </c>
      <c r="AN637">
        <f t="shared" si="19"/>
        <v>11698.845000000001</v>
      </c>
      <c r="AO637" t="s">
        <v>66</v>
      </c>
      <c r="AP637">
        <v>1.5</v>
      </c>
      <c r="AQ637" t="s">
        <v>66</v>
      </c>
      <c r="AR637">
        <v>0</v>
      </c>
      <c r="AS637" t="s">
        <v>66</v>
      </c>
      <c r="AT637">
        <v>0</v>
      </c>
      <c r="AU637" t="s">
        <v>66</v>
      </c>
      <c r="AV637">
        <v>0</v>
      </c>
      <c r="AW637" t="s">
        <v>66</v>
      </c>
      <c r="AX637">
        <v>0</v>
      </c>
      <c r="AY637" t="s">
        <v>66</v>
      </c>
      <c r="AZ637">
        <v>0</v>
      </c>
      <c r="BA637" t="s">
        <v>66</v>
      </c>
      <c r="BB637">
        <v>0</v>
      </c>
      <c r="BC637">
        <v>0</v>
      </c>
      <c r="BD637">
        <v>140386.14000000001</v>
      </c>
      <c r="BE637">
        <v>9646.18</v>
      </c>
      <c r="BF637">
        <v>0</v>
      </c>
      <c r="BG637" t="s">
        <v>87</v>
      </c>
      <c r="BH637" t="s">
        <v>66</v>
      </c>
      <c r="BI637">
        <v>0</v>
      </c>
      <c r="BJ637" t="s">
        <v>66</v>
      </c>
      <c r="BK637" t="s">
        <v>88</v>
      </c>
      <c r="BL637" t="s">
        <v>66</v>
      </c>
      <c r="BM637" t="s">
        <v>159</v>
      </c>
    </row>
    <row r="638" spans="1:65" x14ac:dyDescent="0.25">
      <c r="A638">
        <v>636</v>
      </c>
      <c r="B638" t="s">
        <v>1052</v>
      </c>
      <c r="C638" t="s">
        <v>68</v>
      </c>
      <c r="D638" s="1">
        <v>46211</v>
      </c>
      <c r="E638" t="s">
        <v>1053</v>
      </c>
      <c r="F638" t="s">
        <v>68</v>
      </c>
      <c r="G638" t="s">
        <v>69</v>
      </c>
      <c r="H638" t="s">
        <v>70</v>
      </c>
      <c r="I638" t="s">
        <v>71</v>
      </c>
      <c r="J638" t="s">
        <v>72</v>
      </c>
      <c r="K638" t="s">
        <v>73</v>
      </c>
      <c r="L638" t="s">
        <v>74</v>
      </c>
      <c r="M638" t="s">
        <v>1054</v>
      </c>
      <c r="N638" t="s">
        <v>76</v>
      </c>
      <c r="O638" t="s">
        <v>1055</v>
      </c>
      <c r="P638" t="s">
        <v>1056</v>
      </c>
      <c r="Q638" t="s">
        <v>1057</v>
      </c>
      <c r="R638" s="1">
        <v>46214</v>
      </c>
      <c r="S638" t="s">
        <v>278</v>
      </c>
      <c r="T638" t="s">
        <v>279</v>
      </c>
      <c r="U638" t="s">
        <v>280</v>
      </c>
      <c r="V638" t="s">
        <v>66</v>
      </c>
      <c r="W638" t="s">
        <v>66</v>
      </c>
      <c r="X638">
        <v>3863170</v>
      </c>
      <c r="Y638">
        <v>424948.7</v>
      </c>
      <c r="Z638">
        <v>198576</v>
      </c>
      <c r="AA638">
        <v>21843.360000000001</v>
      </c>
      <c r="AB638">
        <v>4288118.7</v>
      </c>
      <c r="AC638">
        <v>4</v>
      </c>
      <c r="AD638" t="s">
        <v>82</v>
      </c>
      <c r="AE638">
        <v>4</v>
      </c>
      <c r="AF638" t="s">
        <v>581</v>
      </c>
      <c r="AG638">
        <f>IFERROR(VLOOKUP(AF638,[1]STOK!J:O,6,0),"")</f>
        <v>4</v>
      </c>
      <c r="AH638" s="2">
        <f t="shared" si="18"/>
        <v>1</v>
      </c>
      <c r="AI638" t="s">
        <v>581</v>
      </c>
      <c r="AJ638" t="s">
        <v>582</v>
      </c>
      <c r="AK638" t="s">
        <v>583</v>
      </c>
      <c r="AL638" t="s">
        <v>86</v>
      </c>
      <c r="AM638">
        <v>55944</v>
      </c>
      <c r="AN638">
        <f t="shared" si="19"/>
        <v>55104.84</v>
      </c>
      <c r="AO638" t="s">
        <v>66</v>
      </c>
      <c r="AP638">
        <v>1.5</v>
      </c>
      <c r="AQ638" t="s">
        <v>66</v>
      </c>
      <c r="AR638">
        <v>0</v>
      </c>
      <c r="AS638" t="s">
        <v>66</v>
      </c>
      <c r="AT638">
        <v>0</v>
      </c>
      <c r="AU638" t="s">
        <v>66</v>
      </c>
      <c r="AV638">
        <v>0</v>
      </c>
      <c r="AW638" t="s">
        <v>66</v>
      </c>
      <c r="AX638">
        <v>0</v>
      </c>
      <c r="AY638" t="s">
        <v>66</v>
      </c>
      <c r="AZ638">
        <v>0</v>
      </c>
      <c r="BA638" t="s">
        <v>66</v>
      </c>
      <c r="BB638">
        <v>0</v>
      </c>
      <c r="BC638">
        <v>0</v>
      </c>
      <c r="BD638">
        <v>220419.36</v>
      </c>
      <c r="BE638">
        <v>44249.17</v>
      </c>
      <c r="BF638">
        <v>0</v>
      </c>
      <c r="BG638" t="s">
        <v>87</v>
      </c>
      <c r="BH638" t="s">
        <v>66</v>
      </c>
      <c r="BI638">
        <v>0</v>
      </c>
      <c r="BJ638" t="s">
        <v>66</v>
      </c>
      <c r="BK638" t="s">
        <v>88</v>
      </c>
      <c r="BL638" t="s">
        <v>66</v>
      </c>
      <c r="BM638" t="s">
        <v>159</v>
      </c>
    </row>
    <row r="639" spans="1:65" x14ac:dyDescent="0.25">
      <c r="A639">
        <v>637</v>
      </c>
      <c r="B639" t="s">
        <v>1052</v>
      </c>
      <c r="C639" t="s">
        <v>68</v>
      </c>
      <c r="D639" s="1">
        <v>46211</v>
      </c>
      <c r="E639" t="s">
        <v>1053</v>
      </c>
      <c r="F639" t="s">
        <v>68</v>
      </c>
      <c r="G639" t="s">
        <v>69</v>
      </c>
      <c r="H639" t="s">
        <v>70</v>
      </c>
      <c r="I639" t="s">
        <v>71</v>
      </c>
      <c r="J639" t="s">
        <v>72</v>
      </c>
      <c r="K639" t="s">
        <v>73</v>
      </c>
      <c r="L639" t="s">
        <v>74</v>
      </c>
      <c r="M639" t="s">
        <v>1054</v>
      </c>
      <c r="N639" t="s">
        <v>76</v>
      </c>
      <c r="O639" t="s">
        <v>1055</v>
      </c>
      <c r="P639" t="s">
        <v>1056</v>
      </c>
      <c r="Q639" t="s">
        <v>1057</v>
      </c>
      <c r="R639" s="1">
        <v>46214</v>
      </c>
      <c r="S639" t="s">
        <v>278</v>
      </c>
      <c r="T639" t="s">
        <v>279</v>
      </c>
      <c r="U639" t="s">
        <v>280</v>
      </c>
      <c r="V639" t="s">
        <v>66</v>
      </c>
      <c r="W639" t="s">
        <v>66</v>
      </c>
      <c r="X639">
        <v>3863170</v>
      </c>
      <c r="Y639">
        <v>424948.7</v>
      </c>
      <c r="Z639">
        <v>198576</v>
      </c>
      <c r="AA639">
        <v>21843.360000000001</v>
      </c>
      <c r="AB639">
        <v>4288118.7</v>
      </c>
      <c r="AC639">
        <v>4</v>
      </c>
      <c r="AD639" t="s">
        <v>82</v>
      </c>
      <c r="AE639">
        <v>4</v>
      </c>
      <c r="AF639" t="s">
        <v>1058</v>
      </c>
      <c r="AG639">
        <f>IFERROR(VLOOKUP(AF639,[1]STOK!J:O,6,0),"")</f>
        <v>4</v>
      </c>
      <c r="AH639" s="2">
        <f t="shared" si="18"/>
        <v>1</v>
      </c>
      <c r="AI639" t="s">
        <v>1058</v>
      </c>
      <c r="AJ639" t="s">
        <v>1059</v>
      </c>
      <c r="AK639" t="s">
        <v>1060</v>
      </c>
      <c r="AL639" t="s">
        <v>86</v>
      </c>
      <c r="AM639">
        <v>55944</v>
      </c>
      <c r="AN639">
        <f t="shared" si="19"/>
        <v>55104.84</v>
      </c>
      <c r="AO639" t="s">
        <v>66</v>
      </c>
      <c r="AP639">
        <v>1.5</v>
      </c>
      <c r="AQ639" t="s">
        <v>66</v>
      </c>
      <c r="AR639">
        <v>0</v>
      </c>
      <c r="AS639" t="s">
        <v>66</v>
      </c>
      <c r="AT639">
        <v>0</v>
      </c>
      <c r="AU639" t="s">
        <v>66</v>
      </c>
      <c r="AV639">
        <v>0</v>
      </c>
      <c r="AW639" t="s">
        <v>66</v>
      </c>
      <c r="AX639">
        <v>0</v>
      </c>
      <c r="AY639" t="s">
        <v>66</v>
      </c>
      <c r="AZ639">
        <v>0</v>
      </c>
      <c r="BA639" t="s">
        <v>66</v>
      </c>
      <c r="BB639">
        <v>0</v>
      </c>
      <c r="BC639">
        <v>0</v>
      </c>
      <c r="BD639">
        <v>220419.36</v>
      </c>
      <c r="BE639">
        <v>45102.95</v>
      </c>
      <c r="BF639">
        <v>0</v>
      </c>
      <c r="BG639" t="s">
        <v>87</v>
      </c>
      <c r="BH639" t="s">
        <v>66</v>
      </c>
      <c r="BI639">
        <v>0</v>
      </c>
      <c r="BJ639" t="s">
        <v>66</v>
      </c>
      <c r="BK639" t="s">
        <v>88</v>
      </c>
      <c r="BL639" t="s">
        <v>66</v>
      </c>
      <c r="BM639" t="s">
        <v>159</v>
      </c>
    </row>
    <row r="640" spans="1:65" x14ac:dyDescent="0.25">
      <c r="A640">
        <v>638</v>
      </c>
      <c r="B640" t="s">
        <v>1052</v>
      </c>
      <c r="C640" t="s">
        <v>68</v>
      </c>
      <c r="D640" s="1">
        <v>46211</v>
      </c>
      <c r="E640" t="s">
        <v>1053</v>
      </c>
      <c r="F640" t="s">
        <v>68</v>
      </c>
      <c r="G640" t="s">
        <v>69</v>
      </c>
      <c r="H640" t="s">
        <v>70</v>
      </c>
      <c r="I640" t="s">
        <v>71</v>
      </c>
      <c r="J640" t="s">
        <v>72</v>
      </c>
      <c r="K640" t="s">
        <v>73</v>
      </c>
      <c r="L640" t="s">
        <v>74</v>
      </c>
      <c r="M640" t="s">
        <v>1054</v>
      </c>
      <c r="N640" t="s">
        <v>76</v>
      </c>
      <c r="O640" t="s">
        <v>1055</v>
      </c>
      <c r="P640" t="s">
        <v>1056</v>
      </c>
      <c r="Q640" t="s">
        <v>1057</v>
      </c>
      <c r="R640" s="1">
        <v>46214</v>
      </c>
      <c r="S640" t="s">
        <v>278</v>
      </c>
      <c r="T640" t="s">
        <v>279</v>
      </c>
      <c r="U640" t="s">
        <v>280</v>
      </c>
      <c r="V640" t="s">
        <v>66</v>
      </c>
      <c r="W640" t="s">
        <v>66</v>
      </c>
      <c r="X640">
        <v>3863170</v>
      </c>
      <c r="Y640">
        <v>424948.7</v>
      </c>
      <c r="Z640">
        <v>397152</v>
      </c>
      <c r="AA640">
        <v>43686.720000000001</v>
      </c>
      <c r="AB640">
        <v>4288118.7</v>
      </c>
      <c r="AC640">
        <v>8</v>
      </c>
      <c r="AD640" t="s">
        <v>82</v>
      </c>
      <c r="AE640">
        <v>8</v>
      </c>
      <c r="AF640" t="s">
        <v>622</v>
      </c>
      <c r="AG640">
        <f>IFERROR(VLOOKUP(AF640,[1]STOK!J:O,6,0),"")</f>
        <v>4</v>
      </c>
      <c r="AH640" s="2">
        <f t="shared" si="18"/>
        <v>2</v>
      </c>
      <c r="AI640" t="s">
        <v>622</v>
      </c>
      <c r="AJ640" t="s">
        <v>623</v>
      </c>
      <c r="AK640" t="s">
        <v>624</v>
      </c>
      <c r="AL640" t="s">
        <v>86</v>
      </c>
      <c r="AM640">
        <v>55944</v>
      </c>
      <c r="AN640">
        <f t="shared" si="19"/>
        <v>55104.84</v>
      </c>
      <c r="AO640" t="s">
        <v>66</v>
      </c>
      <c r="AP640">
        <v>1.5</v>
      </c>
      <c r="AQ640" t="s">
        <v>66</v>
      </c>
      <c r="AR640">
        <v>0</v>
      </c>
      <c r="AS640" t="s">
        <v>66</v>
      </c>
      <c r="AT640">
        <v>0</v>
      </c>
      <c r="AU640" t="s">
        <v>66</v>
      </c>
      <c r="AV640">
        <v>0</v>
      </c>
      <c r="AW640" t="s">
        <v>66</v>
      </c>
      <c r="AX640">
        <v>0</v>
      </c>
      <c r="AY640" t="s">
        <v>66</v>
      </c>
      <c r="AZ640">
        <v>0</v>
      </c>
      <c r="BA640" t="s">
        <v>66</v>
      </c>
      <c r="BB640">
        <v>0</v>
      </c>
      <c r="BC640">
        <v>0</v>
      </c>
      <c r="BD640">
        <v>440838.72</v>
      </c>
      <c r="BE640">
        <v>44606.559999999998</v>
      </c>
      <c r="BF640">
        <v>0</v>
      </c>
      <c r="BG640" t="s">
        <v>87</v>
      </c>
      <c r="BH640" t="s">
        <v>66</v>
      </c>
      <c r="BI640">
        <v>0</v>
      </c>
      <c r="BJ640" t="s">
        <v>66</v>
      </c>
      <c r="BK640" t="s">
        <v>88</v>
      </c>
      <c r="BL640" t="s">
        <v>66</v>
      </c>
      <c r="BM640" t="s">
        <v>159</v>
      </c>
    </row>
    <row r="641" spans="1:65" x14ac:dyDescent="0.25">
      <c r="A641">
        <v>639</v>
      </c>
      <c r="B641" t="s">
        <v>1052</v>
      </c>
      <c r="C641" t="s">
        <v>68</v>
      </c>
      <c r="D641" s="1">
        <v>46211</v>
      </c>
      <c r="E641" t="s">
        <v>1053</v>
      </c>
      <c r="F641" t="s">
        <v>68</v>
      </c>
      <c r="G641" t="s">
        <v>69</v>
      </c>
      <c r="H641" t="s">
        <v>70</v>
      </c>
      <c r="I641" t="s">
        <v>71</v>
      </c>
      <c r="J641" t="s">
        <v>72</v>
      </c>
      <c r="K641" t="s">
        <v>73</v>
      </c>
      <c r="L641" t="s">
        <v>74</v>
      </c>
      <c r="M641" t="s">
        <v>1054</v>
      </c>
      <c r="N641" t="s">
        <v>76</v>
      </c>
      <c r="O641" t="s">
        <v>1055</v>
      </c>
      <c r="P641" t="s">
        <v>1056</v>
      </c>
      <c r="Q641" t="s">
        <v>1057</v>
      </c>
      <c r="R641" s="1">
        <v>46214</v>
      </c>
      <c r="S641" t="s">
        <v>278</v>
      </c>
      <c r="T641" t="s">
        <v>279</v>
      </c>
      <c r="U641" t="s">
        <v>280</v>
      </c>
      <c r="V641" t="s">
        <v>66</v>
      </c>
      <c r="W641" t="s">
        <v>66</v>
      </c>
      <c r="X641">
        <v>3863170</v>
      </c>
      <c r="Y641">
        <v>424948.7</v>
      </c>
      <c r="Z641">
        <v>213942</v>
      </c>
      <c r="AA641">
        <v>23533.62</v>
      </c>
      <c r="AB641">
        <v>4288118.7</v>
      </c>
      <c r="AC641">
        <v>1</v>
      </c>
      <c r="AD641" t="s">
        <v>134</v>
      </c>
      <c r="AE641">
        <v>12</v>
      </c>
      <c r="AF641" t="s">
        <v>356</v>
      </c>
      <c r="AG641">
        <f>IFERROR(VLOOKUP(AF641,[1]STOK!J:O,6,0),"")</f>
        <v>12</v>
      </c>
      <c r="AH641" s="2">
        <f t="shared" si="18"/>
        <v>1</v>
      </c>
      <c r="AI641" t="s">
        <v>356</v>
      </c>
      <c r="AJ641" t="s">
        <v>357</v>
      </c>
      <c r="AK641" t="s">
        <v>358</v>
      </c>
      <c r="AL641" t="s">
        <v>86</v>
      </c>
      <c r="AM641">
        <v>241092</v>
      </c>
      <c r="AN641">
        <f t="shared" si="19"/>
        <v>237475.62</v>
      </c>
      <c r="AO641" t="s">
        <v>66</v>
      </c>
      <c r="AP641">
        <v>1.5</v>
      </c>
      <c r="AQ641" t="s">
        <v>66</v>
      </c>
      <c r="AR641">
        <v>0</v>
      </c>
      <c r="AS641" t="s">
        <v>66</v>
      </c>
      <c r="AT641">
        <v>0</v>
      </c>
      <c r="AU641" t="s">
        <v>66</v>
      </c>
      <c r="AV641">
        <v>0</v>
      </c>
      <c r="AW641" t="s">
        <v>66</v>
      </c>
      <c r="AX641">
        <v>0</v>
      </c>
      <c r="AY641" t="s">
        <v>66</v>
      </c>
      <c r="AZ641">
        <v>0</v>
      </c>
      <c r="BA641" t="s">
        <v>66</v>
      </c>
      <c r="BB641">
        <v>0</v>
      </c>
      <c r="BC641">
        <v>0</v>
      </c>
      <c r="BD641">
        <v>237475.62</v>
      </c>
      <c r="BE641">
        <v>16282.92</v>
      </c>
      <c r="BF641">
        <v>0</v>
      </c>
      <c r="BG641" t="s">
        <v>87</v>
      </c>
      <c r="BH641" t="s">
        <v>66</v>
      </c>
      <c r="BI641">
        <v>0</v>
      </c>
      <c r="BJ641" t="s">
        <v>66</v>
      </c>
      <c r="BK641" t="s">
        <v>88</v>
      </c>
      <c r="BL641" t="s">
        <v>66</v>
      </c>
      <c r="BM641" t="s">
        <v>159</v>
      </c>
    </row>
    <row r="642" spans="1:65" x14ac:dyDescent="0.25">
      <c r="A642">
        <v>640</v>
      </c>
      <c r="B642" t="s">
        <v>1052</v>
      </c>
      <c r="C642" t="s">
        <v>68</v>
      </c>
      <c r="D642" s="1">
        <v>46211</v>
      </c>
      <c r="E642" t="s">
        <v>1053</v>
      </c>
      <c r="F642" t="s">
        <v>68</v>
      </c>
      <c r="G642" t="s">
        <v>69</v>
      </c>
      <c r="H642" t="s">
        <v>70</v>
      </c>
      <c r="I642" t="s">
        <v>71</v>
      </c>
      <c r="J642" t="s">
        <v>72</v>
      </c>
      <c r="K642" t="s">
        <v>73</v>
      </c>
      <c r="L642" t="s">
        <v>74</v>
      </c>
      <c r="M642" t="s">
        <v>1054</v>
      </c>
      <c r="N642" t="s">
        <v>76</v>
      </c>
      <c r="O642" t="s">
        <v>1055</v>
      </c>
      <c r="P642" t="s">
        <v>1056</v>
      </c>
      <c r="Q642" t="s">
        <v>1057</v>
      </c>
      <c r="R642" s="1">
        <v>46214</v>
      </c>
      <c r="S642" t="s">
        <v>278</v>
      </c>
      <c r="T642" t="s">
        <v>279</v>
      </c>
      <c r="U642" t="s">
        <v>280</v>
      </c>
      <c r="V642" t="s">
        <v>66</v>
      </c>
      <c r="W642" t="s">
        <v>66</v>
      </c>
      <c r="X642">
        <v>3863170</v>
      </c>
      <c r="Y642">
        <v>424948.7</v>
      </c>
      <c r="Z642">
        <v>452706</v>
      </c>
      <c r="AA642">
        <v>49797.66</v>
      </c>
      <c r="AB642">
        <v>4288118.7</v>
      </c>
      <c r="AC642">
        <v>2</v>
      </c>
      <c r="AD642" t="s">
        <v>134</v>
      </c>
      <c r="AE642">
        <v>12</v>
      </c>
      <c r="AF642" t="s">
        <v>138</v>
      </c>
      <c r="AG642">
        <f>IFERROR(VLOOKUP(AF642,[1]STOK!J:O,6,0),"")</f>
        <v>6</v>
      </c>
      <c r="AH642" s="2">
        <f t="shared" si="18"/>
        <v>2</v>
      </c>
      <c r="AI642" t="s">
        <v>138</v>
      </c>
      <c r="AJ642" t="s">
        <v>139</v>
      </c>
      <c r="AK642" t="s">
        <v>140</v>
      </c>
      <c r="AL642" t="s">
        <v>86</v>
      </c>
      <c r="AM642">
        <v>255078</v>
      </c>
      <c r="AN642">
        <f t="shared" si="19"/>
        <v>251251.83</v>
      </c>
      <c r="AO642" t="s">
        <v>66</v>
      </c>
      <c r="AP642">
        <v>1.5</v>
      </c>
      <c r="AQ642" t="s">
        <v>66</v>
      </c>
      <c r="AR642">
        <v>0</v>
      </c>
      <c r="AS642" t="s">
        <v>66</v>
      </c>
      <c r="AT642">
        <v>0</v>
      </c>
      <c r="AU642" t="s">
        <v>66</v>
      </c>
      <c r="AV642">
        <v>0</v>
      </c>
      <c r="AW642" t="s">
        <v>66</v>
      </c>
      <c r="AX642">
        <v>0</v>
      </c>
      <c r="AY642" t="s">
        <v>66</v>
      </c>
      <c r="AZ642">
        <v>0</v>
      </c>
      <c r="BA642" t="s">
        <v>66</v>
      </c>
      <c r="BB642">
        <v>0</v>
      </c>
      <c r="BC642">
        <v>0</v>
      </c>
      <c r="BD642">
        <v>502503.66</v>
      </c>
      <c r="BE642">
        <v>34660.42</v>
      </c>
      <c r="BF642">
        <v>0</v>
      </c>
      <c r="BG642" t="s">
        <v>87</v>
      </c>
      <c r="BH642" t="s">
        <v>66</v>
      </c>
      <c r="BI642">
        <v>0</v>
      </c>
      <c r="BJ642" t="s">
        <v>66</v>
      </c>
      <c r="BK642" t="s">
        <v>88</v>
      </c>
      <c r="BL642" t="s">
        <v>66</v>
      </c>
      <c r="BM642" t="s">
        <v>159</v>
      </c>
    </row>
    <row r="643" spans="1:65" x14ac:dyDescent="0.25">
      <c r="A643">
        <v>641</v>
      </c>
      <c r="B643" t="s">
        <v>1061</v>
      </c>
      <c r="C643" t="s">
        <v>68</v>
      </c>
      <c r="D643" s="1">
        <v>46211</v>
      </c>
      <c r="E643" t="s">
        <v>1062</v>
      </c>
      <c r="F643" t="s">
        <v>68</v>
      </c>
      <c r="G643" t="s">
        <v>295</v>
      </c>
      <c r="H643" t="s">
        <v>296</v>
      </c>
      <c r="I643" t="s">
        <v>71</v>
      </c>
      <c r="J643" t="s">
        <v>72</v>
      </c>
      <c r="K643" t="s">
        <v>73</v>
      </c>
      <c r="L643" t="s">
        <v>74</v>
      </c>
      <c r="M643" t="s">
        <v>503</v>
      </c>
      <c r="N643" t="s">
        <v>111</v>
      </c>
      <c r="O643" t="s">
        <v>504</v>
      </c>
      <c r="P643" t="s">
        <v>505</v>
      </c>
      <c r="Q643" t="s">
        <v>1063</v>
      </c>
      <c r="R643" s="1">
        <v>46212</v>
      </c>
      <c r="S643" t="s">
        <v>507</v>
      </c>
      <c r="T643" t="s">
        <v>508</v>
      </c>
      <c r="U643" t="s">
        <v>509</v>
      </c>
      <c r="V643" t="s">
        <v>66</v>
      </c>
      <c r="W643" t="s">
        <v>66</v>
      </c>
      <c r="X643">
        <v>3869316</v>
      </c>
      <c r="Y643">
        <v>425624.76</v>
      </c>
      <c r="Z643">
        <v>392040</v>
      </c>
      <c r="AA643">
        <v>43124.4</v>
      </c>
      <c r="AB643">
        <v>4294940.76</v>
      </c>
      <c r="AC643">
        <v>1</v>
      </c>
      <c r="AD643" t="s">
        <v>134</v>
      </c>
      <c r="AE643">
        <v>24</v>
      </c>
      <c r="AF643" t="s">
        <v>128</v>
      </c>
      <c r="AG643">
        <f>IFERROR(VLOOKUP(AF643,[1]STOK!J:O,6,0),"")</f>
        <v>24</v>
      </c>
      <c r="AH643" s="2">
        <f t="shared" si="18"/>
        <v>1</v>
      </c>
      <c r="AI643" t="s">
        <v>128</v>
      </c>
      <c r="AJ643" t="s">
        <v>129</v>
      </c>
      <c r="AK643" t="s">
        <v>130</v>
      </c>
      <c r="AL643" t="s">
        <v>86</v>
      </c>
      <c r="AM643">
        <v>439560</v>
      </c>
      <c r="AN643">
        <f t="shared" si="19"/>
        <v>435164.4</v>
      </c>
      <c r="AO643" t="s">
        <v>66</v>
      </c>
      <c r="AP643">
        <v>1</v>
      </c>
      <c r="AQ643" t="s">
        <v>66</v>
      </c>
      <c r="AR643">
        <v>0</v>
      </c>
      <c r="AS643" t="s">
        <v>66</v>
      </c>
      <c r="AT643">
        <v>0</v>
      </c>
      <c r="AU643" t="s">
        <v>66</v>
      </c>
      <c r="AV643">
        <v>0</v>
      </c>
      <c r="AW643" t="s">
        <v>66</v>
      </c>
      <c r="AX643">
        <v>0</v>
      </c>
      <c r="AY643" t="s">
        <v>66</v>
      </c>
      <c r="AZ643">
        <v>0</v>
      </c>
      <c r="BA643" t="s">
        <v>66</v>
      </c>
      <c r="BB643">
        <v>0</v>
      </c>
      <c r="BC643">
        <v>0</v>
      </c>
      <c r="BD643">
        <v>435164.4</v>
      </c>
      <c r="BE643">
        <v>14918.85</v>
      </c>
      <c r="BF643">
        <v>0</v>
      </c>
      <c r="BG643" t="s">
        <v>87</v>
      </c>
      <c r="BH643" t="s">
        <v>66</v>
      </c>
      <c r="BI643">
        <v>0</v>
      </c>
      <c r="BJ643" t="s">
        <v>66</v>
      </c>
      <c r="BK643" t="s">
        <v>88</v>
      </c>
      <c r="BL643" t="s">
        <v>66</v>
      </c>
      <c r="BM643" t="s">
        <v>159</v>
      </c>
    </row>
    <row r="644" spans="1:65" x14ac:dyDescent="0.25">
      <c r="A644">
        <v>642</v>
      </c>
      <c r="B644" t="s">
        <v>1061</v>
      </c>
      <c r="C644" t="s">
        <v>68</v>
      </c>
      <c r="D644" s="1">
        <v>46211</v>
      </c>
      <c r="E644" t="s">
        <v>1062</v>
      </c>
      <c r="F644" t="s">
        <v>68</v>
      </c>
      <c r="G644" t="s">
        <v>295</v>
      </c>
      <c r="H644" t="s">
        <v>296</v>
      </c>
      <c r="I644" t="s">
        <v>71</v>
      </c>
      <c r="J644" t="s">
        <v>72</v>
      </c>
      <c r="K644" t="s">
        <v>73</v>
      </c>
      <c r="L644" t="s">
        <v>74</v>
      </c>
      <c r="M644" t="s">
        <v>503</v>
      </c>
      <c r="N644" t="s">
        <v>111</v>
      </c>
      <c r="O644" t="s">
        <v>504</v>
      </c>
      <c r="P644" t="s">
        <v>505</v>
      </c>
      <c r="Q644" t="s">
        <v>1063</v>
      </c>
      <c r="R644" s="1">
        <v>46212</v>
      </c>
      <c r="S644" t="s">
        <v>507</v>
      </c>
      <c r="T644" t="s">
        <v>508</v>
      </c>
      <c r="U644" t="s">
        <v>509</v>
      </c>
      <c r="V644" t="s">
        <v>66</v>
      </c>
      <c r="W644" t="s">
        <v>66</v>
      </c>
      <c r="X644">
        <v>3869316</v>
      </c>
      <c r="Y644">
        <v>425624.76</v>
      </c>
      <c r="Z644">
        <v>392040</v>
      </c>
      <c r="AA644">
        <v>43124.4</v>
      </c>
      <c r="AB644">
        <v>4294940.76</v>
      </c>
      <c r="AC644">
        <v>1</v>
      </c>
      <c r="AD644" t="s">
        <v>134</v>
      </c>
      <c r="AE644">
        <v>24</v>
      </c>
      <c r="AF644" t="s">
        <v>93</v>
      </c>
      <c r="AG644">
        <f>IFERROR(VLOOKUP(AF644,[1]STOK!J:O,6,0),"")</f>
        <v>24</v>
      </c>
      <c r="AH644" s="2">
        <f t="shared" ref="AH644:AH707" si="20">AE644/AG644</f>
        <v>1</v>
      </c>
      <c r="AI644" t="s">
        <v>93</v>
      </c>
      <c r="AJ644" t="s">
        <v>94</v>
      </c>
      <c r="AK644" t="s">
        <v>95</v>
      </c>
      <c r="AL644" t="s">
        <v>86</v>
      </c>
      <c r="AM644">
        <v>439560</v>
      </c>
      <c r="AN644">
        <f t="shared" ref="AN644:AN707" si="21">BD644/AC644</f>
        <v>435164.4</v>
      </c>
      <c r="AO644" t="s">
        <v>66</v>
      </c>
      <c r="AP644">
        <v>1</v>
      </c>
      <c r="AQ644" t="s">
        <v>66</v>
      </c>
      <c r="AR644">
        <v>0</v>
      </c>
      <c r="AS644" t="s">
        <v>66</v>
      </c>
      <c r="AT644">
        <v>0</v>
      </c>
      <c r="AU644" t="s">
        <v>66</v>
      </c>
      <c r="AV644">
        <v>0</v>
      </c>
      <c r="AW644" t="s">
        <v>66</v>
      </c>
      <c r="AX644">
        <v>0</v>
      </c>
      <c r="AY644" t="s">
        <v>66</v>
      </c>
      <c r="AZ644">
        <v>0</v>
      </c>
      <c r="BA644" t="s">
        <v>66</v>
      </c>
      <c r="BB644">
        <v>0</v>
      </c>
      <c r="BC644">
        <v>0</v>
      </c>
      <c r="BD644">
        <v>435164.4</v>
      </c>
      <c r="BE644">
        <v>14931.77</v>
      </c>
      <c r="BF644">
        <v>0</v>
      </c>
      <c r="BG644" t="s">
        <v>87</v>
      </c>
      <c r="BH644" t="s">
        <v>66</v>
      </c>
      <c r="BI644">
        <v>0</v>
      </c>
      <c r="BJ644" t="s">
        <v>66</v>
      </c>
      <c r="BK644" t="s">
        <v>88</v>
      </c>
      <c r="BL644" t="s">
        <v>66</v>
      </c>
      <c r="BM644" t="s">
        <v>159</v>
      </c>
    </row>
    <row r="645" spans="1:65" x14ac:dyDescent="0.25">
      <c r="A645">
        <v>643</v>
      </c>
      <c r="B645" t="s">
        <v>1061</v>
      </c>
      <c r="C645" t="s">
        <v>68</v>
      </c>
      <c r="D645" s="1">
        <v>46211</v>
      </c>
      <c r="E645" t="s">
        <v>1062</v>
      </c>
      <c r="F645" t="s">
        <v>68</v>
      </c>
      <c r="G645" t="s">
        <v>295</v>
      </c>
      <c r="H645" t="s">
        <v>296</v>
      </c>
      <c r="I645" t="s">
        <v>71</v>
      </c>
      <c r="J645" t="s">
        <v>72</v>
      </c>
      <c r="K645" t="s">
        <v>73</v>
      </c>
      <c r="L645" t="s">
        <v>74</v>
      </c>
      <c r="M645" t="s">
        <v>503</v>
      </c>
      <c r="N645" t="s">
        <v>111</v>
      </c>
      <c r="O645" t="s">
        <v>504</v>
      </c>
      <c r="P645" t="s">
        <v>505</v>
      </c>
      <c r="Q645" t="s">
        <v>1063</v>
      </c>
      <c r="R645" s="1">
        <v>46212</v>
      </c>
      <c r="S645" t="s">
        <v>507</v>
      </c>
      <c r="T645" t="s">
        <v>508</v>
      </c>
      <c r="U645" t="s">
        <v>509</v>
      </c>
      <c r="V645" t="s">
        <v>66</v>
      </c>
      <c r="W645" t="s">
        <v>66</v>
      </c>
      <c r="X645">
        <v>3869316</v>
      </c>
      <c r="Y645">
        <v>425624.76</v>
      </c>
      <c r="Z645">
        <v>392040</v>
      </c>
      <c r="AA645">
        <v>43124.4</v>
      </c>
      <c r="AB645">
        <v>4294940.76</v>
      </c>
      <c r="AC645">
        <v>1</v>
      </c>
      <c r="AD645" t="s">
        <v>134</v>
      </c>
      <c r="AE645">
        <v>24</v>
      </c>
      <c r="AF645" t="s">
        <v>99</v>
      </c>
      <c r="AG645">
        <f>IFERROR(VLOOKUP(AF645,[1]STOK!J:O,6,0),"")</f>
        <v>24</v>
      </c>
      <c r="AH645" s="2">
        <f t="shared" si="20"/>
        <v>1</v>
      </c>
      <c r="AI645" t="s">
        <v>99</v>
      </c>
      <c r="AJ645" t="s">
        <v>100</v>
      </c>
      <c r="AK645" t="s">
        <v>101</v>
      </c>
      <c r="AL645" t="s">
        <v>86</v>
      </c>
      <c r="AM645">
        <v>439560</v>
      </c>
      <c r="AN645">
        <f t="shared" si="21"/>
        <v>435164.4</v>
      </c>
      <c r="AO645" t="s">
        <v>66</v>
      </c>
      <c r="AP645">
        <v>1</v>
      </c>
      <c r="AQ645" t="s">
        <v>66</v>
      </c>
      <c r="AR645">
        <v>0</v>
      </c>
      <c r="AS645" t="s">
        <v>66</v>
      </c>
      <c r="AT645">
        <v>0</v>
      </c>
      <c r="AU645" t="s">
        <v>66</v>
      </c>
      <c r="AV645">
        <v>0</v>
      </c>
      <c r="AW645" t="s">
        <v>66</v>
      </c>
      <c r="AX645">
        <v>0</v>
      </c>
      <c r="AY645" t="s">
        <v>66</v>
      </c>
      <c r="AZ645">
        <v>0</v>
      </c>
      <c r="BA645" t="s">
        <v>66</v>
      </c>
      <c r="BB645">
        <v>0</v>
      </c>
      <c r="BC645">
        <v>0</v>
      </c>
      <c r="BD645">
        <v>435164.4</v>
      </c>
      <c r="BE645">
        <v>14915.33</v>
      </c>
      <c r="BF645">
        <v>0</v>
      </c>
      <c r="BG645" t="s">
        <v>87</v>
      </c>
      <c r="BH645" t="s">
        <v>66</v>
      </c>
      <c r="BI645">
        <v>0</v>
      </c>
      <c r="BJ645" t="s">
        <v>66</v>
      </c>
      <c r="BK645" t="s">
        <v>88</v>
      </c>
      <c r="BL645" t="s">
        <v>66</v>
      </c>
      <c r="BM645" t="s">
        <v>159</v>
      </c>
    </row>
    <row r="646" spans="1:65" x14ac:dyDescent="0.25">
      <c r="A646">
        <v>644</v>
      </c>
      <c r="B646" t="s">
        <v>1061</v>
      </c>
      <c r="C646" t="s">
        <v>68</v>
      </c>
      <c r="D646" s="1">
        <v>46211</v>
      </c>
      <c r="E646" t="s">
        <v>1062</v>
      </c>
      <c r="F646" t="s">
        <v>68</v>
      </c>
      <c r="G646" t="s">
        <v>295</v>
      </c>
      <c r="H646" t="s">
        <v>296</v>
      </c>
      <c r="I646" t="s">
        <v>71</v>
      </c>
      <c r="J646" t="s">
        <v>72</v>
      </c>
      <c r="K646" t="s">
        <v>73</v>
      </c>
      <c r="L646" t="s">
        <v>74</v>
      </c>
      <c r="M646" t="s">
        <v>503</v>
      </c>
      <c r="N646" t="s">
        <v>111</v>
      </c>
      <c r="O646" t="s">
        <v>504</v>
      </c>
      <c r="P646" t="s">
        <v>505</v>
      </c>
      <c r="Q646" t="s">
        <v>1063</v>
      </c>
      <c r="R646" s="1">
        <v>46212</v>
      </c>
      <c r="S646" t="s">
        <v>507</v>
      </c>
      <c r="T646" t="s">
        <v>508</v>
      </c>
      <c r="U646" t="s">
        <v>509</v>
      </c>
      <c r="V646" t="s">
        <v>66</v>
      </c>
      <c r="W646" t="s">
        <v>66</v>
      </c>
      <c r="X646">
        <v>3869316</v>
      </c>
      <c r="Y646">
        <v>425624.76</v>
      </c>
      <c r="Z646">
        <v>512424</v>
      </c>
      <c r="AA646">
        <v>56366.64</v>
      </c>
      <c r="AB646">
        <v>4294940.76</v>
      </c>
      <c r="AC646">
        <v>1</v>
      </c>
      <c r="AD646" t="s">
        <v>134</v>
      </c>
      <c r="AE646">
        <v>4</v>
      </c>
      <c r="AF646" t="s">
        <v>522</v>
      </c>
      <c r="AG646">
        <f>IFERROR(VLOOKUP(AF646,[1]STOK!J:O,6,0),"")</f>
        <v>4</v>
      </c>
      <c r="AH646" s="2">
        <f t="shared" si="20"/>
        <v>1</v>
      </c>
      <c r="AI646" t="s">
        <v>522</v>
      </c>
      <c r="AJ646" t="s">
        <v>523</v>
      </c>
      <c r="AK646" t="s">
        <v>524</v>
      </c>
      <c r="AL646" t="s">
        <v>86</v>
      </c>
      <c r="AM646">
        <v>574536</v>
      </c>
      <c r="AN646">
        <f t="shared" si="21"/>
        <v>568790.64</v>
      </c>
      <c r="AO646" t="s">
        <v>66</v>
      </c>
      <c r="AP646">
        <v>1</v>
      </c>
      <c r="AQ646" t="s">
        <v>66</v>
      </c>
      <c r="AR646">
        <v>0</v>
      </c>
      <c r="AS646" t="s">
        <v>66</v>
      </c>
      <c r="AT646">
        <v>0</v>
      </c>
      <c r="AU646" t="s">
        <v>66</v>
      </c>
      <c r="AV646">
        <v>0</v>
      </c>
      <c r="AW646" t="s">
        <v>66</v>
      </c>
      <c r="AX646">
        <v>0</v>
      </c>
      <c r="AY646" t="s">
        <v>66</v>
      </c>
      <c r="AZ646">
        <v>0</v>
      </c>
      <c r="BA646" t="s">
        <v>66</v>
      </c>
      <c r="BB646">
        <v>0</v>
      </c>
      <c r="BC646">
        <v>0</v>
      </c>
      <c r="BD646">
        <v>568790.64</v>
      </c>
      <c r="BE646">
        <v>113711.67999999999</v>
      </c>
      <c r="BF646">
        <v>0</v>
      </c>
      <c r="BG646" t="s">
        <v>87</v>
      </c>
      <c r="BH646" t="s">
        <v>66</v>
      </c>
      <c r="BI646">
        <v>0</v>
      </c>
      <c r="BJ646" t="s">
        <v>66</v>
      </c>
      <c r="BK646" t="s">
        <v>88</v>
      </c>
      <c r="BL646" t="s">
        <v>66</v>
      </c>
      <c r="BM646" t="s">
        <v>159</v>
      </c>
    </row>
    <row r="647" spans="1:65" x14ac:dyDescent="0.25">
      <c r="A647">
        <v>645</v>
      </c>
      <c r="B647" t="s">
        <v>1061</v>
      </c>
      <c r="C647" t="s">
        <v>68</v>
      </c>
      <c r="D647" s="1">
        <v>46211</v>
      </c>
      <c r="E647" t="s">
        <v>1062</v>
      </c>
      <c r="F647" t="s">
        <v>68</v>
      </c>
      <c r="G647" t="s">
        <v>295</v>
      </c>
      <c r="H647" t="s">
        <v>296</v>
      </c>
      <c r="I647" t="s">
        <v>71</v>
      </c>
      <c r="J647" t="s">
        <v>72</v>
      </c>
      <c r="K647" t="s">
        <v>73</v>
      </c>
      <c r="L647" t="s">
        <v>74</v>
      </c>
      <c r="M647" t="s">
        <v>503</v>
      </c>
      <c r="N647" t="s">
        <v>111</v>
      </c>
      <c r="O647" t="s">
        <v>504</v>
      </c>
      <c r="P647" t="s">
        <v>505</v>
      </c>
      <c r="Q647" t="s">
        <v>1063</v>
      </c>
      <c r="R647" s="1">
        <v>46212</v>
      </c>
      <c r="S647" t="s">
        <v>507</v>
      </c>
      <c r="T647" t="s">
        <v>508</v>
      </c>
      <c r="U647" t="s">
        <v>509</v>
      </c>
      <c r="V647" t="s">
        <v>66</v>
      </c>
      <c r="W647" t="s">
        <v>66</v>
      </c>
      <c r="X647">
        <v>3869316</v>
      </c>
      <c r="Y647">
        <v>425624.76</v>
      </c>
      <c r="Z647">
        <v>512424</v>
      </c>
      <c r="AA647">
        <v>56366.64</v>
      </c>
      <c r="AB647">
        <v>4294940.76</v>
      </c>
      <c r="AC647">
        <v>1</v>
      </c>
      <c r="AD647" t="s">
        <v>134</v>
      </c>
      <c r="AE647">
        <v>4</v>
      </c>
      <c r="AF647" t="s">
        <v>1064</v>
      </c>
      <c r="AG647">
        <f>IFERROR(VLOOKUP(AF647,[1]STOK!J:O,6,0),"")</f>
        <v>4</v>
      </c>
      <c r="AH647" s="2">
        <f t="shared" si="20"/>
        <v>1</v>
      </c>
      <c r="AI647" t="s">
        <v>1064</v>
      </c>
      <c r="AJ647" t="s">
        <v>1065</v>
      </c>
      <c r="AK647" t="s">
        <v>1066</v>
      </c>
      <c r="AL647" t="s">
        <v>86</v>
      </c>
      <c r="AM647">
        <v>574536</v>
      </c>
      <c r="AN647">
        <f t="shared" si="21"/>
        <v>568790.64</v>
      </c>
      <c r="AO647" t="s">
        <v>66</v>
      </c>
      <c r="AP647">
        <v>1</v>
      </c>
      <c r="AQ647" t="s">
        <v>66</v>
      </c>
      <c r="AR647">
        <v>0</v>
      </c>
      <c r="AS647" t="s">
        <v>66</v>
      </c>
      <c r="AT647">
        <v>0</v>
      </c>
      <c r="AU647" t="s">
        <v>66</v>
      </c>
      <c r="AV647">
        <v>0</v>
      </c>
      <c r="AW647" t="s">
        <v>66</v>
      </c>
      <c r="AX647">
        <v>0</v>
      </c>
      <c r="AY647" t="s">
        <v>66</v>
      </c>
      <c r="AZ647">
        <v>0</v>
      </c>
      <c r="BA647" t="s">
        <v>66</v>
      </c>
      <c r="BB647">
        <v>0</v>
      </c>
      <c r="BC647">
        <v>0</v>
      </c>
      <c r="BD647">
        <v>568790.64</v>
      </c>
      <c r="BE647">
        <v>112732.53</v>
      </c>
      <c r="BF647">
        <v>0</v>
      </c>
      <c r="BG647" t="s">
        <v>87</v>
      </c>
      <c r="BH647" t="s">
        <v>66</v>
      </c>
      <c r="BI647">
        <v>0</v>
      </c>
      <c r="BJ647" t="s">
        <v>66</v>
      </c>
      <c r="BK647" t="s">
        <v>88</v>
      </c>
      <c r="BL647" t="s">
        <v>66</v>
      </c>
      <c r="BM647" t="s">
        <v>159</v>
      </c>
    </row>
    <row r="648" spans="1:65" x14ac:dyDescent="0.25">
      <c r="A648">
        <v>646</v>
      </c>
      <c r="B648" t="s">
        <v>1061</v>
      </c>
      <c r="C648" t="s">
        <v>68</v>
      </c>
      <c r="D648" s="1">
        <v>46211</v>
      </c>
      <c r="E648" t="s">
        <v>1062</v>
      </c>
      <c r="F648" t="s">
        <v>68</v>
      </c>
      <c r="G648" t="s">
        <v>295</v>
      </c>
      <c r="H648" t="s">
        <v>296</v>
      </c>
      <c r="I648" t="s">
        <v>71</v>
      </c>
      <c r="J648" t="s">
        <v>72</v>
      </c>
      <c r="K648" t="s">
        <v>73</v>
      </c>
      <c r="L648" t="s">
        <v>74</v>
      </c>
      <c r="M648" t="s">
        <v>503</v>
      </c>
      <c r="N648" t="s">
        <v>111</v>
      </c>
      <c r="O648" t="s">
        <v>504</v>
      </c>
      <c r="P648" t="s">
        <v>505</v>
      </c>
      <c r="Q648" t="s">
        <v>1063</v>
      </c>
      <c r="R648" s="1">
        <v>46212</v>
      </c>
      <c r="S648" t="s">
        <v>507</v>
      </c>
      <c r="T648" t="s">
        <v>508</v>
      </c>
      <c r="U648" t="s">
        <v>509</v>
      </c>
      <c r="V648" t="s">
        <v>66</v>
      </c>
      <c r="W648" t="s">
        <v>66</v>
      </c>
      <c r="X648">
        <v>3869316</v>
      </c>
      <c r="Y648">
        <v>425624.76</v>
      </c>
      <c r="Z648">
        <v>417384</v>
      </c>
      <c r="AA648">
        <v>45912.24</v>
      </c>
      <c r="AB648">
        <v>4294940.76</v>
      </c>
      <c r="AC648">
        <v>1</v>
      </c>
      <c r="AD648" t="s">
        <v>134</v>
      </c>
      <c r="AE648">
        <v>4</v>
      </c>
      <c r="AF648" t="s">
        <v>833</v>
      </c>
      <c r="AG648">
        <f>IFERROR(VLOOKUP(AF648,[1]STOK!J:O,6,0),"")</f>
        <v>4</v>
      </c>
      <c r="AH648" s="2">
        <f t="shared" si="20"/>
        <v>1</v>
      </c>
      <c r="AI648" t="s">
        <v>833</v>
      </c>
      <c r="AJ648" t="s">
        <v>834</v>
      </c>
      <c r="AK648" t="s">
        <v>835</v>
      </c>
      <c r="AL648" t="s">
        <v>86</v>
      </c>
      <c r="AM648">
        <v>467976</v>
      </c>
      <c r="AN648">
        <f t="shared" si="21"/>
        <v>463296.24</v>
      </c>
      <c r="AO648" t="s">
        <v>66</v>
      </c>
      <c r="AP648">
        <v>1</v>
      </c>
      <c r="AQ648" t="s">
        <v>66</v>
      </c>
      <c r="AR648">
        <v>0</v>
      </c>
      <c r="AS648" t="s">
        <v>66</v>
      </c>
      <c r="AT648">
        <v>0</v>
      </c>
      <c r="AU648" t="s">
        <v>66</v>
      </c>
      <c r="AV648">
        <v>0</v>
      </c>
      <c r="AW648" t="s">
        <v>66</v>
      </c>
      <c r="AX648">
        <v>0</v>
      </c>
      <c r="AY648" t="s">
        <v>66</v>
      </c>
      <c r="AZ648">
        <v>0</v>
      </c>
      <c r="BA648" t="s">
        <v>66</v>
      </c>
      <c r="BB648">
        <v>0</v>
      </c>
      <c r="BC648">
        <v>0</v>
      </c>
      <c r="BD648">
        <v>463296.24</v>
      </c>
      <c r="BE648">
        <v>88913.57</v>
      </c>
      <c r="BF648">
        <v>0</v>
      </c>
      <c r="BG648" t="s">
        <v>87</v>
      </c>
      <c r="BH648" t="s">
        <v>66</v>
      </c>
      <c r="BI648">
        <v>0</v>
      </c>
      <c r="BJ648" t="s">
        <v>66</v>
      </c>
      <c r="BK648" t="s">
        <v>88</v>
      </c>
      <c r="BL648" t="s">
        <v>66</v>
      </c>
      <c r="BM648" t="s">
        <v>159</v>
      </c>
    </row>
    <row r="649" spans="1:65" x14ac:dyDescent="0.25">
      <c r="A649">
        <v>647</v>
      </c>
      <c r="B649" t="s">
        <v>1061</v>
      </c>
      <c r="C649" t="s">
        <v>68</v>
      </c>
      <c r="D649" s="1">
        <v>46211</v>
      </c>
      <c r="E649" t="s">
        <v>1062</v>
      </c>
      <c r="F649" t="s">
        <v>68</v>
      </c>
      <c r="G649" t="s">
        <v>295</v>
      </c>
      <c r="H649" t="s">
        <v>296</v>
      </c>
      <c r="I649" t="s">
        <v>71</v>
      </c>
      <c r="J649" t="s">
        <v>72</v>
      </c>
      <c r="K649" t="s">
        <v>73</v>
      </c>
      <c r="L649" t="s">
        <v>74</v>
      </c>
      <c r="M649" t="s">
        <v>503</v>
      </c>
      <c r="N649" t="s">
        <v>111</v>
      </c>
      <c r="O649" t="s">
        <v>504</v>
      </c>
      <c r="P649" t="s">
        <v>505</v>
      </c>
      <c r="Q649" t="s">
        <v>1063</v>
      </c>
      <c r="R649" s="1">
        <v>46212</v>
      </c>
      <c r="S649" t="s">
        <v>507</v>
      </c>
      <c r="T649" t="s">
        <v>508</v>
      </c>
      <c r="U649" t="s">
        <v>509</v>
      </c>
      <c r="V649" t="s">
        <v>66</v>
      </c>
      <c r="W649" t="s">
        <v>66</v>
      </c>
      <c r="X649">
        <v>3869316</v>
      </c>
      <c r="Y649">
        <v>425624.76</v>
      </c>
      <c r="Z649">
        <v>958716</v>
      </c>
      <c r="AA649">
        <v>105458.76</v>
      </c>
      <c r="AB649">
        <v>4294940.76</v>
      </c>
      <c r="AC649">
        <v>3</v>
      </c>
      <c r="AD649" t="s">
        <v>134</v>
      </c>
      <c r="AE649">
        <v>18</v>
      </c>
      <c r="AF649" t="s">
        <v>878</v>
      </c>
      <c r="AG649">
        <f>IFERROR(VLOOKUP(AF649,[1]STOK!J:O,6,0),"")</f>
        <v>6</v>
      </c>
      <c r="AH649" s="2">
        <f t="shared" si="20"/>
        <v>3</v>
      </c>
      <c r="AI649" t="s">
        <v>878</v>
      </c>
      <c r="AJ649" t="s">
        <v>879</v>
      </c>
      <c r="AK649" t="s">
        <v>880</v>
      </c>
      <c r="AL649" t="s">
        <v>86</v>
      </c>
      <c r="AM649">
        <v>358308</v>
      </c>
      <c r="AN649">
        <f t="shared" si="21"/>
        <v>354724.92</v>
      </c>
      <c r="AO649" t="s">
        <v>66</v>
      </c>
      <c r="AP649">
        <v>1</v>
      </c>
      <c r="AQ649" t="s">
        <v>66</v>
      </c>
      <c r="AR649">
        <v>0</v>
      </c>
      <c r="AS649" t="s">
        <v>66</v>
      </c>
      <c r="AT649">
        <v>0</v>
      </c>
      <c r="AU649" t="s">
        <v>66</v>
      </c>
      <c r="AV649">
        <v>0</v>
      </c>
      <c r="AW649" t="s">
        <v>66</v>
      </c>
      <c r="AX649">
        <v>0</v>
      </c>
      <c r="AY649" t="s">
        <v>66</v>
      </c>
      <c r="AZ649">
        <v>0</v>
      </c>
      <c r="BA649" t="s">
        <v>66</v>
      </c>
      <c r="BB649">
        <v>0</v>
      </c>
      <c r="BC649">
        <v>0</v>
      </c>
      <c r="BD649">
        <v>1064174.76</v>
      </c>
      <c r="BE649">
        <v>45333.57</v>
      </c>
      <c r="BF649">
        <v>0</v>
      </c>
      <c r="BG649" t="s">
        <v>87</v>
      </c>
      <c r="BH649" t="s">
        <v>66</v>
      </c>
      <c r="BI649">
        <v>0</v>
      </c>
      <c r="BJ649" t="s">
        <v>66</v>
      </c>
      <c r="BK649" t="s">
        <v>88</v>
      </c>
      <c r="BL649" t="s">
        <v>66</v>
      </c>
      <c r="BM649" t="s">
        <v>159</v>
      </c>
    </row>
    <row r="650" spans="1:65" x14ac:dyDescent="0.25">
      <c r="A650">
        <v>648</v>
      </c>
      <c r="B650" t="s">
        <v>1061</v>
      </c>
      <c r="C650" t="s">
        <v>68</v>
      </c>
      <c r="D650" s="1">
        <v>46211</v>
      </c>
      <c r="E650" t="s">
        <v>1062</v>
      </c>
      <c r="F650" t="s">
        <v>68</v>
      </c>
      <c r="G650" t="s">
        <v>295</v>
      </c>
      <c r="H650" t="s">
        <v>296</v>
      </c>
      <c r="I650" t="s">
        <v>71</v>
      </c>
      <c r="J650" t="s">
        <v>72</v>
      </c>
      <c r="K650" t="s">
        <v>73</v>
      </c>
      <c r="L650" t="s">
        <v>74</v>
      </c>
      <c r="M650" t="s">
        <v>503</v>
      </c>
      <c r="N650" t="s">
        <v>111</v>
      </c>
      <c r="O650" t="s">
        <v>504</v>
      </c>
      <c r="P650" t="s">
        <v>505</v>
      </c>
      <c r="Q650" t="s">
        <v>1063</v>
      </c>
      <c r="R650" s="1">
        <v>46212</v>
      </c>
      <c r="S650" t="s">
        <v>507</v>
      </c>
      <c r="T650" t="s">
        <v>508</v>
      </c>
      <c r="U650" t="s">
        <v>509</v>
      </c>
      <c r="V650" t="s">
        <v>66</v>
      </c>
      <c r="W650" t="s">
        <v>66</v>
      </c>
      <c r="X650">
        <v>3869316</v>
      </c>
      <c r="Y650">
        <v>425624.76</v>
      </c>
      <c r="Z650">
        <v>292248</v>
      </c>
      <c r="AA650">
        <v>32147.279999999999</v>
      </c>
      <c r="AB650">
        <v>4294940.76</v>
      </c>
      <c r="AC650">
        <v>1</v>
      </c>
      <c r="AD650" t="s">
        <v>134</v>
      </c>
      <c r="AE650">
        <v>24</v>
      </c>
      <c r="AF650" t="s">
        <v>1067</v>
      </c>
      <c r="AG650">
        <f>IFERROR(VLOOKUP(AF650,[1]STOK!J:O,6,0),"")</f>
        <v>24</v>
      </c>
      <c r="AH650" s="2">
        <f t="shared" si="20"/>
        <v>1</v>
      </c>
      <c r="AI650" t="s">
        <v>1067</v>
      </c>
      <c r="AJ650" t="s">
        <v>1068</v>
      </c>
      <c r="AK650" t="s">
        <v>1069</v>
      </c>
      <c r="AL650" t="s">
        <v>86</v>
      </c>
      <c r="AM650">
        <v>327672</v>
      </c>
      <c r="AN650">
        <f t="shared" si="21"/>
        <v>324395.28000000003</v>
      </c>
      <c r="AO650" t="s">
        <v>66</v>
      </c>
      <c r="AP650">
        <v>1</v>
      </c>
      <c r="AQ650" t="s">
        <v>66</v>
      </c>
      <c r="AR650">
        <v>0</v>
      </c>
      <c r="AS650" t="s">
        <v>66</v>
      </c>
      <c r="AT650">
        <v>0</v>
      </c>
      <c r="AU650" t="s">
        <v>66</v>
      </c>
      <c r="AV650">
        <v>0</v>
      </c>
      <c r="AW650" t="s">
        <v>66</v>
      </c>
      <c r="AX650">
        <v>0</v>
      </c>
      <c r="AY650" t="s">
        <v>66</v>
      </c>
      <c r="AZ650">
        <v>0</v>
      </c>
      <c r="BA650" t="s">
        <v>66</v>
      </c>
      <c r="BB650">
        <v>0</v>
      </c>
      <c r="BC650">
        <v>0</v>
      </c>
      <c r="BD650">
        <v>324395.28000000003</v>
      </c>
      <c r="BE650">
        <v>11567.53</v>
      </c>
      <c r="BF650">
        <v>0</v>
      </c>
      <c r="BG650" t="s">
        <v>87</v>
      </c>
      <c r="BH650" t="s">
        <v>66</v>
      </c>
      <c r="BI650">
        <v>0</v>
      </c>
      <c r="BJ650" t="s">
        <v>66</v>
      </c>
      <c r="BK650" t="s">
        <v>88</v>
      </c>
      <c r="BL650" t="s">
        <v>66</v>
      </c>
      <c r="BM650" t="s">
        <v>159</v>
      </c>
    </row>
    <row r="651" spans="1:65" x14ac:dyDescent="0.25">
      <c r="A651">
        <v>649</v>
      </c>
      <c r="B651" t="s">
        <v>1070</v>
      </c>
      <c r="C651" t="s">
        <v>68</v>
      </c>
      <c r="D651" s="1">
        <v>46211</v>
      </c>
      <c r="E651" t="s">
        <v>1071</v>
      </c>
      <c r="F651" t="s">
        <v>68</v>
      </c>
      <c r="G651" t="s">
        <v>295</v>
      </c>
      <c r="H651" t="s">
        <v>296</v>
      </c>
      <c r="I651" t="s">
        <v>71</v>
      </c>
      <c r="J651" t="s">
        <v>72</v>
      </c>
      <c r="K651" t="s">
        <v>73</v>
      </c>
      <c r="L651" t="s">
        <v>74</v>
      </c>
      <c r="M651" t="s">
        <v>503</v>
      </c>
      <c r="N651" t="s">
        <v>111</v>
      </c>
      <c r="O651" t="s">
        <v>504</v>
      </c>
      <c r="P651" t="s">
        <v>505</v>
      </c>
      <c r="Q651" t="s">
        <v>1072</v>
      </c>
      <c r="R651" s="1">
        <v>46212</v>
      </c>
      <c r="S651" t="s">
        <v>507</v>
      </c>
      <c r="T651" t="s">
        <v>508</v>
      </c>
      <c r="U651" t="s">
        <v>509</v>
      </c>
      <c r="V651" t="s">
        <v>66</v>
      </c>
      <c r="W651" t="s">
        <v>66</v>
      </c>
      <c r="X651">
        <v>2996928</v>
      </c>
      <c r="Y651">
        <v>329662.08000000002</v>
      </c>
      <c r="Z651">
        <v>171072</v>
      </c>
      <c r="AA651">
        <v>18817.919999999998</v>
      </c>
      <c r="AB651">
        <v>3326590.08</v>
      </c>
      <c r="AC651">
        <v>1</v>
      </c>
      <c r="AD651" t="s">
        <v>134</v>
      </c>
      <c r="AE651">
        <v>12</v>
      </c>
      <c r="AF651" t="s">
        <v>551</v>
      </c>
      <c r="AG651">
        <f>IFERROR(VLOOKUP(AF651,[1]STOK!J:O,6,0),"")</f>
        <v>12</v>
      </c>
      <c r="AH651" s="2">
        <f t="shared" si="20"/>
        <v>1</v>
      </c>
      <c r="AI651" t="s">
        <v>551</v>
      </c>
      <c r="AJ651" t="s">
        <v>552</v>
      </c>
      <c r="AK651" t="s">
        <v>553</v>
      </c>
      <c r="AL651" t="s">
        <v>86</v>
      </c>
      <c r="AM651">
        <v>191808</v>
      </c>
      <c r="AN651">
        <f t="shared" si="21"/>
        <v>189889.92000000001</v>
      </c>
      <c r="AO651" t="s">
        <v>66</v>
      </c>
      <c r="AP651">
        <v>1</v>
      </c>
      <c r="AQ651" t="s">
        <v>66</v>
      </c>
      <c r="AR651">
        <v>0</v>
      </c>
      <c r="AS651" t="s">
        <v>66</v>
      </c>
      <c r="AT651">
        <v>0</v>
      </c>
      <c r="AU651" t="s">
        <v>66</v>
      </c>
      <c r="AV651">
        <v>0</v>
      </c>
      <c r="AW651" t="s">
        <v>66</v>
      </c>
      <c r="AX651">
        <v>0</v>
      </c>
      <c r="AY651" t="s">
        <v>66</v>
      </c>
      <c r="AZ651">
        <v>0</v>
      </c>
      <c r="BA651" t="s">
        <v>66</v>
      </c>
      <c r="BB651">
        <v>0</v>
      </c>
      <c r="BC651">
        <v>0</v>
      </c>
      <c r="BD651">
        <v>189889.92000000001</v>
      </c>
      <c r="BE651">
        <v>12730.62</v>
      </c>
      <c r="BF651">
        <v>0</v>
      </c>
      <c r="BG651" t="s">
        <v>87</v>
      </c>
      <c r="BH651" t="s">
        <v>66</v>
      </c>
      <c r="BI651">
        <v>0</v>
      </c>
      <c r="BJ651" t="s">
        <v>66</v>
      </c>
      <c r="BK651" t="s">
        <v>88</v>
      </c>
      <c r="BL651" t="s">
        <v>66</v>
      </c>
      <c r="BM651" t="s">
        <v>159</v>
      </c>
    </row>
    <row r="652" spans="1:65" x14ac:dyDescent="0.25">
      <c r="A652">
        <v>650</v>
      </c>
      <c r="B652" t="s">
        <v>1070</v>
      </c>
      <c r="C652" t="s">
        <v>68</v>
      </c>
      <c r="D652" s="1">
        <v>46211</v>
      </c>
      <c r="E652" t="s">
        <v>1071</v>
      </c>
      <c r="F652" t="s">
        <v>68</v>
      </c>
      <c r="G652" t="s">
        <v>295</v>
      </c>
      <c r="H652" t="s">
        <v>296</v>
      </c>
      <c r="I652" t="s">
        <v>71</v>
      </c>
      <c r="J652" t="s">
        <v>72</v>
      </c>
      <c r="K652" t="s">
        <v>73</v>
      </c>
      <c r="L652" t="s">
        <v>74</v>
      </c>
      <c r="M652" t="s">
        <v>503</v>
      </c>
      <c r="N652" t="s">
        <v>111</v>
      </c>
      <c r="O652" t="s">
        <v>504</v>
      </c>
      <c r="P652" t="s">
        <v>505</v>
      </c>
      <c r="Q652" t="s">
        <v>1072</v>
      </c>
      <c r="R652" s="1">
        <v>46212</v>
      </c>
      <c r="S652" t="s">
        <v>507</v>
      </c>
      <c r="T652" t="s">
        <v>508</v>
      </c>
      <c r="U652" t="s">
        <v>509</v>
      </c>
      <c r="V652" t="s">
        <v>66</v>
      </c>
      <c r="W652" t="s">
        <v>66</v>
      </c>
      <c r="X652">
        <v>2996928</v>
      </c>
      <c r="Y652">
        <v>329662.08000000002</v>
      </c>
      <c r="Z652">
        <v>323136</v>
      </c>
      <c r="AA652">
        <v>35544.959999999999</v>
      </c>
      <c r="AB652">
        <v>3326590.08</v>
      </c>
      <c r="AC652">
        <v>1</v>
      </c>
      <c r="AD652" t="s">
        <v>134</v>
      </c>
      <c r="AE652">
        <v>12</v>
      </c>
      <c r="AF652" t="s">
        <v>774</v>
      </c>
      <c r="AG652">
        <f>IFERROR(VLOOKUP(AF652,[1]STOK!J:O,6,0),"")</f>
        <v>12</v>
      </c>
      <c r="AH652" s="2">
        <f t="shared" si="20"/>
        <v>1</v>
      </c>
      <c r="AI652" t="s">
        <v>774</v>
      </c>
      <c r="AJ652" t="s">
        <v>775</v>
      </c>
      <c r="AK652" t="s">
        <v>776</v>
      </c>
      <c r="AL652" t="s">
        <v>86</v>
      </c>
      <c r="AM652">
        <v>362304</v>
      </c>
      <c r="AN652">
        <f t="shared" si="21"/>
        <v>358680.96</v>
      </c>
      <c r="AO652" t="s">
        <v>66</v>
      </c>
      <c r="AP652">
        <v>1</v>
      </c>
      <c r="AQ652" t="s">
        <v>66</v>
      </c>
      <c r="AR652">
        <v>0</v>
      </c>
      <c r="AS652" t="s">
        <v>66</v>
      </c>
      <c r="AT652">
        <v>0</v>
      </c>
      <c r="AU652" t="s">
        <v>66</v>
      </c>
      <c r="AV652">
        <v>0</v>
      </c>
      <c r="AW652" t="s">
        <v>66</v>
      </c>
      <c r="AX652">
        <v>0</v>
      </c>
      <c r="AY652" t="s">
        <v>66</v>
      </c>
      <c r="AZ652">
        <v>0</v>
      </c>
      <c r="BA652" t="s">
        <v>66</v>
      </c>
      <c r="BB652">
        <v>0</v>
      </c>
      <c r="BC652">
        <v>0</v>
      </c>
      <c r="BD652">
        <v>358680.96</v>
      </c>
      <c r="BE652">
        <v>24962.33</v>
      </c>
      <c r="BF652">
        <v>0</v>
      </c>
      <c r="BG652" t="s">
        <v>87</v>
      </c>
      <c r="BH652" t="s">
        <v>66</v>
      </c>
      <c r="BI652">
        <v>0</v>
      </c>
      <c r="BJ652" t="s">
        <v>66</v>
      </c>
      <c r="BK652" t="s">
        <v>88</v>
      </c>
      <c r="BL652" t="s">
        <v>66</v>
      </c>
      <c r="BM652" t="s">
        <v>159</v>
      </c>
    </row>
    <row r="653" spans="1:65" x14ac:dyDescent="0.25">
      <c r="A653">
        <v>651</v>
      </c>
      <c r="B653" t="s">
        <v>1070</v>
      </c>
      <c r="C653" t="s">
        <v>68</v>
      </c>
      <c r="D653" s="1">
        <v>46211</v>
      </c>
      <c r="E653" t="s">
        <v>1071</v>
      </c>
      <c r="F653" t="s">
        <v>68</v>
      </c>
      <c r="G653" t="s">
        <v>295</v>
      </c>
      <c r="H653" t="s">
        <v>296</v>
      </c>
      <c r="I653" t="s">
        <v>71</v>
      </c>
      <c r="J653" t="s">
        <v>72</v>
      </c>
      <c r="K653" t="s">
        <v>73</v>
      </c>
      <c r="L653" t="s">
        <v>74</v>
      </c>
      <c r="M653" t="s">
        <v>503</v>
      </c>
      <c r="N653" t="s">
        <v>111</v>
      </c>
      <c r="O653" t="s">
        <v>504</v>
      </c>
      <c r="P653" t="s">
        <v>505</v>
      </c>
      <c r="Q653" t="s">
        <v>1072</v>
      </c>
      <c r="R653" s="1">
        <v>46212</v>
      </c>
      <c r="S653" t="s">
        <v>507</v>
      </c>
      <c r="T653" t="s">
        <v>508</v>
      </c>
      <c r="U653" t="s">
        <v>509</v>
      </c>
      <c r="V653" t="s">
        <v>66</v>
      </c>
      <c r="W653" t="s">
        <v>66</v>
      </c>
      <c r="X653">
        <v>2996928</v>
      </c>
      <c r="Y653">
        <v>329662.08000000002</v>
      </c>
      <c r="Z653">
        <v>265716</v>
      </c>
      <c r="AA653">
        <v>29228.76</v>
      </c>
      <c r="AB653">
        <v>3326590.08</v>
      </c>
      <c r="AC653">
        <v>1</v>
      </c>
      <c r="AD653" t="s">
        <v>134</v>
      </c>
      <c r="AE653">
        <v>4</v>
      </c>
      <c r="AF653" t="s">
        <v>894</v>
      </c>
      <c r="AG653">
        <f>IFERROR(VLOOKUP(AF653,[1]STOK!J:O,6,0),"")</f>
        <v>4</v>
      </c>
      <c r="AH653" s="2">
        <f t="shared" si="20"/>
        <v>1</v>
      </c>
      <c r="AI653" t="s">
        <v>894</v>
      </c>
      <c r="AJ653" t="s">
        <v>895</v>
      </c>
      <c r="AK653" t="s">
        <v>896</v>
      </c>
      <c r="AL653" t="s">
        <v>86</v>
      </c>
      <c r="AM653">
        <v>297924</v>
      </c>
      <c r="AN653">
        <f t="shared" si="21"/>
        <v>294944.76</v>
      </c>
      <c r="AO653" t="s">
        <v>66</v>
      </c>
      <c r="AP653">
        <v>1</v>
      </c>
      <c r="AQ653" t="s">
        <v>66</v>
      </c>
      <c r="AR653">
        <v>0</v>
      </c>
      <c r="AS653" t="s">
        <v>66</v>
      </c>
      <c r="AT653">
        <v>0</v>
      </c>
      <c r="AU653" t="s">
        <v>66</v>
      </c>
      <c r="AV653">
        <v>0</v>
      </c>
      <c r="AW653" t="s">
        <v>66</v>
      </c>
      <c r="AX653">
        <v>0</v>
      </c>
      <c r="AY653" t="s">
        <v>66</v>
      </c>
      <c r="AZ653">
        <v>0</v>
      </c>
      <c r="BA653" t="s">
        <v>66</v>
      </c>
      <c r="BB653">
        <v>0</v>
      </c>
      <c r="BC653">
        <v>0</v>
      </c>
      <c r="BD653">
        <v>294944.76</v>
      </c>
      <c r="BE653">
        <v>60373.24</v>
      </c>
      <c r="BF653">
        <v>0</v>
      </c>
      <c r="BG653" t="s">
        <v>87</v>
      </c>
      <c r="BH653" t="s">
        <v>66</v>
      </c>
      <c r="BI653">
        <v>0</v>
      </c>
      <c r="BJ653" t="s">
        <v>66</v>
      </c>
      <c r="BK653" t="s">
        <v>88</v>
      </c>
      <c r="BL653" t="s">
        <v>66</v>
      </c>
      <c r="BM653" t="s">
        <v>159</v>
      </c>
    </row>
    <row r="654" spans="1:65" x14ac:dyDescent="0.25">
      <c r="A654">
        <v>652</v>
      </c>
      <c r="B654" t="s">
        <v>1070</v>
      </c>
      <c r="C654" t="s">
        <v>68</v>
      </c>
      <c r="D654" s="1">
        <v>46211</v>
      </c>
      <c r="E654" t="s">
        <v>1071</v>
      </c>
      <c r="F654" t="s">
        <v>68</v>
      </c>
      <c r="G654" t="s">
        <v>295</v>
      </c>
      <c r="H654" t="s">
        <v>296</v>
      </c>
      <c r="I654" t="s">
        <v>71</v>
      </c>
      <c r="J654" t="s">
        <v>72</v>
      </c>
      <c r="K654" t="s">
        <v>73</v>
      </c>
      <c r="L654" t="s">
        <v>74</v>
      </c>
      <c r="M654" t="s">
        <v>503</v>
      </c>
      <c r="N654" t="s">
        <v>111</v>
      </c>
      <c r="O654" t="s">
        <v>504</v>
      </c>
      <c r="P654" t="s">
        <v>505</v>
      </c>
      <c r="Q654" t="s">
        <v>1072</v>
      </c>
      <c r="R654" s="1">
        <v>46212</v>
      </c>
      <c r="S654" t="s">
        <v>507</v>
      </c>
      <c r="T654" t="s">
        <v>508</v>
      </c>
      <c r="U654" t="s">
        <v>509</v>
      </c>
      <c r="V654" t="s">
        <v>66</v>
      </c>
      <c r="W654" t="s">
        <v>66</v>
      </c>
      <c r="X654">
        <v>2996928</v>
      </c>
      <c r="Y654">
        <v>329662.08000000002</v>
      </c>
      <c r="Z654">
        <v>1597860</v>
      </c>
      <c r="AA654">
        <v>175764.6</v>
      </c>
      <c r="AB654">
        <v>3326590.08</v>
      </c>
      <c r="AC654">
        <v>5</v>
      </c>
      <c r="AD654" t="s">
        <v>134</v>
      </c>
      <c r="AE654">
        <v>30</v>
      </c>
      <c r="AF654" t="s">
        <v>528</v>
      </c>
      <c r="AG654">
        <f>IFERROR(VLOOKUP(AF654,[1]STOK!J:O,6,0),"")</f>
        <v>6</v>
      </c>
      <c r="AH654" s="2">
        <f t="shared" si="20"/>
        <v>5</v>
      </c>
      <c r="AI654" t="s">
        <v>528</v>
      </c>
      <c r="AJ654" t="s">
        <v>529</v>
      </c>
      <c r="AK654" t="s">
        <v>530</v>
      </c>
      <c r="AL654" t="s">
        <v>86</v>
      </c>
      <c r="AM654">
        <v>358308</v>
      </c>
      <c r="AN654">
        <f t="shared" si="21"/>
        <v>354724.92000000004</v>
      </c>
      <c r="AO654" t="s">
        <v>66</v>
      </c>
      <c r="AP654">
        <v>1</v>
      </c>
      <c r="AQ654" t="s">
        <v>66</v>
      </c>
      <c r="AR654">
        <v>0</v>
      </c>
      <c r="AS654" t="s">
        <v>66</v>
      </c>
      <c r="AT654">
        <v>0</v>
      </c>
      <c r="AU654" t="s">
        <v>66</v>
      </c>
      <c r="AV654">
        <v>0</v>
      </c>
      <c r="AW654" t="s">
        <v>66</v>
      </c>
      <c r="AX654">
        <v>0</v>
      </c>
      <c r="AY654" t="s">
        <v>66</v>
      </c>
      <c r="AZ654">
        <v>0</v>
      </c>
      <c r="BA654" t="s">
        <v>66</v>
      </c>
      <c r="BB654">
        <v>0</v>
      </c>
      <c r="BC654">
        <v>0</v>
      </c>
      <c r="BD654">
        <v>1773624.6</v>
      </c>
      <c r="BE654">
        <v>48615.15</v>
      </c>
      <c r="BF654">
        <v>0</v>
      </c>
      <c r="BG654" t="s">
        <v>87</v>
      </c>
      <c r="BH654" t="s">
        <v>66</v>
      </c>
      <c r="BI654">
        <v>0</v>
      </c>
      <c r="BJ654" t="s">
        <v>66</v>
      </c>
      <c r="BK654" t="s">
        <v>88</v>
      </c>
      <c r="BL654" t="s">
        <v>66</v>
      </c>
      <c r="BM654" t="s">
        <v>159</v>
      </c>
    </row>
    <row r="655" spans="1:65" x14ac:dyDescent="0.25">
      <c r="A655">
        <v>653</v>
      </c>
      <c r="B655" t="s">
        <v>1070</v>
      </c>
      <c r="C655" t="s">
        <v>68</v>
      </c>
      <c r="D655" s="1">
        <v>46211</v>
      </c>
      <c r="E655" t="s">
        <v>1071</v>
      </c>
      <c r="F655" t="s">
        <v>68</v>
      </c>
      <c r="G655" t="s">
        <v>295</v>
      </c>
      <c r="H655" t="s">
        <v>296</v>
      </c>
      <c r="I655" t="s">
        <v>71</v>
      </c>
      <c r="J655" t="s">
        <v>72</v>
      </c>
      <c r="K655" t="s">
        <v>73</v>
      </c>
      <c r="L655" t="s">
        <v>74</v>
      </c>
      <c r="M655" t="s">
        <v>503</v>
      </c>
      <c r="N655" t="s">
        <v>111</v>
      </c>
      <c r="O655" t="s">
        <v>504</v>
      </c>
      <c r="P655" t="s">
        <v>505</v>
      </c>
      <c r="Q655" t="s">
        <v>1072</v>
      </c>
      <c r="R655" s="1">
        <v>46212</v>
      </c>
      <c r="S655" t="s">
        <v>507</v>
      </c>
      <c r="T655" t="s">
        <v>508</v>
      </c>
      <c r="U655" t="s">
        <v>509</v>
      </c>
      <c r="V655" t="s">
        <v>66</v>
      </c>
      <c r="W655" t="s">
        <v>66</v>
      </c>
      <c r="X655">
        <v>2996928</v>
      </c>
      <c r="Y655">
        <v>329662.08000000002</v>
      </c>
      <c r="Z655">
        <v>639144</v>
      </c>
      <c r="AA655">
        <v>70305.84</v>
      </c>
      <c r="AB655">
        <v>3326590.08</v>
      </c>
      <c r="AC655">
        <v>2</v>
      </c>
      <c r="AD655" t="s">
        <v>134</v>
      </c>
      <c r="AE655">
        <v>12</v>
      </c>
      <c r="AF655" t="s">
        <v>525</v>
      </c>
      <c r="AG655">
        <f>IFERROR(VLOOKUP(AF655,[1]STOK!J:O,6,0),"")</f>
        <v>6</v>
      </c>
      <c r="AH655" s="2">
        <f t="shared" si="20"/>
        <v>2</v>
      </c>
      <c r="AI655" t="s">
        <v>525</v>
      </c>
      <c r="AJ655" t="s">
        <v>526</v>
      </c>
      <c r="AK655" t="s">
        <v>527</v>
      </c>
      <c r="AL655" t="s">
        <v>86</v>
      </c>
      <c r="AM655">
        <v>358308</v>
      </c>
      <c r="AN655">
        <f t="shared" si="21"/>
        <v>354724.92</v>
      </c>
      <c r="AO655" t="s">
        <v>66</v>
      </c>
      <c r="AP655">
        <v>1</v>
      </c>
      <c r="AQ655" t="s">
        <v>66</v>
      </c>
      <c r="AR655">
        <v>0</v>
      </c>
      <c r="AS655" t="s">
        <v>66</v>
      </c>
      <c r="AT655">
        <v>0</v>
      </c>
      <c r="AU655" t="s">
        <v>66</v>
      </c>
      <c r="AV655">
        <v>0</v>
      </c>
      <c r="AW655" t="s">
        <v>66</v>
      </c>
      <c r="AX655">
        <v>0</v>
      </c>
      <c r="AY655" t="s">
        <v>66</v>
      </c>
      <c r="AZ655">
        <v>0</v>
      </c>
      <c r="BA655" t="s">
        <v>66</v>
      </c>
      <c r="BB655">
        <v>0</v>
      </c>
      <c r="BC655">
        <v>0</v>
      </c>
      <c r="BD655">
        <v>709449.84</v>
      </c>
      <c r="BE655">
        <v>47919.33</v>
      </c>
      <c r="BF655">
        <v>0</v>
      </c>
      <c r="BG655" t="s">
        <v>87</v>
      </c>
      <c r="BH655" t="s">
        <v>66</v>
      </c>
      <c r="BI655">
        <v>0</v>
      </c>
      <c r="BJ655" t="s">
        <v>66</v>
      </c>
      <c r="BK655" t="s">
        <v>88</v>
      </c>
      <c r="BL655" t="s">
        <v>66</v>
      </c>
      <c r="BM655" t="s">
        <v>159</v>
      </c>
    </row>
    <row r="656" spans="1:65" x14ac:dyDescent="0.25">
      <c r="A656">
        <v>654</v>
      </c>
      <c r="B656" t="s">
        <v>1073</v>
      </c>
      <c r="C656" t="s">
        <v>68</v>
      </c>
      <c r="D656" s="1">
        <v>46211</v>
      </c>
      <c r="E656" t="s">
        <v>1074</v>
      </c>
      <c r="F656" t="s">
        <v>68</v>
      </c>
      <c r="G656" t="s">
        <v>295</v>
      </c>
      <c r="H656" t="s">
        <v>296</v>
      </c>
      <c r="I656" t="s">
        <v>71</v>
      </c>
      <c r="J656" t="s">
        <v>72</v>
      </c>
      <c r="K656" t="s">
        <v>73</v>
      </c>
      <c r="L656" t="s">
        <v>74</v>
      </c>
      <c r="M656" t="s">
        <v>1075</v>
      </c>
      <c r="N656" t="s">
        <v>76</v>
      </c>
      <c r="O656" t="s">
        <v>1076</v>
      </c>
      <c r="P656" t="s">
        <v>1077</v>
      </c>
      <c r="Q656" t="s">
        <v>1078</v>
      </c>
      <c r="R656" s="1">
        <v>46217</v>
      </c>
      <c r="S656" t="s">
        <v>841</v>
      </c>
      <c r="T656" t="s">
        <v>913</v>
      </c>
      <c r="U656" t="s">
        <v>843</v>
      </c>
      <c r="V656" t="s">
        <v>66</v>
      </c>
      <c r="W656" t="s">
        <v>66</v>
      </c>
      <c r="X656">
        <v>821436</v>
      </c>
      <c r="Y656">
        <v>90357.96</v>
      </c>
      <c r="Z656">
        <v>43512</v>
      </c>
      <c r="AA656">
        <v>4786.32</v>
      </c>
      <c r="AB656">
        <v>911793.96</v>
      </c>
      <c r="AC656">
        <v>6</v>
      </c>
      <c r="AD656" t="s">
        <v>82</v>
      </c>
      <c r="AE656">
        <v>6</v>
      </c>
      <c r="AF656" t="s">
        <v>262</v>
      </c>
      <c r="AG656">
        <f>IFERROR(VLOOKUP(AF656,[1]STOK!J:O,6,0),"")</f>
        <v>24</v>
      </c>
      <c r="AH656" s="2">
        <f t="shared" si="20"/>
        <v>0.25</v>
      </c>
      <c r="AI656" t="s">
        <v>262</v>
      </c>
      <c r="AJ656" t="s">
        <v>263</v>
      </c>
      <c r="AK656" t="s">
        <v>264</v>
      </c>
      <c r="AL656" t="s">
        <v>86</v>
      </c>
      <c r="AM656">
        <v>8214</v>
      </c>
      <c r="AN656">
        <f t="shared" si="21"/>
        <v>8049.72</v>
      </c>
      <c r="AO656" t="s">
        <v>66</v>
      </c>
      <c r="AP656">
        <v>2</v>
      </c>
      <c r="AQ656" t="s">
        <v>66</v>
      </c>
      <c r="AR656">
        <v>0</v>
      </c>
      <c r="AS656" t="s">
        <v>66</v>
      </c>
      <c r="AT656">
        <v>0</v>
      </c>
      <c r="AU656" t="s">
        <v>66</v>
      </c>
      <c r="AV656">
        <v>0</v>
      </c>
      <c r="AW656" t="s">
        <v>66</v>
      </c>
      <c r="AX656">
        <v>0</v>
      </c>
      <c r="AY656" t="s">
        <v>66</v>
      </c>
      <c r="AZ656">
        <v>0</v>
      </c>
      <c r="BA656" t="s">
        <v>66</v>
      </c>
      <c r="BB656">
        <v>0</v>
      </c>
      <c r="BC656">
        <v>0</v>
      </c>
      <c r="BD656">
        <v>48298.32</v>
      </c>
      <c r="BE656">
        <v>6694.46</v>
      </c>
      <c r="BF656">
        <v>0</v>
      </c>
      <c r="BG656" t="s">
        <v>87</v>
      </c>
      <c r="BH656" t="s">
        <v>66</v>
      </c>
      <c r="BI656">
        <v>0</v>
      </c>
      <c r="BJ656" t="s">
        <v>66</v>
      </c>
      <c r="BK656" t="s">
        <v>88</v>
      </c>
      <c r="BL656" t="s">
        <v>742</v>
      </c>
      <c r="BM656" t="s">
        <v>159</v>
      </c>
    </row>
    <row r="657" spans="1:65" x14ac:dyDescent="0.25">
      <c r="A657">
        <v>655</v>
      </c>
      <c r="B657" t="s">
        <v>1073</v>
      </c>
      <c r="C657" t="s">
        <v>68</v>
      </c>
      <c r="D657" s="1">
        <v>46211</v>
      </c>
      <c r="E657" t="s">
        <v>1074</v>
      </c>
      <c r="F657" t="s">
        <v>68</v>
      </c>
      <c r="G657" t="s">
        <v>295</v>
      </c>
      <c r="H657" t="s">
        <v>296</v>
      </c>
      <c r="I657" t="s">
        <v>71</v>
      </c>
      <c r="J657" t="s">
        <v>72</v>
      </c>
      <c r="K657" t="s">
        <v>73</v>
      </c>
      <c r="L657" t="s">
        <v>74</v>
      </c>
      <c r="M657" t="s">
        <v>1075</v>
      </c>
      <c r="N657" t="s">
        <v>76</v>
      </c>
      <c r="O657" t="s">
        <v>1076</v>
      </c>
      <c r="P657" t="s">
        <v>1077</v>
      </c>
      <c r="Q657" t="s">
        <v>1078</v>
      </c>
      <c r="R657" s="1">
        <v>46217</v>
      </c>
      <c r="S657" t="s">
        <v>841</v>
      </c>
      <c r="T657" t="s">
        <v>913</v>
      </c>
      <c r="U657" t="s">
        <v>843</v>
      </c>
      <c r="V657" t="s">
        <v>66</v>
      </c>
      <c r="W657" t="s">
        <v>66</v>
      </c>
      <c r="X657">
        <v>821436</v>
      </c>
      <c r="Y657">
        <v>90357.96</v>
      </c>
      <c r="Z657">
        <v>66444</v>
      </c>
      <c r="AA657">
        <v>7308.84</v>
      </c>
      <c r="AB657">
        <v>911793.96</v>
      </c>
      <c r="AC657">
        <v>6</v>
      </c>
      <c r="AD657" t="s">
        <v>82</v>
      </c>
      <c r="AE657">
        <v>6</v>
      </c>
      <c r="AF657" t="s">
        <v>122</v>
      </c>
      <c r="AG657">
        <f>IFERROR(VLOOKUP(AF657,[1]STOK!J:O,6,0),"")</f>
        <v>24</v>
      </c>
      <c r="AH657" s="2">
        <f t="shared" si="20"/>
        <v>0.25</v>
      </c>
      <c r="AI657" t="s">
        <v>122</v>
      </c>
      <c r="AJ657" t="s">
        <v>123</v>
      </c>
      <c r="AK657" t="s">
        <v>124</v>
      </c>
      <c r="AL657" t="s">
        <v>86</v>
      </c>
      <c r="AM657">
        <v>12543</v>
      </c>
      <c r="AN657">
        <f t="shared" si="21"/>
        <v>12292.14</v>
      </c>
      <c r="AO657" t="s">
        <v>66</v>
      </c>
      <c r="AP657">
        <v>2</v>
      </c>
      <c r="AQ657" t="s">
        <v>66</v>
      </c>
      <c r="AR657">
        <v>0</v>
      </c>
      <c r="AS657" t="s">
        <v>66</v>
      </c>
      <c r="AT657">
        <v>0</v>
      </c>
      <c r="AU657" t="s">
        <v>66</v>
      </c>
      <c r="AV657">
        <v>0</v>
      </c>
      <c r="AW657" t="s">
        <v>66</v>
      </c>
      <c r="AX657">
        <v>0</v>
      </c>
      <c r="AY657" t="s">
        <v>66</v>
      </c>
      <c r="AZ657">
        <v>0</v>
      </c>
      <c r="BA657" t="s">
        <v>66</v>
      </c>
      <c r="BB657">
        <v>0</v>
      </c>
      <c r="BC657">
        <v>0</v>
      </c>
      <c r="BD657">
        <v>73752.84</v>
      </c>
      <c r="BE657">
        <v>10172.89</v>
      </c>
      <c r="BF657">
        <v>0</v>
      </c>
      <c r="BG657" t="s">
        <v>87</v>
      </c>
      <c r="BH657" t="s">
        <v>66</v>
      </c>
      <c r="BI657">
        <v>0</v>
      </c>
      <c r="BJ657" t="s">
        <v>66</v>
      </c>
      <c r="BK657" t="s">
        <v>88</v>
      </c>
      <c r="BL657" t="s">
        <v>742</v>
      </c>
      <c r="BM657" t="s">
        <v>159</v>
      </c>
    </row>
    <row r="658" spans="1:65" x14ac:dyDescent="0.25">
      <c r="A658">
        <v>656</v>
      </c>
      <c r="B658" t="s">
        <v>1073</v>
      </c>
      <c r="C658" t="s">
        <v>68</v>
      </c>
      <c r="D658" s="1">
        <v>46211</v>
      </c>
      <c r="E658" t="s">
        <v>1074</v>
      </c>
      <c r="F658" t="s">
        <v>68</v>
      </c>
      <c r="G658" t="s">
        <v>295</v>
      </c>
      <c r="H658" t="s">
        <v>296</v>
      </c>
      <c r="I658" t="s">
        <v>71</v>
      </c>
      <c r="J658" t="s">
        <v>72</v>
      </c>
      <c r="K658" t="s">
        <v>73</v>
      </c>
      <c r="L658" t="s">
        <v>74</v>
      </c>
      <c r="M658" t="s">
        <v>1075</v>
      </c>
      <c r="N658" t="s">
        <v>76</v>
      </c>
      <c r="O658" t="s">
        <v>1076</v>
      </c>
      <c r="P658" t="s">
        <v>1077</v>
      </c>
      <c r="Q658" t="s">
        <v>1078</v>
      </c>
      <c r="R658" s="1">
        <v>46217</v>
      </c>
      <c r="S658" t="s">
        <v>841</v>
      </c>
      <c r="T658" t="s">
        <v>913</v>
      </c>
      <c r="U658" t="s">
        <v>843</v>
      </c>
      <c r="V658" t="s">
        <v>66</v>
      </c>
      <c r="W658" t="s">
        <v>66</v>
      </c>
      <c r="X658">
        <v>821436</v>
      </c>
      <c r="Y658">
        <v>90357.96</v>
      </c>
      <c r="Z658">
        <v>29988</v>
      </c>
      <c r="AA658">
        <v>3298.68</v>
      </c>
      <c r="AB658">
        <v>911793.96</v>
      </c>
      <c r="AC658">
        <v>3</v>
      </c>
      <c r="AD658" t="s">
        <v>82</v>
      </c>
      <c r="AE658">
        <v>3</v>
      </c>
      <c r="AF658" t="s">
        <v>726</v>
      </c>
      <c r="AG658">
        <f>IFERROR(VLOOKUP(AF658,[1]STOK!J:O,6,0),"")</f>
        <v>24</v>
      </c>
      <c r="AH658" s="2">
        <f t="shared" si="20"/>
        <v>0.125</v>
      </c>
      <c r="AI658" t="s">
        <v>726</v>
      </c>
      <c r="AJ658" t="s">
        <v>727</v>
      </c>
      <c r="AK658" t="s">
        <v>728</v>
      </c>
      <c r="AL658" t="s">
        <v>86</v>
      </c>
      <c r="AM658">
        <v>11322</v>
      </c>
      <c r="AN658">
        <f t="shared" si="21"/>
        <v>11095.56</v>
      </c>
      <c r="AO658" t="s">
        <v>66</v>
      </c>
      <c r="AP658">
        <v>2</v>
      </c>
      <c r="AQ658" t="s">
        <v>66</v>
      </c>
      <c r="AR658">
        <v>0</v>
      </c>
      <c r="AS658" t="s">
        <v>66</v>
      </c>
      <c r="AT658">
        <v>0</v>
      </c>
      <c r="AU658" t="s">
        <v>66</v>
      </c>
      <c r="AV658">
        <v>0</v>
      </c>
      <c r="AW658" t="s">
        <v>66</v>
      </c>
      <c r="AX658">
        <v>0</v>
      </c>
      <c r="AY658" t="s">
        <v>66</v>
      </c>
      <c r="AZ658">
        <v>0</v>
      </c>
      <c r="BA658" t="s">
        <v>66</v>
      </c>
      <c r="BB658">
        <v>0</v>
      </c>
      <c r="BC658">
        <v>0</v>
      </c>
      <c r="BD658">
        <v>33286.68</v>
      </c>
      <c r="BE658">
        <v>8839.89</v>
      </c>
      <c r="BF658">
        <v>0</v>
      </c>
      <c r="BG658" t="s">
        <v>87</v>
      </c>
      <c r="BH658" t="s">
        <v>66</v>
      </c>
      <c r="BI658">
        <v>0</v>
      </c>
      <c r="BJ658" t="s">
        <v>66</v>
      </c>
      <c r="BK658" t="s">
        <v>88</v>
      </c>
      <c r="BL658" t="s">
        <v>742</v>
      </c>
      <c r="BM658" t="s">
        <v>159</v>
      </c>
    </row>
    <row r="659" spans="1:65" x14ac:dyDescent="0.25">
      <c r="A659">
        <v>657</v>
      </c>
      <c r="B659" t="s">
        <v>1073</v>
      </c>
      <c r="C659" t="s">
        <v>68</v>
      </c>
      <c r="D659" s="1">
        <v>46211</v>
      </c>
      <c r="E659" t="s">
        <v>1074</v>
      </c>
      <c r="F659" t="s">
        <v>68</v>
      </c>
      <c r="G659" t="s">
        <v>295</v>
      </c>
      <c r="H659" t="s">
        <v>296</v>
      </c>
      <c r="I659" t="s">
        <v>71</v>
      </c>
      <c r="J659" t="s">
        <v>72</v>
      </c>
      <c r="K659" t="s">
        <v>73</v>
      </c>
      <c r="L659" t="s">
        <v>74</v>
      </c>
      <c r="M659" t="s">
        <v>1075</v>
      </c>
      <c r="N659" t="s">
        <v>76</v>
      </c>
      <c r="O659" t="s">
        <v>1076</v>
      </c>
      <c r="P659" t="s">
        <v>1077</v>
      </c>
      <c r="Q659" t="s">
        <v>1078</v>
      </c>
      <c r="R659" s="1">
        <v>46217</v>
      </c>
      <c r="S659" t="s">
        <v>841</v>
      </c>
      <c r="T659" t="s">
        <v>913</v>
      </c>
      <c r="U659" t="s">
        <v>843</v>
      </c>
      <c r="V659" t="s">
        <v>66</v>
      </c>
      <c r="W659" t="s">
        <v>66</v>
      </c>
      <c r="X659">
        <v>821436</v>
      </c>
      <c r="Y659">
        <v>90357.96</v>
      </c>
      <c r="Z659">
        <v>59976</v>
      </c>
      <c r="AA659">
        <v>6597.36</v>
      </c>
      <c r="AB659">
        <v>911793.96</v>
      </c>
      <c r="AC659">
        <v>6</v>
      </c>
      <c r="AD659" t="s">
        <v>82</v>
      </c>
      <c r="AE659">
        <v>6</v>
      </c>
      <c r="AF659" t="s">
        <v>667</v>
      </c>
      <c r="AG659">
        <f>IFERROR(VLOOKUP(AF659,[1]STOK!J:O,6,0),"")</f>
        <v>24</v>
      </c>
      <c r="AH659" s="2">
        <f t="shared" si="20"/>
        <v>0.25</v>
      </c>
      <c r="AI659" t="s">
        <v>667</v>
      </c>
      <c r="AJ659" t="s">
        <v>668</v>
      </c>
      <c r="AK659" t="s">
        <v>669</v>
      </c>
      <c r="AL659" t="s">
        <v>86</v>
      </c>
      <c r="AM659">
        <v>11322</v>
      </c>
      <c r="AN659">
        <f t="shared" si="21"/>
        <v>11095.56</v>
      </c>
      <c r="AO659" t="s">
        <v>66</v>
      </c>
      <c r="AP659">
        <v>2</v>
      </c>
      <c r="AQ659" t="s">
        <v>66</v>
      </c>
      <c r="AR659">
        <v>0</v>
      </c>
      <c r="AS659" t="s">
        <v>66</v>
      </c>
      <c r="AT659">
        <v>0</v>
      </c>
      <c r="AU659" t="s">
        <v>66</v>
      </c>
      <c r="AV659">
        <v>0</v>
      </c>
      <c r="AW659" t="s">
        <v>66</v>
      </c>
      <c r="AX659">
        <v>0</v>
      </c>
      <c r="AY659" t="s">
        <v>66</v>
      </c>
      <c r="AZ659">
        <v>0</v>
      </c>
      <c r="BA659" t="s">
        <v>66</v>
      </c>
      <c r="BB659">
        <v>0</v>
      </c>
      <c r="BC659">
        <v>0</v>
      </c>
      <c r="BD659">
        <v>66573.36</v>
      </c>
      <c r="BE659">
        <v>9046.9599999999991</v>
      </c>
      <c r="BF659">
        <v>0</v>
      </c>
      <c r="BG659" t="s">
        <v>87</v>
      </c>
      <c r="BH659" t="s">
        <v>66</v>
      </c>
      <c r="BI659">
        <v>0</v>
      </c>
      <c r="BJ659" t="s">
        <v>66</v>
      </c>
      <c r="BK659" t="s">
        <v>88</v>
      </c>
      <c r="BL659" t="s">
        <v>742</v>
      </c>
      <c r="BM659" t="s">
        <v>159</v>
      </c>
    </row>
    <row r="660" spans="1:65" x14ac:dyDescent="0.25">
      <c r="A660">
        <v>658</v>
      </c>
      <c r="B660" t="s">
        <v>1073</v>
      </c>
      <c r="C660" t="s">
        <v>68</v>
      </c>
      <c r="D660" s="1">
        <v>46211</v>
      </c>
      <c r="E660" t="s">
        <v>1074</v>
      </c>
      <c r="F660" t="s">
        <v>68</v>
      </c>
      <c r="G660" t="s">
        <v>295</v>
      </c>
      <c r="H660" t="s">
        <v>296</v>
      </c>
      <c r="I660" t="s">
        <v>71</v>
      </c>
      <c r="J660" t="s">
        <v>72</v>
      </c>
      <c r="K660" t="s">
        <v>73</v>
      </c>
      <c r="L660" t="s">
        <v>74</v>
      </c>
      <c r="M660" t="s">
        <v>1075</v>
      </c>
      <c r="N660" t="s">
        <v>76</v>
      </c>
      <c r="O660" t="s">
        <v>1076</v>
      </c>
      <c r="P660" t="s">
        <v>1077</v>
      </c>
      <c r="Q660" t="s">
        <v>1078</v>
      </c>
      <c r="R660" s="1">
        <v>46217</v>
      </c>
      <c r="S660" t="s">
        <v>841</v>
      </c>
      <c r="T660" t="s">
        <v>913</v>
      </c>
      <c r="U660" t="s">
        <v>843</v>
      </c>
      <c r="V660" t="s">
        <v>66</v>
      </c>
      <c r="W660" t="s">
        <v>66</v>
      </c>
      <c r="X660">
        <v>821436</v>
      </c>
      <c r="Y660">
        <v>90357.96</v>
      </c>
      <c r="Z660">
        <v>29988</v>
      </c>
      <c r="AA660">
        <v>3298.68</v>
      </c>
      <c r="AB660">
        <v>911793.96</v>
      </c>
      <c r="AC660">
        <v>3</v>
      </c>
      <c r="AD660" t="s">
        <v>82</v>
      </c>
      <c r="AE660">
        <v>3</v>
      </c>
      <c r="AF660" t="s">
        <v>670</v>
      </c>
      <c r="AG660">
        <f>IFERROR(VLOOKUP(AF660,[1]STOK!J:O,6,0),"")</f>
        <v>24</v>
      </c>
      <c r="AH660" s="2">
        <f t="shared" si="20"/>
        <v>0.125</v>
      </c>
      <c r="AI660" t="s">
        <v>670</v>
      </c>
      <c r="AJ660" t="s">
        <v>671</v>
      </c>
      <c r="AK660" t="s">
        <v>672</v>
      </c>
      <c r="AL660" t="s">
        <v>86</v>
      </c>
      <c r="AM660">
        <v>11322</v>
      </c>
      <c r="AN660">
        <f t="shared" si="21"/>
        <v>11095.56</v>
      </c>
      <c r="AO660" t="s">
        <v>66</v>
      </c>
      <c r="AP660">
        <v>2</v>
      </c>
      <c r="AQ660" t="s">
        <v>66</v>
      </c>
      <c r="AR660">
        <v>0</v>
      </c>
      <c r="AS660" t="s">
        <v>66</v>
      </c>
      <c r="AT660">
        <v>0</v>
      </c>
      <c r="AU660" t="s">
        <v>66</v>
      </c>
      <c r="AV660">
        <v>0</v>
      </c>
      <c r="AW660" t="s">
        <v>66</v>
      </c>
      <c r="AX660">
        <v>0</v>
      </c>
      <c r="AY660" t="s">
        <v>66</v>
      </c>
      <c r="AZ660">
        <v>0</v>
      </c>
      <c r="BA660" t="s">
        <v>66</v>
      </c>
      <c r="BB660">
        <v>0</v>
      </c>
      <c r="BC660">
        <v>0</v>
      </c>
      <c r="BD660">
        <v>33286.68</v>
      </c>
      <c r="BE660">
        <v>9177.7000000000007</v>
      </c>
      <c r="BF660">
        <v>0</v>
      </c>
      <c r="BG660" t="s">
        <v>87</v>
      </c>
      <c r="BH660" t="s">
        <v>66</v>
      </c>
      <c r="BI660">
        <v>0</v>
      </c>
      <c r="BJ660" t="s">
        <v>66</v>
      </c>
      <c r="BK660" t="s">
        <v>88</v>
      </c>
      <c r="BL660" t="s">
        <v>742</v>
      </c>
      <c r="BM660" t="s">
        <v>159</v>
      </c>
    </row>
    <row r="661" spans="1:65" x14ac:dyDescent="0.25">
      <c r="A661">
        <v>659</v>
      </c>
      <c r="B661" t="s">
        <v>1073</v>
      </c>
      <c r="C661" t="s">
        <v>68</v>
      </c>
      <c r="D661" s="1">
        <v>46211</v>
      </c>
      <c r="E661" t="s">
        <v>1074</v>
      </c>
      <c r="F661" t="s">
        <v>68</v>
      </c>
      <c r="G661" t="s">
        <v>295</v>
      </c>
      <c r="H661" t="s">
        <v>296</v>
      </c>
      <c r="I661" t="s">
        <v>71</v>
      </c>
      <c r="J661" t="s">
        <v>72</v>
      </c>
      <c r="K661" t="s">
        <v>73</v>
      </c>
      <c r="L661" t="s">
        <v>74</v>
      </c>
      <c r="M661" t="s">
        <v>1075</v>
      </c>
      <c r="N661" t="s">
        <v>76</v>
      </c>
      <c r="O661" t="s">
        <v>1076</v>
      </c>
      <c r="P661" t="s">
        <v>1077</v>
      </c>
      <c r="Q661" t="s">
        <v>1078</v>
      </c>
      <c r="R661" s="1">
        <v>46217</v>
      </c>
      <c r="S661" t="s">
        <v>841</v>
      </c>
      <c r="T661" t="s">
        <v>913</v>
      </c>
      <c r="U661" t="s">
        <v>843</v>
      </c>
      <c r="V661" t="s">
        <v>66</v>
      </c>
      <c r="W661" t="s">
        <v>66</v>
      </c>
      <c r="X661">
        <v>821436</v>
      </c>
      <c r="Y661">
        <v>90357.96</v>
      </c>
      <c r="Z661">
        <v>16758</v>
      </c>
      <c r="AA661">
        <v>1843.38</v>
      </c>
      <c r="AB661">
        <v>911793.96</v>
      </c>
      <c r="AC661">
        <v>3</v>
      </c>
      <c r="AD661" t="s">
        <v>82</v>
      </c>
      <c r="AE661">
        <v>3</v>
      </c>
      <c r="AF661" t="s">
        <v>90</v>
      </c>
      <c r="AG661">
        <f>IFERROR(VLOOKUP(AF661,[1]STOK!J:O,6,0),"")</f>
        <v>48</v>
      </c>
      <c r="AH661" s="2">
        <f t="shared" si="20"/>
        <v>6.25E-2</v>
      </c>
      <c r="AI661" t="s">
        <v>90</v>
      </c>
      <c r="AJ661" t="s">
        <v>91</v>
      </c>
      <c r="AK661" t="s">
        <v>92</v>
      </c>
      <c r="AL661" t="s">
        <v>86</v>
      </c>
      <c r="AM661">
        <v>6327</v>
      </c>
      <c r="AN661">
        <f t="shared" si="21"/>
        <v>6200.46</v>
      </c>
      <c r="AO661" t="s">
        <v>66</v>
      </c>
      <c r="AP661">
        <v>2</v>
      </c>
      <c r="AQ661" t="s">
        <v>66</v>
      </c>
      <c r="AR661">
        <v>0</v>
      </c>
      <c r="AS661" t="s">
        <v>66</v>
      </c>
      <c r="AT661">
        <v>0</v>
      </c>
      <c r="AU661" t="s">
        <v>66</v>
      </c>
      <c r="AV661">
        <v>0</v>
      </c>
      <c r="AW661" t="s">
        <v>66</v>
      </c>
      <c r="AX661">
        <v>0</v>
      </c>
      <c r="AY661" t="s">
        <v>66</v>
      </c>
      <c r="AZ661">
        <v>0</v>
      </c>
      <c r="BA661" t="s">
        <v>66</v>
      </c>
      <c r="BB661">
        <v>0</v>
      </c>
      <c r="BC661">
        <v>0</v>
      </c>
      <c r="BD661">
        <v>18601.38</v>
      </c>
      <c r="BE661">
        <v>4974.63</v>
      </c>
      <c r="BF661">
        <v>0</v>
      </c>
      <c r="BG661" t="s">
        <v>87</v>
      </c>
      <c r="BH661" t="s">
        <v>66</v>
      </c>
      <c r="BI661">
        <v>0</v>
      </c>
      <c r="BJ661" t="s">
        <v>66</v>
      </c>
      <c r="BK661" t="s">
        <v>88</v>
      </c>
      <c r="BL661" t="s">
        <v>742</v>
      </c>
      <c r="BM661" t="s">
        <v>159</v>
      </c>
    </row>
    <row r="662" spans="1:65" x14ac:dyDescent="0.25">
      <c r="A662">
        <v>660</v>
      </c>
      <c r="B662" t="s">
        <v>1073</v>
      </c>
      <c r="C662" t="s">
        <v>68</v>
      </c>
      <c r="D662" s="1">
        <v>46211</v>
      </c>
      <c r="E662" t="s">
        <v>1074</v>
      </c>
      <c r="F662" t="s">
        <v>68</v>
      </c>
      <c r="G662" t="s">
        <v>295</v>
      </c>
      <c r="H662" t="s">
        <v>296</v>
      </c>
      <c r="I662" t="s">
        <v>71</v>
      </c>
      <c r="J662" t="s">
        <v>72</v>
      </c>
      <c r="K662" t="s">
        <v>73</v>
      </c>
      <c r="L662" t="s">
        <v>74</v>
      </c>
      <c r="M662" t="s">
        <v>1075</v>
      </c>
      <c r="N662" t="s">
        <v>76</v>
      </c>
      <c r="O662" t="s">
        <v>1076</v>
      </c>
      <c r="P662" t="s">
        <v>1077</v>
      </c>
      <c r="Q662" t="s">
        <v>1078</v>
      </c>
      <c r="R662" s="1">
        <v>46217</v>
      </c>
      <c r="S662" t="s">
        <v>841</v>
      </c>
      <c r="T662" t="s">
        <v>913</v>
      </c>
      <c r="U662" t="s">
        <v>843</v>
      </c>
      <c r="V662" t="s">
        <v>66</v>
      </c>
      <c r="W662" t="s">
        <v>66</v>
      </c>
      <c r="X662">
        <v>821436</v>
      </c>
      <c r="Y662">
        <v>90357.96</v>
      </c>
      <c r="Z662">
        <v>48510</v>
      </c>
      <c r="AA662">
        <v>5336.1</v>
      </c>
      <c r="AB662">
        <v>911793.96</v>
      </c>
      <c r="AC662">
        <v>3</v>
      </c>
      <c r="AD662" t="s">
        <v>82</v>
      </c>
      <c r="AE662">
        <v>3</v>
      </c>
      <c r="AF662" t="s">
        <v>128</v>
      </c>
      <c r="AG662">
        <f>IFERROR(VLOOKUP(AF662,[1]STOK!J:O,6,0),"")</f>
        <v>24</v>
      </c>
      <c r="AH662" s="2">
        <f t="shared" si="20"/>
        <v>0.125</v>
      </c>
      <c r="AI662" t="s">
        <v>128</v>
      </c>
      <c r="AJ662" t="s">
        <v>129</v>
      </c>
      <c r="AK662" t="s">
        <v>130</v>
      </c>
      <c r="AL662" t="s">
        <v>86</v>
      </c>
      <c r="AM662">
        <v>18315</v>
      </c>
      <c r="AN662">
        <f t="shared" si="21"/>
        <v>17948.7</v>
      </c>
      <c r="AO662" t="s">
        <v>66</v>
      </c>
      <c r="AP662">
        <v>2</v>
      </c>
      <c r="AQ662" t="s">
        <v>66</v>
      </c>
      <c r="AR662">
        <v>0</v>
      </c>
      <c r="AS662" t="s">
        <v>66</v>
      </c>
      <c r="AT662">
        <v>0</v>
      </c>
      <c r="AU662" t="s">
        <v>66</v>
      </c>
      <c r="AV662">
        <v>0</v>
      </c>
      <c r="AW662" t="s">
        <v>66</v>
      </c>
      <c r="AX662">
        <v>0</v>
      </c>
      <c r="AY662" t="s">
        <v>66</v>
      </c>
      <c r="AZ662">
        <v>0</v>
      </c>
      <c r="BA662" t="s">
        <v>66</v>
      </c>
      <c r="BB662">
        <v>0</v>
      </c>
      <c r="BC662">
        <v>0</v>
      </c>
      <c r="BD662">
        <v>53846.1</v>
      </c>
      <c r="BE662">
        <v>14918.85</v>
      </c>
      <c r="BF662">
        <v>0</v>
      </c>
      <c r="BG662" t="s">
        <v>87</v>
      </c>
      <c r="BH662" t="s">
        <v>66</v>
      </c>
      <c r="BI662">
        <v>0</v>
      </c>
      <c r="BJ662" t="s">
        <v>66</v>
      </c>
      <c r="BK662" t="s">
        <v>88</v>
      </c>
      <c r="BL662" t="s">
        <v>742</v>
      </c>
      <c r="BM662" t="s">
        <v>159</v>
      </c>
    </row>
    <row r="663" spans="1:65" x14ac:dyDescent="0.25">
      <c r="A663">
        <v>661</v>
      </c>
      <c r="B663" t="s">
        <v>1073</v>
      </c>
      <c r="C663" t="s">
        <v>68</v>
      </c>
      <c r="D663" s="1">
        <v>46211</v>
      </c>
      <c r="E663" t="s">
        <v>1074</v>
      </c>
      <c r="F663" t="s">
        <v>68</v>
      </c>
      <c r="G663" t="s">
        <v>295</v>
      </c>
      <c r="H663" t="s">
        <v>296</v>
      </c>
      <c r="I663" t="s">
        <v>71</v>
      </c>
      <c r="J663" t="s">
        <v>72</v>
      </c>
      <c r="K663" t="s">
        <v>73</v>
      </c>
      <c r="L663" t="s">
        <v>74</v>
      </c>
      <c r="M663" t="s">
        <v>1075</v>
      </c>
      <c r="N663" t="s">
        <v>76</v>
      </c>
      <c r="O663" t="s">
        <v>1076</v>
      </c>
      <c r="P663" t="s">
        <v>1077</v>
      </c>
      <c r="Q663" t="s">
        <v>1078</v>
      </c>
      <c r="R663" s="1">
        <v>46217</v>
      </c>
      <c r="S663" t="s">
        <v>841</v>
      </c>
      <c r="T663" t="s">
        <v>913</v>
      </c>
      <c r="U663" t="s">
        <v>843</v>
      </c>
      <c r="V663" t="s">
        <v>66</v>
      </c>
      <c r="W663" t="s">
        <v>66</v>
      </c>
      <c r="X663">
        <v>821436</v>
      </c>
      <c r="Y663">
        <v>90357.96</v>
      </c>
      <c r="Z663">
        <v>97020</v>
      </c>
      <c r="AA663">
        <v>10672.2</v>
      </c>
      <c r="AB663">
        <v>911793.96</v>
      </c>
      <c r="AC663">
        <v>6</v>
      </c>
      <c r="AD663" t="s">
        <v>82</v>
      </c>
      <c r="AE663">
        <v>6</v>
      </c>
      <c r="AF663" t="s">
        <v>93</v>
      </c>
      <c r="AG663">
        <f>IFERROR(VLOOKUP(AF663,[1]STOK!J:O,6,0),"")</f>
        <v>24</v>
      </c>
      <c r="AH663" s="2">
        <f t="shared" si="20"/>
        <v>0.25</v>
      </c>
      <c r="AI663" t="s">
        <v>93</v>
      </c>
      <c r="AJ663" t="s">
        <v>94</v>
      </c>
      <c r="AK663" t="s">
        <v>95</v>
      </c>
      <c r="AL663" t="s">
        <v>86</v>
      </c>
      <c r="AM663">
        <v>18315</v>
      </c>
      <c r="AN663">
        <f t="shared" si="21"/>
        <v>17948.7</v>
      </c>
      <c r="AO663" t="s">
        <v>66</v>
      </c>
      <c r="AP663">
        <v>2</v>
      </c>
      <c r="AQ663" t="s">
        <v>66</v>
      </c>
      <c r="AR663">
        <v>0</v>
      </c>
      <c r="AS663" t="s">
        <v>66</v>
      </c>
      <c r="AT663">
        <v>0</v>
      </c>
      <c r="AU663" t="s">
        <v>66</v>
      </c>
      <c r="AV663">
        <v>0</v>
      </c>
      <c r="AW663" t="s">
        <v>66</v>
      </c>
      <c r="AX663">
        <v>0</v>
      </c>
      <c r="AY663" t="s">
        <v>66</v>
      </c>
      <c r="AZ663">
        <v>0</v>
      </c>
      <c r="BA663" t="s">
        <v>66</v>
      </c>
      <c r="BB663">
        <v>0</v>
      </c>
      <c r="BC663">
        <v>0</v>
      </c>
      <c r="BD663">
        <v>107692.2</v>
      </c>
      <c r="BE663">
        <v>14931.77</v>
      </c>
      <c r="BF663">
        <v>0</v>
      </c>
      <c r="BG663" t="s">
        <v>87</v>
      </c>
      <c r="BH663" t="s">
        <v>66</v>
      </c>
      <c r="BI663">
        <v>0</v>
      </c>
      <c r="BJ663" t="s">
        <v>66</v>
      </c>
      <c r="BK663" t="s">
        <v>88</v>
      </c>
      <c r="BL663" t="s">
        <v>742</v>
      </c>
      <c r="BM663" t="s">
        <v>159</v>
      </c>
    </row>
    <row r="664" spans="1:65" x14ac:dyDescent="0.25">
      <c r="A664">
        <v>662</v>
      </c>
      <c r="B664" t="s">
        <v>1073</v>
      </c>
      <c r="C664" t="s">
        <v>68</v>
      </c>
      <c r="D664" s="1">
        <v>46211</v>
      </c>
      <c r="E664" t="s">
        <v>1074</v>
      </c>
      <c r="F664" t="s">
        <v>68</v>
      </c>
      <c r="G664" t="s">
        <v>295</v>
      </c>
      <c r="H664" t="s">
        <v>296</v>
      </c>
      <c r="I664" t="s">
        <v>71</v>
      </c>
      <c r="J664" t="s">
        <v>72</v>
      </c>
      <c r="K664" t="s">
        <v>73</v>
      </c>
      <c r="L664" t="s">
        <v>74</v>
      </c>
      <c r="M664" t="s">
        <v>1075</v>
      </c>
      <c r="N664" t="s">
        <v>76</v>
      </c>
      <c r="O664" t="s">
        <v>1076</v>
      </c>
      <c r="P664" t="s">
        <v>1077</v>
      </c>
      <c r="Q664" t="s">
        <v>1078</v>
      </c>
      <c r="R664" s="1">
        <v>46217</v>
      </c>
      <c r="S664" t="s">
        <v>841</v>
      </c>
      <c r="T664" t="s">
        <v>913</v>
      </c>
      <c r="U664" t="s">
        <v>843</v>
      </c>
      <c r="V664" t="s">
        <v>66</v>
      </c>
      <c r="W664" t="s">
        <v>66</v>
      </c>
      <c r="X664">
        <v>821436</v>
      </c>
      <c r="Y664">
        <v>90357.96</v>
      </c>
      <c r="Z664">
        <v>97020</v>
      </c>
      <c r="AA664">
        <v>10672.2</v>
      </c>
      <c r="AB664">
        <v>911793.96</v>
      </c>
      <c r="AC664">
        <v>6</v>
      </c>
      <c r="AD664" t="s">
        <v>82</v>
      </c>
      <c r="AE664">
        <v>6</v>
      </c>
      <c r="AF664" t="s">
        <v>96</v>
      </c>
      <c r="AG664">
        <f>IFERROR(VLOOKUP(AF664,[1]STOK!J:O,6,0),"")</f>
        <v>24</v>
      </c>
      <c r="AH664" s="2">
        <f t="shared" si="20"/>
        <v>0.25</v>
      </c>
      <c r="AI664" t="s">
        <v>96</v>
      </c>
      <c r="AJ664" t="s">
        <v>97</v>
      </c>
      <c r="AK664" t="s">
        <v>98</v>
      </c>
      <c r="AL664" t="s">
        <v>86</v>
      </c>
      <c r="AM664">
        <v>18315</v>
      </c>
      <c r="AN664">
        <f t="shared" si="21"/>
        <v>17948.7</v>
      </c>
      <c r="AO664" t="s">
        <v>66</v>
      </c>
      <c r="AP664">
        <v>2</v>
      </c>
      <c r="AQ664" t="s">
        <v>66</v>
      </c>
      <c r="AR664">
        <v>0</v>
      </c>
      <c r="AS664" t="s">
        <v>66</v>
      </c>
      <c r="AT664">
        <v>0</v>
      </c>
      <c r="AU664" t="s">
        <v>66</v>
      </c>
      <c r="AV664">
        <v>0</v>
      </c>
      <c r="AW664" t="s">
        <v>66</v>
      </c>
      <c r="AX664">
        <v>0</v>
      </c>
      <c r="AY664" t="s">
        <v>66</v>
      </c>
      <c r="AZ664">
        <v>0</v>
      </c>
      <c r="BA664" t="s">
        <v>66</v>
      </c>
      <c r="BB664">
        <v>0</v>
      </c>
      <c r="BC664">
        <v>0</v>
      </c>
      <c r="BD664">
        <v>107692.2</v>
      </c>
      <c r="BE664">
        <v>14932.85</v>
      </c>
      <c r="BF664">
        <v>0</v>
      </c>
      <c r="BG664" t="s">
        <v>87</v>
      </c>
      <c r="BH664" t="s">
        <v>66</v>
      </c>
      <c r="BI664">
        <v>0</v>
      </c>
      <c r="BJ664" t="s">
        <v>66</v>
      </c>
      <c r="BK664" t="s">
        <v>88</v>
      </c>
      <c r="BL664" t="s">
        <v>742</v>
      </c>
      <c r="BM664" t="s">
        <v>159</v>
      </c>
    </row>
    <row r="665" spans="1:65" x14ac:dyDescent="0.25">
      <c r="A665">
        <v>663</v>
      </c>
      <c r="B665" t="s">
        <v>1073</v>
      </c>
      <c r="C665" t="s">
        <v>68</v>
      </c>
      <c r="D665" s="1">
        <v>46211</v>
      </c>
      <c r="E665" t="s">
        <v>1074</v>
      </c>
      <c r="F665" t="s">
        <v>68</v>
      </c>
      <c r="G665" t="s">
        <v>295</v>
      </c>
      <c r="H665" t="s">
        <v>296</v>
      </c>
      <c r="I665" t="s">
        <v>71</v>
      </c>
      <c r="J665" t="s">
        <v>72</v>
      </c>
      <c r="K665" t="s">
        <v>73</v>
      </c>
      <c r="L665" t="s">
        <v>74</v>
      </c>
      <c r="M665" t="s">
        <v>1075</v>
      </c>
      <c r="N665" t="s">
        <v>76</v>
      </c>
      <c r="O665" t="s">
        <v>1076</v>
      </c>
      <c r="P665" t="s">
        <v>1077</v>
      </c>
      <c r="Q665" t="s">
        <v>1078</v>
      </c>
      <c r="R665" s="1">
        <v>46217</v>
      </c>
      <c r="S665" t="s">
        <v>841</v>
      </c>
      <c r="T665" t="s">
        <v>913</v>
      </c>
      <c r="U665" t="s">
        <v>843</v>
      </c>
      <c r="V665" t="s">
        <v>66</v>
      </c>
      <c r="W665" t="s">
        <v>66</v>
      </c>
      <c r="X665">
        <v>821436</v>
      </c>
      <c r="Y665">
        <v>90357.96</v>
      </c>
      <c r="Z665">
        <v>97020</v>
      </c>
      <c r="AA665">
        <v>10672.2</v>
      </c>
      <c r="AB665">
        <v>911793.96</v>
      </c>
      <c r="AC665">
        <v>6</v>
      </c>
      <c r="AD665" t="s">
        <v>82</v>
      </c>
      <c r="AE665">
        <v>6</v>
      </c>
      <c r="AF665" t="s">
        <v>99</v>
      </c>
      <c r="AG665">
        <f>IFERROR(VLOOKUP(AF665,[1]STOK!J:O,6,0),"")</f>
        <v>24</v>
      </c>
      <c r="AH665" s="2">
        <f t="shared" si="20"/>
        <v>0.25</v>
      </c>
      <c r="AI665" t="s">
        <v>99</v>
      </c>
      <c r="AJ665" t="s">
        <v>100</v>
      </c>
      <c r="AK665" t="s">
        <v>101</v>
      </c>
      <c r="AL665" t="s">
        <v>86</v>
      </c>
      <c r="AM665">
        <v>18315</v>
      </c>
      <c r="AN665">
        <f t="shared" si="21"/>
        <v>17948.7</v>
      </c>
      <c r="AO665" t="s">
        <v>66</v>
      </c>
      <c r="AP665">
        <v>2</v>
      </c>
      <c r="AQ665" t="s">
        <v>66</v>
      </c>
      <c r="AR665">
        <v>0</v>
      </c>
      <c r="AS665" t="s">
        <v>66</v>
      </c>
      <c r="AT665">
        <v>0</v>
      </c>
      <c r="AU665" t="s">
        <v>66</v>
      </c>
      <c r="AV665">
        <v>0</v>
      </c>
      <c r="AW665" t="s">
        <v>66</v>
      </c>
      <c r="AX665">
        <v>0</v>
      </c>
      <c r="AY665" t="s">
        <v>66</v>
      </c>
      <c r="AZ665">
        <v>0</v>
      </c>
      <c r="BA665" t="s">
        <v>66</v>
      </c>
      <c r="BB665">
        <v>0</v>
      </c>
      <c r="BC665">
        <v>0</v>
      </c>
      <c r="BD665">
        <v>107692.2</v>
      </c>
      <c r="BE665">
        <v>14915.33</v>
      </c>
      <c r="BF665">
        <v>0</v>
      </c>
      <c r="BG665" t="s">
        <v>87</v>
      </c>
      <c r="BH665" t="s">
        <v>66</v>
      </c>
      <c r="BI665">
        <v>0</v>
      </c>
      <c r="BJ665" t="s">
        <v>66</v>
      </c>
      <c r="BK665" t="s">
        <v>88</v>
      </c>
      <c r="BL665" t="s">
        <v>742</v>
      </c>
      <c r="BM665" t="s">
        <v>159</v>
      </c>
    </row>
    <row r="666" spans="1:65" x14ac:dyDescent="0.25">
      <c r="A666">
        <v>664</v>
      </c>
      <c r="B666" t="s">
        <v>1073</v>
      </c>
      <c r="C666" t="s">
        <v>68</v>
      </c>
      <c r="D666" s="1">
        <v>46211</v>
      </c>
      <c r="E666" t="s">
        <v>1074</v>
      </c>
      <c r="F666" t="s">
        <v>68</v>
      </c>
      <c r="G666" t="s">
        <v>295</v>
      </c>
      <c r="H666" t="s">
        <v>296</v>
      </c>
      <c r="I666" t="s">
        <v>71</v>
      </c>
      <c r="J666" t="s">
        <v>72</v>
      </c>
      <c r="K666" t="s">
        <v>73</v>
      </c>
      <c r="L666" t="s">
        <v>74</v>
      </c>
      <c r="M666" t="s">
        <v>1075</v>
      </c>
      <c r="N666" t="s">
        <v>76</v>
      </c>
      <c r="O666" t="s">
        <v>1076</v>
      </c>
      <c r="P666" t="s">
        <v>1077</v>
      </c>
      <c r="Q666" t="s">
        <v>1078</v>
      </c>
      <c r="R666" s="1">
        <v>46217</v>
      </c>
      <c r="S666" t="s">
        <v>841</v>
      </c>
      <c r="T666" t="s">
        <v>913</v>
      </c>
      <c r="U666" t="s">
        <v>843</v>
      </c>
      <c r="V666" t="s">
        <v>66</v>
      </c>
      <c r="W666" t="s">
        <v>66</v>
      </c>
      <c r="X666">
        <v>821436</v>
      </c>
      <c r="Y666">
        <v>90357.96</v>
      </c>
      <c r="Z666">
        <v>235200</v>
      </c>
      <c r="AA666">
        <v>25872</v>
      </c>
      <c r="AB666">
        <v>911793.96</v>
      </c>
      <c r="AC666">
        <v>12</v>
      </c>
      <c r="AD666" t="s">
        <v>82</v>
      </c>
      <c r="AE666">
        <v>12</v>
      </c>
      <c r="AF666" t="s">
        <v>290</v>
      </c>
      <c r="AG666">
        <f>IFERROR(VLOOKUP(AF666,[1]STOK!J:O,6,0),"")</f>
        <v>12</v>
      </c>
      <c r="AH666" s="2">
        <f t="shared" si="20"/>
        <v>1</v>
      </c>
      <c r="AI666" t="s">
        <v>290</v>
      </c>
      <c r="AJ666" t="s">
        <v>291</v>
      </c>
      <c r="AK666" t="s">
        <v>292</v>
      </c>
      <c r="AL666" t="s">
        <v>86</v>
      </c>
      <c r="AM666">
        <v>22200</v>
      </c>
      <c r="AN666">
        <f t="shared" si="21"/>
        <v>21756</v>
      </c>
      <c r="AO666" t="s">
        <v>66</v>
      </c>
      <c r="AP666">
        <v>2</v>
      </c>
      <c r="AQ666" t="s">
        <v>66</v>
      </c>
      <c r="AR666">
        <v>0</v>
      </c>
      <c r="AS666" t="s">
        <v>66</v>
      </c>
      <c r="AT666">
        <v>0</v>
      </c>
      <c r="AU666" t="s">
        <v>66</v>
      </c>
      <c r="AV666">
        <v>0</v>
      </c>
      <c r="AW666" t="s">
        <v>66</v>
      </c>
      <c r="AX666">
        <v>0</v>
      </c>
      <c r="AY666" t="s">
        <v>66</v>
      </c>
      <c r="AZ666">
        <v>0</v>
      </c>
      <c r="BA666" t="s">
        <v>66</v>
      </c>
      <c r="BB666">
        <v>0</v>
      </c>
      <c r="BC666">
        <v>0</v>
      </c>
      <c r="BD666">
        <v>261072</v>
      </c>
      <c r="BE666">
        <v>18106.89</v>
      </c>
      <c r="BF666">
        <v>0</v>
      </c>
      <c r="BG666" t="s">
        <v>87</v>
      </c>
      <c r="BH666" t="s">
        <v>66</v>
      </c>
      <c r="BI666">
        <v>0</v>
      </c>
      <c r="BJ666" t="s">
        <v>66</v>
      </c>
      <c r="BK666" t="s">
        <v>88</v>
      </c>
      <c r="BL666" t="s">
        <v>742</v>
      </c>
      <c r="BM666" t="s">
        <v>159</v>
      </c>
    </row>
    <row r="667" spans="1:65" x14ac:dyDescent="0.25">
      <c r="A667">
        <v>665</v>
      </c>
      <c r="B667" t="s">
        <v>1079</v>
      </c>
      <c r="C667" t="s">
        <v>68</v>
      </c>
      <c r="D667" s="1">
        <v>46211</v>
      </c>
      <c r="E667" t="s">
        <v>1080</v>
      </c>
      <c r="F667" t="s">
        <v>68</v>
      </c>
      <c r="G667" t="s">
        <v>295</v>
      </c>
      <c r="H667" t="s">
        <v>296</v>
      </c>
      <c r="I667" t="s">
        <v>71</v>
      </c>
      <c r="J667" t="s">
        <v>72</v>
      </c>
      <c r="K667" t="s">
        <v>73</v>
      </c>
      <c r="L667" t="s">
        <v>74</v>
      </c>
      <c r="M667" t="s">
        <v>1081</v>
      </c>
      <c r="N667" t="s">
        <v>76</v>
      </c>
      <c r="O667" t="s">
        <v>1082</v>
      </c>
      <c r="P667" t="s">
        <v>1083</v>
      </c>
      <c r="Q667" t="s">
        <v>1084</v>
      </c>
      <c r="R667" s="1">
        <v>46213</v>
      </c>
      <c r="S667" t="s">
        <v>841</v>
      </c>
      <c r="T667" t="s">
        <v>842</v>
      </c>
      <c r="U667" t="s">
        <v>843</v>
      </c>
      <c r="V667" t="s">
        <v>66</v>
      </c>
      <c r="W667" t="s">
        <v>66</v>
      </c>
      <c r="X667">
        <v>392490</v>
      </c>
      <c r="Y667">
        <v>43173.9</v>
      </c>
      <c r="Z667">
        <v>108192</v>
      </c>
      <c r="AA667">
        <v>11901.12</v>
      </c>
      <c r="AB667">
        <v>435663.9</v>
      </c>
      <c r="AC667">
        <v>6</v>
      </c>
      <c r="AD667" t="s">
        <v>82</v>
      </c>
      <c r="AE667">
        <v>6</v>
      </c>
      <c r="AF667" t="s">
        <v>720</v>
      </c>
      <c r="AG667">
        <f>IFERROR(VLOOKUP(AF667,[1]STOK!J:O,6,0),"")</f>
        <v>12</v>
      </c>
      <c r="AH667" s="2">
        <f t="shared" si="20"/>
        <v>0.5</v>
      </c>
      <c r="AI667" t="s">
        <v>720</v>
      </c>
      <c r="AJ667" t="s">
        <v>721</v>
      </c>
      <c r="AK667" t="s">
        <v>722</v>
      </c>
      <c r="AL667" t="s">
        <v>86</v>
      </c>
      <c r="AM667">
        <v>20424</v>
      </c>
      <c r="AN667">
        <f t="shared" si="21"/>
        <v>20015.52</v>
      </c>
      <c r="AO667" t="s">
        <v>66</v>
      </c>
      <c r="AP667">
        <v>2</v>
      </c>
      <c r="AQ667" t="s">
        <v>66</v>
      </c>
      <c r="AR667">
        <v>0</v>
      </c>
      <c r="AS667" t="s">
        <v>66</v>
      </c>
      <c r="AT667">
        <v>0</v>
      </c>
      <c r="AU667" t="s">
        <v>66</v>
      </c>
      <c r="AV667">
        <v>0</v>
      </c>
      <c r="AW667" t="s">
        <v>66</v>
      </c>
      <c r="AX667">
        <v>0</v>
      </c>
      <c r="AY667" t="s">
        <v>66</v>
      </c>
      <c r="AZ667">
        <v>0</v>
      </c>
      <c r="BA667" t="s">
        <v>66</v>
      </c>
      <c r="BB667">
        <v>0</v>
      </c>
      <c r="BC667">
        <v>0</v>
      </c>
      <c r="BD667">
        <v>120093.12</v>
      </c>
      <c r="BE667">
        <v>16635.12</v>
      </c>
      <c r="BF667">
        <v>0</v>
      </c>
      <c r="BG667" t="s">
        <v>87</v>
      </c>
      <c r="BH667" t="s">
        <v>66</v>
      </c>
      <c r="BI667">
        <v>0</v>
      </c>
      <c r="BJ667" t="s">
        <v>66</v>
      </c>
      <c r="BK667" t="s">
        <v>88</v>
      </c>
      <c r="BL667" t="s">
        <v>719</v>
      </c>
      <c r="BM667" t="s">
        <v>159</v>
      </c>
    </row>
    <row r="668" spans="1:65" x14ac:dyDescent="0.25">
      <c r="A668">
        <v>666</v>
      </c>
      <c r="B668" t="s">
        <v>1079</v>
      </c>
      <c r="C668" t="s">
        <v>68</v>
      </c>
      <c r="D668" s="1">
        <v>46211</v>
      </c>
      <c r="E668" t="s">
        <v>1080</v>
      </c>
      <c r="F668" t="s">
        <v>68</v>
      </c>
      <c r="G668" t="s">
        <v>295</v>
      </c>
      <c r="H668" t="s">
        <v>296</v>
      </c>
      <c r="I668" t="s">
        <v>71</v>
      </c>
      <c r="J668" t="s">
        <v>72</v>
      </c>
      <c r="K668" t="s">
        <v>73</v>
      </c>
      <c r="L668" t="s">
        <v>74</v>
      </c>
      <c r="M668" t="s">
        <v>1081</v>
      </c>
      <c r="N668" t="s">
        <v>76</v>
      </c>
      <c r="O668" t="s">
        <v>1082</v>
      </c>
      <c r="P668" t="s">
        <v>1083</v>
      </c>
      <c r="Q668" t="s">
        <v>1084</v>
      </c>
      <c r="R668" s="1">
        <v>46213</v>
      </c>
      <c r="S668" t="s">
        <v>841</v>
      </c>
      <c r="T668" t="s">
        <v>842</v>
      </c>
      <c r="U668" t="s">
        <v>843</v>
      </c>
      <c r="V668" t="s">
        <v>66</v>
      </c>
      <c r="W668" t="s">
        <v>66</v>
      </c>
      <c r="X668">
        <v>392490</v>
      </c>
      <c r="Y668">
        <v>43173.9</v>
      </c>
      <c r="Z668">
        <v>43512</v>
      </c>
      <c r="AA668">
        <v>4786.32</v>
      </c>
      <c r="AB668">
        <v>435663.9</v>
      </c>
      <c r="AC668">
        <v>6</v>
      </c>
      <c r="AD668" t="s">
        <v>82</v>
      </c>
      <c r="AE668">
        <v>6</v>
      </c>
      <c r="AF668" t="s">
        <v>262</v>
      </c>
      <c r="AG668">
        <f>IFERROR(VLOOKUP(AF668,[1]STOK!J:O,6,0),"")</f>
        <v>24</v>
      </c>
      <c r="AH668" s="2">
        <f t="shared" si="20"/>
        <v>0.25</v>
      </c>
      <c r="AI668" t="s">
        <v>262</v>
      </c>
      <c r="AJ668" t="s">
        <v>263</v>
      </c>
      <c r="AK668" t="s">
        <v>264</v>
      </c>
      <c r="AL668" t="s">
        <v>86</v>
      </c>
      <c r="AM668">
        <v>8214</v>
      </c>
      <c r="AN668">
        <f t="shared" si="21"/>
        <v>8049.72</v>
      </c>
      <c r="AO668" t="s">
        <v>66</v>
      </c>
      <c r="AP668">
        <v>2</v>
      </c>
      <c r="AQ668" t="s">
        <v>66</v>
      </c>
      <c r="AR668">
        <v>0</v>
      </c>
      <c r="AS668" t="s">
        <v>66</v>
      </c>
      <c r="AT668">
        <v>0</v>
      </c>
      <c r="AU668" t="s">
        <v>66</v>
      </c>
      <c r="AV668">
        <v>0</v>
      </c>
      <c r="AW668" t="s">
        <v>66</v>
      </c>
      <c r="AX668">
        <v>0</v>
      </c>
      <c r="AY668" t="s">
        <v>66</v>
      </c>
      <c r="AZ668">
        <v>0</v>
      </c>
      <c r="BA668" t="s">
        <v>66</v>
      </c>
      <c r="BB668">
        <v>0</v>
      </c>
      <c r="BC668">
        <v>0</v>
      </c>
      <c r="BD668">
        <v>48298.32</v>
      </c>
      <c r="BE668">
        <v>6694.46</v>
      </c>
      <c r="BF668">
        <v>0</v>
      </c>
      <c r="BG668" t="s">
        <v>87</v>
      </c>
      <c r="BH668" t="s">
        <v>66</v>
      </c>
      <c r="BI668">
        <v>0</v>
      </c>
      <c r="BJ668" t="s">
        <v>66</v>
      </c>
      <c r="BK668" t="s">
        <v>88</v>
      </c>
      <c r="BL668" t="s">
        <v>719</v>
      </c>
      <c r="BM668" t="s">
        <v>159</v>
      </c>
    </row>
    <row r="669" spans="1:65" x14ac:dyDescent="0.25">
      <c r="A669">
        <v>667</v>
      </c>
      <c r="B669" t="s">
        <v>1079</v>
      </c>
      <c r="C669" t="s">
        <v>68</v>
      </c>
      <c r="D669" s="1">
        <v>46211</v>
      </c>
      <c r="E669" t="s">
        <v>1080</v>
      </c>
      <c r="F669" t="s">
        <v>68</v>
      </c>
      <c r="G669" t="s">
        <v>295</v>
      </c>
      <c r="H669" t="s">
        <v>296</v>
      </c>
      <c r="I669" t="s">
        <v>71</v>
      </c>
      <c r="J669" t="s">
        <v>72</v>
      </c>
      <c r="K669" t="s">
        <v>73</v>
      </c>
      <c r="L669" t="s">
        <v>74</v>
      </c>
      <c r="M669" t="s">
        <v>1081</v>
      </c>
      <c r="N669" t="s">
        <v>76</v>
      </c>
      <c r="O669" t="s">
        <v>1082</v>
      </c>
      <c r="P669" t="s">
        <v>1083</v>
      </c>
      <c r="Q669" t="s">
        <v>1084</v>
      </c>
      <c r="R669" s="1">
        <v>46213</v>
      </c>
      <c r="S669" t="s">
        <v>841</v>
      </c>
      <c r="T669" t="s">
        <v>842</v>
      </c>
      <c r="U669" t="s">
        <v>843</v>
      </c>
      <c r="V669" t="s">
        <v>66</v>
      </c>
      <c r="W669" t="s">
        <v>66</v>
      </c>
      <c r="X669">
        <v>392490</v>
      </c>
      <c r="Y669">
        <v>43173.9</v>
      </c>
      <c r="Z669">
        <v>58212</v>
      </c>
      <c r="AA669">
        <v>6403.32</v>
      </c>
      <c r="AB669">
        <v>435663.9</v>
      </c>
      <c r="AC669">
        <v>3</v>
      </c>
      <c r="AD669" t="s">
        <v>82</v>
      </c>
      <c r="AE669">
        <v>3</v>
      </c>
      <c r="AF669" t="s">
        <v>370</v>
      </c>
      <c r="AG669">
        <f>IFERROR(VLOOKUP(AF669,[1]STOK!J:O,6,0),"")</f>
        <v>12</v>
      </c>
      <c r="AH669" s="2">
        <f t="shared" si="20"/>
        <v>0.25</v>
      </c>
      <c r="AI669" t="s">
        <v>370</v>
      </c>
      <c r="AJ669" t="s">
        <v>371</v>
      </c>
      <c r="AK669" t="s">
        <v>372</v>
      </c>
      <c r="AL669" t="s">
        <v>86</v>
      </c>
      <c r="AM669">
        <v>21978</v>
      </c>
      <c r="AN669">
        <f t="shared" si="21"/>
        <v>21538.44</v>
      </c>
      <c r="AO669" t="s">
        <v>66</v>
      </c>
      <c r="AP669">
        <v>2</v>
      </c>
      <c r="AQ669" t="s">
        <v>66</v>
      </c>
      <c r="AR669">
        <v>0</v>
      </c>
      <c r="AS669" t="s">
        <v>66</v>
      </c>
      <c r="AT669">
        <v>0</v>
      </c>
      <c r="AU669" t="s">
        <v>66</v>
      </c>
      <c r="AV669">
        <v>0</v>
      </c>
      <c r="AW669" t="s">
        <v>66</v>
      </c>
      <c r="AX669">
        <v>0</v>
      </c>
      <c r="AY669" t="s">
        <v>66</v>
      </c>
      <c r="AZ669">
        <v>0</v>
      </c>
      <c r="BA669" t="s">
        <v>66</v>
      </c>
      <c r="BB669">
        <v>0</v>
      </c>
      <c r="BC669">
        <v>0</v>
      </c>
      <c r="BD669">
        <v>64615.32</v>
      </c>
      <c r="BE669">
        <v>17580.75</v>
      </c>
      <c r="BF669">
        <v>0</v>
      </c>
      <c r="BG669" t="s">
        <v>87</v>
      </c>
      <c r="BH669" t="s">
        <v>66</v>
      </c>
      <c r="BI669">
        <v>0</v>
      </c>
      <c r="BJ669" t="s">
        <v>66</v>
      </c>
      <c r="BK669" t="s">
        <v>88</v>
      </c>
      <c r="BL669" t="s">
        <v>719</v>
      </c>
      <c r="BM669" t="s">
        <v>159</v>
      </c>
    </row>
    <row r="670" spans="1:65" x14ac:dyDescent="0.25">
      <c r="A670">
        <v>668</v>
      </c>
      <c r="B670" t="s">
        <v>1079</v>
      </c>
      <c r="C670" t="s">
        <v>68</v>
      </c>
      <c r="D670" s="1">
        <v>46211</v>
      </c>
      <c r="E670" t="s">
        <v>1080</v>
      </c>
      <c r="F670" t="s">
        <v>68</v>
      </c>
      <c r="G670" t="s">
        <v>295</v>
      </c>
      <c r="H670" t="s">
        <v>296</v>
      </c>
      <c r="I670" t="s">
        <v>71</v>
      </c>
      <c r="J670" t="s">
        <v>72</v>
      </c>
      <c r="K670" t="s">
        <v>73</v>
      </c>
      <c r="L670" t="s">
        <v>74</v>
      </c>
      <c r="M670" t="s">
        <v>1081</v>
      </c>
      <c r="N670" t="s">
        <v>76</v>
      </c>
      <c r="O670" t="s">
        <v>1082</v>
      </c>
      <c r="P670" t="s">
        <v>1083</v>
      </c>
      <c r="Q670" t="s">
        <v>1084</v>
      </c>
      <c r="R670" s="1">
        <v>46213</v>
      </c>
      <c r="S670" t="s">
        <v>841</v>
      </c>
      <c r="T670" t="s">
        <v>842</v>
      </c>
      <c r="U670" t="s">
        <v>843</v>
      </c>
      <c r="V670" t="s">
        <v>66</v>
      </c>
      <c r="W670" t="s">
        <v>66</v>
      </c>
      <c r="X670">
        <v>392490</v>
      </c>
      <c r="Y670">
        <v>43173.9</v>
      </c>
      <c r="Z670">
        <v>43512</v>
      </c>
      <c r="AA670">
        <v>4786.32</v>
      </c>
      <c r="AB670">
        <v>435663.9</v>
      </c>
      <c r="AC670">
        <v>3</v>
      </c>
      <c r="AD670" t="s">
        <v>82</v>
      </c>
      <c r="AE670">
        <v>3</v>
      </c>
      <c r="AF670" t="s">
        <v>845</v>
      </c>
      <c r="AG670">
        <f>IFERROR(VLOOKUP(AF670,[1]STOK!J:O,6,0),"")</f>
        <v>12</v>
      </c>
      <c r="AH670" s="2">
        <f t="shared" si="20"/>
        <v>0.25</v>
      </c>
      <c r="AI670" t="s">
        <v>845</v>
      </c>
      <c r="AJ670" t="s">
        <v>846</v>
      </c>
      <c r="AK670" t="s">
        <v>847</v>
      </c>
      <c r="AL670" t="s">
        <v>86</v>
      </c>
      <c r="AM670">
        <v>16428</v>
      </c>
      <c r="AN670">
        <f t="shared" si="21"/>
        <v>16099.44</v>
      </c>
      <c r="AO670" t="s">
        <v>66</v>
      </c>
      <c r="AP670">
        <v>2</v>
      </c>
      <c r="AQ670" t="s">
        <v>66</v>
      </c>
      <c r="AR670">
        <v>0</v>
      </c>
      <c r="AS670" t="s">
        <v>66</v>
      </c>
      <c r="AT670">
        <v>0</v>
      </c>
      <c r="AU670" t="s">
        <v>66</v>
      </c>
      <c r="AV670">
        <v>0</v>
      </c>
      <c r="AW670" t="s">
        <v>66</v>
      </c>
      <c r="AX670">
        <v>0</v>
      </c>
      <c r="AY670" t="s">
        <v>66</v>
      </c>
      <c r="AZ670">
        <v>0</v>
      </c>
      <c r="BA670" t="s">
        <v>66</v>
      </c>
      <c r="BB670">
        <v>0</v>
      </c>
      <c r="BC670">
        <v>0</v>
      </c>
      <c r="BD670">
        <v>48298.32</v>
      </c>
      <c r="BE670">
        <v>13381.11</v>
      </c>
      <c r="BF670">
        <v>0</v>
      </c>
      <c r="BG670" t="s">
        <v>87</v>
      </c>
      <c r="BH670" t="s">
        <v>66</v>
      </c>
      <c r="BI670">
        <v>0</v>
      </c>
      <c r="BJ670" t="s">
        <v>66</v>
      </c>
      <c r="BK670" t="s">
        <v>88</v>
      </c>
      <c r="BL670" t="s">
        <v>719</v>
      </c>
      <c r="BM670" t="s">
        <v>159</v>
      </c>
    </row>
    <row r="671" spans="1:65" x14ac:dyDescent="0.25">
      <c r="A671">
        <v>669</v>
      </c>
      <c r="B671" t="s">
        <v>1079</v>
      </c>
      <c r="C671" t="s">
        <v>68</v>
      </c>
      <c r="D671" s="1">
        <v>46211</v>
      </c>
      <c r="E671" t="s">
        <v>1080</v>
      </c>
      <c r="F671" t="s">
        <v>68</v>
      </c>
      <c r="G671" t="s">
        <v>295</v>
      </c>
      <c r="H671" t="s">
        <v>296</v>
      </c>
      <c r="I671" t="s">
        <v>71</v>
      </c>
      <c r="J671" t="s">
        <v>72</v>
      </c>
      <c r="K671" t="s">
        <v>73</v>
      </c>
      <c r="L671" t="s">
        <v>74</v>
      </c>
      <c r="M671" t="s">
        <v>1081</v>
      </c>
      <c r="N671" t="s">
        <v>76</v>
      </c>
      <c r="O671" t="s">
        <v>1082</v>
      </c>
      <c r="P671" t="s">
        <v>1083</v>
      </c>
      <c r="Q671" t="s">
        <v>1084</v>
      </c>
      <c r="R671" s="1">
        <v>46213</v>
      </c>
      <c r="S671" t="s">
        <v>841</v>
      </c>
      <c r="T671" t="s">
        <v>842</v>
      </c>
      <c r="U671" t="s">
        <v>843</v>
      </c>
      <c r="V671" t="s">
        <v>66</v>
      </c>
      <c r="W671" t="s">
        <v>66</v>
      </c>
      <c r="X671">
        <v>392490</v>
      </c>
      <c r="Y671">
        <v>43173.9</v>
      </c>
      <c r="Z671">
        <v>80262</v>
      </c>
      <c r="AA671">
        <v>8828.82</v>
      </c>
      <c r="AB671">
        <v>435663.9</v>
      </c>
      <c r="AC671">
        <v>3</v>
      </c>
      <c r="AD671" t="s">
        <v>82</v>
      </c>
      <c r="AE671">
        <v>3</v>
      </c>
      <c r="AF671" t="s">
        <v>563</v>
      </c>
      <c r="AG671">
        <f>IFERROR(VLOOKUP(AF671,[1]STOK!J:O,6,0),"")</f>
        <v>12</v>
      </c>
      <c r="AH671" s="2">
        <f t="shared" si="20"/>
        <v>0.25</v>
      </c>
      <c r="AI671" t="s">
        <v>563</v>
      </c>
      <c r="AJ671" t="s">
        <v>564</v>
      </c>
      <c r="AK671" t="s">
        <v>565</v>
      </c>
      <c r="AL671" t="s">
        <v>86</v>
      </c>
      <c r="AM671">
        <v>30303</v>
      </c>
      <c r="AN671">
        <f t="shared" si="21"/>
        <v>29696.940000000002</v>
      </c>
      <c r="AO671" t="s">
        <v>66</v>
      </c>
      <c r="AP671">
        <v>2</v>
      </c>
      <c r="AQ671" t="s">
        <v>66</v>
      </c>
      <c r="AR671">
        <v>0</v>
      </c>
      <c r="AS671" t="s">
        <v>66</v>
      </c>
      <c r="AT671">
        <v>0</v>
      </c>
      <c r="AU671" t="s">
        <v>66</v>
      </c>
      <c r="AV671">
        <v>0</v>
      </c>
      <c r="AW671" t="s">
        <v>66</v>
      </c>
      <c r="AX671">
        <v>0</v>
      </c>
      <c r="AY671" t="s">
        <v>66</v>
      </c>
      <c r="AZ671">
        <v>0</v>
      </c>
      <c r="BA671" t="s">
        <v>66</v>
      </c>
      <c r="BB671">
        <v>0</v>
      </c>
      <c r="BC671">
        <v>0</v>
      </c>
      <c r="BD671">
        <v>89090.82</v>
      </c>
      <c r="BE671">
        <v>24679.38</v>
      </c>
      <c r="BF671">
        <v>0</v>
      </c>
      <c r="BG671" t="s">
        <v>87</v>
      </c>
      <c r="BH671" t="s">
        <v>66</v>
      </c>
      <c r="BI671">
        <v>0</v>
      </c>
      <c r="BJ671" t="s">
        <v>66</v>
      </c>
      <c r="BK671" t="s">
        <v>88</v>
      </c>
      <c r="BL671" t="s">
        <v>719</v>
      </c>
      <c r="BM671" t="s">
        <v>159</v>
      </c>
    </row>
    <row r="672" spans="1:65" x14ac:dyDescent="0.25">
      <c r="A672">
        <v>670</v>
      </c>
      <c r="B672" t="s">
        <v>1079</v>
      </c>
      <c r="C672" t="s">
        <v>68</v>
      </c>
      <c r="D672" s="1">
        <v>46211</v>
      </c>
      <c r="E672" t="s">
        <v>1080</v>
      </c>
      <c r="F672" t="s">
        <v>68</v>
      </c>
      <c r="G672" t="s">
        <v>295</v>
      </c>
      <c r="H672" t="s">
        <v>296</v>
      </c>
      <c r="I672" t="s">
        <v>71</v>
      </c>
      <c r="J672" t="s">
        <v>72</v>
      </c>
      <c r="K672" t="s">
        <v>73</v>
      </c>
      <c r="L672" t="s">
        <v>74</v>
      </c>
      <c r="M672" t="s">
        <v>1081</v>
      </c>
      <c r="N672" t="s">
        <v>76</v>
      </c>
      <c r="O672" t="s">
        <v>1082</v>
      </c>
      <c r="P672" t="s">
        <v>1083</v>
      </c>
      <c r="Q672" t="s">
        <v>1084</v>
      </c>
      <c r="R672" s="1">
        <v>46213</v>
      </c>
      <c r="S672" t="s">
        <v>841</v>
      </c>
      <c r="T672" t="s">
        <v>842</v>
      </c>
      <c r="U672" t="s">
        <v>843</v>
      </c>
      <c r="V672" t="s">
        <v>66</v>
      </c>
      <c r="W672" t="s">
        <v>66</v>
      </c>
      <c r="X672">
        <v>392490</v>
      </c>
      <c r="Y672">
        <v>43173.9</v>
      </c>
      <c r="Z672">
        <v>58800</v>
      </c>
      <c r="AA672">
        <v>6468</v>
      </c>
      <c r="AB672">
        <v>435663.9</v>
      </c>
      <c r="AC672">
        <v>3</v>
      </c>
      <c r="AD672" t="s">
        <v>82</v>
      </c>
      <c r="AE672">
        <v>3</v>
      </c>
      <c r="AF672" t="s">
        <v>290</v>
      </c>
      <c r="AG672">
        <f>IFERROR(VLOOKUP(AF672,[1]STOK!J:O,6,0),"")</f>
        <v>12</v>
      </c>
      <c r="AH672" s="2">
        <f t="shared" si="20"/>
        <v>0.25</v>
      </c>
      <c r="AI672" t="s">
        <v>290</v>
      </c>
      <c r="AJ672" t="s">
        <v>291</v>
      </c>
      <c r="AK672" t="s">
        <v>292</v>
      </c>
      <c r="AL672" t="s">
        <v>86</v>
      </c>
      <c r="AM672">
        <v>22200</v>
      </c>
      <c r="AN672">
        <f t="shared" si="21"/>
        <v>21756</v>
      </c>
      <c r="AO672" t="s">
        <v>66</v>
      </c>
      <c r="AP672">
        <v>2</v>
      </c>
      <c r="AQ672" t="s">
        <v>66</v>
      </c>
      <c r="AR672">
        <v>0</v>
      </c>
      <c r="AS672" t="s">
        <v>66</v>
      </c>
      <c r="AT672">
        <v>0</v>
      </c>
      <c r="AU672" t="s">
        <v>66</v>
      </c>
      <c r="AV672">
        <v>0</v>
      </c>
      <c r="AW672" t="s">
        <v>66</v>
      </c>
      <c r="AX672">
        <v>0</v>
      </c>
      <c r="AY672" t="s">
        <v>66</v>
      </c>
      <c r="AZ672">
        <v>0</v>
      </c>
      <c r="BA672" t="s">
        <v>66</v>
      </c>
      <c r="BB672">
        <v>0</v>
      </c>
      <c r="BC672">
        <v>0</v>
      </c>
      <c r="BD672">
        <v>65268</v>
      </c>
      <c r="BE672">
        <v>18106.89</v>
      </c>
      <c r="BF672">
        <v>0</v>
      </c>
      <c r="BG672" t="s">
        <v>87</v>
      </c>
      <c r="BH672" t="s">
        <v>66</v>
      </c>
      <c r="BI672">
        <v>0</v>
      </c>
      <c r="BJ672" t="s">
        <v>66</v>
      </c>
      <c r="BK672" t="s">
        <v>88</v>
      </c>
      <c r="BL672" t="s">
        <v>719</v>
      </c>
      <c r="BM672" t="s">
        <v>159</v>
      </c>
    </row>
    <row r="673" spans="1:65" x14ac:dyDescent="0.25">
      <c r="A673">
        <v>671</v>
      </c>
      <c r="B673" t="s">
        <v>1085</v>
      </c>
      <c r="C673" t="s">
        <v>68</v>
      </c>
      <c r="D673" s="1">
        <v>46211</v>
      </c>
      <c r="E673" t="s">
        <v>1086</v>
      </c>
      <c r="F673" t="s">
        <v>68</v>
      </c>
      <c r="G673" t="s">
        <v>295</v>
      </c>
      <c r="H673" t="s">
        <v>296</v>
      </c>
      <c r="I673" t="s">
        <v>71</v>
      </c>
      <c r="J673" t="s">
        <v>72</v>
      </c>
      <c r="K673" t="s">
        <v>73</v>
      </c>
      <c r="L673" t="s">
        <v>74</v>
      </c>
      <c r="M673" t="s">
        <v>1087</v>
      </c>
      <c r="N673" t="s">
        <v>76</v>
      </c>
      <c r="O673" t="s">
        <v>1088</v>
      </c>
      <c r="P673" t="s">
        <v>1089</v>
      </c>
      <c r="Q673" t="s">
        <v>1090</v>
      </c>
      <c r="R673" s="1">
        <v>46212</v>
      </c>
      <c r="S673" t="s">
        <v>841</v>
      </c>
      <c r="T673" t="s">
        <v>842</v>
      </c>
      <c r="U673" t="s">
        <v>843</v>
      </c>
      <c r="V673" t="s">
        <v>66</v>
      </c>
      <c r="W673" t="s">
        <v>66</v>
      </c>
      <c r="X673">
        <v>1164828</v>
      </c>
      <c r="Y673">
        <v>128131.08</v>
      </c>
      <c r="Z673">
        <v>87024</v>
      </c>
      <c r="AA673">
        <v>9572.64</v>
      </c>
      <c r="AB673">
        <v>1292959.08</v>
      </c>
      <c r="AC673">
        <v>6</v>
      </c>
      <c r="AD673" t="s">
        <v>82</v>
      </c>
      <c r="AE673">
        <v>6</v>
      </c>
      <c r="AF673" t="s">
        <v>845</v>
      </c>
      <c r="AG673">
        <f>IFERROR(VLOOKUP(AF673,[1]STOK!J:O,6,0),"")</f>
        <v>12</v>
      </c>
      <c r="AH673" s="2">
        <f t="shared" si="20"/>
        <v>0.5</v>
      </c>
      <c r="AI673" t="s">
        <v>845</v>
      </c>
      <c r="AJ673" t="s">
        <v>846</v>
      </c>
      <c r="AK673" t="s">
        <v>847</v>
      </c>
      <c r="AL673" t="s">
        <v>86</v>
      </c>
      <c r="AM673">
        <v>16428</v>
      </c>
      <c r="AN673">
        <f t="shared" si="21"/>
        <v>16099.44</v>
      </c>
      <c r="AO673" t="s">
        <v>66</v>
      </c>
      <c r="AP673">
        <v>2</v>
      </c>
      <c r="AQ673" t="s">
        <v>66</v>
      </c>
      <c r="AR673">
        <v>0</v>
      </c>
      <c r="AS673" t="s">
        <v>66</v>
      </c>
      <c r="AT673">
        <v>0</v>
      </c>
      <c r="AU673" t="s">
        <v>66</v>
      </c>
      <c r="AV673">
        <v>0</v>
      </c>
      <c r="AW673" t="s">
        <v>66</v>
      </c>
      <c r="AX673">
        <v>0</v>
      </c>
      <c r="AY673" t="s">
        <v>66</v>
      </c>
      <c r="AZ673">
        <v>0</v>
      </c>
      <c r="BA673" t="s">
        <v>66</v>
      </c>
      <c r="BB673">
        <v>0</v>
      </c>
      <c r="BC673">
        <v>0</v>
      </c>
      <c r="BD673">
        <v>96596.64</v>
      </c>
      <c r="BE673">
        <v>13381.11</v>
      </c>
      <c r="BF673">
        <v>0</v>
      </c>
      <c r="BG673" t="s">
        <v>87</v>
      </c>
      <c r="BH673" t="s">
        <v>66</v>
      </c>
      <c r="BI673">
        <v>0</v>
      </c>
      <c r="BJ673" t="s">
        <v>66</v>
      </c>
      <c r="BK673" t="s">
        <v>88</v>
      </c>
      <c r="BL673" t="s">
        <v>719</v>
      </c>
      <c r="BM673" t="s">
        <v>159</v>
      </c>
    </row>
    <row r="674" spans="1:65" x14ac:dyDescent="0.25">
      <c r="A674">
        <v>672</v>
      </c>
      <c r="B674" t="s">
        <v>1085</v>
      </c>
      <c r="C674" t="s">
        <v>68</v>
      </c>
      <c r="D674" s="1">
        <v>46211</v>
      </c>
      <c r="E674" t="s">
        <v>1086</v>
      </c>
      <c r="F674" t="s">
        <v>68</v>
      </c>
      <c r="G674" t="s">
        <v>295</v>
      </c>
      <c r="H674" t="s">
        <v>296</v>
      </c>
      <c r="I674" t="s">
        <v>71</v>
      </c>
      <c r="J674" t="s">
        <v>72</v>
      </c>
      <c r="K674" t="s">
        <v>73</v>
      </c>
      <c r="L674" t="s">
        <v>74</v>
      </c>
      <c r="M674" t="s">
        <v>1087</v>
      </c>
      <c r="N674" t="s">
        <v>76</v>
      </c>
      <c r="O674" t="s">
        <v>1088</v>
      </c>
      <c r="P674" t="s">
        <v>1089</v>
      </c>
      <c r="Q674" t="s">
        <v>1090</v>
      </c>
      <c r="R674" s="1">
        <v>46212</v>
      </c>
      <c r="S674" t="s">
        <v>841</v>
      </c>
      <c r="T674" t="s">
        <v>842</v>
      </c>
      <c r="U674" t="s">
        <v>843</v>
      </c>
      <c r="V674" t="s">
        <v>66</v>
      </c>
      <c r="W674" t="s">
        <v>66</v>
      </c>
      <c r="X674">
        <v>1164828</v>
      </c>
      <c r="Y674">
        <v>128131.08</v>
      </c>
      <c r="Z674">
        <v>97020</v>
      </c>
      <c r="AA674">
        <v>10672.2</v>
      </c>
      <c r="AB674">
        <v>1292959.08</v>
      </c>
      <c r="AC674">
        <v>6</v>
      </c>
      <c r="AD674" t="s">
        <v>82</v>
      </c>
      <c r="AE674">
        <v>6</v>
      </c>
      <c r="AF674" t="s">
        <v>128</v>
      </c>
      <c r="AG674">
        <f>IFERROR(VLOOKUP(AF674,[1]STOK!J:O,6,0),"")</f>
        <v>24</v>
      </c>
      <c r="AH674" s="2">
        <f t="shared" si="20"/>
        <v>0.25</v>
      </c>
      <c r="AI674" t="s">
        <v>128</v>
      </c>
      <c r="AJ674" t="s">
        <v>129</v>
      </c>
      <c r="AK674" t="s">
        <v>130</v>
      </c>
      <c r="AL674" t="s">
        <v>86</v>
      </c>
      <c r="AM674">
        <v>18315</v>
      </c>
      <c r="AN674">
        <f t="shared" si="21"/>
        <v>17948.7</v>
      </c>
      <c r="AO674" t="s">
        <v>66</v>
      </c>
      <c r="AP674">
        <v>2</v>
      </c>
      <c r="AQ674" t="s">
        <v>66</v>
      </c>
      <c r="AR674">
        <v>0</v>
      </c>
      <c r="AS674" t="s">
        <v>66</v>
      </c>
      <c r="AT674">
        <v>0</v>
      </c>
      <c r="AU674" t="s">
        <v>66</v>
      </c>
      <c r="AV674">
        <v>0</v>
      </c>
      <c r="AW674" t="s">
        <v>66</v>
      </c>
      <c r="AX674">
        <v>0</v>
      </c>
      <c r="AY674" t="s">
        <v>66</v>
      </c>
      <c r="AZ674">
        <v>0</v>
      </c>
      <c r="BA674" t="s">
        <v>66</v>
      </c>
      <c r="BB674">
        <v>0</v>
      </c>
      <c r="BC674">
        <v>0</v>
      </c>
      <c r="BD674">
        <v>107692.2</v>
      </c>
      <c r="BE674">
        <v>14918.85</v>
      </c>
      <c r="BF674">
        <v>0</v>
      </c>
      <c r="BG674" t="s">
        <v>87</v>
      </c>
      <c r="BH674" t="s">
        <v>66</v>
      </c>
      <c r="BI674">
        <v>0</v>
      </c>
      <c r="BJ674" t="s">
        <v>66</v>
      </c>
      <c r="BK674" t="s">
        <v>88</v>
      </c>
      <c r="BL674" t="s">
        <v>719</v>
      </c>
      <c r="BM674" t="s">
        <v>159</v>
      </c>
    </row>
    <row r="675" spans="1:65" x14ac:dyDescent="0.25">
      <c r="A675">
        <v>673</v>
      </c>
      <c r="B675" t="s">
        <v>1085</v>
      </c>
      <c r="C675" t="s">
        <v>68</v>
      </c>
      <c r="D675" s="1">
        <v>46211</v>
      </c>
      <c r="E675" t="s">
        <v>1086</v>
      </c>
      <c r="F675" t="s">
        <v>68</v>
      </c>
      <c r="G675" t="s">
        <v>295</v>
      </c>
      <c r="H675" t="s">
        <v>296</v>
      </c>
      <c r="I675" t="s">
        <v>71</v>
      </c>
      <c r="J675" t="s">
        <v>72</v>
      </c>
      <c r="K675" t="s">
        <v>73</v>
      </c>
      <c r="L675" t="s">
        <v>74</v>
      </c>
      <c r="M675" t="s">
        <v>1087</v>
      </c>
      <c r="N675" t="s">
        <v>76</v>
      </c>
      <c r="O675" t="s">
        <v>1088</v>
      </c>
      <c r="P675" t="s">
        <v>1089</v>
      </c>
      <c r="Q675" t="s">
        <v>1090</v>
      </c>
      <c r="R675" s="1">
        <v>46212</v>
      </c>
      <c r="S675" t="s">
        <v>841</v>
      </c>
      <c r="T675" t="s">
        <v>842</v>
      </c>
      <c r="U675" t="s">
        <v>843</v>
      </c>
      <c r="V675" t="s">
        <v>66</v>
      </c>
      <c r="W675" t="s">
        <v>66</v>
      </c>
      <c r="X675">
        <v>1164828</v>
      </c>
      <c r="Y675">
        <v>128131.08</v>
      </c>
      <c r="Z675">
        <v>97020</v>
      </c>
      <c r="AA675">
        <v>10672.2</v>
      </c>
      <c r="AB675">
        <v>1292959.08</v>
      </c>
      <c r="AC675">
        <v>6</v>
      </c>
      <c r="AD675" t="s">
        <v>82</v>
      </c>
      <c r="AE675">
        <v>6</v>
      </c>
      <c r="AF675" t="s">
        <v>93</v>
      </c>
      <c r="AG675">
        <f>IFERROR(VLOOKUP(AF675,[1]STOK!J:O,6,0),"")</f>
        <v>24</v>
      </c>
      <c r="AH675" s="2">
        <f t="shared" si="20"/>
        <v>0.25</v>
      </c>
      <c r="AI675" t="s">
        <v>93</v>
      </c>
      <c r="AJ675" t="s">
        <v>94</v>
      </c>
      <c r="AK675" t="s">
        <v>95</v>
      </c>
      <c r="AL675" t="s">
        <v>86</v>
      </c>
      <c r="AM675">
        <v>18315</v>
      </c>
      <c r="AN675">
        <f t="shared" si="21"/>
        <v>17948.7</v>
      </c>
      <c r="AO675" t="s">
        <v>66</v>
      </c>
      <c r="AP675">
        <v>2</v>
      </c>
      <c r="AQ675" t="s">
        <v>66</v>
      </c>
      <c r="AR675">
        <v>0</v>
      </c>
      <c r="AS675" t="s">
        <v>66</v>
      </c>
      <c r="AT675">
        <v>0</v>
      </c>
      <c r="AU675" t="s">
        <v>66</v>
      </c>
      <c r="AV675">
        <v>0</v>
      </c>
      <c r="AW675" t="s">
        <v>66</v>
      </c>
      <c r="AX675">
        <v>0</v>
      </c>
      <c r="AY675" t="s">
        <v>66</v>
      </c>
      <c r="AZ675">
        <v>0</v>
      </c>
      <c r="BA675" t="s">
        <v>66</v>
      </c>
      <c r="BB675">
        <v>0</v>
      </c>
      <c r="BC675">
        <v>0</v>
      </c>
      <c r="BD675">
        <v>107692.2</v>
      </c>
      <c r="BE675">
        <v>14931.77</v>
      </c>
      <c r="BF675">
        <v>0</v>
      </c>
      <c r="BG675" t="s">
        <v>87</v>
      </c>
      <c r="BH675" t="s">
        <v>66</v>
      </c>
      <c r="BI675">
        <v>0</v>
      </c>
      <c r="BJ675" t="s">
        <v>66</v>
      </c>
      <c r="BK675" t="s">
        <v>88</v>
      </c>
      <c r="BL675" t="s">
        <v>719</v>
      </c>
      <c r="BM675" t="s">
        <v>159</v>
      </c>
    </row>
    <row r="676" spans="1:65" x14ac:dyDescent="0.25">
      <c r="A676">
        <v>674</v>
      </c>
      <c r="B676" t="s">
        <v>1085</v>
      </c>
      <c r="C676" t="s">
        <v>68</v>
      </c>
      <c r="D676" s="1">
        <v>46211</v>
      </c>
      <c r="E676" t="s">
        <v>1086</v>
      </c>
      <c r="F676" t="s">
        <v>68</v>
      </c>
      <c r="G676" t="s">
        <v>295</v>
      </c>
      <c r="H676" t="s">
        <v>296</v>
      </c>
      <c r="I676" t="s">
        <v>71</v>
      </c>
      <c r="J676" t="s">
        <v>72</v>
      </c>
      <c r="K676" t="s">
        <v>73</v>
      </c>
      <c r="L676" t="s">
        <v>74</v>
      </c>
      <c r="M676" t="s">
        <v>1087</v>
      </c>
      <c r="N676" t="s">
        <v>76</v>
      </c>
      <c r="O676" t="s">
        <v>1088</v>
      </c>
      <c r="P676" t="s">
        <v>1089</v>
      </c>
      <c r="Q676" t="s">
        <v>1090</v>
      </c>
      <c r="R676" s="1">
        <v>46212</v>
      </c>
      <c r="S676" t="s">
        <v>841</v>
      </c>
      <c r="T676" t="s">
        <v>842</v>
      </c>
      <c r="U676" t="s">
        <v>843</v>
      </c>
      <c r="V676" t="s">
        <v>66</v>
      </c>
      <c r="W676" t="s">
        <v>66</v>
      </c>
      <c r="X676">
        <v>1164828</v>
      </c>
      <c r="Y676">
        <v>128131.08</v>
      </c>
      <c r="Z676">
        <v>97020</v>
      </c>
      <c r="AA676">
        <v>10672.2</v>
      </c>
      <c r="AB676">
        <v>1292959.08</v>
      </c>
      <c r="AC676">
        <v>6</v>
      </c>
      <c r="AD676" t="s">
        <v>82</v>
      </c>
      <c r="AE676">
        <v>6</v>
      </c>
      <c r="AF676" t="s">
        <v>96</v>
      </c>
      <c r="AG676">
        <f>IFERROR(VLOOKUP(AF676,[1]STOK!J:O,6,0),"")</f>
        <v>24</v>
      </c>
      <c r="AH676" s="2">
        <f t="shared" si="20"/>
        <v>0.25</v>
      </c>
      <c r="AI676" t="s">
        <v>96</v>
      </c>
      <c r="AJ676" t="s">
        <v>97</v>
      </c>
      <c r="AK676" t="s">
        <v>98</v>
      </c>
      <c r="AL676" t="s">
        <v>86</v>
      </c>
      <c r="AM676">
        <v>18315</v>
      </c>
      <c r="AN676">
        <f t="shared" si="21"/>
        <v>17948.7</v>
      </c>
      <c r="AO676" t="s">
        <v>66</v>
      </c>
      <c r="AP676">
        <v>2</v>
      </c>
      <c r="AQ676" t="s">
        <v>66</v>
      </c>
      <c r="AR676">
        <v>0</v>
      </c>
      <c r="AS676" t="s">
        <v>66</v>
      </c>
      <c r="AT676">
        <v>0</v>
      </c>
      <c r="AU676" t="s">
        <v>66</v>
      </c>
      <c r="AV676">
        <v>0</v>
      </c>
      <c r="AW676" t="s">
        <v>66</v>
      </c>
      <c r="AX676">
        <v>0</v>
      </c>
      <c r="AY676" t="s">
        <v>66</v>
      </c>
      <c r="AZ676">
        <v>0</v>
      </c>
      <c r="BA676" t="s">
        <v>66</v>
      </c>
      <c r="BB676">
        <v>0</v>
      </c>
      <c r="BC676">
        <v>0</v>
      </c>
      <c r="BD676">
        <v>107692.2</v>
      </c>
      <c r="BE676">
        <v>14932.85</v>
      </c>
      <c r="BF676">
        <v>0</v>
      </c>
      <c r="BG676" t="s">
        <v>87</v>
      </c>
      <c r="BH676" t="s">
        <v>66</v>
      </c>
      <c r="BI676">
        <v>0</v>
      </c>
      <c r="BJ676" t="s">
        <v>66</v>
      </c>
      <c r="BK676" t="s">
        <v>88</v>
      </c>
      <c r="BL676" t="s">
        <v>719</v>
      </c>
      <c r="BM676" t="s">
        <v>159</v>
      </c>
    </row>
    <row r="677" spans="1:65" x14ac:dyDescent="0.25">
      <c r="A677">
        <v>675</v>
      </c>
      <c r="B677" t="s">
        <v>1085</v>
      </c>
      <c r="C677" t="s">
        <v>68</v>
      </c>
      <c r="D677" s="1">
        <v>46211</v>
      </c>
      <c r="E677" t="s">
        <v>1086</v>
      </c>
      <c r="F677" t="s">
        <v>68</v>
      </c>
      <c r="G677" t="s">
        <v>295</v>
      </c>
      <c r="H677" t="s">
        <v>296</v>
      </c>
      <c r="I677" t="s">
        <v>71</v>
      </c>
      <c r="J677" t="s">
        <v>72</v>
      </c>
      <c r="K677" t="s">
        <v>73</v>
      </c>
      <c r="L677" t="s">
        <v>74</v>
      </c>
      <c r="M677" t="s">
        <v>1087</v>
      </c>
      <c r="N677" t="s">
        <v>76</v>
      </c>
      <c r="O677" t="s">
        <v>1088</v>
      </c>
      <c r="P677" t="s">
        <v>1089</v>
      </c>
      <c r="Q677" t="s">
        <v>1090</v>
      </c>
      <c r="R677" s="1">
        <v>46212</v>
      </c>
      <c r="S677" t="s">
        <v>841</v>
      </c>
      <c r="T677" t="s">
        <v>842</v>
      </c>
      <c r="U677" t="s">
        <v>843</v>
      </c>
      <c r="V677" t="s">
        <v>66</v>
      </c>
      <c r="W677" t="s">
        <v>66</v>
      </c>
      <c r="X677">
        <v>1164828</v>
      </c>
      <c r="Y677">
        <v>128131.08</v>
      </c>
      <c r="Z677">
        <v>97020</v>
      </c>
      <c r="AA677">
        <v>10672.2</v>
      </c>
      <c r="AB677">
        <v>1292959.08</v>
      </c>
      <c r="AC677">
        <v>6</v>
      </c>
      <c r="AD677" t="s">
        <v>82</v>
      </c>
      <c r="AE677">
        <v>6</v>
      </c>
      <c r="AF677" t="s">
        <v>99</v>
      </c>
      <c r="AG677">
        <f>IFERROR(VLOOKUP(AF677,[1]STOK!J:O,6,0),"")</f>
        <v>24</v>
      </c>
      <c r="AH677" s="2">
        <f t="shared" si="20"/>
        <v>0.25</v>
      </c>
      <c r="AI677" t="s">
        <v>99</v>
      </c>
      <c r="AJ677" t="s">
        <v>100</v>
      </c>
      <c r="AK677" t="s">
        <v>101</v>
      </c>
      <c r="AL677" t="s">
        <v>86</v>
      </c>
      <c r="AM677">
        <v>18315</v>
      </c>
      <c r="AN677">
        <f t="shared" si="21"/>
        <v>17948.7</v>
      </c>
      <c r="AO677" t="s">
        <v>66</v>
      </c>
      <c r="AP677">
        <v>2</v>
      </c>
      <c r="AQ677" t="s">
        <v>66</v>
      </c>
      <c r="AR677">
        <v>0</v>
      </c>
      <c r="AS677" t="s">
        <v>66</v>
      </c>
      <c r="AT677">
        <v>0</v>
      </c>
      <c r="AU677" t="s">
        <v>66</v>
      </c>
      <c r="AV677">
        <v>0</v>
      </c>
      <c r="AW677" t="s">
        <v>66</v>
      </c>
      <c r="AX677">
        <v>0</v>
      </c>
      <c r="AY677" t="s">
        <v>66</v>
      </c>
      <c r="AZ677">
        <v>0</v>
      </c>
      <c r="BA677" t="s">
        <v>66</v>
      </c>
      <c r="BB677">
        <v>0</v>
      </c>
      <c r="BC677">
        <v>0</v>
      </c>
      <c r="BD677">
        <v>107692.2</v>
      </c>
      <c r="BE677">
        <v>14915.33</v>
      </c>
      <c r="BF677">
        <v>0</v>
      </c>
      <c r="BG677" t="s">
        <v>87</v>
      </c>
      <c r="BH677" t="s">
        <v>66</v>
      </c>
      <c r="BI677">
        <v>0</v>
      </c>
      <c r="BJ677" t="s">
        <v>66</v>
      </c>
      <c r="BK677" t="s">
        <v>88</v>
      </c>
      <c r="BL677" t="s">
        <v>719</v>
      </c>
      <c r="BM677" t="s">
        <v>159</v>
      </c>
    </row>
    <row r="678" spans="1:65" x14ac:dyDescent="0.25">
      <c r="A678">
        <v>676</v>
      </c>
      <c r="B678" t="s">
        <v>1085</v>
      </c>
      <c r="C678" t="s">
        <v>68</v>
      </c>
      <c r="D678" s="1">
        <v>46211</v>
      </c>
      <c r="E678" t="s">
        <v>1086</v>
      </c>
      <c r="F678" t="s">
        <v>68</v>
      </c>
      <c r="G678" t="s">
        <v>295</v>
      </c>
      <c r="H678" t="s">
        <v>296</v>
      </c>
      <c r="I678" t="s">
        <v>71</v>
      </c>
      <c r="J678" t="s">
        <v>72</v>
      </c>
      <c r="K678" t="s">
        <v>73</v>
      </c>
      <c r="L678" t="s">
        <v>74</v>
      </c>
      <c r="M678" t="s">
        <v>1087</v>
      </c>
      <c r="N678" t="s">
        <v>76</v>
      </c>
      <c r="O678" t="s">
        <v>1088</v>
      </c>
      <c r="P678" t="s">
        <v>1089</v>
      </c>
      <c r="Q678" t="s">
        <v>1090</v>
      </c>
      <c r="R678" s="1">
        <v>46212</v>
      </c>
      <c r="S678" t="s">
        <v>841</v>
      </c>
      <c r="T678" t="s">
        <v>842</v>
      </c>
      <c r="U678" t="s">
        <v>843</v>
      </c>
      <c r="V678" t="s">
        <v>66</v>
      </c>
      <c r="W678" t="s">
        <v>66</v>
      </c>
      <c r="X678">
        <v>1164828</v>
      </c>
      <c r="Y678">
        <v>128131.08</v>
      </c>
      <c r="Z678">
        <v>160524</v>
      </c>
      <c r="AA678">
        <v>17657.64</v>
      </c>
      <c r="AB678">
        <v>1292959.08</v>
      </c>
      <c r="AC678">
        <v>6</v>
      </c>
      <c r="AD678" t="s">
        <v>82</v>
      </c>
      <c r="AE678">
        <v>6</v>
      </c>
      <c r="AF678" t="s">
        <v>563</v>
      </c>
      <c r="AG678">
        <f>IFERROR(VLOOKUP(AF678,[1]STOK!J:O,6,0),"")</f>
        <v>12</v>
      </c>
      <c r="AH678" s="2">
        <f t="shared" si="20"/>
        <v>0.5</v>
      </c>
      <c r="AI678" t="s">
        <v>563</v>
      </c>
      <c r="AJ678" t="s">
        <v>564</v>
      </c>
      <c r="AK678" t="s">
        <v>565</v>
      </c>
      <c r="AL678" t="s">
        <v>86</v>
      </c>
      <c r="AM678">
        <v>30303</v>
      </c>
      <c r="AN678">
        <f t="shared" si="21"/>
        <v>29696.940000000002</v>
      </c>
      <c r="AO678" t="s">
        <v>66</v>
      </c>
      <c r="AP678">
        <v>2</v>
      </c>
      <c r="AQ678" t="s">
        <v>66</v>
      </c>
      <c r="AR678">
        <v>0</v>
      </c>
      <c r="AS678" t="s">
        <v>66</v>
      </c>
      <c r="AT678">
        <v>0</v>
      </c>
      <c r="AU678" t="s">
        <v>66</v>
      </c>
      <c r="AV678">
        <v>0</v>
      </c>
      <c r="AW678" t="s">
        <v>66</v>
      </c>
      <c r="AX678">
        <v>0</v>
      </c>
      <c r="AY678" t="s">
        <v>66</v>
      </c>
      <c r="AZ678">
        <v>0</v>
      </c>
      <c r="BA678" t="s">
        <v>66</v>
      </c>
      <c r="BB678">
        <v>0</v>
      </c>
      <c r="BC678">
        <v>0</v>
      </c>
      <c r="BD678">
        <v>178181.64</v>
      </c>
      <c r="BE678">
        <v>24679.38</v>
      </c>
      <c r="BF678">
        <v>0</v>
      </c>
      <c r="BG678" t="s">
        <v>87</v>
      </c>
      <c r="BH678" t="s">
        <v>66</v>
      </c>
      <c r="BI678">
        <v>0</v>
      </c>
      <c r="BJ678" t="s">
        <v>66</v>
      </c>
      <c r="BK678" t="s">
        <v>88</v>
      </c>
      <c r="BL678" t="s">
        <v>719</v>
      </c>
      <c r="BM678" t="s">
        <v>159</v>
      </c>
    </row>
    <row r="679" spans="1:65" x14ac:dyDescent="0.25">
      <c r="A679">
        <v>677</v>
      </c>
      <c r="B679" t="s">
        <v>1085</v>
      </c>
      <c r="C679" t="s">
        <v>68</v>
      </c>
      <c r="D679" s="1">
        <v>46211</v>
      </c>
      <c r="E679" t="s">
        <v>1086</v>
      </c>
      <c r="F679" t="s">
        <v>68</v>
      </c>
      <c r="G679" t="s">
        <v>295</v>
      </c>
      <c r="H679" t="s">
        <v>296</v>
      </c>
      <c r="I679" t="s">
        <v>71</v>
      </c>
      <c r="J679" t="s">
        <v>72</v>
      </c>
      <c r="K679" t="s">
        <v>73</v>
      </c>
      <c r="L679" t="s">
        <v>74</v>
      </c>
      <c r="M679" t="s">
        <v>1087</v>
      </c>
      <c r="N679" t="s">
        <v>76</v>
      </c>
      <c r="O679" t="s">
        <v>1088</v>
      </c>
      <c r="P679" t="s">
        <v>1089</v>
      </c>
      <c r="Q679" t="s">
        <v>1090</v>
      </c>
      <c r="R679" s="1">
        <v>46212</v>
      </c>
      <c r="S679" t="s">
        <v>841</v>
      </c>
      <c r="T679" t="s">
        <v>842</v>
      </c>
      <c r="U679" t="s">
        <v>843</v>
      </c>
      <c r="V679" t="s">
        <v>66</v>
      </c>
      <c r="W679" t="s">
        <v>66</v>
      </c>
      <c r="X679">
        <v>1164828</v>
      </c>
      <c r="Y679">
        <v>128131.08</v>
      </c>
      <c r="Z679">
        <v>114072</v>
      </c>
      <c r="AA679">
        <v>12547.92</v>
      </c>
      <c r="AB679">
        <v>1292959.08</v>
      </c>
      <c r="AC679">
        <v>6</v>
      </c>
      <c r="AD679" t="s">
        <v>82</v>
      </c>
      <c r="AE679">
        <v>6</v>
      </c>
      <c r="AF679" t="s">
        <v>470</v>
      </c>
      <c r="AG679">
        <f>IFERROR(VLOOKUP(AF679,[1]STOK!J:O,6,0),"")</f>
        <v>24</v>
      </c>
      <c r="AH679" s="2">
        <f t="shared" si="20"/>
        <v>0.25</v>
      </c>
      <c r="AI679" t="s">
        <v>470</v>
      </c>
      <c r="AJ679" t="s">
        <v>471</v>
      </c>
      <c r="AK679" t="s">
        <v>472</v>
      </c>
      <c r="AL679" t="s">
        <v>86</v>
      </c>
      <c r="AM679">
        <v>21534</v>
      </c>
      <c r="AN679">
        <f t="shared" si="21"/>
        <v>21103.32</v>
      </c>
      <c r="AO679" t="s">
        <v>66</v>
      </c>
      <c r="AP679">
        <v>2</v>
      </c>
      <c r="AQ679" t="s">
        <v>66</v>
      </c>
      <c r="AR679">
        <v>0</v>
      </c>
      <c r="AS679" t="s">
        <v>66</v>
      </c>
      <c r="AT679">
        <v>0</v>
      </c>
      <c r="AU679" t="s">
        <v>66</v>
      </c>
      <c r="AV679">
        <v>0</v>
      </c>
      <c r="AW679" t="s">
        <v>66</v>
      </c>
      <c r="AX679">
        <v>0</v>
      </c>
      <c r="AY679" t="s">
        <v>66</v>
      </c>
      <c r="AZ679">
        <v>0</v>
      </c>
      <c r="BA679" t="s">
        <v>66</v>
      </c>
      <c r="BB679">
        <v>0</v>
      </c>
      <c r="BC679">
        <v>0</v>
      </c>
      <c r="BD679">
        <v>126619.92</v>
      </c>
      <c r="BE679">
        <v>17421.95</v>
      </c>
      <c r="BF679">
        <v>0</v>
      </c>
      <c r="BG679" t="s">
        <v>87</v>
      </c>
      <c r="BH679" t="s">
        <v>66</v>
      </c>
      <c r="BI679">
        <v>0</v>
      </c>
      <c r="BJ679" t="s">
        <v>66</v>
      </c>
      <c r="BK679" t="s">
        <v>88</v>
      </c>
      <c r="BL679" t="s">
        <v>719</v>
      </c>
      <c r="BM679" t="s">
        <v>159</v>
      </c>
    </row>
    <row r="680" spans="1:65" x14ac:dyDescent="0.25">
      <c r="A680">
        <v>678</v>
      </c>
      <c r="B680" t="s">
        <v>1085</v>
      </c>
      <c r="C680" t="s">
        <v>68</v>
      </c>
      <c r="D680" s="1">
        <v>46211</v>
      </c>
      <c r="E680" t="s">
        <v>1086</v>
      </c>
      <c r="F680" t="s">
        <v>68</v>
      </c>
      <c r="G680" t="s">
        <v>295</v>
      </c>
      <c r="H680" t="s">
        <v>296</v>
      </c>
      <c r="I680" t="s">
        <v>71</v>
      </c>
      <c r="J680" t="s">
        <v>72</v>
      </c>
      <c r="K680" t="s">
        <v>73</v>
      </c>
      <c r="L680" t="s">
        <v>74</v>
      </c>
      <c r="M680" t="s">
        <v>1087</v>
      </c>
      <c r="N680" t="s">
        <v>76</v>
      </c>
      <c r="O680" t="s">
        <v>1088</v>
      </c>
      <c r="P680" t="s">
        <v>1089</v>
      </c>
      <c r="Q680" t="s">
        <v>1090</v>
      </c>
      <c r="R680" s="1">
        <v>46212</v>
      </c>
      <c r="S680" t="s">
        <v>841</v>
      </c>
      <c r="T680" t="s">
        <v>842</v>
      </c>
      <c r="U680" t="s">
        <v>843</v>
      </c>
      <c r="V680" t="s">
        <v>66</v>
      </c>
      <c r="W680" t="s">
        <v>66</v>
      </c>
      <c r="X680">
        <v>1164828</v>
      </c>
      <c r="Y680">
        <v>128131.08</v>
      </c>
      <c r="Z680">
        <v>78204</v>
      </c>
      <c r="AA680">
        <v>8602.44</v>
      </c>
      <c r="AB680">
        <v>1292959.08</v>
      </c>
      <c r="AC680">
        <v>6</v>
      </c>
      <c r="AD680" t="s">
        <v>82</v>
      </c>
      <c r="AE680">
        <v>6</v>
      </c>
      <c r="AF680" t="s">
        <v>135</v>
      </c>
      <c r="AG680">
        <f>IFERROR(VLOOKUP(AF680,[1]STOK!J:O,6,0),"")</f>
        <v>12</v>
      </c>
      <c r="AH680" s="2">
        <f t="shared" si="20"/>
        <v>0.5</v>
      </c>
      <c r="AI680" t="s">
        <v>135</v>
      </c>
      <c r="AJ680" t="s">
        <v>136</v>
      </c>
      <c r="AK680" t="s">
        <v>137</v>
      </c>
      <c r="AL680" t="s">
        <v>86</v>
      </c>
      <c r="AM680">
        <v>14763</v>
      </c>
      <c r="AN680">
        <f t="shared" si="21"/>
        <v>14467.74</v>
      </c>
      <c r="AO680" t="s">
        <v>66</v>
      </c>
      <c r="AP680">
        <v>2</v>
      </c>
      <c r="AQ680" t="s">
        <v>66</v>
      </c>
      <c r="AR680">
        <v>0</v>
      </c>
      <c r="AS680" t="s">
        <v>66</v>
      </c>
      <c r="AT680">
        <v>0</v>
      </c>
      <c r="AU680" t="s">
        <v>66</v>
      </c>
      <c r="AV680">
        <v>0</v>
      </c>
      <c r="AW680" t="s">
        <v>66</v>
      </c>
      <c r="AX680">
        <v>0</v>
      </c>
      <c r="AY680" t="s">
        <v>66</v>
      </c>
      <c r="AZ680">
        <v>0</v>
      </c>
      <c r="BA680" t="s">
        <v>66</v>
      </c>
      <c r="BB680">
        <v>0</v>
      </c>
      <c r="BC680">
        <v>0</v>
      </c>
      <c r="BD680">
        <v>86806.44</v>
      </c>
      <c r="BE680">
        <v>12026.74</v>
      </c>
      <c r="BF680">
        <v>0</v>
      </c>
      <c r="BG680" t="s">
        <v>87</v>
      </c>
      <c r="BH680" t="s">
        <v>66</v>
      </c>
      <c r="BI680">
        <v>0</v>
      </c>
      <c r="BJ680" t="s">
        <v>66</v>
      </c>
      <c r="BK680" t="s">
        <v>88</v>
      </c>
      <c r="BL680" t="s">
        <v>719</v>
      </c>
      <c r="BM680" t="s">
        <v>159</v>
      </c>
    </row>
    <row r="681" spans="1:65" x14ac:dyDescent="0.25">
      <c r="A681">
        <v>679</v>
      </c>
      <c r="B681" t="s">
        <v>1085</v>
      </c>
      <c r="C681" t="s">
        <v>68</v>
      </c>
      <c r="D681" s="1">
        <v>46211</v>
      </c>
      <c r="E681" t="s">
        <v>1086</v>
      </c>
      <c r="F681" t="s">
        <v>68</v>
      </c>
      <c r="G681" t="s">
        <v>295</v>
      </c>
      <c r="H681" t="s">
        <v>296</v>
      </c>
      <c r="I681" t="s">
        <v>71</v>
      </c>
      <c r="J681" t="s">
        <v>72</v>
      </c>
      <c r="K681" t="s">
        <v>73</v>
      </c>
      <c r="L681" t="s">
        <v>74</v>
      </c>
      <c r="M681" t="s">
        <v>1087</v>
      </c>
      <c r="N681" t="s">
        <v>76</v>
      </c>
      <c r="O681" t="s">
        <v>1088</v>
      </c>
      <c r="P681" t="s">
        <v>1089</v>
      </c>
      <c r="Q681" t="s">
        <v>1090</v>
      </c>
      <c r="R681" s="1">
        <v>46212</v>
      </c>
      <c r="S681" t="s">
        <v>841</v>
      </c>
      <c r="T681" t="s">
        <v>842</v>
      </c>
      <c r="U681" t="s">
        <v>843</v>
      </c>
      <c r="V681" t="s">
        <v>66</v>
      </c>
      <c r="W681" t="s">
        <v>66</v>
      </c>
      <c r="X681">
        <v>1164828</v>
      </c>
      <c r="Y681">
        <v>128131.08</v>
      </c>
      <c r="Z681">
        <v>101724</v>
      </c>
      <c r="AA681">
        <v>11189.64</v>
      </c>
      <c r="AB681">
        <v>1292959.08</v>
      </c>
      <c r="AC681">
        <v>6</v>
      </c>
      <c r="AD681" t="s">
        <v>82</v>
      </c>
      <c r="AE681">
        <v>6</v>
      </c>
      <c r="AF681" t="s">
        <v>359</v>
      </c>
      <c r="AG681">
        <f>IFERROR(VLOOKUP(AF681,[1]STOK!J:O,6,0),"")</f>
        <v>12</v>
      </c>
      <c r="AH681" s="2">
        <f t="shared" si="20"/>
        <v>0.5</v>
      </c>
      <c r="AI681" t="s">
        <v>359</v>
      </c>
      <c r="AJ681" t="s">
        <v>360</v>
      </c>
      <c r="AK681" t="s">
        <v>361</v>
      </c>
      <c r="AL681" t="s">
        <v>86</v>
      </c>
      <c r="AM681">
        <v>19203</v>
      </c>
      <c r="AN681">
        <f t="shared" si="21"/>
        <v>18818.939999999999</v>
      </c>
      <c r="AO681" t="s">
        <v>66</v>
      </c>
      <c r="AP681">
        <v>2</v>
      </c>
      <c r="AQ681" t="s">
        <v>66</v>
      </c>
      <c r="AR681">
        <v>0</v>
      </c>
      <c r="AS681" t="s">
        <v>66</v>
      </c>
      <c r="AT681">
        <v>0</v>
      </c>
      <c r="AU681" t="s">
        <v>66</v>
      </c>
      <c r="AV681">
        <v>0</v>
      </c>
      <c r="AW681" t="s">
        <v>66</v>
      </c>
      <c r="AX681">
        <v>0</v>
      </c>
      <c r="AY681" t="s">
        <v>66</v>
      </c>
      <c r="AZ681">
        <v>0</v>
      </c>
      <c r="BA681" t="s">
        <v>66</v>
      </c>
      <c r="BB681">
        <v>0</v>
      </c>
      <c r="BC681">
        <v>0</v>
      </c>
      <c r="BD681">
        <v>112913.64</v>
      </c>
      <c r="BE681">
        <v>15607.61</v>
      </c>
      <c r="BF681">
        <v>0</v>
      </c>
      <c r="BG681" t="s">
        <v>87</v>
      </c>
      <c r="BH681" t="s">
        <v>66</v>
      </c>
      <c r="BI681">
        <v>0</v>
      </c>
      <c r="BJ681" t="s">
        <v>66</v>
      </c>
      <c r="BK681" t="s">
        <v>88</v>
      </c>
      <c r="BL681" t="s">
        <v>719</v>
      </c>
      <c r="BM681" t="s">
        <v>159</v>
      </c>
    </row>
    <row r="682" spans="1:65" x14ac:dyDescent="0.25">
      <c r="A682">
        <v>680</v>
      </c>
      <c r="B682" t="s">
        <v>1085</v>
      </c>
      <c r="C682" t="s">
        <v>68</v>
      </c>
      <c r="D682" s="1">
        <v>46211</v>
      </c>
      <c r="E682" t="s">
        <v>1086</v>
      </c>
      <c r="F682" t="s">
        <v>68</v>
      </c>
      <c r="G682" t="s">
        <v>295</v>
      </c>
      <c r="H682" t="s">
        <v>296</v>
      </c>
      <c r="I682" t="s">
        <v>71</v>
      </c>
      <c r="J682" t="s">
        <v>72</v>
      </c>
      <c r="K682" t="s">
        <v>73</v>
      </c>
      <c r="L682" t="s">
        <v>74</v>
      </c>
      <c r="M682" t="s">
        <v>1087</v>
      </c>
      <c r="N682" t="s">
        <v>76</v>
      </c>
      <c r="O682" t="s">
        <v>1088</v>
      </c>
      <c r="P682" t="s">
        <v>1089</v>
      </c>
      <c r="Q682" t="s">
        <v>1090</v>
      </c>
      <c r="R682" s="1">
        <v>46212</v>
      </c>
      <c r="S682" t="s">
        <v>841</v>
      </c>
      <c r="T682" t="s">
        <v>842</v>
      </c>
      <c r="U682" t="s">
        <v>843</v>
      </c>
      <c r="V682" t="s">
        <v>66</v>
      </c>
      <c r="W682" t="s">
        <v>66</v>
      </c>
      <c r="X682">
        <v>1164828</v>
      </c>
      <c r="Y682">
        <v>128131.08</v>
      </c>
      <c r="Z682">
        <v>117600</v>
      </c>
      <c r="AA682">
        <v>12936</v>
      </c>
      <c r="AB682">
        <v>1292959.08</v>
      </c>
      <c r="AC682">
        <v>6</v>
      </c>
      <c r="AD682" t="s">
        <v>82</v>
      </c>
      <c r="AE682">
        <v>6</v>
      </c>
      <c r="AF682" t="s">
        <v>290</v>
      </c>
      <c r="AG682">
        <f>IFERROR(VLOOKUP(AF682,[1]STOK!J:O,6,0),"")</f>
        <v>12</v>
      </c>
      <c r="AH682" s="2">
        <f t="shared" si="20"/>
        <v>0.5</v>
      </c>
      <c r="AI682" t="s">
        <v>290</v>
      </c>
      <c r="AJ682" t="s">
        <v>291</v>
      </c>
      <c r="AK682" t="s">
        <v>292</v>
      </c>
      <c r="AL682" t="s">
        <v>86</v>
      </c>
      <c r="AM682">
        <v>22200</v>
      </c>
      <c r="AN682">
        <f t="shared" si="21"/>
        <v>21756</v>
      </c>
      <c r="AO682" t="s">
        <v>66</v>
      </c>
      <c r="AP682">
        <v>2</v>
      </c>
      <c r="AQ682" t="s">
        <v>66</v>
      </c>
      <c r="AR682">
        <v>0</v>
      </c>
      <c r="AS682" t="s">
        <v>66</v>
      </c>
      <c r="AT682">
        <v>0</v>
      </c>
      <c r="AU682" t="s">
        <v>66</v>
      </c>
      <c r="AV682">
        <v>0</v>
      </c>
      <c r="AW682" t="s">
        <v>66</v>
      </c>
      <c r="AX682">
        <v>0</v>
      </c>
      <c r="AY682" t="s">
        <v>66</v>
      </c>
      <c r="AZ682">
        <v>0</v>
      </c>
      <c r="BA682" t="s">
        <v>66</v>
      </c>
      <c r="BB682">
        <v>0</v>
      </c>
      <c r="BC682">
        <v>0</v>
      </c>
      <c r="BD682">
        <v>130536</v>
      </c>
      <c r="BE682">
        <v>18106.89</v>
      </c>
      <c r="BF682">
        <v>0</v>
      </c>
      <c r="BG682" t="s">
        <v>87</v>
      </c>
      <c r="BH682" t="s">
        <v>66</v>
      </c>
      <c r="BI682">
        <v>0</v>
      </c>
      <c r="BJ682" t="s">
        <v>66</v>
      </c>
      <c r="BK682" t="s">
        <v>88</v>
      </c>
      <c r="BL682" t="s">
        <v>719</v>
      </c>
      <c r="BM682" t="s">
        <v>159</v>
      </c>
    </row>
    <row r="683" spans="1:65" x14ac:dyDescent="0.25">
      <c r="A683">
        <v>681</v>
      </c>
      <c r="B683" t="s">
        <v>1085</v>
      </c>
      <c r="C683" t="s">
        <v>68</v>
      </c>
      <c r="D683" s="1">
        <v>46211</v>
      </c>
      <c r="E683" t="s">
        <v>1086</v>
      </c>
      <c r="F683" t="s">
        <v>68</v>
      </c>
      <c r="G683" t="s">
        <v>295</v>
      </c>
      <c r="H683" t="s">
        <v>296</v>
      </c>
      <c r="I683" t="s">
        <v>71</v>
      </c>
      <c r="J683" t="s">
        <v>72</v>
      </c>
      <c r="K683" t="s">
        <v>73</v>
      </c>
      <c r="L683" t="s">
        <v>74</v>
      </c>
      <c r="M683" t="s">
        <v>1087</v>
      </c>
      <c r="N683" t="s">
        <v>76</v>
      </c>
      <c r="O683" t="s">
        <v>1088</v>
      </c>
      <c r="P683" t="s">
        <v>1089</v>
      </c>
      <c r="Q683" t="s">
        <v>1090</v>
      </c>
      <c r="R683" s="1">
        <v>46212</v>
      </c>
      <c r="S683" t="s">
        <v>841</v>
      </c>
      <c r="T683" t="s">
        <v>842</v>
      </c>
      <c r="U683" t="s">
        <v>843</v>
      </c>
      <c r="V683" t="s">
        <v>66</v>
      </c>
      <c r="W683" t="s">
        <v>66</v>
      </c>
      <c r="X683">
        <v>1164828</v>
      </c>
      <c r="Y683">
        <v>128131.08</v>
      </c>
      <c r="Z683">
        <v>117600</v>
      </c>
      <c r="AA683">
        <v>12936</v>
      </c>
      <c r="AB683">
        <v>1292959.08</v>
      </c>
      <c r="AC683">
        <v>6</v>
      </c>
      <c r="AD683" t="s">
        <v>82</v>
      </c>
      <c r="AE683">
        <v>6</v>
      </c>
      <c r="AF683" t="s">
        <v>102</v>
      </c>
      <c r="AG683">
        <f>IFERROR(VLOOKUP(AF683,[1]STOK!J:O,6,0),"")</f>
        <v>12</v>
      </c>
      <c r="AH683" s="2">
        <f t="shared" si="20"/>
        <v>0.5</v>
      </c>
      <c r="AI683" t="s">
        <v>102</v>
      </c>
      <c r="AJ683" t="s">
        <v>103</v>
      </c>
      <c r="AK683" t="s">
        <v>104</v>
      </c>
      <c r="AL683" t="s">
        <v>86</v>
      </c>
      <c r="AM683">
        <v>22200</v>
      </c>
      <c r="AN683">
        <f t="shared" si="21"/>
        <v>21756</v>
      </c>
      <c r="AO683" t="s">
        <v>66</v>
      </c>
      <c r="AP683">
        <v>2</v>
      </c>
      <c r="AQ683" t="s">
        <v>66</v>
      </c>
      <c r="AR683">
        <v>0</v>
      </c>
      <c r="AS683" t="s">
        <v>66</v>
      </c>
      <c r="AT683">
        <v>0</v>
      </c>
      <c r="AU683" t="s">
        <v>66</v>
      </c>
      <c r="AV683">
        <v>0</v>
      </c>
      <c r="AW683" t="s">
        <v>66</v>
      </c>
      <c r="AX683">
        <v>0</v>
      </c>
      <c r="AY683" t="s">
        <v>66</v>
      </c>
      <c r="AZ683">
        <v>0</v>
      </c>
      <c r="BA683" t="s">
        <v>66</v>
      </c>
      <c r="BB683">
        <v>0</v>
      </c>
      <c r="BC683">
        <v>0</v>
      </c>
      <c r="BD683">
        <v>130536</v>
      </c>
      <c r="BE683">
        <v>18075.27</v>
      </c>
      <c r="BF683">
        <v>0</v>
      </c>
      <c r="BG683" t="s">
        <v>87</v>
      </c>
      <c r="BH683" t="s">
        <v>66</v>
      </c>
      <c r="BI683">
        <v>0</v>
      </c>
      <c r="BJ683" t="s">
        <v>66</v>
      </c>
      <c r="BK683" t="s">
        <v>88</v>
      </c>
      <c r="BL683" t="s">
        <v>719</v>
      </c>
      <c r="BM683" t="s">
        <v>159</v>
      </c>
    </row>
    <row r="684" spans="1:65" x14ac:dyDescent="0.25">
      <c r="A684">
        <v>682</v>
      </c>
      <c r="B684" t="s">
        <v>1091</v>
      </c>
      <c r="C684" t="s">
        <v>1092</v>
      </c>
      <c r="D684" s="1">
        <v>46211</v>
      </c>
      <c r="E684" t="s">
        <v>1093</v>
      </c>
      <c r="F684" t="s">
        <v>1094</v>
      </c>
      <c r="G684" t="s">
        <v>69</v>
      </c>
      <c r="H684" t="s">
        <v>70</v>
      </c>
      <c r="I684" t="s">
        <v>71</v>
      </c>
      <c r="J684" t="s">
        <v>72</v>
      </c>
      <c r="K684" t="s">
        <v>73</v>
      </c>
      <c r="L684" t="s">
        <v>74</v>
      </c>
      <c r="M684" t="s">
        <v>1095</v>
      </c>
      <c r="N684" t="s">
        <v>696</v>
      </c>
      <c r="O684" t="s">
        <v>1096</v>
      </c>
      <c r="P684" t="s">
        <v>1097</v>
      </c>
      <c r="Q684" t="s">
        <v>1098</v>
      </c>
      <c r="R684" s="1">
        <v>46213</v>
      </c>
      <c r="S684" t="s">
        <v>1099</v>
      </c>
      <c r="T684" t="s">
        <v>1100</v>
      </c>
      <c r="U684" t="s">
        <v>1101</v>
      </c>
      <c r="V684" t="s">
        <v>66</v>
      </c>
      <c r="W684" t="s">
        <v>66</v>
      </c>
      <c r="X684">
        <v>2535192</v>
      </c>
      <c r="Y684">
        <v>278871.12</v>
      </c>
      <c r="Z684">
        <v>384120</v>
      </c>
      <c r="AA684">
        <v>42253.2</v>
      </c>
      <c r="AB684">
        <v>2814063.12</v>
      </c>
      <c r="AC684">
        <v>1</v>
      </c>
      <c r="AD684" t="s">
        <v>134</v>
      </c>
      <c r="AE684">
        <v>24</v>
      </c>
      <c r="AF684" t="s">
        <v>128</v>
      </c>
      <c r="AG684">
        <f>IFERROR(VLOOKUP(AF684,[1]STOK!J:O,6,0),"")</f>
        <v>24</v>
      </c>
      <c r="AH684" s="2">
        <f t="shared" si="20"/>
        <v>1</v>
      </c>
      <c r="AI684" t="s">
        <v>128</v>
      </c>
      <c r="AJ684" t="s">
        <v>129</v>
      </c>
      <c r="AK684" t="s">
        <v>130</v>
      </c>
      <c r="AL684" t="s">
        <v>86</v>
      </c>
      <c r="AM684">
        <v>439560</v>
      </c>
      <c r="AN684">
        <f t="shared" si="21"/>
        <v>426373.2</v>
      </c>
      <c r="AO684" t="s">
        <v>66</v>
      </c>
      <c r="AP684">
        <v>3</v>
      </c>
      <c r="AQ684" t="s">
        <v>66</v>
      </c>
      <c r="AR684">
        <v>0</v>
      </c>
      <c r="AS684" t="s">
        <v>66</v>
      </c>
      <c r="AT684">
        <v>0</v>
      </c>
      <c r="AU684" t="s">
        <v>66</v>
      </c>
      <c r="AV684">
        <v>0</v>
      </c>
      <c r="AW684" t="s">
        <v>66</v>
      </c>
      <c r="AX684">
        <v>0</v>
      </c>
      <c r="AY684" t="s">
        <v>66</v>
      </c>
      <c r="AZ684">
        <v>0</v>
      </c>
      <c r="BA684" t="s">
        <v>66</v>
      </c>
      <c r="BB684">
        <v>0</v>
      </c>
      <c r="BC684">
        <v>0</v>
      </c>
      <c r="BD684">
        <v>426373.2</v>
      </c>
      <c r="BE684">
        <v>14918.85</v>
      </c>
      <c r="BF684">
        <v>0</v>
      </c>
      <c r="BG684" t="s">
        <v>87</v>
      </c>
      <c r="BH684" t="s">
        <v>66</v>
      </c>
      <c r="BI684">
        <v>0</v>
      </c>
      <c r="BJ684" t="s">
        <v>66</v>
      </c>
      <c r="BK684" t="s">
        <v>88</v>
      </c>
      <c r="BL684" t="s">
        <v>66</v>
      </c>
      <c r="BM684" t="s">
        <v>159</v>
      </c>
    </row>
    <row r="685" spans="1:65" x14ac:dyDescent="0.25">
      <c r="A685">
        <v>683</v>
      </c>
      <c r="B685" t="s">
        <v>1091</v>
      </c>
      <c r="C685" t="s">
        <v>1092</v>
      </c>
      <c r="D685" s="1">
        <v>46211</v>
      </c>
      <c r="E685" t="s">
        <v>1093</v>
      </c>
      <c r="F685" t="s">
        <v>1094</v>
      </c>
      <c r="G685" t="s">
        <v>69</v>
      </c>
      <c r="H685" t="s">
        <v>70</v>
      </c>
      <c r="I685" t="s">
        <v>71</v>
      </c>
      <c r="J685" t="s">
        <v>72</v>
      </c>
      <c r="K685" t="s">
        <v>73</v>
      </c>
      <c r="L685" t="s">
        <v>74</v>
      </c>
      <c r="M685" t="s">
        <v>1095</v>
      </c>
      <c r="N685" t="s">
        <v>696</v>
      </c>
      <c r="O685" t="s">
        <v>1096</v>
      </c>
      <c r="P685" t="s">
        <v>1097</v>
      </c>
      <c r="Q685" t="s">
        <v>1098</v>
      </c>
      <c r="R685" s="1">
        <v>46213</v>
      </c>
      <c r="S685" t="s">
        <v>1099</v>
      </c>
      <c r="T685" t="s">
        <v>1100</v>
      </c>
      <c r="U685" t="s">
        <v>1101</v>
      </c>
      <c r="V685" t="s">
        <v>66</v>
      </c>
      <c r="W685" t="s">
        <v>66</v>
      </c>
      <c r="X685">
        <v>2535192</v>
      </c>
      <c r="Y685">
        <v>278871.12</v>
      </c>
      <c r="Z685">
        <v>384120</v>
      </c>
      <c r="AA685">
        <v>42253.2</v>
      </c>
      <c r="AB685">
        <v>2814063.12</v>
      </c>
      <c r="AC685">
        <v>1</v>
      </c>
      <c r="AD685" t="s">
        <v>134</v>
      </c>
      <c r="AE685">
        <v>24</v>
      </c>
      <c r="AF685" t="s">
        <v>93</v>
      </c>
      <c r="AG685">
        <f>IFERROR(VLOOKUP(AF685,[1]STOK!J:O,6,0),"")</f>
        <v>24</v>
      </c>
      <c r="AH685" s="2">
        <f t="shared" si="20"/>
        <v>1</v>
      </c>
      <c r="AI685" t="s">
        <v>93</v>
      </c>
      <c r="AJ685" t="s">
        <v>94</v>
      </c>
      <c r="AK685" t="s">
        <v>95</v>
      </c>
      <c r="AL685" t="s">
        <v>86</v>
      </c>
      <c r="AM685">
        <v>439560</v>
      </c>
      <c r="AN685">
        <f t="shared" si="21"/>
        <v>426373.2</v>
      </c>
      <c r="AO685" t="s">
        <v>66</v>
      </c>
      <c r="AP685">
        <v>3</v>
      </c>
      <c r="AQ685" t="s">
        <v>66</v>
      </c>
      <c r="AR685">
        <v>0</v>
      </c>
      <c r="AS685" t="s">
        <v>66</v>
      </c>
      <c r="AT685">
        <v>0</v>
      </c>
      <c r="AU685" t="s">
        <v>66</v>
      </c>
      <c r="AV685">
        <v>0</v>
      </c>
      <c r="AW685" t="s">
        <v>66</v>
      </c>
      <c r="AX685">
        <v>0</v>
      </c>
      <c r="AY685" t="s">
        <v>66</v>
      </c>
      <c r="AZ685">
        <v>0</v>
      </c>
      <c r="BA685" t="s">
        <v>66</v>
      </c>
      <c r="BB685">
        <v>0</v>
      </c>
      <c r="BC685">
        <v>0</v>
      </c>
      <c r="BD685">
        <v>426373.2</v>
      </c>
      <c r="BE685">
        <v>14931.77</v>
      </c>
      <c r="BF685">
        <v>0</v>
      </c>
      <c r="BG685" t="s">
        <v>87</v>
      </c>
      <c r="BH685" t="s">
        <v>66</v>
      </c>
      <c r="BI685">
        <v>0</v>
      </c>
      <c r="BJ685" t="s">
        <v>66</v>
      </c>
      <c r="BK685" t="s">
        <v>88</v>
      </c>
      <c r="BL685" t="s">
        <v>66</v>
      </c>
      <c r="BM685" t="s">
        <v>159</v>
      </c>
    </row>
    <row r="686" spans="1:65" x14ac:dyDescent="0.25">
      <c r="A686">
        <v>684</v>
      </c>
      <c r="B686" t="s">
        <v>1091</v>
      </c>
      <c r="C686" t="s">
        <v>1092</v>
      </c>
      <c r="D686" s="1">
        <v>46211</v>
      </c>
      <c r="E686" t="s">
        <v>1093</v>
      </c>
      <c r="F686" t="s">
        <v>1094</v>
      </c>
      <c r="G686" t="s">
        <v>69</v>
      </c>
      <c r="H686" t="s">
        <v>70</v>
      </c>
      <c r="I686" t="s">
        <v>71</v>
      </c>
      <c r="J686" t="s">
        <v>72</v>
      </c>
      <c r="K686" t="s">
        <v>73</v>
      </c>
      <c r="L686" t="s">
        <v>74</v>
      </c>
      <c r="M686" t="s">
        <v>1095</v>
      </c>
      <c r="N686" t="s">
        <v>696</v>
      </c>
      <c r="O686" t="s">
        <v>1096</v>
      </c>
      <c r="P686" t="s">
        <v>1097</v>
      </c>
      <c r="Q686" t="s">
        <v>1098</v>
      </c>
      <c r="R686" s="1">
        <v>46213</v>
      </c>
      <c r="S686" t="s">
        <v>1099</v>
      </c>
      <c r="T686" t="s">
        <v>1100</v>
      </c>
      <c r="U686" t="s">
        <v>1101</v>
      </c>
      <c r="V686" t="s">
        <v>66</v>
      </c>
      <c r="W686" t="s">
        <v>66</v>
      </c>
      <c r="X686">
        <v>2535192</v>
      </c>
      <c r="Y686">
        <v>278871.12</v>
      </c>
      <c r="Z686">
        <v>384120</v>
      </c>
      <c r="AA686">
        <v>42253.2</v>
      </c>
      <c r="AB686">
        <v>2814063.12</v>
      </c>
      <c r="AC686">
        <v>1</v>
      </c>
      <c r="AD686" t="s">
        <v>134</v>
      </c>
      <c r="AE686">
        <v>24</v>
      </c>
      <c r="AF686" t="s">
        <v>99</v>
      </c>
      <c r="AG686">
        <f>IFERROR(VLOOKUP(AF686,[1]STOK!J:O,6,0),"")</f>
        <v>24</v>
      </c>
      <c r="AH686" s="2">
        <f t="shared" si="20"/>
        <v>1</v>
      </c>
      <c r="AI686" t="s">
        <v>99</v>
      </c>
      <c r="AJ686" t="s">
        <v>100</v>
      </c>
      <c r="AK686" t="s">
        <v>101</v>
      </c>
      <c r="AL686" t="s">
        <v>86</v>
      </c>
      <c r="AM686">
        <v>439560</v>
      </c>
      <c r="AN686">
        <f t="shared" si="21"/>
        <v>426373.2</v>
      </c>
      <c r="AO686" t="s">
        <v>66</v>
      </c>
      <c r="AP686">
        <v>3</v>
      </c>
      <c r="AQ686" t="s">
        <v>66</v>
      </c>
      <c r="AR686">
        <v>0</v>
      </c>
      <c r="AS686" t="s">
        <v>66</v>
      </c>
      <c r="AT686">
        <v>0</v>
      </c>
      <c r="AU686" t="s">
        <v>66</v>
      </c>
      <c r="AV686">
        <v>0</v>
      </c>
      <c r="AW686" t="s">
        <v>66</v>
      </c>
      <c r="AX686">
        <v>0</v>
      </c>
      <c r="AY686" t="s">
        <v>66</v>
      </c>
      <c r="AZ686">
        <v>0</v>
      </c>
      <c r="BA686" t="s">
        <v>66</v>
      </c>
      <c r="BB686">
        <v>0</v>
      </c>
      <c r="BC686">
        <v>0</v>
      </c>
      <c r="BD686">
        <v>426373.2</v>
      </c>
      <c r="BE686">
        <v>14915.33</v>
      </c>
      <c r="BF686">
        <v>0</v>
      </c>
      <c r="BG686" t="s">
        <v>87</v>
      </c>
      <c r="BH686" t="s">
        <v>66</v>
      </c>
      <c r="BI686">
        <v>0</v>
      </c>
      <c r="BJ686" t="s">
        <v>66</v>
      </c>
      <c r="BK686" t="s">
        <v>88</v>
      </c>
      <c r="BL686" t="s">
        <v>66</v>
      </c>
      <c r="BM686" t="s">
        <v>159</v>
      </c>
    </row>
    <row r="687" spans="1:65" x14ac:dyDescent="0.25">
      <c r="A687">
        <v>685</v>
      </c>
      <c r="B687" t="s">
        <v>1091</v>
      </c>
      <c r="C687" t="s">
        <v>1092</v>
      </c>
      <c r="D687" s="1">
        <v>46211</v>
      </c>
      <c r="E687" t="s">
        <v>1093</v>
      </c>
      <c r="F687" t="s">
        <v>1094</v>
      </c>
      <c r="G687" t="s">
        <v>69</v>
      </c>
      <c r="H687" t="s">
        <v>70</v>
      </c>
      <c r="I687" t="s">
        <v>71</v>
      </c>
      <c r="J687" t="s">
        <v>72</v>
      </c>
      <c r="K687" t="s">
        <v>73</v>
      </c>
      <c r="L687" t="s">
        <v>74</v>
      </c>
      <c r="M687" t="s">
        <v>1095</v>
      </c>
      <c r="N687" t="s">
        <v>696</v>
      </c>
      <c r="O687" t="s">
        <v>1096</v>
      </c>
      <c r="P687" t="s">
        <v>1097</v>
      </c>
      <c r="Q687" t="s">
        <v>1098</v>
      </c>
      <c r="R687" s="1">
        <v>46213</v>
      </c>
      <c r="S687" t="s">
        <v>1099</v>
      </c>
      <c r="T687" t="s">
        <v>1100</v>
      </c>
      <c r="U687" t="s">
        <v>1101</v>
      </c>
      <c r="V687" t="s">
        <v>66</v>
      </c>
      <c r="W687" t="s">
        <v>66</v>
      </c>
      <c r="X687">
        <v>2535192</v>
      </c>
      <c r="Y687">
        <v>278871.12</v>
      </c>
      <c r="Z687">
        <v>451632</v>
      </c>
      <c r="AA687">
        <v>49679.519999999997</v>
      </c>
      <c r="AB687">
        <v>2814063.12</v>
      </c>
      <c r="AC687">
        <v>2</v>
      </c>
      <c r="AD687" t="s">
        <v>134</v>
      </c>
      <c r="AE687">
        <v>24</v>
      </c>
      <c r="AF687" t="s">
        <v>287</v>
      </c>
      <c r="AG687">
        <f>IFERROR(VLOOKUP(AF687,[1]STOK!J:O,6,0),"")</f>
        <v>12</v>
      </c>
      <c r="AH687" s="2">
        <f t="shared" si="20"/>
        <v>2</v>
      </c>
      <c r="AI687" t="s">
        <v>287</v>
      </c>
      <c r="AJ687" t="s">
        <v>288</v>
      </c>
      <c r="AK687" t="s">
        <v>289</v>
      </c>
      <c r="AL687" t="s">
        <v>86</v>
      </c>
      <c r="AM687">
        <v>258408</v>
      </c>
      <c r="AN687">
        <f t="shared" si="21"/>
        <v>250655.76</v>
      </c>
      <c r="AO687" t="s">
        <v>66</v>
      </c>
      <c r="AP687">
        <v>3</v>
      </c>
      <c r="AQ687" t="s">
        <v>66</v>
      </c>
      <c r="AR687">
        <v>0</v>
      </c>
      <c r="AS687" t="s">
        <v>66</v>
      </c>
      <c r="AT687">
        <v>0</v>
      </c>
      <c r="AU687" t="s">
        <v>66</v>
      </c>
      <c r="AV687">
        <v>0</v>
      </c>
      <c r="AW687" t="s">
        <v>66</v>
      </c>
      <c r="AX687">
        <v>0</v>
      </c>
      <c r="AY687" t="s">
        <v>66</v>
      </c>
      <c r="AZ687">
        <v>0</v>
      </c>
      <c r="BA687" t="s">
        <v>66</v>
      </c>
      <c r="BB687">
        <v>0</v>
      </c>
      <c r="BC687">
        <v>0</v>
      </c>
      <c r="BD687">
        <v>501311.52</v>
      </c>
      <c r="BE687">
        <v>17422.02</v>
      </c>
      <c r="BF687">
        <v>0</v>
      </c>
      <c r="BG687" t="s">
        <v>87</v>
      </c>
      <c r="BH687" t="s">
        <v>66</v>
      </c>
      <c r="BI687">
        <v>0</v>
      </c>
      <c r="BJ687" t="s">
        <v>66</v>
      </c>
      <c r="BK687" t="s">
        <v>88</v>
      </c>
      <c r="BL687" t="s">
        <v>66</v>
      </c>
      <c r="BM687" t="s">
        <v>159</v>
      </c>
    </row>
    <row r="688" spans="1:65" x14ac:dyDescent="0.25">
      <c r="A688">
        <v>686</v>
      </c>
      <c r="B688" t="s">
        <v>1091</v>
      </c>
      <c r="C688" t="s">
        <v>1092</v>
      </c>
      <c r="D688" s="1">
        <v>46211</v>
      </c>
      <c r="E688" t="s">
        <v>1093</v>
      </c>
      <c r="F688" t="s">
        <v>1094</v>
      </c>
      <c r="G688" t="s">
        <v>69</v>
      </c>
      <c r="H688" t="s">
        <v>70</v>
      </c>
      <c r="I688" t="s">
        <v>71</v>
      </c>
      <c r="J688" t="s">
        <v>72</v>
      </c>
      <c r="K688" t="s">
        <v>73</v>
      </c>
      <c r="L688" t="s">
        <v>74</v>
      </c>
      <c r="M688" t="s">
        <v>1095</v>
      </c>
      <c r="N688" t="s">
        <v>696</v>
      </c>
      <c r="O688" t="s">
        <v>1096</v>
      </c>
      <c r="P688" t="s">
        <v>1097</v>
      </c>
      <c r="Q688" t="s">
        <v>1098</v>
      </c>
      <c r="R688" s="1">
        <v>46213</v>
      </c>
      <c r="S688" t="s">
        <v>1099</v>
      </c>
      <c r="T688" t="s">
        <v>1100</v>
      </c>
      <c r="U688" t="s">
        <v>1101</v>
      </c>
      <c r="V688" t="s">
        <v>66</v>
      </c>
      <c r="W688" t="s">
        <v>66</v>
      </c>
      <c r="X688">
        <v>2535192</v>
      </c>
      <c r="Y688">
        <v>278871.12</v>
      </c>
      <c r="Z688">
        <v>465600</v>
      </c>
      <c r="AA688">
        <v>51216</v>
      </c>
      <c r="AB688">
        <v>2814063.12</v>
      </c>
      <c r="AC688">
        <v>2</v>
      </c>
      <c r="AD688" t="s">
        <v>134</v>
      </c>
      <c r="AE688">
        <v>24</v>
      </c>
      <c r="AF688" t="s">
        <v>290</v>
      </c>
      <c r="AG688">
        <f>IFERROR(VLOOKUP(AF688,[1]STOK!J:O,6,0),"")</f>
        <v>12</v>
      </c>
      <c r="AH688" s="2">
        <f t="shared" si="20"/>
        <v>2</v>
      </c>
      <c r="AI688" t="s">
        <v>290</v>
      </c>
      <c r="AJ688" t="s">
        <v>291</v>
      </c>
      <c r="AK688" t="s">
        <v>292</v>
      </c>
      <c r="AL688" t="s">
        <v>86</v>
      </c>
      <c r="AM688">
        <v>266400</v>
      </c>
      <c r="AN688">
        <f t="shared" si="21"/>
        <v>258408</v>
      </c>
      <c r="AO688" t="s">
        <v>66</v>
      </c>
      <c r="AP688">
        <v>3</v>
      </c>
      <c r="AQ688" t="s">
        <v>66</v>
      </c>
      <c r="AR688">
        <v>0</v>
      </c>
      <c r="AS688" t="s">
        <v>66</v>
      </c>
      <c r="AT688">
        <v>0</v>
      </c>
      <c r="AU688" t="s">
        <v>66</v>
      </c>
      <c r="AV688">
        <v>0</v>
      </c>
      <c r="AW688" t="s">
        <v>66</v>
      </c>
      <c r="AX688">
        <v>0</v>
      </c>
      <c r="AY688" t="s">
        <v>66</v>
      </c>
      <c r="AZ688">
        <v>0</v>
      </c>
      <c r="BA688" t="s">
        <v>66</v>
      </c>
      <c r="BB688">
        <v>0</v>
      </c>
      <c r="BC688">
        <v>0</v>
      </c>
      <c r="BD688">
        <v>516816</v>
      </c>
      <c r="BE688">
        <v>18106.89</v>
      </c>
      <c r="BF688">
        <v>0</v>
      </c>
      <c r="BG688" t="s">
        <v>87</v>
      </c>
      <c r="BH688" t="s">
        <v>66</v>
      </c>
      <c r="BI688">
        <v>0</v>
      </c>
      <c r="BJ688" t="s">
        <v>66</v>
      </c>
      <c r="BK688" t="s">
        <v>88</v>
      </c>
      <c r="BL688" t="s">
        <v>66</v>
      </c>
      <c r="BM688" t="s">
        <v>159</v>
      </c>
    </row>
    <row r="689" spans="1:65" x14ac:dyDescent="0.25">
      <c r="A689">
        <v>687</v>
      </c>
      <c r="B689" t="s">
        <v>1091</v>
      </c>
      <c r="C689" t="s">
        <v>1092</v>
      </c>
      <c r="D689" s="1">
        <v>46211</v>
      </c>
      <c r="E689" t="s">
        <v>1093</v>
      </c>
      <c r="F689" t="s">
        <v>1094</v>
      </c>
      <c r="G689" t="s">
        <v>69</v>
      </c>
      <c r="H689" t="s">
        <v>70</v>
      </c>
      <c r="I689" t="s">
        <v>71</v>
      </c>
      <c r="J689" t="s">
        <v>72</v>
      </c>
      <c r="K689" t="s">
        <v>73</v>
      </c>
      <c r="L689" t="s">
        <v>74</v>
      </c>
      <c r="M689" t="s">
        <v>1095</v>
      </c>
      <c r="N689" t="s">
        <v>696</v>
      </c>
      <c r="O689" t="s">
        <v>1096</v>
      </c>
      <c r="P689" t="s">
        <v>1097</v>
      </c>
      <c r="Q689" t="s">
        <v>1098</v>
      </c>
      <c r="R689" s="1">
        <v>46213</v>
      </c>
      <c r="S689" t="s">
        <v>1099</v>
      </c>
      <c r="T689" t="s">
        <v>1100</v>
      </c>
      <c r="U689" t="s">
        <v>1101</v>
      </c>
      <c r="V689" t="s">
        <v>66</v>
      </c>
      <c r="W689" t="s">
        <v>66</v>
      </c>
      <c r="X689">
        <v>2535192</v>
      </c>
      <c r="Y689">
        <v>278871.12</v>
      </c>
      <c r="Z689">
        <v>465600</v>
      </c>
      <c r="AA689">
        <v>51216</v>
      </c>
      <c r="AB689">
        <v>2814063.12</v>
      </c>
      <c r="AC689">
        <v>2</v>
      </c>
      <c r="AD689" t="s">
        <v>134</v>
      </c>
      <c r="AE689">
        <v>24</v>
      </c>
      <c r="AF689" t="s">
        <v>102</v>
      </c>
      <c r="AG689">
        <f>IFERROR(VLOOKUP(AF689,[1]STOK!J:O,6,0),"")</f>
        <v>12</v>
      </c>
      <c r="AH689" s="2">
        <f t="shared" si="20"/>
        <v>2</v>
      </c>
      <c r="AI689" t="s">
        <v>102</v>
      </c>
      <c r="AJ689" t="s">
        <v>103</v>
      </c>
      <c r="AK689" t="s">
        <v>104</v>
      </c>
      <c r="AL689" t="s">
        <v>86</v>
      </c>
      <c r="AM689">
        <v>266400</v>
      </c>
      <c r="AN689">
        <f t="shared" si="21"/>
        <v>258408</v>
      </c>
      <c r="AO689" t="s">
        <v>66</v>
      </c>
      <c r="AP689">
        <v>3</v>
      </c>
      <c r="AQ689" t="s">
        <v>66</v>
      </c>
      <c r="AR689">
        <v>0</v>
      </c>
      <c r="AS689" t="s">
        <v>66</v>
      </c>
      <c r="AT689">
        <v>0</v>
      </c>
      <c r="AU689" t="s">
        <v>66</v>
      </c>
      <c r="AV689">
        <v>0</v>
      </c>
      <c r="AW689" t="s">
        <v>66</v>
      </c>
      <c r="AX689">
        <v>0</v>
      </c>
      <c r="AY689" t="s">
        <v>66</v>
      </c>
      <c r="AZ689">
        <v>0</v>
      </c>
      <c r="BA689" t="s">
        <v>66</v>
      </c>
      <c r="BB689">
        <v>0</v>
      </c>
      <c r="BC689">
        <v>0</v>
      </c>
      <c r="BD689">
        <v>516816</v>
      </c>
      <c r="BE689">
        <v>18075.27</v>
      </c>
      <c r="BF689">
        <v>0</v>
      </c>
      <c r="BG689" t="s">
        <v>87</v>
      </c>
      <c r="BH689" t="s">
        <v>66</v>
      </c>
      <c r="BI689">
        <v>0</v>
      </c>
      <c r="BJ689" t="s">
        <v>66</v>
      </c>
      <c r="BK689" t="s">
        <v>88</v>
      </c>
      <c r="BL689" t="s">
        <v>66</v>
      </c>
      <c r="BM689" t="s">
        <v>159</v>
      </c>
    </row>
    <row r="690" spans="1:65" x14ac:dyDescent="0.25">
      <c r="A690">
        <v>688</v>
      </c>
      <c r="B690" t="s">
        <v>1102</v>
      </c>
      <c r="C690" t="s">
        <v>68</v>
      </c>
      <c r="D690" s="1">
        <v>46211</v>
      </c>
      <c r="E690" t="s">
        <v>1103</v>
      </c>
      <c r="F690" t="s">
        <v>68</v>
      </c>
      <c r="G690" t="s">
        <v>295</v>
      </c>
      <c r="H690" t="s">
        <v>296</v>
      </c>
      <c r="I690" t="s">
        <v>71</v>
      </c>
      <c r="J690" t="s">
        <v>72</v>
      </c>
      <c r="K690" t="s">
        <v>73</v>
      </c>
      <c r="L690" t="s">
        <v>74</v>
      </c>
      <c r="M690" t="s">
        <v>1104</v>
      </c>
      <c r="N690" t="s">
        <v>274</v>
      </c>
      <c r="O690" t="s">
        <v>614</v>
      </c>
      <c r="P690" t="s">
        <v>1105</v>
      </c>
      <c r="Q690" t="s">
        <v>1106</v>
      </c>
      <c r="R690" s="1">
        <v>46212</v>
      </c>
      <c r="S690" t="s">
        <v>614</v>
      </c>
      <c r="T690" t="s">
        <v>615</v>
      </c>
      <c r="U690" t="s">
        <v>616</v>
      </c>
      <c r="V690" t="s">
        <v>66</v>
      </c>
      <c r="W690" t="s">
        <v>66</v>
      </c>
      <c r="X690">
        <v>3359244</v>
      </c>
      <c r="Y690">
        <v>369516.84</v>
      </c>
      <c r="Z690">
        <v>780120</v>
      </c>
      <c r="AA690">
        <v>85813.2</v>
      </c>
      <c r="AB690">
        <v>3728760.84</v>
      </c>
      <c r="AC690">
        <v>2</v>
      </c>
      <c r="AD690" t="s">
        <v>134</v>
      </c>
      <c r="AE690">
        <v>48</v>
      </c>
      <c r="AF690" t="s">
        <v>99</v>
      </c>
      <c r="AG690">
        <f>IFERROR(VLOOKUP(AF690,[1]STOK!J:O,6,0),"")</f>
        <v>24</v>
      </c>
      <c r="AH690" s="2">
        <f t="shared" si="20"/>
        <v>2</v>
      </c>
      <c r="AI690" t="s">
        <v>99</v>
      </c>
      <c r="AJ690" t="s">
        <v>100</v>
      </c>
      <c r="AK690" t="s">
        <v>101</v>
      </c>
      <c r="AL690" t="s">
        <v>86</v>
      </c>
      <c r="AM690">
        <v>439560</v>
      </c>
      <c r="AN690">
        <f t="shared" si="21"/>
        <v>432966.6</v>
      </c>
      <c r="AO690" t="s">
        <v>66</v>
      </c>
      <c r="AP690">
        <v>1.5</v>
      </c>
      <c r="AQ690" t="s">
        <v>66</v>
      </c>
      <c r="AR690">
        <v>0</v>
      </c>
      <c r="AS690" t="s">
        <v>66</v>
      </c>
      <c r="AT690">
        <v>0</v>
      </c>
      <c r="AU690" t="s">
        <v>66</v>
      </c>
      <c r="AV690">
        <v>0</v>
      </c>
      <c r="AW690" t="s">
        <v>66</v>
      </c>
      <c r="AX690">
        <v>0</v>
      </c>
      <c r="AY690" t="s">
        <v>66</v>
      </c>
      <c r="AZ690">
        <v>0</v>
      </c>
      <c r="BA690" t="s">
        <v>66</v>
      </c>
      <c r="BB690">
        <v>0</v>
      </c>
      <c r="BC690">
        <v>0</v>
      </c>
      <c r="BD690">
        <v>865933.2</v>
      </c>
      <c r="BE690">
        <v>14915.33</v>
      </c>
      <c r="BF690">
        <v>0</v>
      </c>
      <c r="BG690" t="s">
        <v>87</v>
      </c>
      <c r="BH690" t="s">
        <v>66</v>
      </c>
      <c r="BI690">
        <v>0</v>
      </c>
      <c r="BJ690" t="s">
        <v>66</v>
      </c>
      <c r="BK690" t="s">
        <v>88</v>
      </c>
      <c r="BL690" t="s">
        <v>66</v>
      </c>
      <c r="BM690" t="s">
        <v>159</v>
      </c>
    </row>
    <row r="691" spans="1:65" x14ac:dyDescent="0.25">
      <c r="A691">
        <v>689</v>
      </c>
      <c r="B691" t="s">
        <v>1102</v>
      </c>
      <c r="C691" t="s">
        <v>68</v>
      </c>
      <c r="D691" s="1">
        <v>46211</v>
      </c>
      <c r="E691" t="s">
        <v>1103</v>
      </c>
      <c r="F691" t="s">
        <v>68</v>
      </c>
      <c r="G691" t="s">
        <v>295</v>
      </c>
      <c r="H691" t="s">
        <v>296</v>
      </c>
      <c r="I691" t="s">
        <v>71</v>
      </c>
      <c r="J691" t="s">
        <v>72</v>
      </c>
      <c r="K691" t="s">
        <v>73</v>
      </c>
      <c r="L691" t="s">
        <v>74</v>
      </c>
      <c r="M691" t="s">
        <v>1104</v>
      </c>
      <c r="N691" t="s">
        <v>274</v>
      </c>
      <c r="O691" t="s">
        <v>614</v>
      </c>
      <c r="P691" t="s">
        <v>1105</v>
      </c>
      <c r="Q691" t="s">
        <v>1106</v>
      </c>
      <c r="R691" s="1">
        <v>46212</v>
      </c>
      <c r="S691" t="s">
        <v>614</v>
      </c>
      <c r="T691" t="s">
        <v>615</v>
      </c>
      <c r="U691" t="s">
        <v>616</v>
      </c>
      <c r="V691" t="s">
        <v>66</v>
      </c>
      <c r="W691" t="s">
        <v>66</v>
      </c>
      <c r="X691">
        <v>3359244</v>
      </c>
      <c r="Y691">
        <v>369516.84</v>
      </c>
      <c r="Z691">
        <v>322686</v>
      </c>
      <c r="AA691">
        <v>35495.46</v>
      </c>
      <c r="AB691">
        <v>3728760.84</v>
      </c>
      <c r="AC691">
        <v>1</v>
      </c>
      <c r="AD691" t="s">
        <v>134</v>
      </c>
      <c r="AE691">
        <v>12</v>
      </c>
      <c r="AF691" t="s">
        <v>306</v>
      </c>
      <c r="AG691">
        <f>IFERROR(VLOOKUP(AF691,[1]STOK!J:O,6,0),"")</f>
        <v>12</v>
      </c>
      <c r="AH691" s="2">
        <f t="shared" si="20"/>
        <v>1</v>
      </c>
      <c r="AI691" t="s">
        <v>306</v>
      </c>
      <c r="AJ691" t="s">
        <v>307</v>
      </c>
      <c r="AK691" t="s">
        <v>308</v>
      </c>
      <c r="AL691" t="s">
        <v>86</v>
      </c>
      <c r="AM691">
        <v>363636</v>
      </c>
      <c r="AN691">
        <f t="shared" si="21"/>
        <v>358181.46</v>
      </c>
      <c r="AO691" t="s">
        <v>66</v>
      </c>
      <c r="AP691">
        <v>1.5</v>
      </c>
      <c r="AQ691" t="s">
        <v>66</v>
      </c>
      <c r="AR691">
        <v>0</v>
      </c>
      <c r="AS691" t="s">
        <v>66</v>
      </c>
      <c r="AT691">
        <v>0</v>
      </c>
      <c r="AU691" t="s">
        <v>66</v>
      </c>
      <c r="AV691">
        <v>0</v>
      </c>
      <c r="AW691" t="s">
        <v>66</v>
      </c>
      <c r="AX691">
        <v>0</v>
      </c>
      <c r="AY691" t="s">
        <v>66</v>
      </c>
      <c r="AZ691">
        <v>0</v>
      </c>
      <c r="BA691" t="s">
        <v>66</v>
      </c>
      <c r="BB691">
        <v>0</v>
      </c>
      <c r="BC691">
        <v>0</v>
      </c>
      <c r="BD691">
        <v>358181.46</v>
      </c>
      <c r="BE691">
        <v>24547.85</v>
      </c>
      <c r="BF691">
        <v>0</v>
      </c>
      <c r="BG691" t="s">
        <v>87</v>
      </c>
      <c r="BH691" t="s">
        <v>66</v>
      </c>
      <c r="BI691">
        <v>0</v>
      </c>
      <c r="BJ691" t="s">
        <v>66</v>
      </c>
      <c r="BK691" t="s">
        <v>88</v>
      </c>
      <c r="BL691" t="s">
        <v>66</v>
      </c>
      <c r="BM691" t="s">
        <v>159</v>
      </c>
    </row>
    <row r="692" spans="1:65" x14ac:dyDescent="0.25">
      <c r="A692">
        <v>690</v>
      </c>
      <c r="B692" t="s">
        <v>1102</v>
      </c>
      <c r="C692" t="s">
        <v>68</v>
      </c>
      <c r="D692" s="1">
        <v>46211</v>
      </c>
      <c r="E692" t="s">
        <v>1103</v>
      </c>
      <c r="F692" t="s">
        <v>68</v>
      </c>
      <c r="G692" t="s">
        <v>295</v>
      </c>
      <c r="H692" t="s">
        <v>296</v>
      </c>
      <c r="I692" t="s">
        <v>71</v>
      </c>
      <c r="J692" t="s">
        <v>72</v>
      </c>
      <c r="K692" t="s">
        <v>73</v>
      </c>
      <c r="L692" t="s">
        <v>74</v>
      </c>
      <c r="M692" t="s">
        <v>1104</v>
      </c>
      <c r="N692" t="s">
        <v>274</v>
      </c>
      <c r="O692" t="s">
        <v>614</v>
      </c>
      <c r="P692" t="s">
        <v>1105</v>
      </c>
      <c r="Q692" t="s">
        <v>1106</v>
      </c>
      <c r="R692" s="1">
        <v>46212</v>
      </c>
      <c r="S692" t="s">
        <v>614</v>
      </c>
      <c r="T692" t="s">
        <v>615</v>
      </c>
      <c r="U692" t="s">
        <v>616</v>
      </c>
      <c r="V692" t="s">
        <v>66</v>
      </c>
      <c r="W692" t="s">
        <v>66</v>
      </c>
      <c r="X692">
        <v>3359244</v>
      </c>
      <c r="Y692">
        <v>369516.84</v>
      </c>
      <c r="Z692">
        <v>917232</v>
      </c>
      <c r="AA692">
        <v>100895.52</v>
      </c>
      <c r="AB692">
        <v>3728760.84</v>
      </c>
      <c r="AC692">
        <v>2</v>
      </c>
      <c r="AD692" t="s">
        <v>134</v>
      </c>
      <c r="AE692">
        <v>48</v>
      </c>
      <c r="AF692" t="s">
        <v>467</v>
      </c>
      <c r="AG692">
        <f>IFERROR(VLOOKUP(AF692,[1]STOK!J:O,6,0),"")</f>
        <v>24</v>
      </c>
      <c r="AH692" s="2">
        <f t="shared" si="20"/>
        <v>2</v>
      </c>
      <c r="AI692" t="s">
        <v>467</v>
      </c>
      <c r="AJ692" t="s">
        <v>468</v>
      </c>
      <c r="AK692" t="s">
        <v>469</v>
      </c>
      <c r="AL692" t="s">
        <v>86</v>
      </c>
      <c r="AM692">
        <v>516816</v>
      </c>
      <c r="AN692">
        <f t="shared" si="21"/>
        <v>509063.76</v>
      </c>
      <c r="AO692" t="s">
        <v>66</v>
      </c>
      <c r="AP692">
        <v>1.5</v>
      </c>
      <c r="AQ692" t="s">
        <v>66</v>
      </c>
      <c r="AR692">
        <v>0</v>
      </c>
      <c r="AS692" t="s">
        <v>66</v>
      </c>
      <c r="AT692">
        <v>0</v>
      </c>
      <c r="AU692" t="s">
        <v>66</v>
      </c>
      <c r="AV692">
        <v>0</v>
      </c>
      <c r="AW692" t="s">
        <v>66</v>
      </c>
      <c r="AX692">
        <v>0</v>
      </c>
      <c r="AY692" t="s">
        <v>66</v>
      </c>
      <c r="AZ692">
        <v>0</v>
      </c>
      <c r="BA692" t="s">
        <v>66</v>
      </c>
      <c r="BB692">
        <v>0</v>
      </c>
      <c r="BC692">
        <v>0</v>
      </c>
      <c r="BD692">
        <v>1018127.52</v>
      </c>
      <c r="BE692">
        <v>17318.07</v>
      </c>
      <c r="BF692">
        <v>0</v>
      </c>
      <c r="BG692" t="s">
        <v>87</v>
      </c>
      <c r="BH692" t="s">
        <v>66</v>
      </c>
      <c r="BI692">
        <v>0</v>
      </c>
      <c r="BJ692" t="s">
        <v>66</v>
      </c>
      <c r="BK692" t="s">
        <v>88</v>
      </c>
      <c r="BL692" t="s">
        <v>66</v>
      </c>
      <c r="BM692" t="s">
        <v>159</v>
      </c>
    </row>
    <row r="693" spans="1:65" x14ac:dyDescent="0.25">
      <c r="A693">
        <v>691</v>
      </c>
      <c r="B693" t="s">
        <v>1102</v>
      </c>
      <c r="C693" t="s">
        <v>68</v>
      </c>
      <c r="D693" s="1">
        <v>46211</v>
      </c>
      <c r="E693" t="s">
        <v>1103</v>
      </c>
      <c r="F693" t="s">
        <v>68</v>
      </c>
      <c r="G693" t="s">
        <v>295</v>
      </c>
      <c r="H693" t="s">
        <v>296</v>
      </c>
      <c r="I693" t="s">
        <v>71</v>
      </c>
      <c r="J693" t="s">
        <v>72</v>
      </c>
      <c r="K693" t="s">
        <v>73</v>
      </c>
      <c r="L693" t="s">
        <v>74</v>
      </c>
      <c r="M693" t="s">
        <v>1104</v>
      </c>
      <c r="N693" t="s">
        <v>274</v>
      </c>
      <c r="O693" t="s">
        <v>614</v>
      </c>
      <c r="P693" t="s">
        <v>1105</v>
      </c>
      <c r="Q693" t="s">
        <v>1106</v>
      </c>
      <c r="R693" s="1">
        <v>46212</v>
      </c>
      <c r="S693" t="s">
        <v>614</v>
      </c>
      <c r="T693" t="s">
        <v>615</v>
      </c>
      <c r="U693" t="s">
        <v>616</v>
      </c>
      <c r="V693" t="s">
        <v>66</v>
      </c>
      <c r="W693" t="s">
        <v>66</v>
      </c>
      <c r="X693">
        <v>3359244</v>
      </c>
      <c r="Y693">
        <v>369516.84</v>
      </c>
      <c r="Z693">
        <v>458616</v>
      </c>
      <c r="AA693">
        <v>50447.76</v>
      </c>
      <c r="AB693">
        <v>3728760.84</v>
      </c>
      <c r="AC693">
        <v>2</v>
      </c>
      <c r="AD693" t="s">
        <v>134</v>
      </c>
      <c r="AE693">
        <v>24</v>
      </c>
      <c r="AF693" t="s">
        <v>284</v>
      </c>
      <c r="AG693">
        <f>IFERROR(VLOOKUP(AF693,[1]STOK!J:O,6,0),"")</f>
        <v>12</v>
      </c>
      <c r="AH693" s="2">
        <f t="shared" si="20"/>
        <v>2</v>
      </c>
      <c r="AI693" t="s">
        <v>284</v>
      </c>
      <c r="AJ693" t="s">
        <v>285</v>
      </c>
      <c r="AK693" t="s">
        <v>286</v>
      </c>
      <c r="AL693" t="s">
        <v>86</v>
      </c>
      <c r="AM693">
        <v>258408</v>
      </c>
      <c r="AN693">
        <f t="shared" si="21"/>
        <v>254531.88</v>
      </c>
      <c r="AO693" t="s">
        <v>66</v>
      </c>
      <c r="AP693">
        <v>1.5</v>
      </c>
      <c r="AQ693" t="s">
        <v>66</v>
      </c>
      <c r="AR693">
        <v>0</v>
      </c>
      <c r="AS693" t="s">
        <v>66</v>
      </c>
      <c r="AT693">
        <v>0</v>
      </c>
      <c r="AU693" t="s">
        <v>66</v>
      </c>
      <c r="AV693">
        <v>0</v>
      </c>
      <c r="AW693" t="s">
        <v>66</v>
      </c>
      <c r="AX693">
        <v>0</v>
      </c>
      <c r="AY693" t="s">
        <v>66</v>
      </c>
      <c r="AZ693">
        <v>0</v>
      </c>
      <c r="BA693" t="s">
        <v>66</v>
      </c>
      <c r="BB693">
        <v>0</v>
      </c>
      <c r="BC693">
        <v>0</v>
      </c>
      <c r="BD693">
        <v>509063.76</v>
      </c>
      <c r="BE693">
        <v>17371.36</v>
      </c>
      <c r="BF693">
        <v>0</v>
      </c>
      <c r="BG693" t="s">
        <v>87</v>
      </c>
      <c r="BH693" t="s">
        <v>66</v>
      </c>
      <c r="BI693">
        <v>0</v>
      </c>
      <c r="BJ693" t="s">
        <v>66</v>
      </c>
      <c r="BK693" t="s">
        <v>88</v>
      </c>
      <c r="BL693" t="s">
        <v>66</v>
      </c>
      <c r="BM693" t="s">
        <v>159</v>
      </c>
    </row>
    <row r="694" spans="1:65" x14ac:dyDescent="0.25">
      <c r="A694">
        <v>692</v>
      </c>
      <c r="B694" t="s">
        <v>1102</v>
      </c>
      <c r="C694" t="s">
        <v>68</v>
      </c>
      <c r="D694" s="1">
        <v>46211</v>
      </c>
      <c r="E694" t="s">
        <v>1103</v>
      </c>
      <c r="F694" t="s">
        <v>68</v>
      </c>
      <c r="G694" t="s">
        <v>295</v>
      </c>
      <c r="H694" t="s">
        <v>296</v>
      </c>
      <c r="I694" t="s">
        <v>71</v>
      </c>
      <c r="J694" t="s">
        <v>72</v>
      </c>
      <c r="K694" t="s">
        <v>73</v>
      </c>
      <c r="L694" t="s">
        <v>74</v>
      </c>
      <c r="M694" t="s">
        <v>1104</v>
      </c>
      <c r="N694" t="s">
        <v>274</v>
      </c>
      <c r="O694" t="s">
        <v>614</v>
      </c>
      <c r="P694" t="s">
        <v>1105</v>
      </c>
      <c r="Q694" t="s">
        <v>1106</v>
      </c>
      <c r="R694" s="1">
        <v>46212</v>
      </c>
      <c r="S694" t="s">
        <v>614</v>
      </c>
      <c r="T694" t="s">
        <v>615</v>
      </c>
      <c r="U694" t="s">
        <v>616</v>
      </c>
      <c r="V694" t="s">
        <v>66</v>
      </c>
      <c r="W694" t="s">
        <v>66</v>
      </c>
      <c r="X694">
        <v>3359244</v>
      </c>
      <c r="Y694">
        <v>369516.84</v>
      </c>
      <c r="Z694">
        <v>427884</v>
      </c>
      <c r="AA694">
        <v>47067.24</v>
      </c>
      <c r="AB694">
        <v>3728760.84</v>
      </c>
      <c r="AC694">
        <v>2</v>
      </c>
      <c r="AD694" t="s">
        <v>134</v>
      </c>
      <c r="AE694">
        <v>24</v>
      </c>
      <c r="AF694" t="s">
        <v>356</v>
      </c>
      <c r="AG694">
        <f>IFERROR(VLOOKUP(AF694,[1]STOK!J:O,6,0),"")</f>
        <v>12</v>
      </c>
      <c r="AH694" s="2">
        <f t="shared" si="20"/>
        <v>2</v>
      </c>
      <c r="AI694" t="s">
        <v>356</v>
      </c>
      <c r="AJ694" t="s">
        <v>357</v>
      </c>
      <c r="AK694" t="s">
        <v>358</v>
      </c>
      <c r="AL694" t="s">
        <v>86</v>
      </c>
      <c r="AM694">
        <v>241092</v>
      </c>
      <c r="AN694">
        <f t="shared" si="21"/>
        <v>237475.62</v>
      </c>
      <c r="AO694" t="s">
        <v>66</v>
      </c>
      <c r="AP694">
        <v>1.5</v>
      </c>
      <c r="AQ694" t="s">
        <v>66</v>
      </c>
      <c r="AR694">
        <v>0</v>
      </c>
      <c r="AS694" t="s">
        <v>66</v>
      </c>
      <c r="AT694">
        <v>0</v>
      </c>
      <c r="AU694" t="s">
        <v>66</v>
      </c>
      <c r="AV694">
        <v>0</v>
      </c>
      <c r="AW694" t="s">
        <v>66</v>
      </c>
      <c r="AX694">
        <v>0</v>
      </c>
      <c r="AY694" t="s">
        <v>66</v>
      </c>
      <c r="AZ694">
        <v>0</v>
      </c>
      <c r="BA694" t="s">
        <v>66</v>
      </c>
      <c r="BB694">
        <v>0</v>
      </c>
      <c r="BC694">
        <v>0</v>
      </c>
      <c r="BD694">
        <v>474951.24</v>
      </c>
      <c r="BE694">
        <v>16282.92</v>
      </c>
      <c r="BF694">
        <v>0</v>
      </c>
      <c r="BG694" t="s">
        <v>87</v>
      </c>
      <c r="BH694" t="s">
        <v>66</v>
      </c>
      <c r="BI694">
        <v>0</v>
      </c>
      <c r="BJ694" t="s">
        <v>66</v>
      </c>
      <c r="BK694" t="s">
        <v>88</v>
      </c>
      <c r="BL694" t="s">
        <v>66</v>
      </c>
      <c r="BM694" t="s">
        <v>159</v>
      </c>
    </row>
    <row r="695" spans="1:65" x14ac:dyDescent="0.25">
      <c r="A695">
        <v>693</v>
      </c>
      <c r="B695" t="s">
        <v>1102</v>
      </c>
      <c r="C695" t="s">
        <v>68</v>
      </c>
      <c r="D695" s="1">
        <v>46211</v>
      </c>
      <c r="E695" t="s">
        <v>1103</v>
      </c>
      <c r="F695" t="s">
        <v>68</v>
      </c>
      <c r="G695" t="s">
        <v>295</v>
      </c>
      <c r="H695" t="s">
        <v>296</v>
      </c>
      <c r="I695" t="s">
        <v>71</v>
      </c>
      <c r="J695" t="s">
        <v>72</v>
      </c>
      <c r="K695" t="s">
        <v>73</v>
      </c>
      <c r="L695" t="s">
        <v>74</v>
      </c>
      <c r="M695" t="s">
        <v>1104</v>
      </c>
      <c r="N695" t="s">
        <v>274</v>
      </c>
      <c r="O695" t="s">
        <v>614</v>
      </c>
      <c r="P695" t="s">
        <v>1105</v>
      </c>
      <c r="Q695" t="s">
        <v>1106</v>
      </c>
      <c r="R695" s="1">
        <v>46212</v>
      </c>
      <c r="S695" t="s">
        <v>614</v>
      </c>
      <c r="T695" t="s">
        <v>615</v>
      </c>
      <c r="U695" t="s">
        <v>616</v>
      </c>
      <c r="V695" t="s">
        <v>66</v>
      </c>
      <c r="W695" t="s">
        <v>66</v>
      </c>
      <c r="X695">
        <v>3359244</v>
      </c>
      <c r="Y695">
        <v>369516.84</v>
      </c>
      <c r="Z695">
        <v>452706</v>
      </c>
      <c r="AA695">
        <v>49797.66</v>
      </c>
      <c r="AB695">
        <v>3728760.84</v>
      </c>
      <c r="AC695">
        <v>2</v>
      </c>
      <c r="AD695" t="s">
        <v>134</v>
      </c>
      <c r="AE695">
        <v>12</v>
      </c>
      <c r="AF695" t="s">
        <v>138</v>
      </c>
      <c r="AG695">
        <f>IFERROR(VLOOKUP(AF695,[1]STOK!J:O,6,0),"")</f>
        <v>6</v>
      </c>
      <c r="AH695" s="2">
        <f t="shared" si="20"/>
        <v>2</v>
      </c>
      <c r="AI695" t="s">
        <v>138</v>
      </c>
      <c r="AJ695" t="s">
        <v>139</v>
      </c>
      <c r="AK695" t="s">
        <v>140</v>
      </c>
      <c r="AL695" t="s">
        <v>86</v>
      </c>
      <c r="AM695">
        <v>255078</v>
      </c>
      <c r="AN695">
        <f t="shared" si="21"/>
        <v>251251.83</v>
      </c>
      <c r="AO695" t="s">
        <v>66</v>
      </c>
      <c r="AP695">
        <v>1.5</v>
      </c>
      <c r="AQ695" t="s">
        <v>66</v>
      </c>
      <c r="AR695">
        <v>0</v>
      </c>
      <c r="AS695" t="s">
        <v>66</v>
      </c>
      <c r="AT695">
        <v>0</v>
      </c>
      <c r="AU695" t="s">
        <v>66</v>
      </c>
      <c r="AV695">
        <v>0</v>
      </c>
      <c r="AW695" t="s">
        <v>66</v>
      </c>
      <c r="AX695">
        <v>0</v>
      </c>
      <c r="AY695" t="s">
        <v>66</v>
      </c>
      <c r="AZ695">
        <v>0</v>
      </c>
      <c r="BA695" t="s">
        <v>66</v>
      </c>
      <c r="BB695">
        <v>0</v>
      </c>
      <c r="BC695">
        <v>0</v>
      </c>
      <c r="BD695">
        <v>502503.66</v>
      </c>
      <c r="BE695">
        <v>34660.42</v>
      </c>
      <c r="BF695">
        <v>0</v>
      </c>
      <c r="BG695" t="s">
        <v>87</v>
      </c>
      <c r="BH695" t="s">
        <v>66</v>
      </c>
      <c r="BI695">
        <v>0</v>
      </c>
      <c r="BJ695" t="s">
        <v>66</v>
      </c>
      <c r="BK695" t="s">
        <v>88</v>
      </c>
      <c r="BL695" t="s">
        <v>66</v>
      </c>
      <c r="BM695" t="s">
        <v>159</v>
      </c>
    </row>
    <row r="696" spans="1:65" x14ac:dyDescent="0.25">
      <c r="A696">
        <v>694</v>
      </c>
      <c r="B696" t="s">
        <v>1107</v>
      </c>
      <c r="C696" t="s">
        <v>1108</v>
      </c>
      <c r="D696" s="1">
        <v>46212</v>
      </c>
      <c r="E696" t="s">
        <v>1109</v>
      </c>
      <c r="F696" t="s">
        <v>1110</v>
      </c>
      <c r="G696" t="s">
        <v>295</v>
      </c>
      <c r="H696" t="s">
        <v>296</v>
      </c>
      <c r="I696" t="s">
        <v>71</v>
      </c>
      <c r="J696" t="s">
        <v>72</v>
      </c>
      <c r="K696" t="s">
        <v>73</v>
      </c>
      <c r="L696" t="s">
        <v>74</v>
      </c>
      <c r="M696" t="s">
        <v>1111</v>
      </c>
      <c r="N696" t="s">
        <v>696</v>
      </c>
      <c r="O696" t="s">
        <v>1112</v>
      </c>
      <c r="P696" t="s">
        <v>1113</v>
      </c>
      <c r="Q696" t="s">
        <v>1114</v>
      </c>
      <c r="R696" s="1">
        <v>46213</v>
      </c>
      <c r="S696" t="s">
        <v>1115</v>
      </c>
      <c r="T696" t="s">
        <v>1116</v>
      </c>
      <c r="U696" t="s">
        <v>1117</v>
      </c>
      <c r="V696" t="s">
        <v>66</v>
      </c>
      <c r="W696" t="s">
        <v>66</v>
      </c>
      <c r="X696">
        <v>7915200</v>
      </c>
      <c r="Y696">
        <v>870672</v>
      </c>
      <c r="Z696">
        <v>6984000</v>
      </c>
      <c r="AA696">
        <v>768240</v>
      </c>
      <c r="AB696">
        <v>8785872</v>
      </c>
      <c r="AC696">
        <v>30</v>
      </c>
      <c r="AD696" t="s">
        <v>134</v>
      </c>
      <c r="AE696">
        <v>360</v>
      </c>
      <c r="AF696" t="s">
        <v>290</v>
      </c>
      <c r="AG696">
        <f>IFERROR(VLOOKUP(AF696,[1]STOK!J:O,6,0),"")</f>
        <v>12</v>
      </c>
      <c r="AH696" s="2">
        <f t="shared" si="20"/>
        <v>30</v>
      </c>
      <c r="AI696" t="s">
        <v>290</v>
      </c>
      <c r="AJ696" t="s">
        <v>291</v>
      </c>
      <c r="AK696" t="s">
        <v>292</v>
      </c>
      <c r="AL696" t="s">
        <v>86</v>
      </c>
      <c r="AM696">
        <v>266400</v>
      </c>
      <c r="AN696">
        <f t="shared" si="21"/>
        <v>258408</v>
      </c>
      <c r="AO696" t="s">
        <v>66</v>
      </c>
      <c r="AP696">
        <v>3</v>
      </c>
      <c r="AQ696" t="s">
        <v>66</v>
      </c>
      <c r="AR696">
        <v>0</v>
      </c>
      <c r="AS696" t="s">
        <v>66</v>
      </c>
      <c r="AT696">
        <v>0</v>
      </c>
      <c r="AU696" t="s">
        <v>66</v>
      </c>
      <c r="AV696">
        <v>0</v>
      </c>
      <c r="AW696" t="s">
        <v>66</v>
      </c>
      <c r="AX696">
        <v>0</v>
      </c>
      <c r="AY696" t="s">
        <v>66</v>
      </c>
      <c r="AZ696">
        <v>0</v>
      </c>
      <c r="BA696" t="s">
        <v>66</v>
      </c>
      <c r="BB696">
        <v>0</v>
      </c>
      <c r="BC696">
        <v>0</v>
      </c>
      <c r="BD696">
        <v>7752240</v>
      </c>
      <c r="BE696">
        <v>18106.89</v>
      </c>
      <c r="BF696">
        <v>0</v>
      </c>
      <c r="BG696" t="s">
        <v>87</v>
      </c>
      <c r="BH696" t="s">
        <v>66</v>
      </c>
      <c r="BI696">
        <v>0</v>
      </c>
      <c r="BJ696" t="s">
        <v>66</v>
      </c>
      <c r="BK696" t="s">
        <v>88</v>
      </c>
      <c r="BL696" t="s">
        <v>66</v>
      </c>
      <c r="BM696" t="s">
        <v>159</v>
      </c>
    </row>
    <row r="697" spans="1:65" x14ac:dyDescent="0.25">
      <c r="A697">
        <v>695</v>
      </c>
      <c r="B697" t="s">
        <v>1107</v>
      </c>
      <c r="C697" t="s">
        <v>1108</v>
      </c>
      <c r="D697" s="1">
        <v>46212</v>
      </c>
      <c r="E697" t="s">
        <v>1109</v>
      </c>
      <c r="F697" t="s">
        <v>1110</v>
      </c>
      <c r="G697" t="s">
        <v>295</v>
      </c>
      <c r="H697" t="s">
        <v>296</v>
      </c>
      <c r="I697" t="s">
        <v>71</v>
      </c>
      <c r="J697" t="s">
        <v>72</v>
      </c>
      <c r="K697" t="s">
        <v>73</v>
      </c>
      <c r="L697" t="s">
        <v>74</v>
      </c>
      <c r="M697" t="s">
        <v>1111</v>
      </c>
      <c r="N697" t="s">
        <v>696</v>
      </c>
      <c r="O697" t="s">
        <v>1112</v>
      </c>
      <c r="P697" t="s">
        <v>1113</v>
      </c>
      <c r="Q697" t="s">
        <v>1114</v>
      </c>
      <c r="R697" s="1">
        <v>46213</v>
      </c>
      <c r="S697" t="s">
        <v>1115</v>
      </c>
      <c r="T697" t="s">
        <v>1116</v>
      </c>
      <c r="U697" t="s">
        <v>1117</v>
      </c>
      <c r="V697" t="s">
        <v>66</v>
      </c>
      <c r="W697" t="s">
        <v>66</v>
      </c>
      <c r="X697">
        <v>7915200</v>
      </c>
      <c r="Y697">
        <v>870672</v>
      </c>
      <c r="Z697">
        <v>931200</v>
      </c>
      <c r="AA697">
        <v>102432</v>
      </c>
      <c r="AB697">
        <v>8785872</v>
      </c>
      <c r="AC697">
        <v>4</v>
      </c>
      <c r="AD697" t="s">
        <v>134</v>
      </c>
      <c r="AE697">
        <v>48</v>
      </c>
      <c r="AF697" t="s">
        <v>102</v>
      </c>
      <c r="AG697">
        <f>IFERROR(VLOOKUP(AF697,[1]STOK!J:O,6,0),"")</f>
        <v>12</v>
      </c>
      <c r="AH697" s="2">
        <f t="shared" si="20"/>
        <v>4</v>
      </c>
      <c r="AI697" t="s">
        <v>102</v>
      </c>
      <c r="AJ697" t="s">
        <v>103</v>
      </c>
      <c r="AK697" t="s">
        <v>104</v>
      </c>
      <c r="AL697" t="s">
        <v>86</v>
      </c>
      <c r="AM697">
        <v>266400</v>
      </c>
      <c r="AN697">
        <f t="shared" si="21"/>
        <v>258408</v>
      </c>
      <c r="AO697" t="s">
        <v>66</v>
      </c>
      <c r="AP697">
        <v>3</v>
      </c>
      <c r="AQ697" t="s">
        <v>66</v>
      </c>
      <c r="AR697">
        <v>0</v>
      </c>
      <c r="AS697" t="s">
        <v>66</v>
      </c>
      <c r="AT697">
        <v>0</v>
      </c>
      <c r="AU697" t="s">
        <v>66</v>
      </c>
      <c r="AV697">
        <v>0</v>
      </c>
      <c r="AW697" t="s">
        <v>66</v>
      </c>
      <c r="AX697">
        <v>0</v>
      </c>
      <c r="AY697" t="s">
        <v>66</v>
      </c>
      <c r="AZ697">
        <v>0</v>
      </c>
      <c r="BA697" t="s">
        <v>66</v>
      </c>
      <c r="BB697">
        <v>0</v>
      </c>
      <c r="BC697">
        <v>0</v>
      </c>
      <c r="BD697">
        <v>1033632</v>
      </c>
      <c r="BE697">
        <v>18075.27</v>
      </c>
      <c r="BF697">
        <v>0</v>
      </c>
      <c r="BG697" t="s">
        <v>87</v>
      </c>
      <c r="BH697" t="s">
        <v>66</v>
      </c>
      <c r="BI697">
        <v>0</v>
      </c>
      <c r="BJ697" t="s">
        <v>66</v>
      </c>
      <c r="BK697" t="s">
        <v>88</v>
      </c>
      <c r="BL697" t="s">
        <v>66</v>
      </c>
      <c r="BM697" t="s">
        <v>159</v>
      </c>
    </row>
    <row r="698" spans="1:65" x14ac:dyDescent="0.25">
      <c r="A698">
        <v>696</v>
      </c>
      <c r="B698" t="s">
        <v>1118</v>
      </c>
      <c r="C698" t="s">
        <v>1119</v>
      </c>
      <c r="D698" s="1">
        <v>46212</v>
      </c>
      <c r="E698" t="s">
        <v>1120</v>
      </c>
      <c r="F698" t="s">
        <v>1121</v>
      </c>
      <c r="G698" t="s">
        <v>295</v>
      </c>
      <c r="H698" t="s">
        <v>296</v>
      </c>
      <c r="I698" t="s">
        <v>71</v>
      </c>
      <c r="J698" t="s">
        <v>72</v>
      </c>
      <c r="K698" t="s">
        <v>73</v>
      </c>
      <c r="L698" t="s">
        <v>74</v>
      </c>
      <c r="M698" t="s">
        <v>995</v>
      </c>
      <c r="N698" t="s">
        <v>111</v>
      </c>
      <c r="O698" t="s">
        <v>996</v>
      </c>
      <c r="P698" t="s">
        <v>997</v>
      </c>
      <c r="Q698" t="s">
        <v>1122</v>
      </c>
      <c r="R698" s="1">
        <v>46216</v>
      </c>
      <c r="S698" t="s">
        <v>999</v>
      </c>
      <c r="T698" t="s">
        <v>1000</v>
      </c>
      <c r="U698" t="s">
        <v>1001</v>
      </c>
      <c r="V698" t="s">
        <v>66</v>
      </c>
      <c r="W698" t="s">
        <v>66</v>
      </c>
      <c r="X698">
        <v>311550.42</v>
      </c>
      <c r="Y698">
        <v>34270.550000000003</v>
      </c>
      <c r="Z698">
        <v>311550.42</v>
      </c>
      <c r="AA698">
        <v>34270.550000000003</v>
      </c>
      <c r="AB698">
        <v>345820.97</v>
      </c>
      <c r="AC698">
        <v>1</v>
      </c>
      <c r="AD698" t="s">
        <v>134</v>
      </c>
      <c r="AE698">
        <v>6</v>
      </c>
      <c r="AF698" t="s">
        <v>878</v>
      </c>
      <c r="AG698">
        <f>IFERROR(VLOOKUP(AF698,[1]STOK!J:O,6,0),"")</f>
        <v>6</v>
      </c>
      <c r="AH698" s="2">
        <f t="shared" si="20"/>
        <v>1</v>
      </c>
      <c r="AI698" t="s">
        <v>878</v>
      </c>
      <c r="AJ698" t="s">
        <v>879</v>
      </c>
      <c r="AK698" t="s">
        <v>880</v>
      </c>
      <c r="AL698" t="s">
        <v>86</v>
      </c>
      <c r="AM698">
        <v>358308</v>
      </c>
      <c r="AN698">
        <f t="shared" si="21"/>
        <v>345820.97</v>
      </c>
      <c r="AO698" t="s">
        <v>66</v>
      </c>
      <c r="AP698">
        <v>3</v>
      </c>
      <c r="AQ698" t="s">
        <v>66</v>
      </c>
      <c r="AR698">
        <v>0</v>
      </c>
      <c r="AS698" t="s">
        <v>66</v>
      </c>
      <c r="AT698">
        <v>0</v>
      </c>
      <c r="AU698" t="s">
        <v>66</v>
      </c>
      <c r="AV698">
        <v>0.5</v>
      </c>
      <c r="AW698" t="s">
        <v>66</v>
      </c>
      <c r="AX698">
        <v>0</v>
      </c>
      <c r="AY698" t="s">
        <v>66</v>
      </c>
      <c r="AZ698">
        <v>0</v>
      </c>
      <c r="BA698" t="s">
        <v>66</v>
      </c>
      <c r="BB698">
        <v>0</v>
      </c>
      <c r="BC698">
        <v>0</v>
      </c>
      <c r="BD698">
        <v>345820.97</v>
      </c>
      <c r="BE698">
        <v>45333.57</v>
      </c>
      <c r="BF698">
        <v>0</v>
      </c>
      <c r="BG698" t="s">
        <v>87</v>
      </c>
      <c r="BH698" t="s">
        <v>66</v>
      </c>
      <c r="BI698">
        <v>0</v>
      </c>
      <c r="BJ698" t="s">
        <v>66</v>
      </c>
      <c r="BK698" t="s">
        <v>88</v>
      </c>
      <c r="BL698" t="s">
        <v>66</v>
      </c>
      <c r="BM698" t="s">
        <v>159</v>
      </c>
    </row>
    <row r="699" spans="1:65" x14ac:dyDescent="0.25">
      <c r="A699">
        <v>697</v>
      </c>
      <c r="B699" t="s">
        <v>1123</v>
      </c>
      <c r="C699" t="s">
        <v>68</v>
      </c>
      <c r="D699" s="1">
        <v>46212</v>
      </c>
      <c r="E699" t="s">
        <v>1124</v>
      </c>
      <c r="F699" t="s">
        <v>68</v>
      </c>
      <c r="G699" t="s">
        <v>295</v>
      </c>
      <c r="H699" t="s">
        <v>296</v>
      </c>
      <c r="I699" t="s">
        <v>71</v>
      </c>
      <c r="J699" t="s">
        <v>72</v>
      </c>
      <c r="K699" t="s">
        <v>73</v>
      </c>
      <c r="L699" t="s">
        <v>74</v>
      </c>
      <c r="M699" t="s">
        <v>1125</v>
      </c>
      <c r="N699" t="s">
        <v>274</v>
      </c>
      <c r="O699" t="s">
        <v>1126</v>
      </c>
      <c r="P699" t="s">
        <v>1127</v>
      </c>
      <c r="Q699" t="s">
        <v>1128</v>
      </c>
      <c r="R699" s="1">
        <v>46213</v>
      </c>
      <c r="S699" t="s">
        <v>1129</v>
      </c>
      <c r="T699" t="s">
        <v>1130</v>
      </c>
      <c r="U699" t="s">
        <v>1131</v>
      </c>
      <c r="V699" t="s">
        <v>66</v>
      </c>
      <c r="W699" t="s">
        <v>66</v>
      </c>
      <c r="X699">
        <v>1134300</v>
      </c>
      <c r="Y699">
        <v>124773</v>
      </c>
      <c r="Z699">
        <v>61200</v>
      </c>
      <c r="AA699">
        <v>6732</v>
      </c>
      <c r="AB699">
        <v>1259073</v>
      </c>
      <c r="AC699">
        <v>12</v>
      </c>
      <c r="AD699" t="s">
        <v>82</v>
      </c>
      <c r="AE699">
        <v>12</v>
      </c>
      <c r="AF699" t="s">
        <v>347</v>
      </c>
      <c r="AG699">
        <f>IFERROR(VLOOKUP(AF699,[1]STOK!J:O,6,0),"")</f>
        <v>48</v>
      </c>
      <c r="AH699" s="2">
        <f t="shared" si="20"/>
        <v>0.25</v>
      </c>
      <c r="AI699" t="s">
        <v>347</v>
      </c>
      <c r="AJ699" t="s">
        <v>348</v>
      </c>
      <c r="AK699" t="s">
        <v>349</v>
      </c>
      <c r="AL699" t="s">
        <v>86</v>
      </c>
      <c r="AM699">
        <v>5661</v>
      </c>
      <c r="AN699">
        <f t="shared" si="21"/>
        <v>5661</v>
      </c>
      <c r="AO699" t="s">
        <v>66</v>
      </c>
      <c r="AP699">
        <v>0</v>
      </c>
      <c r="AQ699" t="s">
        <v>66</v>
      </c>
      <c r="AR699">
        <v>0</v>
      </c>
      <c r="AS699" t="s">
        <v>66</v>
      </c>
      <c r="AT699">
        <v>0</v>
      </c>
      <c r="AU699" t="s">
        <v>66</v>
      </c>
      <c r="AV699">
        <v>0</v>
      </c>
      <c r="AW699" t="s">
        <v>66</v>
      </c>
      <c r="AX699">
        <v>0</v>
      </c>
      <c r="AY699" t="s">
        <v>66</v>
      </c>
      <c r="AZ699">
        <v>0</v>
      </c>
      <c r="BA699" t="s">
        <v>66</v>
      </c>
      <c r="BB699">
        <v>0</v>
      </c>
      <c r="BC699">
        <v>0</v>
      </c>
      <c r="BD699">
        <v>67932</v>
      </c>
      <c r="BE699">
        <v>4249.95</v>
      </c>
      <c r="BF699">
        <v>0</v>
      </c>
      <c r="BG699" t="s">
        <v>87</v>
      </c>
      <c r="BH699" t="s">
        <v>66</v>
      </c>
      <c r="BI699">
        <v>0</v>
      </c>
      <c r="BJ699" t="s">
        <v>66</v>
      </c>
      <c r="BK699" t="s">
        <v>88</v>
      </c>
      <c r="BL699" t="s">
        <v>66</v>
      </c>
      <c r="BM699" t="s">
        <v>159</v>
      </c>
    </row>
    <row r="700" spans="1:65" x14ac:dyDescent="0.25">
      <c r="A700">
        <v>698</v>
      </c>
      <c r="B700" t="s">
        <v>1123</v>
      </c>
      <c r="C700" t="s">
        <v>68</v>
      </c>
      <c r="D700" s="1">
        <v>46212</v>
      </c>
      <c r="E700" t="s">
        <v>1124</v>
      </c>
      <c r="F700" t="s">
        <v>68</v>
      </c>
      <c r="G700" t="s">
        <v>295</v>
      </c>
      <c r="H700" t="s">
        <v>296</v>
      </c>
      <c r="I700" t="s">
        <v>71</v>
      </c>
      <c r="J700" t="s">
        <v>72</v>
      </c>
      <c r="K700" t="s">
        <v>73</v>
      </c>
      <c r="L700" t="s">
        <v>74</v>
      </c>
      <c r="M700" t="s">
        <v>1125</v>
      </c>
      <c r="N700" t="s">
        <v>274</v>
      </c>
      <c r="O700" t="s">
        <v>1126</v>
      </c>
      <c r="P700" t="s">
        <v>1127</v>
      </c>
      <c r="Q700" t="s">
        <v>1128</v>
      </c>
      <c r="R700" s="1">
        <v>46213</v>
      </c>
      <c r="S700" t="s">
        <v>1129</v>
      </c>
      <c r="T700" t="s">
        <v>1130</v>
      </c>
      <c r="U700" t="s">
        <v>1131</v>
      </c>
      <c r="V700" t="s">
        <v>66</v>
      </c>
      <c r="W700" t="s">
        <v>66</v>
      </c>
      <c r="X700">
        <v>1134300</v>
      </c>
      <c r="Y700">
        <v>124773</v>
      </c>
      <c r="Z700">
        <v>68400</v>
      </c>
      <c r="AA700">
        <v>7524</v>
      </c>
      <c r="AB700">
        <v>1259073</v>
      </c>
      <c r="AC700">
        <v>12</v>
      </c>
      <c r="AD700" t="s">
        <v>82</v>
      </c>
      <c r="AE700">
        <v>12</v>
      </c>
      <c r="AF700" t="s">
        <v>90</v>
      </c>
      <c r="AG700">
        <f>IFERROR(VLOOKUP(AF700,[1]STOK!J:O,6,0),"")</f>
        <v>48</v>
      </c>
      <c r="AH700" s="2">
        <f t="shared" si="20"/>
        <v>0.25</v>
      </c>
      <c r="AI700" t="s">
        <v>90</v>
      </c>
      <c r="AJ700" t="s">
        <v>91</v>
      </c>
      <c r="AK700" t="s">
        <v>92</v>
      </c>
      <c r="AL700" t="s">
        <v>86</v>
      </c>
      <c r="AM700">
        <v>6327</v>
      </c>
      <c r="AN700">
        <f t="shared" si="21"/>
        <v>6327</v>
      </c>
      <c r="AO700" t="s">
        <v>66</v>
      </c>
      <c r="AP700">
        <v>0</v>
      </c>
      <c r="AQ700" t="s">
        <v>66</v>
      </c>
      <c r="AR700">
        <v>0</v>
      </c>
      <c r="AS700" t="s">
        <v>66</v>
      </c>
      <c r="AT700">
        <v>0</v>
      </c>
      <c r="AU700" t="s">
        <v>66</v>
      </c>
      <c r="AV700">
        <v>0</v>
      </c>
      <c r="AW700" t="s">
        <v>66</v>
      </c>
      <c r="AX700">
        <v>0</v>
      </c>
      <c r="AY700" t="s">
        <v>66</v>
      </c>
      <c r="AZ700">
        <v>0</v>
      </c>
      <c r="BA700" t="s">
        <v>66</v>
      </c>
      <c r="BB700">
        <v>0</v>
      </c>
      <c r="BC700">
        <v>0</v>
      </c>
      <c r="BD700">
        <v>75924</v>
      </c>
      <c r="BE700">
        <v>4974.63</v>
      </c>
      <c r="BF700">
        <v>0</v>
      </c>
      <c r="BG700" t="s">
        <v>87</v>
      </c>
      <c r="BH700" t="s">
        <v>66</v>
      </c>
      <c r="BI700">
        <v>0</v>
      </c>
      <c r="BJ700" t="s">
        <v>66</v>
      </c>
      <c r="BK700" t="s">
        <v>88</v>
      </c>
      <c r="BL700" t="s">
        <v>66</v>
      </c>
      <c r="BM700" t="s">
        <v>159</v>
      </c>
    </row>
    <row r="701" spans="1:65" x14ac:dyDescent="0.25">
      <c r="A701">
        <v>699</v>
      </c>
      <c r="B701" t="s">
        <v>1123</v>
      </c>
      <c r="C701" t="s">
        <v>68</v>
      </c>
      <c r="D701" s="1">
        <v>46212</v>
      </c>
      <c r="E701" t="s">
        <v>1124</v>
      </c>
      <c r="F701" t="s">
        <v>68</v>
      </c>
      <c r="G701" t="s">
        <v>295</v>
      </c>
      <c r="H701" t="s">
        <v>296</v>
      </c>
      <c r="I701" t="s">
        <v>71</v>
      </c>
      <c r="J701" t="s">
        <v>72</v>
      </c>
      <c r="K701" t="s">
        <v>73</v>
      </c>
      <c r="L701" t="s">
        <v>74</v>
      </c>
      <c r="M701" t="s">
        <v>1125</v>
      </c>
      <c r="N701" t="s">
        <v>274</v>
      </c>
      <c r="O701" t="s">
        <v>1126</v>
      </c>
      <c r="P701" t="s">
        <v>1127</v>
      </c>
      <c r="Q701" t="s">
        <v>1128</v>
      </c>
      <c r="R701" s="1">
        <v>46213</v>
      </c>
      <c r="S701" t="s">
        <v>1129</v>
      </c>
      <c r="T701" t="s">
        <v>1130</v>
      </c>
      <c r="U701" t="s">
        <v>1131</v>
      </c>
      <c r="V701" t="s">
        <v>66</v>
      </c>
      <c r="W701" t="s">
        <v>66</v>
      </c>
      <c r="X701">
        <v>1134300</v>
      </c>
      <c r="Y701">
        <v>124773</v>
      </c>
      <c r="Z701">
        <v>396000</v>
      </c>
      <c r="AA701">
        <v>43560</v>
      </c>
      <c r="AB701">
        <v>1259073</v>
      </c>
      <c r="AC701">
        <v>24</v>
      </c>
      <c r="AD701" t="s">
        <v>82</v>
      </c>
      <c r="AE701">
        <v>24</v>
      </c>
      <c r="AF701" t="s">
        <v>93</v>
      </c>
      <c r="AG701">
        <f>IFERROR(VLOOKUP(AF701,[1]STOK!J:O,6,0),"")</f>
        <v>24</v>
      </c>
      <c r="AH701" s="2">
        <f t="shared" si="20"/>
        <v>1</v>
      </c>
      <c r="AI701" t="s">
        <v>93</v>
      </c>
      <c r="AJ701" t="s">
        <v>94</v>
      </c>
      <c r="AK701" t="s">
        <v>95</v>
      </c>
      <c r="AL701" t="s">
        <v>86</v>
      </c>
      <c r="AM701">
        <v>18315</v>
      </c>
      <c r="AN701">
        <f t="shared" si="21"/>
        <v>18315</v>
      </c>
      <c r="AO701" t="s">
        <v>66</v>
      </c>
      <c r="AP701">
        <v>0</v>
      </c>
      <c r="AQ701" t="s">
        <v>66</v>
      </c>
      <c r="AR701">
        <v>0</v>
      </c>
      <c r="AS701" t="s">
        <v>66</v>
      </c>
      <c r="AT701">
        <v>0</v>
      </c>
      <c r="AU701" t="s">
        <v>66</v>
      </c>
      <c r="AV701">
        <v>0</v>
      </c>
      <c r="AW701" t="s">
        <v>66</v>
      </c>
      <c r="AX701">
        <v>0</v>
      </c>
      <c r="AY701" t="s">
        <v>66</v>
      </c>
      <c r="AZ701">
        <v>0</v>
      </c>
      <c r="BA701" t="s">
        <v>66</v>
      </c>
      <c r="BB701">
        <v>0</v>
      </c>
      <c r="BC701">
        <v>0</v>
      </c>
      <c r="BD701">
        <v>439560</v>
      </c>
      <c r="BE701">
        <v>14931.77</v>
      </c>
      <c r="BF701">
        <v>0</v>
      </c>
      <c r="BG701" t="s">
        <v>87</v>
      </c>
      <c r="BH701" t="s">
        <v>66</v>
      </c>
      <c r="BI701">
        <v>0</v>
      </c>
      <c r="BJ701" t="s">
        <v>66</v>
      </c>
      <c r="BK701" t="s">
        <v>88</v>
      </c>
      <c r="BL701" t="s">
        <v>66</v>
      </c>
      <c r="BM701" t="s">
        <v>159</v>
      </c>
    </row>
    <row r="702" spans="1:65" x14ac:dyDescent="0.25">
      <c r="A702">
        <v>700</v>
      </c>
      <c r="B702" t="s">
        <v>1123</v>
      </c>
      <c r="C702" t="s">
        <v>68</v>
      </c>
      <c r="D702" s="1">
        <v>46212</v>
      </c>
      <c r="E702" t="s">
        <v>1124</v>
      </c>
      <c r="F702" t="s">
        <v>68</v>
      </c>
      <c r="G702" t="s">
        <v>295</v>
      </c>
      <c r="H702" t="s">
        <v>296</v>
      </c>
      <c r="I702" t="s">
        <v>71</v>
      </c>
      <c r="J702" t="s">
        <v>72</v>
      </c>
      <c r="K702" t="s">
        <v>73</v>
      </c>
      <c r="L702" t="s">
        <v>74</v>
      </c>
      <c r="M702" t="s">
        <v>1125</v>
      </c>
      <c r="N702" t="s">
        <v>274</v>
      </c>
      <c r="O702" t="s">
        <v>1126</v>
      </c>
      <c r="P702" t="s">
        <v>1127</v>
      </c>
      <c r="Q702" t="s">
        <v>1128</v>
      </c>
      <c r="R702" s="1">
        <v>46213</v>
      </c>
      <c r="S702" t="s">
        <v>1129</v>
      </c>
      <c r="T702" t="s">
        <v>1130</v>
      </c>
      <c r="U702" t="s">
        <v>1131</v>
      </c>
      <c r="V702" t="s">
        <v>66</v>
      </c>
      <c r="W702" t="s">
        <v>66</v>
      </c>
      <c r="X702">
        <v>1134300</v>
      </c>
      <c r="Y702">
        <v>124773</v>
      </c>
      <c r="Z702">
        <v>99000</v>
      </c>
      <c r="AA702">
        <v>10890</v>
      </c>
      <c r="AB702">
        <v>1259073</v>
      </c>
      <c r="AC702">
        <v>6</v>
      </c>
      <c r="AD702" t="s">
        <v>82</v>
      </c>
      <c r="AE702">
        <v>6</v>
      </c>
      <c r="AF702" t="s">
        <v>205</v>
      </c>
      <c r="AG702">
        <f>IFERROR(VLOOKUP(AF702,[1]STOK!J:O,6,0),"")</f>
        <v>24</v>
      </c>
      <c r="AH702" s="2">
        <f t="shared" si="20"/>
        <v>0.25</v>
      </c>
      <c r="AI702" t="s">
        <v>205</v>
      </c>
      <c r="AJ702" t="s">
        <v>206</v>
      </c>
      <c r="AK702" t="s">
        <v>207</v>
      </c>
      <c r="AL702" t="s">
        <v>86</v>
      </c>
      <c r="AM702">
        <v>18315</v>
      </c>
      <c r="AN702">
        <f t="shared" si="21"/>
        <v>18315</v>
      </c>
      <c r="AO702" t="s">
        <v>66</v>
      </c>
      <c r="AP702">
        <v>0</v>
      </c>
      <c r="AQ702" t="s">
        <v>66</v>
      </c>
      <c r="AR702">
        <v>0</v>
      </c>
      <c r="AS702" t="s">
        <v>66</v>
      </c>
      <c r="AT702">
        <v>0</v>
      </c>
      <c r="AU702" t="s">
        <v>66</v>
      </c>
      <c r="AV702">
        <v>0</v>
      </c>
      <c r="AW702" t="s">
        <v>66</v>
      </c>
      <c r="AX702">
        <v>0</v>
      </c>
      <c r="AY702" t="s">
        <v>66</v>
      </c>
      <c r="AZ702">
        <v>0</v>
      </c>
      <c r="BA702" t="s">
        <v>66</v>
      </c>
      <c r="BB702">
        <v>0</v>
      </c>
      <c r="BC702">
        <v>0</v>
      </c>
      <c r="BD702">
        <v>109890</v>
      </c>
      <c r="BE702">
        <v>14865.57</v>
      </c>
      <c r="BF702">
        <v>0</v>
      </c>
      <c r="BG702" t="s">
        <v>87</v>
      </c>
      <c r="BH702" t="s">
        <v>66</v>
      </c>
      <c r="BI702">
        <v>0</v>
      </c>
      <c r="BJ702" t="s">
        <v>66</v>
      </c>
      <c r="BK702" t="s">
        <v>88</v>
      </c>
      <c r="BL702" t="s">
        <v>66</v>
      </c>
      <c r="BM702" t="s">
        <v>159</v>
      </c>
    </row>
    <row r="703" spans="1:65" x14ac:dyDescent="0.25">
      <c r="A703">
        <v>701</v>
      </c>
      <c r="B703" t="s">
        <v>1123</v>
      </c>
      <c r="C703" t="s">
        <v>68</v>
      </c>
      <c r="D703" s="1">
        <v>46212</v>
      </c>
      <c r="E703" t="s">
        <v>1124</v>
      </c>
      <c r="F703" t="s">
        <v>68</v>
      </c>
      <c r="G703" t="s">
        <v>295</v>
      </c>
      <c r="H703" t="s">
        <v>296</v>
      </c>
      <c r="I703" t="s">
        <v>71</v>
      </c>
      <c r="J703" t="s">
        <v>72</v>
      </c>
      <c r="K703" t="s">
        <v>73</v>
      </c>
      <c r="L703" t="s">
        <v>74</v>
      </c>
      <c r="M703" t="s">
        <v>1125</v>
      </c>
      <c r="N703" t="s">
        <v>274</v>
      </c>
      <c r="O703" t="s">
        <v>1126</v>
      </c>
      <c r="P703" t="s">
        <v>1127</v>
      </c>
      <c r="Q703" t="s">
        <v>1128</v>
      </c>
      <c r="R703" s="1">
        <v>46213</v>
      </c>
      <c r="S703" t="s">
        <v>1129</v>
      </c>
      <c r="T703" t="s">
        <v>1130</v>
      </c>
      <c r="U703" t="s">
        <v>1131</v>
      </c>
      <c r="V703" t="s">
        <v>66</v>
      </c>
      <c r="W703" t="s">
        <v>66</v>
      </c>
      <c r="X703">
        <v>1134300</v>
      </c>
      <c r="Y703">
        <v>124773</v>
      </c>
      <c r="Z703">
        <v>198000</v>
      </c>
      <c r="AA703">
        <v>21780</v>
      </c>
      <c r="AB703">
        <v>1259073</v>
      </c>
      <c r="AC703">
        <v>12</v>
      </c>
      <c r="AD703" t="s">
        <v>82</v>
      </c>
      <c r="AE703">
        <v>12</v>
      </c>
      <c r="AF703" t="s">
        <v>99</v>
      </c>
      <c r="AG703">
        <f>IFERROR(VLOOKUP(AF703,[1]STOK!J:O,6,0),"")</f>
        <v>24</v>
      </c>
      <c r="AH703" s="2">
        <f t="shared" si="20"/>
        <v>0.5</v>
      </c>
      <c r="AI703" t="s">
        <v>99</v>
      </c>
      <c r="AJ703" t="s">
        <v>100</v>
      </c>
      <c r="AK703" t="s">
        <v>101</v>
      </c>
      <c r="AL703" t="s">
        <v>86</v>
      </c>
      <c r="AM703">
        <v>18315</v>
      </c>
      <c r="AN703">
        <f t="shared" si="21"/>
        <v>18315</v>
      </c>
      <c r="AO703" t="s">
        <v>66</v>
      </c>
      <c r="AP703">
        <v>0</v>
      </c>
      <c r="AQ703" t="s">
        <v>66</v>
      </c>
      <c r="AR703">
        <v>0</v>
      </c>
      <c r="AS703" t="s">
        <v>66</v>
      </c>
      <c r="AT703">
        <v>0</v>
      </c>
      <c r="AU703" t="s">
        <v>66</v>
      </c>
      <c r="AV703">
        <v>0</v>
      </c>
      <c r="AW703" t="s">
        <v>66</v>
      </c>
      <c r="AX703">
        <v>0</v>
      </c>
      <c r="AY703" t="s">
        <v>66</v>
      </c>
      <c r="AZ703">
        <v>0</v>
      </c>
      <c r="BA703" t="s">
        <v>66</v>
      </c>
      <c r="BB703">
        <v>0</v>
      </c>
      <c r="BC703">
        <v>0</v>
      </c>
      <c r="BD703">
        <v>219780</v>
      </c>
      <c r="BE703">
        <v>14915.33</v>
      </c>
      <c r="BF703">
        <v>0</v>
      </c>
      <c r="BG703" t="s">
        <v>87</v>
      </c>
      <c r="BH703" t="s">
        <v>66</v>
      </c>
      <c r="BI703">
        <v>0</v>
      </c>
      <c r="BJ703" t="s">
        <v>66</v>
      </c>
      <c r="BK703" t="s">
        <v>88</v>
      </c>
      <c r="BL703" t="s">
        <v>66</v>
      </c>
      <c r="BM703" t="s">
        <v>159</v>
      </c>
    </row>
    <row r="704" spans="1:65" x14ac:dyDescent="0.25">
      <c r="A704">
        <v>702</v>
      </c>
      <c r="B704" t="s">
        <v>1123</v>
      </c>
      <c r="C704" t="s">
        <v>68</v>
      </c>
      <c r="D704" s="1">
        <v>46212</v>
      </c>
      <c r="E704" t="s">
        <v>1124</v>
      </c>
      <c r="F704" t="s">
        <v>68</v>
      </c>
      <c r="G704" t="s">
        <v>295</v>
      </c>
      <c r="H704" t="s">
        <v>296</v>
      </c>
      <c r="I704" t="s">
        <v>71</v>
      </c>
      <c r="J704" t="s">
        <v>72</v>
      </c>
      <c r="K704" t="s">
        <v>73</v>
      </c>
      <c r="L704" t="s">
        <v>74</v>
      </c>
      <c r="M704" t="s">
        <v>1125</v>
      </c>
      <c r="N704" t="s">
        <v>274</v>
      </c>
      <c r="O704" t="s">
        <v>1126</v>
      </c>
      <c r="P704" t="s">
        <v>1127</v>
      </c>
      <c r="Q704" t="s">
        <v>1128</v>
      </c>
      <c r="R704" s="1">
        <v>46213</v>
      </c>
      <c r="S704" t="s">
        <v>1129</v>
      </c>
      <c r="T704" t="s">
        <v>1130</v>
      </c>
      <c r="U704" t="s">
        <v>1131</v>
      </c>
      <c r="V704" t="s">
        <v>66</v>
      </c>
      <c r="W704" t="s">
        <v>66</v>
      </c>
      <c r="X704">
        <v>1134300</v>
      </c>
      <c r="Y704">
        <v>124773</v>
      </c>
      <c r="Z704">
        <v>81900</v>
      </c>
      <c r="AA704">
        <v>9009</v>
      </c>
      <c r="AB704">
        <v>1259073</v>
      </c>
      <c r="AC704">
        <v>3</v>
      </c>
      <c r="AD704" t="s">
        <v>82</v>
      </c>
      <c r="AE704">
        <v>3</v>
      </c>
      <c r="AF704" t="s">
        <v>593</v>
      </c>
      <c r="AG704">
        <f>IFERROR(VLOOKUP(AF704,[1]STOK!J:O,6,0),"")</f>
        <v>12</v>
      </c>
      <c r="AH704" s="2">
        <f t="shared" si="20"/>
        <v>0.25</v>
      </c>
      <c r="AI704" t="s">
        <v>593</v>
      </c>
      <c r="AJ704" t="s">
        <v>594</v>
      </c>
      <c r="AK704" t="s">
        <v>595</v>
      </c>
      <c r="AL704" t="s">
        <v>86</v>
      </c>
      <c r="AM704">
        <v>30303</v>
      </c>
      <c r="AN704">
        <f t="shared" si="21"/>
        <v>30303</v>
      </c>
      <c r="AO704" t="s">
        <v>66</v>
      </c>
      <c r="AP704">
        <v>0</v>
      </c>
      <c r="AQ704" t="s">
        <v>66</v>
      </c>
      <c r="AR704">
        <v>0</v>
      </c>
      <c r="AS704" t="s">
        <v>66</v>
      </c>
      <c r="AT704">
        <v>0</v>
      </c>
      <c r="AU704" t="s">
        <v>66</v>
      </c>
      <c r="AV704">
        <v>0</v>
      </c>
      <c r="AW704" t="s">
        <v>66</v>
      </c>
      <c r="AX704">
        <v>0</v>
      </c>
      <c r="AY704" t="s">
        <v>66</v>
      </c>
      <c r="AZ704">
        <v>0</v>
      </c>
      <c r="BA704" t="s">
        <v>66</v>
      </c>
      <c r="BB704">
        <v>0</v>
      </c>
      <c r="BC704">
        <v>0</v>
      </c>
      <c r="BD704">
        <v>90909</v>
      </c>
      <c r="BE704">
        <v>24638.67</v>
      </c>
      <c r="BF704">
        <v>0</v>
      </c>
      <c r="BG704" t="s">
        <v>87</v>
      </c>
      <c r="BH704" t="s">
        <v>66</v>
      </c>
      <c r="BI704">
        <v>0</v>
      </c>
      <c r="BJ704" t="s">
        <v>66</v>
      </c>
      <c r="BK704" t="s">
        <v>88</v>
      </c>
      <c r="BL704" t="s">
        <v>66</v>
      </c>
      <c r="BM704" t="s">
        <v>159</v>
      </c>
    </row>
    <row r="705" spans="1:65" x14ac:dyDescent="0.25">
      <c r="A705">
        <v>703</v>
      </c>
      <c r="B705" t="s">
        <v>1123</v>
      </c>
      <c r="C705" t="s">
        <v>68</v>
      </c>
      <c r="D705" s="1">
        <v>46212</v>
      </c>
      <c r="E705" t="s">
        <v>1124</v>
      </c>
      <c r="F705" t="s">
        <v>68</v>
      </c>
      <c r="G705" t="s">
        <v>295</v>
      </c>
      <c r="H705" t="s">
        <v>296</v>
      </c>
      <c r="I705" t="s">
        <v>71</v>
      </c>
      <c r="J705" t="s">
        <v>72</v>
      </c>
      <c r="K705" t="s">
        <v>73</v>
      </c>
      <c r="L705" t="s">
        <v>74</v>
      </c>
      <c r="M705" t="s">
        <v>1125</v>
      </c>
      <c r="N705" t="s">
        <v>274</v>
      </c>
      <c r="O705" t="s">
        <v>1126</v>
      </c>
      <c r="P705" t="s">
        <v>1127</v>
      </c>
      <c r="Q705" t="s">
        <v>1128</v>
      </c>
      <c r="R705" s="1">
        <v>46213</v>
      </c>
      <c r="S705" t="s">
        <v>1129</v>
      </c>
      <c r="T705" t="s">
        <v>1130</v>
      </c>
      <c r="U705" t="s">
        <v>1131</v>
      </c>
      <c r="V705" t="s">
        <v>66</v>
      </c>
      <c r="W705" t="s">
        <v>66</v>
      </c>
      <c r="X705">
        <v>1134300</v>
      </c>
      <c r="Y705">
        <v>124773</v>
      </c>
      <c r="Z705">
        <v>229800</v>
      </c>
      <c r="AA705">
        <v>25278</v>
      </c>
      <c r="AB705">
        <v>1259073</v>
      </c>
      <c r="AC705">
        <v>1</v>
      </c>
      <c r="AD705" t="s">
        <v>134</v>
      </c>
      <c r="AE705">
        <v>6</v>
      </c>
      <c r="AF705" t="s">
        <v>138</v>
      </c>
      <c r="AG705">
        <f>IFERROR(VLOOKUP(AF705,[1]STOK!J:O,6,0),"")</f>
        <v>6</v>
      </c>
      <c r="AH705" s="2">
        <f t="shared" si="20"/>
        <v>1</v>
      </c>
      <c r="AI705" t="s">
        <v>138</v>
      </c>
      <c r="AJ705" t="s">
        <v>139</v>
      </c>
      <c r="AK705" t="s">
        <v>140</v>
      </c>
      <c r="AL705" t="s">
        <v>86</v>
      </c>
      <c r="AM705">
        <v>255078</v>
      </c>
      <c r="AN705">
        <f t="shared" si="21"/>
        <v>255078</v>
      </c>
      <c r="AO705" t="s">
        <v>66</v>
      </c>
      <c r="AP705">
        <v>0</v>
      </c>
      <c r="AQ705" t="s">
        <v>66</v>
      </c>
      <c r="AR705">
        <v>0</v>
      </c>
      <c r="AS705" t="s">
        <v>66</v>
      </c>
      <c r="AT705">
        <v>0</v>
      </c>
      <c r="AU705" t="s">
        <v>66</v>
      </c>
      <c r="AV705">
        <v>0</v>
      </c>
      <c r="AW705" t="s">
        <v>66</v>
      </c>
      <c r="AX705">
        <v>0</v>
      </c>
      <c r="AY705" t="s">
        <v>66</v>
      </c>
      <c r="AZ705">
        <v>0</v>
      </c>
      <c r="BA705" t="s">
        <v>66</v>
      </c>
      <c r="BB705">
        <v>0</v>
      </c>
      <c r="BC705">
        <v>0</v>
      </c>
      <c r="BD705">
        <v>255078</v>
      </c>
      <c r="BE705">
        <v>34660.42</v>
      </c>
      <c r="BF705">
        <v>0</v>
      </c>
      <c r="BG705" t="s">
        <v>87</v>
      </c>
      <c r="BH705" t="s">
        <v>66</v>
      </c>
      <c r="BI705">
        <v>0</v>
      </c>
      <c r="BJ705" t="s">
        <v>66</v>
      </c>
      <c r="BK705" t="s">
        <v>88</v>
      </c>
      <c r="BL705" t="s">
        <v>66</v>
      </c>
      <c r="BM705" t="s">
        <v>159</v>
      </c>
    </row>
    <row r="706" spans="1:65" x14ac:dyDescent="0.25">
      <c r="A706">
        <v>704</v>
      </c>
      <c r="B706" t="s">
        <v>1132</v>
      </c>
      <c r="C706" t="s">
        <v>68</v>
      </c>
      <c r="D706" s="1">
        <v>46212</v>
      </c>
      <c r="E706" t="s">
        <v>1133</v>
      </c>
      <c r="F706" t="s">
        <v>68</v>
      </c>
      <c r="G706" t="s">
        <v>295</v>
      </c>
      <c r="H706" t="s">
        <v>296</v>
      </c>
      <c r="I706" t="s">
        <v>71</v>
      </c>
      <c r="J706" t="s">
        <v>72</v>
      </c>
      <c r="K706" t="s">
        <v>73</v>
      </c>
      <c r="L706" t="s">
        <v>74</v>
      </c>
      <c r="M706" t="s">
        <v>1134</v>
      </c>
      <c r="N706" t="s">
        <v>111</v>
      </c>
      <c r="O706" t="s">
        <v>1135</v>
      </c>
      <c r="P706" t="s">
        <v>1136</v>
      </c>
      <c r="Q706" t="s">
        <v>1137</v>
      </c>
      <c r="R706" s="1">
        <v>46214</v>
      </c>
      <c r="S706" t="s">
        <v>1138</v>
      </c>
      <c r="T706" t="s">
        <v>1139</v>
      </c>
      <c r="U706" t="s">
        <v>1140</v>
      </c>
      <c r="V706" t="s">
        <v>66</v>
      </c>
      <c r="W706" t="s">
        <v>66</v>
      </c>
      <c r="X706">
        <v>12421460.699999999</v>
      </c>
      <c r="Y706">
        <v>1366360.68</v>
      </c>
      <c r="Z706">
        <v>390060</v>
      </c>
      <c r="AA706">
        <v>42906.6</v>
      </c>
      <c r="AB706">
        <v>13787821.380000001</v>
      </c>
      <c r="AC706">
        <v>24</v>
      </c>
      <c r="AD706" t="s">
        <v>82</v>
      </c>
      <c r="AE706">
        <v>24</v>
      </c>
      <c r="AF706" t="s">
        <v>128</v>
      </c>
      <c r="AG706">
        <f>IFERROR(VLOOKUP(AF706,[1]STOK!J:O,6,0),"")</f>
        <v>24</v>
      </c>
      <c r="AH706" s="2">
        <f t="shared" si="20"/>
        <v>1</v>
      </c>
      <c r="AI706" t="s">
        <v>128</v>
      </c>
      <c r="AJ706" t="s">
        <v>129</v>
      </c>
      <c r="AK706" t="s">
        <v>130</v>
      </c>
      <c r="AL706" t="s">
        <v>86</v>
      </c>
      <c r="AM706">
        <v>18315</v>
      </c>
      <c r="AN706">
        <f t="shared" si="21"/>
        <v>18040.274999999998</v>
      </c>
      <c r="AO706" t="s">
        <v>66</v>
      </c>
      <c r="AP706">
        <v>1.5</v>
      </c>
      <c r="AQ706" t="s">
        <v>66</v>
      </c>
      <c r="AR706">
        <v>0</v>
      </c>
      <c r="AS706" t="s">
        <v>66</v>
      </c>
      <c r="AT706">
        <v>0</v>
      </c>
      <c r="AU706" t="s">
        <v>66</v>
      </c>
      <c r="AV706">
        <v>0</v>
      </c>
      <c r="AW706" t="s">
        <v>66</v>
      </c>
      <c r="AX706">
        <v>0</v>
      </c>
      <c r="AY706" t="s">
        <v>66</v>
      </c>
      <c r="AZ706">
        <v>0</v>
      </c>
      <c r="BA706" t="s">
        <v>66</v>
      </c>
      <c r="BB706">
        <v>0</v>
      </c>
      <c r="BC706">
        <v>0</v>
      </c>
      <c r="BD706">
        <v>432966.6</v>
      </c>
      <c r="BE706">
        <v>14918.85</v>
      </c>
      <c r="BF706">
        <v>0</v>
      </c>
      <c r="BG706" t="s">
        <v>87</v>
      </c>
      <c r="BH706" t="s">
        <v>66</v>
      </c>
      <c r="BI706">
        <v>0</v>
      </c>
      <c r="BJ706" t="s">
        <v>66</v>
      </c>
      <c r="BK706" t="s">
        <v>88</v>
      </c>
      <c r="BL706" t="s">
        <v>66</v>
      </c>
      <c r="BM706" t="s">
        <v>159</v>
      </c>
    </row>
    <row r="707" spans="1:65" x14ac:dyDescent="0.25">
      <c r="A707">
        <v>705</v>
      </c>
      <c r="B707" t="s">
        <v>1132</v>
      </c>
      <c r="C707" t="s">
        <v>68</v>
      </c>
      <c r="D707" s="1">
        <v>46212</v>
      </c>
      <c r="E707" t="s">
        <v>1133</v>
      </c>
      <c r="F707" t="s">
        <v>68</v>
      </c>
      <c r="G707" t="s">
        <v>295</v>
      </c>
      <c r="H707" t="s">
        <v>296</v>
      </c>
      <c r="I707" t="s">
        <v>71</v>
      </c>
      <c r="J707" t="s">
        <v>72</v>
      </c>
      <c r="K707" t="s">
        <v>73</v>
      </c>
      <c r="L707" t="s">
        <v>74</v>
      </c>
      <c r="M707" t="s">
        <v>1134</v>
      </c>
      <c r="N707" t="s">
        <v>111</v>
      </c>
      <c r="O707" t="s">
        <v>1135</v>
      </c>
      <c r="P707" t="s">
        <v>1136</v>
      </c>
      <c r="Q707" t="s">
        <v>1137</v>
      </c>
      <c r="R707" s="1">
        <v>46214</v>
      </c>
      <c r="S707" t="s">
        <v>1138</v>
      </c>
      <c r="T707" t="s">
        <v>1139</v>
      </c>
      <c r="U707" t="s">
        <v>1140</v>
      </c>
      <c r="V707" t="s">
        <v>66</v>
      </c>
      <c r="W707" t="s">
        <v>66</v>
      </c>
      <c r="X707">
        <v>12421460.699999999</v>
      </c>
      <c r="Y707">
        <v>1366360.68</v>
      </c>
      <c r="Z707">
        <v>780120</v>
      </c>
      <c r="AA707">
        <v>85813.2</v>
      </c>
      <c r="AB707">
        <v>13787821.380000001</v>
      </c>
      <c r="AC707">
        <v>48</v>
      </c>
      <c r="AD707" t="s">
        <v>82</v>
      </c>
      <c r="AE707">
        <v>48</v>
      </c>
      <c r="AF707" t="s">
        <v>96</v>
      </c>
      <c r="AG707">
        <f>IFERROR(VLOOKUP(AF707,[1]STOK!J:O,6,0),"")</f>
        <v>24</v>
      </c>
      <c r="AH707" s="2">
        <f t="shared" si="20"/>
        <v>2</v>
      </c>
      <c r="AI707" t="s">
        <v>96</v>
      </c>
      <c r="AJ707" t="s">
        <v>97</v>
      </c>
      <c r="AK707" t="s">
        <v>98</v>
      </c>
      <c r="AL707" t="s">
        <v>86</v>
      </c>
      <c r="AM707">
        <v>18315</v>
      </c>
      <c r="AN707">
        <f t="shared" si="21"/>
        <v>18040.274999999998</v>
      </c>
      <c r="AO707" t="s">
        <v>66</v>
      </c>
      <c r="AP707">
        <v>1.5</v>
      </c>
      <c r="AQ707" t="s">
        <v>66</v>
      </c>
      <c r="AR707">
        <v>0</v>
      </c>
      <c r="AS707" t="s">
        <v>66</v>
      </c>
      <c r="AT707">
        <v>0</v>
      </c>
      <c r="AU707" t="s">
        <v>66</v>
      </c>
      <c r="AV707">
        <v>0</v>
      </c>
      <c r="AW707" t="s">
        <v>66</v>
      </c>
      <c r="AX707">
        <v>0</v>
      </c>
      <c r="AY707" t="s">
        <v>66</v>
      </c>
      <c r="AZ707">
        <v>0</v>
      </c>
      <c r="BA707" t="s">
        <v>66</v>
      </c>
      <c r="BB707">
        <v>0</v>
      </c>
      <c r="BC707">
        <v>0</v>
      </c>
      <c r="BD707">
        <v>865933.2</v>
      </c>
      <c r="BE707">
        <v>14932.85</v>
      </c>
      <c r="BF707">
        <v>0</v>
      </c>
      <c r="BG707" t="s">
        <v>87</v>
      </c>
      <c r="BH707" t="s">
        <v>66</v>
      </c>
      <c r="BI707">
        <v>0</v>
      </c>
      <c r="BJ707" t="s">
        <v>66</v>
      </c>
      <c r="BK707" t="s">
        <v>88</v>
      </c>
      <c r="BL707" t="s">
        <v>66</v>
      </c>
      <c r="BM707" t="s">
        <v>159</v>
      </c>
    </row>
    <row r="708" spans="1:65" x14ac:dyDescent="0.25">
      <c r="A708">
        <v>706</v>
      </c>
      <c r="B708" t="s">
        <v>1132</v>
      </c>
      <c r="C708" t="s">
        <v>68</v>
      </c>
      <c r="D708" s="1">
        <v>46212</v>
      </c>
      <c r="E708" t="s">
        <v>1133</v>
      </c>
      <c r="F708" t="s">
        <v>68</v>
      </c>
      <c r="G708" t="s">
        <v>295</v>
      </c>
      <c r="H708" t="s">
        <v>296</v>
      </c>
      <c r="I708" t="s">
        <v>71</v>
      </c>
      <c r="J708" t="s">
        <v>72</v>
      </c>
      <c r="K708" t="s">
        <v>73</v>
      </c>
      <c r="L708" t="s">
        <v>74</v>
      </c>
      <c r="M708" t="s">
        <v>1134</v>
      </c>
      <c r="N708" t="s">
        <v>111</v>
      </c>
      <c r="O708" t="s">
        <v>1135</v>
      </c>
      <c r="P708" t="s">
        <v>1136</v>
      </c>
      <c r="Q708" t="s">
        <v>1137</v>
      </c>
      <c r="R708" s="1">
        <v>46214</v>
      </c>
      <c r="S708" t="s">
        <v>1138</v>
      </c>
      <c r="T708" t="s">
        <v>1139</v>
      </c>
      <c r="U708" t="s">
        <v>1140</v>
      </c>
      <c r="V708" t="s">
        <v>66</v>
      </c>
      <c r="W708" t="s">
        <v>66</v>
      </c>
      <c r="X708">
        <v>12421460.699999999</v>
      </c>
      <c r="Y708">
        <v>1366360.68</v>
      </c>
      <c r="Z708">
        <v>1170180</v>
      </c>
      <c r="AA708">
        <v>128719.8</v>
      </c>
      <c r="AB708">
        <v>13787821.380000001</v>
      </c>
      <c r="AC708">
        <v>72</v>
      </c>
      <c r="AD708" t="s">
        <v>82</v>
      </c>
      <c r="AE708">
        <v>72</v>
      </c>
      <c r="AF708" t="s">
        <v>99</v>
      </c>
      <c r="AG708">
        <f>IFERROR(VLOOKUP(AF708,[1]STOK!J:O,6,0),"")</f>
        <v>24</v>
      </c>
      <c r="AH708" s="2">
        <f t="shared" ref="AH708:AH771" si="22">AE708/AG708</f>
        <v>3</v>
      </c>
      <c r="AI708" t="s">
        <v>99</v>
      </c>
      <c r="AJ708" t="s">
        <v>100</v>
      </c>
      <c r="AK708" t="s">
        <v>101</v>
      </c>
      <c r="AL708" t="s">
        <v>86</v>
      </c>
      <c r="AM708">
        <v>18315</v>
      </c>
      <c r="AN708">
        <f t="shared" ref="AN708:AN771" si="23">BD708/AC708</f>
        <v>18040.275000000001</v>
      </c>
      <c r="AO708" t="s">
        <v>66</v>
      </c>
      <c r="AP708">
        <v>1.5</v>
      </c>
      <c r="AQ708" t="s">
        <v>66</v>
      </c>
      <c r="AR708">
        <v>0</v>
      </c>
      <c r="AS708" t="s">
        <v>66</v>
      </c>
      <c r="AT708">
        <v>0</v>
      </c>
      <c r="AU708" t="s">
        <v>66</v>
      </c>
      <c r="AV708">
        <v>0</v>
      </c>
      <c r="AW708" t="s">
        <v>66</v>
      </c>
      <c r="AX708">
        <v>0</v>
      </c>
      <c r="AY708" t="s">
        <v>66</v>
      </c>
      <c r="AZ708">
        <v>0</v>
      </c>
      <c r="BA708" t="s">
        <v>66</v>
      </c>
      <c r="BB708">
        <v>0</v>
      </c>
      <c r="BC708">
        <v>0</v>
      </c>
      <c r="BD708">
        <v>1298899.8</v>
      </c>
      <c r="BE708">
        <v>14915.33</v>
      </c>
      <c r="BF708">
        <v>0</v>
      </c>
      <c r="BG708" t="s">
        <v>87</v>
      </c>
      <c r="BH708" t="s">
        <v>66</v>
      </c>
      <c r="BI708">
        <v>0</v>
      </c>
      <c r="BJ708" t="s">
        <v>66</v>
      </c>
      <c r="BK708" t="s">
        <v>88</v>
      </c>
      <c r="BL708" t="s">
        <v>66</v>
      </c>
      <c r="BM708" t="s">
        <v>159</v>
      </c>
    </row>
    <row r="709" spans="1:65" x14ac:dyDescent="0.25">
      <c r="A709">
        <v>707</v>
      </c>
      <c r="B709" t="s">
        <v>1132</v>
      </c>
      <c r="C709" t="s">
        <v>68</v>
      </c>
      <c r="D709" s="1">
        <v>46212</v>
      </c>
      <c r="E709" t="s">
        <v>1133</v>
      </c>
      <c r="F709" t="s">
        <v>68</v>
      </c>
      <c r="G709" t="s">
        <v>295</v>
      </c>
      <c r="H709" t="s">
        <v>296</v>
      </c>
      <c r="I709" t="s">
        <v>71</v>
      </c>
      <c r="J709" t="s">
        <v>72</v>
      </c>
      <c r="K709" t="s">
        <v>73</v>
      </c>
      <c r="L709" t="s">
        <v>74</v>
      </c>
      <c r="M709" t="s">
        <v>1134</v>
      </c>
      <c r="N709" t="s">
        <v>111</v>
      </c>
      <c r="O709" t="s">
        <v>1135</v>
      </c>
      <c r="P709" t="s">
        <v>1136</v>
      </c>
      <c r="Q709" t="s">
        <v>1137</v>
      </c>
      <c r="R709" s="1">
        <v>46214</v>
      </c>
      <c r="S709" t="s">
        <v>1138</v>
      </c>
      <c r="T709" t="s">
        <v>1139</v>
      </c>
      <c r="U709" t="s">
        <v>1140</v>
      </c>
      <c r="V709" t="s">
        <v>66</v>
      </c>
      <c r="W709" t="s">
        <v>66</v>
      </c>
      <c r="X709">
        <v>12421460.699999999</v>
      </c>
      <c r="Y709">
        <v>1366360.68</v>
      </c>
      <c r="Z709">
        <v>322686</v>
      </c>
      <c r="AA709">
        <v>35495.46</v>
      </c>
      <c r="AB709">
        <v>13787821.380000001</v>
      </c>
      <c r="AC709">
        <v>12</v>
      </c>
      <c r="AD709" t="s">
        <v>82</v>
      </c>
      <c r="AE709">
        <v>12</v>
      </c>
      <c r="AF709" t="s">
        <v>593</v>
      </c>
      <c r="AG709">
        <f>IFERROR(VLOOKUP(AF709,[1]STOK!J:O,6,0),"")</f>
        <v>12</v>
      </c>
      <c r="AH709" s="2">
        <f t="shared" si="22"/>
        <v>1</v>
      </c>
      <c r="AI709" t="s">
        <v>593</v>
      </c>
      <c r="AJ709" t="s">
        <v>594</v>
      </c>
      <c r="AK709" t="s">
        <v>595</v>
      </c>
      <c r="AL709" t="s">
        <v>86</v>
      </c>
      <c r="AM709">
        <v>30303</v>
      </c>
      <c r="AN709">
        <f t="shared" si="23"/>
        <v>29848.455000000002</v>
      </c>
      <c r="AO709" t="s">
        <v>66</v>
      </c>
      <c r="AP709">
        <v>1.5</v>
      </c>
      <c r="AQ709" t="s">
        <v>66</v>
      </c>
      <c r="AR709">
        <v>0</v>
      </c>
      <c r="AS709" t="s">
        <v>66</v>
      </c>
      <c r="AT709">
        <v>0</v>
      </c>
      <c r="AU709" t="s">
        <v>66</v>
      </c>
      <c r="AV709">
        <v>0</v>
      </c>
      <c r="AW709" t="s">
        <v>66</v>
      </c>
      <c r="AX709">
        <v>0</v>
      </c>
      <c r="AY709" t="s">
        <v>66</v>
      </c>
      <c r="AZ709">
        <v>0</v>
      </c>
      <c r="BA709" t="s">
        <v>66</v>
      </c>
      <c r="BB709">
        <v>0</v>
      </c>
      <c r="BC709">
        <v>0</v>
      </c>
      <c r="BD709">
        <v>358181.46</v>
      </c>
      <c r="BE709">
        <v>24638.67</v>
      </c>
      <c r="BF709">
        <v>0</v>
      </c>
      <c r="BG709" t="s">
        <v>87</v>
      </c>
      <c r="BH709" t="s">
        <v>66</v>
      </c>
      <c r="BI709">
        <v>0</v>
      </c>
      <c r="BJ709" t="s">
        <v>66</v>
      </c>
      <c r="BK709" t="s">
        <v>88</v>
      </c>
      <c r="BL709" t="s">
        <v>66</v>
      </c>
      <c r="BM709" t="s">
        <v>159</v>
      </c>
    </row>
    <row r="710" spans="1:65" x14ac:dyDescent="0.25">
      <c r="A710">
        <v>708</v>
      </c>
      <c r="B710" t="s">
        <v>1132</v>
      </c>
      <c r="C710" t="s">
        <v>68</v>
      </c>
      <c r="D710" s="1">
        <v>46212</v>
      </c>
      <c r="E710" t="s">
        <v>1133</v>
      </c>
      <c r="F710" t="s">
        <v>68</v>
      </c>
      <c r="G710" t="s">
        <v>295</v>
      </c>
      <c r="H710" t="s">
        <v>296</v>
      </c>
      <c r="I710" t="s">
        <v>71</v>
      </c>
      <c r="J710" t="s">
        <v>72</v>
      </c>
      <c r="K710" t="s">
        <v>73</v>
      </c>
      <c r="L710" t="s">
        <v>74</v>
      </c>
      <c r="M710" t="s">
        <v>1134</v>
      </c>
      <c r="N710" t="s">
        <v>111</v>
      </c>
      <c r="O710" t="s">
        <v>1135</v>
      </c>
      <c r="P710" t="s">
        <v>1136</v>
      </c>
      <c r="Q710" t="s">
        <v>1137</v>
      </c>
      <c r="R710" s="1">
        <v>46214</v>
      </c>
      <c r="S710" t="s">
        <v>1138</v>
      </c>
      <c r="T710" t="s">
        <v>1139</v>
      </c>
      <c r="U710" t="s">
        <v>1140</v>
      </c>
      <c r="V710" t="s">
        <v>66</v>
      </c>
      <c r="W710" t="s">
        <v>66</v>
      </c>
      <c r="X710">
        <v>12421460.699999999</v>
      </c>
      <c r="Y710">
        <v>1366360.68</v>
      </c>
      <c r="Z710">
        <v>322686</v>
      </c>
      <c r="AA710">
        <v>35495.46</v>
      </c>
      <c r="AB710">
        <v>13787821.380000001</v>
      </c>
      <c r="AC710">
        <v>12</v>
      </c>
      <c r="AD710" t="s">
        <v>82</v>
      </c>
      <c r="AE710">
        <v>12</v>
      </c>
      <c r="AF710" t="s">
        <v>306</v>
      </c>
      <c r="AG710">
        <f>IFERROR(VLOOKUP(AF710,[1]STOK!J:O,6,0),"")</f>
        <v>12</v>
      </c>
      <c r="AH710" s="2">
        <f t="shared" si="22"/>
        <v>1</v>
      </c>
      <c r="AI710" t="s">
        <v>306</v>
      </c>
      <c r="AJ710" t="s">
        <v>307</v>
      </c>
      <c r="AK710" t="s">
        <v>308</v>
      </c>
      <c r="AL710" t="s">
        <v>86</v>
      </c>
      <c r="AM710">
        <v>30303</v>
      </c>
      <c r="AN710">
        <f t="shared" si="23"/>
        <v>29848.455000000002</v>
      </c>
      <c r="AO710" t="s">
        <v>66</v>
      </c>
      <c r="AP710">
        <v>1.5</v>
      </c>
      <c r="AQ710" t="s">
        <v>66</v>
      </c>
      <c r="AR710">
        <v>0</v>
      </c>
      <c r="AS710" t="s">
        <v>66</v>
      </c>
      <c r="AT710">
        <v>0</v>
      </c>
      <c r="AU710" t="s">
        <v>66</v>
      </c>
      <c r="AV710">
        <v>0</v>
      </c>
      <c r="AW710" t="s">
        <v>66</v>
      </c>
      <c r="AX710">
        <v>0</v>
      </c>
      <c r="AY710" t="s">
        <v>66</v>
      </c>
      <c r="AZ710">
        <v>0</v>
      </c>
      <c r="BA710" t="s">
        <v>66</v>
      </c>
      <c r="BB710">
        <v>0</v>
      </c>
      <c r="BC710">
        <v>0</v>
      </c>
      <c r="BD710">
        <v>358181.46</v>
      </c>
      <c r="BE710">
        <v>24547.85</v>
      </c>
      <c r="BF710">
        <v>0</v>
      </c>
      <c r="BG710" t="s">
        <v>87</v>
      </c>
      <c r="BH710" t="s">
        <v>66</v>
      </c>
      <c r="BI710">
        <v>0</v>
      </c>
      <c r="BJ710" t="s">
        <v>66</v>
      </c>
      <c r="BK710" t="s">
        <v>88</v>
      </c>
      <c r="BL710" t="s">
        <v>66</v>
      </c>
      <c r="BM710" t="s">
        <v>159</v>
      </c>
    </row>
    <row r="711" spans="1:65" x14ac:dyDescent="0.25">
      <c r="A711">
        <v>709</v>
      </c>
      <c r="B711" t="s">
        <v>1132</v>
      </c>
      <c r="C711" t="s">
        <v>68</v>
      </c>
      <c r="D711" s="1">
        <v>46212</v>
      </c>
      <c r="E711" t="s">
        <v>1133</v>
      </c>
      <c r="F711" t="s">
        <v>68</v>
      </c>
      <c r="G711" t="s">
        <v>295</v>
      </c>
      <c r="H711" t="s">
        <v>296</v>
      </c>
      <c r="I711" t="s">
        <v>71</v>
      </c>
      <c r="J711" t="s">
        <v>72</v>
      </c>
      <c r="K711" t="s">
        <v>73</v>
      </c>
      <c r="L711" t="s">
        <v>74</v>
      </c>
      <c r="M711" t="s">
        <v>1134</v>
      </c>
      <c r="N711" t="s">
        <v>111</v>
      </c>
      <c r="O711" t="s">
        <v>1135</v>
      </c>
      <c r="P711" t="s">
        <v>1136</v>
      </c>
      <c r="Q711" t="s">
        <v>1137</v>
      </c>
      <c r="R711" s="1">
        <v>46214</v>
      </c>
      <c r="S711" t="s">
        <v>1138</v>
      </c>
      <c r="T711" t="s">
        <v>1139</v>
      </c>
      <c r="U711" t="s">
        <v>1140</v>
      </c>
      <c r="V711" t="s">
        <v>66</v>
      </c>
      <c r="W711" t="s">
        <v>66</v>
      </c>
      <c r="X711">
        <v>12421460.699999999</v>
      </c>
      <c r="Y711">
        <v>1366360.68</v>
      </c>
      <c r="Z711">
        <v>322686</v>
      </c>
      <c r="AA711">
        <v>35495.46</v>
      </c>
      <c r="AB711">
        <v>13787821.380000001</v>
      </c>
      <c r="AC711">
        <v>12</v>
      </c>
      <c r="AD711" t="s">
        <v>82</v>
      </c>
      <c r="AE711">
        <v>12</v>
      </c>
      <c r="AF711" t="s">
        <v>309</v>
      </c>
      <c r="AG711">
        <f>IFERROR(VLOOKUP(AF711,[1]STOK!J:O,6,0),"")</f>
        <v>12</v>
      </c>
      <c r="AH711" s="2">
        <f t="shared" si="22"/>
        <v>1</v>
      </c>
      <c r="AI711" t="s">
        <v>309</v>
      </c>
      <c r="AJ711" t="s">
        <v>310</v>
      </c>
      <c r="AK711" t="s">
        <v>311</v>
      </c>
      <c r="AL711" t="s">
        <v>86</v>
      </c>
      <c r="AM711">
        <v>30303</v>
      </c>
      <c r="AN711">
        <f t="shared" si="23"/>
        <v>29848.455000000002</v>
      </c>
      <c r="AO711" t="s">
        <v>66</v>
      </c>
      <c r="AP711">
        <v>1.5</v>
      </c>
      <c r="AQ711" t="s">
        <v>66</v>
      </c>
      <c r="AR711">
        <v>0</v>
      </c>
      <c r="AS711" t="s">
        <v>66</v>
      </c>
      <c r="AT711">
        <v>0</v>
      </c>
      <c r="AU711" t="s">
        <v>66</v>
      </c>
      <c r="AV711">
        <v>0</v>
      </c>
      <c r="AW711" t="s">
        <v>66</v>
      </c>
      <c r="AX711">
        <v>0</v>
      </c>
      <c r="AY711" t="s">
        <v>66</v>
      </c>
      <c r="AZ711">
        <v>0</v>
      </c>
      <c r="BA711" t="s">
        <v>66</v>
      </c>
      <c r="BB711">
        <v>0</v>
      </c>
      <c r="BC711">
        <v>0</v>
      </c>
      <c r="BD711">
        <v>358181.46</v>
      </c>
      <c r="BE711">
        <v>24620.14</v>
      </c>
      <c r="BF711">
        <v>0</v>
      </c>
      <c r="BG711" t="s">
        <v>87</v>
      </c>
      <c r="BH711" t="s">
        <v>66</v>
      </c>
      <c r="BI711">
        <v>0</v>
      </c>
      <c r="BJ711" t="s">
        <v>66</v>
      </c>
      <c r="BK711" t="s">
        <v>88</v>
      </c>
      <c r="BL711" t="s">
        <v>66</v>
      </c>
      <c r="BM711" t="s">
        <v>159</v>
      </c>
    </row>
    <row r="712" spans="1:65" x14ac:dyDescent="0.25">
      <c r="A712">
        <v>710</v>
      </c>
      <c r="B712" t="s">
        <v>1132</v>
      </c>
      <c r="C712" t="s">
        <v>68</v>
      </c>
      <c r="D712" s="1">
        <v>46212</v>
      </c>
      <c r="E712" t="s">
        <v>1133</v>
      </c>
      <c r="F712" t="s">
        <v>68</v>
      </c>
      <c r="G712" t="s">
        <v>295</v>
      </c>
      <c r="H712" t="s">
        <v>296</v>
      </c>
      <c r="I712" t="s">
        <v>71</v>
      </c>
      <c r="J712" t="s">
        <v>72</v>
      </c>
      <c r="K712" t="s">
        <v>73</v>
      </c>
      <c r="L712" t="s">
        <v>74</v>
      </c>
      <c r="M712" t="s">
        <v>1134</v>
      </c>
      <c r="N712" t="s">
        <v>111</v>
      </c>
      <c r="O712" t="s">
        <v>1135</v>
      </c>
      <c r="P712" t="s">
        <v>1136</v>
      </c>
      <c r="Q712" t="s">
        <v>1137</v>
      </c>
      <c r="R712" s="1">
        <v>46214</v>
      </c>
      <c r="S712" t="s">
        <v>1138</v>
      </c>
      <c r="T712" t="s">
        <v>1139</v>
      </c>
      <c r="U712" t="s">
        <v>1140</v>
      </c>
      <c r="V712" t="s">
        <v>66</v>
      </c>
      <c r="W712" t="s">
        <v>66</v>
      </c>
      <c r="X712">
        <v>12421460.699999999</v>
      </c>
      <c r="Y712">
        <v>1366360.68</v>
      </c>
      <c r="Z712">
        <v>322686</v>
      </c>
      <c r="AA712">
        <v>35495.46</v>
      </c>
      <c r="AB712">
        <v>13787821.380000001</v>
      </c>
      <c r="AC712">
        <v>12</v>
      </c>
      <c r="AD712" t="s">
        <v>82</v>
      </c>
      <c r="AE712">
        <v>12</v>
      </c>
      <c r="AF712" t="s">
        <v>563</v>
      </c>
      <c r="AG712">
        <f>IFERROR(VLOOKUP(AF712,[1]STOK!J:O,6,0),"")</f>
        <v>12</v>
      </c>
      <c r="AH712" s="2">
        <f t="shared" si="22"/>
        <v>1</v>
      </c>
      <c r="AI712" t="s">
        <v>563</v>
      </c>
      <c r="AJ712" t="s">
        <v>564</v>
      </c>
      <c r="AK712" t="s">
        <v>565</v>
      </c>
      <c r="AL712" t="s">
        <v>86</v>
      </c>
      <c r="AM712">
        <v>30303</v>
      </c>
      <c r="AN712">
        <f t="shared" si="23"/>
        <v>29848.455000000002</v>
      </c>
      <c r="AO712" t="s">
        <v>66</v>
      </c>
      <c r="AP712">
        <v>1.5</v>
      </c>
      <c r="AQ712" t="s">
        <v>66</v>
      </c>
      <c r="AR712">
        <v>0</v>
      </c>
      <c r="AS712" t="s">
        <v>66</v>
      </c>
      <c r="AT712">
        <v>0</v>
      </c>
      <c r="AU712" t="s">
        <v>66</v>
      </c>
      <c r="AV712">
        <v>0</v>
      </c>
      <c r="AW712" t="s">
        <v>66</v>
      </c>
      <c r="AX712">
        <v>0</v>
      </c>
      <c r="AY712" t="s">
        <v>66</v>
      </c>
      <c r="AZ712">
        <v>0</v>
      </c>
      <c r="BA712" t="s">
        <v>66</v>
      </c>
      <c r="BB712">
        <v>0</v>
      </c>
      <c r="BC712">
        <v>0</v>
      </c>
      <c r="BD712">
        <v>358181.46</v>
      </c>
      <c r="BE712">
        <v>24679.38</v>
      </c>
      <c r="BF712">
        <v>0</v>
      </c>
      <c r="BG712" t="s">
        <v>87</v>
      </c>
      <c r="BH712" t="s">
        <v>66</v>
      </c>
      <c r="BI712">
        <v>0</v>
      </c>
      <c r="BJ712" t="s">
        <v>66</v>
      </c>
      <c r="BK712" t="s">
        <v>88</v>
      </c>
      <c r="BL712" t="s">
        <v>66</v>
      </c>
      <c r="BM712" t="s">
        <v>159</v>
      </c>
    </row>
    <row r="713" spans="1:65" x14ac:dyDescent="0.25">
      <c r="A713">
        <v>711</v>
      </c>
      <c r="B713" t="s">
        <v>1132</v>
      </c>
      <c r="C713" t="s">
        <v>68</v>
      </c>
      <c r="D713" s="1">
        <v>46212</v>
      </c>
      <c r="E713" t="s">
        <v>1133</v>
      </c>
      <c r="F713" t="s">
        <v>68</v>
      </c>
      <c r="G713" t="s">
        <v>295</v>
      </c>
      <c r="H713" t="s">
        <v>296</v>
      </c>
      <c r="I713" t="s">
        <v>71</v>
      </c>
      <c r="J713" t="s">
        <v>72</v>
      </c>
      <c r="K713" t="s">
        <v>73</v>
      </c>
      <c r="L713" t="s">
        <v>74</v>
      </c>
      <c r="M713" t="s">
        <v>1134</v>
      </c>
      <c r="N713" t="s">
        <v>111</v>
      </c>
      <c r="O713" t="s">
        <v>1135</v>
      </c>
      <c r="P713" t="s">
        <v>1136</v>
      </c>
      <c r="Q713" t="s">
        <v>1137</v>
      </c>
      <c r="R713" s="1">
        <v>46214</v>
      </c>
      <c r="S713" t="s">
        <v>1138</v>
      </c>
      <c r="T713" t="s">
        <v>1139</v>
      </c>
      <c r="U713" t="s">
        <v>1140</v>
      </c>
      <c r="V713" t="s">
        <v>66</v>
      </c>
      <c r="W713" t="s">
        <v>66</v>
      </c>
      <c r="X713">
        <v>12421460.699999999</v>
      </c>
      <c r="Y713">
        <v>1366360.68</v>
      </c>
      <c r="Z713">
        <v>509836</v>
      </c>
      <c r="AA713">
        <v>56081.96</v>
      </c>
      <c r="AB713">
        <v>13787821.380000001</v>
      </c>
      <c r="AC713">
        <v>4</v>
      </c>
      <c r="AD713" t="s">
        <v>82</v>
      </c>
      <c r="AE713">
        <v>4</v>
      </c>
      <c r="AF713" t="s">
        <v>519</v>
      </c>
      <c r="AG713">
        <f>IFERROR(VLOOKUP(AF713,[1]STOK!J:O,6,0),"")</f>
        <v>4</v>
      </c>
      <c r="AH713" s="2">
        <f t="shared" si="22"/>
        <v>1</v>
      </c>
      <c r="AI713" t="s">
        <v>519</v>
      </c>
      <c r="AJ713" t="s">
        <v>520</v>
      </c>
      <c r="AK713" t="s">
        <v>521</v>
      </c>
      <c r="AL713" t="s">
        <v>86</v>
      </c>
      <c r="AM713">
        <v>143634</v>
      </c>
      <c r="AN713">
        <f t="shared" si="23"/>
        <v>141479.49</v>
      </c>
      <c r="AO713" t="s">
        <v>66</v>
      </c>
      <c r="AP713">
        <v>1.5</v>
      </c>
      <c r="AQ713" t="s">
        <v>66</v>
      </c>
      <c r="AR713">
        <v>0</v>
      </c>
      <c r="AS713" t="s">
        <v>66</v>
      </c>
      <c r="AT713">
        <v>0</v>
      </c>
      <c r="AU713" t="s">
        <v>66</v>
      </c>
      <c r="AV713">
        <v>0</v>
      </c>
      <c r="AW713" t="s">
        <v>66</v>
      </c>
      <c r="AX713">
        <v>0</v>
      </c>
      <c r="AY713" t="s">
        <v>66</v>
      </c>
      <c r="AZ713">
        <v>0</v>
      </c>
      <c r="BA713" t="s">
        <v>66</v>
      </c>
      <c r="BB713">
        <v>0</v>
      </c>
      <c r="BC713">
        <v>0</v>
      </c>
      <c r="BD713">
        <v>565917.96</v>
      </c>
      <c r="BE713">
        <v>114637.35</v>
      </c>
      <c r="BF713">
        <v>0</v>
      </c>
      <c r="BG713" t="s">
        <v>87</v>
      </c>
      <c r="BH713" t="s">
        <v>66</v>
      </c>
      <c r="BI713">
        <v>0</v>
      </c>
      <c r="BJ713" t="s">
        <v>66</v>
      </c>
      <c r="BK713" t="s">
        <v>88</v>
      </c>
      <c r="BL713" t="s">
        <v>66</v>
      </c>
      <c r="BM713" t="s">
        <v>159</v>
      </c>
    </row>
    <row r="714" spans="1:65" x14ac:dyDescent="0.25">
      <c r="A714">
        <v>712</v>
      </c>
      <c r="B714" t="s">
        <v>1132</v>
      </c>
      <c r="C714" t="s">
        <v>68</v>
      </c>
      <c r="D714" s="1">
        <v>46212</v>
      </c>
      <c r="E714" t="s">
        <v>1133</v>
      </c>
      <c r="F714" t="s">
        <v>68</v>
      </c>
      <c r="G714" t="s">
        <v>295</v>
      </c>
      <c r="H714" t="s">
        <v>296</v>
      </c>
      <c r="I714" t="s">
        <v>71</v>
      </c>
      <c r="J714" t="s">
        <v>72</v>
      </c>
      <c r="K714" t="s">
        <v>73</v>
      </c>
      <c r="L714" t="s">
        <v>74</v>
      </c>
      <c r="M714" t="s">
        <v>1134</v>
      </c>
      <c r="N714" t="s">
        <v>111</v>
      </c>
      <c r="O714" t="s">
        <v>1135</v>
      </c>
      <c r="P714" t="s">
        <v>1136</v>
      </c>
      <c r="Q714" t="s">
        <v>1137</v>
      </c>
      <c r="R714" s="1">
        <v>46214</v>
      </c>
      <c r="S714" t="s">
        <v>1138</v>
      </c>
      <c r="T714" t="s">
        <v>1139</v>
      </c>
      <c r="U714" t="s">
        <v>1140</v>
      </c>
      <c r="V714" t="s">
        <v>66</v>
      </c>
      <c r="W714" t="s">
        <v>66</v>
      </c>
      <c r="X714">
        <v>12421460.699999999</v>
      </c>
      <c r="Y714">
        <v>1366360.68</v>
      </c>
      <c r="Z714">
        <v>509836</v>
      </c>
      <c r="AA714">
        <v>56081.96</v>
      </c>
      <c r="AB714">
        <v>13787821.380000001</v>
      </c>
      <c r="AC714">
        <v>4</v>
      </c>
      <c r="AD714" t="s">
        <v>82</v>
      </c>
      <c r="AE714">
        <v>4</v>
      </c>
      <c r="AF714" t="s">
        <v>522</v>
      </c>
      <c r="AG714">
        <f>IFERROR(VLOOKUP(AF714,[1]STOK!J:O,6,0),"")</f>
        <v>4</v>
      </c>
      <c r="AH714" s="2">
        <f t="shared" si="22"/>
        <v>1</v>
      </c>
      <c r="AI714" t="s">
        <v>522</v>
      </c>
      <c r="AJ714" t="s">
        <v>523</v>
      </c>
      <c r="AK714" t="s">
        <v>524</v>
      </c>
      <c r="AL714" t="s">
        <v>86</v>
      </c>
      <c r="AM714">
        <v>143634</v>
      </c>
      <c r="AN714">
        <f t="shared" si="23"/>
        <v>141479.49</v>
      </c>
      <c r="AO714" t="s">
        <v>66</v>
      </c>
      <c r="AP714">
        <v>1.5</v>
      </c>
      <c r="AQ714" t="s">
        <v>66</v>
      </c>
      <c r="AR714">
        <v>0</v>
      </c>
      <c r="AS714" t="s">
        <v>66</v>
      </c>
      <c r="AT714">
        <v>0</v>
      </c>
      <c r="AU714" t="s">
        <v>66</v>
      </c>
      <c r="AV714">
        <v>0</v>
      </c>
      <c r="AW714" t="s">
        <v>66</v>
      </c>
      <c r="AX714">
        <v>0</v>
      </c>
      <c r="AY714" t="s">
        <v>66</v>
      </c>
      <c r="AZ714">
        <v>0</v>
      </c>
      <c r="BA714" t="s">
        <v>66</v>
      </c>
      <c r="BB714">
        <v>0</v>
      </c>
      <c r="BC714">
        <v>0</v>
      </c>
      <c r="BD714">
        <v>565917.96</v>
      </c>
      <c r="BE714">
        <v>113711.67999999999</v>
      </c>
      <c r="BF714">
        <v>0</v>
      </c>
      <c r="BG714" t="s">
        <v>87</v>
      </c>
      <c r="BH714" t="s">
        <v>66</v>
      </c>
      <c r="BI714">
        <v>0</v>
      </c>
      <c r="BJ714" t="s">
        <v>66</v>
      </c>
      <c r="BK714" t="s">
        <v>88</v>
      </c>
      <c r="BL714" t="s">
        <v>66</v>
      </c>
      <c r="BM714" t="s">
        <v>159</v>
      </c>
    </row>
    <row r="715" spans="1:65" x14ac:dyDescent="0.25">
      <c r="A715">
        <v>713</v>
      </c>
      <c r="B715" t="s">
        <v>1132</v>
      </c>
      <c r="C715" t="s">
        <v>68</v>
      </c>
      <c r="D715" s="1">
        <v>46212</v>
      </c>
      <c r="E715" t="s">
        <v>1133</v>
      </c>
      <c r="F715" t="s">
        <v>68</v>
      </c>
      <c r="G715" t="s">
        <v>295</v>
      </c>
      <c r="H715" t="s">
        <v>296</v>
      </c>
      <c r="I715" t="s">
        <v>71</v>
      </c>
      <c r="J715" t="s">
        <v>72</v>
      </c>
      <c r="K715" t="s">
        <v>73</v>
      </c>
      <c r="L715" t="s">
        <v>74</v>
      </c>
      <c r="M715" t="s">
        <v>1134</v>
      </c>
      <c r="N715" t="s">
        <v>111</v>
      </c>
      <c r="O715" t="s">
        <v>1135</v>
      </c>
      <c r="P715" t="s">
        <v>1136</v>
      </c>
      <c r="Q715" t="s">
        <v>1137</v>
      </c>
      <c r="R715" s="1">
        <v>46214</v>
      </c>
      <c r="S715" t="s">
        <v>1138</v>
      </c>
      <c r="T715" t="s">
        <v>1139</v>
      </c>
      <c r="U715" t="s">
        <v>1140</v>
      </c>
      <c r="V715" t="s">
        <v>66</v>
      </c>
      <c r="W715" t="s">
        <v>66</v>
      </c>
      <c r="X715">
        <v>12421460.699999999</v>
      </c>
      <c r="Y715">
        <v>1366360.68</v>
      </c>
      <c r="Z715">
        <v>509836</v>
      </c>
      <c r="AA715">
        <v>56081.96</v>
      </c>
      <c r="AB715">
        <v>13787821.380000001</v>
      </c>
      <c r="AC715">
        <v>4</v>
      </c>
      <c r="AD715" t="s">
        <v>82</v>
      </c>
      <c r="AE715">
        <v>4</v>
      </c>
      <c r="AF715" t="s">
        <v>1064</v>
      </c>
      <c r="AG715">
        <f>IFERROR(VLOOKUP(AF715,[1]STOK!J:O,6,0),"")</f>
        <v>4</v>
      </c>
      <c r="AH715" s="2">
        <f t="shared" si="22"/>
        <v>1</v>
      </c>
      <c r="AI715" t="s">
        <v>1064</v>
      </c>
      <c r="AJ715" t="s">
        <v>1065</v>
      </c>
      <c r="AK715" t="s">
        <v>1066</v>
      </c>
      <c r="AL715" t="s">
        <v>86</v>
      </c>
      <c r="AM715">
        <v>143634</v>
      </c>
      <c r="AN715">
        <f t="shared" si="23"/>
        <v>141479.49</v>
      </c>
      <c r="AO715" t="s">
        <v>66</v>
      </c>
      <c r="AP715">
        <v>1.5</v>
      </c>
      <c r="AQ715" t="s">
        <v>66</v>
      </c>
      <c r="AR715">
        <v>0</v>
      </c>
      <c r="AS715" t="s">
        <v>66</v>
      </c>
      <c r="AT715">
        <v>0</v>
      </c>
      <c r="AU715" t="s">
        <v>66</v>
      </c>
      <c r="AV715">
        <v>0</v>
      </c>
      <c r="AW715" t="s">
        <v>66</v>
      </c>
      <c r="AX715">
        <v>0</v>
      </c>
      <c r="AY715" t="s">
        <v>66</v>
      </c>
      <c r="AZ715">
        <v>0</v>
      </c>
      <c r="BA715" t="s">
        <v>66</v>
      </c>
      <c r="BB715">
        <v>0</v>
      </c>
      <c r="BC715">
        <v>0</v>
      </c>
      <c r="BD715">
        <v>565917.96</v>
      </c>
      <c r="BE715">
        <v>112732.53</v>
      </c>
      <c r="BF715">
        <v>0</v>
      </c>
      <c r="BG715" t="s">
        <v>87</v>
      </c>
      <c r="BH715" t="s">
        <v>66</v>
      </c>
      <c r="BI715">
        <v>0</v>
      </c>
      <c r="BJ715" t="s">
        <v>66</v>
      </c>
      <c r="BK715" t="s">
        <v>88</v>
      </c>
      <c r="BL715" t="s">
        <v>66</v>
      </c>
      <c r="BM715" t="s">
        <v>159</v>
      </c>
    </row>
    <row r="716" spans="1:65" x14ac:dyDescent="0.25">
      <c r="A716">
        <v>714</v>
      </c>
      <c r="B716" t="s">
        <v>1132</v>
      </c>
      <c r="C716" t="s">
        <v>68</v>
      </c>
      <c r="D716" s="1">
        <v>46212</v>
      </c>
      <c r="E716" t="s">
        <v>1133</v>
      </c>
      <c r="F716" t="s">
        <v>68</v>
      </c>
      <c r="G716" t="s">
        <v>295</v>
      </c>
      <c r="H716" t="s">
        <v>296</v>
      </c>
      <c r="I716" t="s">
        <v>71</v>
      </c>
      <c r="J716" t="s">
        <v>72</v>
      </c>
      <c r="K716" t="s">
        <v>73</v>
      </c>
      <c r="L716" t="s">
        <v>74</v>
      </c>
      <c r="M716" t="s">
        <v>1134</v>
      </c>
      <c r="N716" t="s">
        <v>111</v>
      </c>
      <c r="O716" t="s">
        <v>1135</v>
      </c>
      <c r="P716" t="s">
        <v>1136</v>
      </c>
      <c r="Q716" t="s">
        <v>1137</v>
      </c>
      <c r="R716" s="1">
        <v>46214</v>
      </c>
      <c r="S716" t="s">
        <v>1138</v>
      </c>
      <c r="T716" t="s">
        <v>1139</v>
      </c>
      <c r="U716" t="s">
        <v>1140</v>
      </c>
      <c r="V716" t="s">
        <v>66</v>
      </c>
      <c r="W716" t="s">
        <v>66</v>
      </c>
      <c r="X716">
        <v>12421460.699999999</v>
      </c>
      <c r="Y716">
        <v>1366360.68</v>
      </c>
      <c r="Z716">
        <v>458616</v>
      </c>
      <c r="AA716">
        <v>50447.76</v>
      </c>
      <c r="AB716">
        <v>13787821.380000001</v>
      </c>
      <c r="AC716">
        <v>24</v>
      </c>
      <c r="AD716" t="s">
        <v>82</v>
      </c>
      <c r="AE716">
        <v>24</v>
      </c>
      <c r="AF716" t="s">
        <v>470</v>
      </c>
      <c r="AG716">
        <f>IFERROR(VLOOKUP(AF716,[1]STOK!J:O,6,0),"")</f>
        <v>24</v>
      </c>
      <c r="AH716" s="2">
        <f t="shared" si="22"/>
        <v>1</v>
      </c>
      <c r="AI716" t="s">
        <v>470</v>
      </c>
      <c r="AJ716" t="s">
        <v>471</v>
      </c>
      <c r="AK716" t="s">
        <v>472</v>
      </c>
      <c r="AL716" t="s">
        <v>86</v>
      </c>
      <c r="AM716">
        <v>21534</v>
      </c>
      <c r="AN716">
        <f t="shared" si="23"/>
        <v>21210.99</v>
      </c>
      <c r="AO716" t="s">
        <v>66</v>
      </c>
      <c r="AP716">
        <v>1.5</v>
      </c>
      <c r="AQ716" t="s">
        <v>66</v>
      </c>
      <c r="AR716">
        <v>0</v>
      </c>
      <c r="AS716" t="s">
        <v>66</v>
      </c>
      <c r="AT716">
        <v>0</v>
      </c>
      <c r="AU716" t="s">
        <v>66</v>
      </c>
      <c r="AV716">
        <v>0</v>
      </c>
      <c r="AW716" t="s">
        <v>66</v>
      </c>
      <c r="AX716">
        <v>0</v>
      </c>
      <c r="AY716" t="s">
        <v>66</v>
      </c>
      <c r="AZ716">
        <v>0</v>
      </c>
      <c r="BA716" t="s">
        <v>66</v>
      </c>
      <c r="BB716">
        <v>0</v>
      </c>
      <c r="BC716">
        <v>0</v>
      </c>
      <c r="BD716">
        <v>509063.76</v>
      </c>
      <c r="BE716">
        <v>17421.95</v>
      </c>
      <c r="BF716">
        <v>0</v>
      </c>
      <c r="BG716" t="s">
        <v>87</v>
      </c>
      <c r="BH716" t="s">
        <v>66</v>
      </c>
      <c r="BI716">
        <v>0</v>
      </c>
      <c r="BJ716" t="s">
        <v>66</v>
      </c>
      <c r="BK716" t="s">
        <v>88</v>
      </c>
      <c r="BL716" t="s">
        <v>66</v>
      </c>
      <c r="BM716" t="s">
        <v>159</v>
      </c>
    </row>
    <row r="717" spans="1:65" x14ac:dyDescent="0.25">
      <c r="A717">
        <v>715</v>
      </c>
      <c r="B717" t="s">
        <v>1132</v>
      </c>
      <c r="C717" t="s">
        <v>68</v>
      </c>
      <c r="D717" s="1">
        <v>46212</v>
      </c>
      <c r="E717" t="s">
        <v>1133</v>
      </c>
      <c r="F717" t="s">
        <v>68</v>
      </c>
      <c r="G717" t="s">
        <v>295</v>
      </c>
      <c r="H717" t="s">
        <v>296</v>
      </c>
      <c r="I717" t="s">
        <v>71</v>
      </c>
      <c r="J717" t="s">
        <v>72</v>
      </c>
      <c r="K717" t="s">
        <v>73</v>
      </c>
      <c r="L717" t="s">
        <v>74</v>
      </c>
      <c r="M717" t="s">
        <v>1134</v>
      </c>
      <c r="N717" t="s">
        <v>111</v>
      </c>
      <c r="O717" t="s">
        <v>1135</v>
      </c>
      <c r="P717" t="s">
        <v>1136</v>
      </c>
      <c r="Q717" t="s">
        <v>1137</v>
      </c>
      <c r="R717" s="1">
        <v>46214</v>
      </c>
      <c r="S717" t="s">
        <v>1138</v>
      </c>
      <c r="T717" t="s">
        <v>1139</v>
      </c>
      <c r="U717" t="s">
        <v>1140</v>
      </c>
      <c r="V717" t="s">
        <v>66</v>
      </c>
      <c r="W717" t="s">
        <v>66</v>
      </c>
      <c r="X717">
        <v>12421460.699999999</v>
      </c>
      <c r="Y717">
        <v>1366360.68</v>
      </c>
      <c r="Z717">
        <v>458616</v>
      </c>
      <c r="AA717">
        <v>50447.76</v>
      </c>
      <c r="AB717">
        <v>13787821.380000001</v>
      </c>
      <c r="AC717">
        <v>24</v>
      </c>
      <c r="AD717" t="s">
        <v>82</v>
      </c>
      <c r="AE717">
        <v>24</v>
      </c>
      <c r="AF717" t="s">
        <v>467</v>
      </c>
      <c r="AG717">
        <f>IFERROR(VLOOKUP(AF717,[1]STOK!J:O,6,0),"")</f>
        <v>24</v>
      </c>
      <c r="AH717" s="2">
        <f t="shared" si="22"/>
        <v>1</v>
      </c>
      <c r="AI717" t="s">
        <v>467</v>
      </c>
      <c r="AJ717" t="s">
        <v>468</v>
      </c>
      <c r="AK717" t="s">
        <v>469</v>
      </c>
      <c r="AL717" t="s">
        <v>86</v>
      </c>
      <c r="AM717">
        <v>21534</v>
      </c>
      <c r="AN717">
        <f t="shared" si="23"/>
        <v>21210.99</v>
      </c>
      <c r="AO717" t="s">
        <v>66</v>
      </c>
      <c r="AP717">
        <v>1.5</v>
      </c>
      <c r="AQ717" t="s">
        <v>66</v>
      </c>
      <c r="AR717">
        <v>0</v>
      </c>
      <c r="AS717" t="s">
        <v>66</v>
      </c>
      <c r="AT717">
        <v>0</v>
      </c>
      <c r="AU717" t="s">
        <v>66</v>
      </c>
      <c r="AV717">
        <v>0</v>
      </c>
      <c r="AW717" t="s">
        <v>66</v>
      </c>
      <c r="AX717">
        <v>0</v>
      </c>
      <c r="AY717" t="s">
        <v>66</v>
      </c>
      <c r="AZ717">
        <v>0</v>
      </c>
      <c r="BA717" t="s">
        <v>66</v>
      </c>
      <c r="BB717">
        <v>0</v>
      </c>
      <c r="BC717">
        <v>0</v>
      </c>
      <c r="BD717">
        <v>509063.76</v>
      </c>
      <c r="BE717">
        <v>17318.07</v>
      </c>
      <c r="BF717">
        <v>0</v>
      </c>
      <c r="BG717" t="s">
        <v>87</v>
      </c>
      <c r="BH717" t="s">
        <v>66</v>
      </c>
      <c r="BI717">
        <v>0</v>
      </c>
      <c r="BJ717" t="s">
        <v>66</v>
      </c>
      <c r="BK717" t="s">
        <v>88</v>
      </c>
      <c r="BL717" t="s">
        <v>66</v>
      </c>
      <c r="BM717" t="s">
        <v>159</v>
      </c>
    </row>
    <row r="718" spans="1:65" x14ac:dyDescent="0.25">
      <c r="A718">
        <v>716</v>
      </c>
      <c r="B718" t="s">
        <v>1132</v>
      </c>
      <c r="C718" t="s">
        <v>68</v>
      </c>
      <c r="D718" s="1">
        <v>46212</v>
      </c>
      <c r="E718" t="s">
        <v>1133</v>
      </c>
      <c r="F718" t="s">
        <v>68</v>
      </c>
      <c r="G718" t="s">
        <v>295</v>
      </c>
      <c r="H718" t="s">
        <v>296</v>
      </c>
      <c r="I718" t="s">
        <v>71</v>
      </c>
      <c r="J718" t="s">
        <v>72</v>
      </c>
      <c r="K718" t="s">
        <v>73</v>
      </c>
      <c r="L718" t="s">
        <v>74</v>
      </c>
      <c r="M718" t="s">
        <v>1134</v>
      </c>
      <c r="N718" t="s">
        <v>111</v>
      </c>
      <c r="O718" t="s">
        <v>1135</v>
      </c>
      <c r="P718" t="s">
        <v>1136</v>
      </c>
      <c r="Q718" t="s">
        <v>1137</v>
      </c>
      <c r="R718" s="1">
        <v>46214</v>
      </c>
      <c r="S718" t="s">
        <v>1138</v>
      </c>
      <c r="T718" t="s">
        <v>1139</v>
      </c>
      <c r="U718" t="s">
        <v>1140</v>
      </c>
      <c r="V718" t="s">
        <v>66</v>
      </c>
      <c r="W718" t="s">
        <v>66</v>
      </c>
      <c r="X718">
        <v>12421460.699999999</v>
      </c>
      <c r="Y718">
        <v>1366360.68</v>
      </c>
      <c r="Z718">
        <v>458616</v>
      </c>
      <c r="AA718">
        <v>50447.76</v>
      </c>
      <c r="AB718">
        <v>13787821.380000001</v>
      </c>
      <c r="AC718">
        <v>24</v>
      </c>
      <c r="AD718" t="s">
        <v>82</v>
      </c>
      <c r="AE718">
        <v>24</v>
      </c>
      <c r="AF718" t="s">
        <v>281</v>
      </c>
      <c r="AG718">
        <f>IFERROR(VLOOKUP(AF718,[1]STOK!J:O,6,0),"")</f>
        <v>24</v>
      </c>
      <c r="AH718" s="2">
        <f t="shared" si="22"/>
        <v>1</v>
      </c>
      <c r="AI718" t="s">
        <v>281</v>
      </c>
      <c r="AJ718" t="s">
        <v>282</v>
      </c>
      <c r="AK718" t="s">
        <v>283</v>
      </c>
      <c r="AL718" t="s">
        <v>86</v>
      </c>
      <c r="AM718">
        <v>21534</v>
      </c>
      <c r="AN718">
        <f t="shared" si="23"/>
        <v>21210.99</v>
      </c>
      <c r="AO718" t="s">
        <v>66</v>
      </c>
      <c r="AP718">
        <v>1.5</v>
      </c>
      <c r="AQ718" t="s">
        <v>66</v>
      </c>
      <c r="AR718">
        <v>0</v>
      </c>
      <c r="AS718" t="s">
        <v>66</v>
      </c>
      <c r="AT718">
        <v>0</v>
      </c>
      <c r="AU718" t="s">
        <v>66</v>
      </c>
      <c r="AV718">
        <v>0</v>
      </c>
      <c r="AW718" t="s">
        <v>66</v>
      </c>
      <c r="AX718">
        <v>0</v>
      </c>
      <c r="AY718" t="s">
        <v>66</v>
      </c>
      <c r="AZ718">
        <v>0</v>
      </c>
      <c r="BA718" t="s">
        <v>66</v>
      </c>
      <c r="BB718">
        <v>0</v>
      </c>
      <c r="BC718">
        <v>0</v>
      </c>
      <c r="BD718">
        <v>509063.76</v>
      </c>
      <c r="BE718">
        <v>17290.14</v>
      </c>
      <c r="BF718">
        <v>0</v>
      </c>
      <c r="BG718" t="s">
        <v>87</v>
      </c>
      <c r="BH718" t="s">
        <v>66</v>
      </c>
      <c r="BI718">
        <v>0</v>
      </c>
      <c r="BJ718" t="s">
        <v>66</v>
      </c>
      <c r="BK718" t="s">
        <v>88</v>
      </c>
      <c r="BL718" t="s">
        <v>66</v>
      </c>
      <c r="BM718" t="s">
        <v>159</v>
      </c>
    </row>
    <row r="719" spans="1:65" x14ac:dyDescent="0.25">
      <c r="A719">
        <v>717</v>
      </c>
      <c r="B719" t="s">
        <v>1132</v>
      </c>
      <c r="C719" t="s">
        <v>68</v>
      </c>
      <c r="D719" s="1">
        <v>46212</v>
      </c>
      <c r="E719" t="s">
        <v>1133</v>
      </c>
      <c r="F719" t="s">
        <v>68</v>
      </c>
      <c r="G719" t="s">
        <v>295</v>
      </c>
      <c r="H719" t="s">
        <v>296</v>
      </c>
      <c r="I719" t="s">
        <v>71</v>
      </c>
      <c r="J719" t="s">
        <v>72</v>
      </c>
      <c r="K719" t="s">
        <v>73</v>
      </c>
      <c r="L719" t="s">
        <v>74</v>
      </c>
      <c r="M719" t="s">
        <v>1134</v>
      </c>
      <c r="N719" t="s">
        <v>111</v>
      </c>
      <c r="O719" t="s">
        <v>1135</v>
      </c>
      <c r="P719" t="s">
        <v>1136</v>
      </c>
      <c r="Q719" t="s">
        <v>1137</v>
      </c>
      <c r="R719" s="1">
        <v>46214</v>
      </c>
      <c r="S719" t="s">
        <v>1138</v>
      </c>
      <c r="T719" t="s">
        <v>1139</v>
      </c>
      <c r="U719" t="s">
        <v>1140</v>
      </c>
      <c r="V719" t="s">
        <v>66</v>
      </c>
      <c r="W719" t="s">
        <v>66</v>
      </c>
      <c r="X719">
        <v>12421460.699999999</v>
      </c>
      <c r="Y719">
        <v>1366360.68</v>
      </c>
      <c r="Z719">
        <v>229308</v>
      </c>
      <c r="AA719">
        <v>25223.88</v>
      </c>
      <c r="AB719">
        <v>13787821.380000001</v>
      </c>
      <c r="AC719">
        <v>12</v>
      </c>
      <c r="AD719" t="s">
        <v>82</v>
      </c>
      <c r="AE719">
        <v>12</v>
      </c>
      <c r="AF719" t="s">
        <v>284</v>
      </c>
      <c r="AG719">
        <f>IFERROR(VLOOKUP(AF719,[1]STOK!J:O,6,0),"")</f>
        <v>12</v>
      </c>
      <c r="AH719" s="2">
        <f t="shared" si="22"/>
        <v>1</v>
      </c>
      <c r="AI719" t="s">
        <v>284</v>
      </c>
      <c r="AJ719" t="s">
        <v>285</v>
      </c>
      <c r="AK719" t="s">
        <v>286</v>
      </c>
      <c r="AL719" t="s">
        <v>86</v>
      </c>
      <c r="AM719">
        <v>21534</v>
      </c>
      <c r="AN719">
        <f t="shared" si="23"/>
        <v>21210.99</v>
      </c>
      <c r="AO719" t="s">
        <v>66</v>
      </c>
      <c r="AP719">
        <v>1.5</v>
      </c>
      <c r="AQ719" t="s">
        <v>66</v>
      </c>
      <c r="AR719">
        <v>0</v>
      </c>
      <c r="AS719" t="s">
        <v>66</v>
      </c>
      <c r="AT719">
        <v>0</v>
      </c>
      <c r="AU719" t="s">
        <v>66</v>
      </c>
      <c r="AV719">
        <v>0</v>
      </c>
      <c r="AW719" t="s">
        <v>66</v>
      </c>
      <c r="AX719">
        <v>0</v>
      </c>
      <c r="AY719" t="s">
        <v>66</v>
      </c>
      <c r="AZ719">
        <v>0</v>
      </c>
      <c r="BA719" t="s">
        <v>66</v>
      </c>
      <c r="BB719">
        <v>0</v>
      </c>
      <c r="BC719">
        <v>0</v>
      </c>
      <c r="BD719">
        <v>254531.88</v>
      </c>
      <c r="BE719">
        <v>17371.36</v>
      </c>
      <c r="BF719">
        <v>0</v>
      </c>
      <c r="BG719" t="s">
        <v>87</v>
      </c>
      <c r="BH719" t="s">
        <v>66</v>
      </c>
      <c r="BI719">
        <v>0</v>
      </c>
      <c r="BJ719" t="s">
        <v>66</v>
      </c>
      <c r="BK719" t="s">
        <v>88</v>
      </c>
      <c r="BL719" t="s">
        <v>66</v>
      </c>
      <c r="BM719" t="s">
        <v>159</v>
      </c>
    </row>
    <row r="720" spans="1:65" x14ac:dyDescent="0.25">
      <c r="A720">
        <v>718</v>
      </c>
      <c r="B720" t="s">
        <v>1132</v>
      </c>
      <c r="C720" t="s">
        <v>68</v>
      </c>
      <c r="D720" s="1">
        <v>46212</v>
      </c>
      <c r="E720" t="s">
        <v>1133</v>
      </c>
      <c r="F720" t="s">
        <v>68</v>
      </c>
      <c r="G720" t="s">
        <v>295</v>
      </c>
      <c r="H720" t="s">
        <v>296</v>
      </c>
      <c r="I720" t="s">
        <v>71</v>
      </c>
      <c r="J720" t="s">
        <v>72</v>
      </c>
      <c r="K720" t="s">
        <v>73</v>
      </c>
      <c r="L720" t="s">
        <v>74</v>
      </c>
      <c r="M720" t="s">
        <v>1134</v>
      </c>
      <c r="N720" t="s">
        <v>111</v>
      </c>
      <c r="O720" t="s">
        <v>1135</v>
      </c>
      <c r="P720" t="s">
        <v>1136</v>
      </c>
      <c r="Q720" t="s">
        <v>1137</v>
      </c>
      <c r="R720" s="1">
        <v>46214</v>
      </c>
      <c r="S720" t="s">
        <v>1138</v>
      </c>
      <c r="T720" t="s">
        <v>1139</v>
      </c>
      <c r="U720" t="s">
        <v>1140</v>
      </c>
      <c r="V720" t="s">
        <v>66</v>
      </c>
      <c r="W720" t="s">
        <v>66</v>
      </c>
      <c r="X720">
        <v>12421460.699999999</v>
      </c>
      <c r="Y720">
        <v>1366360.68</v>
      </c>
      <c r="Z720">
        <v>229308</v>
      </c>
      <c r="AA720">
        <v>25223.88</v>
      </c>
      <c r="AB720">
        <v>13787821.380000001</v>
      </c>
      <c r="AC720">
        <v>12</v>
      </c>
      <c r="AD720" t="s">
        <v>82</v>
      </c>
      <c r="AE720">
        <v>12</v>
      </c>
      <c r="AF720" t="s">
        <v>287</v>
      </c>
      <c r="AG720">
        <f>IFERROR(VLOOKUP(AF720,[1]STOK!J:O,6,0),"")</f>
        <v>12</v>
      </c>
      <c r="AH720" s="2">
        <f t="shared" si="22"/>
        <v>1</v>
      </c>
      <c r="AI720" t="s">
        <v>287</v>
      </c>
      <c r="AJ720" t="s">
        <v>288</v>
      </c>
      <c r="AK720" t="s">
        <v>289</v>
      </c>
      <c r="AL720" t="s">
        <v>86</v>
      </c>
      <c r="AM720">
        <v>21534</v>
      </c>
      <c r="AN720">
        <f t="shared" si="23"/>
        <v>21210.99</v>
      </c>
      <c r="AO720" t="s">
        <v>66</v>
      </c>
      <c r="AP720">
        <v>1.5</v>
      </c>
      <c r="AQ720" t="s">
        <v>66</v>
      </c>
      <c r="AR720">
        <v>0</v>
      </c>
      <c r="AS720" t="s">
        <v>66</v>
      </c>
      <c r="AT720">
        <v>0</v>
      </c>
      <c r="AU720" t="s">
        <v>66</v>
      </c>
      <c r="AV720">
        <v>0</v>
      </c>
      <c r="AW720" t="s">
        <v>66</v>
      </c>
      <c r="AX720">
        <v>0</v>
      </c>
      <c r="AY720" t="s">
        <v>66</v>
      </c>
      <c r="AZ720">
        <v>0</v>
      </c>
      <c r="BA720" t="s">
        <v>66</v>
      </c>
      <c r="BB720">
        <v>0</v>
      </c>
      <c r="BC720">
        <v>0</v>
      </c>
      <c r="BD720">
        <v>254531.88</v>
      </c>
      <c r="BE720">
        <v>17422.02</v>
      </c>
      <c r="BF720">
        <v>0</v>
      </c>
      <c r="BG720" t="s">
        <v>87</v>
      </c>
      <c r="BH720" t="s">
        <v>66</v>
      </c>
      <c r="BI720">
        <v>0</v>
      </c>
      <c r="BJ720" t="s">
        <v>66</v>
      </c>
      <c r="BK720" t="s">
        <v>88</v>
      </c>
      <c r="BL720" t="s">
        <v>66</v>
      </c>
      <c r="BM720" t="s">
        <v>159</v>
      </c>
    </row>
    <row r="721" spans="1:65" x14ac:dyDescent="0.25">
      <c r="A721">
        <v>719</v>
      </c>
      <c r="B721" t="s">
        <v>1132</v>
      </c>
      <c r="C721" t="s">
        <v>68</v>
      </c>
      <c r="D721" s="1">
        <v>46212</v>
      </c>
      <c r="E721" t="s">
        <v>1133</v>
      </c>
      <c r="F721" t="s">
        <v>68</v>
      </c>
      <c r="G721" t="s">
        <v>295</v>
      </c>
      <c r="H721" t="s">
        <v>296</v>
      </c>
      <c r="I721" t="s">
        <v>71</v>
      </c>
      <c r="J721" t="s">
        <v>72</v>
      </c>
      <c r="K721" t="s">
        <v>73</v>
      </c>
      <c r="L721" t="s">
        <v>74</v>
      </c>
      <c r="M721" t="s">
        <v>1134</v>
      </c>
      <c r="N721" t="s">
        <v>111</v>
      </c>
      <c r="O721" t="s">
        <v>1135</v>
      </c>
      <c r="P721" t="s">
        <v>1136</v>
      </c>
      <c r="Q721" t="s">
        <v>1137</v>
      </c>
      <c r="R721" s="1">
        <v>46214</v>
      </c>
      <c r="S721" t="s">
        <v>1138</v>
      </c>
      <c r="T721" t="s">
        <v>1139</v>
      </c>
      <c r="U721" t="s">
        <v>1140</v>
      </c>
      <c r="V721" t="s">
        <v>66</v>
      </c>
      <c r="W721" t="s">
        <v>66</v>
      </c>
      <c r="X721">
        <v>12421460.699999999</v>
      </c>
      <c r="Y721">
        <v>1366360.68</v>
      </c>
      <c r="Z721">
        <v>101947.5</v>
      </c>
      <c r="AA721">
        <v>11214.23</v>
      </c>
      <c r="AB721">
        <v>13787821.380000001</v>
      </c>
      <c r="AC721">
        <v>15</v>
      </c>
      <c r="AD721" t="s">
        <v>82</v>
      </c>
      <c r="AE721">
        <v>15</v>
      </c>
      <c r="AF721" t="s">
        <v>1141</v>
      </c>
      <c r="AG721">
        <f>IFERROR(VLOOKUP(AF721,[1]STOK!J:O,6,0),"")</f>
        <v>24</v>
      </c>
      <c r="AH721" s="2">
        <f t="shared" si="22"/>
        <v>0.625</v>
      </c>
      <c r="AI721" t="s">
        <v>1141</v>
      </c>
      <c r="AJ721" t="s">
        <v>1142</v>
      </c>
      <c r="AK721" t="s">
        <v>1143</v>
      </c>
      <c r="AL721" t="s">
        <v>86</v>
      </c>
      <c r="AM721">
        <v>7659</v>
      </c>
      <c r="AN721">
        <f t="shared" si="23"/>
        <v>7544.1153333333332</v>
      </c>
      <c r="AO721" t="s">
        <v>66</v>
      </c>
      <c r="AP721">
        <v>1.5</v>
      </c>
      <c r="AQ721" t="s">
        <v>66</v>
      </c>
      <c r="AR721">
        <v>0</v>
      </c>
      <c r="AS721" t="s">
        <v>66</v>
      </c>
      <c r="AT721">
        <v>0</v>
      </c>
      <c r="AU721" t="s">
        <v>66</v>
      </c>
      <c r="AV721">
        <v>0</v>
      </c>
      <c r="AW721" t="s">
        <v>66</v>
      </c>
      <c r="AX721">
        <v>0</v>
      </c>
      <c r="AY721" t="s">
        <v>66</v>
      </c>
      <c r="AZ721">
        <v>0</v>
      </c>
      <c r="BA721" t="s">
        <v>66</v>
      </c>
      <c r="BB721">
        <v>0</v>
      </c>
      <c r="BC721">
        <v>0</v>
      </c>
      <c r="BD721">
        <v>113161.73</v>
      </c>
      <c r="BE721">
        <v>6173.04</v>
      </c>
      <c r="BF721">
        <v>0</v>
      </c>
      <c r="BG721" t="s">
        <v>87</v>
      </c>
      <c r="BH721" t="s">
        <v>66</v>
      </c>
      <c r="BI721">
        <v>0</v>
      </c>
      <c r="BJ721" t="s">
        <v>66</v>
      </c>
      <c r="BK721" t="s">
        <v>88</v>
      </c>
      <c r="BL721" t="s">
        <v>66</v>
      </c>
      <c r="BM721" t="s">
        <v>159</v>
      </c>
    </row>
    <row r="722" spans="1:65" x14ac:dyDescent="0.25">
      <c r="A722">
        <v>720</v>
      </c>
      <c r="B722" t="s">
        <v>1132</v>
      </c>
      <c r="C722" t="s">
        <v>68</v>
      </c>
      <c r="D722" s="1">
        <v>46212</v>
      </c>
      <c r="E722" t="s">
        <v>1133</v>
      </c>
      <c r="F722" t="s">
        <v>68</v>
      </c>
      <c r="G722" t="s">
        <v>295</v>
      </c>
      <c r="H722" t="s">
        <v>296</v>
      </c>
      <c r="I722" t="s">
        <v>71</v>
      </c>
      <c r="J722" t="s">
        <v>72</v>
      </c>
      <c r="K722" t="s">
        <v>73</v>
      </c>
      <c r="L722" t="s">
        <v>74</v>
      </c>
      <c r="M722" t="s">
        <v>1134</v>
      </c>
      <c r="N722" t="s">
        <v>111</v>
      </c>
      <c r="O722" t="s">
        <v>1135</v>
      </c>
      <c r="P722" t="s">
        <v>1136</v>
      </c>
      <c r="Q722" t="s">
        <v>1137</v>
      </c>
      <c r="R722" s="1">
        <v>46214</v>
      </c>
      <c r="S722" t="s">
        <v>1138</v>
      </c>
      <c r="T722" t="s">
        <v>1139</v>
      </c>
      <c r="U722" t="s">
        <v>1140</v>
      </c>
      <c r="V722" t="s">
        <v>66</v>
      </c>
      <c r="W722" t="s">
        <v>66</v>
      </c>
      <c r="X722">
        <v>12421460.699999999</v>
      </c>
      <c r="Y722">
        <v>1366360.68</v>
      </c>
      <c r="Z722">
        <v>112290</v>
      </c>
      <c r="AA722">
        <v>12351.9</v>
      </c>
      <c r="AB722">
        <v>13787821.380000001</v>
      </c>
      <c r="AC722">
        <v>12</v>
      </c>
      <c r="AD722" t="s">
        <v>82</v>
      </c>
      <c r="AE722">
        <v>12</v>
      </c>
      <c r="AF722" t="s">
        <v>1144</v>
      </c>
      <c r="AG722">
        <f>IFERROR(VLOOKUP(AF722,[1]STOK!J:O,6,0),"")</f>
        <v>24</v>
      </c>
      <c r="AH722" s="2">
        <f t="shared" si="22"/>
        <v>0.5</v>
      </c>
      <c r="AI722" t="s">
        <v>1144</v>
      </c>
      <c r="AJ722" t="s">
        <v>1145</v>
      </c>
      <c r="AK722" t="s">
        <v>1146</v>
      </c>
      <c r="AL722" t="s">
        <v>86</v>
      </c>
      <c r="AM722">
        <v>10545</v>
      </c>
      <c r="AN722">
        <f t="shared" si="23"/>
        <v>10386.824999999999</v>
      </c>
      <c r="AO722" t="s">
        <v>66</v>
      </c>
      <c r="AP722">
        <v>1.5</v>
      </c>
      <c r="AQ722" t="s">
        <v>66</v>
      </c>
      <c r="AR722">
        <v>0</v>
      </c>
      <c r="AS722" t="s">
        <v>66</v>
      </c>
      <c r="AT722">
        <v>0</v>
      </c>
      <c r="AU722" t="s">
        <v>66</v>
      </c>
      <c r="AV722">
        <v>0</v>
      </c>
      <c r="AW722" t="s">
        <v>66</v>
      </c>
      <c r="AX722">
        <v>0</v>
      </c>
      <c r="AY722" t="s">
        <v>66</v>
      </c>
      <c r="AZ722">
        <v>0</v>
      </c>
      <c r="BA722" t="s">
        <v>66</v>
      </c>
      <c r="BB722">
        <v>0</v>
      </c>
      <c r="BC722">
        <v>0</v>
      </c>
      <c r="BD722">
        <v>124641.9</v>
      </c>
      <c r="BE722">
        <v>8401.67</v>
      </c>
      <c r="BF722">
        <v>0</v>
      </c>
      <c r="BG722" t="s">
        <v>87</v>
      </c>
      <c r="BH722" t="s">
        <v>66</v>
      </c>
      <c r="BI722">
        <v>0</v>
      </c>
      <c r="BJ722" t="s">
        <v>66</v>
      </c>
      <c r="BK722" t="s">
        <v>88</v>
      </c>
      <c r="BL722" t="s">
        <v>66</v>
      </c>
      <c r="BM722" t="s">
        <v>159</v>
      </c>
    </row>
    <row r="723" spans="1:65" x14ac:dyDescent="0.25">
      <c r="A723">
        <v>721</v>
      </c>
      <c r="B723" t="s">
        <v>1132</v>
      </c>
      <c r="C723" t="s">
        <v>68</v>
      </c>
      <c r="D723" s="1">
        <v>46212</v>
      </c>
      <c r="E723" t="s">
        <v>1133</v>
      </c>
      <c r="F723" t="s">
        <v>68</v>
      </c>
      <c r="G723" t="s">
        <v>295</v>
      </c>
      <c r="H723" t="s">
        <v>296</v>
      </c>
      <c r="I723" t="s">
        <v>71</v>
      </c>
      <c r="J723" t="s">
        <v>72</v>
      </c>
      <c r="K723" t="s">
        <v>73</v>
      </c>
      <c r="L723" t="s">
        <v>74</v>
      </c>
      <c r="M723" t="s">
        <v>1134</v>
      </c>
      <c r="N723" t="s">
        <v>111</v>
      </c>
      <c r="O723" t="s">
        <v>1135</v>
      </c>
      <c r="P723" t="s">
        <v>1136</v>
      </c>
      <c r="Q723" t="s">
        <v>1137</v>
      </c>
      <c r="R723" s="1">
        <v>46214</v>
      </c>
      <c r="S723" t="s">
        <v>1138</v>
      </c>
      <c r="T723" t="s">
        <v>1139</v>
      </c>
      <c r="U723" t="s">
        <v>1140</v>
      </c>
      <c r="V723" t="s">
        <v>66</v>
      </c>
      <c r="W723" t="s">
        <v>66</v>
      </c>
      <c r="X723">
        <v>12421460.699999999</v>
      </c>
      <c r="Y723">
        <v>1366360.68</v>
      </c>
      <c r="Z723">
        <v>99288</v>
      </c>
      <c r="AA723">
        <v>10921.68</v>
      </c>
      <c r="AB723">
        <v>13787821.380000001</v>
      </c>
      <c r="AC723">
        <v>24</v>
      </c>
      <c r="AD723" t="s">
        <v>82</v>
      </c>
      <c r="AE723">
        <v>24</v>
      </c>
      <c r="AF723" t="s">
        <v>131</v>
      </c>
      <c r="AG723">
        <f>IFERROR(VLOOKUP(AF723,[1]STOK!J:O,6,0),"")</f>
        <v>24</v>
      </c>
      <c r="AH723" s="2">
        <f t="shared" si="22"/>
        <v>1</v>
      </c>
      <c r="AI723" t="s">
        <v>131</v>
      </c>
      <c r="AJ723" t="s">
        <v>132</v>
      </c>
      <c r="AK723" t="s">
        <v>133</v>
      </c>
      <c r="AL723" t="s">
        <v>86</v>
      </c>
      <c r="AM723">
        <v>4662</v>
      </c>
      <c r="AN723">
        <f t="shared" si="23"/>
        <v>4592.07</v>
      </c>
      <c r="AO723" t="s">
        <v>66</v>
      </c>
      <c r="AP723">
        <v>1.5</v>
      </c>
      <c r="AQ723" t="s">
        <v>66</v>
      </c>
      <c r="AR723">
        <v>0</v>
      </c>
      <c r="AS723" t="s">
        <v>66</v>
      </c>
      <c r="AT723">
        <v>0</v>
      </c>
      <c r="AU723" t="s">
        <v>66</v>
      </c>
      <c r="AV723">
        <v>0</v>
      </c>
      <c r="AW723" t="s">
        <v>66</v>
      </c>
      <c r="AX723">
        <v>0</v>
      </c>
      <c r="AY723" t="s">
        <v>66</v>
      </c>
      <c r="AZ723">
        <v>0</v>
      </c>
      <c r="BA723" t="s">
        <v>66</v>
      </c>
      <c r="BB723">
        <v>0</v>
      </c>
      <c r="BC723">
        <v>0</v>
      </c>
      <c r="BD723">
        <v>110209.68</v>
      </c>
      <c r="BE723">
        <v>3776.8</v>
      </c>
      <c r="BF723">
        <v>0</v>
      </c>
      <c r="BG723" t="s">
        <v>87</v>
      </c>
      <c r="BH723" t="s">
        <v>66</v>
      </c>
      <c r="BI723">
        <v>0</v>
      </c>
      <c r="BJ723" t="s">
        <v>66</v>
      </c>
      <c r="BK723" t="s">
        <v>88</v>
      </c>
      <c r="BL723" t="s">
        <v>66</v>
      </c>
      <c r="BM723" t="s">
        <v>159</v>
      </c>
    </row>
    <row r="724" spans="1:65" x14ac:dyDescent="0.25">
      <c r="A724">
        <v>722</v>
      </c>
      <c r="B724" t="s">
        <v>1132</v>
      </c>
      <c r="C724" t="s">
        <v>68</v>
      </c>
      <c r="D724" s="1">
        <v>46212</v>
      </c>
      <c r="E724" t="s">
        <v>1133</v>
      </c>
      <c r="F724" t="s">
        <v>68</v>
      </c>
      <c r="G724" t="s">
        <v>295</v>
      </c>
      <c r="H724" t="s">
        <v>296</v>
      </c>
      <c r="I724" t="s">
        <v>71</v>
      </c>
      <c r="J724" t="s">
        <v>72</v>
      </c>
      <c r="K724" t="s">
        <v>73</v>
      </c>
      <c r="L724" t="s">
        <v>74</v>
      </c>
      <c r="M724" t="s">
        <v>1134</v>
      </c>
      <c r="N724" t="s">
        <v>111</v>
      </c>
      <c r="O724" t="s">
        <v>1135</v>
      </c>
      <c r="P724" t="s">
        <v>1136</v>
      </c>
      <c r="Q724" t="s">
        <v>1137</v>
      </c>
      <c r="R724" s="1">
        <v>46214</v>
      </c>
      <c r="S724" t="s">
        <v>1138</v>
      </c>
      <c r="T724" t="s">
        <v>1139</v>
      </c>
      <c r="U724" t="s">
        <v>1140</v>
      </c>
      <c r="V724" t="s">
        <v>66</v>
      </c>
      <c r="W724" t="s">
        <v>66</v>
      </c>
      <c r="X724">
        <v>12421460.699999999</v>
      </c>
      <c r="Y724">
        <v>1366360.68</v>
      </c>
      <c r="Z724">
        <v>150114</v>
      </c>
      <c r="AA724">
        <v>16512.54</v>
      </c>
      <c r="AB724">
        <v>13787821.380000001</v>
      </c>
      <c r="AC724">
        <v>12</v>
      </c>
      <c r="AD724" t="s">
        <v>82</v>
      </c>
      <c r="AE724">
        <v>12</v>
      </c>
      <c r="AF724" t="s">
        <v>827</v>
      </c>
      <c r="AG724">
        <f>IFERROR(VLOOKUP(AF724,[1]STOK!J:O,6,0),"")</f>
        <v>12</v>
      </c>
      <c r="AH724" s="2">
        <f t="shared" si="22"/>
        <v>1</v>
      </c>
      <c r="AI724" t="s">
        <v>827</v>
      </c>
      <c r="AJ724" t="s">
        <v>828</v>
      </c>
      <c r="AK724" t="s">
        <v>829</v>
      </c>
      <c r="AL724" t="s">
        <v>86</v>
      </c>
      <c r="AM724">
        <v>14097</v>
      </c>
      <c r="AN724">
        <f t="shared" si="23"/>
        <v>13885.545</v>
      </c>
      <c r="AO724" t="s">
        <v>66</v>
      </c>
      <c r="AP724">
        <v>1.5</v>
      </c>
      <c r="AQ724" t="s">
        <v>66</v>
      </c>
      <c r="AR724">
        <v>0</v>
      </c>
      <c r="AS724" t="s">
        <v>66</v>
      </c>
      <c r="AT724">
        <v>0</v>
      </c>
      <c r="AU724" t="s">
        <v>66</v>
      </c>
      <c r="AV724">
        <v>0</v>
      </c>
      <c r="AW724" t="s">
        <v>66</v>
      </c>
      <c r="AX724">
        <v>0</v>
      </c>
      <c r="AY724" t="s">
        <v>66</v>
      </c>
      <c r="AZ724">
        <v>0</v>
      </c>
      <c r="BA724" t="s">
        <v>66</v>
      </c>
      <c r="BB724">
        <v>0</v>
      </c>
      <c r="BC724">
        <v>0</v>
      </c>
      <c r="BD724">
        <v>166626.54</v>
      </c>
      <c r="BE724">
        <v>11437.12</v>
      </c>
      <c r="BF724">
        <v>0</v>
      </c>
      <c r="BG724" t="s">
        <v>87</v>
      </c>
      <c r="BH724" t="s">
        <v>66</v>
      </c>
      <c r="BI724">
        <v>0</v>
      </c>
      <c r="BJ724" t="s">
        <v>66</v>
      </c>
      <c r="BK724" t="s">
        <v>88</v>
      </c>
      <c r="BL724" t="s">
        <v>66</v>
      </c>
      <c r="BM724" t="s">
        <v>159</v>
      </c>
    </row>
    <row r="725" spans="1:65" x14ac:dyDescent="0.25">
      <c r="A725">
        <v>723</v>
      </c>
      <c r="B725" t="s">
        <v>1132</v>
      </c>
      <c r="C725" t="s">
        <v>68</v>
      </c>
      <c r="D725" s="1">
        <v>46212</v>
      </c>
      <c r="E725" t="s">
        <v>1133</v>
      </c>
      <c r="F725" t="s">
        <v>68</v>
      </c>
      <c r="G725" t="s">
        <v>295</v>
      </c>
      <c r="H725" t="s">
        <v>296</v>
      </c>
      <c r="I725" t="s">
        <v>71</v>
      </c>
      <c r="J725" t="s">
        <v>72</v>
      </c>
      <c r="K725" t="s">
        <v>73</v>
      </c>
      <c r="L725" t="s">
        <v>74</v>
      </c>
      <c r="M725" t="s">
        <v>1134</v>
      </c>
      <c r="N725" t="s">
        <v>111</v>
      </c>
      <c r="O725" t="s">
        <v>1135</v>
      </c>
      <c r="P725" t="s">
        <v>1136</v>
      </c>
      <c r="Q725" t="s">
        <v>1137</v>
      </c>
      <c r="R725" s="1">
        <v>46214</v>
      </c>
      <c r="S725" t="s">
        <v>1138</v>
      </c>
      <c r="T725" t="s">
        <v>1139</v>
      </c>
      <c r="U725" t="s">
        <v>1140</v>
      </c>
      <c r="V725" t="s">
        <v>66</v>
      </c>
      <c r="W725" t="s">
        <v>66</v>
      </c>
      <c r="X725">
        <v>12421460.699999999</v>
      </c>
      <c r="Y725">
        <v>1366360.68</v>
      </c>
      <c r="Z725">
        <v>254130</v>
      </c>
      <c r="AA725">
        <v>27954.3</v>
      </c>
      <c r="AB725">
        <v>13787821.380000001</v>
      </c>
      <c r="AC725">
        <v>12</v>
      </c>
      <c r="AD725" t="s">
        <v>82</v>
      </c>
      <c r="AE725">
        <v>12</v>
      </c>
      <c r="AF725" t="s">
        <v>1147</v>
      </c>
      <c r="AG725">
        <f>IFERROR(VLOOKUP(AF725,[1]STOK!J:O,6,0),"")</f>
        <v>12</v>
      </c>
      <c r="AH725" s="2">
        <f t="shared" si="22"/>
        <v>1</v>
      </c>
      <c r="AI725" t="s">
        <v>1147</v>
      </c>
      <c r="AJ725" t="s">
        <v>1148</v>
      </c>
      <c r="AK725" t="s">
        <v>1149</v>
      </c>
      <c r="AL725" t="s">
        <v>86</v>
      </c>
      <c r="AM725">
        <v>23865</v>
      </c>
      <c r="AN725">
        <f t="shared" si="23"/>
        <v>23507.024999999998</v>
      </c>
      <c r="AO725" t="s">
        <v>66</v>
      </c>
      <c r="AP725">
        <v>1.5</v>
      </c>
      <c r="AQ725" t="s">
        <v>66</v>
      </c>
      <c r="AR725">
        <v>0</v>
      </c>
      <c r="AS725" t="s">
        <v>66</v>
      </c>
      <c r="AT725">
        <v>0</v>
      </c>
      <c r="AU725" t="s">
        <v>66</v>
      </c>
      <c r="AV725">
        <v>0</v>
      </c>
      <c r="AW725" t="s">
        <v>66</v>
      </c>
      <c r="AX725">
        <v>0</v>
      </c>
      <c r="AY725" t="s">
        <v>66</v>
      </c>
      <c r="AZ725">
        <v>0</v>
      </c>
      <c r="BA725" t="s">
        <v>66</v>
      </c>
      <c r="BB725">
        <v>0</v>
      </c>
      <c r="BC725">
        <v>0</v>
      </c>
      <c r="BD725">
        <v>282084.3</v>
      </c>
      <c r="BE725">
        <v>18009.73</v>
      </c>
      <c r="BF725">
        <v>0</v>
      </c>
      <c r="BG725" t="s">
        <v>87</v>
      </c>
      <c r="BH725" t="s">
        <v>66</v>
      </c>
      <c r="BI725">
        <v>0</v>
      </c>
      <c r="BJ725" t="s">
        <v>66</v>
      </c>
      <c r="BK725" t="s">
        <v>88</v>
      </c>
      <c r="BL725" t="s">
        <v>66</v>
      </c>
      <c r="BM725" t="s">
        <v>159</v>
      </c>
    </row>
    <row r="726" spans="1:65" x14ac:dyDescent="0.25">
      <c r="A726">
        <v>724</v>
      </c>
      <c r="B726" t="s">
        <v>1132</v>
      </c>
      <c r="C726" t="s">
        <v>68</v>
      </c>
      <c r="D726" s="1">
        <v>46212</v>
      </c>
      <c r="E726" t="s">
        <v>1133</v>
      </c>
      <c r="F726" t="s">
        <v>68</v>
      </c>
      <c r="G726" t="s">
        <v>295</v>
      </c>
      <c r="H726" t="s">
        <v>296</v>
      </c>
      <c r="I726" t="s">
        <v>71</v>
      </c>
      <c r="J726" t="s">
        <v>72</v>
      </c>
      <c r="K726" t="s">
        <v>73</v>
      </c>
      <c r="L726" t="s">
        <v>74</v>
      </c>
      <c r="M726" t="s">
        <v>1134</v>
      </c>
      <c r="N726" t="s">
        <v>111</v>
      </c>
      <c r="O726" t="s">
        <v>1135</v>
      </c>
      <c r="P726" t="s">
        <v>1136</v>
      </c>
      <c r="Q726" t="s">
        <v>1137</v>
      </c>
      <c r="R726" s="1">
        <v>46214</v>
      </c>
      <c r="S726" t="s">
        <v>1138</v>
      </c>
      <c r="T726" t="s">
        <v>1139</v>
      </c>
      <c r="U726" t="s">
        <v>1140</v>
      </c>
      <c r="V726" t="s">
        <v>66</v>
      </c>
      <c r="W726" t="s">
        <v>66</v>
      </c>
      <c r="X726">
        <v>12421460.699999999</v>
      </c>
      <c r="Y726">
        <v>1366360.68</v>
      </c>
      <c r="Z726">
        <v>572324.4</v>
      </c>
      <c r="AA726">
        <v>62955.68</v>
      </c>
      <c r="AB726">
        <v>13787821.380000001</v>
      </c>
      <c r="AC726">
        <v>12</v>
      </c>
      <c r="AD726" t="s">
        <v>82</v>
      </c>
      <c r="AE726">
        <v>12</v>
      </c>
      <c r="AF726" t="s">
        <v>525</v>
      </c>
      <c r="AG726">
        <f>IFERROR(VLOOKUP(AF726,[1]STOK!J:O,6,0),"")</f>
        <v>6</v>
      </c>
      <c r="AH726" s="2">
        <f t="shared" si="22"/>
        <v>2</v>
      </c>
      <c r="AI726" t="s">
        <v>525</v>
      </c>
      <c r="AJ726" t="s">
        <v>526</v>
      </c>
      <c r="AK726" t="s">
        <v>527</v>
      </c>
      <c r="AL726" t="s">
        <v>86</v>
      </c>
      <c r="AM726">
        <v>59718</v>
      </c>
      <c r="AN726">
        <f t="shared" si="23"/>
        <v>52940.006666666661</v>
      </c>
      <c r="AO726" t="s">
        <v>66</v>
      </c>
      <c r="AP726">
        <v>1.5</v>
      </c>
      <c r="AQ726" t="s">
        <v>66</v>
      </c>
      <c r="AR726">
        <v>0</v>
      </c>
      <c r="AS726" t="s">
        <v>66</v>
      </c>
      <c r="AT726">
        <v>0</v>
      </c>
      <c r="AU726" t="s">
        <v>66</v>
      </c>
      <c r="AV726">
        <v>10</v>
      </c>
      <c r="AW726" t="s">
        <v>66</v>
      </c>
      <c r="AX726">
        <v>0</v>
      </c>
      <c r="AY726" t="s">
        <v>66</v>
      </c>
      <c r="AZ726">
        <v>0</v>
      </c>
      <c r="BA726" t="s">
        <v>66</v>
      </c>
      <c r="BB726">
        <v>0</v>
      </c>
      <c r="BC726">
        <v>0</v>
      </c>
      <c r="BD726">
        <v>635280.07999999996</v>
      </c>
      <c r="BE726">
        <v>47919.33</v>
      </c>
      <c r="BF726">
        <v>0</v>
      </c>
      <c r="BG726" t="s">
        <v>87</v>
      </c>
      <c r="BH726" t="s">
        <v>66</v>
      </c>
      <c r="BI726">
        <v>0</v>
      </c>
      <c r="BJ726" t="s">
        <v>66</v>
      </c>
      <c r="BK726" t="s">
        <v>88</v>
      </c>
      <c r="BL726" t="s">
        <v>66</v>
      </c>
      <c r="BM726" t="s">
        <v>159</v>
      </c>
    </row>
    <row r="727" spans="1:65" x14ac:dyDescent="0.25">
      <c r="A727">
        <v>725</v>
      </c>
      <c r="B727" t="s">
        <v>1132</v>
      </c>
      <c r="C727" t="s">
        <v>68</v>
      </c>
      <c r="D727" s="1">
        <v>46212</v>
      </c>
      <c r="E727" t="s">
        <v>1133</v>
      </c>
      <c r="F727" t="s">
        <v>68</v>
      </c>
      <c r="G727" t="s">
        <v>295</v>
      </c>
      <c r="H727" t="s">
        <v>296</v>
      </c>
      <c r="I727" t="s">
        <v>71</v>
      </c>
      <c r="J727" t="s">
        <v>72</v>
      </c>
      <c r="K727" t="s">
        <v>73</v>
      </c>
      <c r="L727" t="s">
        <v>74</v>
      </c>
      <c r="M727" t="s">
        <v>1134</v>
      </c>
      <c r="N727" t="s">
        <v>111</v>
      </c>
      <c r="O727" t="s">
        <v>1135</v>
      </c>
      <c r="P727" t="s">
        <v>1136</v>
      </c>
      <c r="Q727" t="s">
        <v>1137</v>
      </c>
      <c r="R727" s="1">
        <v>46214</v>
      </c>
      <c r="S727" t="s">
        <v>1138</v>
      </c>
      <c r="T727" t="s">
        <v>1139</v>
      </c>
      <c r="U727" t="s">
        <v>1140</v>
      </c>
      <c r="V727" t="s">
        <v>66</v>
      </c>
      <c r="W727" t="s">
        <v>66</v>
      </c>
      <c r="X727">
        <v>12421460.699999999</v>
      </c>
      <c r="Y727">
        <v>1366360.68</v>
      </c>
      <c r="Z727">
        <v>572324.4</v>
      </c>
      <c r="AA727">
        <v>62955.68</v>
      </c>
      <c r="AB727">
        <v>13787821.380000001</v>
      </c>
      <c r="AC727">
        <v>12</v>
      </c>
      <c r="AD727" t="s">
        <v>82</v>
      </c>
      <c r="AE727">
        <v>12</v>
      </c>
      <c r="AF727" t="s">
        <v>528</v>
      </c>
      <c r="AG727">
        <f>IFERROR(VLOOKUP(AF727,[1]STOK!J:O,6,0),"")</f>
        <v>6</v>
      </c>
      <c r="AH727" s="2">
        <f t="shared" si="22"/>
        <v>2</v>
      </c>
      <c r="AI727" t="s">
        <v>528</v>
      </c>
      <c r="AJ727" t="s">
        <v>529</v>
      </c>
      <c r="AK727" t="s">
        <v>530</v>
      </c>
      <c r="AL727" t="s">
        <v>86</v>
      </c>
      <c r="AM727">
        <v>59718</v>
      </c>
      <c r="AN727">
        <f t="shared" si="23"/>
        <v>52940.006666666661</v>
      </c>
      <c r="AO727" t="s">
        <v>66</v>
      </c>
      <c r="AP727">
        <v>1.5</v>
      </c>
      <c r="AQ727" t="s">
        <v>66</v>
      </c>
      <c r="AR727">
        <v>0</v>
      </c>
      <c r="AS727" t="s">
        <v>66</v>
      </c>
      <c r="AT727">
        <v>0</v>
      </c>
      <c r="AU727" t="s">
        <v>66</v>
      </c>
      <c r="AV727">
        <v>10</v>
      </c>
      <c r="AW727" t="s">
        <v>66</v>
      </c>
      <c r="AX727">
        <v>0</v>
      </c>
      <c r="AY727" t="s">
        <v>66</v>
      </c>
      <c r="AZ727">
        <v>0</v>
      </c>
      <c r="BA727" t="s">
        <v>66</v>
      </c>
      <c r="BB727">
        <v>0</v>
      </c>
      <c r="BC727">
        <v>0</v>
      </c>
      <c r="BD727">
        <v>635280.07999999996</v>
      </c>
      <c r="BE727">
        <v>48615.15</v>
      </c>
      <c r="BF727">
        <v>0</v>
      </c>
      <c r="BG727" t="s">
        <v>87</v>
      </c>
      <c r="BH727" t="s">
        <v>66</v>
      </c>
      <c r="BI727">
        <v>0</v>
      </c>
      <c r="BJ727" t="s">
        <v>66</v>
      </c>
      <c r="BK727" t="s">
        <v>88</v>
      </c>
      <c r="BL727" t="s">
        <v>66</v>
      </c>
      <c r="BM727" t="s">
        <v>159</v>
      </c>
    </row>
    <row r="728" spans="1:65" x14ac:dyDescent="0.25">
      <c r="A728">
        <v>726</v>
      </c>
      <c r="B728" t="s">
        <v>1132</v>
      </c>
      <c r="C728" t="s">
        <v>68</v>
      </c>
      <c r="D728" s="1">
        <v>46212</v>
      </c>
      <c r="E728" t="s">
        <v>1133</v>
      </c>
      <c r="F728" t="s">
        <v>68</v>
      </c>
      <c r="G728" t="s">
        <v>295</v>
      </c>
      <c r="H728" t="s">
        <v>296</v>
      </c>
      <c r="I728" t="s">
        <v>71</v>
      </c>
      <c r="J728" t="s">
        <v>72</v>
      </c>
      <c r="K728" t="s">
        <v>73</v>
      </c>
      <c r="L728" t="s">
        <v>74</v>
      </c>
      <c r="M728" t="s">
        <v>1134</v>
      </c>
      <c r="N728" t="s">
        <v>111</v>
      </c>
      <c r="O728" t="s">
        <v>1135</v>
      </c>
      <c r="P728" t="s">
        <v>1136</v>
      </c>
      <c r="Q728" t="s">
        <v>1137</v>
      </c>
      <c r="R728" s="1">
        <v>46214</v>
      </c>
      <c r="S728" t="s">
        <v>1138</v>
      </c>
      <c r="T728" t="s">
        <v>1139</v>
      </c>
      <c r="U728" t="s">
        <v>1140</v>
      </c>
      <c r="V728" t="s">
        <v>66</v>
      </c>
      <c r="W728" t="s">
        <v>66</v>
      </c>
      <c r="X728">
        <v>12421460.699999999</v>
      </c>
      <c r="Y728">
        <v>1366360.68</v>
      </c>
      <c r="Z728">
        <v>572324.4</v>
      </c>
      <c r="AA728">
        <v>62955.68</v>
      </c>
      <c r="AB728">
        <v>13787821.380000001</v>
      </c>
      <c r="AC728">
        <v>12</v>
      </c>
      <c r="AD728" t="s">
        <v>82</v>
      </c>
      <c r="AE728">
        <v>12</v>
      </c>
      <c r="AF728" t="s">
        <v>878</v>
      </c>
      <c r="AG728">
        <f>IFERROR(VLOOKUP(AF728,[1]STOK!J:O,6,0),"")</f>
        <v>6</v>
      </c>
      <c r="AH728" s="2">
        <f t="shared" si="22"/>
        <v>2</v>
      </c>
      <c r="AI728" t="s">
        <v>878</v>
      </c>
      <c r="AJ728" t="s">
        <v>879</v>
      </c>
      <c r="AK728" t="s">
        <v>880</v>
      </c>
      <c r="AL728" t="s">
        <v>86</v>
      </c>
      <c r="AM728">
        <v>59718</v>
      </c>
      <c r="AN728">
        <f t="shared" si="23"/>
        <v>52940.006666666661</v>
      </c>
      <c r="AO728" t="s">
        <v>66</v>
      </c>
      <c r="AP728">
        <v>1.5</v>
      </c>
      <c r="AQ728" t="s">
        <v>66</v>
      </c>
      <c r="AR728">
        <v>0</v>
      </c>
      <c r="AS728" t="s">
        <v>66</v>
      </c>
      <c r="AT728">
        <v>0</v>
      </c>
      <c r="AU728" t="s">
        <v>66</v>
      </c>
      <c r="AV728">
        <v>10</v>
      </c>
      <c r="AW728" t="s">
        <v>66</v>
      </c>
      <c r="AX728">
        <v>0</v>
      </c>
      <c r="AY728" t="s">
        <v>66</v>
      </c>
      <c r="AZ728">
        <v>0</v>
      </c>
      <c r="BA728" t="s">
        <v>66</v>
      </c>
      <c r="BB728">
        <v>0</v>
      </c>
      <c r="BC728">
        <v>0</v>
      </c>
      <c r="BD728">
        <v>635280.07999999996</v>
      </c>
      <c r="BE728">
        <v>45333.57</v>
      </c>
      <c r="BF728">
        <v>0</v>
      </c>
      <c r="BG728" t="s">
        <v>87</v>
      </c>
      <c r="BH728" t="s">
        <v>66</v>
      </c>
      <c r="BI728">
        <v>0</v>
      </c>
      <c r="BJ728" t="s">
        <v>66</v>
      </c>
      <c r="BK728" t="s">
        <v>88</v>
      </c>
      <c r="BL728" t="s">
        <v>66</v>
      </c>
      <c r="BM728" t="s">
        <v>159</v>
      </c>
    </row>
    <row r="729" spans="1:65" x14ac:dyDescent="0.25">
      <c r="A729">
        <v>727</v>
      </c>
      <c r="B729" t="s">
        <v>1132</v>
      </c>
      <c r="C729" t="s">
        <v>68</v>
      </c>
      <c r="D729" s="1">
        <v>46212</v>
      </c>
      <c r="E729" t="s">
        <v>1133</v>
      </c>
      <c r="F729" t="s">
        <v>68</v>
      </c>
      <c r="G729" t="s">
        <v>295</v>
      </c>
      <c r="H729" t="s">
        <v>296</v>
      </c>
      <c r="I729" t="s">
        <v>71</v>
      </c>
      <c r="J729" t="s">
        <v>72</v>
      </c>
      <c r="K729" t="s">
        <v>73</v>
      </c>
      <c r="L729" t="s">
        <v>74</v>
      </c>
      <c r="M729" t="s">
        <v>1134</v>
      </c>
      <c r="N729" t="s">
        <v>111</v>
      </c>
      <c r="O729" t="s">
        <v>1135</v>
      </c>
      <c r="P729" t="s">
        <v>1136</v>
      </c>
      <c r="Q729" t="s">
        <v>1137</v>
      </c>
      <c r="R729" s="1">
        <v>46214</v>
      </c>
      <c r="S729" t="s">
        <v>1138</v>
      </c>
      <c r="T729" t="s">
        <v>1139</v>
      </c>
      <c r="U729" t="s">
        <v>1140</v>
      </c>
      <c r="V729" t="s">
        <v>66</v>
      </c>
      <c r="W729" t="s">
        <v>66</v>
      </c>
      <c r="X729">
        <v>12421460.699999999</v>
      </c>
      <c r="Y729">
        <v>1366360.68</v>
      </c>
      <c r="Z729">
        <v>290772</v>
      </c>
      <c r="AA729">
        <v>31984.92</v>
      </c>
      <c r="AB729">
        <v>13787821.380000001</v>
      </c>
      <c r="AC729">
        <v>12</v>
      </c>
      <c r="AD729" t="s">
        <v>82</v>
      </c>
      <c r="AE729">
        <v>12</v>
      </c>
      <c r="AF729" t="s">
        <v>534</v>
      </c>
      <c r="AG729">
        <f>IFERROR(VLOOKUP(AF729,[1]STOK!J:O,6,0),"")</f>
        <v>12</v>
      </c>
      <c r="AH729" s="2">
        <f t="shared" si="22"/>
        <v>1</v>
      </c>
      <c r="AI729" t="s">
        <v>534</v>
      </c>
      <c r="AJ729" t="s">
        <v>535</v>
      </c>
      <c r="AK729" t="s">
        <v>536</v>
      </c>
      <c r="AL729" t="s">
        <v>86</v>
      </c>
      <c r="AM729">
        <v>27306</v>
      </c>
      <c r="AN729">
        <f t="shared" si="23"/>
        <v>26896.41</v>
      </c>
      <c r="AO729" t="s">
        <v>66</v>
      </c>
      <c r="AP729">
        <v>1.5</v>
      </c>
      <c r="AQ729" t="s">
        <v>66</v>
      </c>
      <c r="AR729">
        <v>0</v>
      </c>
      <c r="AS729" t="s">
        <v>66</v>
      </c>
      <c r="AT729">
        <v>0</v>
      </c>
      <c r="AU729" t="s">
        <v>66</v>
      </c>
      <c r="AV729">
        <v>0</v>
      </c>
      <c r="AW729" t="s">
        <v>66</v>
      </c>
      <c r="AX729">
        <v>0</v>
      </c>
      <c r="AY729" t="s">
        <v>66</v>
      </c>
      <c r="AZ729">
        <v>0</v>
      </c>
      <c r="BA729" t="s">
        <v>66</v>
      </c>
      <c r="BB729">
        <v>0</v>
      </c>
      <c r="BC729">
        <v>0</v>
      </c>
      <c r="BD729">
        <v>322756.92</v>
      </c>
      <c r="BE729">
        <v>22297.43</v>
      </c>
      <c r="BF729">
        <v>0</v>
      </c>
      <c r="BG729" t="s">
        <v>87</v>
      </c>
      <c r="BH729" t="s">
        <v>66</v>
      </c>
      <c r="BI729">
        <v>0</v>
      </c>
      <c r="BJ729" t="s">
        <v>66</v>
      </c>
      <c r="BK729" t="s">
        <v>88</v>
      </c>
      <c r="BL729" t="s">
        <v>66</v>
      </c>
      <c r="BM729" t="s">
        <v>159</v>
      </c>
    </row>
    <row r="730" spans="1:65" x14ac:dyDescent="0.25">
      <c r="A730">
        <v>728</v>
      </c>
      <c r="B730" t="s">
        <v>1132</v>
      </c>
      <c r="C730" t="s">
        <v>68</v>
      </c>
      <c r="D730" s="1">
        <v>46212</v>
      </c>
      <c r="E730" t="s">
        <v>1133</v>
      </c>
      <c r="F730" t="s">
        <v>68</v>
      </c>
      <c r="G730" t="s">
        <v>295</v>
      </c>
      <c r="H730" t="s">
        <v>296</v>
      </c>
      <c r="I730" t="s">
        <v>71</v>
      </c>
      <c r="J730" t="s">
        <v>72</v>
      </c>
      <c r="K730" t="s">
        <v>73</v>
      </c>
      <c r="L730" t="s">
        <v>74</v>
      </c>
      <c r="M730" t="s">
        <v>1134</v>
      </c>
      <c r="N730" t="s">
        <v>111</v>
      </c>
      <c r="O730" t="s">
        <v>1135</v>
      </c>
      <c r="P730" t="s">
        <v>1136</v>
      </c>
      <c r="Q730" t="s">
        <v>1137</v>
      </c>
      <c r="R730" s="1">
        <v>46214</v>
      </c>
      <c r="S730" t="s">
        <v>1138</v>
      </c>
      <c r="T730" t="s">
        <v>1139</v>
      </c>
      <c r="U730" t="s">
        <v>1140</v>
      </c>
      <c r="V730" t="s">
        <v>66</v>
      </c>
      <c r="W730" t="s">
        <v>66</v>
      </c>
      <c r="X730">
        <v>12421460.699999999</v>
      </c>
      <c r="Y730">
        <v>1366360.68</v>
      </c>
      <c r="Z730">
        <v>126474</v>
      </c>
      <c r="AA730">
        <v>13912.14</v>
      </c>
      <c r="AB730">
        <v>13787821.380000001</v>
      </c>
      <c r="AC730">
        <v>12</v>
      </c>
      <c r="AD730" t="s">
        <v>82</v>
      </c>
      <c r="AE730">
        <v>12</v>
      </c>
      <c r="AF730" t="s">
        <v>578</v>
      </c>
      <c r="AG730">
        <f>IFERROR(VLOOKUP(AF730,[1]STOK!J:O,6,0),"")</f>
        <v>12</v>
      </c>
      <c r="AH730" s="2">
        <f t="shared" si="22"/>
        <v>1</v>
      </c>
      <c r="AI730" t="s">
        <v>578</v>
      </c>
      <c r="AJ730" t="s">
        <v>579</v>
      </c>
      <c r="AK730" t="s">
        <v>580</v>
      </c>
      <c r="AL730" t="s">
        <v>86</v>
      </c>
      <c r="AM730">
        <v>11877</v>
      </c>
      <c r="AN730">
        <f t="shared" si="23"/>
        <v>11698.845000000001</v>
      </c>
      <c r="AO730" t="s">
        <v>66</v>
      </c>
      <c r="AP730">
        <v>1.5</v>
      </c>
      <c r="AQ730" t="s">
        <v>66</v>
      </c>
      <c r="AR730">
        <v>0</v>
      </c>
      <c r="AS730" t="s">
        <v>66</v>
      </c>
      <c r="AT730">
        <v>0</v>
      </c>
      <c r="AU730" t="s">
        <v>66</v>
      </c>
      <c r="AV730">
        <v>0</v>
      </c>
      <c r="AW730" t="s">
        <v>66</v>
      </c>
      <c r="AX730">
        <v>0</v>
      </c>
      <c r="AY730" t="s">
        <v>66</v>
      </c>
      <c r="AZ730">
        <v>0</v>
      </c>
      <c r="BA730" t="s">
        <v>66</v>
      </c>
      <c r="BB730">
        <v>0</v>
      </c>
      <c r="BC730">
        <v>0</v>
      </c>
      <c r="BD730">
        <v>140386.14000000001</v>
      </c>
      <c r="BE730">
        <v>9646.18</v>
      </c>
      <c r="BF730">
        <v>0</v>
      </c>
      <c r="BG730" t="s">
        <v>87</v>
      </c>
      <c r="BH730" t="s">
        <v>66</v>
      </c>
      <c r="BI730">
        <v>0</v>
      </c>
      <c r="BJ730" t="s">
        <v>66</v>
      </c>
      <c r="BK730" t="s">
        <v>88</v>
      </c>
      <c r="BL730" t="s">
        <v>66</v>
      </c>
      <c r="BM730" t="s">
        <v>159</v>
      </c>
    </row>
    <row r="731" spans="1:65" x14ac:dyDescent="0.25">
      <c r="A731">
        <v>729</v>
      </c>
      <c r="B731" t="s">
        <v>1132</v>
      </c>
      <c r="C731" t="s">
        <v>68</v>
      </c>
      <c r="D731" s="1">
        <v>46212</v>
      </c>
      <c r="E731" t="s">
        <v>1133</v>
      </c>
      <c r="F731" t="s">
        <v>68</v>
      </c>
      <c r="G731" t="s">
        <v>295</v>
      </c>
      <c r="H731" t="s">
        <v>296</v>
      </c>
      <c r="I731" t="s">
        <v>71</v>
      </c>
      <c r="J731" t="s">
        <v>72</v>
      </c>
      <c r="K731" t="s">
        <v>73</v>
      </c>
      <c r="L731" t="s">
        <v>74</v>
      </c>
      <c r="M731" t="s">
        <v>1134</v>
      </c>
      <c r="N731" t="s">
        <v>111</v>
      </c>
      <c r="O731" t="s">
        <v>1135</v>
      </c>
      <c r="P731" t="s">
        <v>1136</v>
      </c>
      <c r="Q731" t="s">
        <v>1137</v>
      </c>
      <c r="R731" s="1">
        <v>46214</v>
      </c>
      <c r="S731" t="s">
        <v>1138</v>
      </c>
      <c r="T731" t="s">
        <v>1139</v>
      </c>
      <c r="U731" t="s">
        <v>1140</v>
      </c>
      <c r="V731" t="s">
        <v>66</v>
      </c>
      <c r="W731" t="s">
        <v>66</v>
      </c>
      <c r="X731">
        <v>12421460.699999999</v>
      </c>
      <c r="Y731">
        <v>1366360.68</v>
      </c>
      <c r="Z731">
        <v>126474</v>
      </c>
      <c r="AA731">
        <v>13912.14</v>
      </c>
      <c r="AB731">
        <v>13787821.380000001</v>
      </c>
      <c r="AC731">
        <v>12</v>
      </c>
      <c r="AD731" t="s">
        <v>82</v>
      </c>
      <c r="AE731">
        <v>12</v>
      </c>
      <c r="AF731" t="s">
        <v>1049</v>
      </c>
      <c r="AG731">
        <f>IFERROR(VLOOKUP(AF731,[1]STOK!J:O,6,0),"")</f>
        <v>12</v>
      </c>
      <c r="AH731" s="2">
        <f t="shared" si="22"/>
        <v>1</v>
      </c>
      <c r="AI731" t="s">
        <v>1049</v>
      </c>
      <c r="AJ731" t="s">
        <v>1050</v>
      </c>
      <c r="AK731" t="s">
        <v>1051</v>
      </c>
      <c r="AL731" t="s">
        <v>86</v>
      </c>
      <c r="AM731">
        <v>11877</v>
      </c>
      <c r="AN731">
        <f t="shared" si="23"/>
        <v>11698.845000000001</v>
      </c>
      <c r="AO731" t="s">
        <v>66</v>
      </c>
      <c r="AP731">
        <v>1.5</v>
      </c>
      <c r="AQ731" t="s">
        <v>66</v>
      </c>
      <c r="AR731">
        <v>0</v>
      </c>
      <c r="AS731" t="s">
        <v>66</v>
      </c>
      <c r="AT731">
        <v>0</v>
      </c>
      <c r="AU731" t="s">
        <v>66</v>
      </c>
      <c r="AV731">
        <v>0</v>
      </c>
      <c r="AW731" t="s">
        <v>66</v>
      </c>
      <c r="AX731">
        <v>0</v>
      </c>
      <c r="AY731" t="s">
        <v>66</v>
      </c>
      <c r="AZ731">
        <v>0</v>
      </c>
      <c r="BA731" t="s">
        <v>66</v>
      </c>
      <c r="BB731">
        <v>0</v>
      </c>
      <c r="BC731">
        <v>0</v>
      </c>
      <c r="BD731">
        <v>140386.14000000001</v>
      </c>
      <c r="BE731">
        <v>9545.4</v>
      </c>
      <c r="BF731">
        <v>0</v>
      </c>
      <c r="BG731" t="s">
        <v>87</v>
      </c>
      <c r="BH731" t="s">
        <v>66</v>
      </c>
      <c r="BI731">
        <v>0</v>
      </c>
      <c r="BJ731" t="s">
        <v>66</v>
      </c>
      <c r="BK731" t="s">
        <v>88</v>
      </c>
      <c r="BL731" t="s">
        <v>66</v>
      </c>
      <c r="BM731" t="s">
        <v>159</v>
      </c>
    </row>
    <row r="732" spans="1:65" x14ac:dyDescent="0.25">
      <c r="A732">
        <v>730</v>
      </c>
      <c r="B732" t="s">
        <v>1132</v>
      </c>
      <c r="C732" t="s">
        <v>68</v>
      </c>
      <c r="D732" s="1">
        <v>46212</v>
      </c>
      <c r="E732" t="s">
        <v>1133</v>
      </c>
      <c r="F732" t="s">
        <v>68</v>
      </c>
      <c r="G732" t="s">
        <v>295</v>
      </c>
      <c r="H732" t="s">
        <v>296</v>
      </c>
      <c r="I732" t="s">
        <v>71</v>
      </c>
      <c r="J732" t="s">
        <v>72</v>
      </c>
      <c r="K732" t="s">
        <v>73</v>
      </c>
      <c r="L732" t="s">
        <v>74</v>
      </c>
      <c r="M732" t="s">
        <v>1134</v>
      </c>
      <c r="N732" t="s">
        <v>111</v>
      </c>
      <c r="O732" t="s">
        <v>1135</v>
      </c>
      <c r="P732" t="s">
        <v>1136</v>
      </c>
      <c r="Q732" t="s">
        <v>1137</v>
      </c>
      <c r="R732" s="1">
        <v>46214</v>
      </c>
      <c r="S732" t="s">
        <v>1138</v>
      </c>
      <c r="T732" t="s">
        <v>1139</v>
      </c>
      <c r="U732" t="s">
        <v>1140</v>
      </c>
      <c r="V732" t="s">
        <v>66</v>
      </c>
      <c r="W732" t="s">
        <v>66</v>
      </c>
      <c r="X732">
        <v>12421460.699999999</v>
      </c>
      <c r="Y732">
        <v>1366360.68</v>
      </c>
      <c r="Z732">
        <v>1122900</v>
      </c>
      <c r="AA732">
        <v>123519</v>
      </c>
      <c r="AB732">
        <v>13787821.380000001</v>
      </c>
      <c r="AC732">
        <v>60</v>
      </c>
      <c r="AD732" t="s">
        <v>82</v>
      </c>
      <c r="AE732">
        <v>60</v>
      </c>
      <c r="AF732" t="s">
        <v>290</v>
      </c>
      <c r="AG732">
        <f>IFERROR(VLOOKUP(AF732,[1]STOK!J:O,6,0),"")</f>
        <v>12</v>
      </c>
      <c r="AH732" s="2">
        <f t="shared" si="22"/>
        <v>5</v>
      </c>
      <c r="AI732" t="s">
        <v>290</v>
      </c>
      <c r="AJ732" t="s">
        <v>291</v>
      </c>
      <c r="AK732" t="s">
        <v>292</v>
      </c>
      <c r="AL732" t="s">
        <v>86</v>
      </c>
      <c r="AM732">
        <v>22200</v>
      </c>
      <c r="AN732">
        <f t="shared" si="23"/>
        <v>20773.650000000001</v>
      </c>
      <c r="AO732" t="s">
        <v>66</v>
      </c>
      <c r="AP732">
        <v>1.5</v>
      </c>
      <c r="AQ732" t="s">
        <v>66</v>
      </c>
      <c r="AR732">
        <v>0</v>
      </c>
      <c r="AS732" t="s">
        <v>66</v>
      </c>
      <c r="AT732">
        <v>0</v>
      </c>
      <c r="AU732" t="s">
        <v>66</v>
      </c>
      <c r="AV732">
        <v>5</v>
      </c>
      <c r="AW732" t="s">
        <v>66</v>
      </c>
      <c r="AX732">
        <v>0</v>
      </c>
      <c r="AY732" t="s">
        <v>66</v>
      </c>
      <c r="AZ732">
        <v>0</v>
      </c>
      <c r="BA732" t="s">
        <v>66</v>
      </c>
      <c r="BB732">
        <v>0</v>
      </c>
      <c r="BC732">
        <v>0</v>
      </c>
      <c r="BD732">
        <v>1246419</v>
      </c>
      <c r="BE732">
        <v>18106.89</v>
      </c>
      <c r="BF732">
        <v>0</v>
      </c>
      <c r="BG732" t="s">
        <v>87</v>
      </c>
      <c r="BH732" t="s">
        <v>66</v>
      </c>
      <c r="BI732">
        <v>0</v>
      </c>
      <c r="BJ732" t="s">
        <v>66</v>
      </c>
      <c r="BK732" t="s">
        <v>88</v>
      </c>
      <c r="BL732" t="s">
        <v>66</v>
      </c>
      <c r="BM732" t="s">
        <v>159</v>
      </c>
    </row>
    <row r="733" spans="1:65" x14ac:dyDescent="0.25">
      <c r="A733">
        <v>731</v>
      </c>
      <c r="B733" t="s">
        <v>1132</v>
      </c>
      <c r="C733" t="s">
        <v>68</v>
      </c>
      <c r="D733" s="1">
        <v>46212</v>
      </c>
      <c r="E733" t="s">
        <v>1133</v>
      </c>
      <c r="F733" t="s">
        <v>68</v>
      </c>
      <c r="G733" t="s">
        <v>295</v>
      </c>
      <c r="H733" t="s">
        <v>296</v>
      </c>
      <c r="I733" t="s">
        <v>71</v>
      </c>
      <c r="J733" t="s">
        <v>72</v>
      </c>
      <c r="K733" t="s">
        <v>73</v>
      </c>
      <c r="L733" t="s">
        <v>74</v>
      </c>
      <c r="M733" t="s">
        <v>1134</v>
      </c>
      <c r="N733" t="s">
        <v>111</v>
      </c>
      <c r="O733" t="s">
        <v>1135</v>
      </c>
      <c r="P733" t="s">
        <v>1136</v>
      </c>
      <c r="Q733" t="s">
        <v>1137</v>
      </c>
      <c r="R733" s="1">
        <v>46214</v>
      </c>
      <c r="S733" t="s">
        <v>1138</v>
      </c>
      <c r="T733" t="s">
        <v>1139</v>
      </c>
      <c r="U733" t="s">
        <v>1140</v>
      </c>
      <c r="V733" t="s">
        <v>66</v>
      </c>
      <c r="W733" t="s">
        <v>66</v>
      </c>
      <c r="X733">
        <v>12421460.699999999</v>
      </c>
      <c r="Y733">
        <v>1366360.68</v>
      </c>
      <c r="Z733">
        <v>452706</v>
      </c>
      <c r="AA733">
        <v>49797.66</v>
      </c>
      <c r="AB733">
        <v>13787821.380000001</v>
      </c>
      <c r="AC733">
        <v>12</v>
      </c>
      <c r="AD733" t="s">
        <v>82</v>
      </c>
      <c r="AE733">
        <v>12</v>
      </c>
      <c r="AF733" t="s">
        <v>138</v>
      </c>
      <c r="AG733">
        <f>IFERROR(VLOOKUP(AF733,[1]STOK!J:O,6,0),"")</f>
        <v>6</v>
      </c>
      <c r="AH733" s="2">
        <f t="shared" si="22"/>
        <v>2</v>
      </c>
      <c r="AI733" t="s">
        <v>138</v>
      </c>
      <c r="AJ733" t="s">
        <v>139</v>
      </c>
      <c r="AK733" t="s">
        <v>140</v>
      </c>
      <c r="AL733" t="s">
        <v>86</v>
      </c>
      <c r="AM733">
        <v>42513</v>
      </c>
      <c r="AN733">
        <f t="shared" si="23"/>
        <v>41875.305</v>
      </c>
      <c r="AO733" t="s">
        <v>66</v>
      </c>
      <c r="AP733">
        <v>1.5</v>
      </c>
      <c r="AQ733" t="s">
        <v>66</v>
      </c>
      <c r="AR733">
        <v>0</v>
      </c>
      <c r="AS733" t="s">
        <v>66</v>
      </c>
      <c r="AT733">
        <v>0</v>
      </c>
      <c r="AU733" t="s">
        <v>66</v>
      </c>
      <c r="AV733">
        <v>0</v>
      </c>
      <c r="AW733" t="s">
        <v>66</v>
      </c>
      <c r="AX733">
        <v>0</v>
      </c>
      <c r="AY733" t="s">
        <v>66</v>
      </c>
      <c r="AZ733">
        <v>0</v>
      </c>
      <c r="BA733" t="s">
        <v>66</v>
      </c>
      <c r="BB733">
        <v>0</v>
      </c>
      <c r="BC733">
        <v>0</v>
      </c>
      <c r="BD733">
        <v>502503.66</v>
      </c>
      <c r="BE733">
        <v>34660.42</v>
      </c>
      <c r="BF733">
        <v>0</v>
      </c>
      <c r="BG733" t="s">
        <v>87</v>
      </c>
      <c r="BH733" t="s">
        <v>66</v>
      </c>
      <c r="BI733">
        <v>0</v>
      </c>
      <c r="BJ733" t="s">
        <v>66</v>
      </c>
      <c r="BK733" t="s">
        <v>88</v>
      </c>
      <c r="BL733" t="s">
        <v>66</v>
      </c>
      <c r="BM733" t="s">
        <v>159</v>
      </c>
    </row>
    <row r="734" spans="1:65" x14ac:dyDescent="0.25">
      <c r="A734">
        <v>732</v>
      </c>
      <c r="B734" t="s">
        <v>1132</v>
      </c>
      <c r="C734" t="s">
        <v>68</v>
      </c>
      <c r="D734" s="1">
        <v>46212</v>
      </c>
      <c r="E734" t="s">
        <v>1133</v>
      </c>
      <c r="F734" t="s">
        <v>68</v>
      </c>
      <c r="G734" t="s">
        <v>295</v>
      </c>
      <c r="H734" t="s">
        <v>296</v>
      </c>
      <c r="I734" t="s">
        <v>71</v>
      </c>
      <c r="J734" t="s">
        <v>72</v>
      </c>
      <c r="K734" t="s">
        <v>73</v>
      </c>
      <c r="L734" t="s">
        <v>74</v>
      </c>
      <c r="M734" t="s">
        <v>1134</v>
      </c>
      <c r="N734" t="s">
        <v>111</v>
      </c>
      <c r="O734" t="s">
        <v>1135</v>
      </c>
      <c r="P734" t="s">
        <v>1136</v>
      </c>
      <c r="Q734" t="s">
        <v>1137</v>
      </c>
      <c r="R734" s="1">
        <v>46214</v>
      </c>
      <c r="S734" t="s">
        <v>1138</v>
      </c>
      <c r="T734" t="s">
        <v>1139</v>
      </c>
      <c r="U734" t="s">
        <v>1140</v>
      </c>
      <c r="V734" t="s">
        <v>66</v>
      </c>
      <c r="W734" t="s">
        <v>66</v>
      </c>
      <c r="X734">
        <v>12421460.699999999</v>
      </c>
      <c r="Y734">
        <v>1366360.68</v>
      </c>
      <c r="Z734">
        <v>531900</v>
      </c>
      <c r="AA734">
        <v>58509</v>
      </c>
      <c r="AB734">
        <v>13787821.380000001</v>
      </c>
      <c r="AC734">
        <v>8</v>
      </c>
      <c r="AD734" t="s">
        <v>82</v>
      </c>
      <c r="AE734">
        <v>8</v>
      </c>
      <c r="AF734" t="s">
        <v>312</v>
      </c>
      <c r="AG734">
        <f>IFERROR(VLOOKUP(AF734,[1]STOK!J:O,6,0),"")</f>
        <v>4</v>
      </c>
      <c r="AH734" s="2">
        <f t="shared" si="22"/>
        <v>2</v>
      </c>
      <c r="AI734" t="s">
        <v>312</v>
      </c>
      <c r="AJ734" t="s">
        <v>313</v>
      </c>
      <c r="AK734" t="s">
        <v>314</v>
      </c>
      <c r="AL734" t="s">
        <v>86</v>
      </c>
      <c r="AM734">
        <v>74925</v>
      </c>
      <c r="AN734">
        <f t="shared" si="23"/>
        <v>73801.125</v>
      </c>
      <c r="AO734" t="s">
        <v>66</v>
      </c>
      <c r="AP734">
        <v>1.5</v>
      </c>
      <c r="AQ734" t="s">
        <v>66</v>
      </c>
      <c r="AR734">
        <v>0</v>
      </c>
      <c r="AS734" t="s">
        <v>66</v>
      </c>
      <c r="AT734">
        <v>0</v>
      </c>
      <c r="AU734" t="s">
        <v>66</v>
      </c>
      <c r="AV734">
        <v>0</v>
      </c>
      <c r="AW734" t="s">
        <v>66</v>
      </c>
      <c r="AX734">
        <v>0</v>
      </c>
      <c r="AY734" t="s">
        <v>66</v>
      </c>
      <c r="AZ734">
        <v>0</v>
      </c>
      <c r="BA734" t="s">
        <v>66</v>
      </c>
      <c r="BB734">
        <v>0</v>
      </c>
      <c r="BC734">
        <v>0</v>
      </c>
      <c r="BD734">
        <v>590409</v>
      </c>
      <c r="BE734">
        <v>60315.37</v>
      </c>
      <c r="BF734">
        <v>0</v>
      </c>
      <c r="BG734" t="s">
        <v>87</v>
      </c>
      <c r="BH734" t="s">
        <v>66</v>
      </c>
      <c r="BI734">
        <v>0</v>
      </c>
      <c r="BJ734" t="s">
        <v>66</v>
      </c>
      <c r="BK734" t="s">
        <v>88</v>
      </c>
      <c r="BL734" t="s">
        <v>66</v>
      </c>
      <c r="BM734" t="s">
        <v>159</v>
      </c>
    </row>
    <row r="735" spans="1:65" x14ac:dyDescent="0.25">
      <c r="A735">
        <v>733</v>
      </c>
      <c r="B735" t="s">
        <v>1132</v>
      </c>
      <c r="C735" t="s">
        <v>68</v>
      </c>
      <c r="D735" s="1">
        <v>46212</v>
      </c>
      <c r="E735" t="s">
        <v>1133</v>
      </c>
      <c r="F735" t="s">
        <v>68</v>
      </c>
      <c r="G735" t="s">
        <v>295</v>
      </c>
      <c r="H735" t="s">
        <v>296</v>
      </c>
      <c r="I735" t="s">
        <v>71</v>
      </c>
      <c r="J735" t="s">
        <v>72</v>
      </c>
      <c r="K735" t="s">
        <v>73</v>
      </c>
      <c r="L735" t="s">
        <v>74</v>
      </c>
      <c r="M735" t="s">
        <v>1134</v>
      </c>
      <c r="N735" t="s">
        <v>111</v>
      </c>
      <c r="O735" t="s">
        <v>1135</v>
      </c>
      <c r="P735" t="s">
        <v>1136</v>
      </c>
      <c r="Q735" t="s">
        <v>1137</v>
      </c>
      <c r="R735" s="1">
        <v>46214</v>
      </c>
      <c r="S735" t="s">
        <v>1138</v>
      </c>
      <c r="T735" t="s">
        <v>1139</v>
      </c>
      <c r="U735" t="s">
        <v>1140</v>
      </c>
      <c r="V735" t="s">
        <v>66</v>
      </c>
      <c r="W735" t="s">
        <v>66</v>
      </c>
      <c r="X735">
        <v>12421460.699999999</v>
      </c>
      <c r="Y735">
        <v>1366360.68</v>
      </c>
      <c r="Z735">
        <v>340416</v>
      </c>
      <c r="AA735">
        <v>37445.760000000002</v>
      </c>
      <c r="AB735">
        <v>13787821.380000001</v>
      </c>
      <c r="AC735">
        <v>24</v>
      </c>
      <c r="AD735" t="s">
        <v>82</v>
      </c>
      <c r="AE735">
        <v>24</v>
      </c>
      <c r="AF735" t="s">
        <v>141</v>
      </c>
      <c r="AG735">
        <f>IFERROR(VLOOKUP(AF735,[1]STOK!J:O,6,0),"")</f>
        <v>12</v>
      </c>
      <c r="AH735" s="2">
        <f t="shared" si="22"/>
        <v>2</v>
      </c>
      <c r="AI735" t="s">
        <v>141</v>
      </c>
      <c r="AJ735" t="s">
        <v>142</v>
      </c>
      <c r="AK735" t="s">
        <v>143</v>
      </c>
      <c r="AL735" t="s">
        <v>86</v>
      </c>
      <c r="AM735">
        <v>15984</v>
      </c>
      <c r="AN735">
        <f t="shared" si="23"/>
        <v>15744.24</v>
      </c>
      <c r="AO735" t="s">
        <v>66</v>
      </c>
      <c r="AP735">
        <v>1.5</v>
      </c>
      <c r="AQ735" t="s">
        <v>66</v>
      </c>
      <c r="AR735">
        <v>0</v>
      </c>
      <c r="AS735" t="s">
        <v>66</v>
      </c>
      <c r="AT735">
        <v>0</v>
      </c>
      <c r="AU735" t="s">
        <v>66</v>
      </c>
      <c r="AV735">
        <v>0</v>
      </c>
      <c r="AW735" t="s">
        <v>66</v>
      </c>
      <c r="AX735">
        <v>0</v>
      </c>
      <c r="AY735" t="s">
        <v>66</v>
      </c>
      <c r="AZ735">
        <v>0</v>
      </c>
      <c r="BA735" t="s">
        <v>66</v>
      </c>
      <c r="BB735">
        <v>0</v>
      </c>
      <c r="BC735">
        <v>0</v>
      </c>
      <c r="BD735">
        <v>377861.76</v>
      </c>
      <c r="BE735">
        <v>13022.88</v>
      </c>
      <c r="BF735">
        <v>0</v>
      </c>
      <c r="BG735" t="s">
        <v>87</v>
      </c>
      <c r="BH735" t="s">
        <v>66</v>
      </c>
      <c r="BI735">
        <v>0</v>
      </c>
      <c r="BJ735" t="s">
        <v>66</v>
      </c>
      <c r="BK735" t="s">
        <v>88</v>
      </c>
      <c r="BL735" t="s">
        <v>66</v>
      </c>
      <c r="BM735" t="s">
        <v>159</v>
      </c>
    </row>
    <row r="736" spans="1:65" x14ac:dyDescent="0.25">
      <c r="A736">
        <v>734</v>
      </c>
      <c r="B736" t="s">
        <v>1150</v>
      </c>
      <c r="C736" t="s">
        <v>68</v>
      </c>
      <c r="D736" s="1">
        <v>46212</v>
      </c>
      <c r="E736" t="s">
        <v>1151</v>
      </c>
      <c r="F736" t="s">
        <v>68</v>
      </c>
      <c r="G736" t="s">
        <v>295</v>
      </c>
      <c r="H736" t="s">
        <v>296</v>
      </c>
      <c r="I736" t="s">
        <v>71</v>
      </c>
      <c r="J736" t="s">
        <v>72</v>
      </c>
      <c r="K736" t="s">
        <v>73</v>
      </c>
      <c r="L736" t="s">
        <v>74</v>
      </c>
      <c r="M736" t="s">
        <v>657</v>
      </c>
      <c r="N736" t="s">
        <v>111</v>
      </c>
      <c r="O736" t="s">
        <v>658</v>
      </c>
      <c r="P736" t="s">
        <v>659</v>
      </c>
      <c r="Q736" t="s">
        <v>1152</v>
      </c>
      <c r="R736" s="1">
        <v>46214</v>
      </c>
      <c r="S736" t="s">
        <v>661</v>
      </c>
      <c r="T736" t="s">
        <v>662</v>
      </c>
      <c r="U736" t="s">
        <v>663</v>
      </c>
      <c r="V736" t="s">
        <v>66</v>
      </c>
      <c r="W736" t="s">
        <v>66</v>
      </c>
      <c r="X736">
        <v>880800</v>
      </c>
      <c r="Y736">
        <v>96888</v>
      </c>
      <c r="Z736">
        <v>7500</v>
      </c>
      <c r="AA736">
        <v>825</v>
      </c>
      <c r="AB736">
        <v>977688</v>
      </c>
      <c r="AC736">
        <v>3</v>
      </c>
      <c r="AD736" t="s">
        <v>82</v>
      </c>
      <c r="AE736">
        <v>3</v>
      </c>
      <c r="AF736" t="s">
        <v>163</v>
      </c>
      <c r="AG736">
        <f>IFERROR(VLOOKUP(AF736,[1]STOK!J:O,6,0),"")</f>
        <v>72</v>
      </c>
      <c r="AH736" s="2">
        <f t="shared" si="22"/>
        <v>4.1666666666666664E-2</v>
      </c>
      <c r="AI736" t="s">
        <v>163</v>
      </c>
      <c r="AJ736" t="s">
        <v>164</v>
      </c>
      <c r="AK736" t="s">
        <v>165</v>
      </c>
      <c r="AL736" t="s">
        <v>86</v>
      </c>
      <c r="AM736">
        <v>2775</v>
      </c>
      <c r="AN736">
        <f t="shared" si="23"/>
        <v>2775</v>
      </c>
      <c r="AO736" t="s">
        <v>66</v>
      </c>
      <c r="AP736">
        <v>0</v>
      </c>
      <c r="AQ736" t="s">
        <v>66</v>
      </c>
      <c r="AR736">
        <v>0</v>
      </c>
      <c r="AS736" t="s">
        <v>66</v>
      </c>
      <c r="AT736">
        <v>0</v>
      </c>
      <c r="AU736" t="s">
        <v>66</v>
      </c>
      <c r="AV736">
        <v>0</v>
      </c>
      <c r="AW736" t="s">
        <v>66</v>
      </c>
      <c r="AX736">
        <v>0</v>
      </c>
      <c r="AY736" t="s">
        <v>66</v>
      </c>
      <c r="AZ736">
        <v>0</v>
      </c>
      <c r="BA736" t="s">
        <v>66</v>
      </c>
      <c r="BB736">
        <v>0</v>
      </c>
      <c r="BC736">
        <v>0</v>
      </c>
      <c r="BD736">
        <v>8325</v>
      </c>
      <c r="BE736">
        <v>2246.5300000000002</v>
      </c>
      <c r="BF736">
        <v>0</v>
      </c>
      <c r="BG736" t="s">
        <v>87</v>
      </c>
      <c r="BH736" t="s">
        <v>66</v>
      </c>
      <c r="BI736">
        <v>0</v>
      </c>
      <c r="BJ736" t="s">
        <v>66</v>
      </c>
      <c r="BK736" t="s">
        <v>88</v>
      </c>
      <c r="BL736" t="s">
        <v>66</v>
      </c>
      <c r="BM736" t="s">
        <v>159</v>
      </c>
    </row>
    <row r="737" spans="1:65" x14ac:dyDescent="0.25">
      <c r="A737">
        <v>735</v>
      </c>
      <c r="B737" t="s">
        <v>1150</v>
      </c>
      <c r="C737" t="s">
        <v>68</v>
      </c>
      <c r="D737" s="1">
        <v>46212</v>
      </c>
      <c r="E737" t="s">
        <v>1151</v>
      </c>
      <c r="F737" t="s">
        <v>68</v>
      </c>
      <c r="G737" t="s">
        <v>295</v>
      </c>
      <c r="H737" t="s">
        <v>296</v>
      </c>
      <c r="I737" t="s">
        <v>71</v>
      </c>
      <c r="J737" t="s">
        <v>72</v>
      </c>
      <c r="K737" t="s">
        <v>73</v>
      </c>
      <c r="L737" t="s">
        <v>74</v>
      </c>
      <c r="M737" t="s">
        <v>657</v>
      </c>
      <c r="N737" t="s">
        <v>111</v>
      </c>
      <c r="O737" t="s">
        <v>658</v>
      </c>
      <c r="P737" t="s">
        <v>659</v>
      </c>
      <c r="Q737" t="s">
        <v>1152</v>
      </c>
      <c r="R737" s="1">
        <v>46214</v>
      </c>
      <c r="S737" t="s">
        <v>661</v>
      </c>
      <c r="T737" t="s">
        <v>662</v>
      </c>
      <c r="U737" t="s">
        <v>663</v>
      </c>
      <c r="V737" t="s">
        <v>66</v>
      </c>
      <c r="W737" t="s">
        <v>66</v>
      </c>
      <c r="X737">
        <v>880800</v>
      </c>
      <c r="Y737">
        <v>96888</v>
      </c>
      <c r="Z737">
        <v>7500</v>
      </c>
      <c r="AA737">
        <v>825</v>
      </c>
      <c r="AB737">
        <v>977688</v>
      </c>
      <c r="AC737">
        <v>3</v>
      </c>
      <c r="AD737" t="s">
        <v>82</v>
      </c>
      <c r="AE737">
        <v>3</v>
      </c>
      <c r="AF737" t="s">
        <v>392</v>
      </c>
      <c r="AG737">
        <f>IFERROR(VLOOKUP(AF737,[1]STOK!J:O,6,0),"")</f>
        <v>72</v>
      </c>
      <c r="AH737" s="2">
        <f t="shared" si="22"/>
        <v>4.1666666666666664E-2</v>
      </c>
      <c r="AI737" t="s">
        <v>392</v>
      </c>
      <c r="AJ737" t="s">
        <v>393</v>
      </c>
      <c r="AK737" t="s">
        <v>394</v>
      </c>
      <c r="AL737" t="s">
        <v>86</v>
      </c>
      <c r="AM737">
        <v>2775</v>
      </c>
      <c r="AN737">
        <f t="shared" si="23"/>
        <v>2775</v>
      </c>
      <c r="AO737" t="s">
        <v>66</v>
      </c>
      <c r="AP737">
        <v>0</v>
      </c>
      <c r="AQ737" t="s">
        <v>66</v>
      </c>
      <c r="AR737">
        <v>0</v>
      </c>
      <c r="AS737" t="s">
        <v>66</v>
      </c>
      <c r="AT737">
        <v>0</v>
      </c>
      <c r="AU737" t="s">
        <v>66</v>
      </c>
      <c r="AV737">
        <v>0</v>
      </c>
      <c r="AW737" t="s">
        <v>66</v>
      </c>
      <c r="AX737">
        <v>0</v>
      </c>
      <c r="AY737" t="s">
        <v>66</v>
      </c>
      <c r="AZ737">
        <v>0</v>
      </c>
      <c r="BA737" t="s">
        <v>66</v>
      </c>
      <c r="BB737">
        <v>0</v>
      </c>
      <c r="BC737">
        <v>0</v>
      </c>
      <c r="BD737">
        <v>8325</v>
      </c>
      <c r="BE737">
        <v>2233.48</v>
      </c>
      <c r="BF737">
        <v>0</v>
      </c>
      <c r="BG737" t="s">
        <v>87</v>
      </c>
      <c r="BH737" t="s">
        <v>66</v>
      </c>
      <c r="BI737">
        <v>0</v>
      </c>
      <c r="BJ737" t="s">
        <v>66</v>
      </c>
      <c r="BK737" t="s">
        <v>88</v>
      </c>
      <c r="BL737" t="s">
        <v>66</v>
      </c>
      <c r="BM737" t="s">
        <v>159</v>
      </c>
    </row>
    <row r="738" spans="1:65" x14ac:dyDescent="0.25">
      <c r="A738">
        <v>736</v>
      </c>
      <c r="B738" t="s">
        <v>1150</v>
      </c>
      <c r="C738" t="s">
        <v>68</v>
      </c>
      <c r="D738" s="1">
        <v>46212</v>
      </c>
      <c r="E738" t="s">
        <v>1151</v>
      </c>
      <c r="F738" t="s">
        <v>68</v>
      </c>
      <c r="G738" t="s">
        <v>295</v>
      </c>
      <c r="H738" t="s">
        <v>296</v>
      </c>
      <c r="I738" t="s">
        <v>71</v>
      </c>
      <c r="J738" t="s">
        <v>72</v>
      </c>
      <c r="K738" t="s">
        <v>73</v>
      </c>
      <c r="L738" t="s">
        <v>74</v>
      </c>
      <c r="M738" t="s">
        <v>657</v>
      </c>
      <c r="N738" t="s">
        <v>111</v>
      </c>
      <c r="O738" t="s">
        <v>658</v>
      </c>
      <c r="P738" t="s">
        <v>659</v>
      </c>
      <c r="Q738" t="s">
        <v>1152</v>
      </c>
      <c r="R738" s="1">
        <v>46214</v>
      </c>
      <c r="S738" t="s">
        <v>661</v>
      </c>
      <c r="T738" t="s">
        <v>662</v>
      </c>
      <c r="U738" t="s">
        <v>663</v>
      </c>
      <c r="V738" t="s">
        <v>66</v>
      </c>
      <c r="W738" t="s">
        <v>66</v>
      </c>
      <c r="X738">
        <v>880800</v>
      </c>
      <c r="Y738">
        <v>96888</v>
      </c>
      <c r="Z738">
        <v>22200</v>
      </c>
      <c r="AA738">
        <v>2442</v>
      </c>
      <c r="AB738">
        <v>977688</v>
      </c>
      <c r="AC738">
        <v>3</v>
      </c>
      <c r="AD738" t="s">
        <v>82</v>
      </c>
      <c r="AE738">
        <v>3</v>
      </c>
      <c r="AF738" t="s">
        <v>83</v>
      </c>
      <c r="AG738">
        <f>IFERROR(VLOOKUP(AF738,[1]STOK!J:O,6,0),"")</f>
        <v>24</v>
      </c>
      <c r="AH738" s="2">
        <f t="shared" si="22"/>
        <v>0.125</v>
      </c>
      <c r="AI738" t="s">
        <v>83</v>
      </c>
      <c r="AJ738" t="s">
        <v>84</v>
      </c>
      <c r="AK738" t="s">
        <v>85</v>
      </c>
      <c r="AL738" t="s">
        <v>86</v>
      </c>
      <c r="AM738">
        <v>8214</v>
      </c>
      <c r="AN738">
        <f t="shared" si="23"/>
        <v>8214</v>
      </c>
      <c r="AO738" t="s">
        <v>66</v>
      </c>
      <c r="AP738">
        <v>0</v>
      </c>
      <c r="AQ738" t="s">
        <v>66</v>
      </c>
      <c r="AR738">
        <v>0</v>
      </c>
      <c r="AS738" t="s">
        <v>66</v>
      </c>
      <c r="AT738">
        <v>0</v>
      </c>
      <c r="AU738" t="s">
        <v>66</v>
      </c>
      <c r="AV738">
        <v>0</v>
      </c>
      <c r="AW738" t="s">
        <v>66</v>
      </c>
      <c r="AX738">
        <v>0</v>
      </c>
      <c r="AY738" t="s">
        <v>66</v>
      </c>
      <c r="AZ738">
        <v>0</v>
      </c>
      <c r="BA738" t="s">
        <v>66</v>
      </c>
      <c r="BB738">
        <v>0</v>
      </c>
      <c r="BC738">
        <v>0</v>
      </c>
      <c r="BD738">
        <v>24642</v>
      </c>
      <c r="BE738">
        <v>6700.17</v>
      </c>
      <c r="BF738">
        <v>0</v>
      </c>
      <c r="BG738" t="s">
        <v>87</v>
      </c>
      <c r="BH738" t="s">
        <v>66</v>
      </c>
      <c r="BI738">
        <v>0</v>
      </c>
      <c r="BJ738" t="s">
        <v>66</v>
      </c>
      <c r="BK738" t="s">
        <v>88</v>
      </c>
      <c r="BL738" t="s">
        <v>66</v>
      </c>
      <c r="BM738" t="s">
        <v>159</v>
      </c>
    </row>
    <row r="739" spans="1:65" x14ac:dyDescent="0.25">
      <c r="A739">
        <v>737</v>
      </c>
      <c r="B739" t="s">
        <v>1150</v>
      </c>
      <c r="C739" t="s">
        <v>68</v>
      </c>
      <c r="D739" s="1">
        <v>46212</v>
      </c>
      <c r="E739" t="s">
        <v>1151</v>
      </c>
      <c r="F739" t="s">
        <v>68</v>
      </c>
      <c r="G739" t="s">
        <v>295</v>
      </c>
      <c r="H739" t="s">
        <v>296</v>
      </c>
      <c r="I739" t="s">
        <v>71</v>
      </c>
      <c r="J739" t="s">
        <v>72</v>
      </c>
      <c r="K739" t="s">
        <v>73</v>
      </c>
      <c r="L739" t="s">
        <v>74</v>
      </c>
      <c r="M739" t="s">
        <v>657</v>
      </c>
      <c r="N739" t="s">
        <v>111</v>
      </c>
      <c r="O739" t="s">
        <v>658</v>
      </c>
      <c r="P739" t="s">
        <v>659</v>
      </c>
      <c r="Q739" t="s">
        <v>1152</v>
      </c>
      <c r="R739" s="1">
        <v>46214</v>
      </c>
      <c r="S739" t="s">
        <v>661</v>
      </c>
      <c r="T739" t="s">
        <v>662</v>
      </c>
      <c r="U739" t="s">
        <v>663</v>
      </c>
      <c r="V739" t="s">
        <v>66</v>
      </c>
      <c r="W739" t="s">
        <v>66</v>
      </c>
      <c r="X739">
        <v>880800</v>
      </c>
      <c r="Y739">
        <v>96888</v>
      </c>
      <c r="Z739">
        <v>99000</v>
      </c>
      <c r="AA739">
        <v>10890</v>
      </c>
      <c r="AB739">
        <v>977688</v>
      </c>
      <c r="AC739">
        <v>6</v>
      </c>
      <c r="AD739" t="s">
        <v>82</v>
      </c>
      <c r="AE739">
        <v>6</v>
      </c>
      <c r="AF739" t="s">
        <v>128</v>
      </c>
      <c r="AG739">
        <f>IFERROR(VLOOKUP(AF739,[1]STOK!J:O,6,0),"")</f>
        <v>24</v>
      </c>
      <c r="AH739" s="2">
        <f t="shared" si="22"/>
        <v>0.25</v>
      </c>
      <c r="AI739" t="s">
        <v>128</v>
      </c>
      <c r="AJ739" t="s">
        <v>129</v>
      </c>
      <c r="AK739" t="s">
        <v>130</v>
      </c>
      <c r="AL739" t="s">
        <v>86</v>
      </c>
      <c r="AM739">
        <v>18315</v>
      </c>
      <c r="AN739">
        <f t="shared" si="23"/>
        <v>18315</v>
      </c>
      <c r="AO739" t="s">
        <v>66</v>
      </c>
      <c r="AP739">
        <v>0</v>
      </c>
      <c r="AQ739" t="s">
        <v>66</v>
      </c>
      <c r="AR739">
        <v>0</v>
      </c>
      <c r="AS739" t="s">
        <v>66</v>
      </c>
      <c r="AT739">
        <v>0</v>
      </c>
      <c r="AU739" t="s">
        <v>66</v>
      </c>
      <c r="AV739">
        <v>0</v>
      </c>
      <c r="AW739" t="s">
        <v>66</v>
      </c>
      <c r="AX739">
        <v>0</v>
      </c>
      <c r="AY739" t="s">
        <v>66</v>
      </c>
      <c r="AZ739">
        <v>0</v>
      </c>
      <c r="BA739" t="s">
        <v>66</v>
      </c>
      <c r="BB739">
        <v>0</v>
      </c>
      <c r="BC739">
        <v>0</v>
      </c>
      <c r="BD739">
        <v>109890</v>
      </c>
      <c r="BE739">
        <v>14919.17</v>
      </c>
      <c r="BF739">
        <v>0</v>
      </c>
      <c r="BG739" t="s">
        <v>87</v>
      </c>
      <c r="BH739" t="s">
        <v>66</v>
      </c>
      <c r="BI739">
        <v>0</v>
      </c>
      <c r="BJ739" t="s">
        <v>66</v>
      </c>
      <c r="BK739" t="s">
        <v>88</v>
      </c>
      <c r="BL739" t="s">
        <v>66</v>
      </c>
      <c r="BM739" t="s">
        <v>159</v>
      </c>
    </row>
    <row r="740" spans="1:65" x14ac:dyDescent="0.25">
      <c r="A740">
        <v>738</v>
      </c>
      <c r="B740" t="s">
        <v>1150</v>
      </c>
      <c r="C740" t="s">
        <v>68</v>
      </c>
      <c r="D740" s="1">
        <v>46212</v>
      </c>
      <c r="E740" t="s">
        <v>1151</v>
      </c>
      <c r="F740" t="s">
        <v>68</v>
      </c>
      <c r="G740" t="s">
        <v>295</v>
      </c>
      <c r="H740" t="s">
        <v>296</v>
      </c>
      <c r="I740" t="s">
        <v>71</v>
      </c>
      <c r="J740" t="s">
        <v>72</v>
      </c>
      <c r="K740" t="s">
        <v>73</v>
      </c>
      <c r="L740" t="s">
        <v>74</v>
      </c>
      <c r="M740" t="s">
        <v>657</v>
      </c>
      <c r="N740" t="s">
        <v>111</v>
      </c>
      <c r="O740" t="s">
        <v>658</v>
      </c>
      <c r="P740" t="s">
        <v>659</v>
      </c>
      <c r="Q740" t="s">
        <v>1152</v>
      </c>
      <c r="R740" s="1">
        <v>46214</v>
      </c>
      <c r="S740" t="s">
        <v>661</v>
      </c>
      <c r="T740" t="s">
        <v>662</v>
      </c>
      <c r="U740" t="s">
        <v>663</v>
      </c>
      <c r="V740" t="s">
        <v>66</v>
      </c>
      <c r="W740" t="s">
        <v>66</v>
      </c>
      <c r="X740">
        <v>880800</v>
      </c>
      <c r="Y740">
        <v>96888</v>
      </c>
      <c r="Z740">
        <v>99000</v>
      </c>
      <c r="AA740">
        <v>10890</v>
      </c>
      <c r="AB740">
        <v>977688</v>
      </c>
      <c r="AC740">
        <v>6</v>
      </c>
      <c r="AD740" t="s">
        <v>82</v>
      </c>
      <c r="AE740">
        <v>6</v>
      </c>
      <c r="AF740" t="s">
        <v>99</v>
      </c>
      <c r="AG740">
        <f>IFERROR(VLOOKUP(AF740,[1]STOK!J:O,6,0),"")</f>
        <v>24</v>
      </c>
      <c r="AH740" s="2">
        <f t="shared" si="22"/>
        <v>0.25</v>
      </c>
      <c r="AI740" t="s">
        <v>99</v>
      </c>
      <c r="AJ740" t="s">
        <v>100</v>
      </c>
      <c r="AK740" t="s">
        <v>101</v>
      </c>
      <c r="AL740" t="s">
        <v>86</v>
      </c>
      <c r="AM740">
        <v>18315</v>
      </c>
      <c r="AN740">
        <f t="shared" si="23"/>
        <v>18315</v>
      </c>
      <c r="AO740" t="s">
        <v>66</v>
      </c>
      <c r="AP740">
        <v>0</v>
      </c>
      <c r="AQ740" t="s">
        <v>66</v>
      </c>
      <c r="AR740">
        <v>0</v>
      </c>
      <c r="AS740" t="s">
        <v>66</v>
      </c>
      <c r="AT740">
        <v>0</v>
      </c>
      <c r="AU740" t="s">
        <v>66</v>
      </c>
      <c r="AV740">
        <v>0</v>
      </c>
      <c r="AW740" t="s">
        <v>66</v>
      </c>
      <c r="AX740">
        <v>0</v>
      </c>
      <c r="AY740" t="s">
        <v>66</v>
      </c>
      <c r="AZ740">
        <v>0</v>
      </c>
      <c r="BA740" t="s">
        <v>66</v>
      </c>
      <c r="BB740">
        <v>0</v>
      </c>
      <c r="BC740">
        <v>0</v>
      </c>
      <c r="BD740">
        <v>109890</v>
      </c>
      <c r="BE740">
        <v>14918.57</v>
      </c>
      <c r="BF740">
        <v>0</v>
      </c>
      <c r="BG740" t="s">
        <v>87</v>
      </c>
      <c r="BH740" t="s">
        <v>66</v>
      </c>
      <c r="BI740">
        <v>0</v>
      </c>
      <c r="BJ740" t="s">
        <v>66</v>
      </c>
      <c r="BK740" t="s">
        <v>88</v>
      </c>
      <c r="BL740" t="s">
        <v>66</v>
      </c>
      <c r="BM740" t="s">
        <v>159</v>
      </c>
    </row>
    <row r="741" spans="1:65" x14ac:dyDescent="0.25">
      <c r="A741">
        <v>739</v>
      </c>
      <c r="B741" t="s">
        <v>1150</v>
      </c>
      <c r="C741" t="s">
        <v>68</v>
      </c>
      <c r="D741" s="1">
        <v>46212</v>
      </c>
      <c r="E741" t="s">
        <v>1151</v>
      </c>
      <c r="F741" t="s">
        <v>68</v>
      </c>
      <c r="G741" t="s">
        <v>295</v>
      </c>
      <c r="H741" t="s">
        <v>296</v>
      </c>
      <c r="I741" t="s">
        <v>71</v>
      </c>
      <c r="J741" t="s">
        <v>72</v>
      </c>
      <c r="K741" t="s">
        <v>73</v>
      </c>
      <c r="L741" t="s">
        <v>74</v>
      </c>
      <c r="M741" t="s">
        <v>657</v>
      </c>
      <c r="N741" t="s">
        <v>111</v>
      </c>
      <c r="O741" t="s">
        <v>658</v>
      </c>
      <c r="P741" t="s">
        <v>659</v>
      </c>
      <c r="Q741" t="s">
        <v>1152</v>
      </c>
      <c r="R741" s="1">
        <v>46214</v>
      </c>
      <c r="S741" t="s">
        <v>661</v>
      </c>
      <c r="T741" t="s">
        <v>662</v>
      </c>
      <c r="U741" t="s">
        <v>663</v>
      </c>
      <c r="V741" t="s">
        <v>66</v>
      </c>
      <c r="W741" t="s">
        <v>66</v>
      </c>
      <c r="X741">
        <v>880800</v>
      </c>
      <c r="Y741">
        <v>96888</v>
      </c>
      <c r="Z741">
        <v>232800</v>
      </c>
      <c r="AA741">
        <v>25608</v>
      </c>
      <c r="AB741">
        <v>977688</v>
      </c>
      <c r="AC741">
        <v>1</v>
      </c>
      <c r="AD741" t="s">
        <v>134</v>
      </c>
      <c r="AE741">
        <v>12</v>
      </c>
      <c r="AF741" t="s">
        <v>287</v>
      </c>
      <c r="AG741">
        <f>IFERROR(VLOOKUP(AF741,[1]STOK!J:O,6,0),"")</f>
        <v>12</v>
      </c>
      <c r="AH741" s="2">
        <f t="shared" si="22"/>
        <v>1</v>
      </c>
      <c r="AI741" t="s">
        <v>287</v>
      </c>
      <c r="AJ741" t="s">
        <v>288</v>
      </c>
      <c r="AK741" t="s">
        <v>289</v>
      </c>
      <c r="AL741" t="s">
        <v>86</v>
      </c>
      <c r="AM741">
        <v>258408</v>
      </c>
      <c r="AN741">
        <f t="shared" si="23"/>
        <v>258408</v>
      </c>
      <c r="AO741" t="s">
        <v>66</v>
      </c>
      <c r="AP741">
        <v>0</v>
      </c>
      <c r="AQ741" t="s">
        <v>66</v>
      </c>
      <c r="AR741">
        <v>0</v>
      </c>
      <c r="AS741" t="s">
        <v>66</v>
      </c>
      <c r="AT741">
        <v>0</v>
      </c>
      <c r="AU741" t="s">
        <v>66</v>
      </c>
      <c r="AV741">
        <v>0</v>
      </c>
      <c r="AW741" t="s">
        <v>66</v>
      </c>
      <c r="AX741">
        <v>0</v>
      </c>
      <c r="AY741" t="s">
        <v>66</v>
      </c>
      <c r="AZ741">
        <v>0</v>
      </c>
      <c r="BA741" t="s">
        <v>66</v>
      </c>
      <c r="BB741">
        <v>0</v>
      </c>
      <c r="BC741">
        <v>0</v>
      </c>
      <c r="BD741">
        <v>258408</v>
      </c>
      <c r="BE741">
        <v>17422.02</v>
      </c>
      <c r="BF741">
        <v>0</v>
      </c>
      <c r="BG741" t="s">
        <v>87</v>
      </c>
      <c r="BH741" t="s">
        <v>66</v>
      </c>
      <c r="BI741">
        <v>0</v>
      </c>
      <c r="BJ741" t="s">
        <v>66</v>
      </c>
      <c r="BK741" t="s">
        <v>88</v>
      </c>
      <c r="BL741" t="s">
        <v>66</v>
      </c>
      <c r="BM741" t="s">
        <v>159</v>
      </c>
    </row>
    <row r="742" spans="1:65" x14ac:dyDescent="0.25">
      <c r="A742">
        <v>740</v>
      </c>
      <c r="B742" t="s">
        <v>1150</v>
      </c>
      <c r="C742" t="s">
        <v>68</v>
      </c>
      <c r="D742" s="1">
        <v>46212</v>
      </c>
      <c r="E742" t="s">
        <v>1151</v>
      </c>
      <c r="F742" t="s">
        <v>68</v>
      </c>
      <c r="G742" t="s">
        <v>295</v>
      </c>
      <c r="H742" t="s">
        <v>296</v>
      </c>
      <c r="I742" t="s">
        <v>71</v>
      </c>
      <c r="J742" t="s">
        <v>72</v>
      </c>
      <c r="K742" t="s">
        <v>73</v>
      </c>
      <c r="L742" t="s">
        <v>74</v>
      </c>
      <c r="M742" t="s">
        <v>657</v>
      </c>
      <c r="N742" t="s">
        <v>111</v>
      </c>
      <c r="O742" t="s">
        <v>658</v>
      </c>
      <c r="P742" t="s">
        <v>659</v>
      </c>
      <c r="Q742" t="s">
        <v>1152</v>
      </c>
      <c r="R742" s="1">
        <v>46214</v>
      </c>
      <c r="S742" t="s">
        <v>661</v>
      </c>
      <c r="T742" t="s">
        <v>662</v>
      </c>
      <c r="U742" t="s">
        <v>663</v>
      </c>
      <c r="V742" t="s">
        <v>66</v>
      </c>
      <c r="W742" t="s">
        <v>66</v>
      </c>
      <c r="X742">
        <v>880800</v>
      </c>
      <c r="Y742">
        <v>96888</v>
      </c>
      <c r="Z742">
        <v>240000</v>
      </c>
      <c r="AA742">
        <v>26400</v>
      </c>
      <c r="AB742">
        <v>977688</v>
      </c>
      <c r="AC742">
        <v>1</v>
      </c>
      <c r="AD742" t="s">
        <v>134</v>
      </c>
      <c r="AE742">
        <v>12</v>
      </c>
      <c r="AF742" t="s">
        <v>102</v>
      </c>
      <c r="AG742">
        <f>IFERROR(VLOOKUP(AF742,[1]STOK!J:O,6,0),"")</f>
        <v>12</v>
      </c>
      <c r="AH742" s="2">
        <f t="shared" si="22"/>
        <v>1</v>
      </c>
      <c r="AI742" t="s">
        <v>102</v>
      </c>
      <c r="AJ742" t="s">
        <v>103</v>
      </c>
      <c r="AK742" t="s">
        <v>104</v>
      </c>
      <c r="AL742" t="s">
        <v>86</v>
      </c>
      <c r="AM742">
        <v>266400</v>
      </c>
      <c r="AN742">
        <f t="shared" si="23"/>
        <v>266400</v>
      </c>
      <c r="AO742" t="s">
        <v>66</v>
      </c>
      <c r="AP742">
        <v>0</v>
      </c>
      <c r="AQ742" t="s">
        <v>66</v>
      </c>
      <c r="AR742">
        <v>0</v>
      </c>
      <c r="AS742" t="s">
        <v>66</v>
      </c>
      <c r="AT742">
        <v>0</v>
      </c>
      <c r="AU742" t="s">
        <v>66</v>
      </c>
      <c r="AV742">
        <v>0</v>
      </c>
      <c r="AW742" t="s">
        <v>66</v>
      </c>
      <c r="AX742">
        <v>0</v>
      </c>
      <c r="AY742" t="s">
        <v>66</v>
      </c>
      <c r="AZ742">
        <v>0</v>
      </c>
      <c r="BA742" t="s">
        <v>66</v>
      </c>
      <c r="BB742">
        <v>0</v>
      </c>
      <c r="BC742">
        <v>0</v>
      </c>
      <c r="BD742">
        <v>266400</v>
      </c>
      <c r="BE742">
        <v>18080.310000000001</v>
      </c>
      <c r="BF742">
        <v>0</v>
      </c>
      <c r="BG742" t="s">
        <v>87</v>
      </c>
      <c r="BH742" t="s">
        <v>66</v>
      </c>
      <c r="BI742">
        <v>0</v>
      </c>
      <c r="BJ742" t="s">
        <v>66</v>
      </c>
      <c r="BK742" t="s">
        <v>88</v>
      </c>
      <c r="BL742" t="s">
        <v>66</v>
      </c>
      <c r="BM742" t="s">
        <v>159</v>
      </c>
    </row>
    <row r="743" spans="1:65" x14ac:dyDescent="0.25">
      <c r="A743">
        <v>741</v>
      </c>
      <c r="B743" t="s">
        <v>1150</v>
      </c>
      <c r="C743" t="s">
        <v>68</v>
      </c>
      <c r="D743" s="1">
        <v>46212</v>
      </c>
      <c r="E743" t="s">
        <v>1151</v>
      </c>
      <c r="F743" t="s">
        <v>68</v>
      </c>
      <c r="G743" t="s">
        <v>295</v>
      </c>
      <c r="H743" t="s">
        <v>296</v>
      </c>
      <c r="I743" t="s">
        <v>71</v>
      </c>
      <c r="J743" t="s">
        <v>72</v>
      </c>
      <c r="K743" t="s">
        <v>73</v>
      </c>
      <c r="L743" t="s">
        <v>74</v>
      </c>
      <c r="M743" t="s">
        <v>657</v>
      </c>
      <c r="N743" t="s">
        <v>111</v>
      </c>
      <c r="O743" t="s">
        <v>658</v>
      </c>
      <c r="P743" t="s">
        <v>659</v>
      </c>
      <c r="Q743" t="s">
        <v>1152</v>
      </c>
      <c r="R743" s="1">
        <v>46214</v>
      </c>
      <c r="S743" t="s">
        <v>661</v>
      </c>
      <c r="T743" t="s">
        <v>662</v>
      </c>
      <c r="U743" t="s">
        <v>663</v>
      </c>
      <c r="V743" t="s">
        <v>66</v>
      </c>
      <c r="W743" t="s">
        <v>66</v>
      </c>
      <c r="X743">
        <v>880800</v>
      </c>
      <c r="Y743">
        <v>96888</v>
      </c>
      <c r="Z743">
        <v>172800</v>
      </c>
      <c r="AA743">
        <v>19008</v>
      </c>
      <c r="AB743">
        <v>977688</v>
      </c>
      <c r="AC743">
        <v>1</v>
      </c>
      <c r="AD743" t="s">
        <v>134</v>
      </c>
      <c r="AE743">
        <v>12</v>
      </c>
      <c r="AF743" t="s">
        <v>213</v>
      </c>
      <c r="AG743">
        <f>IFERROR(VLOOKUP(AF743,[1]STOK!J:O,6,0),"")</f>
        <v>12</v>
      </c>
      <c r="AH743" s="2">
        <f t="shared" si="22"/>
        <v>1</v>
      </c>
      <c r="AI743" t="s">
        <v>213</v>
      </c>
      <c r="AJ743" t="s">
        <v>214</v>
      </c>
      <c r="AK743" t="s">
        <v>215</v>
      </c>
      <c r="AL743" t="s">
        <v>86</v>
      </c>
      <c r="AM743">
        <v>191808</v>
      </c>
      <c r="AN743">
        <f t="shared" si="23"/>
        <v>191808</v>
      </c>
      <c r="AO743" t="s">
        <v>66</v>
      </c>
      <c r="AP743">
        <v>0</v>
      </c>
      <c r="AQ743" t="s">
        <v>66</v>
      </c>
      <c r="AR743">
        <v>0</v>
      </c>
      <c r="AS743" t="s">
        <v>66</v>
      </c>
      <c r="AT743">
        <v>0</v>
      </c>
      <c r="AU743" t="s">
        <v>66</v>
      </c>
      <c r="AV743">
        <v>0</v>
      </c>
      <c r="AW743" t="s">
        <v>66</v>
      </c>
      <c r="AX743">
        <v>0</v>
      </c>
      <c r="AY743" t="s">
        <v>66</v>
      </c>
      <c r="AZ743">
        <v>0</v>
      </c>
      <c r="BA743" t="s">
        <v>66</v>
      </c>
      <c r="BB743">
        <v>0</v>
      </c>
      <c r="BC743">
        <v>0</v>
      </c>
      <c r="BD743">
        <v>191808</v>
      </c>
      <c r="BE743">
        <v>12996.59</v>
      </c>
      <c r="BF743">
        <v>0</v>
      </c>
      <c r="BG743" t="s">
        <v>87</v>
      </c>
      <c r="BH743" t="s">
        <v>66</v>
      </c>
      <c r="BI743">
        <v>0</v>
      </c>
      <c r="BJ743" t="s">
        <v>66</v>
      </c>
      <c r="BK743" t="s">
        <v>88</v>
      </c>
      <c r="BL743" t="s">
        <v>66</v>
      </c>
      <c r="BM743" t="s">
        <v>159</v>
      </c>
    </row>
    <row r="744" spans="1:65" x14ac:dyDescent="0.25">
      <c r="A744">
        <v>742</v>
      </c>
      <c r="B744" t="s">
        <v>1153</v>
      </c>
      <c r="C744" t="s">
        <v>68</v>
      </c>
      <c r="D744" s="1">
        <v>46212</v>
      </c>
      <c r="E744" t="s">
        <v>1154</v>
      </c>
      <c r="F744" t="s">
        <v>68</v>
      </c>
      <c r="G744" t="s">
        <v>295</v>
      </c>
      <c r="H744" t="s">
        <v>296</v>
      </c>
      <c r="I744" t="s">
        <v>71</v>
      </c>
      <c r="J744" t="s">
        <v>72</v>
      </c>
      <c r="K744" t="s">
        <v>73</v>
      </c>
      <c r="L744" t="s">
        <v>74</v>
      </c>
      <c r="M744" t="s">
        <v>657</v>
      </c>
      <c r="N744" t="s">
        <v>111</v>
      </c>
      <c r="O744" t="s">
        <v>658</v>
      </c>
      <c r="P744" t="s">
        <v>659</v>
      </c>
      <c r="Q744" t="s">
        <v>1155</v>
      </c>
      <c r="R744" s="1">
        <v>46214</v>
      </c>
      <c r="S744" t="s">
        <v>661</v>
      </c>
      <c r="T744" t="s">
        <v>662</v>
      </c>
      <c r="U744" t="s">
        <v>663</v>
      </c>
      <c r="V744" t="s">
        <v>66</v>
      </c>
      <c r="W744" t="s">
        <v>66</v>
      </c>
      <c r="X744">
        <v>229800</v>
      </c>
      <c r="Y744">
        <v>25278</v>
      </c>
      <c r="Z744">
        <v>229800</v>
      </c>
      <c r="AA744">
        <v>25278</v>
      </c>
      <c r="AB744">
        <v>255078</v>
      </c>
      <c r="AC744">
        <v>1</v>
      </c>
      <c r="AD744" t="s">
        <v>134</v>
      </c>
      <c r="AE744">
        <v>6</v>
      </c>
      <c r="AF744" t="s">
        <v>138</v>
      </c>
      <c r="AG744">
        <f>IFERROR(VLOOKUP(AF744,[1]STOK!J:O,6,0),"")</f>
        <v>6</v>
      </c>
      <c r="AH744" s="2">
        <f t="shared" si="22"/>
        <v>1</v>
      </c>
      <c r="AI744" t="s">
        <v>138</v>
      </c>
      <c r="AJ744" t="s">
        <v>139</v>
      </c>
      <c r="AK744" t="s">
        <v>140</v>
      </c>
      <c r="AL744" t="s">
        <v>86</v>
      </c>
      <c r="AM744">
        <v>255078</v>
      </c>
      <c r="AN744">
        <f t="shared" si="23"/>
        <v>255078</v>
      </c>
      <c r="AO744" t="s">
        <v>66</v>
      </c>
      <c r="AP744">
        <v>0</v>
      </c>
      <c r="AQ744" t="s">
        <v>66</v>
      </c>
      <c r="AR744">
        <v>0</v>
      </c>
      <c r="AS744" t="s">
        <v>66</v>
      </c>
      <c r="AT744">
        <v>0</v>
      </c>
      <c r="AU744" t="s">
        <v>66</v>
      </c>
      <c r="AV744">
        <v>0</v>
      </c>
      <c r="AW744" t="s">
        <v>66</v>
      </c>
      <c r="AX744">
        <v>0</v>
      </c>
      <c r="AY744" t="s">
        <v>66</v>
      </c>
      <c r="AZ744">
        <v>0</v>
      </c>
      <c r="BA744" t="s">
        <v>66</v>
      </c>
      <c r="BB744">
        <v>0</v>
      </c>
      <c r="BC744">
        <v>0</v>
      </c>
      <c r="BD744">
        <v>255078</v>
      </c>
      <c r="BE744">
        <v>34660.449999999997</v>
      </c>
      <c r="BF744">
        <v>0</v>
      </c>
      <c r="BG744" t="s">
        <v>87</v>
      </c>
      <c r="BH744" t="s">
        <v>66</v>
      </c>
      <c r="BI744">
        <v>0</v>
      </c>
      <c r="BJ744" t="s">
        <v>66</v>
      </c>
      <c r="BK744" t="s">
        <v>88</v>
      </c>
      <c r="BL744" t="s">
        <v>66</v>
      </c>
      <c r="BM744" t="s">
        <v>159</v>
      </c>
    </row>
    <row r="745" spans="1:65" x14ac:dyDescent="0.25">
      <c r="A745">
        <v>743</v>
      </c>
      <c r="B745" t="s">
        <v>1156</v>
      </c>
      <c r="C745" t="s">
        <v>1157</v>
      </c>
      <c r="D745" s="1">
        <v>46212</v>
      </c>
      <c r="E745" t="s">
        <v>1158</v>
      </c>
      <c r="F745" t="s">
        <v>1159</v>
      </c>
      <c r="G745" t="s">
        <v>295</v>
      </c>
      <c r="H745" t="s">
        <v>296</v>
      </c>
      <c r="I745" t="s">
        <v>71</v>
      </c>
      <c r="J745" t="s">
        <v>72</v>
      </c>
      <c r="K745" t="s">
        <v>73</v>
      </c>
      <c r="L745" t="s">
        <v>74</v>
      </c>
      <c r="M745" t="s">
        <v>838</v>
      </c>
      <c r="N745" t="s">
        <v>76</v>
      </c>
      <c r="O745" t="s">
        <v>839</v>
      </c>
      <c r="P745" t="s">
        <v>840</v>
      </c>
      <c r="Q745" t="s">
        <v>1160</v>
      </c>
      <c r="R745" s="1">
        <v>46210</v>
      </c>
      <c r="S745" t="s">
        <v>841</v>
      </c>
      <c r="T745" t="s">
        <v>842</v>
      </c>
      <c r="U745" t="s">
        <v>843</v>
      </c>
      <c r="V745" t="s">
        <v>66</v>
      </c>
      <c r="W745" t="s">
        <v>66</v>
      </c>
      <c r="X745">
        <v>541156</v>
      </c>
      <c r="Y745">
        <v>59527.16</v>
      </c>
      <c r="Z745">
        <v>54096</v>
      </c>
      <c r="AA745">
        <v>5950.56</v>
      </c>
      <c r="AB745">
        <v>600683.16</v>
      </c>
      <c r="AC745">
        <v>3</v>
      </c>
      <c r="AD745" t="s">
        <v>82</v>
      </c>
      <c r="AE745">
        <v>3</v>
      </c>
      <c r="AF745" t="s">
        <v>116</v>
      </c>
      <c r="AG745">
        <f>IFERROR(VLOOKUP(AF745,[1]STOK!J:O,6,0),"")</f>
        <v>12</v>
      </c>
      <c r="AH745" s="2">
        <f t="shared" si="22"/>
        <v>0.25</v>
      </c>
      <c r="AI745" t="s">
        <v>116</v>
      </c>
      <c r="AJ745" t="s">
        <v>117</v>
      </c>
      <c r="AK745" t="s">
        <v>118</v>
      </c>
      <c r="AL745" t="s">
        <v>86</v>
      </c>
      <c r="AM745">
        <v>20424</v>
      </c>
      <c r="AN745">
        <f t="shared" si="23"/>
        <v>20015.52</v>
      </c>
      <c r="AO745" t="s">
        <v>66</v>
      </c>
      <c r="AP745">
        <v>2</v>
      </c>
      <c r="AQ745" t="s">
        <v>66</v>
      </c>
      <c r="AR745">
        <v>0</v>
      </c>
      <c r="AS745" t="s">
        <v>66</v>
      </c>
      <c r="AT745">
        <v>0</v>
      </c>
      <c r="AU745" t="s">
        <v>66</v>
      </c>
      <c r="AV745">
        <v>0</v>
      </c>
      <c r="AW745" t="s">
        <v>66</v>
      </c>
      <c r="AX745">
        <v>0</v>
      </c>
      <c r="AY745" t="s">
        <v>66</v>
      </c>
      <c r="AZ745">
        <v>0</v>
      </c>
      <c r="BA745" t="s">
        <v>66</v>
      </c>
      <c r="BB745">
        <v>0</v>
      </c>
      <c r="BC745">
        <v>0</v>
      </c>
      <c r="BD745">
        <v>60046.559999999998</v>
      </c>
      <c r="BE745">
        <v>16616.61</v>
      </c>
      <c r="BF745">
        <v>0</v>
      </c>
      <c r="BG745" t="s">
        <v>87</v>
      </c>
      <c r="BH745" t="s">
        <v>66</v>
      </c>
      <c r="BI745">
        <v>0</v>
      </c>
      <c r="BJ745" t="s">
        <v>66</v>
      </c>
      <c r="BK745" t="s">
        <v>88</v>
      </c>
      <c r="BL745" t="s">
        <v>719</v>
      </c>
      <c r="BM745" t="s">
        <v>159</v>
      </c>
    </row>
    <row r="746" spans="1:65" x14ac:dyDescent="0.25">
      <c r="A746">
        <v>744</v>
      </c>
      <c r="B746" t="s">
        <v>1156</v>
      </c>
      <c r="C746" t="s">
        <v>1157</v>
      </c>
      <c r="D746" s="1">
        <v>46212</v>
      </c>
      <c r="E746" t="s">
        <v>1158</v>
      </c>
      <c r="F746" t="s">
        <v>1159</v>
      </c>
      <c r="G746" t="s">
        <v>295</v>
      </c>
      <c r="H746" t="s">
        <v>296</v>
      </c>
      <c r="I746" t="s">
        <v>71</v>
      </c>
      <c r="J746" t="s">
        <v>72</v>
      </c>
      <c r="K746" t="s">
        <v>73</v>
      </c>
      <c r="L746" t="s">
        <v>74</v>
      </c>
      <c r="M746" t="s">
        <v>838</v>
      </c>
      <c r="N746" t="s">
        <v>76</v>
      </c>
      <c r="O746" t="s">
        <v>839</v>
      </c>
      <c r="P746" t="s">
        <v>840</v>
      </c>
      <c r="Q746" t="s">
        <v>1160</v>
      </c>
      <c r="R746" s="1">
        <v>46210</v>
      </c>
      <c r="S746" t="s">
        <v>841</v>
      </c>
      <c r="T746" t="s">
        <v>842</v>
      </c>
      <c r="U746" t="s">
        <v>843</v>
      </c>
      <c r="V746" t="s">
        <v>66</v>
      </c>
      <c r="W746" t="s">
        <v>66</v>
      </c>
      <c r="X746">
        <v>541156</v>
      </c>
      <c r="Y746">
        <v>59527.16</v>
      </c>
      <c r="Z746">
        <v>21756</v>
      </c>
      <c r="AA746">
        <v>2393.16</v>
      </c>
      <c r="AB746">
        <v>600683.16</v>
      </c>
      <c r="AC746">
        <v>3</v>
      </c>
      <c r="AD746" t="s">
        <v>82</v>
      </c>
      <c r="AE746">
        <v>3</v>
      </c>
      <c r="AF746" t="s">
        <v>83</v>
      </c>
      <c r="AG746">
        <f>IFERROR(VLOOKUP(AF746,[1]STOK!J:O,6,0),"")</f>
        <v>24</v>
      </c>
      <c r="AH746" s="2">
        <f t="shared" si="22"/>
        <v>0.125</v>
      </c>
      <c r="AI746" t="s">
        <v>83</v>
      </c>
      <c r="AJ746" t="s">
        <v>84</v>
      </c>
      <c r="AK746" t="s">
        <v>85</v>
      </c>
      <c r="AL746" t="s">
        <v>86</v>
      </c>
      <c r="AM746">
        <v>8214</v>
      </c>
      <c r="AN746">
        <f t="shared" si="23"/>
        <v>8049.72</v>
      </c>
      <c r="AO746" t="s">
        <v>66</v>
      </c>
      <c r="AP746">
        <v>2</v>
      </c>
      <c r="AQ746" t="s">
        <v>66</v>
      </c>
      <c r="AR746">
        <v>0</v>
      </c>
      <c r="AS746" t="s">
        <v>66</v>
      </c>
      <c r="AT746">
        <v>0</v>
      </c>
      <c r="AU746" t="s">
        <v>66</v>
      </c>
      <c r="AV746">
        <v>0</v>
      </c>
      <c r="AW746" t="s">
        <v>66</v>
      </c>
      <c r="AX746">
        <v>0</v>
      </c>
      <c r="AY746" t="s">
        <v>66</v>
      </c>
      <c r="AZ746">
        <v>0</v>
      </c>
      <c r="BA746" t="s">
        <v>66</v>
      </c>
      <c r="BB746">
        <v>0</v>
      </c>
      <c r="BC746">
        <v>0</v>
      </c>
      <c r="BD746">
        <v>24149.16</v>
      </c>
      <c r="BE746">
        <v>6700.17</v>
      </c>
      <c r="BF746">
        <v>0</v>
      </c>
      <c r="BG746" t="s">
        <v>87</v>
      </c>
      <c r="BH746" t="s">
        <v>66</v>
      </c>
      <c r="BI746">
        <v>0</v>
      </c>
      <c r="BJ746" t="s">
        <v>66</v>
      </c>
      <c r="BK746" t="s">
        <v>88</v>
      </c>
      <c r="BL746" t="s">
        <v>719</v>
      </c>
      <c r="BM746" t="s">
        <v>159</v>
      </c>
    </row>
    <row r="747" spans="1:65" x14ac:dyDescent="0.25">
      <c r="A747">
        <v>745</v>
      </c>
      <c r="B747" t="s">
        <v>1156</v>
      </c>
      <c r="C747" t="s">
        <v>1157</v>
      </c>
      <c r="D747" s="1">
        <v>46212</v>
      </c>
      <c r="E747" t="s">
        <v>1158</v>
      </c>
      <c r="F747" t="s">
        <v>1159</v>
      </c>
      <c r="G747" t="s">
        <v>295</v>
      </c>
      <c r="H747" t="s">
        <v>296</v>
      </c>
      <c r="I747" t="s">
        <v>71</v>
      </c>
      <c r="J747" t="s">
        <v>72</v>
      </c>
      <c r="K747" t="s">
        <v>73</v>
      </c>
      <c r="L747" t="s">
        <v>74</v>
      </c>
      <c r="M747" t="s">
        <v>838</v>
      </c>
      <c r="N747" t="s">
        <v>76</v>
      </c>
      <c r="O747" t="s">
        <v>839</v>
      </c>
      <c r="P747" t="s">
        <v>840</v>
      </c>
      <c r="Q747" t="s">
        <v>1160</v>
      </c>
      <c r="R747" s="1">
        <v>46210</v>
      </c>
      <c r="S747" t="s">
        <v>841</v>
      </c>
      <c r="T747" t="s">
        <v>842</v>
      </c>
      <c r="U747" t="s">
        <v>843</v>
      </c>
      <c r="V747" t="s">
        <v>66</v>
      </c>
      <c r="W747" t="s">
        <v>66</v>
      </c>
      <c r="X747">
        <v>541156</v>
      </c>
      <c r="Y747">
        <v>59527.16</v>
      </c>
      <c r="Z747">
        <v>58212</v>
      </c>
      <c r="AA747">
        <v>6403.32</v>
      </c>
      <c r="AB747">
        <v>600683.16</v>
      </c>
      <c r="AC747">
        <v>3</v>
      </c>
      <c r="AD747" t="s">
        <v>82</v>
      </c>
      <c r="AE747">
        <v>3</v>
      </c>
      <c r="AF747" t="s">
        <v>370</v>
      </c>
      <c r="AG747">
        <f>IFERROR(VLOOKUP(AF747,[1]STOK!J:O,6,0),"")</f>
        <v>12</v>
      </c>
      <c r="AH747" s="2">
        <f t="shared" si="22"/>
        <v>0.25</v>
      </c>
      <c r="AI747" t="s">
        <v>370</v>
      </c>
      <c r="AJ747" t="s">
        <v>371</v>
      </c>
      <c r="AK747" t="s">
        <v>372</v>
      </c>
      <c r="AL747" t="s">
        <v>86</v>
      </c>
      <c r="AM747">
        <v>21978</v>
      </c>
      <c r="AN747">
        <f t="shared" si="23"/>
        <v>21538.44</v>
      </c>
      <c r="AO747" t="s">
        <v>66</v>
      </c>
      <c r="AP747">
        <v>2</v>
      </c>
      <c r="AQ747" t="s">
        <v>66</v>
      </c>
      <c r="AR747">
        <v>0</v>
      </c>
      <c r="AS747" t="s">
        <v>66</v>
      </c>
      <c r="AT747">
        <v>0</v>
      </c>
      <c r="AU747" t="s">
        <v>66</v>
      </c>
      <c r="AV747">
        <v>0</v>
      </c>
      <c r="AW747" t="s">
        <v>66</v>
      </c>
      <c r="AX747">
        <v>0</v>
      </c>
      <c r="AY747" t="s">
        <v>66</v>
      </c>
      <c r="AZ747">
        <v>0</v>
      </c>
      <c r="BA747" t="s">
        <v>66</v>
      </c>
      <c r="BB747">
        <v>0</v>
      </c>
      <c r="BC747">
        <v>0</v>
      </c>
      <c r="BD747">
        <v>64615.32</v>
      </c>
      <c r="BE747">
        <v>17646.060000000001</v>
      </c>
      <c r="BF747">
        <v>0</v>
      </c>
      <c r="BG747" t="s">
        <v>87</v>
      </c>
      <c r="BH747" t="s">
        <v>66</v>
      </c>
      <c r="BI747">
        <v>0</v>
      </c>
      <c r="BJ747" t="s">
        <v>66</v>
      </c>
      <c r="BK747" t="s">
        <v>88</v>
      </c>
      <c r="BL747" t="s">
        <v>719</v>
      </c>
      <c r="BM747" t="s">
        <v>159</v>
      </c>
    </row>
    <row r="748" spans="1:65" x14ac:dyDescent="0.25">
      <c r="A748">
        <v>746</v>
      </c>
      <c r="B748" t="s">
        <v>1156</v>
      </c>
      <c r="C748" t="s">
        <v>1157</v>
      </c>
      <c r="D748" s="1">
        <v>46212</v>
      </c>
      <c r="E748" t="s">
        <v>1158</v>
      </c>
      <c r="F748" t="s">
        <v>1159</v>
      </c>
      <c r="G748" t="s">
        <v>295</v>
      </c>
      <c r="H748" t="s">
        <v>296</v>
      </c>
      <c r="I748" t="s">
        <v>71</v>
      </c>
      <c r="J748" t="s">
        <v>72</v>
      </c>
      <c r="K748" t="s">
        <v>73</v>
      </c>
      <c r="L748" t="s">
        <v>74</v>
      </c>
      <c r="M748" t="s">
        <v>838</v>
      </c>
      <c r="N748" t="s">
        <v>76</v>
      </c>
      <c r="O748" t="s">
        <v>839</v>
      </c>
      <c r="P748" t="s">
        <v>840</v>
      </c>
      <c r="Q748" t="s">
        <v>1160</v>
      </c>
      <c r="R748" s="1">
        <v>46210</v>
      </c>
      <c r="S748" t="s">
        <v>841</v>
      </c>
      <c r="T748" t="s">
        <v>842</v>
      </c>
      <c r="U748" t="s">
        <v>843</v>
      </c>
      <c r="V748" t="s">
        <v>66</v>
      </c>
      <c r="W748" t="s">
        <v>66</v>
      </c>
      <c r="X748">
        <v>541156</v>
      </c>
      <c r="Y748">
        <v>59527.16</v>
      </c>
      <c r="Z748">
        <v>43512</v>
      </c>
      <c r="AA748">
        <v>4786.32</v>
      </c>
      <c r="AB748">
        <v>600683.16</v>
      </c>
      <c r="AC748">
        <v>3</v>
      </c>
      <c r="AD748" t="s">
        <v>82</v>
      </c>
      <c r="AE748">
        <v>3</v>
      </c>
      <c r="AF748" t="s">
        <v>845</v>
      </c>
      <c r="AG748">
        <f>IFERROR(VLOOKUP(AF748,[1]STOK!J:O,6,0),"")</f>
        <v>12</v>
      </c>
      <c r="AH748" s="2">
        <f t="shared" si="22"/>
        <v>0.25</v>
      </c>
      <c r="AI748" t="s">
        <v>845</v>
      </c>
      <c r="AJ748" t="s">
        <v>846</v>
      </c>
      <c r="AK748" t="s">
        <v>847</v>
      </c>
      <c r="AL748" t="s">
        <v>86</v>
      </c>
      <c r="AM748">
        <v>16428</v>
      </c>
      <c r="AN748">
        <f t="shared" si="23"/>
        <v>16099.44</v>
      </c>
      <c r="AO748" t="s">
        <v>66</v>
      </c>
      <c r="AP748">
        <v>2</v>
      </c>
      <c r="AQ748" t="s">
        <v>66</v>
      </c>
      <c r="AR748">
        <v>0</v>
      </c>
      <c r="AS748" t="s">
        <v>66</v>
      </c>
      <c r="AT748">
        <v>0</v>
      </c>
      <c r="AU748" t="s">
        <v>66</v>
      </c>
      <c r="AV748">
        <v>0</v>
      </c>
      <c r="AW748" t="s">
        <v>66</v>
      </c>
      <c r="AX748">
        <v>0</v>
      </c>
      <c r="AY748" t="s">
        <v>66</v>
      </c>
      <c r="AZ748">
        <v>0</v>
      </c>
      <c r="BA748" t="s">
        <v>66</v>
      </c>
      <c r="BB748">
        <v>0</v>
      </c>
      <c r="BC748">
        <v>0</v>
      </c>
      <c r="BD748">
        <v>48298.32</v>
      </c>
      <c r="BE748">
        <v>13387.52</v>
      </c>
      <c r="BF748">
        <v>0</v>
      </c>
      <c r="BG748" t="s">
        <v>87</v>
      </c>
      <c r="BH748" t="s">
        <v>66</v>
      </c>
      <c r="BI748">
        <v>0</v>
      </c>
      <c r="BJ748" t="s">
        <v>66</v>
      </c>
      <c r="BK748" t="s">
        <v>88</v>
      </c>
      <c r="BL748" t="s">
        <v>719</v>
      </c>
      <c r="BM748" t="s">
        <v>159</v>
      </c>
    </row>
    <row r="749" spans="1:65" x14ac:dyDescent="0.25">
      <c r="A749">
        <v>747</v>
      </c>
      <c r="B749" t="s">
        <v>1156</v>
      </c>
      <c r="C749" t="s">
        <v>1157</v>
      </c>
      <c r="D749" s="1">
        <v>46212</v>
      </c>
      <c r="E749" t="s">
        <v>1158</v>
      </c>
      <c r="F749" t="s">
        <v>1159</v>
      </c>
      <c r="G749" t="s">
        <v>295</v>
      </c>
      <c r="H749" t="s">
        <v>296</v>
      </c>
      <c r="I749" t="s">
        <v>71</v>
      </c>
      <c r="J749" t="s">
        <v>72</v>
      </c>
      <c r="K749" t="s">
        <v>73</v>
      </c>
      <c r="L749" t="s">
        <v>74</v>
      </c>
      <c r="M749" t="s">
        <v>838</v>
      </c>
      <c r="N749" t="s">
        <v>76</v>
      </c>
      <c r="O749" t="s">
        <v>839</v>
      </c>
      <c r="P749" t="s">
        <v>840</v>
      </c>
      <c r="Q749" t="s">
        <v>1160</v>
      </c>
      <c r="R749" s="1">
        <v>46210</v>
      </c>
      <c r="S749" t="s">
        <v>841</v>
      </c>
      <c r="T749" t="s">
        <v>842</v>
      </c>
      <c r="U749" t="s">
        <v>843</v>
      </c>
      <c r="V749" t="s">
        <v>66</v>
      </c>
      <c r="W749" t="s">
        <v>66</v>
      </c>
      <c r="X749">
        <v>541156</v>
      </c>
      <c r="Y749">
        <v>59527.16</v>
      </c>
      <c r="Z749">
        <v>29694</v>
      </c>
      <c r="AA749">
        <v>3266.34</v>
      </c>
      <c r="AB749">
        <v>600683.16</v>
      </c>
      <c r="AC749">
        <v>3</v>
      </c>
      <c r="AD749" t="s">
        <v>82</v>
      </c>
      <c r="AE749">
        <v>3</v>
      </c>
      <c r="AF749" t="s">
        <v>848</v>
      </c>
      <c r="AG749">
        <f>IFERROR(VLOOKUP(AF749,[1]STOK!J:O,6,0),"")</f>
        <v>24</v>
      </c>
      <c r="AH749" s="2">
        <f t="shared" si="22"/>
        <v>0.125</v>
      </c>
      <c r="AI749" t="s">
        <v>848</v>
      </c>
      <c r="AJ749" t="s">
        <v>849</v>
      </c>
      <c r="AK749" t="s">
        <v>850</v>
      </c>
      <c r="AL749" t="s">
        <v>86</v>
      </c>
      <c r="AM749">
        <v>11211</v>
      </c>
      <c r="AN749">
        <f t="shared" si="23"/>
        <v>10986.779999999999</v>
      </c>
      <c r="AO749" t="s">
        <v>66</v>
      </c>
      <c r="AP749">
        <v>2</v>
      </c>
      <c r="AQ749" t="s">
        <v>66</v>
      </c>
      <c r="AR749">
        <v>0</v>
      </c>
      <c r="AS749" t="s">
        <v>66</v>
      </c>
      <c r="AT749">
        <v>0</v>
      </c>
      <c r="AU749" t="s">
        <v>66</v>
      </c>
      <c r="AV749">
        <v>0</v>
      </c>
      <c r="AW749" t="s">
        <v>66</v>
      </c>
      <c r="AX749">
        <v>0</v>
      </c>
      <c r="AY749" t="s">
        <v>66</v>
      </c>
      <c r="AZ749">
        <v>0</v>
      </c>
      <c r="BA749" t="s">
        <v>66</v>
      </c>
      <c r="BB749">
        <v>0</v>
      </c>
      <c r="BC749">
        <v>0</v>
      </c>
      <c r="BD749">
        <v>32960.339999999997</v>
      </c>
      <c r="BE749">
        <v>9065.5</v>
      </c>
      <c r="BF749">
        <v>0</v>
      </c>
      <c r="BG749" t="s">
        <v>87</v>
      </c>
      <c r="BH749" t="s">
        <v>66</v>
      </c>
      <c r="BI749">
        <v>0</v>
      </c>
      <c r="BJ749" t="s">
        <v>66</v>
      </c>
      <c r="BK749" t="s">
        <v>88</v>
      </c>
      <c r="BL749" t="s">
        <v>719</v>
      </c>
      <c r="BM749" t="s">
        <v>159</v>
      </c>
    </row>
    <row r="750" spans="1:65" x14ac:dyDescent="0.25">
      <c r="A750">
        <v>748</v>
      </c>
      <c r="B750" t="s">
        <v>1156</v>
      </c>
      <c r="C750" t="s">
        <v>1157</v>
      </c>
      <c r="D750" s="1">
        <v>46212</v>
      </c>
      <c r="E750" t="s">
        <v>1158</v>
      </c>
      <c r="F750" t="s">
        <v>1159</v>
      </c>
      <c r="G750" t="s">
        <v>295</v>
      </c>
      <c r="H750" t="s">
        <v>296</v>
      </c>
      <c r="I750" t="s">
        <v>71</v>
      </c>
      <c r="J750" t="s">
        <v>72</v>
      </c>
      <c r="K750" t="s">
        <v>73</v>
      </c>
      <c r="L750" t="s">
        <v>74</v>
      </c>
      <c r="M750" t="s">
        <v>838</v>
      </c>
      <c r="N750" t="s">
        <v>76</v>
      </c>
      <c r="O750" t="s">
        <v>839</v>
      </c>
      <c r="P750" t="s">
        <v>840</v>
      </c>
      <c r="Q750" t="s">
        <v>1160</v>
      </c>
      <c r="R750" s="1">
        <v>46210</v>
      </c>
      <c r="S750" t="s">
        <v>841</v>
      </c>
      <c r="T750" t="s">
        <v>842</v>
      </c>
      <c r="U750" t="s">
        <v>843</v>
      </c>
      <c r="V750" t="s">
        <v>66</v>
      </c>
      <c r="W750" t="s">
        <v>66</v>
      </c>
      <c r="X750">
        <v>541156</v>
      </c>
      <c r="Y750">
        <v>59527.16</v>
      </c>
      <c r="Z750">
        <v>15484</v>
      </c>
      <c r="AA750">
        <v>1703.24</v>
      </c>
      <c r="AB750">
        <v>600683.16</v>
      </c>
      <c r="AC750">
        <v>2</v>
      </c>
      <c r="AD750" t="s">
        <v>82</v>
      </c>
      <c r="AE750">
        <v>2</v>
      </c>
      <c r="AF750" t="s">
        <v>248</v>
      </c>
      <c r="AG750">
        <f>IFERROR(VLOOKUP(AF750,[1]STOK!J:O,6,0),"")</f>
        <v>24</v>
      </c>
      <c r="AH750" s="2">
        <f t="shared" si="22"/>
        <v>8.3333333333333329E-2</v>
      </c>
      <c r="AI750" t="s">
        <v>248</v>
      </c>
      <c r="AJ750" t="s">
        <v>249</v>
      </c>
      <c r="AK750" t="s">
        <v>250</v>
      </c>
      <c r="AL750" t="s">
        <v>86</v>
      </c>
      <c r="AM750">
        <v>8769</v>
      </c>
      <c r="AN750">
        <f t="shared" si="23"/>
        <v>8593.6200000000008</v>
      </c>
      <c r="AO750" t="s">
        <v>66</v>
      </c>
      <c r="AP750">
        <v>2</v>
      </c>
      <c r="AQ750" t="s">
        <v>66</v>
      </c>
      <c r="AR750">
        <v>0</v>
      </c>
      <c r="AS750" t="s">
        <v>66</v>
      </c>
      <c r="AT750">
        <v>0</v>
      </c>
      <c r="AU750" t="s">
        <v>66</v>
      </c>
      <c r="AV750">
        <v>0</v>
      </c>
      <c r="AW750" t="s">
        <v>66</v>
      </c>
      <c r="AX750">
        <v>0</v>
      </c>
      <c r="AY750" t="s">
        <v>66</v>
      </c>
      <c r="AZ750">
        <v>0</v>
      </c>
      <c r="BA750" t="s">
        <v>66</v>
      </c>
      <c r="BB750">
        <v>0</v>
      </c>
      <c r="BC750">
        <v>0</v>
      </c>
      <c r="BD750">
        <v>17187.240000000002</v>
      </c>
      <c r="BE750">
        <v>7123.28</v>
      </c>
      <c r="BF750">
        <v>0</v>
      </c>
      <c r="BG750" t="s">
        <v>87</v>
      </c>
      <c r="BH750" t="s">
        <v>66</v>
      </c>
      <c r="BI750">
        <v>0</v>
      </c>
      <c r="BJ750" t="s">
        <v>66</v>
      </c>
      <c r="BK750" t="s">
        <v>88</v>
      </c>
      <c r="BL750" t="s">
        <v>719</v>
      </c>
      <c r="BM750" t="s">
        <v>159</v>
      </c>
    </row>
    <row r="751" spans="1:65" x14ac:dyDescent="0.25">
      <c r="A751">
        <v>749</v>
      </c>
      <c r="B751" t="s">
        <v>1156</v>
      </c>
      <c r="C751" t="s">
        <v>1157</v>
      </c>
      <c r="D751" s="1">
        <v>46212</v>
      </c>
      <c r="E751" t="s">
        <v>1158</v>
      </c>
      <c r="F751" t="s">
        <v>1159</v>
      </c>
      <c r="G751" t="s">
        <v>295</v>
      </c>
      <c r="H751" t="s">
        <v>296</v>
      </c>
      <c r="I751" t="s">
        <v>71</v>
      </c>
      <c r="J751" t="s">
        <v>72</v>
      </c>
      <c r="K751" t="s">
        <v>73</v>
      </c>
      <c r="L751" t="s">
        <v>74</v>
      </c>
      <c r="M751" t="s">
        <v>838</v>
      </c>
      <c r="N751" t="s">
        <v>76</v>
      </c>
      <c r="O751" t="s">
        <v>839</v>
      </c>
      <c r="P751" t="s">
        <v>840</v>
      </c>
      <c r="Q751" t="s">
        <v>1160</v>
      </c>
      <c r="R751" s="1">
        <v>46210</v>
      </c>
      <c r="S751" t="s">
        <v>841</v>
      </c>
      <c r="T751" t="s">
        <v>842</v>
      </c>
      <c r="U751" t="s">
        <v>843</v>
      </c>
      <c r="V751" t="s">
        <v>66</v>
      </c>
      <c r="W751" t="s">
        <v>66</v>
      </c>
      <c r="X751">
        <v>541156</v>
      </c>
      <c r="Y751">
        <v>59527.16</v>
      </c>
      <c r="Z751">
        <v>23226</v>
      </c>
      <c r="AA751">
        <v>2554.86</v>
      </c>
      <c r="AB751">
        <v>600683.16</v>
      </c>
      <c r="AC751">
        <v>3</v>
      </c>
      <c r="AD751" t="s">
        <v>82</v>
      </c>
      <c r="AE751">
        <v>3</v>
      </c>
      <c r="AF751" t="s">
        <v>199</v>
      </c>
      <c r="AG751">
        <f>IFERROR(VLOOKUP(AF751,[1]STOK!J:O,6,0),"")</f>
        <v>24</v>
      </c>
      <c r="AH751" s="2">
        <f t="shared" si="22"/>
        <v>0.125</v>
      </c>
      <c r="AI751" t="s">
        <v>199</v>
      </c>
      <c r="AJ751" t="s">
        <v>200</v>
      </c>
      <c r="AK751" t="s">
        <v>201</v>
      </c>
      <c r="AL751" t="s">
        <v>86</v>
      </c>
      <c r="AM751">
        <v>8769</v>
      </c>
      <c r="AN751">
        <f t="shared" si="23"/>
        <v>8593.6200000000008</v>
      </c>
      <c r="AO751" t="s">
        <v>66</v>
      </c>
      <c r="AP751">
        <v>2</v>
      </c>
      <c r="AQ751" t="s">
        <v>66</v>
      </c>
      <c r="AR751">
        <v>0</v>
      </c>
      <c r="AS751" t="s">
        <v>66</v>
      </c>
      <c r="AT751">
        <v>0</v>
      </c>
      <c r="AU751" t="s">
        <v>66</v>
      </c>
      <c r="AV751">
        <v>0</v>
      </c>
      <c r="AW751" t="s">
        <v>66</v>
      </c>
      <c r="AX751">
        <v>0</v>
      </c>
      <c r="AY751" t="s">
        <v>66</v>
      </c>
      <c r="AZ751">
        <v>0</v>
      </c>
      <c r="BA751" t="s">
        <v>66</v>
      </c>
      <c r="BB751">
        <v>0</v>
      </c>
      <c r="BC751">
        <v>0</v>
      </c>
      <c r="BD751">
        <v>25780.86</v>
      </c>
      <c r="BE751">
        <v>7129.88</v>
      </c>
      <c r="BF751">
        <v>0</v>
      </c>
      <c r="BG751" t="s">
        <v>87</v>
      </c>
      <c r="BH751" t="s">
        <v>66</v>
      </c>
      <c r="BI751">
        <v>0</v>
      </c>
      <c r="BJ751" t="s">
        <v>66</v>
      </c>
      <c r="BK751" t="s">
        <v>88</v>
      </c>
      <c r="BL751" t="s">
        <v>719</v>
      </c>
      <c r="BM751" t="s">
        <v>159</v>
      </c>
    </row>
    <row r="752" spans="1:65" x14ac:dyDescent="0.25">
      <c r="A752">
        <v>750</v>
      </c>
      <c r="B752" t="s">
        <v>1156</v>
      </c>
      <c r="C752" t="s">
        <v>1157</v>
      </c>
      <c r="D752" s="1">
        <v>46212</v>
      </c>
      <c r="E752" t="s">
        <v>1158</v>
      </c>
      <c r="F752" t="s">
        <v>1159</v>
      </c>
      <c r="G752" t="s">
        <v>295</v>
      </c>
      <c r="H752" t="s">
        <v>296</v>
      </c>
      <c r="I752" t="s">
        <v>71</v>
      </c>
      <c r="J752" t="s">
        <v>72</v>
      </c>
      <c r="K752" t="s">
        <v>73</v>
      </c>
      <c r="L752" t="s">
        <v>74</v>
      </c>
      <c r="M752" t="s">
        <v>838</v>
      </c>
      <c r="N752" t="s">
        <v>76</v>
      </c>
      <c r="O752" t="s">
        <v>839</v>
      </c>
      <c r="P752" t="s">
        <v>840</v>
      </c>
      <c r="Q752" t="s">
        <v>1160</v>
      </c>
      <c r="R752" s="1">
        <v>46210</v>
      </c>
      <c r="S752" t="s">
        <v>841</v>
      </c>
      <c r="T752" t="s">
        <v>842</v>
      </c>
      <c r="U752" t="s">
        <v>843</v>
      </c>
      <c r="V752" t="s">
        <v>66</v>
      </c>
      <c r="W752" t="s">
        <v>66</v>
      </c>
      <c r="X752">
        <v>541156</v>
      </c>
      <c r="Y752">
        <v>59527.16</v>
      </c>
      <c r="Z752">
        <v>48510</v>
      </c>
      <c r="AA752">
        <v>5336.1</v>
      </c>
      <c r="AB752">
        <v>600683.16</v>
      </c>
      <c r="AC752">
        <v>3</v>
      </c>
      <c r="AD752" t="s">
        <v>82</v>
      </c>
      <c r="AE752">
        <v>3</v>
      </c>
      <c r="AF752" t="s">
        <v>93</v>
      </c>
      <c r="AG752">
        <f>IFERROR(VLOOKUP(AF752,[1]STOK!J:O,6,0),"")</f>
        <v>24</v>
      </c>
      <c r="AH752" s="2">
        <f t="shared" si="22"/>
        <v>0.125</v>
      </c>
      <c r="AI752" t="s">
        <v>93</v>
      </c>
      <c r="AJ752" t="s">
        <v>94</v>
      </c>
      <c r="AK752" t="s">
        <v>95</v>
      </c>
      <c r="AL752" t="s">
        <v>86</v>
      </c>
      <c r="AM752">
        <v>18315</v>
      </c>
      <c r="AN752">
        <f t="shared" si="23"/>
        <v>17948.7</v>
      </c>
      <c r="AO752" t="s">
        <v>66</v>
      </c>
      <c r="AP752">
        <v>2</v>
      </c>
      <c r="AQ752" t="s">
        <v>66</v>
      </c>
      <c r="AR752">
        <v>0</v>
      </c>
      <c r="AS752" t="s">
        <v>66</v>
      </c>
      <c r="AT752">
        <v>0</v>
      </c>
      <c r="AU752" t="s">
        <v>66</v>
      </c>
      <c r="AV752">
        <v>0</v>
      </c>
      <c r="AW752" t="s">
        <v>66</v>
      </c>
      <c r="AX752">
        <v>0</v>
      </c>
      <c r="AY752" t="s">
        <v>66</v>
      </c>
      <c r="AZ752">
        <v>0</v>
      </c>
      <c r="BA752" t="s">
        <v>66</v>
      </c>
      <c r="BB752">
        <v>0</v>
      </c>
      <c r="BC752">
        <v>0</v>
      </c>
      <c r="BD752">
        <v>53846.1</v>
      </c>
      <c r="BE752">
        <v>14931.77</v>
      </c>
      <c r="BF752">
        <v>0</v>
      </c>
      <c r="BG752" t="s">
        <v>87</v>
      </c>
      <c r="BH752" t="s">
        <v>66</v>
      </c>
      <c r="BI752">
        <v>0</v>
      </c>
      <c r="BJ752" t="s">
        <v>66</v>
      </c>
      <c r="BK752" t="s">
        <v>88</v>
      </c>
      <c r="BL752" t="s">
        <v>719</v>
      </c>
      <c r="BM752" t="s">
        <v>159</v>
      </c>
    </row>
    <row r="753" spans="1:65" x14ac:dyDescent="0.25">
      <c r="A753">
        <v>751</v>
      </c>
      <c r="B753" t="s">
        <v>1156</v>
      </c>
      <c r="C753" t="s">
        <v>1157</v>
      </c>
      <c r="D753" s="1">
        <v>46212</v>
      </c>
      <c r="E753" t="s">
        <v>1158</v>
      </c>
      <c r="F753" t="s">
        <v>1159</v>
      </c>
      <c r="G753" t="s">
        <v>295</v>
      </c>
      <c r="H753" t="s">
        <v>296</v>
      </c>
      <c r="I753" t="s">
        <v>71</v>
      </c>
      <c r="J753" t="s">
        <v>72</v>
      </c>
      <c r="K753" t="s">
        <v>73</v>
      </c>
      <c r="L753" t="s">
        <v>74</v>
      </c>
      <c r="M753" t="s">
        <v>838</v>
      </c>
      <c r="N753" t="s">
        <v>76</v>
      </c>
      <c r="O753" t="s">
        <v>839</v>
      </c>
      <c r="P753" t="s">
        <v>840</v>
      </c>
      <c r="Q753" t="s">
        <v>1160</v>
      </c>
      <c r="R753" s="1">
        <v>46210</v>
      </c>
      <c r="S753" t="s">
        <v>841</v>
      </c>
      <c r="T753" t="s">
        <v>842</v>
      </c>
      <c r="U753" t="s">
        <v>843</v>
      </c>
      <c r="V753" t="s">
        <v>66</v>
      </c>
      <c r="W753" t="s">
        <v>66</v>
      </c>
      <c r="X753">
        <v>541156</v>
      </c>
      <c r="Y753">
        <v>59527.16</v>
      </c>
      <c r="Z753">
        <v>39102</v>
      </c>
      <c r="AA753">
        <v>4301.22</v>
      </c>
      <c r="AB753">
        <v>600683.16</v>
      </c>
      <c r="AC753">
        <v>3</v>
      </c>
      <c r="AD753" t="s">
        <v>82</v>
      </c>
      <c r="AE753">
        <v>3</v>
      </c>
      <c r="AF753" t="s">
        <v>135</v>
      </c>
      <c r="AG753">
        <f>IFERROR(VLOOKUP(AF753,[1]STOK!J:O,6,0),"")</f>
        <v>12</v>
      </c>
      <c r="AH753" s="2">
        <f t="shared" si="22"/>
        <v>0.25</v>
      </c>
      <c r="AI753" t="s">
        <v>135</v>
      </c>
      <c r="AJ753" t="s">
        <v>136</v>
      </c>
      <c r="AK753" t="s">
        <v>137</v>
      </c>
      <c r="AL753" t="s">
        <v>86</v>
      </c>
      <c r="AM753">
        <v>14763</v>
      </c>
      <c r="AN753">
        <f t="shared" si="23"/>
        <v>14467.74</v>
      </c>
      <c r="AO753" t="s">
        <v>66</v>
      </c>
      <c r="AP753">
        <v>2</v>
      </c>
      <c r="AQ753" t="s">
        <v>66</v>
      </c>
      <c r="AR753">
        <v>0</v>
      </c>
      <c r="AS753" t="s">
        <v>66</v>
      </c>
      <c r="AT753">
        <v>0</v>
      </c>
      <c r="AU753" t="s">
        <v>66</v>
      </c>
      <c r="AV753">
        <v>0</v>
      </c>
      <c r="AW753" t="s">
        <v>66</v>
      </c>
      <c r="AX753">
        <v>0</v>
      </c>
      <c r="AY753" t="s">
        <v>66</v>
      </c>
      <c r="AZ753">
        <v>0</v>
      </c>
      <c r="BA753" t="s">
        <v>66</v>
      </c>
      <c r="BB753">
        <v>0</v>
      </c>
      <c r="BC753">
        <v>0</v>
      </c>
      <c r="BD753">
        <v>43403.22</v>
      </c>
      <c r="BE753">
        <v>12036.27</v>
      </c>
      <c r="BF753">
        <v>0</v>
      </c>
      <c r="BG753" t="s">
        <v>87</v>
      </c>
      <c r="BH753" t="s">
        <v>66</v>
      </c>
      <c r="BI753">
        <v>0</v>
      </c>
      <c r="BJ753" t="s">
        <v>66</v>
      </c>
      <c r="BK753" t="s">
        <v>88</v>
      </c>
      <c r="BL753" t="s">
        <v>719</v>
      </c>
      <c r="BM753" t="s">
        <v>159</v>
      </c>
    </row>
    <row r="754" spans="1:65" x14ac:dyDescent="0.25">
      <c r="A754">
        <v>752</v>
      </c>
      <c r="B754" t="s">
        <v>1156</v>
      </c>
      <c r="C754" t="s">
        <v>1157</v>
      </c>
      <c r="D754" s="1">
        <v>46212</v>
      </c>
      <c r="E754" t="s">
        <v>1158</v>
      </c>
      <c r="F754" t="s">
        <v>1159</v>
      </c>
      <c r="G754" t="s">
        <v>295</v>
      </c>
      <c r="H754" t="s">
        <v>296</v>
      </c>
      <c r="I754" t="s">
        <v>71</v>
      </c>
      <c r="J754" t="s">
        <v>72</v>
      </c>
      <c r="K754" t="s">
        <v>73</v>
      </c>
      <c r="L754" t="s">
        <v>74</v>
      </c>
      <c r="M754" t="s">
        <v>838</v>
      </c>
      <c r="N754" t="s">
        <v>76</v>
      </c>
      <c r="O754" t="s">
        <v>839</v>
      </c>
      <c r="P754" t="s">
        <v>840</v>
      </c>
      <c r="Q754" t="s">
        <v>1160</v>
      </c>
      <c r="R754" s="1">
        <v>46210</v>
      </c>
      <c r="S754" t="s">
        <v>841</v>
      </c>
      <c r="T754" t="s">
        <v>842</v>
      </c>
      <c r="U754" t="s">
        <v>843</v>
      </c>
      <c r="V754" t="s">
        <v>66</v>
      </c>
      <c r="W754" t="s">
        <v>66</v>
      </c>
      <c r="X754">
        <v>541156</v>
      </c>
      <c r="Y754">
        <v>59527.16</v>
      </c>
      <c r="Z754">
        <v>39102</v>
      </c>
      <c r="AA754">
        <v>4301.22</v>
      </c>
      <c r="AB754">
        <v>600683.16</v>
      </c>
      <c r="AC754">
        <v>3</v>
      </c>
      <c r="AD754" t="s">
        <v>82</v>
      </c>
      <c r="AE754">
        <v>3</v>
      </c>
      <c r="AF754" t="s">
        <v>210</v>
      </c>
      <c r="AG754">
        <f>IFERROR(VLOOKUP(AF754,[1]STOK!J:O,6,0),"")</f>
        <v>12</v>
      </c>
      <c r="AH754" s="2">
        <f t="shared" si="22"/>
        <v>0.25</v>
      </c>
      <c r="AI754" t="s">
        <v>210</v>
      </c>
      <c r="AJ754" t="s">
        <v>211</v>
      </c>
      <c r="AK754" t="s">
        <v>212</v>
      </c>
      <c r="AL754" t="s">
        <v>86</v>
      </c>
      <c r="AM754">
        <v>14763</v>
      </c>
      <c r="AN754">
        <f t="shared" si="23"/>
        <v>14467.74</v>
      </c>
      <c r="AO754" t="s">
        <v>66</v>
      </c>
      <c r="AP754">
        <v>2</v>
      </c>
      <c r="AQ754" t="s">
        <v>66</v>
      </c>
      <c r="AR754">
        <v>0</v>
      </c>
      <c r="AS754" t="s">
        <v>66</v>
      </c>
      <c r="AT754">
        <v>0</v>
      </c>
      <c r="AU754" t="s">
        <v>66</v>
      </c>
      <c r="AV754">
        <v>0</v>
      </c>
      <c r="AW754" t="s">
        <v>66</v>
      </c>
      <c r="AX754">
        <v>0</v>
      </c>
      <c r="AY754" t="s">
        <v>66</v>
      </c>
      <c r="AZ754">
        <v>0</v>
      </c>
      <c r="BA754" t="s">
        <v>66</v>
      </c>
      <c r="BB754">
        <v>0</v>
      </c>
      <c r="BC754">
        <v>0</v>
      </c>
      <c r="BD754">
        <v>43403.22</v>
      </c>
      <c r="BE754">
        <v>12009.37</v>
      </c>
      <c r="BF754">
        <v>0</v>
      </c>
      <c r="BG754" t="s">
        <v>87</v>
      </c>
      <c r="BH754" t="s">
        <v>66</v>
      </c>
      <c r="BI754">
        <v>0</v>
      </c>
      <c r="BJ754" t="s">
        <v>66</v>
      </c>
      <c r="BK754" t="s">
        <v>88</v>
      </c>
      <c r="BL754" t="s">
        <v>719</v>
      </c>
      <c r="BM754" t="s">
        <v>159</v>
      </c>
    </row>
    <row r="755" spans="1:65" x14ac:dyDescent="0.25">
      <c r="A755">
        <v>753</v>
      </c>
      <c r="B755" t="s">
        <v>1156</v>
      </c>
      <c r="C755" t="s">
        <v>1157</v>
      </c>
      <c r="D755" s="1">
        <v>46212</v>
      </c>
      <c r="E755" t="s">
        <v>1158</v>
      </c>
      <c r="F755" t="s">
        <v>1159</v>
      </c>
      <c r="G755" t="s">
        <v>295</v>
      </c>
      <c r="H755" t="s">
        <v>296</v>
      </c>
      <c r="I755" t="s">
        <v>71</v>
      </c>
      <c r="J755" t="s">
        <v>72</v>
      </c>
      <c r="K755" t="s">
        <v>73</v>
      </c>
      <c r="L755" t="s">
        <v>74</v>
      </c>
      <c r="M755" t="s">
        <v>838</v>
      </c>
      <c r="N755" t="s">
        <v>76</v>
      </c>
      <c r="O755" t="s">
        <v>839</v>
      </c>
      <c r="P755" t="s">
        <v>840</v>
      </c>
      <c r="Q755" t="s">
        <v>1160</v>
      </c>
      <c r="R755" s="1">
        <v>46210</v>
      </c>
      <c r="S755" t="s">
        <v>841</v>
      </c>
      <c r="T755" t="s">
        <v>842</v>
      </c>
      <c r="U755" t="s">
        <v>843</v>
      </c>
      <c r="V755" t="s">
        <v>66</v>
      </c>
      <c r="W755" t="s">
        <v>66</v>
      </c>
      <c r="X755">
        <v>541156</v>
      </c>
      <c r="Y755">
        <v>59527.16</v>
      </c>
      <c r="Z755">
        <v>50862</v>
      </c>
      <c r="AA755">
        <v>5594.82</v>
      </c>
      <c r="AB755">
        <v>600683.16</v>
      </c>
      <c r="AC755">
        <v>3</v>
      </c>
      <c r="AD755" t="s">
        <v>82</v>
      </c>
      <c r="AE755">
        <v>3</v>
      </c>
      <c r="AF755" t="s">
        <v>359</v>
      </c>
      <c r="AG755">
        <f>IFERROR(VLOOKUP(AF755,[1]STOK!J:O,6,0),"")</f>
        <v>12</v>
      </c>
      <c r="AH755" s="2">
        <f t="shared" si="22"/>
        <v>0.25</v>
      </c>
      <c r="AI755" t="s">
        <v>359</v>
      </c>
      <c r="AJ755" t="s">
        <v>360</v>
      </c>
      <c r="AK755" t="s">
        <v>361</v>
      </c>
      <c r="AL755" t="s">
        <v>86</v>
      </c>
      <c r="AM755">
        <v>19203</v>
      </c>
      <c r="AN755">
        <f t="shared" si="23"/>
        <v>18818.939999999999</v>
      </c>
      <c r="AO755" t="s">
        <v>66</v>
      </c>
      <c r="AP755">
        <v>2</v>
      </c>
      <c r="AQ755" t="s">
        <v>66</v>
      </c>
      <c r="AR755">
        <v>0</v>
      </c>
      <c r="AS755" t="s">
        <v>66</v>
      </c>
      <c r="AT755">
        <v>0</v>
      </c>
      <c r="AU755" t="s">
        <v>66</v>
      </c>
      <c r="AV755">
        <v>0</v>
      </c>
      <c r="AW755" t="s">
        <v>66</v>
      </c>
      <c r="AX755">
        <v>0</v>
      </c>
      <c r="AY755" t="s">
        <v>66</v>
      </c>
      <c r="AZ755">
        <v>0</v>
      </c>
      <c r="BA755" t="s">
        <v>66</v>
      </c>
      <c r="BB755">
        <v>0</v>
      </c>
      <c r="BC755">
        <v>0</v>
      </c>
      <c r="BD755">
        <v>56456.82</v>
      </c>
      <c r="BE755">
        <v>15607.61</v>
      </c>
      <c r="BF755">
        <v>0</v>
      </c>
      <c r="BG755" t="s">
        <v>87</v>
      </c>
      <c r="BH755" t="s">
        <v>66</v>
      </c>
      <c r="BI755">
        <v>0</v>
      </c>
      <c r="BJ755" t="s">
        <v>66</v>
      </c>
      <c r="BK755" t="s">
        <v>88</v>
      </c>
      <c r="BL755" t="s">
        <v>719</v>
      </c>
      <c r="BM755" t="s">
        <v>159</v>
      </c>
    </row>
    <row r="756" spans="1:65" x14ac:dyDescent="0.25">
      <c r="A756">
        <v>754</v>
      </c>
      <c r="B756" t="s">
        <v>1156</v>
      </c>
      <c r="C756" t="s">
        <v>1157</v>
      </c>
      <c r="D756" s="1">
        <v>46212</v>
      </c>
      <c r="E756" t="s">
        <v>1158</v>
      </c>
      <c r="F756" t="s">
        <v>1159</v>
      </c>
      <c r="G756" t="s">
        <v>295</v>
      </c>
      <c r="H756" t="s">
        <v>296</v>
      </c>
      <c r="I756" t="s">
        <v>71</v>
      </c>
      <c r="J756" t="s">
        <v>72</v>
      </c>
      <c r="K756" t="s">
        <v>73</v>
      </c>
      <c r="L756" t="s">
        <v>74</v>
      </c>
      <c r="M756" t="s">
        <v>838</v>
      </c>
      <c r="N756" t="s">
        <v>76</v>
      </c>
      <c r="O756" t="s">
        <v>839</v>
      </c>
      <c r="P756" t="s">
        <v>840</v>
      </c>
      <c r="Q756" t="s">
        <v>1160</v>
      </c>
      <c r="R756" s="1">
        <v>46210</v>
      </c>
      <c r="S756" t="s">
        <v>841</v>
      </c>
      <c r="T756" t="s">
        <v>842</v>
      </c>
      <c r="U756" t="s">
        <v>843</v>
      </c>
      <c r="V756" t="s">
        <v>66</v>
      </c>
      <c r="W756" t="s">
        <v>66</v>
      </c>
      <c r="X756">
        <v>541156</v>
      </c>
      <c r="Y756">
        <v>59527.16</v>
      </c>
      <c r="Z756">
        <v>58800</v>
      </c>
      <c r="AA756">
        <v>6468</v>
      </c>
      <c r="AB756">
        <v>600683.16</v>
      </c>
      <c r="AC756">
        <v>3</v>
      </c>
      <c r="AD756" t="s">
        <v>82</v>
      </c>
      <c r="AE756">
        <v>3</v>
      </c>
      <c r="AF756" t="s">
        <v>290</v>
      </c>
      <c r="AG756">
        <f>IFERROR(VLOOKUP(AF756,[1]STOK!J:O,6,0),"")</f>
        <v>12</v>
      </c>
      <c r="AH756" s="2">
        <f t="shared" si="22"/>
        <v>0.25</v>
      </c>
      <c r="AI756" t="s">
        <v>290</v>
      </c>
      <c r="AJ756" t="s">
        <v>291</v>
      </c>
      <c r="AK756" t="s">
        <v>292</v>
      </c>
      <c r="AL756" t="s">
        <v>86</v>
      </c>
      <c r="AM756">
        <v>22200</v>
      </c>
      <c r="AN756">
        <f t="shared" si="23"/>
        <v>21756</v>
      </c>
      <c r="AO756" t="s">
        <v>66</v>
      </c>
      <c r="AP756">
        <v>2</v>
      </c>
      <c r="AQ756" t="s">
        <v>66</v>
      </c>
      <c r="AR756">
        <v>0</v>
      </c>
      <c r="AS756" t="s">
        <v>66</v>
      </c>
      <c r="AT756">
        <v>0</v>
      </c>
      <c r="AU756" t="s">
        <v>66</v>
      </c>
      <c r="AV756">
        <v>0</v>
      </c>
      <c r="AW756" t="s">
        <v>66</v>
      </c>
      <c r="AX756">
        <v>0</v>
      </c>
      <c r="AY756" t="s">
        <v>66</v>
      </c>
      <c r="AZ756">
        <v>0</v>
      </c>
      <c r="BA756" t="s">
        <v>66</v>
      </c>
      <c r="BB756">
        <v>0</v>
      </c>
      <c r="BC756">
        <v>0</v>
      </c>
      <c r="BD756">
        <v>65268</v>
      </c>
      <c r="BE756">
        <v>18104.62</v>
      </c>
      <c r="BF756">
        <v>0</v>
      </c>
      <c r="BG756" t="s">
        <v>87</v>
      </c>
      <c r="BH756" t="s">
        <v>66</v>
      </c>
      <c r="BI756">
        <v>0</v>
      </c>
      <c r="BJ756" t="s">
        <v>66</v>
      </c>
      <c r="BK756" t="s">
        <v>88</v>
      </c>
      <c r="BL756" t="s">
        <v>719</v>
      </c>
      <c r="BM756" t="s">
        <v>159</v>
      </c>
    </row>
    <row r="757" spans="1:65" x14ac:dyDescent="0.25">
      <c r="A757">
        <v>755</v>
      </c>
      <c r="B757" t="s">
        <v>1156</v>
      </c>
      <c r="C757" t="s">
        <v>1157</v>
      </c>
      <c r="D757" s="1">
        <v>46212</v>
      </c>
      <c r="E757" t="s">
        <v>1158</v>
      </c>
      <c r="F757" t="s">
        <v>1159</v>
      </c>
      <c r="G757" t="s">
        <v>295</v>
      </c>
      <c r="H757" t="s">
        <v>296</v>
      </c>
      <c r="I757" t="s">
        <v>71</v>
      </c>
      <c r="J757" t="s">
        <v>72</v>
      </c>
      <c r="K757" t="s">
        <v>73</v>
      </c>
      <c r="L757" t="s">
        <v>74</v>
      </c>
      <c r="M757" t="s">
        <v>838</v>
      </c>
      <c r="N757" t="s">
        <v>76</v>
      </c>
      <c r="O757" t="s">
        <v>839</v>
      </c>
      <c r="P757" t="s">
        <v>840</v>
      </c>
      <c r="Q757" t="s">
        <v>1160</v>
      </c>
      <c r="R757" s="1">
        <v>46210</v>
      </c>
      <c r="S757" t="s">
        <v>841</v>
      </c>
      <c r="T757" t="s">
        <v>842</v>
      </c>
      <c r="U757" t="s">
        <v>843</v>
      </c>
      <c r="V757" t="s">
        <v>66</v>
      </c>
      <c r="W757" t="s">
        <v>66</v>
      </c>
      <c r="X757">
        <v>541156</v>
      </c>
      <c r="Y757">
        <v>59527.16</v>
      </c>
      <c r="Z757">
        <v>58800</v>
      </c>
      <c r="AA757">
        <v>6468</v>
      </c>
      <c r="AB757">
        <v>600683.16</v>
      </c>
      <c r="AC757">
        <v>3</v>
      </c>
      <c r="AD757" t="s">
        <v>82</v>
      </c>
      <c r="AE757">
        <v>3</v>
      </c>
      <c r="AF757" t="s">
        <v>102</v>
      </c>
      <c r="AG757">
        <f>IFERROR(VLOOKUP(AF757,[1]STOK!J:O,6,0),"")</f>
        <v>12</v>
      </c>
      <c r="AH757" s="2">
        <f t="shared" si="22"/>
        <v>0.25</v>
      </c>
      <c r="AI757" t="s">
        <v>102</v>
      </c>
      <c r="AJ757" t="s">
        <v>103</v>
      </c>
      <c r="AK757" t="s">
        <v>104</v>
      </c>
      <c r="AL757" t="s">
        <v>86</v>
      </c>
      <c r="AM757">
        <v>22200</v>
      </c>
      <c r="AN757">
        <f t="shared" si="23"/>
        <v>21756</v>
      </c>
      <c r="AO757" t="s">
        <v>66</v>
      </c>
      <c r="AP757">
        <v>2</v>
      </c>
      <c r="AQ757" t="s">
        <v>66</v>
      </c>
      <c r="AR757">
        <v>0</v>
      </c>
      <c r="AS757" t="s">
        <v>66</v>
      </c>
      <c r="AT757">
        <v>0</v>
      </c>
      <c r="AU757" t="s">
        <v>66</v>
      </c>
      <c r="AV757">
        <v>0</v>
      </c>
      <c r="AW757" t="s">
        <v>66</v>
      </c>
      <c r="AX757">
        <v>0</v>
      </c>
      <c r="AY757" t="s">
        <v>66</v>
      </c>
      <c r="AZ757">
        <v>0</v>
      </c>
      <c r="BA757" t="s">
        <v>66</v>
      </c>
      <c r="BB757">
        <v>0</v>
      </c>
      <c r="BC757">
        <v>0</v>
      </c>
      <c r="BD757">
        <v>65268</v>
      </c>
      <c r="BE757">
        <v>18080.310000000001</v>
      </c>
      <c r="BF757">
        <v>0</v>
      </c>
      <c r="BG757" t="s">
        <v>87</v>
      </c>
      <c r="BH757" t="s">
        <v>66</v>
      </c>
      <c r="BI757">
        <v>0</v>
      </c>
      <c r="BJ757" t="s">
        <v>66</v>
      </c>
      <c r="BK757" t="s">
        <v>88</v>
      </c>
      <c r="BL757" t="s">
        <v>719</v>
      </c>
      <c r="BM757" t="s">
        <v>159</v>
      </c>
    </row>
    <row r="758" spans="1:65" x14ac:dyDescent="0.25">
      <c r="A758">
        <v>756</v>
      </c>
      <c r="B758" t="s">
        <v>1161</v>
      </c>
      <c r="C758" t="s">
        <v>68</v>
      </c>
      <c r="D758" s="1">
        <v>46213</v>
      </c>
      <c r="E758" t="s">
        <v>1162</v>
      </c>
      <c r="F758" t="s">
        <v>1163</v>
      </c>
      <c r="G758" t="s">
        <v>295</v>
      </c>
      <c r="H758" t="s">
        <v>296</v>
      </c>
      <c r="I758" t="s">
        <v>71</v>
      </c>
      <c r="J758" t="s">
        <v>72</v>
      </c>
      <c r="K758" t="s">
        <v>73</v>
      </c>
      <c r="L758" t="s">
        <v>74</v>
      </c>
      <c r="M758" t="s">
        <v>1164</v>
      </c>
      <c r="N758" t="s">
        <v>696</v>
      </c>
      <c r="O758" t="s">
        <v>1165</v>
      </c>
      <c r="P758" t="s">
        <v>1166</v>
      </c>
      <c r="Q758" t="s">
        <v>1167</v>
      </c>
      <c r="R758" s="1">
        <v>46217</v>
      </c>
      <c r="S758" t="s">
        <v>1168</v>
      </c>
      <c r="T758" t="s">
        <v>1169</v>
      </c>
      <c r="U758" t="s">
        <v>1170</v>
      </c>
      <c r="V758" t="s">
        <v>66</v>
      </c>
      <c r="W758" t="s">
        <v>66</v>
      </c>
      <c r="X758">
        <v>232800</v>
      </c>
      <c r="Y758">
        <v>25608</v>
      </c>
      <c r="Z758">
        <v>232800</v>
      </c>
      <c r="AA758">
        <v>25608</v>
      </c>
      <c r="AB758">
        <v>258408</v>
      </c>
      <c r="AC758">
        <v>1</v>
      </c>
      <c r="AD758" t="s">
        <v>134</v>
      </c>
      <c r="AE758">
        <v>12</v>
      </c>
      <c r="AF758" t="s">
        <v>102</v>
      </c>
      <c r="AG758">
        <f>IFERROR(VLOOKUP(AF758,[1]STOK!J:O,6,0),"")</f>
        <v>12</v>
      </c>
      <c r="AH758" s="2">
        <f t="shared" si="22"/>
        <v>1</v>
      </c>
      <c r="AI758" t="s">
        <v>102</v>
      </c>
      <c r="AJ758" t="s">
        <v>103</v>
      </c>
      <c r="AK758" t="s">
        <v>104</v>
      </c>
      <c r="AL758" t="s">
        <v>86</v>
      </c>
      <c r="AM758">
        <v>266400</v>
      </c>
      <c r="AN758">
        <f t="shared" si="23"/>
        <v>258408</v>
      </c>
      <c r="AO758" t="s">
        <v>66</v>
      </c>
      <c r="AP758">
        <v>3</v>
      </c>
      <c r="AQ758" t="s">
        <v>66</v>
      </c>
      <c r="AR758">
        <v>0</v>
      </c>
      <c r="AS758" t="s">
        <v>66</v>
      </c>
      <c r="AT758">
        <v>0</v>
      </c>
      <c r="AU758" t="s">
        <v>66</v>
      </c>
      <c r="AV758">
        <v>0</v>
      </c>
      <c r="AW758" t="s">
        <v>66</v>
      </c>
      <c r="AX758">
        <v>0</v>
      </c>
      <c r="AY758" t="s">
        <v>66</v>
      </c>
      <c r="AZ758">
        <v>0</v>
      </c>
      <c r="BA758" t="s">
        <v>66</v>
      </c>
      <c r="BB758">
        <v>0</v>
      </c>
      <c r="BC758">
        <v>0</v>
      </c>
      <c r="BD758">
        <v>258408</v>
      </c>
      <c r="BE758">
        <v>18080.310000000001</v>
      </c>
      <c r="BF758">
        <v>0</v>
      </c>
      <c r="BG758" t="s">
        <v>87</v>
      </c>
      <c r="BH758" t="s">
        <v>66</v>
      </c>
      <c r="BI758">
        <v>0</v>
      </c>
      <c r="BJ758" t="s">
        <v>66</v>
      </c>
      <c r="BK758" t="s">
        <v>88</v>
      </c>
      <c r="BL758" t="s">
        <v>66</v>
      </c>
      <c r="BM758" t="s">
        <v>159</v>
      </c>
    </row>
    <row r="759" spans="1:65" x14ac:dyDescent="0.25">
      <c r="A759">
        <v>757</v>
      </c>
      <c r="B759" t="s">
        <v>1171</v>
      </c>
      <c r="C759" t="s">
        <v>68</v>
      </c>
      <c r="D759" s="1">
        <v>46213</v>
      </c>
      <c r="E759" t="s">
        <v>1172</v>
      </c>
      <c r="F759" t="s">
        <v>68</v>
      </c>
      <c r="G759" t="s">
        <v>295</v>
      </c>
      <c r="H759" t="s">
        <v>296</v>
      </c>
      <c r="I759" t="s">
        <v>71</v>
      </c>
      <c r="J759" t="s">
        <v>72</v>
      </c>
      <c r="K759" t="s">
        <v>73</v>
      </c>
      <c r="L759" t="s">
        <v>74</v>
      </c>
      <c r="M759" t="s">
        <v>684</v>
      </c>
      <c r="N759" t="s">
        <v>274</v>
      </c>
      <c r="O759" t="s">
        <v>685</v>
      </c>
      <c r="P759" t="s">
        <v>686</v>
      </c>
      <c r="Q759" t="s">
        <v>1173</v>
      </c>
      <c r="R759" s="1">
        <v>46214</v>
      </c>
      <c r="S759" t="s">
        <v>688</v>
      </c>
      <c r="T759" t="s">
        <v>689</v>
      </c>
      <c r="U759" t="s">
        <v>690</v>
      </c>
      <c r="V759" t="s">
        <v>66</v>
      </c>
      <c r="W759" t="s">
        <v>66</v>
      </c>
      <c r="X759">
        <v>693000</v>
      </c>
      <c r="Y759">
        <v>76230</v>
      </c>
      <c r="Z759">
        <v>30000</v>
      </c>
      <c r="AA759">
        <v>3300</v>
      </c>
      <c r="AB759">
        <v>769230</v>
      </c>
      <c r="AC759">
        <v>12</v>
      </c>
      <c r="AD759" t="s">
        <v>82</v>
      </c>
      <c r="AE759">
        <v>12</v>
      </c>
      <c r="AF759" t="s">
        <v>163</v>
      </c>
      <c r="AG759">
        <f>IFERROR(VLOOKUP(AF759,[1]STOK!J:O,6,0),"")</f>
        <v>72</v>
      </c>
      <c r="AH759" s="2">
        <f t="shared" si="22"/>
        <v>0.16666666666666666</v>
      </c>
      <c r="AI759" t="s">
        <v>163</v>
      </c>
      <c r="AJ759" t="s">
        <v>164</v>
      </c>
      <c r="AK759" t="s">
        <v>165</v>
      </c>
      <c r="AL759" t="s">
        <v>86</v>
      </c>
      <c r="AM759">
        <v>2775</v>
      </c>
      <c r="AN759">
        <f t="shared" si="23"/>
        <v>2775</v>
      </c>
      <c r="AO759" t="s">
        <v>66</v>
      </c>
      <c r="AP759">
        <v>0</v>
      </c>
      <c r="AQ759" t="s">
        <v>66</v>
      </c>
      <c r="AR759">
        <v>0</v>
      </c>
      <c r="AS759" t="s">
        <v>66</v>
      </c>
      <c r="AT759">
        <v>0</v>
      </c>
      <c r="AU759" t="s">
        <v>66</v>
      </c>
      <c r="AV759">
        <v>0</v>
      </c>
      <c r="AW759" t="s">
        <v>66</v>
      </c>
      <c r="AX759">
        <v>0</v>
      </c>
      <c r="AY759" t="s">
        <v>66</v>
      </c>
      <c r="AZ759">
        <v>0</v>
      </c>
      <c r="BA759" t="s">
        <v>66</v>
      </c>
      <c r="BB759">
        <v>0</v>
      </c>
      <c r="BC759">
        <v>0</v>
      </c>
      <c r="BD759">
        <v>33300</v>
      </c>
      <c r="BE759">
        <v>2246.5300000000002</v>
      </c>
      <c r="BF759">
        <v>0</v>
      </c>
      <c r="BG759" t="s">
        <v>87</v>
      </c>
      <c r="BH759" t="s">
        <v>66</v>
      </c>
      <c r="BI759">
        <v>0</v>
      </c>
      <c r="BJ759" t="s">
        <v>66</v>
      </c>
      <c r="BK759" t="s">
        <v>88</v>
      </c>
      <c r="BL759" t="s">
        <v>66</v>
      </c>
      <c r="BM759" t="s">
        <v>159</v>
      </c>
    </row>
    <row r="760" spans="1:65" x14ac:dyDescent="0.25">
      <c r="A760">
        <v>758</v>
      </c>
      <c r="B760" t="s">
        <v>1171</v>
      </c>
      <c r="C760" t="s">
        <v>68</v>
      </c>
      <c r="D760" s="1">
        <v>46213</v>
      </c>
      <c r="E760" t="s">
        <v>1172</v>
      </c>
      <c r="F760" t="s">
        <v>68</v>
      </c>
      <c r="G760" t="s">
        <v>295</v>
      </c>
      <c r="H760" t="s">
        <v>296</v>
      </c>
      <c r="I760" t="s">
        <v>71</v>
      </c>
      <c r="J760" t="s">
        <v>72</v>
      </c>
      <c r="K760" t="s">
        <v>73</v>
      </c>
      <c r="L760" t="s">
        <v>74</v>
      </c>
      <c r="M760" t="s">
        <v>684</v>
      </c>
      <c r="N760" t="s">
        <v>274</v>
      </c>
      <c r="O760" t="s">
        <v>685</v>
      </c>
      <c r="P760" t="s">
        <v>686</v>
      </c>
      <c r="Q760" t="s">
        <v>1173</v>
      </c>
      <c r="R760" s="1">
        <v>46214</v>
      </c>
      <c r="S760" t="s">
        <v>688</v>
      </c>
      <c r="T760" t="s">
        <v>689</v>
      </c>
      <c r="U760" t="s">
        <v>690</v>
      </c>
      <c r="V760" t="s">
        <v>66</v>
      </c>
      <c r="W760" t="s">
        <v>66</v>
      </c>
      <c r="X760">
        <v>693000</v>
      </c>
      <c r="Y760">
        <v>76230</v>
      </c>
      <c r="Z760">
        <v>22200</v>
      </c>
      <c r="AA760">
        <v>2442</v>
      </c>
      <c r="AB760">
        <v>769230</v>
      </c>
      <c r="AC760">
        <v>3</v>
      </c>
      <c r="AD760" t="s">
        <v>82</v>
      </c>
      <c r="AE760">
        <v>3</v>
      </c>
      <c r="AF760" t="s">
        <v>83</v>
      </c>
      <c r="AG760">
        <f>IFERROR(VLOOKUP(AF760,[1]STOK!J:O,6,0),"")</f>
        <v>24</v>
      </c>
      <c r="AH760" s="2">
        <f t="shared" si="22"/>
        <v>0.125</v>
      </c>
      <c r="AI760" t="s">
        <v>83</v>
      </c>
      <c r="AJ760" t="s">
        <v>84</v>
      </c>
      <c r="AK760" t="s">
        <v>85</v>
      </c>
      <c r="AL760" t="s">
        <v>86</v>
      </c>
      <c r="AM760">
        <v>8214</v>
      </c>
      <c r="AN760">
        <f t="shared" si="23"/>
        <v>8214</v>
      </c>
      <c r="AO760" t="s">
        <v>66</v>
      </c>
      <c r="AP760">
        <v>0</v>
      </c>
      <c r="AQ760" t="s">
        <v>66</v>
      </c>
      <c r="AR760">
        <v>0</v>
      </c>
      <c r="AS760" t="s">
        <v>66</v>
      </c>
      <c r="AT760">
        <v>0</v>
      </c>
      <c r="AU760" t="s">
        <v>66</v>
      </c>
      <c r="AV760">
        <v>0</v>
      </c>
      <c r="AW760" t="s">
        <v>66</v>
      </c>
      <c r="AX760">
        <v>0</v>
      </c>
      <c r="AY760" t="s">
        <v>66</v>
      </c>
      <c r="AZ760">
        <v>0</v>
      </c>
      <c r="BA760" t="s">
        <v>66</v>
      </c>
      <c r="BB760">
        <v>0</v>
      </c>
      <c r="BC760">
        <v>0</v>
      </c>
      <c r="BD760">
        <v>24642</v>
      </c>
      <c r="BE760">
        <v>6700.17</v>
      </c>
      <c r="BF760">
        <v>0</v>
      </c>
      <c r="BG760" t="s">
        <v>87</v>
      </c>
      <c r="BH760" t="s">
        <v>66</v>
      </c>
      <c r="BI760">
        <v>0</v>
      </c>
      <c r="BJ760" t="s">
        <v>66</v>
      </c>
      <c r="BK760" t="s">
        <v>88</v>
      </c>
      <c r="BL760" t="s">
        <v>66</v>
      </c>
      <c r="BM760" t="s">
        <v>159</v>
      </c>
    </row>
    <row r="761" spans="1:65" x14ac:dyDescent="0.25">
      <c r="A761">
        <v>759</v>
      </c>
      <c r="B761" t="s">
        <v>1171</v>
      </c>
      <c r="C761" t="s">
        <v>68</v>
      </c>
      <c r="D761" s="1">
        <v>46213</v>
      </c>
      <c r="E761" t="s">
        <v>1172</v>
      </c>
      <c r="F761" t="s">
        <v>68</v>
      </c>
      <c r="G761" t="s">
        <v>295</v>
      </c>
      <c r="H761" t="s">
        <v>296</v>
      </c>
      <c r="I761" t="s">
        <v>71</v>
      </c>
      <c r="J761" t="s">
        <v>72</v>
      </c>
      <c r="K761" t="s">
        <v>73</v>
      </c>
      <c r="L761" t="s">
        <v>74</v>
      </c>
      <c r="M761" t="s">
        <v>684</v>
      </c>
      <c r="N761" t="s">
        <v>274</v>
      </c>
      <c r="O761" t="s">
        <v>685</v>
      </c>
      <c r="P761" t="s">
        <v>686</v>
      </c>
      <c r="Q761" t="s">
        <v>1173</v>
      </c>
      <c r="R761" s="1">
        <v>46214</v>
      </c>
      <c r="S761" t="s">
        <v>688</v>
      </c>
      <c r="T761" t="s">
        <v>689</v>
      </c>
      <c r="U761" t="s">
        <v>690</v>
      </c>
      <c r="V761" t="s">
        <v>66</v>
      </c>
      <c r="W761" t="s">
        <v>66</v>
      </c>
      <c r="X761">
        <v>693000</v>
      </c>
      <c r="Y761">
        <v>76230</v>
      </c>
      <c r="Z761">
        <v>99000</v>
      </c>
      <c r="AA761">
        <v>10890</v>
      </c>
      <c r="AB761">
        <v>769230</v>
      </c>
      <c r="AC761">
        <v>6</v>
      </c>
      <c r="AD761" t="s">
        <v>82</v>
      </c>
      <c r="AE761">
        <v>6</v>
      </c>
      <c r="AF761" t="s">
        <v>128</v>
      </c>
      <c r="AG761">
        <f>IFERROR(VLOOKUP(AF761,[1]STOK!J:O,6,0),"")</f>
        <v>24</v>
      </c>
      <c r="AH761" s="2">
        <f t="shared" si="22"/>
        <v>0.25</v>
      </c>
      <c r="AI761" t="s">
        <v>128</v>
      </c>
      <c r="AJ761" t="s">
        <v>129</v>
      </c>
      <c r="AK761" t="s">
        <v>130</v>
      </c>
      <c r="AL761" t="s">
        <v>86</v>
      </c>
      <c r="AM761">
        <v>18315</v>
      </c>
      <c r="AN761">
        <f t="shared" si="23"/>
        <v>18315</v>
      </c>
      <c r="AO761" t="s">
        <v>66</v>
      </c>
      <c r="AP761">
        <v>0</v>
      </c>
      <c r="AQ761" t="s">
        <v>66</v>
      </c>
      <c r="AR761">
        <v>0</v>
      </c>
      <c r="AS761" t="s">
        <v>66</v>
      </c>
      <c r="AT761">
        <v>0</v>
      </c>
      <c r="AU761" t="s">
        <v>66</v>
      </c>
      <c r="AV761">
        <v>0</v>
      </c>
      <c r="AW761" t="s">
        <v>66</v>
      </c>
      <c r="AX761">
        <v>0</v>
      </c>
      <c r="AY761" t="s">
        <v>66</v>
      </c>
      <c r="AZ761">
        <v>0</v>
      </c>
      <c r="BA761" t="s">
        <v>66</v>
      </c>
      <c r="BB761">
        <v>0</v>
      </c>
      <c r="BC761">
        <v>0</v>
      </c>
      <c r="BD761">
        <v>109890</v>
      </c>
      <c r="BE761">
        <v>14919.17</v>
      </c>
      <c r="BF761">
        <v>0</v>
      </c>
      <c r="BG761" t="s">
        <v>87</v>
      </c>
      <c r="BH761" t="s">
        <v>66</v>
      </c>
      <c r="BI761">
        <v>0</v>
      </c>
      <c r="BJ761" t="s">
        <v>66</v>
      </c>
      <c r="BK761" t="s">
        <v>88</v>
      </c>
      <c r="BL761" t="s">
        <v>66</v>
      </c>
      <c r="BM761" t="s">
        <v>159</v>
      </c>
    </row>
    <row r="762" spans="1:65" x14ac:dyDescent="0.25">
      <c r="A762">
        <v>760</v>
      </c>
      <c r="B762" t="s">
        <v>1171</v>
      </c>
      <c r="C762" t="s">
        <v>68</v>
      </c>
      <c r="D762" s="1">
        <v>46213</v>
      </c>
      <c r="E762" t="s">
        <v>1172</v>
      </c>
      <c r="F762" t="s">
        <v>68</v>
      </c>
      <c r="G762" t="s">
        <v>295</v>
      </c>
      <c r="H762" t="s">
        <v>296</v>
      </c>
      <c r="I762" t="s">
        <v>71</v>
      </c>
      <c r="J762" t="s">
        <v>72</v>
      </c>
      <c r="K762" t="s">
        <v>73</v>
      </c>
      <c r="L762" t="s">
        <v>74</v>
      </c>
      <c r="M762" t="s">
        <v>684</v>
      </c>
      <c r="N762" t="s">
        <v>274</v>
      </c>
      <c r="O762" t="s">
        <v>685</v>
      </c>
      <c r="P762" t="s">
        <v>686</v>
      </c>
      <c r="Q762" t="s">
        <v>1173</v>
      </c>
      <c r="R762" s="1">
        <v>46214</v>
      </c>
      <c r="S762" t="s">
        <v>688</v>
      </c>
      <c r="T762" t="s">
        <v>689</v>
      </c>
      <c r="U762" t="s">
        <v>690</v>
      </c>
      <c r="V762" t="s">
        <v>66</v>
      </c>
      <c r="W762" t="s">
        <v>66</v>
      </c>
      <c r="X762">
        <v>693000</v>
      </c>
      <c r="Y762">
        <v>76230</v>
      </c>
      <c r="Z762">
        <v>99000</v>
      </c>
      <c r="AA762">
        <v>10890</v>
      </c>
      <c r="AB762">
        <v>769230</v>
      </c>
      <c r="AC762">
        <v>6</v>
      </c>
      <c r="AD762" t="s">
        <v>82</v>
      </c>
      <c r="AE762">
        <v>6</v>
      </c>
      <c r="AF762" t="s">
        <v>99</v>
      </c>
      <c r="AG762">
        <f>IFERROR(VLOOKUP(AF762,[1]STOK!J:O,6,0),"")</f>
        <v>24</v>
      </c>
      <c r="AH762" s="2">
        <f t="shared" si="22"/>
        <v>0.25</v>
      </c>
      <c r="AI762" t="s">
        <v>99</v>
      </c>
      <c r="AJ762" t="s">
        <v>100</v>
      </c>
      <c r="AK762" t="s">
        <v>101</v>
      </c>
      <c r="AL762" t="s">
        <v>86</v>
      </c>
      <c r="AM762">
        <v>18315</v>
      </c>
      <c r="AN762">
        <f t="shared" si="23"/>
        <v>18315</v>
      </c>
      <c r="AO762" t="s">
        <v>66</v>
      </c>
      <c r="AP762">
        <v>0</v>
      </c>
      <c r="AQ762" t="s">
        <v>66</v>
      </c>
      <c r="AR762">
        <v>0</v>
      </c>
      <c r="AS762" t="s">
        <v>66</v>
      </c>
      <c r="AT762">
        <v>0</v>
      </c>
      <c r="AU762" t="s">
        <v>66</v>
      </c>
      <c r="AV762">
        <v>0</v>
      </c>
      <c r="AW762" t="s">
        <v>66</v>
      </c>
      <c r="AX762">
        <v>0</v>
      </c>
      <c r="AY762" t="s">
        <v>66</v>
      </c>
      <c r="AZ762">
        <v>0</v>
      </c>
      <c r="BA762" t="s">
        <v>66</v>
      </c>
      <c r="BB762">
        <v>0</v>
      </c>
      <c r="BC762">
        <v>0</v>
      </c>
      <c r="BD762">
        <v>109890</v>
      </c>
      <c r="BE762">
        <v>14918.57</v>
      </c>
      <c r="BF762">
        <v>0</v>
      </c>
      <c r="BG762" t="s">
        <v>87</v>
      </c>
      <c r="BH762" t="s">
        <v>66</v>
      </c>
      <c r="BI762">
        <v>0</v>
      </c>
      <c r="BJ762" t="s">
        <v>66</v>
      </c>
      <c r="BK762" t="s">
        <v>88</v>
      </c>
      <c r="BL762" t="s">
        <v>66</v>
      </c>
      <c r="BM762" t="s">
        <v>159</v>
      </c>
    </row>
    <row r="763" spans="1:65" x14ac:dyDescent="0.25">
      <c r="A763">
        <v>761</v>
      </c>
      <c r="B763" t="s">
        <v>1171</v>
      </c>
      <c r="C763" t="s">
        <v>68</v>
      </c>
      <c r="D763" s="1">
        <v>46213</v>
      </c>
      <c r="E763" t="s">
        <v>1172</v>
      </c>
      <c r="F763" t="s">
        <v>68</v>
      </c>
      <c r="G763" t="s">
        <v>295</v>
      </c>
      <c r="H763" t="s">
        <v>296</v>
      </c>
      <c r="I763" t="s">
        <v>71</v>
      </c>
      <c r="J763" t="s">
        <v>72</v>
      </c>
      <c r="K763" t="s">
        <v>73</v>
      </c>
      <c r="L763" t="s">
        <v>74</v>
      </c>
      <c r="M763" t="s">
        <v>684</v>
      </c>
      <c r="N763" t="s">
        <v>274</v>
      </c>
      <c r="O763" t="s">
        <v>685</v>
      </c>
      <c r="P763" t="s">
        <v>686</v>
      </c>
      <c r="Q763" t="s">
        <v>1173</v>
      </c>
      <c r="R763" s="1">
        <v>46214</v>
      </c>
      <c r="S763" t="s">
        <v>688</v>
      </c>
      <c r="T763" t="s">
        <v>689</v>
      </c>
      <c r="U763" t="s">
        <v>690</v>
      </c>
      <c r="V763" t="s">
        <v>66</v>
      </c>
      <c r="W763" t="s">
        <v>66</v>
      </c>
      <c r="X763">
        <v>693000</v>
      </c>
      <c r="Y763">
        <v>76230</v>
      </c>
      <c r="Z763">
        <v>270000</v>
      </c>
      <c r="AA763">
        <v>29700</v>
      </c>
      <c r="AB763">
        <v>769230</v>
      </c>
      <c r="AC763">
        <v>4</v>
      </c>
      <c r="AD763" t="s">
        <v>82</v>
      </c>
      <c r="AE763">
        <v>4</v>
      </c>
      <c r="AF763" t="s">
        <v>312</v>
      </c>
      <c r="AG763">
        <f>IFERROR(VLOOKUP(AF763,[1]STOK!J:O,6,0),"")</f>
        <v>4</v>
      </c>
      <c r="AH763" s="2">
        <f t="shared" si="22"/>
        <v>1</v>
      </c>
      <c r="AI763" t="s">
        <v>312</v>
      </c>
      <c r="AJ763" t="s">
        <v>313</v>
      </c>
      <c r="AK763" t="s">
        <v>314</v>
      </c>
      <c r="AL763" t="s">
        <v>86</v>
      </c>
      <c r="AM763">
        <v>74925</v>
      </c>
      <c r="AN763">
        <f t="shared" si="23"/>
        <v>74925</v>
      </c>
      <c r="AO763" t="s">
        <v>66</v>
      </c>
      <c r="AP763">
        <v>0</v>
      </c>
      <c r="AQ763" t="s">
        <v>66</v>
      </c>
      <c r="AR763">
        <v>0</v>
      </c>
      <c r="AS763" t="s">
        <v>66</v>
      </c>
      <c r="AT763">
        <v>0</v>
      </c>
      <c r="AU763" t="s">
        <v>66</v>
      </c>
      <c r="AV763">
        <v>0</v>
      </c>
      <c r="AW763" t="s">
        <v>66</v>
      </c>
      <c r="AX763">
        <v>0</v>
      </c>
      <c r="AY763" t="s">
        <v>66</v>
      </c>
      <c r="AZ763">
        <v>0</v>
      </c>
      <c r="BA763" t="s">
        <v>66</v>
      </c>
      <c r="BB763">
        <v>0</v>
      </c>
      <c r="BC763">
        <v>0</v>
      </c>
      <c r="BD763">
        <v>299700</v>
      </c>
      <c r="BE763">
        <v>60366.78</v>
      </c>
      <c r="BF763">
        <v>0</v>
      </c>
      <c r="BG763" t="s">
        <v>87</v>
      </c>
      <c r="BH763" t="s">
        <v>66</v>
      </c>
      <c r="BI763">
        <v>0</v>
      </c>
      <c r="BJ763" t="s">
        <v>66</v>
      </c>
      <c r="BK763" t="s">
        <v>88</v>
      </c>
      <c r="BL763" t="s">
        <v>66</v>
      </c>
      <c r="BM763" t="s">
        <v>159</v>
      </c>
    </row>
    <row r="764" spans="1:65" x14ac:dyDescent="0.25">
      <c r="A764">
        <v>762</v>
      </c>
      <c r="B764" t="s">
        <v>1171</v>
      </c>
      <c r="C764" t="s">
        <v>68</v>
      </c>
      <c r="D764" s="1">
        <v>46213</v>
      </c>
      <c r="E764" t="s">
        <v>1172</v>
      </c>
      <c r="F764" t="s">
        <v>68</v>
      </c>
      <c r="G764" t="s">
        <v>295</v>
      </c>
      <c r="H764" t="s">
        <v>296</v>
      </c>
      <c r="I764" t="s">
        <v>71</v>
      </c>
      <c r="J764" t="s">
        <v>72</v>
      </c>
      <c r="K764" t="s">
        <v>73</v>
      </c>
      <c r="L764" t="s">
        <v>74</v>
      </c>
      <c r="M764" t="s">
        <v>684</v>
      </c>
      <c r="N764" t="s">
        <v>274</v>
      </c>
      <c r="O764" t="s">
        <v>685</v>
      </c>
      <c r="P764" t="s">
        <v>686</v>
      </c>
      <c r="Q764" t="s">
        <v>1173</v>
      </c>
      <c r="R764" s="1">
        <v>46214</v>
      </c>
      <c r="S764" t="s">
        <v>688</v>
      </c>
      <c r="T764" t="s">
        <v>689</v>
      </c>
      <c r="U764" t="s">
        <v>690</v>
      </c>
      <c r="V764" t="s">
        <v>66</v>
      </c>
      <c r="W764" t="s">
        <v>66</v>
      </c>
      <c r="X764">
        <v>693000</v>
      </c>
      <c r="Y764">
        <v>76230</v>
      </c>
      <c r="Z764">
        <v>172800</v>
      </c>
      <c r="AA764">
        <v>19008</v>
      </c>
      <c r="AB764">
        <v>769230</v>
      </c>
      <c r="AC764">
        <v>12</v>
      </c>
      <c r="AD764" t="s">
        <v>82</v>
      </c>
      <c r="AE764">
        <v>12</v>
      </c>
      <c r="AF764" t="s">
        <v>141</v>
      </c>
      <c r="AG764">
        <f>IFERROR(VLOOKUP(AF764,[1]STOK!J:O,6,0),"")</f>
        <v>12</v>
      </c>
      <c r="AH764" s="2">
        <f t="shared" si="22"/>
        <v>1</v>
      </c>
      <c r="AI764" t="s">
        <v>141</v>
      </c>
      <c r="AJ764" t="s">
        <v>142</v>
      </c>
      <c r="AK764" t="s">
        <v>143</v>
      </c>
      <c r="AL764" t="s">
        <v>86</v>
      </c>
      <c r="AM764">
        <v>15984</v>
      </c>
      <c r="AN764">
        <f t="shared" si="23"/>
        <v>15984</v>
      </c>
      <c r="AO764" t="s">
        <v>66</v>
      </c>
      <c r="AP764">
        <v>0</v>
      </c>
      <c r="AQ764" t="s">
        <v>66</v>
      </c>
      <c r="AR764">
        <v>0</v>
      </c>
      <c r="AS764" t="s">
        <v>66</v>
      </c>
      <c r="AT764">
        <v>0</v>
      </c>
      <c r="AU764" t="s">
        <v>66</v>
      </c>
      <c r="AV764">
        <v>0</v>
      </c>
      <c r="AW764" t="s">
        <v>66</v>
      </c>
      <c r="AX764">
        <v>0</v>
      </c>
      <c r="AY764" t="s">
        <v>66</v>
      </c>
      <c r="AZ764">
        <v>0</v>
      </c>
      <c r="BA764" t="s">
        <v>66</v>
      </c>
      <c r="BB764">
        <v>0</v>
      </c>
      <c r="BC764">
        <v>0</v>
      </c>
      <c r="BD764">
        <v>191808</v>
      </c>
      <c r="BE764">
        <v>13030.66</v>
      </c>
      <c r="BF764">
        <v>0</v>
      </c>
      <c r="BG764" t="s">
        <v>87</v>
      </c>
      <c r="BH764" t="s">
        <v>66</v>
      </c>
      <c r="BI764">
        <v>0</v>
      </c>
      <c r="BJ764" t="s">
        <v>66</v>
      </c>
      <c r="BK764" t="s">
        <v>88</v>
      </c>
      <c r="BL764" t="s">
        <v>66</v>
      </c>
      <c r="BM764" t="s">
        <v>159</v>
      </c>
    </row>
    <row r="765" spans="1:65" x14ac:dyDescent="0.25">
      <c r="A765">
        <v>763</v>
      </c>
      <c r="B765" t="s">
        <v>1174</v>
      </c>
      <c r="C765" t="s">
        <v>68</v>
      </c>
      <c r="D765" s="1">
        <v>46213</v>
      </c>
      <c r="E765" t="s">
        <v>1175</v>
      </c>
      <c r="F765" t="s">
        <v>68</v>
      </c>
      <c r="G765" t="s">
        <v>295</v>
      </c>
      <c r="H765" t="s">
        <v>296</v>
      </c>
      <c r="I765" t="s">
        <v>71</v>
      </c>
      <c r="J765" t="s">
        <v>72</v>
      </c>
      <c r="K765" t="s">
        <v>73</v>
      </c>
      <c r="L765" t="s">
        <v>74</v>
      </c>
      <c r="M765" t="s">
        <v>792</v>
      </c>
      <c r="N765" t="s">
        <v>274</v>
      </c>
      <c r="O765" t="s">
        <v>793</v>
      </c>
      <c r="P765" t="s">
        <v>794</v>
      </c>
      <c r="Q765" t="s">
        <v>1176</v>
      </c>
      <c r="R765" s="1">
        <v>46216</v>
      </c>
      <c r="S765" t="s">
        <v>796</v>
      </c>
      <c r="T765" t="s">
        <v>797</v>
      </c>
      <c r="U765" t="s">
        <v>798</v>
      </c>
      <c r="V765" t="s">
        <v>66</v>
      </c>
      <c r="W765" t="s">
        <v>66</v>
      </c>
      <c r="X765">
        <v>666000</v>
      </c>
      <c r="Y765">
        <v>73260</v>
      </c>
      <c r="Z765">
        <v>68400</v>
      </c>
      <c r="AA765">
        <v>7524</v>
      </c>
      <c r="AB765">
        <v>739260</v>
      </c>
      <c r="AC765">
        <v>12</v>
      </c>
      <c r="AD765" t="s">
        <v>82</v>
      </c>
      <c r="AE765">
        <v>12</v>
      </c>
      <c r="AF765" t="s">
        <v>90</v>
      </c>
      <c r="AG765">
        <f>IFERROR(VLOOKUP(AF765,[1]STOK!J:O,6,0),"")</f>
        <v>48</v>
      </c>
      <c r="AH765" s="2">
        <f t="shared" si="22"/>
        <v>0.25</v>
      </c>
      <c r="AI765" t="s">
        <v>90</v>
      </c>
      <c r="AJ765" t="s">
        <v>91</v>
      </c>
      <c r="AK765" t="s">
        <v>92</v>
      </c>
      <c r="AL765" t="s">
        <v>86</v>
      </c>
      <c r="AM765">
        <v>6327</v>
      </c>
      <c r="AN765">
        <f t="shared" si="23"/>
        <v>6327</v>
      </c>
      <c r="AO765" t="s">
        <v>66</v>
      </c>
      <c r="AP765">
        <v>0</v>
      </c>
      <c r="AQ765" t="s">
        <v>66</v>
      </c>
      <c r="AR765">
        <v>0</v>
      </c>
      <c r="AS765" t="s">
        <v>66</v>
      </c>
      <c r="AT765">
        <v>0</v>
      </c>
      <c r="AU765" t="s">
        <v>66</v>
      </c>
      <c r="AV765">
        <v>0</v>
      </c>
      <c r="AW765" t="s">
        <v>66</v>
      </c>
      <c r="AX765">
        <v>0</v>
      </c>
      <c r="AY765" t="s">
        <v>66</v>
      </c>
      <c r="AZ765">
        <v>0</v>
      </c>
      <c r="BA765" t="s">
        <v>66</v>
      </c>
      <c r="BB765">
        <v>0</v>
      </c>
      <c r="BC765">
        <v>0</v>
      </c>
      <c r="BD765">
        <v>75924</v>
      </c>
      <c r="BE765">
        <v>5043.8999999999996</v>
      </c>
      <c r="BF765">
        <v>0</v>
      </c>
      <c r="BG765" t="s">
        <v>87</v>
      </c>
      <c r="BH765" t="s">
        <v>66</v>
      </c>
      <c r="BI765">
        <v>0</v>
      </c>
      <c r="BJ765" t="s">
        <v>66</v>
      </c>
      <c r="BK765" t="s">
        <v>88</v>
      </c>
      <c r="BL765" t="s">
        <v>66</v>
      </c>
      <c r="BM765" t="s">
        <v>159</v>
      </c>
    </row>
    <row r="766" spans="1:65" x14ac:dyDescent="0.25">
      <c r="A766">
        <v>764</v>
      </c>
      <c r="B766" t="s">
        <v>1174</v>
      </c>
      <c r="C766" t="s">
        <v>68</v>
      </c>
      <c r="D766" s="1">
        <v>46213</v>
      </c>
      <c r="E766" t="s">
        <v>1175</v>
      </c>
      <c r="F766" t="s">
        <v>68</v>
      </c>
      <c r="G766" t="s">
        <v>295</v>
      </c>
      <c r="H766" t="s">
        <v>296</v>
      </c>
      <c r="I766" t="s">
        <v>71</v>
      </c>
      <c r="J766" t="s">
        <v>72</v>
      </c>
      <c r="K766" t="s">
        <v>73</v>
      </c>
      <c r="L766" t="s">
        <v>74</v>
      </c>
      <c r="M766" t="s">
        <v>792</v>
      </c>
      <c r="N766" t="s">
        <v>274</v>
      </c>
      <c r="O766" t="s">
        <v>793</v>
      </c>
      <c r="P766" t="s">
        <v>794</v>
      </c>
      <c r="Q766" t="s">
        <v>1176</v>
      </c>
      <c r="R766" s="1">
        <v>46216</v>
      </c>
      <c r="S766" t="s">
        <v>796</v>
      </c>
      <c r="T766" t="s">
        <v>797</v>
      </c>
      <c r="U766" t="s">
        <v>798</v>
      </c>
      <c r="V766" t="s">
        <v>66</v>
      </c>
      <c r="W766" t="s">
        <v>66</v>
      </c>
      <c r="X766">
        <v>666000</v>
      </c>
      <c r="Y766">
        <v>73260</v>
      </c>
      <c r="Z766">
        <v>198000</v>
      </c>
      <c r="AA766">
        <v>21780</v>
      </c>
      <c r="AB766">
        <v>739260</v>
      </c>
      <c r="AC766">
        <v>12</v>
      </c>
      <c r="AD766" t="s">
        <v>82</v>
      </c>
      <c r="AE766">
        <v>12</v>
      </c>
      <c r="AF766" t="s">
        <v>96</v>
      </c>
      <c r="AG766">
        <f>IFERROR(VLOOKUP(AF766,[1]STOK!J:O,6,0),"")</f>
        <v>24</v>
      </c>
      <c r="AH766" s="2">
        <f t="shared" si="22"/>
        <v>0.5</v>
      </c>
      <c r="AI766" t="s">
        <v>96</v>
      </c>
      <c r="AJ766" t="s">
        <v>97</v>
      </c>
      <c r="AK766" t="s">
        <v>98</v>
      </c>
      <c r="AL766" t="s">
        <v>86</v>
      </c>
      <c r="AM766">
        <v>18315</v>
      </c>
      <c r="AN766">
        <f t="shared" si="23"/>
        <v>18315</v>
      </c>
      <c r="AO766" t="s">
        <v>66</v>
      </c>
      <c r="AP766">
        <v>0</v>
      </c>
      <c r="AQ766" t="s">
        <v>66</v>
      </c>
      <c r="AR766">
        <v>0</v>
      </c>
      <c r="AS766" t="s">
        <v>66</v>
      </c>
      <c r="AT766">
        <v>0</v>
      </c>
      <c r="AU766" t="s">
        <v>66</v>
      </c>
      <c r="AV766">
        <v>0</v>
      </c>
      <c r="AW766" t="s">
        <v>66</v>
      </c>
      <c r="AX766">
        <v>0</v>
      </c>
      <c r="AY766" t="s">
        <v>66</v>
      </c>
      <c r="AZ766">
        <v>0</v>
      </c>
      <c r="BA766" t="s">
        <v>66</v>
      </c>
      <c r="BB766">
        <v>0</v>
      </c>
      <c r="BC766">
        <v>0</v>
      </c>
      <c r="BD766">
        <v>219780</v>
      </c>
      <c r="BE766">
        <v>14932.88</v>
      </c>
      <c r="BF766">
        <v>0</v>
      </c>
      <c r="BG766" t="s">
        <v>87</v>
      </c>
      <c r="BH766" t="s">
        <v>66</v>
      </c>
      <c r="BI766">
        <v>0</v>
      </c>
      <c r="BJ766" t="s">
        <v>66</v>
      </c>
      <c r="BK766" t="s">
        <v>88</v>
      </c>
      <c r="BL766" t="s">
        <v>66</v>
      </c>
      <c r="BM766" t="s">
        <v>159</v>
      </c>
    </row>
    <row r="767" spans="1:65" x14ac:dyDescent="0.25">
      <c r="A767">
        <v>765</v>
      </c>
      <c r="B767" t="s">
        <v>1174</v>
      </c>
      <c r="C767" t="s">
        <v>68</v>
      </c>
      <c r="D767" s="1">
        <v>46213</v>
      </c>
      <c r="E767" t="s">
        <v>1175</v>
      </c>
      <c r="F767" t="s">
        <v>68</v>
      </c>
      <c r="G767" t="s">
        <v>295</v>
      </c>
      <c r="H767" t="s">
        <v>296</v>
      </c>
      <c r="I767" t="s">
        <v>71</v>
      </c>
      <c r="J767" t="s">
        <v>72</v>
      </c>
      <c r="K767" t="s">
        <v>73</v>
      </c>
      <c r="L767" t="s">
        <v>74</v>
      </c>
      <c r="M767" t="s">
        <v>792</v>
      </c>
      <c r="N767" t="s">
        <v>274</v>
      </c>
      <c r="O767" t="s">
        <v>793</v>
      </c>
      <c r="P767" t="s">
        <v>794</v>
      </c>
      <c r="Q767" t="s">
        <v>1176</v>
      </c>
      <c r="R767" s="1">
        <v>46216</v>
      </c>
      <c r="S767" t="s">
        <v>796</v>
      </c>
      <c r="T767" t="s">
        <v>797</v>
      </c>
      <c r="U767" t="s">
        <v>798</v>
      </c>
      <c r="V767" t="s">
        <v>66</v>
      </c>
      <c r="W767" t="s">
        <v>66</v>
      </c>
      <c r="X767">
        <v>666000</v>
      </c>
      <c r="Y767">
        <v>73260</v>
      </c>
      <c r="Z767">
        <v>159600</v>
      </c>
      <c r="AA767">
        <v>17556</v>
      </c>
      <c r="AB767">
        <v>739260</v>
      </c>
      <c r="AC767">
        <v>12</v>
      </c>
      <c r="AD767" t="s">
        <v>82</v>
      </c>
      <c r="AE767">
        <v>12</v>
      </c>
      <c r="AF767" t="s">
        <v>210</v>
      </c>
      <c r="AG767">
        <f>IFERROR(VLOOKUP(AF767,[1]STOK!J:O,6,0),"")</f>
        <v>12</v>
      </c>
      <c r="AH767" s="2">
        <f t="shared" si="22"/>
        <v>1</v>
      </c>
      <c r="AI767" t="s">
        <v>210</v>
      </c>
      <c r="AJ767" t="s">
        <v>211</v>
      </c>
      <c r="AK767" t="s">
        <v>212</v>
      </c>
      <c r="AL767" t="s">
        <v>86</v>
      </c>
      <c r="AM767">
        <v>14763</v>
      </c>
      <c r="AN767">
        <f t="shared" si="23"/>
        <v>14763</v>
      </c>
      <c r="AO767" t="s">
        <v>66</v>
      </c>
      <c r="AP767">
        <v>0</v>
      </c>
      <c r="AQ767" t="s">
        <v>66</v>
      </c>
      <c r="AR767">
        <v>0</v>
      </c>
      <c r="AS767" t="s">
        <v>66</v>
      </c>
      <c r="AT767">
        <v>0</v>
      </c>
      <c r="AU767" t="s">
        <v>66</v>
      </c>
      <c r="AV767">
        <v>0</v>
      </c>
      <c r="AW767" t="s">
        <v>66</v>
      </c>
      <c r="AX767">
        <v>0</v>
      </c>
      <c r="AY767" t="s">
        <v>66</v>
      </c>
      <c r="AZ767">
        <v>0</v>
      </c>
      <c r="BA767" t="s">
        <v>66</v>
      </c>
      <c r="BB767">
        <v>0</v>
      </c>
      <c r="BC767">
        <v>0</v>
      </c>
      <c r="BD767">
        <v>177156</v>
      </c>
      <c r="BE767">
        <v>12009.37</v>
      </c>
      <c r="BF767">
        <v>0</v>
      </c>
      <c r="BG767" t="s">
        <v>87</v>
      </c>
      <c r="BH767" t="s">
        <v>66</v>
      </c>
      <c r="BI767">
        <v>0</v>
      </c>
      <c r="BJ767" t="s">
        <v>66</v>
      </c>
      <c r="BK767" t="s">
        <v>88</v>
      </c>
      <c r="BL767" t="s">
        <v>66</v>
      </c>
      <c r="BM767" t="s">
        <v>159</v>
      </c>
    </row>
    <row r="768" spans="1:65" x14ac:dyDescent="0.25">
      <c r="A768">
        <v>766</v>
      </c>
      <c r="B768" t="s">
        <v>1174</v>
      </c>
      <c r="C768" t="s">
        <v>68</v>
      </c>
      <c r="D768" s="1">
        <v>46213</v>
      </c>
      <c r="E768" t="s">
        <v>1175</v>
      </c>
      <c r="F768" t="s">
        <v>68</v>
      </c>
      <c r="G768" t="s">
        <v>295</v>
      </c>
      <c r="H768" t="s">
        <v>296</v>
      </c>
      <c r="I768" t="s">
        <v>71</v>
      </c>
      <c r="J768" t="s">
        <v>72</v>
      </c>
      <c r="K768" t="s">
        <v>73</v>
      </c>
      <c r="L768" t="s">
        <v>74</v>
      </c>
      <c r="M768" t="s">
        <v>792</v>
      </c>
      <c r="N768" t="s">
        <v>274</v>
      </c>
      <c r="O768" t="s">
        <v>793</v>
      </c>
      <c r="P768" t="s">
        <v>794</v>
      </c>
      <c r="Q768" t="s">
        <v>1176</v>
      </c>
      <c r="R768" s="1">
        <v>46216</v>
      </c>
      <c r="S768" t="s">
        <v>796</v>
      </c>
      <c r="T768" t="s">
        <v>797</v>
      </c>
      <c r="U768" t="s">
        <v>798</v>
      </c>
      <c r="V768" t="s">
        <v>66</v>
      </c>
      <c r="W768" t="s">
        <v>66</v>
      </c>
      <c r="X768">
        <v>666000</v>
      </c>
      <c r="Y768">
        <v>73260</v>
      </c>
      <c r="Z768">
        <v>240000</v>
      </c>
      <c r="AA768">
        <v>26400</v>
      </c>
      <c r="AB768">
        <v>739260</v>
      </c>
      <c r="AC768">
        <v>12</v>
      </c>
      <c r="AD768" t="s">
        <v>82</v>
      </c>
      <c r="AE768">
        <v>12</v>
      </c>
      <c r="AF768" t="s">
        <v>290</v>
      </c>
      <c r="AG768">
        <f>IFERROR(VLOOKUP(AF768,[1]STOK!J:O,6,0),"")</f>
        <v>12</v>
      </c>
      <c r="AH768" s="2">
        <f t="shared" si="22"/>
        <v>1</v>
      </c>
      <c r="AI768" t="s">
        <v>290</v>
      </c>
      <c r="AJ768" t="s">
        <v>291</v>
      </c>
      <c r="AK768" t="s">
        <v>292</v>
      </c>
      <c r="AL768" t="s">
        <v>86</v>
      </c>
      <c r="AM768">
        <v>22200</v>
      </c>
      <c r="AN768">
        <f t="shared" si="23"/>
        <v>22200</v>
      </c>
      <c r="AO768" t="s">
        <v>66</v>
      </c>
      <c r="AP768">
        <v>0</v>
      </c>
      <c r="AQ768" t="s">
        <v>66</v>
      </c>
      <c r="AR768">
        <v>0</v>
      </c>
      <c r="AS768" t="s">
        <v>66</v>
      </c>
      <c r="AT768">
        <v>0</v>
      </c>
      <c r="AU768" t="s">
        <v>66</v>
      </c>
      <c r="AV768">
        <v>0</v>
      </c>
      <c r="AW768" t="s">
        <v>66</v>
      </c>
      <c r="AX768">
        <v>0</v>
      </c>
      <c r="AY768" t="s">
        <v>66</v>
      </c>
      <c r="AZ768">
        <v>0</v>
      </c>
      <c r="BA768" t="s">
        <v>66</v>
      </c>
      <c r="BB768">
        <v>0</v>
      </c>
      <c r="BC768">
        <v>0</v>
      </c>
      <c r="BD768">
        <v>266400</v>
      </c>
      <c r="BE768">
        <v>18104.62</v>
      </c>
      <c r="BF768">
        <v>0</v>
      </c>
      <c r="BG768" t="s">
        <v>87</v>
      </c>
      <c r="BH768" t="s">
        <v>66</v>
      </c>
      <c r="BI768">
        <v>0</v>
      </c>
      <c r="BJ768" t="s">
        <v>66</v>
      </c>
      <c r="BK768" t="s">
        <v>88</v>
      </c>
      <c r="BL768" t="s">
        <v>66</v>
      </c>
      <c r="BM768" t="s">
        <v>159</v>
      </c>
    </row>
    <row r="769" spans="1:65" x14ac:dyDescent="0.25">
      <c r="A769">
        <v>767</v>
      </c>
      <c r="B769" t="s">
        <v>1177</v>
      </c>
      <c r="C769" t="s">
        <v>68</v>
      </c>
      <c r="D769" s="1">
        <v>46213</v>
      </c>
      <c r="E769" t="s">
        <v>1178</v>
      </c>
      <c r="F769" t="s">
        <v>68</v>
      </c>
      <c r="G769" t="s">
        <v>295</v>
      </c>
      <c r="H769" t="s">
        <v>296</v>
      </c>
      <c r="I769" t="s">
        <v>71</v>
      </c>
      <c r="J769" t="s">
        <v>72</v>
      </c>
      <c r="K769" t="s">
        <v>73</v>
      </c>
      <c r="L769" t="s">
        <v>74</v>
      </c>
      <c r="M769" t="s">
        <v>792</v>
      </c>
      <c r="N769" t="s">
        <v>274</v>
      </c>
      <c r="O769" t="s">
        <v>793</v>
      </c>
      <c r="P769" t="s">
        <v>794</v>
      </c>
      <c r="Q769" t="s">
        <v>1179</v>
      </c>
      <c r="R769" s="1">
        <v>46216</v>
      </c>
      <c r="S769" t="s">
        <v>796</v>
      </c>
      <c r="T769" t="s">
        <v>797</v>
      </c>
      <c r="U769" t="s">
        <v>798</v>
      </c>
      <c r="V769" t="s">
        <v>66</v>
      </c>
      <c r="W769" t="s">
        <v>66</v>
      </c>
      <c r="X769">
        <v>430200</v>
      </c>
      <c r="Y769">
        <v>47322</v>
      </c>
      <c r="Z769">
        <v>30000</v>
      </c>
      <c r="AA769">
        <v>3300</v>
      </c>
      <c r="AB769">
        <v>477522</v>
      </c>
      <c r="AC769">
        <v>12</v>
      </c>
      <c r="AD769" t="s">
        <v>82</v>
      </c>
      <c r="AE769">
        <v>12</v>
      </c>
      <c r="AF769" t="s">
        <v>163</v>
      </c>
      <c r="AG769">
        <f>IFERROR(VLOOKUP(AF769,[1]STOK!J:O,6,0),"")</f>
        <v>72</v>
      </c>
      <c r="AH769" s="2">
        <f t="shared" si="22"/>
        <v>0.16666666666666666</v>
      </c>
      <c r="AI769" t="s">
        <v>163</v>
      </c>
      <c r="AJ769" t="s">
        <v>164</v>
      </c>
      <c r="AK769" t="s">
        <v>165</v>
      </c>
      <c r="AL769" t="s">
        <v>86</v>
      </c>
      <c r="AM769">
        <v>2775</v>
      </c>
      <c r="AN769">
        <f t="shared" si="23"/>
        <v>2775</v>
      </c>
      <c r="AO769" t="s">
        <v>66</v>
      </c>
      <c r="AP769">
        <v>0</v>
      </c>
      <c r="AQ769" t="s">
        <v>66</v>
      </c>
      <c r="AR769">
        <v>0</v>
      </c>
      <c r="AS769" t="s">
        <v>66</v>
      </c>
      <c r="AT769">
        <v>0</v>
      </c>
      <c r="AU769" t="s">
        <v>66</v>
      </c>
      <c r="AV769">
        <v>0</v>
      </c>
      <c r="AW769" t="s">
        <v>66</v>
      </c>
      <c r="AX769">
        <v>0</v>
      </c>
      <c r="AY769" t="s">
        <v>66</v>
      </c>
      <c r="AZ769">
        <v>0</v>
      </c>
      <c r="BA769" t="s">
        <v>66</v>
      </c>
      <c r="BB769">
        <v>0</v>
      </c>
      <c r="BC769">
        <v>0</v>
      </c>
      <c r="BD769">
        <v>33300</v>
      </c>
      <c r="BE769">
        <v>2246.5300000000002</v>
      </c>
      <c r="BF769">
        <v>0</v>
      </c>
      <c r="BG769" t="s">
        <v>87</v>
      </c>
      <c r="BH769" t="s">
        <v>66</v>
      </c>
      <c r="BI769">
        <v>0</v>
      </c>
      <c r="BJ769" t="s">
        <v>66</v>
      </c>
      <c r="BK769" t="s">
        <v>88</v>
      </c>
      <c r="BL769" t="s">
        <v>66</v>
      </c>
      <c r="BM769" t="s">
        <v>159</v>
      </c>
    </row>
    <row r="770" spans="1:65" x14ac:dyDescent="0.25">
      <c r="A770">
        <v>768</v>
      </c>
      <c r="B770" t="s">
        <v>1177</v>
      </c>
      <c r="C770" t="s">
        <v>68</v>
      </c>
      <c r="D770" s="1">
        <v>46213</v>
      </c>
      <c r="E770" t="s">
        <v>1178</v>
      </c>
      <c r="F770" t="s">
        <v>68</v>
      </c>
      <c r="G770" t="s">
        <v>295</v>
      </c>
      <c r="H770" t="s">
        <v>296</v>
      </c>
      <c r="I770" t="s">
        <v>71</v>
      </c>
      <c r="J770" t="s">
        <v>72</v>
      </c>
      <c r="K770" t="s">
        <v>73</v>
      </c>
      <c r="L770" t="s">
        <v>74</v>
      </c>
      <c r="M770" t="s">
        <v>792</v>
      </c>
      <c r="N770" t="s">
        <v>274</v>
      </c>
      <c r="O770" t="s">
        <v>793</v>
      </c>
      <c r="P770" t="s">
        <v>794</v>
      </c>
      <c r="Q770" t="s">
        <v>1179</v>
      </c>
      <c r="R770" s="1">
        <v>46216</v>
      </c>
      <c r="S770" t="s">
        <v>796</v>
      </c>
      <c r="T770" t="s">
        <v>797</v>
      </c>
      <c r="U770" t="s">
        <v>798</v>
      </c>
      <c r="V770" t="s">
        <v>66</v>
      </c>
      <c r="W770" t="s">
        <v>66</v>
      </c>
      <c r="X770">
        <v>430200</v>
      </c>
      <c r="Y770">
        <v>47322</v>
      </c>
      <c r="Z770">
        <v>61200</v>
      </c>
      <c r="AA770">
        <v>6732</v>
      </c>
      <c r="AB770">
        <v>477522</v>
      </c>
      <c r="AC770">
        <v>6</v>
      </c>
      <c r="AD770" t="s">
        <v>82</v>
      </c>
      <c r="AE770">
        <v>6</v>
      </c>
      <c r="AF770" t="s">
        <v>726</v>
      </c>
      <c r="AG770">
        <f>IFERROR(VLOOKUP(AF770,[1]STOK!J:O,6,0),"")</f>
        <v>24</v>
      </c>
      <c r="AH770" s="2">
        <f t="shared" si="22"/>
        <v>0.25</v>
      </c>
      <c r="AI770" t="s">
        <v>726</v>
      </c>
      <c r="AJ770" t="s">
        <v>727</v>
      </c>
      <c r="AK770" t="s">
        <v>728</v>
      </c>
      <c r="AL770" t="s">
        <v>86</v>
      </c>
      <c r="AM770">
        <v>11322</v>
      </c>
      <c r="AN770">
        <f t="shared" si="23"/>
        <v>11322</v>
      </c>
      <c r="AO770" t="s">
        <v>66</v>
      </c>
      <c r="AP770">
        <v>0</v>
      </c>
      <c r="AQ770" t="s">
        <v>66</v>
      </c>
      <c r="AR770">
        <v>0</v>
      </c>
      <c r="AS770" t="s">
        <v>66</v>
      </c>
      <c r="AT770">
        <v>0</v>
      </c>
      <c r="AU770" t="s">
        <v>66</v>
      </c>
      <c r="AV770">
        <v>0</v>
      </c>
      <c r="AW770" t="s">
        <v>66</v>
      </c>
      <c r="AX770">
        <v>0</v>
      </c>
      <c r="AY770" t="s">
        <v>66</v>
      </c>
      <c r="AZ770">
        <v>0</v>
      </c>
      <c r="BA770" t="s">
        <v>66</v>
      </c>
      <c r="BB770">
        <v>0</v>
      </c>
      <c r="BC770">
        <v>0</v>
      </c>
      <c r="BD770">
        <v>67932</v>
      </c>
      <c r="BE770">
        <v>8902.5499999999993</v>
      </c>
      <c r="BF770">
        <v>0</v>
      </c>
      <c r="BG770" t="s">
        <v>87</v>
      </c>
      <c r="BH770" t="s">
        <v>66</v>
      </c>
      <c r="BI770">
        <v>0</v>
      </c>
      <c r="BJ770" t="s">
        <v>66</v>
      </c>
      <c r="BK770" t="s">
        <v>88</v>
      </c>
      <c r="BL770" t="s">
        <v>66</v>
      </c>
      <c r="BM770" t="s">
        <v>159</v>
      </c>
    </row>
    <row r="771" spans="1:65" x14ac:dyDescent="0.25">
      <c r="A771">
        <v>769</v>
      </c>
      <c r="B771" t="s">
        <v>1177</v>
      </c>
      <c r="C771" t="s">
        <v>68</v>
      </c>
      <c r="D771" s="1">
        <v>46213</v>
      </c>
      <c r="E771" t="s">
        <v>1178</v>
      </c>
      <c r="F771" t="s">
        <v>68</v>
      </c>
      <c r="G771" t="s">
        <v>295</v>
      </c>
      <c r="H771" t="s">
        <v>296</v>
      </c>
      <c r="I771" t="s">
        <v>71</v>
      </c>
      <c r="J771" t="s">
        <v>72</v>
      </c>
      <c r="K771" t="s">
        <v>73</v>
      </c>
      <c r="L771" t="s">
        <v>74</v>
      </c>
      <c r="M771" t="s">
        <v>792</v>
      </c>
      <c r="N771" t="s">
        <v>274</v>
      </c>
      <c r="O771" t="s">
        <v>793</v>
      </c>
      <c r="P771" t="s">
        <v>794</v>
      </c>
      <c r="Q771" t="s">
        <v>1179</v>
      </c>
      <c r="R771" s="1">
        <v>46216</v>
      </c>
      <c r="S771" t="s">
        <v>796</v>
      </c>
      <c r="T771" t="s">
        <v>797</v>
      </c>
      <c r="U771" t="s">
        <v>798</v>
      </c>
      <c r="V771" t="s">
        <v>66</v>
      </c>
      <c r="W771" t="s">
        <v>66</v>
      </c>
      <c r="X771">
        <v>430200</v>
      </c>
      <c r="Y771">
        <v>47322</v>
      </c>
      <c r="Z771">
        <v>99000</v>
      </c>
      <c r="AA771">
        <v>10890</v>
      </c>
      <c r="AB771">
        <v>477522</v>
      </c>
      <c r="AC771">
        <v>6</v>
      </c>
      <c r="AD771" t="s">
        <v>82</v>
      </c>
      <c r="AE771">
        <v>6</v>
      </c>
      <c r="AF771" t="s">
        <v>99</v>
      </c>
      <c r="AG771">
        <f>IFERROR(VLOOKUP(AF771,[1]STOK!J:O,6,0),"")</f>
        <v>24</v>
      </c>
      <c r="AH771" s="2">
        <f t="shared" si="22"/>
        <v>0.25</v>
      </c>
      <c r="AI771" t="s">
        <v>99</v>
      </c>
      <c r="AJ771" t="s">
        <v>100</v>
      </c>
      <c r="AK771" t="s">
        <v>101</v>
      </c>
      <c r="AL771" t="s">
        <v>86</v>
      </c>
      <c r="AM771">
        <v>18315</v>
      </c>
      <c r="AN771">
        <f t="shared" si="23"/>
        <v>18315</v>
      </c>
      <c r="AO771" t="s">
        <v>66</v>
      </c>
      <c r="AP771">
        <v>0</v>
      </c>
      <c r="AQ771" t="s">
        <v>66</v>
      </c>
      <c r="AR771">
        <v>0</v>
      </c>
      <c r="AS771" t="s">
        <v>66</v>
      </c>
      <c r="AT771">
        <v>0</v>
      </c>
      <c r="AU771" t="s">
        <v>66</v>
      </c>
      <c r="AV771">
        <v>0</v>
      </c>
      <c r="AW771" t="s">
        <v>66</v>
      </c>
      <c r="AX771">
        <v>0</v>
      </c>
      <c r="AY771" t="s">
        <v>66</v>
      </c>
      <c r="AZ771">
        <v>0</v>
      </c>
      <c r="BA771" t="s">
        <v>66</v>
      </c>
      <c r="BB771">
        <v>0</v>
      </c>
      <c r="BC771">
        <v>0</v>
      </c>
      <c r="BD771">
        <v>109890</v>
      </c>
      <c r="BE771">
        <v>14918.57</v>
      </c>
      <c r="BF771">
        <v>0</v>
      </c>
      <c r="BG771" t="s">
        <v>87</v>
      </c>
      <c r="BH771" t="s">
        <v>66</v>
      </c>
      <c r="BI771">
        <v>0</v>
      </c>
      <c r="BJ771" t="s">
        <v>66</v>
      </c>
      <c r="BK771" t="s">
        <v>88</v>
      </c>
      <c r="BL771" t="s">
        <v>66</v>
      </c>
      <c r="BM771" t="s">
        <v>159</v>
      </c>
    </row>
    <row r="772" spans="1:65" x14ac:dyDescent="0.25">
      <c r="A772">
        <v>770</v>
      </c>
      <c r="B772" t="s">
        <v>1177</v>
      </c>
      <c r="C772" t="s">
        <v>68</v>
      </c>
      <c r="D772" s="1">
        <v>46213</v>
      </c>
      <c r="E772" t="s">
        <v>1178</v>
      </c>
      <c r="F772" t="s">
        <v>68</v>
      </c>
      <c r="G772" t="s">
        <v>295</v>
      </c>
      <c r="H772" t="s">
        <v>296</v>
      </c>
      <c r="I772" t="s">
        <v>71</v>
      </c>
      <c r="J772" t="s">
        <v>72</v>
      </c>
      <c r="K772" t="s">
        <v>73</v>
      </c>
      <c r="L772" t="s">
        <v>74</v>
      </c>
      <c r="M772" t="s">
        <v>792</v>
      </c>
      <c r="N772" t="s">
        <v>274</v>
      </c>
      <c r="O772" t="s">
        <v>793</v>
      </c>
      <c r="P772" t="s">
        <v>794</v>
      </c>
      <c r="Q772" t="s">
        <v>1179</v>
      </c>
      <c r="R772" s="1">
        <v>46216</v>
      </c>
      <c r="S772" t="s">
        <v>796</v>
      </c>
      <c r="T772" t="s">
        <v>797</v>
      </c>
      <c r="U772" t="s">
        <v>798</v>
      </c>
      <c r="V772" t="s">
        <v>66</v>
      </c>
      <c r="W772" t="s">
        <v>66</v>
      </c>
      <c r="X772">
        <v>430200</v>
      </c>
      <c r="Y772">
        <v>47322</v>
      </c>
      <c r="Z772">
        <v>240000</v>
      </c>
      <c r="AA772">
        <v>26400</v>
      </c>
      <c r="AB772">
        <v>477522</v>
      </c>
      <c r="AC772">
        <v>12</v>
      </c>
      <c r="AD772" t="s">
        <v>82</v>
      </c>
      <c r="AE772">
        <v>12</v>
      </c>
      <c r="AF772" t="s">
        <v>102</v>
      </c>
      <c r="AG772">
        <f>IFERROR(VLOOKUP(AF772,[1]STOK!J:O,6,0),"")</f>
        <v>12</v>
      </c>
      <c r="AH772" s="2">
        <f t="shared" ref="AH772:AH835" si="24">AE772/AG772</f>
        <v>1</v>
      </c>
      <c r="AI772" t="s">
        <v>102</v>
      </c>
      <c r="AJ772" t="s">
        <v>103</v>
      </c>
      <c r="AK772" t="s">
        <v>104</v>
      </c>
      <c r="AL772" t="s">
        <v>86</v>
      </c>
      <c r="AM772">
        <v>22200</v>
      </c>
      <c r="AN772">
        <f t="shared" ref="AN772:AN835" si="25">BD772/AC772</f>
        <v>22200</v>
      </c>
      <c r="AO772" t="s">
        <v>66</v>
      </c>
      <c r="AP772">
        <v>0</v>
      </c>
      <c r="AQ772" t="s">
        <v>66</v>
      </c>
      <c r="AR772">
        <v>0</v>
      </c>
      <c r="AS772" t="s">
        <v>66</v>
      </c>
      <c r="AT772">
        <v>0</v>
      </c>
      <c r="AU772" t="s">
        <v>66</v>
      </c>
      <c r="AV772">
        <v>0</v>
      </c>
      <c r="AW772" t="s">
        <v>66</v>
      </c>
      <c r="AX772">
        <v>0</v>
      </c>
      <c r="AY772" t="s">
        <v>66</v>
      </c>
      <c r="AZ772">
        <v>0</v>
      </c>
      <c r="BA772" t="s">
        <v>66</v>
      </c>
      <c r="BB772">
        <v>0</v>
      </c>
      <c r="BC772">
        <v>0</v>
      </c>
      <c r="BD772">
        <v>266400</v>
      </c>
      <c r="BE772">
        <v>18080.310000000001</v>
      </c>
      <c r="BF772">
        <v>0</v>
      </c>
      <c r="BG772" t="s">
        <v>87</v>
      </c>
      <c r="BH772" t="s">
        <v>66</v>
      </c>
      <c r="BI772">
        <v>0</v>
      </c>
      <c r="BJ772" t="s">
        <v>66</v>
      </c>
      <c r="BK772" t="s">
        <v>88</v>
      </c>
      <c r="BL772" t="s">
        <v>66</v>
      </c>
      <c r="BM772" t="s">
        <v>159</v>
      </c>
    </row>
    <row r="773" spans="1:65" x14ac:dyDescent="0.25">
      <c r="A773">
        <v>771</v>
      </c>
      <c r="B773" t="s">
        <v>1180</v>
      </c>
      <c r="C773" t="s">
        <v>68</v>
      </c>
      <c r="D773" s="1">
        <v>46213</v>
      </c>
      <c r="E773" t="s">
        <v>1181</v>
      </c>
      <c r="F773" t="s">
        <v>68</v>
      </c>
      <c r="G773" t="s">
        <v>295</v>
      </c>
      <c r="H773" t="s">
        <v>296</v>
      </c>
      <c r="I773" t="s">
        <v>71</v>
      </c>
      <c r="J773" t="s">
        <v>72</v>
      </c>
      <c r="K773" t="s">
        <v>73</v>
      </c>
      <c r="L773" t="s">
        <v>74</v>
      </c>
      <c r="M773" t="s">
        <v>1182</v>
      </c>
      <c r="N773" t="s">
        <v>111</v>
      </c>
      <c r="O773" t="s">
        <v>1183</v>
      </c>
      <c r="P773" t="s">
        <v>1184</v>
      </c>
      <c r="Q773" t="s">
        <v>1185</v>
      </c>
      <c r="R773" s="1">
        <v>46214</v>
      </c>
      <c r="S773" t="s">
        <v>1186</v>
      </c>
      <c r="T773" t="s">
        <v>1187</v>
      </c>
      <c r="U773" t="s">
        <v>1188</v>
      </c>
      <c r="V773" t="s">
        <v>66</v>
      </c>
      <c r="W773" t="s">
        <v>66</v>
      </c>
      <c r="X773">
        <v>4878918</v>
      </c>
      <c r="Y773">
        <v>536680.98</v>
      </c>
      <c r="Z773">
        <v>196020</v>
      </c>
      <c r="AA773">
        <v>21562.2</v>
      </c>
      <c r="AB773">
        <v>5415598.9800000004</v>
      </c>
      <c r="AC773">
        <v>12</v>
      </c>
      <c r="AD773" t="s">
        <v>82</v>
      </c>
      <c r="AE773">
        <v>12</v>
      </c>
      <c r="AF773" t="s">
        <v>93</v>
      </c>
      <c r="AG773">
        <f>IFERROR(VLOOKUP(AF773,[1]STOK!J:O,6,0),"")</f>
        <v>24</v>
      </c>
      <c r="AH773" s="2">
        <f t="shared" si="24"/>
        <v>0.5</v>
      </c>
      <c r="AI773" t="s">
        <v>93</v>
      </c>
      <c r="AJ773" t="s">
        <v>94</v>
      </c>
      <c r="AK773" t="s">
        <v>95</v>
      </c>
      <c r="AL773" t="s">
        <v>86</v>
      </c>
      <c r="AM773">
        <v>18315</v>
      </c>
      <c r="AN773">
        <f t="shared" si="25"/>
        <v>18131.850000000002</v>
      </c>
      <c r="AO773" t="s">
        <v>66</v>
      </c>
      <c r="AP773">
        <v>1</v>
      </c>
      <c r="AQ773" t="s">
        <v>66</v>
      </c>
      <c r="AR773">
        <v>0</v>
      </c>
      <c r="AS773" t="s">
        <v>66</v>
      </c>
      <c r="AT773">
        <v>0</v>
      </c>
      <c r="AU773" t="s">
        <v>66</v>
      </c>
      <c r="AV773">
        <v>0</v>
      </c>
      <c r="AW773" t="s">
        <v>66</v>
      </c>
      <c r="AX773">
        <v>0</v>
      </c>
      <c r="AY773" t="s">
        <v>66</v>
      </c>
      <c r="AZ773">
        <v>0</v>
      </c>
      <c r="BA773" t="s">
        <v>66</v>
      </c>
      <c r="BB773">
        <v>0</v>
      </c>
      <c r="BC773">
        <v>0</v>
      </c>
      <c r="BD773">
        <v>217582.2</v>
      </c>
      <c r="BE773">
        <v>14931.77</v>
      </c>
      <c r="BF773">
        <v>0</v>
      </c>
      <c r="BG773" t="s">
        <v>87</v>
      </c>
      <c r="BH773" t="s">
        <v>66</v>
      </c>
      <c r="BI773">
        <v>0</v>
      </c>
      <c r="BJ773" t="s">
        <v>66</v>
      </c>
      <c r="BK773" t="s">
        <v>88</v>
      </c>
      <c r="BL773" t="s">
        <v>66</v>
      </c>
      <c r="BM773" t="s">
        <v>159</v>
      </c>
    </row>
    <row r="774" spans="1:65" x14ac:dyDescent="0.25">
      <c r="A774">
        <v>772</v>
      </c>
      <c r="B774" t="s">
        <v>1180</v>
      </c>
      <c r="C774" t="s">
        <v>68</v>
      </c>
      <c r="D774" s="1">
        <v>46213</v>
      </c>
      <c r="E774" t="s">
        <v>1181</v>
      </c>
      <c r="F774" t="s">
        <v>68</v>
      </c>
      <c r="G774" t="s">
        <v>295</v>
      </c>
      <c r="H774" t="s">
        <v>296</v>
      </c>
      <c r="I774" t="s">
        <v>71</v>
      </c>
      <c r="J774" t="s">
        <v>72</v>
      </c>
      <c r="K774" t="s">
        <v>73</v>
      </c>
      <c r="L774" t="s">
        <v>74</v>
      </c>
      <c r="M774" t="s">
        <v>1182</v>
      </c>
      <c r="N774" t="s">
        <v>111</v>
      </c>
      <c r="O774" t="s">
        <v>1183</v>
      </c>
      <c r="P774" t="s">
        <v>1184</v>
      </c>
      <c r="Q774" t="s">
        <v>1185</v>
      </c>
      <c r="R774" s="1">
        <v>46214</v>
      </c>
      <c r="S774" t="s">
        <v>1186</v>
      </c>
      <c r="T774" t="s">
        <v>1187</v>
      </c>
      <c r="U774" t="s">
        <v>1188</v>
      </c>
      <c r="V774" t="s">
        <v>66</v>
      </c>
      <c r="W774" t="s">
        <v>66</v>
      </c>
      <c r="X774">
        <v>4878918</v>
      </c>
      <c r="Y774">
        <v>536680.98</v>
      </c>
      <c r="Z774">
        <v>196020</v>
      </c>
      <c r="AA774">
        <v>21562.2</v>
      </c>
      <c r="AB774">
        <v>5415598.9800000004</v>
      </c>
      <c r="AC774">
        <v>12</v>
      </c>
      <c r="AD774" t="s">
        <v>82</v>
      </c>
      <c r="AE774">
        <v>12</v>
      </c>
      <c r="AF774" t="s">
        <v>96</v>
      </c>
      <c r="AG774">
        <f>IFERROR(VLOOKUP(AF774,[1]STOK!J:O,6,0),"")</f>
        <v>24</v>
      </c>
      <c r="AH774" s="2">
        <f t="shared" si="24"/>
        <v>0.5</v>
      </c>
      <c r="AI774" t="s">
        <v>96</v>
      </c>
      <c r="AJ774" t="s">
        <v>97</v>
      </c>
      <c r="AK774" t="s">
        <v>98</v>
      </c>
      <c r="AL774" t="s">
        <v>86</v>
      </c>
      <c r="AM774">
        <v>18315</v>
      </c>
      <c r="AN774">
        <f t="shared" si="25"/>
        <v>18131.850000000002</v>
      </c>
      <c r="AO774" t="s">
        <v>66</v>
      </c>
      <c r="AP774">
        <v>1</v>
      </c>
      <c r="AQ774" t="s">
        <v>66</v>
      </c>
      <c r="AR774">
        <v>0</v>
      </c>
      <c r="AS774" t="s">
        <v>66</v>
      </c>
      <c r="AT774">
        <v>0</v>
      </c>
      <c r="AU774" t="s">
        <v>66</v>
      </c>
      <c r="AV774">
        <v>0</v>
      </c>
      <c r="AW774" t="s">
        <v>66</v>
      </c>
      <c r="AX774">
        <v>0</v>
      </c>
      <c r="AY774" t="s">
        <v>66</v>
      </c>
      <c r="AZ774">
        <v>0</v>
      </c>
      <c r="BA774" t="s">
        <v>66</v>
      </c>
      <c r="BB774">
        <v>0</v>
      </c>
      <c r="BC774">
        <v>0</v>
      </c>
      <c r="BD774">
        <v>217582.2</v>
      </c>
      <c r="BE774">
        <v>14932.88</v>
      </c>
      <c r="BF774">
        <v>0</v>
      </c>
      <c r="BG774" t="s">
        <v>87</v>
      </c>
      <c r="BH774" t="s">
        <v>66</v>
      </c>
      <c r="BI774">
        <v>0</v>
      </c>
      <c r="BJ774" t="s">
        <v>66</v>
      </c>
      <c r="BK774" t="s">
        <v>88</v>
      </c>
      <c r="BL774" t="s">
        <v>66</v>
      </c>
      <c r="BM774" t="s">
        <v>159</v>
      </c>
    </row>
    <row r="775" spans="1:65" x14ac:dyDescent="0.25">
      <c r="A775">
        <v>773</v>
      </c>
      <c r="B775" t="s">
        <v>1180</v>
      </c>
      <c r="C775" t="s">
        <v>68</v>
      </c>
      <c r="D775" s="1">
        <v>46213</v>
      </c>
      <c r="E775" t="s">
        <v>1181</v>
      </c>
      <c r="F775" t="s">
        <v>68</v>
      </c>
      <c r="G775" t="s">
        <v>295</v>
      </c>
      <c r="H775" t="s">
        <v>296</v>
      </c>
      <c r="I775" t="s">
        <v>71</v>
      </c>
      <c r="J775" t="s">
        <v>72</v>
      </c>
      <c r="K775" t="s">
        <v>73</v>
      </c>
      <c r="L775" t="s">
        <v>74</v>
      </c>
      <c r="M775" t="s">
        <v>1182</v>
      </c>
      <c r="N775" t="s">
        <v>111</v>
      </c>
      <c r="O775" t="s">
        <v>1183</v>
      </c>
      <c r="P775" t="s">
        <v>1184</v>
      </c>
      <c r="Q775" t="s">
        <v>1185</v>
      </c>
      <c r="R775" s="1">
        <v>46214</v>
      </c>
      <c r="S775" t="s">
        <v>1186</v>
      </c>
      <c r="T775" t="s">
        <v>1187</v>
      </c>
      <c r="U775" t="s">
        <v>1188</v>
      </c>
      <c r="V775" t="s">
        <v>66</v>
      </c>
      <c r="W775" t="s">
        <v>66</v>
      </c>
      <c r="X775">
        <v>4878918</v>
      </c>
      <c r="Y775">
        <v>536680.98</v>
      </c>
      <c r="Z775">
        <v>392040</v>
      </c>
      <c r="AA775">
        <v>43124.4</v>
      </c>
      <c r="AB775">
        <v>5415598.9800000004</v>
      </c>
      <c r="AC775">
        <v>24</v>
      </c>
      <c r="AD775" t="s">
        <v>82</v>
      </c>
      <c r="AE775">
        <v>24</v>
      </c>
      <c r="AF775" t="s">
        <v>99</v>
      </c>
      <c r="AG775">
        <f>IFERROR(VLOOKUP(AF775,[1]STOK!J:O,6,0),"")</f>
        <v>24</v>
      </c>
      <c r="AH775" s="2">
        <f t="shared" si="24"/>
        <v>1</v>
      </c>
      <c r="AI775" t="s">
        <v>99</v>
      </c>
      <c r="AJ775" t="s">
        <v>100</v>
      </c>
      <c r="AK775" t="s">
        <v>101</v>
      </c>
      <c r="AL775" t="s">
        <v>86</v>
      </c>
      <c r="AM775">
        <v>18315</v>
      </c>
      <c r="AN775">
        <f t="shared" si="25"/>
        <v>18131.850000000002</v>
      </c>
      <c r="AO775" t="s">
        <v>66</v>
      </c>
      <c r="AP775">
        <v>1</v>
      </c>
      <c r="AQ775" t="s">
        <v>66</v>
      </c>
      <c r="AR775">
        <v>0</v>
      </c>
      <c r="AS775" t="s">
        <v>66</v>
      </c>
      <c r="AT775">
        <v>0</v>
      </c>
      <c r="AU775" t="s">
        <v>66</v>
      </c>
      <c r="AV775">
        <v>0</v>
      </c>
      <c r="AW775" t="s">
        <v>66</v>
      </c>
      <c r="AX775">
        <v>0</v>
      </c>
      <c r="AY775" t="s">
        <v>66</v>
      </c>
      <c r="AZ775">
        <v>0</v>
      </c>
      <c r="BA775" t="s">
        <v>66</v>
      </c>
      <c r="BB775">
        <v>0</v>
      </c>
      <c r="BC775">
        <v>0</v>
      </c>
      <c r="BD775">
        <v>435164.4</v>
      </c>
      <c r="BE775">
        <v>14918.57</v>
      </c>
      <c r="BF775">
        <v>0</v>
      </c>
      <c r="BG775" t="s">
        <v>87</v>
      </c>
      <c r="BH775" t="s">
        <v>66</v>
      </c>
      <c r="BI775">
        <v>0</v>
      </c>
      <c r="BJ775" t="s">
        <v>66</v>
      </c>
      <c r="BK775" t="s">
        <v>88</v>
      </c>
      <c r="BL775" t="s">
        <v>66</v>
      </c>
      <c r="BM775" t="s">
        <v>159</v>
      </c>
    </row>
    <row r="776" spans="1:65" x14ac:dyDescent="0.25">
      <c r="A776">
        <v>774</v>
      </c>
      <c r="B776" t="s">
        <v>1180</v>
      </c>
      <c r="C776" t="s">
        <v>68</v>
      </c>
      <c r="D776" s="1">
        <v>46213</v>
      </c>
      <c r="E776" t="s">
        <v>1181</v>
      </c>
      <c r="F776" t="s">
        <v>68</v>
      </c>
      <c r="G776" t="s">
        <v>295</v>
      </c>
      <c r="H776" t="s">
        <v>296</v>
      </c>
      <c r="I776" t="s">
        <v>71</v>
      </c>
      <c r="J776" t="s">
        <v>72</v>
      </c>
      <c r="K776" t="s">
        <v>73</v>
      </c>
      <c r="L776" t="s">
        <v>74</v>
      </c>
      <c r="M776" t="s">
        <v>1182</v>
      </c>
      <c r="N776" t="s">
        <v>111</v>
      </c>
      <c r="O776" t="s">
        <v>1183</v>
      </c>
      <c r="P776" t="s">
        <v>1184</v>
      </c>
      <c r="Q776" t="s">
        <v>1185</v>
      </c>
      <c r="R776" s="1">
        <v>46214</v>
      </c>
      <c r="S776" t="s">
        <v>1186</v>
      </c>
      <c r="T776" t="s">
        <v>1187</v>
      </c>
      <c r="U776" t="s">
        <v>1188</v>
      </c>
      <c r="V776" t="s">
        <v>66</v>
      </c>
      <c r="W776" t="s">
        <v>66</v>
      </c>
      <c r="X776">
        <v>4878918</v>
      </c>
      <c r="Y776">
        <v>536680.98</v>
      </c>
      <c r="Z776">
        <v>460944</v>
      </c>
      <c r="AA776">
        <v>50703.839999999997</v>
      </c>
      <c r="AB776">
        <v>5415598.9800000004</v>
      </c>
      <c r="AC776">
        <v>24</v>
      </c>
      <c r="AD776" t="s">
        <v>82</v>
      </c>
      <c r="AE776">
        <v>24</v>
      </c>
      <c r="AF776" t="s">
        <v>467</v>
      </c>
      <c r="AG776">
        <f>IFERROR(VLOOKUP(AF776,[1]STOK!J:O,6,0),"")</f>
        <v>24</v>
      </c>
      <c r="AH776" s="2">
        <f t="shared" si="24"/>
        <v>1</v>
      </c>
      <c r="AI776" t="s">
        <v>467</v>
      </c>
      <c r="AJ776" t="s">
        <v>468</v>
      </c>
      <c r="AK776" t="s">
        <v>469</v>
      </c>
      <c r="AL776" t="s">
        <v>86</v>
      </c>
      <c r="AM776">
        <v>21534</v>
      </c>
      <c r="AN776">
        <f t="shared" si="25"/>
        <v>21318.66</v>
      </c>
      <c r="AO776" t="s">
        <v>66</v>
      </c>
      <c r="AP776">
        <v>1</v>
      </c>
      <c r="AQ776" t="s">
        <v>66</v>
      </c>
      <c r="AR776">
        <v>0</v>
      </c>
      <c r="AS776" t="s">
        <v>66</v>
      </c>
      <c r="AT776">
        <v>0</v>
      </c>
      <c r="AU776" t="s">
        <v>66</v>
      </c>
      <c r="AV776">
        <v>0</v>
      </c>
      <c r="AW776" t="s">
        <v>66</v>
      </c>
      <c r="AX776">
        <v>0</v>
      </c>
      <c r="AY776" t="s">
        <v>66</v>
      </c>
      <c r="AZ776">
        <v>0</v>
      </c>
      <c r="BA776" t="s">
        <v>66</v>
      </c>
      <c r="BB776">
        <v>0</v>
      </c>
      <c r="BC776">
        <v>0</v>
      </c>
      <c r="BD776">
        <v>511647.84</v>
      </c>
      <c r="BE776">
        <v>17331.98</v>
      </c>
      <c r="BF776">
        <v>0</v>
      </c>
      <c r="BG776" t="s">
        <v>87</v>
      </c>
      <c r="BH776" t="s">
        <v>66</v>
      </c>
      <c r="BI776">
        <v>0</v>
      </c>
      <c r="BJ776" t="s">
        <v>66</v>
      </c>
      <c r="BK776" t="s">
        <v>88</v>
      </c>
      <c r="BL776" t="s">
        <v>66</v>
      </c>
      <c r="BM776" t="s">
        <v>159</v>
      </c>
    </row>
    <row r="777" spans="1:65" x14ac:dyDescent="0.25">
      <c r="A777">
        <v>775</v>
      </c>
      <c r="B777" t="s">
        <v>1180</v>
      </c>
      <c r="C777" t="s">
        <v>68</v>
      </c>
      <c r="D777" s="1">
        <v>46213</v>
      </c>
      <c r="E777" t="s">
        <v>1181</v>
      </c>
      <c r="F777" t="s">
        <v>68</v>
      </c>
      <c r="G777" t="s">
        <v>295</v>
      </c>
      <c r="H777" t="s">
        <v>296</v>
      </c>
      <c r="I777" t="s">
        <v>71</v>
      </c>
      <c r="J777" t="s">
        <v>72</v>
      </c>
      <c r="K777" t="s">
        <v>73</v>
      </c>
      <c r="L777" t="s">
        <v>74</v>
      </c>
      <c r="M777" t="s">
        <v>1182</v>
      </c>
      <c r="N777" t="s">
        <v>111</v>
      </c>
      <c r="O777" t="s">
        <v>1183</v>
      </c>
      <c r="P777" t="s">
        <v>1184</v>
      </c>
      <c r="Q777" t="s">
        <v>1185</v>
      </c>
      <c r="R777" s="1">
        <v>46214</v>
      </c>
      <c r="S777" t="s">
        <v>1186</v>
      </c>
      <c r="T777" t="s">
        <v>1187</v>
      </c>
      <c r="U777" t="s">
        <v>1188</v>
      </c>
      <c r="V777" t="s">
        <v>66</v>
      </c>
      <c r="W777" t="s">
        <v>66</v>
      </c>
      <c r="X777">
        <v>4878918</v>
      </c>
      <c r="Y777">
        <v>536680.98</v>
      </c>
      <c r="Z777">
        <v>460944</v>
      </c>
      <c r="AA777">
        <v>50703.839999999997</v>
      </c>
      <c r="AB777">
        <v>5415598.9800000004</v>
      </c>
      <c r="AC777">
        <v>24</v>
      </c>
      <c r="AD777" t="s">
        <v>82</v>
      </c>
      <c r="AE777">
        <v>24</v>
      </c>
      <c r="AF777" t="s">
        <v>470</v>
      </c>
      <c r="AG777">
        <f>IFERROR(VLOOKUP(AF777,[1]STOK!J:O,6,0),"")</f>
        <v>24</v>
      </c>
      <c r="AH777" s="2">
        <f t="shared" si="24"/>
        <v>1</v>
      </c>
      <c r="AI777" t="s">
        <v>470</v>
      </c>
      <c r="AJ777" t="s">
        <v>471</v>
      </c>
      <c r="AK777" t="s">
        <v>472</v>
      </c>
      <c r="AL777" t="s">
        <v>86</v>
      </c>
      <c r="AM777">
        <v>21534</v>
      </c>
      <c r="AN777">
        <f t="shared" si="25"/>
        <v>21318.66</v>
      </c>
      <c r="AO777" t="s">
        <v>66</v>
      </c>
      <c r="AP777">
        <v>1</v>
      </c>
      <c r="AQ777" t="s">
        <v>66</v>
      </c>
      <c r="AR777">
        <v>0</v>
      </c>
      <c r="AS777" t="s">
        <v>66</v>
      </c>
      <c r="AT777">
        <v>0</v>
      </c>
      <c r="AU777" t="s">
        <v>66</v>
      </c>
      <c r="AV777">
        <v>0</v>
      </c>
      <c r="AW777" t="s">
        <v>66</v>
      </c>
      <c r="AX777">
        <v>0</v>
      </c>
      <c r="AY777" t="s">
        <v>66</v>
      </c>
      <c r="AZ777">
        <v>0</v>
      </c>
      <c r="BA777" t="s">
        <v>66</v>
      </c>
      <c r="BB777">
        <v>0</v>
      </c>
      <c r="BC777">
        <v>0</v>
      </c>
      <c r="BD777">
        <v>511647.84</v>
      </c>
      <c r="BE777">
        <v>17429.22</v>
      </c>
      <c r="BF777">
        <v>0</v>
      </c>
      <c r="BG777" t="s">
        <v>87</v>
      </c>
      <c r="BH777" t="s">
        <v>66</v>
      </c>
      <c r="BI777">
        <v>0</v>
      </c>
      <c r="BJ777" t="s">
        <v>66</v>
      </c>
      <c r="BK777" t="s">
        <v>88</v>
      </c>
      <c r="BL777" t="s">
        <v>66</v>
      </c>
      <c r="BM777" t="s">
        <v>159</v>
      </c>
    </row>
    <row r="778" spans="1:65" x14ac:dyDescent="0.25">
      <c r="A778">
        <v>776</v>
      </c>
      <c r="B778" t="s">
        <v>1180</v>
      </c>
      <c r="C778" t="s">
        <v>68</v>
      </c>
      <c r="D778" s="1">
        <v>46213</v>
      </c>
      <c r="E778" t="s">
        <v>1181</v>
      </c>
      <c r="F778" t="s">
        <v>68</v>
      </c>
      <c r="G778" t="s">
        <v>295</v>
      </c>
      <c r="H778" t="s">
        <v>296</v>
      </c>
      <c r="I778" t="s">
        <v>71</v>
      </c>
      <c r="J778" t="s">
        <v>72</v>
      </c>
      <c r="K778" t="s">
        <v>73</v>
      </c>
      <c r="L778" t="s">
        <v>74</v>
      </c>
      <c r="M778" t="s">
        <v>1182</v>
      </c>
      <c r="N778" t="s">
        <v>111</v>
      </c>
      <c r="O778" t="s">
        <v>1183</v>
      </c>
      <c r="P778" t="s">
        <v>1184</v>
      </c>
      <c r="Q778" t="s">
        <v>1185</v>
      </c>
      <c r="R778" s="1">
        <v>46214</v>
      </c>
      <c r="S778" t="s">
        <v>1186</v>
      </c>
      <c r="T778" t="s">
        <v>1187</v>
      </c>
      <c r="U778" t="s">
        <v>1188</v>
      </c>
      <c r="V778" t="s">
        <v>66</v>
      </c>
      <c r="W778" t="s">
        <v>66</v>
      </c>
      <c r="X778">
        <v>4878918</v>
      </c>
      <c r="Y778">
        <v>536680.98</v>
      </c>
      <c r="Z778">
        <v>230472</v>
      </c>
      <c r="AA778">
        <v>25351.919999999998</v>
      </c>
      <c r="AB778">
        <v>5415598.9800000004</v>
      </c>
      <c r="AC778">
        <v>12</v>
      </c>
      <c r="AD778" t="s">
        <v>82</v>
      </c>
      <c r="AE778">
        <v>12</v>
      </c>
      <c r="AF778" t="s">
        <v>284</v>
      </c>
      <c r="AG778">
        <f>IFERROR(VLOOKUP(AF778,[1]STOK!J:O,6,0),"")</f>
        <v>12</v>
      </c>
      <c r="AH778" s="2">
        <f t="shared" si="24"/>
        <v>1</v>
      </c>
      <c r="AI778" t="s">
        <v>284</v>
      </c>
      <c r="AJ778" t="s">
        <v>285</v>
      </c>
      <c r="AK778" t="s">
        <v>286</v>
      </c>
      <c r="AL778" t="s">
        <v>86</v>
      </c>
      <c r="AM778">
        <v>21534</v>
      </c>
      <c r="AN778">
        <f t="shared" si="25"/>
        <v>21318.66</v>
      </c>
      <c r="AO778" t="s">
        <v>66</v>
      </c>
      <c r="AP778">
        <v>1</v>
      </c>
      <c r="AQ778" t="s">
        <v>66</v>
      </c>
      <c r="AR778">
        <v>0</v>
      </c>
      <c r="AS778" t="s">
        <v>66</v>
      </c>
      <c r="AT778">
        <v>0</v>
      </c>
      <c r="AU778" t="s">
        <v>66</v>
      </c>
      <c r="AV778">
        <v>0</v>
      </c>
      <c r="AW778" t="s">
        <v>66</v>
      </c>
      <c r="AX778">
        <v>0</v>
      </c>
      <c r="AY778" t="s">
        <v>66</v>
      </c>
      <c r="AZ778">
        <v>0</v>
      </c>
      <c r="BA778" t="s">
        <v>66</v>
      </c>
      <c r="BB778">
        <v>0</v>
      </c>
      <c r="BC778">
        <v>0</v>
      </c>
      <c r="BD778">
        <v>255823.92</v>
      </c>
      <c r="BE778">
        <v>17371.36</v>
      </c>
      <c r="BF778">
        <v>0</v>
      </c>
      <c r="BG778" t="s">
        <v>87</v>
      </c>
      <c r="BH778" t="s">
        <v>66</v>
      </c>
      <c r="BI778">
        <v>0</v>
      </c>
      <c r="BJ778" t="s">
        <v>66</v>
      </c>
      <c r="BK778" t="s">
        <v>88</v>
      </c>
      <c r="BL778" t="s">
        <v>66</v>
      </c>
      <c r="BM778" t="s">
        <v>159</v>
      </c>
    </row>
    <row r="779" spans="1:65" x14ac:dyDescent="0.25">
      <c r="A779">
        <v>777</v>
      </c>
      <c r="B779" t="s">
        <v>1180</v>
      </c>
      <c r="C779" t="s">
        <v>68</v>
      </c>
      <c r="D779" s="1">
        <v>46213</v>
      </c>
      <c r="E779" t="s">
        <v>1181</v>
      </c>
      <c r="F779" t="s">
        <v>68</v>
      </c>
      <c r="G779" t="s">
        <v>295</v>
      </c>
      <c r="H779" t="s">
        <v>296</v>
      </c>
      <c r="I779" t="s">
        <v>71</v>
      </c>
      <c r="J779" t="s">
        <v>72</v>
      </c>
      <c r="K779" t="s">
        <v>73</v>
      </c>
      <c r="L779" t="s">
        <v>74</v>
      </c>
      <c r="M779" t="s">
        <v>1182</v>
      </c>
      <c r="N779" t="s">
        <v>111</v>
      </c>
      <c r="O779" t="s">
        <v>1183</v>
      </c>
      <c r="P779" t="s">
        <v>1184</v>
      </c>
      <c r="Q779" t="s">
        <v>1185</v>
      </c>
      <c r="R779" s="1">
        <v>46214</v>
      </c>
      <c r="S779" t="s">
        <v>1186</v>
      </c>
      <c r="T779" t="s">
        <v>1187</v>
      </c>
      <c r="U779" t="s">
        <v>1188</v>
      </c>
      <c r="V779" t="s">
        <v>66</v>
      </c>
      <c r="W779" t="s">
        <v>66</v>
      </c>
      <c r="X779">
        <v>4878918</v>
      </c>
      <c r="Y779">
        <v>536680.98</v>
      </c>
      <c r="Z779">
        <v>460944</v>
      </c>
      <c r="AA779">
        <v>50703.839999999997</v>
      </c>
      <c r="AB779">
        <v>5415598.9800000004</v>
      </c>
      <c r="AC779">
        <v>24</v>
      </c>
      <c r="AD779" t="s">
        <v>82</v>
      </c>
      <c r="AE779">
        <v>24</v>
      </c>
      <c r="AF779" t="s">
        <v>287</v>
      </c>
      <c r="AG779">
        <f>IFERROR(VLOOKUP(AF779,[1]STOK!J:O,6,0),"")</f>
        <v>12</v>
      </c>
      <c r="AH779" s="2">
        <f t="shared" si="24"/>
        <v>2</v>
      </c>
      <c r="AI779" t="s">
        <v>287</v>
      </c>
      <c r="AJ779" t="s">
        <v>288</v>
      </c>
      <c r="AK779" t="s">
        <v>289</v>
      </c>
      <c r="AL779" t="s">
        <v>86</v>
      </c>
      <c r="AM779">
        <v>21534</v>
      </c>
      <c r="AN779">
        <f t="shared" si="25"/>
        <v>21318.66</v>
      </c>
      <c r="AO779" t="s">
        <v>66</v>
      </c>
      <c r="AP779">
        <v>1</v>
      </c>
      <c r="AQ779" t="s">
        <v>66</v>
      </c>
      <c r="AR779">
        <v>0</v>
      </c>
      <c r="AS779" t="s">
        <v>66</v>
      </c>
      <c r="AT779">
        <v>0</v>
      </c>
      <c r="AU779" t="s">
        <v>66</v>
      </c>
      <c r="AV779">
        <v>0</v>
      </c>
      <c r="AW779" t="s">
        <v>66</v>
      </c>
      <c r="AX779">
        <v>0</v>
      </c>
      <c r="AY779" t="s">
        <v>66</v>
      </c>
      <c r="AZ779">
        <v>0</v>
      </c>
      <c r="BA779" t="s">
        <v>66</v>
      </c>
      <c r="BB779">
        <v>0</v>
      </c>
      <c r="BC779">
        <v>0</v>
      </c>
      <c r="BD779">
        <v>511647.84</v>
      </c>
      <c r="BE779">
        <v>17422.02</v>
      </c>
      <c r="BF779">
        <v>0</v>
      </c>
      <c r="BG779" t="s">
        <v>87</v>
      </c>
      <c r="BH779" t="s">
        <v>66</v>
      </c>
      <c r="BI779">
        <v>0</v>
      </c>
      <c r="BJ779" t="s">
        <v>66</v>
      </c>
      <c r="BK779" t="s">
        <v>88</v>
      </c>
      <c r="BL779" t="s">
        <v>66</v>
      </c>
      <c r="BM779" t="s">
        <v>159</v>
      </c>
    </row>
    <row r="780" spans="1:65" x14ac:dyDescent="0.25">
      <c r="A780">
        <v>778</v>
      </c>
      <c r="B780" t="s">
        <v>1180</v>
      </c>
      <c r="C780" t="s">
        <v>68</v>
      </c>
      <c r="D780" s="1">
        <v>46213</v>
      </c>
      <c r="E780" t="s">
        <v>1181</v>
      </c>
      <c r="F780" t="s">
        <v>68</v>
      </c>
      <c r="G780" t="s">
        <v>295</v>
      </c>
      <c r="H780" t="s">
        <v>296</v>
      </c>
      <c r="I780" t="s">
        <v>71</v>
      </c>
      <c r="J780" t="s">
        <v>72</v>
      </c>
      <c r="K780" t="s">
        <v>73</v>
      </c>
      <c r="L780" t="s">
        <v>74</v>
      </c>
      <c r="M780" t="s">
        <v>1182</v>
      </c>
      <c r="N780" t="s">
        <v>111</v>
      </c>
      <c r="O780" t="s">
        <v>1183</v>
      </c>
      <c r="P780" t="s">
        <v>1184</v>
      </c>
      <c r="Q780" t="s">
        <v>1185</v>
      </c>
      <c r="R780" s="1">
        <v>46214</v>
      </c>
      <c r="S780" t="s">
        <v>1186</v>
      </c>
      <c r="T780" t="s">
        <v>1187</v>
      </c>
      <c r="U780" t="s">
        <v>1188</v>
      </c>
      <c r="V780" t="s">
        <v>66</v>
      </c>
      <c r="W780" t="s">
        <v>66</v>
      </c>
      <c r="X780">
        <v>4878918</v>
      </c>
      <c r="Y780">
        <v>536680.98</v>
      </c>
      <c r="Z780">
        <v>185328</v>
      </c>
      <c r="AA780">
        <v>20386.080000000002</v>
      </c>
      <c r="AB780">
        <v>5415598.9800000004</v>
      </c>
      <c r="AC780">
        <v>12</v>
      </c>
      <c r="AD780" t="s">
        <v>82</v>
      </c>
      <c r="AE780">
        <v>12</v>
      </c>
      <c r="AF780" t="s">
        <v>1189</v>
      </c>
      <c r="AG780">
        <f>IFERROR(VLOOKUP(AF780,[1]STOK!J:O,6,0),"")</f>
        <v>12</v>
      </c>
      <c r="AH780" s="2">
        <f t="shared" si="24"/>
        <v>1</v>
      </c>
      <c r="AI780" t="s">
        <v>1189</v>
      </c>
      <c r="AJ780" t="s">
        <v>1190</v>
      </c>
      <c r="AK780" t="s">
        <v>1191</v>
      </c>
      <c r="AL780" t="s">
        <v>86</v>
      </c>
      <c r="AM780">
        <v>17316</v>
      </c>
      <c r="AN780">
        <f t="shared" si="25"/>
        <v>17142.84</v>
      </c>
      <c r="AO780" t="s">
        <v>66</v>
      </c>
      <c r="AP780">
        <v>1</v>
      </c>
      <c r="AQ780" t="s">
        <v>66</v>
      </c>
      <c r="AR780">
        <v>0</v>
      </c>
      <c r="AS780" t="s">
        <v>66</v>
      </c>
      <c r="AT780">
        <v>0</v>
      </c>
      <c r="AU780" t="s">
        <v>66</v>
      </c>
      <c r="AV780">
        <v>0</v>
      </c>
      <c r="AW780" t="s">
        <v>66</v>
      </c>
      <c r="AX780">
        <v>0</v>
      </c>
      <c r="AY780" t="s">
        <v>66</v>
      </c>
      <c r="AZ780">
        <v>0</v>
      </c>
      <c r="BA780" t="s">
        <v>66</v>
      </c>
      <c r="BB780">
        <v>0</v>
      </c>
      <c r="BC780">
        <v>0</v>
      </c>
      <c r="BD780">
        <v>205714.08</v>
      </c>
      <c r="BE780">
        <v>13940.8</v>
      </c>
      <c r="BF780">
        <v>0</v>
      </c>
      <c r="BG780" t="s">
        <v>87</v>
      </c>
      <c r="BH780" t="s">
        <v>66</v>
      </c>
      <c r="BI780">
        <v>0</v>
      </c>
      <c r="BJ780" t="s">
        <v>66</v>
      </c>
      <c r="BK780" t="s">
        <v>88</v>
      </c>
      <c r="BL780" t="s">
        <v>66</v>
      </c>
      <c r="BM780" t="s">
        <v>159</v>
      </c>
    </row>
    <row r="781" spans="1:65" x14ac:dyDescent="0.25">
      <c r="A781">
        <v>779</v>
      </c>
      <c r="B781" t="s">
        <v>1180</v>
      </c>
      <c r="C781" t="s">
        <v>68</v>
      </c>
      <c r="D781" s="1">
        <v>46213</v>
      </c>
      <c r="E781" t="s">
        <v>1181</v>
      </c>
      <c r="F781" t="s">
        <v>68</v>
      </c>
      <c r="G781" t="s">
        <v>295</v>
      </c>
      <c r="H781" t="s">
        <v>296</v>
      </c>
      <c r="I781" t="s">
        <v>71</v>
      </c>
      <c r="J781" t="s">
        <v>72</v>
      </c>
      <c r="K781" t="s">
        <v>73</v>
      </c>
      <c r="L781" t="s">
        <v>74</v>
      </c>
      <c r="M781" t="s">
        <v>1182</v>
      </c>
      <c r="N781" t="s">
        <v>111</v>
      </c>
      <c r="O781" t="s">
        <v>1183</v>
      </c>
      <c r="P781" t="s">
        <v>1184</v>
      </c>
      <c r="Q781" t="s">
        <v>1185</v>
      </c>
      <c r="R781" s="1">
        <v>46214</v>
      </c>
      <c r="S781" t="s">
        <v>1186</v>
      </c>
      <c r="T781" t="s">
        <v>1187</v>
      </c>
      <c r="U781" t="s">
        <v>1188</v>
      </c>
      <c r="V781" t="s">
        <v>66</v>
      </c>
      <c r="W781" t="s">
        <v>66</v>
      </c>
      <c r="X781">
        <v>4878918</v>
      </c>
      <c r="Y781">
        <v>536680.98</v>
      </c>
      <c r="Z781">
        <v>75438</v>
      </c>
      <c r="AA781">
        <v>8298.18</v>
      </c>
      <c r="AB781">
        <v>5415598.9800000004</v>
      </c>
      <c r="AC781">
        <v>6</v>
      </c>
      <c r="AD781" t="s">
        <v>82</v>
      </c>
      <c r="AE781">
        <v>6</v>
      </c>
      <c r="AF781" t="s">
        <v>827</v>
      </c>
      <c r="AG781">
        <f>IFERROR(VLOOKUP(AF781,[1]STOK!J:O,6,0),"")</f>
        <v>12</v>
      </c>
      <c r="AH781" s="2">
        <f t="shared" si="24"/>
        <v>0.5</v>
      </c>
      <c r="AI781" t="s">
        <v>827</v>
      </c>
      <c r="AJ781" t="s">
        <v>828</v>
      </c>
      <c r="AK781" t="s">
        <v>829</v>
      </c>
      <c r="AL781" t="s">
        <v>86</v>
      </c>
      <c r="AM781">
        <v>14097</v>
      </c>
      <c r="AN781">
        <f t="shared" si="25"/>
        <v>13956.029999999999</v>
      </c>
      <c r="AO781" t="s">
        <v>66</v>
      </c>
      <c r="AP781">
        <v>1</v>
      </c>
      <c r="AQ781" t="s">
        <v>66</v>
      </c>
      <c r="AR781">
        <v>0</v>
      </c>
      <c r="AS781" t="s">
        <v>66</v>
      </c>
      <c r="AT781">
        <v>0</v>
      </c>
      <c r="AU781" t="s">
        <v>66</v>
      </c>
      <c r="AV781">
        <v>0</v>
      </c>
      <c r="AW781" t="s">
        <v>66</v>
      </c>
      <c r="AX781">
        <v>0</v>
      </c>
      <c r="AY781" t="s">
        <v>66</v>
      </c>
      <c r="AZ781">
        <v>0</v>
      </c>
      <c r="BA781" t="s">
        <v>66</v>
      </c>
      <c r="BB781">
        <v>0</v>
      </c>
      <c r="BC781">
        <v>0</v>
      </c>
      <c r="BD781">
        <v>83736.179999999993</v>
      </c>
      <c r="BE781">
        <v>11437.12</v>
      </c>
      <c r="BF781">
        <v>0</v>
      </c>
      <c r="BG781" t="s">
        <v>87</v>
      </c>
      <c r="BH781" t="s">
        <v>66</v>
      </c>
      <c r="BI781">
        <v>0</v>
      </c>
      <c r="BJ781" t="s">
        <v>66</v>
      </c>
      <c r="BK781" t="s">
        <v>88</v>
      </c>
      <c r="BL781" t="s">
        <v>66</v>
      </c>
      <c r="BM781" t="s">
        <v>159</v>
      </c>
    </row>
    <row r="782" spans="1:65" x14ac:dyDescent="0.25">
      <c r="A782">
        <v>780</v>
      </c>
      <c r="B782" t="s">
        <v>1180</v>
      </c>
      <c r="C782" t="s">
        <v>68</v>
      </c>
      <c r="D782" s="1">
        <v>46213</v>
      </c>
      <c r="E782" t="s">
        <v>1181</v>
      </c>
      <c r="F782" t="s">
        <v>68</v>
      </c>
      <c r="G782" t="s">
        <v>295</v>
      </c>
      <c r="H782" t="s">
        <v>296</v>
      </c>
      <c r="I782" t="s">
        <v>71</v>
      </c>
      <c r="J782" t="s">
        <v>72</v>
      </c>
      <c r="K782" t="s">
        <v>73</v>
      </c>
      <c r="L782" t="s">
        <v>74</v>
      </c>
      <c r="M782" t="s">
        <v>1182</v>
      </c>
      <c r="N782" t="s">
        <v>111</v>
      </c>
      <c r="O782" t="s">
        <v>1183</v>
      </c>
      <c r="P782" t="s">
        <v>1184</v>
      </c>
      <c r="Q782" t="s">
        <v>1185</v>
      </c>
      <c r="R782" s="1">
        <v>46214</v>
      </c>
      <c r="S782" t="s">
        <v>1186</v>
      </c>
      <c r="T782" t="s">
        <v>1187</v>
      </c>
      <c r="U782" t="s">
        <v>1188</v>
      </c>
      <c r="V782" t="s">
        <v>66</v>
      </c>
      <c r="W782" t="s">
        <v>66</v>
      </c>
      <c r="X782">
        <v>4878918</v>
      </c>
      <c r="Y782">
        <v>536680.98</v>
      </c>
      <c r="Z782">
        <v>107712</v>
      </c>
      <c r="AA782">
        <v>11848.32</v>
      </c>
      <c r="AB782">
        <v>5415598.9800000004</v>
      </c>
      <c r="AC782">
        <v>4</v>
      </c>
      <c r="AD782" t="s">
        <v>82</v>
      </c>
      <c r="AE782">
        <v>4</v>
      </c>
      <c r="AF782" t="s">
        <v>498</v>
      </c>
      <c r="AG782">
        <f>IFERROR(VLOOKUP(AF782,[1]STOK!J:O,6,0),"")</f>
        <v>12</v>
      </c>
      <c r="AH782" s="2">
        <f t="shared" si="24"/>
        <v>0.33333333333333331</v>
      </c>
      <c r="AI782" t="s">
        <v>498</v>
      </c>
      <c r="AJ782" t="s">
        <v>499</v>
      </c>
      <c r="AK782" t="s">
        <v>500</v>
      </c>
      <c r="AL782" t="s">
        <v>86</v>
      </c>
      <c r="AM782">
        <v>30192</v>
      </c>
      <c r="AN782">
        <f t="shared" si="25"/>
        <v>29890.080000000002</v>
      </c>
      <c r="AO782" t="s">
        <v>66</v>
      </c>
      <c r="AP782">
        <v>1</v>
      </c>
      <c r="AQ782" t="s">
        <v>66</v>
      </c>
      <c r="AR782">
        <v>0</v>
      </c>
      <c r="AS782" t="s">
        <v>66</v>
      </c>
      <c r="AT782">
        <v>0</v>
      </c>
      <c r="AU782" t="s">
        <v>66</v>
      </c>
      <c r="AV782">
        <v>0</v>
      </c>
      <c r="AW782" t="s">
        <v>66</v>
      </c>
      <c r="AX782">
        <v>0</v>
      </c>
      <c r="AY782" t="s">
        <v>66</v>
      </c>
      <c r="AZ782">
        <v>0</v>
      </c>
      <c r="BA782" t="s">
        <v>66</v>
      </c>
      <c r="BB782">
        <v>0</v>
      </c>
      <c r="BC782">
        <v>0</v>
      </c>
      <c r="BD782">
        <v>119560.32000000001</v>
      </c>
      <c r="BE782">
        <v>24859.45</v>
      </c>
      <c r="BF782">
        <v>0</v>
      </c>
      <c r="BG782" t="s">
        <v>87</v>
      </c>
      <c r="BH782" t="s">
        <v>66</v>
      </c>
      <c r="BI782">
        <v>0</v>
      </c>
      <c r="BJ782" t="s">
        <v>66</v>
      </c>
      <c r="BK782" t="s">
        <v>88</v>
      </c>
      <c r="BL782" t="s">
        <v>66</v>
      </c>
      <c r="BM782" t="s">
        <v>159</v>
      </c>
    </row>
    <row r="783" spans="1:65" x14ac:dyDescent="0.25">
      <c r="A783">
        <v>781</v>
      </c>
      <c r="B783" t="s">
        <v>1180</v>
      </c>
      <c r="C783" t="s">
        <v>68</v>
      </c>
      <c r="D783" s="1">
        <v>46213</v>
      </c>
      <c r="E783" t="s">
        <v>1181</v>
      </c>
      <c r="F783" t="s">
        <v>68</v>
      </c>
      <c r="G783" t="s">
        <v>295</v>
      </c>
      <c r="H783" t="s">
        <v>296</v>
      </c>
      <c r="I783" t="s">
        <v>71</v>
      </c>
      <c r="J783" t="s">
        <v>72</v>
      </c>
      <c r="K783" t="s">
        <v>73</v>
      </c>
      <c r="L783" t="s">
        <v>74</v>
      </c>
      <c r="M783" t="s">
        <v>1182</v>
      </c>
      <c r="N783" t="s">
        <v>111</v>
      </c>
      <c r="O783" t="s">
        <v>1183</v>
      </c>
      <c r="P783" t="s">
        <v>1184</v>
      </c>
      <c r="Q783" t="s">
        <v>1185</v>
      </c>
      <c r="R783" s="1">
        <v>46214</v>
      </c>
      <c r="S783" t="s">
        <v>1186</v>
      </c>
      <c r="T783" t="s">
        <v>1187</v>
      </c>
      <c r="U783" t="s">
        <v>1188</v>
      </c>
      <c r="V783" t="s">
        <v>66</v>
      </c>
      <c r="W783" t="s">
        <v>66</v>
      </c>
      <c r="X783">
        <v>4878918</v>
      </c>
      <c r="Y783">
        <v>536680.98</v>
      </c>
      <c r="Z783">
        <v>127710</v>
      </c>
      <c r="AA783">
        <v>14048.1</v>
      </c>
      <c r="AB783">
        <v>5415598.9800000004</v>
      </c>
      <c r="AC783">
        <v>6</v>
      </c>
      <c r="AD783" t="s">
        <v>82</v>
      </c>
      <c r="AE783">
        <v>6</v>
      </c>
      <c r="AF783" t="s">
        <v>1147</v>
      </c>
      <c r="AG783">
        <f>IFERROR(VLOOKUP(AF783,[1]STOK!J:O,6,0),"")</f>
        <v>12</v>
      </c>
      <c r="AH783" s="2">
        <f t="shared" si="24"/>
        <v>0.5</v>
      </c>
      <c r="AI783" t="s">
        <v>1147</v>
      </c>
      <c r="AJ783" t="s">
        <v>1148</v>
      </c>
      <c r="AK783" t="s">
        <v>1149</v>
      </c>
      <c r="AL783" t="s">
        <v>86</v>
      </c>
      <c r="AM783">
        <v>23865</v>
      </c>
      <c r="AN783">
        <f t="shared" si="25"/>
        <v>23626.350000000002</v>
      </c>
      <c r="AO783" t="s">
        <v>66</v>
      </c>
      <c r="AP783">
        <v>1</v>
      </c>
      <c r="AQ783" t="s">
        <v>66</v>
      </c>
      <c r="AR783">
        <v>0</v>
      </c>
      <c r="AS783" t="s">
        <v>66</v>
      </c>
      <c r="AT783">
        <v>0</v>
      </c>
      <c r="AU783" t="s">
        <v>66</v>
      </c>
      <c r="AV783">
        <v>0</v>
      </c>
      <c r="AW783" t="s">
        <v>66</v>
      </c>
      <c r="AX783">
        <v>0</v>
      </c>
      <c r="AY783" t="s">
        <v>66</v>
      </c>
      <c r="AZ783">
        <v>0</v>
      </c>
      <c r="BA783" t="s">
        <v>66</v>
      </c>
      <c r="BB783">
        <v>0</v>
      </c>
      <c r="BC783">
        <v>0</v>
      </c>
      <c r="BD783">
        <v>141758.1</v>
      </c>
      <c r="BE783">
        <v>18009.73</v>
      </c>
      <c r="BF783">
        <v>0</v>
      </c>
      <c r="BG783" t="s">
        <v>87</v>
      </c>
      <c r="BH783" t="s">
        <v>66</v>
      </c>
      <c r="BI783">
        <v>0</v>
      </c>
      <c r="BJ783" t="s">
        <v>66</v>
      </c>
      <c r="BK783" t="s">
        <v>88</v>
      </c>
      <c r="BL783" t="s">
        <v>66</v>
      </c>
      <c r="BM783" t="s">
        <v>159</v>
      </c>
    </row>
    <row r="784" spans="1:65" x14ac:dyDescent="0.25">
      <c r="A784">
        <v>782</v>
      </c>
      <c r="B784" t="s">
        <v>1180</v>
      </c>
      <c r="C784" t="s">
        <v>68</v>
      </c>
      <c r="D784" s="1">
        <v>46213</v>
      </c>
      <c r="E784" t="s">
        <v>1181</v>
      </c>
      <c r="F784" t="s">
        <v>68</v>
      </c>
      <c r="G784" t="s">
        <v>295</v>
      </c>
      <c r="H784" t="s">
        <v>296</v>
      </c>
      <c r="I784" t="s">
        <v>71</v>
      </c>
      <c r="J784" t="s">
        <v>72</v>
      </c>
      <c r="K784" t="s">
        <v>73</v>
      </c>
      <c r="L784" t="s">
        <v>74</v>
      </c>
      <c r="M784" t="s">
        <v>1182</v>
      </c>
      <c r="N784" t="s">
        <v>111</v>
      </c>
      <c r="O784" t="s">
        <v>1183</v>
      </c>
      <c r="P784" t="s">
        <v>1184</v>
      </c>
      <c r="Q784" t="s">
        <v>1185</v>
      </c>
      <c r="R784" s="1">
        <v>46214</v>
      </c>
      <c r="S784" t="s">
        <v>1186</v>
      </c>
      <c r="T784" t="s">
        <v>1187</v>
      </c>
      <c r="U784" t="s">
        <v>1188</v>
      </c>
      <c r="V784" t="s">
        <v>66</v>
      </c>
      <c r="W784" t="s">
        <v>66</v>
      </c>
      <c r="X784">
        <v>4878918</v>
      </c>
      <c r="Y784">
        <v>536680.98</v>
      </c>
      <c r="Z784">
        <v>313038</v>
      </c>
      <c r="AA784">
        <v>34434.18</v>
      </c>
      <c r="AB784">
        <v>5415598.9800000004</v>
      </c>
      <c r="AC784">
        <v>3</v>
      </c>
      <c r="AD784" t="s">
        <v>82</v>
      </c>
      <c r="AE784">
        <v>3</v>
      </c>
      <c r="AF784" t="s">
        <v>1046</v>
      </c>
      <c r="AG784">
        <f>IFERROR(VLOOKUP(AF784,[1]STOK!J:O,6,0),"")</f>
        <v>4</v>
      </c>
      <c r="AH784" s="2">
        <f t="shared" si="24"/>
        <v>0.75</v>
      </c>
      <c r="AI784" t="s">
        <v>1046</v>
      </c>
      <c r="AJ784" t="s">
        <v>1047</v>
      </c>
      <c r="AK784" t="s">
        <v>1048</v>
      </c>
      <c r="AL784" t="s">
        <v>86</v>
      </c>
      <c r="AM784">
        <v>116994</v>
      </c>
      <c r="AN784">
        <f t="shared" si="25"/>
        <v>115824.06</v>
      </c>
      <c r="AO784" t="s">
        <v>66</v>
      </c>
      <c r="AP784">
        <v>1</v>
      </c>
      <c r="AQ784" t="s">
        <v>66</v>
      </c>
      <c r="AR784">
        <v>0</v>
      </c>
      <c r="AS784" t="s">
        <v>66</v>
      </c>
      <c r="AT784">
        <v>0</v>
      </c>
      <c r="AU784" t="s">
        <v>66</v>
      </c>
      <c r="AV784">
        <v>0</v>
      </c>
      <c r="AW784" t="s">
        <v>66</v>
      </c>
      <c r="AX784">
        <v>0</v>
      </c>
      <c r="AY784" t="s">
        <v>66</v>
      </c>
      <c r="AZ784">
        <v>0</v>
      </c>
      <c r="BA784" t="s">
        <v>66</v>
      </c>
      <c r="BB784">
        <v>0</v>
      </c>
      <c r="BC784">
        <v>0</v>
      </c>
      <c r="BD784">
        <v>347472.18</v>
      </c>
      <c r="BE784">
        <v>87349.74</v>
      </c>
      <c r="BF784">
        <v>0</v>
      </c>
      <c r="BG784" t="s">
        <v>87</v>
      </c>
      <c r="BH784" t="s">
        <v>66</v>
      </c>
      <c r="BI784">
        <v>0</v>
      </c>
      <c r="BJ784" t="s">
        <v>66</v>
      </c>
      <c r="BK784" t="s">
        <v>88</v>
      </c>
      <c r="BL784" t="s">
        <v>66</v>
      </c>
      <c r="BM784" t="s">
        <v>159</v>
      </c>
    </row>
    <row r="785" spans="1:65" x14ac:dyDescent="0.25">
      <c r="A785">
        <v>783</v>
      </c>
      <c r="B785" t="s">
        <v>1180</v>
      </c>
      <c r="C785" t="s">
        <v>68</v>
      </c>
      <c r="D785" s="1">
        <v>46213</v>
      </c>
      <c r="E785" t="s">
        <v>1181</v>
      </c>
      <c r="F785" t="s">
        <v>68</v>
      </c>
      <c r="G785" t="s">
        <v>295</v>
      </c>
      <c r="H785" t="s">
        <v>296</v>
      </c>
      <c r="I785" t="s">
        <v>71</v>
      </c>
      <c r="J785" t="s">
        <v>72</v>
      </c>
      <c r="K785" t="s">
        <v>73</v>
      </c>
      <c r="L785" t="s">
        <v>74</v>
      </c>
      <c r="M785" t="s">
        <v>1182</v>
      </c>
      <c r="N785" t="s">
        <v>111</v>
      </c>
      <c r="O785" t="s">
        <v>1183</v>
      </c>
      <c r="P785" t="s">
        <v>1184</v>
      </c>
      <c r="Q785" t="s">
        <v>1185</v>
      </c>
      <c r="R785" s="1">
        <v>46214</v>
      </c>
      <c r="S785" t="s">
        <v>1186</v>
      </c>
      <c r="T785" t="s">
        <v>1187</v>
      </c>
      <c r="U785" t="s">
        <v>1188</v>
      </c>
      <c r="V785" t="s">
        <v>66</v>
      </c>
      <c r="W785" t="s">
        <v>66</v>
      </c>
      <c r="X785">
        <v>4878918</v>
      </c>
      <c r="Y785">
        <v>536680.98</v>
      </c>
      <c r="Z785">
        <v>313038</v>
      </c>
      <c r="AA785">
        <v>34434.18</v>
      </c>
      <c r="AB785">
        <v>5415598.9800000004</v>
      </c>
      <c r="AC785">
        <v>3</v>
      </c>
      <c r="AD785" t="s">
        <v>82</v>
      </c>
      <c r="AE785">
        <v>3</v>
      </c>
      <c r="AF785" t="s">
        <v>1192</v>
      </c>
      <c r="AG785">
        <f>IFERROR(VLOOKUP(AF785,[1]STOK!J:O,6,0),"")</f>
        <v>4</v>
      </c>
      <c r="AH785" s="2">
        <f t="shared" si="24"/>
        <v>0.75</v>
      </c>
      <c r="AI785" t="s">
        <v>1192</v>
      </c>
      <c r="AJ785" t="s">
        <v>1193</v>
      </c>
      <c r="AK785" t="s">
        <v>1194</v>
      </c>
      <c r="AL785" t="s">
        <v>86</v>
      </c>
      <c r="AM785">
        <v>116994</v>
      </c>
      <c r="AN785">
        <f t="shared" si="25"/>
        <v>115824.06</v>
      </c>
      <c r="AO785" t="s">
        <v>66</v>
      </c>
      <c r="AP785">
        <v>1</v>
      </c>
      <c r="AQ785" t="s">
        <v>66</v>
      </c>
      <c r="AR785">
        <v>0</v>
      </c>
      <c r="AS785" t="s">
        <v>66</v>
      </c>
      <c r="AT785">
        <v>0</v>
      </c>
      <c r="AU785" t="s">
        <v>66</v>
      </c>
      <c r="AV785">
        <v>0</v>
      </c>
      <c r="AW785" t="s">
        <v>66</v>
      </c>
      <c r="AX785">
        <v>0</v>
      </c>
      <c r="AY785" t="s">
        <v>66</v>
      </c>
      <c r="AZ785">
        <v>0</v>
      </c>
      <c r="BA785" t="s">
        <v>66</v>
      </c>
      <c r="BB785">
        <v>0</v>
      </c>
      <c r="BC785">
        <v>0</v>
      </c>
      <c r="BD785">
        <v>347472.18</v>
      </c>
      <c r="BE785">
        <v>93695.99</v>
      </c>
      <c r="BF785">
        <v>0</v>
      </c>
      <c r="BG785" t="s">
        <v>87</v>
      </c>
      <c r="BH785" t="s">
        <v>66</v>
      </c>
      <c r="BI785">
        <v>0</v>
      </c>
      <c r="BJ785" t="s">
        <v>66</v>
      </c>
      <c r="BK785" t="s">
        <v>88</v>
      </c>
      <c r="BL785" t="s">
        <v>66</v>
      </c>
      <c r="BM785" t="s">
        <v>159</v>
      </c>
    </row>
    <row r="786" spans="1:65" x14ac:dyDescent="0.25">
      <c r="A786">
        <v>784</v>
      </c>
      <c r="B786" t="s">
        <v>1180</v>
      </c>
      <c r="C786" t="s">
        <v>68</v>
      </c>
      <c r="D786" s="1">
        <v>46213</v>
      </c>
      <c r="E786" t="s">
        <v>1181</v>
      </c>
      <c r="F786" t="s">
        <v>68</v>
      </c>
      <c r="G786" t="s">
        <v>295</v>
      </c>
      <c r="H786" t="s">
        <v>296</v>
      </c>
      <c r="I786" t="s">
        <v>71</v>
      </c>
      <c r="J786" t="s">
        <v>72</v>
      </c>
      <c r="K786" t="s">
        <v>73</v>
      </c>
      <c r="L786" t="s">
        <v>74</v>
      </c>
      <c r="M786" t="s">
        <v>1182</v>
      </c>
      <c r="N786" t="s">
        <v>111</v>
      </c>
      <c r="O786" t="s">
        <v>1183</v>
      </c>
      <c r="P786" t="s">
        <v>1184</v>
      </c>
      <c r="Q786" t="s">
        <v>1185</v>
      </c>
      <c r="R786" s="1">
        <v>46214</v>
      </c>
      <c r="S786" t="s">
        <v>1186</v>
      </c>
      <c r="T786" t="s">
        <v>1187</v>
      </c>
      <c r="U786" t="s">
        <v>1188</v>
      </c>
      <c r="V786" t="s">
        <v>66</v>
      </c>
      <c r="W786" t="s">
        <v>66</v>
      </c>
      <c r="X786">
        <v>4878918</v>
      </c>
      <c r="Y786">
        <v>536680.98</v>
      </c>
      <c r="Z786">
        <v>107712</v>
      </c>
      <c r="AA786">
        <v>11848.32</v>
      </c>
      <c r="AB786">
        <v>5415598.9800000004</v>
      </c>
      <c r="AC786">
        <v>4</v>
      </c>
      <c r="AD786" t="s">
        <v>82</v>
      </c>
      <c r="AE786">
        <v>4</v>
      </c>
      <c r="AF786" t="s">
        <v>445</v>
      </c>
      <c r="AG786">
        <f>IFERROR(VLOOKUP(AF786,[1]STOK!J:O,6,0),"")</f>
        <v>12</v>
      </c>
      <c r="AH786" s="2">
        <f t="shared" si="24"/>
        <v>0.33333333333333331</v>
      </c>
      <c r="AI786" t="s">
        <v>445</v>
      </c>
      <c r="AJ786" t="s">
        <v>446</v>
      </c>
      <c r="AK786" t="s">
        <v>447</v>
      </c>
      <c r="AL786" t="s">
        <v>86</v>
      </c>
      <c r="AM786">
        <v>30192</v>
      </c>
      <c r="AN786">
        <f t="shared" si="25"/>
        <v>29890.080000000002</v>
      </c>
      <c r="AO786" t="s">
        <v>66</v>
      </c>
      <c r="AP786">
        <v>1</v>
      </c>
      <c r="AQ786" t="s">
        <v>66</v>
      </c>
      <c r="AR786">
        <v>0</v>
      </c>
      <c r="AS786" t="s">
        <v>66</v>
      </c>
      <c r="AT786">
        <v>0</v>
      </c>
      <c r="AU786" t="s">
        <v>66</v>
      </c>
      <c r="AV786">
        <v>0</v>
      </c>
      <c r="AW786" t="s">
        <v>66</v>
      </c>
      <c r="AX786">
        <v>0</v>
      </c>
      <c r="AY786" t="s">
        <v>66</v>
      </c>
      <c r="AZ786">
        <v>0</v>
      </c>
      <c r="BA786" t="s">
        <v>66</v>
      </c>
      <c r="BB786">
        <v>0</v>
      </c>
      <c r="BC786">
        <v>0</v>
      </c>
      <c r="BD786">
        <v>119560.32000000001</v>
      </c>
      <c r="BE786">
        <v>24543.599999999999</v>
      </c>
      <c r="BF786">
        <v>0</v>
      </c>
      <c r="BG786" t="s">
        <v>87</v>
      </c>
      <c r="BH786" t="s">
        <v>66</v>
      </c>
      <c r="BI786">
        <v>0</v>
      </c>
      <c r="BJ786" t="s">
        <v>66</v>
      </c>
      <c r="BK786" t="s">
        <v>88</v>
      </c>
      <c r="BL786" t="s">
        <v>66</v>
      </c>
      <c r="BM786" t="s">
        <v>159</v>
      </c>
    </row>
    <row r="787" spans="1:65" x14ac:dyDescent="0.25">
      <c r="A787">
        <v>785</v>
      </c>
      <c r="B787" t="s">
        <v>1180</v>
      </c>
      <c r="C787" t="s">
        <v>68</v>
      </c>
      <c r="D787" s="1">
        <v>46213</v>
      </c>
      <c r="E787" t="s">
        <v>1181</v>
      </c>
      <c r="F787" t="s">
        <v>68</v>
      </c>
      <c r="G787" t="s">
        <v>295</v>
      </c>
      <c r="H787" t="s">
        <v>296</v>
      </c>
      <c r="I787" t="s">
        <v>71</v>
      </c>
      <c r="J787" t="s">
        <v>72</v>
      </c>
      <c r="K787" t="s">
        <v>73</v>
      </c>
      <c r="L787" t="s">
        <v>74</v>
      </c>
      <c r="M787" t="s">
        <v>1182</v>
      </c>
      <c r="N787" t="s">
        <v>111</v>
      </c>
      <c r="O787" t="s">
        <v>1183</v>
      </c>
      <c r="P787" t="s">
        <v>1184</v>
      </c>
      <c r="Q787" t="s">
        <v>1185</v>
      </c>
      <c r="R787" s="1">
        <v>46214</v>
      </c>
      <c r="S787" t="s">
        <v>1186</v>
      </c>
      <c r="T787" t="s">
        <v>1187</v>
      </c>
      <c r="U787" t="s">
        <v>1188</v>
      </c>
      <c r="V787" t="s">
        <v>66</v>
      </c>
      <c r="W787" t="s">
        <v>66</v>
      </c>
      <c r="X787">
        <v>4878918</v>
      </c>
      <c r="Y787">
        <v>536680.98</v>
      </c>
      <c r="Z787">
        <v>63558</v>
      </c>
      <c r="AA787">
        <v>6991.38</v>
      </c>
      <c r="AB787">
        <v>5415598.9800000004</v>
      </c>
      <c r="AC787">
        <v>6</v>
      </c>
      <c r="AD787" t="s">
        <v>82</v>
      </c>
      <c r="AE787">
        <v>6</v>
      </c>
      <c r="AF787" t="s">
        <v>1049</v>
      </c>
      <c r="AG787">
        <f>IFERROR(VLOOKUP(AF787,[1]STOK!J:O,6,0),"")</f>
        <v>12</v>
      </c>
      <c r="AH787" s="2">
        <f t="shared" si="24"/>
        <v>0.5</v>
      </c>
      <c r="AI787" t="s">
        <v>1049</v>
      </c>
      <c r="AJ787" t="s">
        <v>1050</v>
      </c>
      <c r="AK787" t="s">
        <v>1051</v>
      </c>
      <c r="AL787" t="s">
        <v>86</v>
      </c>
      <c r="AM787">
        <v>11877</v>
      </c>
      <c r="AN787">
        <f t="shared" si="25"/>
        <v>11758.230000000001</v>
      </c>
      <c r="AO787" t="s">
        <v>66</v>
      </c>
      <c r="AP787">
        <v>1</v>
      </c>
      <c r="AQ787" t="s">
        <v>66</v>
      </c>
      <c r="AR787">
        <v>0</v>
      </c>
      <c r="AS787" t="s">
        <v>66</v>
      </c>
      <c r="AT787">
        <v>0</v>
      </c>
      <c r="AU787" t="s">
        <v>66</v>
      </c>
      <c r="AV787">
        <v>0</v>
      </c>
      <c r="AW787" t="s">
        <v>66</v>
      </c>
      <c r="AX787">
        <v>0</v>
      </c>
      <c r="AY787" t="s">
        <v>66</v>
      </c>
      <c r="AZ787">
        <v>0</v>
      </c>
      <c r="BA787" t="s">
        <v>66</v>
      </c>
      <c r="BB787">
        <v>0</v>
      </c>
      <c r="BC787">
        <v>0</v>
      </c>
      <c r="BD787">
        <v>70549.38</v>
      </c>
      <c r="BE787">
        <v>9545.4</v>
      </c>
      <c r="BF787">
        <v>0</v>
      </c>
      <c r="BG787" t="s">
        <v>87</v>
      </c>
      <c r="BH787" t="s">
        <v>66</v>
      </c>
      <c r="BI787">
        <v>0</v>
      </c>
      <c r="BJ787" t="s">
        <v>66</v>
      </c>
      <c r="BK787" t="s">
        <v>88</v>
      </c>
      <c r="BL787" t="s">
        <v>66</v>
      </c>
      <c r="BM787" t="s">
        <v>159</v>
      </c>
    </row>
    <row r="788" spans="1:65" x14ac:dyDescent="0.25">
      <c r="A788">
        <v>786</v>
      </c>
      <c r="B788" t="s">
        <v>1180</v>
      </c>
      <c r="C788" t="s">
        <v>68</v>
      </c>
      <c r="D788" s="1">
        <v>46213</v>
      </c>
      <c r="E788" t="s">
        <v>1181</v>
      </c>
      <c r="F788" t="s">
        <v>68</v>
      </c>
      <c r="G788" t="s">
        <v>295</v>
      </c>
      <c r="H788" t="s">
        <v>296</v>
      </c>
      <c r="I788" t="s">
        <v>71</v>
      </c>
      <c r="J788" t="s">
        <v>72</v>
      </c>
      <c r="K788" t="s">
        <v>73</v>
      </c>
      <c r="L788" t="s">
        <v>74</v>
      </c>
      <c r="M788" t="s">
        <v>1182</v>
      </c>
      <c r="N788" t="s">
        <v>111</v>
      </c>
      <c r="O788" t="s">
        <v>1183</v>
      </c>
      <c r="P788" t="s">
        <v>1184</v>
      </c>
      <c r="Q788" t="s">
        <v>1185</v>
      </c>
      <c r="R788" s="1">
        <v>46214</v>
      </c>
      <c r="S788" t="s">
        <v>1186</v>
      </c>
      <c r="T788" t="s">
        <v>1187</v>
      </c>
      <c r="U788" t="s">
        <v>1188</v>
      </c>
      <c r="V788" t="s">
        <v>66</v>
      </c>
      <c r="W788" t="s">
        <v>66</v>
      </c>
      <c r="X788">
        <v>4878918</v>
      </c>
      <c r="Y788">
        <v>536680.98</v>
      </c>
      <c r="Z788">
        <v>712800</v>
      </c>
      <c r="AA788">
        <v>78408</v>
      </c>
      <c r="AB788">
        <v>5415598.9800000004</v>
      </c>
      <c r="AC788">
        <v>36</v>
      </c>
      <c r="AD788" t="s">
        <v>82</v>
      </c>
      <c r="AE788">
        <v>36</v>
      </c>
      <c r="AF788" t="s">
        <v>290</v>
      </c>
      <c r="AG788">
        <f>IFERROR(VLOOKUP(AF788,[1]STOK!J:O,6,0),"")</f>
        <v>12</v>
      </c>
      <c r="AH788" s="2">
        <f t="shared" si="24"/>
        <v>3</v>
      </c>
      <c r="AI788" t="s">
        <v>290</v>
      </c>
      <c r="AJ788" t="s">
        <v>291</v>
      </c>
      <c r="AK788" t="s">
        <v>292</v>
      </c>
      <c r="AL788" t="s">
        <v>86</v>
      </c>
      <c r="AM788">
        <v>22200</v>
      </c>
      <c r="AN788">
        <f t="shared" si="25"/>
        <v>21978</v>
      </c>
      <c r="AO788" t="s">
        <v>66</v>
      </c>
      <c r="AP788">
        <v>1</v>
      </c>
      <c r="AQ788" t="s">
        <v>66</v>
      </c>
      <c r="AR788">
        <v>0</v>
      </c>
      <c r="AS788" t="s">
        <v>66</v>
      </c>
      <c r="AT788">
        <v>0</v>
      </c>
      <c r="AU788" t="s">
        <v>66</v>
      </c>
      <c r="AV788">
        <v>0</v>
      </c>
      <c r="AW788" t="s">
        <v>66</v>
      </c>
      <c r="AX788">
        <v>0</v>
      </c>
      <c r="AY788" t="s">
        <v>66</v>
      </c>
      <c r="AZ788">
        <v>0</v>
      </c>
      <c r="BA788" t="s">
        <v>66</v>
      </c>
      <c r="BB788">
        <v>0</v>
      </c>
      <c r="BC788">
        <v>0</v>
      </c>
      <c r="BD788">
        <v>791208</v>
      </c>
      <c r="BE788">
        <v>18104.62</v>
      </c>
      <c r="BF788">
        <v>0</v>
      </c>
      <c r="BG788" t="s">
        <v>87</v>
      </c>
      <c r="BH788" t="s">
        <v>66</v>
      </c>
      <c r="BI788">
        <v>0</v>
      </c>
      <c r="BJ788" t="s">
        <v>66</v>
      </c>
      <c r="BK788" t="s">
        <v>88</v>
      </c>
      <c r="BL788" t="s">
        <v>66</v>
      </c>
      <c r="BM788" t="s">
        <v>159</v>
      </c>
    </row>
    <row r="789" spans="1:65" x14ac:dyDescent="0.25">
      <c r="A789">
        <v>787</v>
      </c>
      <c r="B789" t="s">
        <v>1180</v>
      </c>
      <c r="C789" t="s">
        <v>68</v>
      </c>
      <c r="D789" s="1">
        <v>46213</v>
      </c>
      <c r="E789" t="s">
        <v>1181</v>
      </c>
      <c r="F789" t="s">
        <v>68</v>
      </c>
      <c r="G789" t="s">
        <v>295</v>
      </c>
      <c r="H789" t="s">
        <v>296</v>
      </c>
      <c r="I789" t="s">
        <v>71</v>
      </c>
      <c r="J789" t="s">
        <v>72</v>
      </c>
      <c r="K789" t="s">
        <v>73</v>
      </c>
      <c r="L789" t="s">
        <v>74</v>
      </c>
      <c r="M789" t="s">
        <v>1182</v>
      </c>
      <c r="N789" t="s">
        <v>111</v>
      </c>
      <c r="O789" t="s">
        <v>1183</v>
      </c>
      <c r="P789" t="s">
        <v>1184</v>
      </c>
      <c r="Q789" t="s">
        <v>1185</v>
      </c>
      <c r="R789" s="1">
        <v>46214</v>
      </c>
      <c r="S789" t="s">
        <v>1186</v>
      </c>
      <c r="T789" t="s">
        <v>1187</v>
      </c>
      <c r="U789" t="s">
        <v>1188</v>
      </c>
      <c r="V789" t="s">
        <v>66</v>
      </c>
      <c r="W789" t="s">
        <v>66</v>
      </c>
      <c r="X789">
        <v>4878918</v>
      </c>
      <c r="Y789">
        <v>536680.98</v>
      </c>
      <c r="Z789">
        <v>475200</v>
      </c>
      <c r="AA789">
        <v>52272</v>
      </c>
      <c r="AB789">
        <v>5415598.9800000004</v>
      </c>
      <c r="AC789">
        <v>24</v>
      </c>
      <c r="AD789" t="s">
        <v>82</v>
      </c>
      <c r="AE789">
        <v>24</v>
      </c>
      <c r="AF789" t="s">
        <v>102</v>
      </c>
      <c r="AG789">
        <f>IFERROR(VLOOKUP(AF789,[1]STOK!J:O,6,0),"")</f>
        <v>12</v>
      </c>
      <c r="AH789" s="2">
        <f t="shared" si="24"/>
        <v>2</v>
      </c>
      <c r="AI789" t="s">
        <v>102</v>
      </c>
      <c r="AJ789" t="s">
        <v>103</v>
      </c>
      <c r="AK789" t="s">
        <v>104</v>
      </c>
      <c r="AL789" t="s">
        <v>86</v>
      </c>
      <c r="AM789">
        <v>22200</v>
      </c>
      <c r="AN789">
        <f t="shared" si="25"/>
        <v>21978</v>
      </c>
      <c r="AO789" t="s">
        <v>66</v>
      </c>
      <c r="AP789">
        <v>1</v>
      </c>
      <c r="AQ789" t="s">
        <v>66</v>
      </c>
      <c r="AR789">
        <v>0</v>
      </c>
      <c r="AS789" t="s">
        <v>66</v>
      </c>
      <c r="AT789">
        <v>0</v>
      </c>
      <c r="AU789" t="s">
        <v>66</v>
      </c>
      <c r="AV789">
        <v>0</v>
      </c>
      <c r="AW789" t="s">
        <v>66</v>
      </c>
      <c r="AX789">
        <v>0</v>
      </c>
      <c r="AY789" t="s">
        <v>66</v>
      </c>
      <c r="AZ789">
        <v>0</v>
      </c>
      <c r="BA789" t="s">
        <v>66</v>
      </c>
      <c r="BB789">
        <v>0</v>
      </c>
      <c r="BC789">
        <v>0</v>
      </c>
      <c r="BD789">
        <v>527472</v>
      </c>
      <c r="BE789">
        <v>18080.310000000001</v>
      </c>
      <c r="BF789">
        <v>0</v>
      </c>
      <c r="BG789" t="s">
        <v>87</v>
      </c>
      <c r="BH789" t="s">
        <v>66</v>
      </c>
      <c r="BI789">
        <v>0</v>
      </c>
      <c r="BJ789" t="s">
        <v>66</v>
      </c>
      <c r="BK789" t="s">
        <v>88</v>
      </c>
      <c r="BL789" t="s">
        <v>66</v>
      </c>
      <c r="BM789" t="s">
        <v>159</v>
      </c>
    </row>
    <row r="790" spans="1:65" x14ac:dyDescent="0.25">
      <c r="A790">
        <v>788</v>
      </c>
      <c r="B790" t="s">
        <v>1195</v>
      </c>
      <c r="C790" t="s">
        <v>1196</v>
      </c>
      <c r="D790" s="1">
        <v>46213</v>
      </c>
      <c r="E790" t="s">
        <v>1197</v>
      </c>
      <c r="F790" t="s">
        <v>1198</v>
      </c>
      <c r="G790" t="s">
        <v>295</v>
      </c>
      <c r="H790" t="s">
        <v>296</v>
      </c>
      <c r="I790" t="s">
        <v>71</v>
      </c>
      <c r="J790" t="s">
        <v>72</v>
      </c>
      <c r="K790" t="s">
        <v>73</v>
      </c>
      <c r="L790" t="s">
        <v>74</v>
      </c>
      <c r="M790" t="s">
        <v>853</v>
      </c>
      <c r="N790" t="s">
        <v>76</v>
      </c>
      <c r="O790" t="s">
        <v>854</v>
      </c>
      <c r="P790" t="s">
        <v>855</v>
      </c>
      <c r="Q790" t="s">
        <v>1199</v>
      </c>
      <c r="R790" s="1">
        <v>46196</v>
      </c>
      <c r="S790" t="s">
        <v>841</v>
      </c>
      <c r="T790" t="s">
        <v>842</v>
      </c>
      <c r="U790" t="s">
        <v>843</v>
      </c>
      <c r="V790" t="s">
        <v>66</v>
      </c>
      <c r="W790" t="s">
        <v>66</v>
      </c>
      <c r="X790">
        <v>2219112</v>
      </c>
      <c r="Y790">
        <v>244102.32</v>
      </c>
      <c r="Z790">
        <v>108192</v>
      </c>
      <c r="AA790">
        <v>11901.12</v>
      </c>
      <c r="AB790">
        <v>2463214.3199999998</v>
      </c>
      <c r="AC790">
        <v>6</v>
      </c>
      <c r="AD790" t="s">
        <v>82</v>
      </c>
      <c r="AE790">
        <v>6</v>
      </c>
      <c r="AF790" t="s">
        <v>116</v>
      </c>
      <c r="AG790">
        <f>IFERROR(VLOOKUP(AF790,[1]STOK!J:O,6,0),"")</f>
        <v>12</v>
      </c>
      <c r="AH790" s="2">
        <f t="shared" si="24"/>
        <v>0.5</v>
      </c>
      <c r="AI790" t="s">
        <v>116</v>
      </c>
      <c r="AJ790" t="s">
        <v>117</v>
      </c>
      <c r="AK790" t="s">
        <v>118</v>
      </c>
      <c r="AL790" t="s">
        <v>86</v>
      </c>
      <c r="AM790">
        <v>20424</v>
      </c>
      <c r="AN790">
        <f t="shared" si="25"/>
        <v>20015.52</v>
      </c>
      <c r="AO790" t="s">
        <v>66</v>
      </c>
      <c r="AP790">
        <v>2</v>
      </c>
      <c r="AQ790" t="s">
        <v>66</v>
      </c>
      <c r="AR790">
        <v>0</v>
      </c>
      <c r="AS790" t="s">
        <v>66</v>
      </c>
      <c r="AT790">
        <v>0</v>
      </c>
      <c r="AU790" t="s">
        <v>66</v>
      </c>
      <c r="AV790">
        <v>0</v>
      </c>
      <c r="AW790" t="s">
        <v>66</v>
      </c>
      <c r="AX790">
        <v>0</v>
      </c>
      <c r="AY790" t="s">
        <v>66</v>
      </c>
      <c r="AZ790">
        <v>0</v>
      </c>
      <c r="BA790" t="s">
        <v>66</v>
      </c>
      <c r="BB790">
        <v>0</v>
      </c>
      <c r="BC790">
        <v>0</v>
      </c>
      <c r="BD790">
        <v>120093.12</v>
      </c>
      <c r="BE790">
        <v>16616.61</v>
      </c>
      <c r="BF790">
        <v>0</v>
      </c>
      <c r="BG790" t="s">
        <v>87</v>
      </c>
      <c r="BH790" t="s">
        <v>66</v>
      </c>
      <c r="BI790">
        <v>0</v>
      </c>
      <c r="BJ790" t="s">
        <v>66</v>
      </c>
      <c r="BK790" t="s">
        <v>88</v>
      </c>
      <c r="BL790" t="s">
        <v>719</v>
      </c>
      <c r="BM790" t="s">
        <v>159</v>
      </c>
    </row>
    <row r="791" spans="1:65" x14ac:dyDescent="0.25">
      <c r="A791">
        <v>789</v>
      </c>
      <c r="B791" t="s">
        <v>1195</v>
      </c>
      <c r="C791" t="s">
        <v>1196</v>
      </c>
      <c r="D791" s="1">
        <v>46213</v>
      </c>
      <c r="E791" t="s">
        <v>1197</v>
      </c>
      <c r="F791" t="s">
        <v>1198</v>
      </c>
      <c r="G791" t="s">
        <v>295</v>
      </c>
      <c r="H791" t="s">
        <v>296</v>
      </c>
      <c r="I791" t="s">
        <v>71</v>
      </c>
      <c r="J791" t="s">
        <v>72</v>
      </c>
      <c r="K791" t="s">
        <v>73</v>
      </c>
      <c r="L791" t="s">
        <v>74</v>
      </c>
      <c r="M791" t="s">
        <v>853</v>
      </c>
      <c r="N791" t="s">
        <v>76</v>
      </c>
      <c r="O791" t="s">
        <v>854</v>
      </c>
      <c r="P791" t="s">
        <v>855</v>
      </c>
      <c r="Q791" t="s">
        <v>1199</v>
      </c>
      <c r="R791" s="1">
        <v>46196</v>
      </c>
      <c r="S791" t="s">
        <v>841</v>
      </c>
      <c r="T791" t="s">
        <v>842</v>
      </c>
      <c r="U791" t="s">
        <v>843</v>
      </c>
      <c r="V791" t="s">
        <v>66</v>
      </c>
      <c r="W791" t="s">
        <v>66</v>
      </c>
      <c r="X791">
        <v>2219112</v>
      </c>
      <c r="Y791">
        <v>244102.32</v>
      </c>
      <c r="Z791">
        <v>43512</v>
      </c>
      <c r="AA791">
        <v>4786.32</v>
      </c>
      <c r="AB791">
        <v>2463214.3199999998</v>
      </c>
      <c r="AC791">
        <v>6</v>
      </c>
      <c r="AD791" t="s">
        <v>82</v>
      </c>
      <c r="AE791">
        <v>6</v>
      </c>
      <c r="AF791" t="s">
        <v>262</v>
      </c>
      <c r="AG791">
        <f>IFERROR(VLOOKUP(AF791,[1]STOK!J:O,6,0),"")</f>
        <v>24</v>
      </c>
      <c r="AH791" s="2">
        <f t="shared" si="24"/>
        <v>0.25</v>
      </c>
      <c r="AI791" t="s">
        <v>262</v>
      </c>
      <c r="AJ791" t="s">
        <v>263</v>
      </c>
      <c r="AK791" t="s">
        <v>264</v>
      </c>
      <c r="AL791" t="s">
        <v>86</v>
      </c>
      <c r="AM791">
        <v>8214</v>
      </c>
      <c r="AN791">
        <f t="shared" si="25"/>
        <v>8049.72</v>
      </c>
      <c r="AO791" t="s">
        <v>66</v>
      </c>
      <c r="AP791">
        <v>2</v>
      </c>
      <c r="AQ791" t="s">
        <v>66</v>
      </c>
      <c r="AR791">
        <v>0</v>
      </c>
      <c r="AS791" t="s">
        <v>66</v>
      </c>
      <c r="AT791">
        <v>0</v>
      </c>
      <c r="AU791" t="s">
        <v>66</v>
      </c>
      <c r="AV791">
        <v>0</v>
      </c>
      <c r="AW791" t="s">
        <v>66</v>
      </c>
      <c r="AX791">
        <v>0</v>
      </c>
      <c r="AY791" t="s">
        <v>66</v>
      </c>
      <c r="AZ791">
        <v>0</v>
      </c>
      <c r="BA791" t="s">
        <v>66</v>
      </c>
      <c r="BB791">
        <v>0</v>
      </c>
      <c r="BC791">
        <v>0</v>
      </c>
      <c r="BD791">
        <v>48298.32</v>
      </c>
      <c r="BE791">
        <v>6695.46</v>
      </c>
      <c r="BF791">
        <v>0</v>
      </c>
      <c r="BG791" t="s">
        <v>87</v>
      </c>
      <c r="BH791" t="s">
        <v>66</v>
      </c>
      <c r="BI791">
        <v>0</v>
      </c>
      <c r="BJ791" t="s">
        <v>66</v>
      </c>
      <c r="BK791" t="s">
        <v>88</v>
      </c>
      <c r="BL791" t="s">
        <v>719</v>
      </c>
      <c r="BM791" t="s">
        <v>159</v>
      </c>
    </row>
    <row r="792" spans="1:65" x14ac:dyDescent="0.25">
      <c r="A792">
        <v>790</v>
      </c>
      <c r="B792" t="s">
        <v>1195</v>
      </c>
      <c r="C792" t="s">
        <v>1196</v>
      </c>
      <c r="D792" s="1">
        <v>46213</v>
      </c>
      <c r="E792" t="s">
        <v>1197</v>
      </c>
      <c r="F792" t="s">
        <v>1198</v>
      </c>
      <c r="G792" t="s">
        <v>295</v>
      </c>
      <c r="H792" t="s">
        <v>296</v>
      </c>
      <c r="I792" t="s">
        <v>71</v>
      </c>
      <c r="J792" t="s">
        <v>72</v>
      </c>
      <c r="K792" t="s">
        <v>73</v>
      </c>
      <c r="L792" t="s">
        <v>74</v>
      </c>
      <c r="M792" t="s">
        <v>853</v>
      </c>
      <c r="N792" t="s">
        <v>76</v>
      </c>
      <c r="O792" t="s">
        <v>854</v>
      </c>
      <c r="P792" t="s">
        <v>855</v>
      </c>
      <c r="Q792" t="s">
        <v>1199</v>
      </c>
      <c r="R792" s="1">
        <v>46196</v>
      </c>
      <c r="S792" t="s">
        <v>841</v>
      </c>
      <c r="T792" t="s">
        <v>842</v>
      </c>
      <c r="U792" t="s">
        <v>843</v>
      </c>
      <c r="V792" t="s">
        <v>66</v>
      </c>
      <c r="W792" t="s">
        <v>66</v>
      </c>
      <c r="X792">
        <v>2219112</v>
      </c>
      <c r="Y792">
        <v>244102.32</v>
      </c>
      <c r="Z792">
        <v>43512</v>
      </c>
      <c r="AA792">
        <v>4786.32</v>
      </c>
      <c r="AB792">
        <v>2463214.3199999998</v>
      </c>
      <c r="AC792">
        <v>6</v>
      </c>
      <c r="AD792" t="s">
        <v>82</v>
      </c>
      <c r="AE792">
        <v>6</v>
      </c>
      <c r="AF792" t="s">
        <v>265</v>
      </c>
      <c r="AG792">
        <f>IFERROR(VLOOKUP(AF792,[1]STOK!J:O,6,0),"")</f>
        <v>24</v>
      </c>
      <c r="AH792" s="2">
        <f t="shared" si="24"/>
        <v>0.25</v>
      </c>
      <c r="AI792" t="s">
        <v>265</v>
      </c>
      <c r="AJ792" t="s">
        <v>266</v>
      </c>
      <c r="AK792" t="s">
        <v>267</v>
      </c>
      <c r="AL792" t="s">
        <v>86</v>
      </c>
      <c r="AM792">
        <v>8214</v>
      </c>
      <c r="AN792">
        <f t="shared" si="25"/>
        <v>8049.72</v>
      </c>
      <c r="AO792" t="s">
        <v>66</v>
      </c>
      <c r="AP792">
        <v>2</v>
      </c>
      <c r="AQ792" t="s">
        <v>66</v>
      </c>
      <c r="AR792">
        <v>0</v>
      </c>
      <c r="AS792" t="s">
        <v>66</v>
      </c>
      <c r="AT792">
        <v>0</v>
      </c>
      <c r="AU792" t="s">
        <v>66</v>
      </c>
      <c r="AV792">
        <v>0</v>
      </c>
      <c r="AW792" t="s">
        <v>66</v>
      </c>
      <c r="AX792">
        <v>0</v>
      </c>
      <c r="AY792" t="s">
        <v>66</v>
      </c>
      <c r="AZ792">
        <v>0</v>
      </c>
      <c r="BA792" t="s">
        <v>66</v>
      </c>
      <c r="BB792">
        <v>0</v>
      </c>
      <c r="BC792">
        <v>0</v>
      </c>
      <c r="BD792">
        <v>48298.32</v>
      </c>
      <c r="BE792">
        <v>6672.27</v>
      </c>
      <c r="BF792">
        <v>0</v>
      </c>
      <c r="BG792" t="s">
        <v>87</v>
      </c>
      <c r="BH792" t="s">
        <v>66</v>
      </c>
      <c r="BI792">
        <v>0</v>
      </c>
      <c r="BJ792" t="s">
        <v>66</v>
      </c>
      <c r="BK792" t="s">
        <v>88</v>
      </c>
      <c r="BL792" t="s">
        <v>719</v>
      </c>
      <c r="BM792" t="s">
        <v>159</v>
      </c>
    </row>
    <row r="793" spans="1:65" x14ac:dyDescent="0.25">
      <c r="A793">
        <v>791</v>
      </c>
      <c r="B793" t="s">
        <v>1195</v>
      </c>
      <c r="C793" t="s">
        <v>1196</v>
      </c>
      <c r="D793" s="1">
        <v>46213</v>
      </c>
      <c r="E793" t="s">
        <v>1197</v>
      </c>
      <c r="F793" t="s">
        <v>1198</v>
      </c>
      <c r="G793" t="s">
        <v>295</v>
      </c>
      <c r="H793" t="s">
        <v>296</v>
      </c>
      <c r="I793" t="s">
        <v>71</v>
      </c>
      <c r="J793" t="s">
        <v>72</v>
      </c>
      <c r="K793" t="s">
        <v>73</v>
      </c>
      <c r="L793" t="s">
        <v>74</v>
      </c>
      <c r="M793" t="s">
        <v>853</v>
      </c>
      <c r="N793" t="s">
        <v>76</v>
      </c>
      <c r="O793" t="s">
        <v>854</v>
      </c>
      <c r="P793" t="s">
        <v>855</v>
      </c>
      <c r="Q793" t="s">
        <v>1199</v>
      </c>
      <c r="R793" s="1">
        <v>46196</v>
      </c>
      <c r="S793" t="s">
        <v>841</v>
      </c>
      <c r="T793" t="s">
        <v>842</v>
      </c>
      <c r="U793" t="s">
        <v>843</v>
      </c>
      <c r="V793" t="s">
        <v>66</v>
      </c>
      <c r="W793" t="s">
        <v>66</v>
      </c>
      <c r="X793">
        <v>2219112</v>
      </c>
      <c r="Y793">
        <v>244102.32</v>
      </c>
      <c r="Z793">
        <v>43512</v>
      </c>
      <c r="AA793">
        <v>4786.32</v>
      </c>
      <c r="AB793">
        <v>2463214.3199999998</v>
      </c>
      <c r="AC793">
        <v>6</v>
      </c>
      <c r="AD793" t="s">
        <v>82</v>
      </c>
      <c r="AE793">
        <v>6</v>
      </c>
      <c r="AF793" t="s">
        <v>83</v>
      </c>
      <c r="AG793">
        <f>IFERROR(VLOOKUP(AF793,[1]STOK!J:O,6,0),"")</f>
        <v>24</v>
      </c>
      <c r="AH793" s="2">
        <f t="shared" si="24"/>
        <v>0.25</v>
      </c>
      <c r="AI793" t="s">
        <v>83</v>
      </c>
      <c r="AJ793" t="s">
        <v>84</v>
      </c>
      <c r="AK793" t="s">
        <v>85</v>
      </c>
      <c r="AL793" t="s">
        <v>86</v>
      </c>
      <c r="AM793">
        <v>8214</v>
      </c>
      <c r="AN793">
        <f t="shared" si="25"/>
        <v>8049.72</v>
      </c>
      <c r="AO793" t="s">
        <v>66</v>
      </c>
      <c r="AP793">
        <v>2</v>
      </c>
      <c r="AQ793" t="s">
        <v>66</v>
      </c>
      <c r="AR793">
        <v>0</v>
      </c>
      <c r="AS793" t="s">
        <v>66</v>
      </c>
      <c r="AT793">
        <v>0</v>
      </c>
      <c r="AU793" t="s">
        <v>66</v>
      </c>
      <c r="AV793">
        <v>0</v>
      </c>
      <c r="AW793" t="s">
        <v>66</v>
      </c>
      <c r="AX793">
        <v>0</v>
      </c>
      <c r="AY793" t="s">
        <v>66</v>
      </c>
      <c r="AZ793">
        <v>0</v>
      </c>
      <c r="BA793" t="s">
        <v>66</v>
      </c>
      <c r="BB793">
        <v>0</v>
      </c>
      <c r="BC793">
        <v>0</v>
      </c>
      <c r="BD793">
        <v>48298.32</v>
      </c>
      <c r="BE793">
        <v>6700.17</v>
      </c>
      <c r="BF793">
        <v>0</v>
      </c>
      <c r="BG793" t="s">
        <v>87</v>
      </c>
      <c r="BH793" t="s">
        <v>66</v>
      </c>
      <c r="BI793">
        <v>0</v>
      </c>
      <c r="BJ793" t="s">
        <v>66</v>
      </c>
      <c r="BK793" t="s">
        <v>88</v>
      </c>
      <c r="BL793" t="s">
        <v>719</v>
      </c>
      <c r="BM793" t="s">
        <v>159</v>
      </c>
    </row>
    <row r="794" spans="1:65" x14ac:dyDescent="0.25">
      <c r="A794">
        <v>792</v>
      </c>
      <c r="B794" t="s">
        <v>1195</v>
      </c>
      <c r="C794" t="s">
        <v>1196</v>
      </c>
      <c r="D794" s="1">
        <v>46213</v>
      </c>
      <c r="E794" t="s">
        <v>1197</v>
      </c>
      <c r="F794" t="s">
        <v>1198</v>
      </c>
      <c r="G794" t="s">
        <v>295</v>
      </c>
      <c r="H794" t="s">
        <v>296</v>
      </c>
      <c r="I794" t="s">
        <v>71</v>
      </c>
      <c r="J794" t="s">
        <v>72</v>
      </c>
      <c r="K794" t="s">
        <v>73</v>
      </c>
      <c r="L794" t="s">
        <v>74</v>
      </c>
      <c r="M794" t="s">
        <v>853</v>
      </c>
      <c r="N794" t="s">
        <v>76</v>
      </c>
      <c r="O794" t="s">
        <v>854</v>
      </c>
      <c r="P794" t="s">
        <v>855</v>
      </c>
      <c r="Q794" t="s">
        <v>1199</v>
      </c>
      <c r="R794" s="1">
        <v>46196</v>
      </c>
      <c r="S794" t="s">
        <v>841</v>
      </c>
      <c r="T794" t="s">
        <v>842</v>
      </c>
      <c r="U794" t="s">
        <v>843</v>
      </c>
      <c r="V794" t="s">
        <v>66</v>
      </c>
      <c r="W794" t="s">
        <v>66</v>
      </c>
      <c r="X794">
        <v>2219112</v>
      </c>
      <c r="Y794">
        <v>244102.32</v>
      </c>
      <c r="Z794">
        <v>59388</v>
      </c>
      <c r="AA794">
        <v>6532.68</v>
      </c>
      <c r="AB794">
        <v>2463214.3199999998</v>
      </c>
      <c r="AC794">
        <v>6</v>
      </c>
      <c r="AD794" t="s">
        <v>82</v>
      </c>
      <c r="AE794">
        <v>6</v>
      </c>
      <c r="AF794" t="s">
        <v>848</v>
      </c>
      <c r="AG794">
        <f>IFERROR(VLOOKUP(AF794,[1]STOK!J:O,6,0),"")</f>
        <v>24</v>
      </c>
      <c r="AH794" s="2">
        <f t="shared" si="24"/>
        <v>0.25</v>
      </c>
      <c r="AI794" t="s">
        <v>848</v>
      </c>
      <c r="AJ794" t="s">
        <v>849</v>
      </c>
      <c r="AK794" t="s">
        <v>850</v>
      </c>
      <c r="AL794" t="s">
        <v>86</v>
      </c>
      <c r="AM794">
        <v>11211</v>
      </c>
      <c r="AN794">
        <f t="shared" si="25"/>
        <v>10986.779999999999</v>
      </c>
      <c r="AO794" t="s">
        <v>66</v>
      </c>
      <c r="AP794">
        <v>2</v>
      </c>
      <c r="AQ794" t="s">
        <v>66</v>
      </c>
      <c r="AR794">
        <v>0</v>
      </c>
      <c r="AS794" t="s">
        <v>66</v>
      </c>
      <c r="AT794">
        <v>0</v>
      </c>
      <c r="AU794" t="s">
        <v>66</v>
      </c>
      <c r="AV794">
        <v>0</v>
      </c>
      <c r="AW794" t="s">
        <v>66</v>
      </c>
      <c r="AX794">
        <v>0</v>
      </c>
      <c r="AY794" t="s">
        <v>66</v>
      </c>
      <c r="AZ794">
        <v>0</v>
      </c>
      <c r="BA794" t="s">
        <v>66</v>
      </c>
      <c r="BB794">
        <v>0</v>
      </c>
      <c r="BC794">
        <v>0</v>
      </c>
      <c r="BD794">
        <v>65920.679999999993</v>
      </c>
      <c r="BE794">
        <v>9065.5</v>
      </c>
      <c r="BF794">
        <v>0</v>
      </c>
      <c r="BG794" t="s">
        <v>87</v>
      </c>
      <c r="BH794" t="s">
        <v>66</v>
      </c>
      <c r="BI794">
        <v>0</v>
      </c>
      <c r="BJ794" t="s">
        <v>66</v>
      </c>
      <c r="BK794" t="s">
        <v>88</v>
      </c>
      <c r="BL794" t="s">
        <v>719</v>
      </c>
      <c r="BM794" t="s">
        <v>159</v>
      </c>
    </row>
    <row r="795" spans="1:65" x14ac:dyDescent="0.25">
      <c r="A795">
        <v>793</v>
      </c>
      <c r="B795" t="s">
        <v>1195</v>
      </c>
      <c r="C795" t="s">
        <v>1196</v>
      </c>
      <c r="D795" s="1">
        <v>46213</v>
      </c>
      <c r="E795" t="s">
        <v>1197</v>
      </c>
      <c r="F795" t="s">
        <v>1198</v>
      </c>
      <c r="G795" t="s">
        <v>295</v>
      </c>
      <c r="H795" t="s">
        <v>296</v>
      </c>
      <c r="I795" t="s">
        <v>71</v>
      </c>
      <c r="J795" t="s">
        <v>72</v>
      </c>
      <c r="K795" t="s">
        <v>73</v>
      </c>
      <c r="L795" t="s">
        <v>74</v>
      </c>
      <c r="M795" t="s">
        <v>853</v>
      </c>
      <c r="N795" t="s">
        <v>76</v>
      </c>
      <c r="O795" t="s">
        <v>854</v>
      </c>
      <c r="P795" t="s">
        <v>855</v>
      </c>
      <c r="Q795" t="s">
        <v>1199</v>
      </c>
      <c r="R795" s="1">
        <v>46196</v>
      </c>
      <c r="S795" t="s">
        <v>841</v>
      </c>
      <c r="T795" t="s">
        <v>842</v>
      </c>
      <c r="U795" t="s">
        <v>843</v>
      </c>
      <c r="V795" t="s">
        <v>66</v>
      </c>
      <c r="W795" t="s">
        <v>66</v>
      </c>
      <c r="X795">
        <v>2219112</v>
      </c>
      <c r="Y795">
        <v>244102.32</v>
      </c>
      <c r="Z795">
        <v>46452</v>
      </c>
      <c r="AA795">
        <v>5109.72</v>
      </c>
      <c r="AB795">
        <v>2463214.3199999998</v>
      </c>
      <c r="AC795">
        <v>6</v>
      </c>
      <c r="AD795" t="s">
        <v>82</v>
      </c>
      <c r="AE795">
        <v>6</v>
      </c>
      <c r="AF795" t="s">
        <v>248</v>
      </c>
      <c r="AG795">
        <f>IFERROR(VLOOKUP(AF795,[1]STOK!J:O,6,0),"")</f>
        <v>24</v>
      </c>
      <c r="AH795" s="2">
        <f t="shared" si="24"/>
        <v>0.25</v>
      </c>
      <c r="AI795" t="s">
        <v>248</v>
      </c>
      <c r="AJ795" t="s">
        <v>249</v>
      </c>
      <c r="AK795" t="s">
        <v>250</v>
      </c>
      <c r="AL795" t="s">
        <v>86</v>
      </c>
      <c r="AM795">
        <v>8769</v>
      </c>
      <c r="AN795">
        <f t="shared" si="25"/>
        <v>8593.6200000000008</v>
      </c>
      <c r="AO795" t="s">
        <v>66</v>
      </c>
      <c r="AP795">
        <v>2</v>
      </c>
      <c r="AQ795" t="s">
        <v>66</v>
      </c>
      <c r="AR795">
        <v>0</v>
      </c>
      <c r="AS795" t="s">
        <v>66</v>
      </c>
      <c r="AT795">
        <v>0</v>
      </c>
      <c r="AU795" t="s">
        <v>66</v>
      </c>
      <c r="AV795">
        <v>0</v>
      </c>
      <c r="AW795" t="s">
        <v>66</v>
      </c>
      <c r="AX795">
        <v>0</v>
      </c>
      <c r="AY795" t="s">
        <v>66</v>
      </c>
      <c r="AZ795">
        <v>0</v>
      </c>
      <c r="BA795" t="s">
        <v>66</v>
      </c>
      <c r="BB795">
        <v>0</v>
      </c>
      <c r="BC795">
        <v>0</v>
      </c>
      <c r="BD795">
        <v>51561.72</v>
      </c>
      <c r="BE795">
        <v>7123.28</v>
      </c>
      <c r="BF795">
        <v>0</v>
      </c>
      <c r="BG795" t="s">
        <v>87</v>
      </c>
      <c r="BH795" t="s">
        <v>66</v>
      </c>
      <c r="BI795">
        <v>0</v>
      </c>
      <c r="BJ795" t="s">
        <v>66</v>
      </c>
      <c r="BK795" t="s">
        <v>88</v>
      </c>
      <c r="BL795" t="s">
        <v>719</v>
      </c>
      <c r="BM795" t="s">
        <v>159</v>
      </c>
    </row>
    <row r="796" spans="1:65" x14ac:dyDescent="0.25">
      <c r="A796">
        <v>794</v>
      </c>
      <c r="B796" t="s">
        <v>1195</v>
      </c>
      <c r="C796" t="s">
        <v>1196</v>
      </c>
      <c r="D796" s="1">
        <v>46213</v>
      </c>
      <c r="E796" t="s">
        <v>1197</v>
      </c>
      <c r="F796" t="s">
        <v>1198</v>
      </c>
      <c r="G796" t="s">
        <v>295</v>
      </c>
      <c r="H796" t="s">
        <v>296</v>
      </c>
      <c r="I796" t="s">
        <v>71</v>
      </c>
      <c r="J796" t="s">
        <v>72</v>
      </c>
      <c r="K796" t="s">
        <v>73</v>
      </c>
      <c r="L796" t="s">
        <v>74</v>
      </c>
      <c r="M796" t="s">
        <v>853</v>
      </c>
      <c r="N796" t="s">
        <v>76</v>
      </c>
      <c r="O796" t="s">
        <v>854</v>
      </c>
      <c r="P796" t="s">
        <v>855</v>
      </c>
      <c r="Q796" t="s">
        <v>1199</v>
      </c>
      <c r="R796" s="1">
        <v>46196</v>
      </c>
      <c r="S796" t="s">
        <v>841</v>
      </c>
      <c r="T796" t="s">
        <v>842</v>
      </c>
      <c r="U796" t="s">
        <v>843</v>
      </c>
      <c r="V796" t="s">
        <v>66</v>
      </c>
      <c r="W796" t="s">
        <v>66</v>
      </c>
      <c r="X796">
        <v>2219112</v>
      </c>
      <c r="Y796">
        <v>244102.32</v>
      </c>
      <c r="Z796">
        <v>46452</v>
      </c>
      <c r="AA796">
        <v>5109.72</v>
      </c>
      <c r="AB796">
        <v>2463214.3199999998</v>
      </c>
      <c r="AC796">
        <v>6</v>
      </c>
      <c r="AD796" t="s">
        <v>82</v>
      </c>
      <c r="AE796">
        <v>6</v>
      </c>
      <c r="AF796" t="s">
        <v>199</v>
      </c>
      <c r="AG796">
        <f>IFERROR(VLOOKUP(AF796,[1]STOK!J:O,6,0),"")</f>
        <v>24</v>
      </c>
      <c r="AH796" s="2">
        <f t="shared" si="24"/>
        <v>0.25</v>
      </c>
      <c r="AI796" t="s">
        <v>199</v>
      </c>
      <c r="AJ796" t="s">
        <v>200</v>
      </c>
      <c r="AK796" t="s">
        <v>201</v>
      </c>
      <c r="AL796" t="s">
        <v>86</v>
      </c>
      <c r="AM796">
        <v>8769</v>
      </c>
      <c r="AN796">
        <f t="shared" si="25"/>
        <v>8593.6200000000008</v>
      </c>
      <c r="AO796" t="s">
        <v>66</v>
      </c>
      <c r="AP796">
        <v>2</v>
      </c>
      <c r="AQ796" t="s">
        <v>66</v>
      </c>
      <c r="AR796">
        <v>0</v>
      </c>
      <c r="AS796" t="s">
        <v>66</v>
      </c>
      <c r="AT796">
        <v>0</v>
      </c>
      <c r="AU796" t="s">
        <v>66</v>
      </c>
      <c r="AV796">
        <v>0</v>
      </c>
      <c r="AW796" t="s">
        <v>66</v>
      </c>
      <c r="AX796">
        <v>0</v>
      </c>
      <c r="AY796" t="s">
        <v>66</v>
      </c>
      <c r="AZ796">
        <v>0</v>
      </c>
      <c r="BA796" t="s">
        <v>66</v>
      </c>
      <c r="BB796">
        <v>0</v>
      </c>
      <c r="BC796">
        <v>0</v>
      </c>
      <c r="BD796">
        <v>51561.72</v>
      </c>
      <c r="BE796">
        <v>7129.88</v>
      </c>
      <c r="BF796">
        <v>0</v>
      </c>
      <c r="BG796" t="s">
        <v>87</v>
      </c>
      <c r="BH796" t="s">
        <v>66</v>
      </c>
      <c r="BI796">
        <v>0</v>
      </c>
      <c r="BJ796" t="s">
        <v>66</v>
      </c>
      <c r="BK796" t="s">
        <v>88</v>
      </c>
      <c r="BL796" t="s">
        <v>719</v>
      </c>
      <c r="BM796" t="s">
        <v>159</v>
      </c>
    </row>
    <row r="797" spans="1:65" x14ac:dyDescent="0.25">
      <c r="A797">
        <v>795</v>
      </c>
      <c r="B797" t="s">
        <v>1195</v>
      </c>
      <c r="C797" t="s">
        <v>1196</v>
      </c>
      <c r="D797" s="1">
        <v>46213</v>
      </c>
      <c r="E797" t="s">
        <v>1197</v>
      </c>
      <c r="F797" t="s">
        <v>1198</v>
      </c>
      <c r="G797" t="s">
        <v>295</v>
      </c>
      <c r="H797" t="s">
        <v>296</v>
      </c>
      <c r="I797" t="s">
        <v>71</v>
      </c>
      <c r="J797" t="s">
        <v>72</v>
      </c>
      <c r="K797" t="s">
        <v>73</v>
      </c>
      <c r="L797" t="s">
        <v>74</v>
      </c>
      <c r="M797" t="s">
        <v>853</v>
      </c>
      <c r="N797" t="s">
        <v>76</v>
      </c>
      <c r="O797" t="s">
        <v>854</v>
      </c>
      <c r="P797" t="s">
        <v>855</v>
      </c>
      <c r="Q797" t="s">
        <v>1199</v>
      </c>
      <c r="R797" s="1">
        <v>46196</v>
      </c>
      <c r="S797" t="s">
        <v>841</v>
      </c>
      <c r="T797" t="s">
        <v>842</v>
      </c>
      <c r="U797" t="s">
        <v>843</v>
      </c>
      <c r="V797" t="s">
        <v>66</v>
      </c>
      <c r="W797" t="s">
        <v>66</v>
      </c>
      <c r="X797">
        <v>2219112</v>
      </c>
      <c r="Y797">
        <v>244102.32</v>
      </c>
      <c r="Z797">
        <v>66444</v>
      </c>
      <c r="AA797">
        <v>7308.84</v>
      </c>
      <c r="AB797">
        <v>2463214.3199999998</v>
      </c>
      <c r="AC797">
        <v>6</v>
      </c>
      <c r="AD797" t="s">
        <v>82</v>
      </c>
      <c r="AE797">
        <v>6</v>
      </c>
      <c r="AF797" t="s">
        <v>122</v>
      </c>
      <c r="AG797">
        <f>IFERROR(VLOOKUP(AF797,[1]STOK!J:O,6,0),"")</f>
        <v>24</v>
      </c>
      <c r="AH797" s="2">
        <f t="shared" si="24"/>
        <v>0.25</v>
      </c>
      <c r="AI797" t="s">
        <v>122</v>
      </c>
      <c r="AJ797" t="s">
        <v>123</v>
      </c>
      <c r="AK797" t="s">
        <v>124</v>
      </c>
      <c r="AL797" t="s">
        <v>86</v>
      </c>
      <c r="AM797">
        <v>12543</v>
      </c>
      <c r="AN797">
        <f t="shared" si="25"/>
        <v>12292.14</v>
      </c>
      <c r="AO797" t="s">
        <v>66</v>
      </c>
      <c r="AP797">
        <v>2</v>
      </c>
      <c r="AQ797" t="s">
        <v>66</v>
      </c>
      <c r="AR797">
        <v>0</v>
      </c>
      <c r="AS797" t="s">
        <v>66</v>
      </c>
      <c r="AT797">
        <v>0</v>
      </c>
      <c r="AU797" t="s">
        <v>66</v>
      </c>
      <c r="AV797">
        <v>0</v>
      </c>
      <c r="AW797" t="s">
        <v>66</v>
      </c>
      <c r="AX797">
        <v>0</v>
      </c>
      <c r="AY797" t="s">
        <v>66</v>
      </c>
      <c r="AZ797">
        <v>0</v>
      </c>
      <c r="BA797" t="s">
        <v>66</v>
      </c>
      <c r="BB797">
        <v>0</v>
      </c>
      <c r="BC797">
        <v>0</v>
      </c>
      <c r="BD797">
        <v>73752.84</v>
      </c>
      <c r="BE797">
        <v>10196.48</v>
      </c>
      <c r="BF797">
        <v>0</v>
      </c>
      <c r="BG797" t="s">
        <v>87</v>
      </c>
      <c r="BH797" t="s">
        <v>66</v>
      </c>
      <c r="BI797">
        <v>0</v>
      </c>
      <c r="BJ797" t="s">
        <v>66</v>
      </c>
      <c r="BK797" t="s">
        <v>88</v>
      </c>
      <c r="BL797" t="s">
        <v>719</v>
      </c>
      <c r="BM797" t="s">
        <v>159</v>
      </c>
    </row>
    <row r="798" spans="1:65" x14ac:dyDescent="0.25">
      <c r="A798">
        <v>796</v>
      </c>
      <c r="B798" t="s">
        <v>1195</v>
      </c>
      <c r="C798" t="s">
        <v>1196</v>
      </c>
      <c r="D798" s="1">
        <v>46213</v>
      </c>
      <c r="E798" t="s">
        <v>1197</v>
      </c>
      <c r="F798" t="s">
        <v>1198</v>
      </c>
      <c r="G798" t="s">
        <v>295</v>
      </c>
      <c r="H798" t="s">
        <v>296</v>
      </c>
      <c r="I798" t="s">
        <v>71</v>
      </c>
      <c r="J798" t="s">
        <v>72</v>
      </c>
      <c r="K798" t="s">
        <v>73</v>
      </c>
      <c r="L798" t="s">
        <v>74</v>
      </c>
      <c r="M798" t="s">
        <v>853</v>
      </c>
      <c r="N798" t="s">
        <v>76</v>
      </c>
      <c r="O798" t="s">
        <v>854</v>
      </c>
      <c r="P798" t="s">
        <v>855</v>
      </c>
      <c r="Q798" t="s">
        <v>1199</v>
      </c>
      <c r="R798" s="1">
        <v>46196</v>
      </c>
      <c r="S798" t="s">
        <v>841</v>
      </c>
      <c r="T798" t="s">
        <v>842</v>
      </c>
      <c r="U798" t="s">
        <v>843</v>
      </c>
      <c r="V798" t="s">
        <v>66</v>
      </c>
      <c r="W798" t="s">
        <v>66</v>
      </c>
      <c r="X798">
        <v>2219112</v>
      </c>
      <c r="Y798">
        <v>244102.32</v>
      </c>
      <c r="Z798">
        <v>59976</v>
      </c>
      <c r="AA798">
        <v>6597.36</v>
      </c>
      <c r="AB798">
        <v>2463214.3199999998</v>
      </c>
      <c r="AC798">
        <v>6</v>
      </c>
      <c r="AD798" t="s">
        <v>82</v>
      </c>
      <c r="AE798">
        <v>6</v>
      </c>
      <c r="AF798" t="s">
        <v>726</v>
      </c>
      <c r="AG798">
        <f>IFERROR(VLOOKUP(AF798,[1]STOK!J:O,6,0),"")</f>
        <v>24</v>
      </c>
      <c r="AH798" s="2">
        <f t="shared" si="24"/>
        <v>0.25</v>
      </c>
      <c r="AI798" t="s">
        <v>726</v>
      </c>
      <c r="AJ798" t="s">
        <v>727</v>
      </c>
      <c r="AK798" t="s">
        <v>728</v>
      </c>
      <c r="AL798" t="s">
        <v>86</v>
      </c>
      <c r="AM798">
        <v>11322</v>
      </c>
      <c r="AN798">
        <f t="shared" si="25"/>
        <v>11095.56</v>
      </c>
      <c r="AO798" t="s">
        <v>66</v>
      </c>
      <c r="AP798">
        <v>2</v>
      </c>
      <c r="AQ798" t="s">
        <v>66</v>
      </c>
      <c r="AR798">
        <v>0</v>
      </c>
      <c r="AS798" t="s">
        <v>66</v>
      </c>
      <c r="AT798">
        <v>0</v>
      </c>
      <c r="AU798" t="s">
        <v>66</v>
      </c>
      <c r="AV798">
        <v>0</v>
      </c>
      <c r="AW798" t="s">
        <v>66</v>
      </c>
      <c r="AX798">
        <v>0</v>
      </c>
      <c r="AY798" t="s">
        <v>66</v>
      </c>
      <c r="AZ798">
        <v>0</v>
      </c>
      <c r="BA798" t="s">
        <v>66</v>
      </c>
      <c r="BB798">
        <v>0</v>
      </c>
      <c r="BC798">
        <v>0</v>
      </c>
      <c r="BD798">
        <v>66573.36</v>
      </c>
      <c r="BE798">
        <v>8902.5499999999993</v>
      </c>
      <c r="BF798">
        <v>0</v>
      </c>
      <c r="BG798" t="s">
        <v>87</v>
      </c>
      <c r="BH798" t="s">
        <v>66</v>
      </c>
      <c r="BI798">
        <v>0</v>
      </c>
      <c r="BJ798" t="s">
        <v>66</v>
      </c>
      <c r="BK798" t="s">
        <v>88</v>
      </c>
      <c r="BL798" t="s">
        <v>719</v>
      </c>
      <c r="BM798" t="s">
        <v>159</v>
      </c>
    </row>
    <row r="799" spans="1:65" x14ac:dyDescent="0.25">
      <c r="A799">
        <v>797</v>
      </c>
      <c r="B799" t="s">
        <v>1195</v>
      </c>
      <c r="C799" t="s">
        <v>1196</v>
      </c>
      <c r="D799" s="1">
        <v>46213</v>
      </c>
      <c r="E799" t="s">
        <v>1197</v>
      </c>
      <c r="F799" t="s">
        <v>1198</v>
      </c>
      <c r="G799" t="s">
        <v>295</v>
      </c>
      <c r="H799" t="s">
        <v>296</v>
      </c>
      <c r="I799" t="s">
        <v>71</v>
      </c>
      <c r="J799" t="s">
        <v>72</v>
      </c>
      <c r="K799" t="s">
        <v>73</v>
      </c>
      <c r="L799" t="s">
        <v>74</v>
      </c>
      <c r="M799" t="s">
        <v>853</v>
      </c>
      <c r="N799" t="s">
        <v>76</v>
      </c>
      <c r="O799" t="s">
        <v>854</v>
      </c>
      <c r="P799" t="s">
        <v>855</v>
      </c>
      <c r="Q799" t="s">
        <v>1199</v>
      </c>
      <c r="R799" s="1">
        <v>46196</v>
      </c>
      <c r="S799" t="s">
        <v>841</v>
      </c>
      <c r="T799" t="s">
        <v>842</v>
      </c>
      <c r="U799" t="s">
        <v>843</v>
      </c>
      <c r="V799" t="s">
        <v>66</v>
      </c>
      <c r="W799" t="s">
        <v>66</v>
      </c>
      <c r="X799">
        <v>2219112</v>
      </c>
      <c r="Y799">
        <v>244102.32</v>
      </c>
      <c r="Z799">
        <v>59976</v>
      </c>
      <c r="AA799">
        <v>6597.36</v>
      </c>
      <c r="AB799">
        <v>2463214.3199999998</v>
      </c>
      <c r="AC799">
        <v>6</v>
      </c>
      <c r="AD799" t="s">
        <v>82</v>
      </c>
      <c r="AE799">
        <v>6</v>
      </c>
      <c r="AF799" t="s">
        <v>667</v>
      </c>
      <c r="AG799">
        <f>IFERROR(VLOOKUP(AF799,[1]STOK!J:O,6,0),"")</f>
        <v>24</v>
      </c>
      <c r="AH799" s="2">
        <f t="shared" si="24"/>
        <v>0.25</v>
      </c>
      <c r="AI799" t="s">
        <v>667</v>
      </c>
      <c r="AJ799" t="s">
        <v>668</v>
      </c>
      <c r="AK799" t="s">
        <v>669</v>
      </c>
      <c r="AL799" t="s">
        <v>86</v>
      </c>
      <c r="AM799">
        <v>11322</v>
      </c>
      <c r="AN799">
        <f t="shared" si="25"/>
        <v>11095.56</v>
      </c>
      <c r="AO799" t="s">
        <v>66</v>
      </c>
      <c r="AP799">
        <v>2</v>
      </c>
      <c r="AQ799" t="s">
        <v>66</v>
      </c>
      <c r="AR799">
        <v>0</v>
      </c>
      <c r="AS799" t="s">
        <v>66</v>
      </c>
      <c r="AT799">
        <v>0</v>
      </c>
      <c r="AU799" t="s">
        <v>66</v>
      </c>
      <c r="AV799">
        <v>0</v>
      </c>
      <c r="AW799" t="s">
        <v>66</v>
      </c>
      <c r="AX799">
        <v>0</v>
      </c>
      <c r="AY799" t="s">
        <v>66</v>
      </c>
      <c r="AZ799">
        <v>0</v>
      </c>
      <c r="BA799" t="s">
        <v>66</v>
      </c>
      <c r="BB799">
        <v>0</v>
      </c>
      <c r="BC799">
        <v>0</v>
      </c>
      <c r="BD799">
        <v>66573.36</v>
      </c>
      <c r="BE799">
        <v>9046.9599999999991</v>
      </c>
      <c r="BF799">
        <v>0</v>
      </c>
      <c r="BG799" t="s">
        <v>87</v>
      </c>
      <c r="BH799" t="s">
        <v>66</v>
      </c>
      <c r="BI799">
        <v>0</v>
      </c>
      <c r="BJ799" t="s">
        <v>66</v>
      </c>
      <c r="BK799" t="s">
        <v>88</v>
      </c>
      <c r="BL799" t="s">
        <v>719</v>
      </c>
      <c r="BM799" t="s">
        <v>159</v>
      </c>
    </row>
    <row r="800" spans="1:65" x14ac:dyDescent="0.25">
      <c r="A800">
        <v>798</v>
      </c>
      <c r="B800" t="s">
        <v>1195</v>
      </c>
      <c r="C800" t="s">
        <v>1196</v>
      </c>
      <c r="D800" s="1">
        <v>46213</v>
      </c>
      <c r="E800" t="s">
        <v>1197</v>
      </c>
      <c r="F800" t="s">
        <v>1198</v>
      </c>
      <c r="G800" t="s">
        <v>295</v>
      </c>
      <c r="H800" t="s">
        <v>296</v>
      </c>
      <c r="I800" t="s">
        <v>71</v>
      </c>
      <c r="J800" t="s">
        <v>72</v>
      </c>
      <c r="K800" t="s">
        <v>73</v>
      </c>
      <c r="L800" t="s">
        <v>74</v>
      </c>
      <c r="M800" t="s">
        <v>853</v>
      </c>
      <c r="N800" t="s">
        <v>76</v>
      </c>
      <c r="O800" t="s">
        <v>854</v>
      </c>
      <c r="P800" t="s">
        <v>855</v>
      </c>
      <c r="Q800" t="s">
        <v>1199</v>
      </c>
      <c r="R800" s="1">
        <v>46196</v>
      </c>
      <c r="S800" t="s">
        <v>841</v>
      </c>
      <c r="T800" t="s">
        <v>842</v>
      </c>
      <c r="U800" t="s">
        <v>843</v>
      </c>
      <c r="V800" t="s">
        <v>66</v>
      </c>
      <c r="W800" t="s">
        <v>66</v>
      </c>
      <c r="X800">
        <v>2219112</v>
      </c>
      <c r="Y800">
        <v>244102.32</v>
      </c>
      <c r="Z800">
        <v>59976</v>
      </c>
      <c r="AA800">
        <v>6597.36</v>
      </c>
      <c r="AB800">
        <v>2463214.3199999998</v>
      </c>
      <c r="AC800">
        <v>6</v>
      </c>
      <c r="AD800" t="s">
        <v>82</v>
      </c>
      <c r="AE800">
        <v>6</v>
      </c>
      <c r="AF800" t="s">
        <v>860</v>
      </c>
      <c r="AG800">
        <f>IFERROR(VLOOKUP(AF800,[1]STOK!J:O,6,0),"")</f>
        <v>24</v>
      </c>
      <c r="AH800" s="2">
        <f t="shared" si="24"/>
        <v>0.25</v>
      </c>
      <c r="AI800" t="s">
        <v>860</v>
      </c>
      <c r="AJ800" t="s">
        <v>861</v>
      </c>
      <c r="AK800" t="s">
        <v>862</v>
      </c>
      <c r="AL800" t="s">
        <v>86</v>
      </c>
      <c r="AM800">
        <v>11322</v>
      </c>
      <c r="AN800">
        <f t="shared" si="25"/>
        <v>11095.56</v>
      </c>
      <c r="AO800" t="s">
        <v>66</v>
      </c>
      <c r="AP800">
        <v>2</v>
      </c>
      <c r="AQ800" t="s">
        <v>66</v>
      </c>
      <c r="AR800">
        <v>0</v>
      </c>
      <c r="AS800" t="s">
        <v>66</v>
      </c>
      <c r="AT800">
        <v>0</v>
      </c>
      <c r="AU800" t="s">
        <v>66</v>
      </c>
      <c r="AV800">
        <v>0</v>
      </c>
      <c r="AW800" t="s">
        <v>66</v>
      </c>
      <c r="AX800">
        <v>0</v>
      </c>
      <c r="AY800" t="s">
        <v>66</v>
      </c>
      <c r="AZ800">
        <v>0</v>
      </c>
      <c r="BA800" t="s">
        <v>66</v>
      </c>
      <c r="BB800">
        <v>0</v>
      </c>
      <c r="BC800">
        <v>0</v>
      </c>
      <c r="BD800">
        <v>66573.36</v>
      </c>
      <c r="BE800">
        <v>9175.68</v>
      </c>
      <c r="BF800">
        <v>0</v>
      </c>
      <c r="BG800" t="s">
        <v>87</v>
      </c>
      <c r="BH800" t="s">
        <v>66</v>
      </c>
      <c r="BI800">
        <v>0</v>
      </c>
      <c r="BJ800" t="s">
        <v>66</v>
      </c>
      <c r="BK800" t="s">
        <v>88</v>
      </c>
      <c r="BL800" t="s">
        <v>719</v>
      </c>
      <c r="BM800" t="s">
        <v>159</v>
      </c>
    </row>
    <row r="801" spans="1:65" x14ac:dyDescent="0.25">
      <c r="A801">
        <v>799</v>
      </c>
      <c r="B801" t="s">
        <v>1195</v>
      </c>
      <c r="C801" t="s">
        <v>1196</v>
      </c>
      <c r="D801" s="1">
        <v>46213</v>
      </c>
      <c r="E801" t="s">
        <v>1197</v>
      </c>
      <c r="F801" t="s">
        <v>1198</v>
      </c>
      <c r="G801" t="s">
        <v>295</v>
      </c>
      <c r="H801" t="s">
        <v>296</v>
      </c>
      <c r="I801" t="s">
        <v>71</v>
      </c>
      <c r="J801" t="s">
        <v>72</v>
      </c>
      <c r="K801" t="s">
        <v>73</v>
      </c>
      <c r="L801" t="s">
        <v>74</v>
      </c>
      <c r="M801" t="s">
        <v>853</v>
      </c>
      <c r="N801" t="s">
        <v>76</v>
      </c>
      <c r="O801" t="s">
        <v>854</v>
      </c>
      <c r="P801" t="s">
        <v>855</v>
      </c>
      <c r="Q801" t="s">
        <v>1199</v>
      </c>
      <c r="R801" s="1">
        <v>46196</v>
      </c>
      <c r="S801" t="s">
        <v>841</v>
      </c>
      <c r="T801" t="s">
        <v>842</v>
      </c>
      <c r="U801" t="s">
        <v>843</v>
      </c>
      <c r="V801" t="s">
        <v>66</v>
      </c>
      <c r="W801" t="s">
        <v>66</v>
      </c>
      <c r="X801">
        <v>2219112</v>
      </c>
      <c r="Y801">
        <v>244102.32</v>
      </c>
      <c r="Z801">
        <v>59976</v>
      </c>
      <c r="AA801">
        <v>6597.36</v>
      </c>
      <c r="AB801">
        <v>2463214.3199999998</v>
      </c>
      <c r="AC801">
        <v>6</v>
      </c>
      <c r="AD801" t="s">
        <v>82</v>
      </c>
      <c r="AE801">
        <v>6</v>
      </c>
      <c r="AF801" t="s">
        <v>670</v>
      </c>
      <c r="AG801">
        <f>IFERROR(VLOOKUP(AF801,[1]STOK!J:O,6,0),"")</f>
        <v>24</v>
      </c>
      <c r="AH801" s="2">
        <f t="shared" si="24"/>
        <v>0.25</v>
      </c>
      <c r="AI801" t="s">
        <v>670</v>
      </c>
      <c r="AJ801" t="s">
        <v>671</v>
      </c>
      <c r="AK801" t="s">
        <v>672</v>
      </c>
      <c r="AL801" t="s">
        <v>86</v>
      </c>
      <c r="AM801">
        <v>11322</v>
      </c>
      <c r="AN801">
        <f t="shared" si="25"/>
        <v>11095.56</v>
      </c>
      <c r="AO801" t="s">
        <v>66</v>
      </c>
      <c r="AP801">
        <v>2</v>
      </c>
      <c r="AQ801" t="s">
        <v>66</v>
      </c>
      <c r="AR801">
        <v>0</v>
      </c>
      <c r="AS801" t="s">
        <v>66</v>
      </c>
      <c r="AT801">
        <v>0</v>
      </c>
      <c r="AU801" t="s">
        <v>66</v>
      </c>
      <c r="AV801">
        <v>0</v>
      </c>
      <c r="AW801" t="s">
        <v>66</v>
      </c>
      <c r="AX801">
        <v>0</v>
      </c>
      <c r="AY801" t="s">
        <v>66</v>
      </c>
      <c r="AZ801">
        <v>0</v>
      </c>
      <c r="BA801" t="s">
        <v>66</v>
      </c>
      <c r="BB801">
        <v>0</v>
      </c>
      <c r="BC801">
        <v>0</v>
      </c>
      <c r="BD801">
        <v>66573.36</v>
      </c>
      <c r="BE801">
        <v>9197.8799999999992</v>
      </c>
      <c r="BF801">
        <v>0</v>
      </c>
      <c r="BG801" t="s">
        <v>87</v>
      </c>
      <c r="BH801" t="s">
        <v>66</v>
      </c>
      <c r="BI801">
        <v>0</v>
      </c>
      <c r="BJ801" t="s">
        <v>66</v>
      </c>
      <c r="BK801" t="s">
        <v>88</v>
      </c>
      <c r="BL801" t="s">
        <v>719</v>
      </c>
      <c r="BM801" t="s">
        <v>159</v>
      </c>
    </row>
    <row r="802" spans="1:65" x14ac:dyDescent="0.25">
      <c r="A802">
        <v>800</v>
      </c>
      <c r="B802" t="s">
        <v>1195</v>
      </c>
      <c r="C802" t="s">
        <v>1196</v>
      </c>
      <c r="D802" s="1">
        <v>46213</v>
      </c>
      <c r="E802" t="s">
        <v>1197</v>
      </c>
      <c r="F802" t="s">
        <v>1198</v>
      </c>
      <c r="G802" t="s">
        <v>295</v>
      </c>
      <c r="H802" t="s">
        <v>296</v>
      </c>
      <c r="I802" t="s">
        <v>71</v>
      </c>
      <c r="J802" t="s">
        <v>72</v>
      </c>
      <c r="K802" t="s">
        <v>73</v>
      </c>
      <c r="L802" t="s">
        <v>74</v>
      </c>
      <c r="M802" t="s">
        <v>853</v>
      </c>
      <c r="N802" t="s">
        <v>76</v>
      </c>
      <c r="O802" t="s">
        <v>854</v>
      </c>
      <c r="P802" t="s">
        <v>855</v>
      </c>
      <c r="Q802" t="s">
        <v>1199</v>
      </c>
      <c r="R802" s="1">
        <v>46196</v>
      </c>
      <c r="S802" t="s">
        <v>841</v>
      </c>
      <c r="T802" t="s">
        <v>842</v>
      </c>
      <c r="U802" t="s">
        <v>843</v>
      </c>
      <c r="V802" t="s">
        <v>66</v>
      </c>
      <c r="W802" t="s">
        <v>66</v>
      </c>
      <c r="X802">
        <v>2219112</v>
      </c>
      <c r="Y802">
        <v>244102.32</v>
      </c>
      <c r="Z802">
        <v>33516</v>
      </c>
      <c r="AA802">
        <v>3686.76</v>
      </c>
      <c r="AB802">
        <v>2463214.3199999998</v>
      </c>
      <c r="AC802">
        <v>6</v>
      </c>
      <c r="AD802" t="s">
        <v>82</v>
      </c>
      <c r="AE802">
        <v>6</v>
      </c>
      <c r="AF802" t="s">
        <v>202</v>
      </c>
      <c r="AG802">
        <f>IFERROR(VLOOKUP(AF802,[1]STOK!J:O,6,0),"")</f>
        <v>48</v>
      </c>
      <c r="AH802" s="2">
        <f t="shared" si="24"/>
        <v>0.125</v>
      </c>
      <c r="AI802" t="s">
        <v>202</v>
      </c>
      <c r="AJ802" t="s">
        <v>203</v>
      </c>
      <c r="AK802" t="s">
        <v>204</v>
      </c>
      <c r="AL802" t="s">
        <v>86</v>
      </c>
      <c r="AM802">
        <v>6327</v>
      </c>
      <c r="AN802">
        <f t="shared" si="25"/>
        <v>6200.46</v>
      </c>
      <c r="AO802" t="s">
        <v>66</v>
      </c>
      <c r="AP802">
        <v>2</v>
      </c>
      <c r="AQ802" t="s">
        <v>66</v>
      </c>
      <c r="AR802">
        <v>0</v>
      </c>
      <c r="AS802" t="s">
        <v>66</v>
      </c>
      <c r="AT802">
        <v>0</v>
      </c>
      <c r="AU802" t="s">
        <v>66</v>
      </c>
      <c r="AV802">
        <v>0</v>
      </c>
      <c r="AW802" t="s">
        <v>66</v>
      </c>
      <c r="AX802">
        <v>0</v>
      </c>
      <c r="AY802" t="s">
        <v>66</v>
      </c>
      <c r="AZ802">
        <v>0</v>
      </c>
      <c r="BA802" t="s">
        <v>66</v>
      </c>
      <c r="BB802">
        <v>0</v>
      </c>
      <c r="BC802">
        <v>0</v>
      </c>
      <c r="BD802">
        <v>37202.76</v>
      </c>
      <c r="BE802">
        <v>5137.8900000000003</v>
      </c>
      <c r="BF802">
        <v>0</v>
      </c>
      <c r="BG802" t="s">
        <v>87</v>
      </c>
      <c r="BH802" t="s">
        <v>66</v>
      </c>
      <c r="BI802">
        <v>0</v>
      </c>
      <c r="BJ802" t="s">
        <v>66</v>
      </c>
      <c r="BK802" t="s">
        <v>88</v>
      </c>
      <c r="BL802" t="s">
        <v>719</v>
      </c>
      <c r="BM802" t="s">
        <v>159</v>
      </c>
    </row>
    <row r="803" spans="1:65" x14ac:dyDescent="0.25">
      <c r="A803">
        <v>801</v>
      </c>
      <c r="B803" t="s">
        <v>1195</v>
      </c>
      <c r="C803" t="s">
        <v>1196</v>
      </c>
      <c r="D803" s="1">
        <v>46213</v>
      </c>
      <c r="E803" t="s">
        <v>1197</v>
      </c>
      <c r="F803" t="s">
        <v>1198</v>
      </c>
      <c r="G803" t="s">
        <v>295</v>
      </c>
      <c r="H803" t="s">
        <v>296</v>
      </c>
      <c r="I803" t="s">
        <v>71</v>
      </c>
      <c r="J803" t="s">
        <v>72</v>
      </c>
      <c r="K803" t="s">
        <v>73</v>
      </c>
      <c r="L803" t="s">
        <v>74</v>
      </c>
      <c r="M803" t="s">
        <v>853</v>
      </c>
      <c r="N803" t="s">
        <v>76</v>
      </c>
      <c r="O803" t="s">
        <v>854</v>
      </c>
      <c r="P803" t="s">
        <v>855</v>
      </c>
      <c r="Q803" t="s">
        <v>1199</v>
      </c>
      <c r="R803" s="1">
        <v>46196</v>
      </c>
      <c r="S803" t="s">
        <v>841</v>
      </c>
      <c r="T803" t="s">
        <v>842</v>
      </c>
      <c r="U803" t="s">
        <v>843</v>
      </c>
      <c r="V803" t="s">
        <v>66</v>
      </c>
      <c r="W803" t="s">
        <v>66</v>
      </c>
      <c r="X803">
        <v>2219112</v>
      </c>
      <c r="Y803">
        <v>244102.32</v>
      </c>
      <c r="Z803">
        <v>97020</v>
      </c>
      <c r="AA803">
        <v>10672.2</v>
      </c>
      <c r="AB803">
        <v>2463214.3199999998</v>
      </c>
      <c r="AC803">
        <v>6</v>
      </c>
      <c r="AD803" t="s">
        <v>82</v>
      </c>
      <c r="AE803">
        <v>6</v>
      </c>
      <c r="AF803" t="s">
        <v>128</v>
      </c>
      <c r="AG803">
        <f>IFERROR(VLOOKUP(AF803,[1]STOK!J:O,6,0),"")</f>
        <v>24</v>
      </c>
      <c r="AH803" s="2">
        <f t="shared" si="24"/>
        <v>0.25</v>
      </c>
      <c r="AI803" t="s">
        <v>128</v>
      </c>
      <c r="AJ803" t="s">
        <v>129</v>
      </c>
      <c r="AK803" t="s">
        <v>130</v>
      </c>
      <c r="AL803" t="s">
        <v>86</v>
      </c>
      <c r="AM803">
        <v>18315</v>
      </c>
      <c r="AN803">
        <f t="shared" si="25"/>
        <v>17948.7</v>
      </c>
      <c r="AO803" t="s">
        <v>66</v>
      </c>
      <c r="AP803">
        <v>2</v>
      </c>
      <c r="AQ803" t="s">
        <v>66</v>
      </c>
      <c r="AR803">
        <v>0</v>
      </c>
      <c r="AS803" t="s">
        <v>66</v>
      </c>
      <c r="AT803">
        <v>0</v>
      </c>
      <c r="AU803" t="s">
        <v>66</v>
      </c>
      <c r="AV803">
        <v>0</v>
      </c>
      <c r="AW803" t="s">
        <v>66</v>
      </c>
      <c r="AX803">
        <v>0</v>
      </c>
      <c r="AY803" t="s">
        <v>66</v>
      </c>
      <c r="AZ803">
        <v>0</v>
      </c>
      <c r="BA803" t="s">
        <v>66</v>
      </c>
      <c r="BB803">
        <v>0</v>
      </c>
      <c r="BC803">
        <v>0</v>
      </c>
      <c r="BD803">
        <v>107692.2</v>
      </c>
      <c r="BE803">
        <v>14919.17</v>
      </c>
      <c r="BF803">
        <v>0</v>
      </c>
      <c r="BG803" t="s">
        <v>87</v>
      </c>
      <c r="BH803" t="s">
        <v>66</v>
      </c>
      <c r="BI803">
        <v>0</v>
      </c>
      <c r="BJ803" t="s">
        <v>66</v>
      </c>
      <c r="BK803" t="s">
        <v>88</v>
      </c>
      <c r="BL803" t="s">
        <v>719</v>
      </c>
      <c r="BM803" t="s">
        <v>159</v>
      </c>
    </row>
    <row r="804" spans="1:65" x14ac:dyDescent="0.25">
      <c r="A804">
        <v>802</v>
      </c>
      <c r="B804" t="s">
        <v>1195</v>
      </c>
      <c r="C804" t="s">
        <v>1196</v>
      </c>
      <c r="D804" s="1">
        <v>46213</v>
      </c>
      <c r="E804" t="s">
        <v>1197</v>
      </c>
      <c r="F804" t="s">
        <v>1198</v>
      </c>
      <c r="G804" t="s">
        <v>295</v>
      </c>
      <c r="H804" t="s">
        <v>296</v>
      </c>
      <c r="I804" t="s">
        <v>71</v>
      </c>
      <c r="J804" t="s">
        <v>72</v>
      </c>
      <c r="K804" t="s">
        <v>73</v>
      </c>
      <c r="L804" t="s">
        <v>74</v>
      </c>
      <c r="M804" t="s">
        <v>853</v>
      </c>
      <c r="N804" t="s">
        <v>76</v>
      </c>
      <c r="O804" t="s">
        <v>854</v>
      </c>
      <c r="P804" t="s">
        <v>855</v>
      </c>
      <c r="Q804" t="s">
        <v>1199</v>
      </c>
      <c r="R804" s="1">
        <v>46196</v>
      </c>
      <c r="S804" t="s">
        <v>841</v>
      </c>
      <c r="T804" t="s">
        <v>842</v>
      </c>
      <c r="U804" t="s">
        <v>843</v>
      </c>
      <c r="V804" t="s">
        <v>66</v>
      </c>
      <c r="W804" t="s">
        <v>66</v>
      </c>
      <c r="X804">
        <v>2219112</v>
      </c>
      <c r="Y804">
        <v>244102.32</v>
      </c>
      <c r="Z804">
        <v>97020</v>
      </c>
      <c r="AA804">
        <v>10672.2</v>
      </c>
      <c r="AB804">
        <v>2463214.3199999998</v>
      </c>
      <c r="AC804">
        <v>6</v>
      </c>
      <c r="AD804" t="s">
        <v>82</v>
      </c>
      <c r="AE804">
        <v>6</v>
      </c>
      <c r="AF804" t="s">
        <v>93</v>
      </c>
      <c r="AG804">
        <f>IFERROR(VLOOKUP(AF804,[1]STOK!J:O,6,0),"")</f>
        <v>24</v>
      </c>
      <c r="AH804" s="2">
        <f t="shared" si="24"/>
        <v>0.25</v>
      </c>
      <c r="AI804" t="s">
        <v>93</v>
      </c>
      <c r="AJ804" t="s">
        <v>94</v>
      </c>
      <c r="AK804" t="s">
        <v>95</v>
      </c>
      <c r="AL804" t="s">
        <v>86</v>
      </c>
      <c r="AM804">
        <v>18315</v>
      </c>
      <c r="AN804">
        <f t="shared" si="25"/>
        <v>17948.7</v>
      </c>
      <c r="AO804" t="s">
        <v>66</v>
      </c>
      <c r="AP804">
        <v>2</v>
      </c>
      <c r="AQ804" t="s">
        <v>66</v>
      </c>
      <c r="AR804">
        <v>0</v>
      </c>
      <c r="AS804" t="s">
        <v>66</v>
      </c>
      <c r="AT804">
        <v>0</v>
      </c>
      <c r="AU804" t="s">
        <v>66</v>
      </c>
      <c r="AV804">
        <v>0</v>
      </c>
      <c r="AW804" t="s">
        <v>66</v>
      </c>
      <c r="AX804">
        <v>0</v>
      </c>
      <c r="AY804" t="s">
        <v>66</v>
      </c>
      <c r="AZ804">
        <v>0</v>
      </c>
      <c r="BA804" t="s">
        <v>66</v>
      </c>
      <c r="BB804">
        <v>0</v>
      </c>
      <c r="BC804">
        <v>0</v>
      </c>
      <c r="BD804">
        <v>107692.2</v>
      </c>
      <c r="BE804">
        <v>14931.77</v>
      </c>
      <c r="BF804">
        <v>0</v>
      </c>
      <c r="BG804" t="s">
        <v>87</v>
      </c>
      <c r="BH804" t="s">
        <v>66</v>
      </c>
      <c r="BI804">
        <v>0</v>
      </c>
      <c r="BJ804" t="s">
        <v>66</v>
      </c>
      <c r="BK804" t="s">
        <v>88</v>
      </c>
      <c r="BL804" t="s">
        <v>719</v>
      </c>
      <c r="BM804" t="s">
        <v>159</v>
      </c>
    </row>
    <row r="805" spans="1:65" x14ac:dyDescent="0.25">
      <c r="A805">
        <v>803</v>
      </c>
      <c r="B805" t="s">
        <v>1195</v>
      </c>
      <c r="C805" t="s">
        <v>1196</v>
      </c>
      <c r="D805" s="1">
        <v>46213</v>
      </c>
      <c r="E805" t="s">
        <v>1197</v>
      </c>
      <c r="F805" t="s">
        <v>1198</v>
      </c>
      <c r="G805" t="s">
        <v>295</v>
      </c>
      <c r="H805" t="s">
        <v>296</v>
      </c>
      <c r="I805" t="s">
        <v>71</v>
      </c>
      <c r="J805" t="s">
        <v>72</v>
      </c>
      <c r="K805" t="s">
        <v>73</v>
      </c>
      <c r="L805" t="s">
        <v>74</v>
      </c>
      <c r="M805" t="s">
        <v>853</v>
      </c>
      <c r="N805" t="s">
        <v>76</v>
      </c>
      <c r="O805" t="s">
        <v>854</v>
      </c>
      <c r="P805" t="s">
        <v>855</v>
      </c>
      <c r="Q805" t="s">
        <v>1199</v>
      </c>
      <c r="R805" s="1">
        <v>46196</v>
      </c>
      <c r="S805" t="s">
        <v>841</v>
      </c>
      <c r="T805" t="s">
        <v>842</v>
      </c>
      <c r="U805" t="s">
        <v>843</v>
      </c>
      <c r="V805" t="s">
        <v>66</v>
      </c>
      <c r="W805" t="s">
        <v>66</v>
      </c>
      <c r="X805">
        <v>2219112</v>
      </c>
      <c r="Y805">
        <v>244102.32</v>
      </c>
      <c r="Z805">
        <v>97020</v>
      </c>
      <c r="AA805">
        <v>10672.2</v>
      </c>
      <c r="AB805">
        <v>2463214.3199999998</v>
      </c>
      <c r="AC805">
        <v>6</v>
      </c>
      <c r="AD805" t="s">
        <v>82</v>
      </c>
      <c r="AE805">
        <v>6</v>
      </c>
      <c r="AF805" t="s">
        <v>205</v>
      </c>
      <c r="AG805">
        <f>IFERROR(VLOOKUP(AF805,[1]STOK!J:O,6,0),"")</f>
        <v>24</v>
      </c>
      <c r="AH805" s="2">
        <f t="shared" si="24"/>
        <v>0.25</v>
      </c>
      <c r="AI805" t="s">
        <v>205</v>
      </c>
      <c r="AJ805" t="s">
        <v>206</v>
      </c>
      <c r="AK805" t="s">
        <v>207</v>
      </c>
      <c r="AL805" t="s">
        <v>86</v>
      </c>
      <c r="AM805">
        <v>18315</v>
      </c>
      <c r="AN805">
        <f t="shared" si="25"/>
        <v>17948.7</v>
      </c>
      <c r="AO805" t="s">
        <v>66</v>
      </c>
      <c r="AP805">
        <v>2</v>
      </c>
      <c r="AQ805" t="s">
        <v>66</v>
      </c>
      <c r="AR805">
        <v>0</v>
      </c>
      <c r="AS805" t="s">
        <v>66</v>
      </c>
      <c r="AT805">
        <v>0</v>
      </c>
      <c r="AU805" t="s">
        <v>66</v>
      </c>
      <c r="AV805">
        <v>0</v>
      </c>
      <c r="AW805" t="s">
        <v>66</v>
      </c>
      <c r="AX805">
        <v>0</v>
      </c>
      <c r="AY805" t="s">
        <v>66</v>
      </c>
      <c r="AZ805">
        <v>0</v>
      </c>
      <c r="BA805" t="s">
        <v>66</v>
      </c>
      <c r="BB805">
        <v>0</v>
      </c>
      <c r="BC805">
        <v>0</v>
      </c>
      <c r="BD805">
        <v>107692.2</v>
      </c>
      <c r="BE805">
        <v>14873.8</v>
      </c>
      <c r="BF805">
        <v>0</v>
      </c>
      <c r="BG805" t="s">
        <v>87</v>
      </c>
      <c r="BH805" t="s">
        <v>66</v>
      </c>
      <c r="BI805">
        <v>0</v>
      </c>
      <c r="BJ805" t="s">
        <v>66</v>
      </c>
      <c r="BK805" t="s">
        <v>88</v>
      </c>
      <c r="BL805" t="s">
        <v>719</v>
      </c>
      <c r="BM805" t="s">
        <v>159</v>
      </c>
    </row>
    <row r="806" spans="1:65" x14ac:dyDescent="0.25">
      <c r="A806">
        <v>804</v>
      </c>
      <c r="B806" t="s">
        <v>1195</v>
      </c>
      <c r="C806" t="s">
        <v>1196</v>
      </c>
      <c r="D806" s="1">
        <v>46213</v>
      </c>
      <c r="E806" t="s">
        <v>1197</v>
      </c>
      <c r="F806" t="s">
        <v>1198</v>
      </c>
      <c r="G806" t="s">
        <v>295</v>
      </c>
      <c r="H806" t="s">
        <v>296</v>
      </c>
      <c r="I806" t="s">
        <v>71</v>
      </c>
      <c r="J806" t="s">
        <v>72</v>
      </c>
      <c r="K806" t="s">
        <v>73</v>
      </c>
      <c r="L806" t="s">
        <v>74</v>
      </c>
      <c r="M806" t="s">
        <v>853</v>
      </c>
      <c r="N806" t="s">
        <v>76</v>
      </c>
      <c r="O806" t="s">
        <v>854</v>
      </c>
      <c r="P806" t="s">
        <v>855</v>
      </c>
      <c r="Q806" t="s">
        <v>1199</v>
      </c>
      <c r="R806" s="1">
        <v>46196</v>
      </c>
      <c r="S806" t="s">
        <v>841</v>
      </c>
      <c r="T806" t="s">
        <v>842</v>
      </c>
      <c r="U806" t="s">
        <v>843</v>
      </c>
      <c r="V806" t="s">
        <v>66</v>
      </c>
      <c r="W806" t="s">
        <v>66</v>
      </c>
      <c r="X806">
        <v>2219112</v>
      </c>
      <c r="Y806">
        <v>244102.32</v>
      </c>
      <c r="Z806">
        <v>97020</v>
      </c>
      <c r="AA806">
        <v>10672.2</v>
      </c>
      <c r="AB806">
        <v>2463214.3199999998</v>
      </c>
      <c r="AC806">
        <v>6</v>
      </c>
      <c r="AD806" t="s">
        <v>82</v>
      </c>
      <c r="AE806">
        <v>6</v>
      </c>
      <c r="AF806" t="s">
        <v>96</v>
      </c>
      <c r="AG806">
        <f>IFERROR(VLOOKUP(AF806,[1]STOK!J:O,6,0),"")</f>
        <v>24</v>
      </c>
      <c r="AH806" s="2">
        <f t="shared" si="24"/>
        <v>0.25</v>
      </c>
      <c r="AI806" t="s">
        <v>96</v>
      </c>
      <c r="AJ806" t="s">
        <v>97</v>
      </c>
      <c r="AK806" t="s">
        <v>98</v>
      </c>
      <c r="AL806" t="s">
        <v>86</v>
      </c>
      <c r="AM806">
        <v>18315</v>
      </c>
      <c r="AN806">
        <f t="shared" si="25"/>
        <v>17948.7</v>
      </c>
      <c r="AO806" t="s">
        <v>66</v>
      </c>
      <c r="AP806">
        <v>2</v>
      </c>
      <c r="AQ806" t="s">
        <v>66</v>
      </c>
      <c r="AR806">
        <v>0</v>
      </c>
      <c r="AS806" t="s">
        <v>66</v>
      </c>
      <c r="AT806">
        <v>0</v>
      </c>
      <c r="AU806" t="s">
        <v>66</v>
      </c>
      <c r="AV806">
        <v>0</v>
      </c>
      <c r="AW806" t="s">
        <v>66</v>
      </c>
      <c r="AX806">
        <v>0</v>
      </c>
      <c r="AY806" t="s">
        <v>66</v>
      </c>
      <c r="AZ806">
        <v>0</v>
      </c>
      <c r="BA806" t="s">
        <v>66</v>
      </c>
      <c r="BB806">
        <v>0</v>
      </c>
      <c r="BC806">
        <v>0</v>
      </c>
      <c r="BD806">
        <v>107692.2</v>
      </c>
      <c r="BE806">
        <v>14932.88</v>
      </c>
      <c r="BF806">
        <v>0</v>
      </c>
      <c r="BG806" t="s">
        <v>87</v>
      </c>
      <c r="BH806" t="s">
        <v>66</v>
      </c>
      <c r="BI806">
        <v>0</v>
      </c>
      <c r="BJ806" t="s">
        <v>66</v>
      </c>
      <c r="BK806" t="s">
        <v>88</v>
      </c>
      <c r="BL806" t="s">
        <v>719</v>
      </c>
      <c r="BM806" t="s">
        <v>159</v>
      </c>
    </row>
    <row r="807" spans="1:65" x14ac:dyDescent="0.25">
      <c r="A807">
        <v>805</v>
      </c>
      <c r="B807" t="s">
        <v>1195</v>
      </c>
      <c r="C807" t="s">
        <v>1196</v>
      </c>
      <c r="D807" s="1">
        <v>46213</v>
      </c>
      <c r="E807" t="s">
        <v>1197</v>
      </c>
      <c r="F807" t="s">
        <v>1198</v>
      </c>
      <c r="G807" t="s">
        <v>295</v>
      </c>
      <c r="H807" t="s">
        <v>296</v>
      </c>
      <c r="I807" t="s">
        <v>71</v>
      </c>
      <c r="J807" t="s">
        <v>72</v>
      </c>
      <c r="K807" t="s">
        <v>73</v>
      </c>
      <c r="L807" t="s">
        <v>74</v>
      </c>
      <c r="M807" t="s">
        <v>853</v>
      </c>
      <c r="N807" t="s">
        <v>76</v>
      </c>
      <c r="O807" t="s">
        <v>854</v>
      </c>
      <c r="P807" t="s">
        <v>855</v>
      </c>
      <c r="Q807" t="s">
        <v>1199</v>
      </c>
      <c r="R807" s="1">
        <v>46196</v>
      </c>
      <c r="S807" t="s">
        <v>841</v>
      </c>
      <c r="T807" t="s">
        <v>842</v>
      </c>
      <c r="U807" t="s">
        <v>843</v>
      </c>
      <c r="V807" t="s">
        <v>66</v>
      </c>
      <c r="W807" t="s">
        <v>66</v>
      </c>
      <c r="X807">
        <v>2219112</v>
      </c>
      <c r="Y807">
        <v>244102.32</v>
      </c>
      <c r="Z807">
        <v>97020</v>
      </c>
      <c r="AA807">
        <v>10672.2</v>
      </c>
      <c r="AB807">
        <v>2463214.3199999998</v>
      </c>
      <c r="AC807">
        <v>6</v>
      </c>
      <c r="AD807" t="s">
        <v>82</v>
      </c>
      <c r="AE807">
        <v>6</v>
      </c>
      <c r="AF807" t="s">
        <v>99</v>
      </c>
      <c r="AG807">
        <f>IFERROR(VLOOKUP(AF807,[1]STOK!J:O,6,0),"")</f>
        <v>24</v>
      </c>
      <c r="AH807" s="2">
        <f t="shared" si="24"/>
        <v>0.25</v>
      </c>
      <c r="AI807" t="s">
        <v>99</v>
      </c>
      <c r="AJ807" t="s">
        <v>100</v>
      </c>
      <c r="AK807" t="s">
        <v>101</v>
      </c>
      <c r="AL807" t="s">
        <v>86</v>
      </c>
      <c r="AM807">
        <v>18315</v>
      </c>
      <c r="AN807">
        <f t="shared" si="25"/>
        <v>17948.7</v>
      </c>
      <c r="AO807" t="s">
        <v>66</v>
      </c>
      <c r="AP807">
        <v>2</v>
      </c>
      <c r="AQ807" t="s">
        <v>66</v>
      </c>
      <c r="AR807">
        <v>0</v>
      </c>
      <c r="AS807" t="s">
        <v>66</v>
      </c>
      <c r="AT807">
        <v>0</v>
      </c>
      <c r="AU807" t="s">
        <v>66</v>
      </c>
      <c r="AV807">
        <v>0</v>
      </c>
      <c r="AW807" t="s">
        <v>66</v>
      </c>
      <c r="AX807">
        <v>0</v>
      </c>
      <c r="AY807" t="s">
        <v>66</v>
      </c>
      <c r="AZ807">
        <v>0</v>
      </c>
      <c r="BA807" t="s">
        <v>66</v>
      </c>
      <c r="BB807">
        <v>0</v>
      </c>
      <c r="BC807">
        <v>0</v>
      </c>
      <c r="BD807">
        <v>107692.2</v>
      </c>
      <c r="BE807">
        <v>14918.57</v>
      </c>
      <c r="BF807">
        <v>0</v>
      </c>
      <c r="BG807" t="s">
        <v>87</v>
      </c>
      <c r="BH807" t="s">
        <v>66</v>
      </c>
      <c r="BI807">
        <v>0</v>
      </c>
      <c r="BJ807" t="s">
        <v>66</v>
      </c>
      <c r="BK807" t="s">
        <v>88</v>
      </c>
      <c r="BL807" t="s">
        <v>719</v>
      </c>
      <c r="BM807" t="s">
        <v>159</v>
      </c>
    </row>
    <row r="808" spans="1:65" x14ac:dyDescent="0.25">
      <c r="A808">
        <v>806</v>
      </c>
      <c r="B808" t="s">
        <v>1195</v>
      </c>
      <c r="C808" t="s">
        <v>1196</v>
      </c>
      <c r="D808" s="1">
        <v>46213</v>
      </c>
      <c r="E808" t="s">
        <v>1197</v>
      </c>
      <c r="F808" t="s">
        <v>1198</v>
      </c>
      <c r="G808" t="s">
        <v>295</v>
      </c>
      <c r="H808" t="s">
        <v>296</v>
      </c>
      <c r="I808" t="s">
        <v>71</v>
      </c>
      <c r="J808" t="s">
        <v>72</v>
      </c>
      <c r="K808" t="s">
        <v>73</v>
      </c>
      <c r="L808" t="s">
        <v>74</v>
      </c>
      <c r="M808" t="s">
        <v>853</v>
      </c>
      <c r="N808" t="s">
        <v>76</v>
      </c>
      <c r="O808" t="s">
        <v>854</v>
      </c>
      <c r="P808" t="s">
        <v>855</v>
      </c>
      <c r="Q808" t="s">
        <v>1199</v>
      </c>
      <c r="R808" s="1">
        <v>46196</v>
      </c>
      <c r="S808" t="s">
        <v>841</v>
      </c>
      <c r="T808" t="s">
        <v>842</v>
      </c>
      <c r="U808" t="s">
        <v>843</v>
      </c>
      <c r="V808" t="s">
        <v>66</v>
      </c>
      <c r="W808" t="s">
        <v>66</v>
      </c>
      <c r="X808">
        <v>2219112</v>
      </c>
      <c r="Y808">
        <v>244102.32</v>
      </c>
      <c r="Z808">
        <v>160524</v>
      </c>
      <c r="AA808">
        <v>17657.64</v>
      </c>
      <c r="AB808">
        <v>2463214.3199999998</v>
      </c>
      <c r="AC808">
        <v>6</v>
      </c>
      <c r="AD808" t="s">
        <v>82</v>
      </c>
      <c r="AE808">
        <v>6</v>
      </c>
      <c r="AF808" t="s">
        <v>563</v>
      </c>
      <c r="AG808">
        <f>IFERROR(VLOOKUP(AF808,[1]STOK!J:O,6,0),"")</f>
        <v>12</v>
      </c>
      <c r="AH808" s="2">
        <f t="shared" si="24"/>
        <v>0.5</v>
      </c>
      <c r="AI808" t="s">
        <v>563</v>
      </c>
      <c r="AJ808" t="s">
        <v>564</v>
      </c>
      <c r="AK808" t="s">
        <v>565</v>
      </c>
      <c r="AL808" t="s">
        <v>86</v>
      </c>
      <c r="AM808">
        <v>30303</v>
      </c>
      <c r="AN808">
        <f t="shared" si="25"/>
        <v>29696.940000000002</v>
      </c>
      <c r="AO808" t="s">
        <v>66</v>
      </c>
      <c r="AP808">
        <v>2</v>
      </c>
      <c r="AQ808" t="s">
        <v>66</v>
      </c>
      <c r="AR808">
        <v>0</v>
      </c>
      <c r="AS808" t="s">
        <v>66</v>
      </c>
      <c r="AT808">
        <v>0</v>
      </c>
      <c r="AU808" t="s">
        <v>66</v>
      </c>
      <c r="AV808">
        <v>0</v>
      </c>
      <c r="AW808" t="s">
        <v>66</v>
      </c>
      <c r="AX808">
        <v>0</v>
      </c>
      <c r="AY808" t="s">
        <v>66</v>
      </c>
      <c r="AZ808">
        <v>0</v>
      </c>
      <c r="BA808" t="s">
        <v>66</v>
      </c>
      <c r="BB808">
        <v>0</v>
      </c>
      <c r="BC808">
        <v>0</v>
      </c>
      <c r="BD808">
        <v>178181.64</v>
      </c>
      <c r="BE808">
        <v>24688.27</v>
      </c>
      <c r="BF808">
        <v>0</v>
      </c>
      <c r="BG808" t="s">
        <v>87</v>
      </c>
      <c r="BH808" t="s">
        <v>66</v>
      </c>
      <c r="BI808">
        <v>0</v>
      </c>
      <c r="BJ808" t="s">
        <v>66</v>
      </c>
      <c r="BK808" t="s">
        <v>88</v>
      </c>
      <c r="BL808" t="s">
        <v>719</v>
      </c>
      <c r="BM808" t="s">
        <v>159</v>
      </c>
    </row>
    <row r="809" spans="1:65" x14ac:dyDescent="0.25">
      <c r="A809">
        <v>807</v>
      </c>
      <c r="B809" t="s">
        <v>1195</v>
      </c>
      <c r="C809" t="s">
        <v>1196</v>
      </c>
      <c r="D809" s="1">
        <v>46213</v>
      </c>
      <c r="E809" t="s">
        <v>1197</v>
      </c>
      <c r="F809" t="s">
        <v>1198</v>
      </c>
      <c r="G809" t="s">
        <v>295</v>
      </c>
      <c r="H809" t="s">
        <v>296</v>
      </c>
      <c r="I809" t="s">
        <v>71</v>
      </c>
      <c r="J809" t="s">
        <v>72</v>
      </c>
      <c r="K809" t="s">
        <v>73</v>
      </c>
      <c r="L809" t="s">
        <v>74</v>
      </c>
      <c r="M809" t="s">
        <v>853</v>
      </c>
      <c r="N809" t="s">
        <v>76</v>
      </c>
      <c r="O809" t="s">
        <v>854</v>
      </c>
      <c r="P809" t="s">
        <v>855</v>
      </c>
      <c r="Q809" t="s">
        <v>1199</v>
      </c>
      <c r="R809" s="1">
        <v>46196</v>
      </c>
      <c r="S809" t="s">
        <v>841</v>
      </c>
      <c r="T809" t="s">
        <v>842</v>
      </c>
      <c r="U809" t="s">
        <v>843</v>
      </c>
      <c r="V809" t="s">
        <v>66</v>
      </c>
      <c r="W809" t="s">
        <v>66</v>
      </c>
      <c r="X809">
        <v>2219112</v>
      </c>
      <c r="Y809">
        <v>244102.32</v>
      </c>
      <c r="Z809">
        <v>114072</v>
      </c>
      <c r="AA809">
        <v>12547.92</v>
      </c>
      <c r="AB809">
        <v>2463214.3199999998</v>
      </c>
      <c r="AC809">
        <v>6</v>
      </c>
      <c r="AD809" t="s">
        <v>82</v>
      </c>
      <c r="AE809">
        <v>6</v>
      </c>
      <c r="AF809" t="s">
        <v>470</v>
      </c>
      <c r="AG809">
        <f>IFERROR(VLOOKUP(AF809,[1]STOK!J:O,6,0),"")</f>
        <v>24</v>
      </c>
      <c r="AH809" s="2">
        <f t="shared" si="24"/>
        <v>0.25</v>
      </c>
      <c r="AI809" t="s">
        <v>470</v>
      </c>
      <c r="AJ809" t="s">
        <v>471</v>
      </c>
      <c r="AK809" t="s">
        <v>472</v>
      </c>
      <c r="AL809" t="s">
        <v>86</v>
      </c>
      <c r="AM809">
        <v>21534</v>
      </c>
      <c r="AN809">
        <f t="shared" si="25"/>
        <v>21103.32</v>
      </c>
      <c r="AO809" t="s">
        <v>66</v>
      </c>
      <c r="AP809">
        <v>2</v>
      </c>
      <c r="AQ809" t="s">
        <v>66</v>
      </c>
      <c r="AR809">
        <v>0</v>
      </c>
      <c r="AS809" t="s">
        <v>66</v>
      </c>
      <c r="AT809">
        <v>0</v>
      </c>
      <c r="AU809" t="s">
        <v>66</v>
      </c>
      <c r="AV809">
        <v>0</v>
      </c>
      <c r="AW809" t="s">
        <v>66</v>
      </c>
      <c r="AX809">
        <v>0</v>
      </c>
      <c r="AY809" t="s">
        <v>66</v>
      </c>
      <c r="AZ809">
        <v>0</v>
      </c>
      <c r="BA809" t="s">
        <v>66</v>
      </c>
      <c r="BB809">
        <v>0</v>
      </c>
      <c r="BC809">
        <v>0</v>
      </c>
      <c r="BD809">
        <v>126619.92</v>
      </c>
      <c r="BE809">
        <v>17429.22</v>
      </c>
      <c r="BF809">
        <v>0</v>
      </c>
      <c r="BG809" t="s">
        <v>87</v>
      </c>
      <c r="BH809" t="s">
        <v>66</v>
      </c>
      <c r="BI809">
        <v>0</v>
      </c>
      <c r="BJ809" t="s">
        <v>66</v>
      </c>
      <c r="BK809" t="s">
        <v>88</v>
      </c>
      <c r="BL809" t="s">
        <v>719</v>
      </c>
      <c r="BM809" t="s">
        <v>159</v>
      </c>
    </row>
    <row r="810" spans="1:65" x14ac:dyDescent="0.25">
      <c r="A810">
        <v>808</v>
      </c>
      <c r="B810" t="s">
        <v>1195</v>
      </c>
      <c r="C810" t="s">
        <v>1196</v>
      </c>
      <c r="D810" s="1">
        <v>46213</v>
      </c>
      <c r="E810" t="s">
        <v>1197</v>
      </c>
      <c r="F810" t="s">
        <v>1198</v>
      </c>
      <c r="G810" t="s">
        <v>295</v>
      </c>
      <c r="H810" t="s">
        <v>296</v>
      </c>
      <c r="I810" t="s">
        <v>71</v>
      </c>
      <c r="J810" t="s">
        <v>72</v>
      </c>
      <c r="K810" t="s">
        <v>73</v>
      </c>
      <c r="L810" t="s">
        <v>74</v>
      </c>
      <c r="M810" t="s">
        <v>853</v>
      </c>
      <c r="N810" t="s">
        <v>76</v>
      </c>
      <c r="O810" t="s">
        <v>854</v>
      </c>
      <c r="P810" t="s">
        <v>855</v>
      </c>
      <c r="Q810" t="s">
        <v>1199</v>
      </c>
      <c r="R810" s="1">
        <v>46196</v>
      </c>
      <c r="S810" t="s">
        <v>841</v>
      </c>
      <c r="T810" t="s">
        <v>842</v>
      </c>
      <c r="U810" t="s">
        <v>843</v>
      </c>
      <c r="V810" t="s">
        <v>66</v>
      </c>
      <c r="W810" t="s">
        <v>66</v>
      </c>
      <c r="X810">
        <v>2219112</v>
      </c>
      <c r="Y810">
        <v>244102.32</v>
      </c>
      <c r="Z810">
        <v>78204</v>
      </c>
      <c r="AA810">
        <v>8602.44</v>
      </c>
      <c r="AB810">
        <v>2463214.3199999998</v>
      </c>
      <c r="AC810">
        <v>6</v>
      </c>
      <c r="AD810" t="s">
        <v>82</v>
      </c>
      <c r="AE810">
        <v>6</v>
      </c>
      <c r="AF810" t="s">
        <v>135</v>
      </c>
      <c r="AG810">
        <f>IFERROR(VLOOKUP(AF810,[1]STOK!J:O,6,0),"")</f>
        <v>12</v>
      </c>
      <c r="AH810" s="2">
        <f t="shared" si="24"/>
        <v>0.5</v>
      </c>
      <c r="AI810" t="s">
        <v>135</v>
      </c>
      <c r="AJ810" t="s">
        <v>136</v>
      </c>
      <c r="AK810" t="s">
        <v>137</v>
      </c>
      <c r="AL810" t="s">
        <v>86</v>
      </c>
      <c r="AM810">
        <v>14763</v>
      </c>
      <c r="AN810">
        <f t="shared" si="25"/>
        <v>14467.74</v>
      </c>
      <c r="AO810" t="s">
        <v>66</v>
      </c>
      <c r="AP810">
        <v>2</v>
      </c>
      <c r="AQ810" t="s">
        <v>66</v>
      </c>
      <c r="AR810">
        <v>0</v>
      </c>
      <c r="AS810" t="s">
        <v>66</v>
      </c>
      <c r="AT810">
        <v>0</v>
      </c>
      <c r="AU810" t="s">
        <v>66</v>
      </c>
      <c r="AV810">
        <v>0</v>
      </c>
      <c r="AW810" t="s">
        <v>66</v>
      </c>
      <c r="AX810">
        <v>0</v>
      </c>
      <c r="AY810" t="s">
        <v>66</v>
      </c>
      <c r="AZ810">
        <v>0</v>
      </c>
      <c r="BA810" t="s">
        <v>66</v>
      </c>
      <c r="BB810">
        <v>0</v>
      </c>
      <c r="BC810">
        <v>0</v>
      </c>
      <c r="BD810">
        <v>86806.44</v>
      </c>
      <c r="BE810">
        <v>12036.27</v>
      </c>
      <c r="BF810">
        <v>0</v>
      </c>
      <c r="BG810" t="s">
        <v>87</v>
      </c>
      <c r="BH810" t="s">
        <v>66</v>
      </c>
      <c r="BI810">
        <v>0</v>
      </c>
      <c r="BJ810" t="s">
        <v>66</v>
      </c>
      <c r="BK810" t="s">
        <v>88</v>
      </c>
      <c r="BL810" t="s">
        <v>719</v>
      </c>
      <c r="BM810" t="s">
        <v>159</v>
      </c>
    </row>
    <row r="811" spans="1:65" x14ac:dyDescent="0.25">
      <c r="A811">
        <v>809</v>
      </c>
      <c r="B811" t="s">
        <v>1195</v>
      </c>
      <c r="C811" t="s">
        <v>1196</v>
      </c>
      <c r="D811" s="1">
        <v>46213</v>
      </c>
      <c r="E811" t="s">
        <v>1197</v>
      </c>
      <c r="F811" t="s">
        <v>1198</v>
      </c>
      <c r="G811" t="s">
        <v>295</v>
      </c>
      <c r="H811" t="s">
        <v>296</v>
      </c>
      <c r="I811" t="s">
        <v>71</v>
      </c>
      <c r="J811" t="s">
        <v>72</v>
      </c>
      <c r="K811" t="s">
        <v>73</v>
      </c>
      <c r="L811" t="s">
        <v>74</v>
      </c>
      <c r="M811" t="s">
        <v>853</v>
      </c>
      <c r="N811" t="s">
        <v>76</v>
      </c>
      <c r="O811" t="s">
        <v>854</v>
      </c>
      <c r="P811" t="s">
        <v>855</v>
      </c>
      <c r="Q811" t="s">
        <v>1199</v>
      </c>
      <c r="R811" s="1">
        <v>46196</v>
      </c>
      <c r="S811" t="s">
        <v>841</v>
      </c>
      <c r="T811" t="s">
        <v>842</v>
      </c>
      <c r="U811" t="s">
        <v>843</v>
      </c>
      <c r="V811" t="s">
        <v>66</v>
      </c>
      <c r="W811" t="s">
        <v>66</v>
      </c>
      <c r="X811">
        <v>2219112</v>
      </c>
      <c r="Y811">
        <v>244102.32</v>
      </c>
      <c r="Z811">
        <v>78204</v>
      </c>
      <c r="AA811">
        <v>8602.44</v>
      </c>
      <c r="AB811">
        <v>2463214.3199999998</v>
      </c>
      <c r="AC811">
        <v>6</v>
      </c>
      <c r="AD811" t="s">
        <v>82</v>
      </c>
      <c r="AE811">
        <v>6</v>
      </c>
      <c r="AF811" t="s">
        <v>210</v>
      </c>
      <c r="AG811">
        <f>IFERROR(VLOOKUP(AF811,[1]STOK!J:O,6,0),"")</f>
        <v>12</v>
      </c>
      <c r="AH811" s="2">
        <f t="shared" si="24"/>
        <v>0.5</v>
      </c>
      <c r="AI811" t="s">
        <v>210</v>
      </c>
      <c r="AJ811" t="s">
        <v>211</v>
      </c>
      <c r="AK811" t="s">
        <v>212</v>
      </c>
      <c r="AL811" t="s">
        <v>86</v>
      </c>
      <c r="AM811">
        <v>14763</v>
      </c>
      <c r="AN811">
        <f t="shared" si="25"/>
        <v>14467.74</v>
      </c>
      <c r="AO811" t="s">
        <v>66</v>
      </c>
      <c r="AP811">
        <v>2</v>
      </c>
      <c r="AQ811" t="s">
        <v>66</v>
      </c>
      <c r="AR811">
        <v>0</v>
      </c>
      <c r="AS811" t="s">
        <v>66</v>
      </c>
      <c r="AT811">
        <v>0</v>
      </c>
      <c r="AU811" t="s">
        <v>66</v>
      </c>
      <c r="AV811">
        <v>0</v>
      </c>
      <c r="AW811" t="s">
        <v>66</v>
      </c>
      <c r="AX811">
        <v>0</v>
      </c>
      <c r="AY811" t="s">
        <v>66</v>
      </c>
      <c r="AZ811">
        <v>0</v>
      </c>
      <c r="BA811" t="s">
        <v>66</v>
      </c>
      <c r="BB811">
        <v>0</v>
      </c>
      <c r="BC811">
        <v>0</v>
      </c>
      <c r="BD811">
        <v>86806.44</v>
      </c>
      <c r="BE811">
        <v>12009.37</v>
      </c>
      <c r="BF811">
        <v>0</v>
      </c>
      <c r="BG811" t="s">
        <v>87</v>
      </c>
      <c r="BH811" t="s">
        <v>66</v>
      </c>
      <c r="BI811">
        <v>0</v>
      </c>
      <c r="BJ811" t="s">
        <v>66</v>
      </c>
      <c r="BK811" t="s">
        <v>88</v>
      </c>
      <c r="BL811" t="s">
        <v>719</v>
      </c>
      <c r="BM811" t="s">
        <v>159</v>
      </c>
    </row>
    <row r="812" spans="1:65" x14ac:dyDescent="0.25">
      <c r="A812">
        <v>810</v>
      </c>
      <c r="B812" t="s">
        <v>1195</v>
      </c>
      <c r="C812" t="s">
        <v>1196</v>
      </c>
      <c r="D812" s="1">
        <v>46213</v>
      </c>
      <c r="E812" t="s">
        <v>1197</v>
      </c>
      <c r="F812" t="s">
        <v>1198</v>
      </c>
      <c r="G812" t="s">
        <v>295</v>
      </c>
      <c r="H812" t="s">
        <v>296</v>
      </c>
      <c r="I812" t="s">
        <v>71</v>
      </c>
      <c r="J812" t="s">
        <v>72</v>
      </c>
      <c r="K812" t="s">
        <v>73</v>
      </c>
      <c r="L812" t="s">
        <v>74</v>
      </c>
      <c r="M812" t="s">
        <v>853</v>
      </c>
      <c r="N812" t="s">
        <v>76</v>
      </c>
      <c r="O812" t="s">
        <v>854</v>
      </c>
      <c r="P812" t="s">
        <v>855</v>
      </c>
      <c r="Q812" t="s">
        <v>1199</v>
      </c>
      <c r="R812" s="1">
        <v>46196</v>
      </c>
      <c r="S812" t="s">
        <v>841</v>
      </c>
      <c r="T812" t="s">
        <v>842</v>
      </c>
      <c r="U812" t="s">
        <v>843</v>
      </c>
      <c r="V812" t="s">
        <v>66</v>
      </c>
      <c r="W812" t="s">
        <v>66</v>
      </c>
      <c r="X812">
        <v>2219112</v>
      </c>
      <c r="Y812">
        <v>244102.32</v>
      </c>
      <c r="Z812">
        <v>101724</v>
      </c>
      <c r="AA812">
        <v>11189.64</v>
      </c>
      <c r="AB812">
        <v>2463214.3199999998</v>
      </c>
      <c r="AC812">
        <v>6</v>
      </c>
      <c r="AD812" t="s">
        <v>82</v>
      </c>
      <c r="AE812">
        <v>6</v>
      </c>
      <c r="AF812" t="s">
        <v>359</v>
      </c>
      <c r="AG812">
        <f>IFERROR(VLOOKUP(AF812,[1]STOK!J:O,6,0),"")</f>
        <v>12</v>
      </c>
      <c r="AH812" s="2">
        <f t="shared" si="24"/>
        <v>0.5</v>
      </c>
      <c r="AI812" t="s">
        <v>359</v>
      </c>
      <c r="AJ812" t="s">
        <v>360</v>
      </c>
      <c r="AK812" t="s">
        <v>361</v>
      </c>
      <c r="AL812" t="s">
        <v>86</v>
      </c>
      <c r="AM812">
        <v>19203</v>
      </c>
      <c r="AN812">
        <f t="shared" si="25"/>
        <v>18818.939999999999</v>
      </c>
      <c r="AO812" t="s">
        <v>66</v>
      </c>
      <c r="AP812">
        <v>2</v>
      </c>
      <c r="AQ812" t="s">
        <v>66</v>
      </c>
      <c r="AR812">
        <v>0</v>
      </c>
      <c r="AS812" t="s">
        <v>66</v>
      </c>
      <c r="AT812">
        <v>0</v>
      </c>
      <c r="AU812" t="s">
        <v>66</v>
      </c>
      <c r="AV812">
        <v>0</v>
      </c>
      <c r="AW812" t="s">
        <v>66</v>
      </c>
      <c r="AX812">
        <v>0</v>
      </c>
      <c r="AY812" t="s">
        <v>66</v>
      </c>
      <c r="AZ812">
        <v>0</v>
      </c>
      <c r="BA812" t="s">
        <v>66</v>
      </c>
      <c r="BB812">
        <v>0</v>
      </c>
      <c r="BC812">
        <v>0</v>
      </c>
      <c r="BD812">
        <v>112913.64</v>
      </c>
      <c r="BE812">
        <v>15607.61</v>
      </c>
      <c r="BF812">
        <v>0</v>
      </c>
      <c r="BG812" t="s">
        <v>87</v>
      </c>
      <c r="BH812" t="s">
        <v>66</v>
      </c>
      <c r="BI812">
        <v>0</v>
      </c>
      <c r="BJ812" t="s">
        <v>66</v>
      </c>
      <c r="BK812" t="s">
        <v>88</v>
      </c>
      <c r="BL812" t="s">
        <v>719</v>
      </c>
      <c r="BM812" t="s">
        <v>159</v>
      </c>
    </row>
    <row r="813" spans="1:65" x14ac:dyDescent="0.25">
      <c r="A813">
        <v>811</v>
      </c>
      <c r="B813" t="s">
        <v>1195</v>
      </c>
      <c r="C813" t="s">
        <v>1196</v>
      </c>
      <c r="D813" s="1">
        <v>46213</v>
      </c>
      <c r="E813" t="s">
        <v>1197</v>
      </c>
      <c r="F813" t="s">
        <v>1198</v>
      </c>
      <c r="G813" t="s">
        <v>295</v>
      </c>
      <c r="H813" t="s">
        <v>296</v>
      </c>
      <c r="I813" t="s">
        <v>71</v>
      </c>
      <c r="J813" t="s">
        <v>72</v>
      </c>
      <c r="K813" t="s">
        <v>73</v>
      </c>
      <c r="L813" t="s">
        <v>74</v>
      </c>
      <c r="M813" t="s">
        <v>853</v>
      </c>
      <c r="N813" t="s">
        <v>76</v>
      </c>
      <c r="O813" t="s">
        <v>854</v>
      </c>
      <c r="P813" t="s">
        <v>855</v>
      </c>
      <c r="Q813" t="s">
        <v>1199</v>
      </c>
      <c r="R813" s="1">
        <v>46196</v>
      </c>
      <c r="S813" t="s">
        <v>841</v>
      </c>
      <c r="T813" t="s">
        <v>842</v>
      </c>
      <c r="U813" t="s">
        <v>843</v>
      </c>
      <c r="V813" t="s">
        <v>66</v>
      </c>
      <c r="W813" t="s">
        <v>66</v>
      </c>
      <c r="X813">
        <v>2219112</v>
      </c>
      <c r="Y813">
        <v>244102.32</v>
      </c>
      <c r="Z813">
        <v>235200</v>
      </c>
      <c r="AA813">
        <v>25872</v>
      </c>
      <c r="AB813">
        <v>2463214.3199999998</v>
      </c>
      <c r="AC813">
        <v>12</v>
      </c>
      <c r="AD813" t="s">
        <v>82</v>
      </c>
      <c r="AE813">
        <v>12</v>
      </c>
      <c r="AF813" t="s">
        <v>290</v>
      </c>
      <c r="AG813">
        <f>IFERROR(VLOOKUP(AF813,[1]STOK!J:O,6,0),"")</f>
        <v>12</v>
      </c>
      <c r="AH813" s="2">
        <f t="shared" si="24"/>
        <v>1</v>
      </c>
      <c r="AI813" t="s">
        <v>290</v>
      </c>
      <c r="AJ813" t="s">
        <v>291</v>
      </c>
      <c r="AK813" t="s">
        <v>292</v>
      </c>
      <c r="AL813" t="s">
        <v>86</v>
      </c>
      <c r="AM813">
        <v>22200</v>
      </c>
      <c r="AN813">
        <f t="shared" si="25"/>
        <v>21756</v>
      </c>
      <c r="AO813" t="s">
        <v>66</v>
      </c>
      <c r="AP813">
        <v>2</v>
      </c>
      <c r="AQ813" t="s">
        <v>66</v>
      </c>
      <c r="AR813">
        <v>0</v>
      </c>
      <c r="AS813" t="s">
        <v>66</v>
      </c>
      <c r="AT813">
        <v>0</v>
      </c>
      <c r="AU813" t="s">
        <v>66</v>
      </c>
      <c r="AV813">
        <v>0</v>
      </c>
      <c r="AW813" t="s">
        <v>66</v>
      </c>
      <c r="AX813">
        <v>0</v>
      </c>
      <c r="AY813" t="s">
        <v>66</v>
      </c>
      <c r="AZ813">
        <v>0</v>
      </c>
      <c r="BA813" t="s">
        <v>66</v>
      </c>
      <c r="BB813">
        <v>0</v>
      </c>
      <c r="BC813">
        <v>0</v>
      </c>
      <c r="BD813">
        <v>261072</v>
      </c>
      <c r="BE813">
        <v>18104.62</v>
      </c>
      <c r="BF813">
        <v>0</v>
      </c>
      <c r="BG813" t="s">
        <v>87</v>
      </c>
      <c r="BH813" t="s">
        <v>66</v>
      </c>
      <c r="BI813">
        <v>0</v>
      </c>
      <c r="BJ813" t="s">
        <v>66</v>
      </c>
      <c r="BK813" t="s">
        <v>88</v>
      </c>
      <c r="BL813" t="s">
        <v>719</v>
      </c>
      <c r="BM813" t="s">
        <v>159</v>
      </c>
    </row>
    <row r="814" spans="1:65" x14ac:dyDescent="0.25">
      <c r="A814">
        <v>812</v>
      </c>
      <c r="B814" t="s">
        <v>1195</v>
      </c>
      <c r="C814" t="s">
        <v>1196</v>
      </c>
      <c r="D814" s="1">
        <v>46213</v>
      </c>
      <c r="E814" t="s">
        <v>1197</v>
      </c>
      <c r="F814" t="s">
        <v>1198</v>
      </c>
      <c r="G814" t="s">
        <v>295</v>
      </c>
      <c r="H814" t="s">
        <v>296</v>
      </c>
      <c r="I814" t="s">
        <v>71</v>
      </c>
      <c r="J814" t="s">
        <v>72</v>
      </c>
      <c r="K814" t="s">
        <v>73</v>
      </c>
      <c r="L814" t="s">
        <v>74</v>
      </c>
      <c r="M814" t="s">
        <v>853</v>
      </c>
      <c r="N814" t="s">
        <v>76</v>
      </c>
      <c r="O814" t="s">
        <v>854</v>
      </c>
      <c r="P814" t="s">
        <v>855</v>
      </c>
      <c r="Q814" t="s">
        <v>1199</v>
      </c>
      <c r="R814" s="1">
        <v>46196</v>
      </c>
      <c r="S814" t="s">
        <v>841</v>
      </c>
      <c r="T814" t="s">
        <v>842</v>
      </c>
      <c r="U814" t="s">
        <v>843</v>
      </c>
      <c r="V814" t="s">
        <v>66</v>
      </c>
      <c r="W814" t="s">
        <v>66</v>
      </c>
      <c r="X814">
        <v>2219112</v>
      </c>
      <c r="Y814">
        <v>244102.32</v>
      </c>
      <c r="Z814">
        <v>235200</v>
      </c>
      <c r="AA814">
        <v>25872</v>
      </c>
      <c r="AB814">
        <v>2463214.3199999998</v>
      </c>
      <c r="AC814">
        <v>12</v>
      </c>
      <c r="AD814" t="s">
        <v>82</v>
      </c>
      <c r="AE814">
        <v>12</v>
      </c>
      <c r="AF814" t="s">
        <v>102</v>
      </c>
      <c r="AG814">
        <f>IFERROR(VLOOKUP(AF814,[1]STOK!J:O,6,0),"")</f>
        <v>12</v>
      </c>
      <c r="AH814" s="2">
        <f t="shared" si="24"/>
        <v>1</v>
      </c>
      <c r="AI814" t="s">
        <v>102</v>
      </c>
      <c r="AJ814" t="s">
        <v>103</v>
      </c>
      <c r="AK814" t="s">
        <v>104</v>
      </c>
      <c r="AL814" t="s">
        <v>86</v>
      </c>
      <c r="AM814">
        <v>22200</v>
      </c>
      <c r="AN814">
        <f t="shared" si="25"/>
        <v>21756</v>
      </c>
      <c r="AO814" t="s">
        <v>66</v>
      </c>
      <c r="AP814">
        <v>2</v>
      </c>
      <c r="AQ814" t="s">
        <v>66</v>
      </c>
      <c r="AR814">
        <v>0</v>
      </c>
      <c r="AS814" t="s">
        <v>66</v>
      </c>
      <c r="AT814">
        <v>0</v>
      </c>
      <c r="AU814" t="s">
        <v>66</v>
      </c>
      <c r="AV814">
        <v>0</v>
      </c>
      <c r="AW814" t="s">
        <v>66</v>
      </c>
      <c r="AX814">
        <v>0</v>
      </c>
      <c r="AY814" t="s">
        <v>66</v>
      </c>
      <c r="AZ814">
        <v>0</v>
      </c>
      <c r="BA814" t="s">
        <v>66</v>
      </c>
      <c r="BB814">
        <v>0</v>
      </c>
      <c r="BC814">
        <v>0</v>
      </c>
      <c r="BD814">
        <v>261072</v>
      </c>
      <c r="BE814">
        <v>18080.310000000001</v>
      </c>
      <c r="BF814">
        <v>0</v>
      </c>
      <c r="BG814" t="s">
        <v>87</v>
      </c>
      <c r="BH814" t="s">
        <v>66</v>
      </c>
      <c r="BI814">
        <v>0</v>
      </c>
      <c r="BJ814" t="s">
        <v>66</v>
      </c>
      <c r="BK814" t="s">
        <v>88</v>
      </c>
      <c r="BL814" t="s">
        <v>719</v>
      </c>
      <c r="BM814" t="s">
        <v>159</v>
      </c>
    </row>
    <row r="815" spans="1:65" x14ac:dyDescent="0.25">
      <c r="A815">
        <v>813</v>
      </c>
      <c r="B815" t="s">
        <v>1200</v>
      </c>
      <c r="C815" t="s">
        <v>68</v>
      </c>
      <c r="D815" s="1">
        <v>46213</v>
      </c>
      <c r="E815" t="s">
        <v>1201</v>
      </c>
      <c r="F815" t="s">
        <v>68</v>
      </c>
      <c r="G815" t="s">
        <v>295</v>
      </c>
      <c r="H815" t="s">
        <v>296</v>
      </c>
      <c r="I815" t="s">
        <v>71</v>
      </c>
      <c r="J815" t="s">
        <v>72</v>
      </c>
      <c r="K815" t="s">
        <v>73</v>
      </c>
      <c r="L815" t="s">
        <v>74</v>
      </c>
      <c r="M815" t="s">
        <v>1075</v>
      </c>
      <c r="N815" t="s">
        <v>76</v>
      </c>
      <c r="O815" t="s">
        <v>1076</v>
      </c>
      <c r="P815" t="s">
        <v>1077</v>
      </c>
      <c r="Q815" t="s">
        <v>1202</v>
      </c>
      <c r="R815" s="1">
        <v>46217</v>
      </c>
      <c r="S815" t="s">
        <v>841</v>
      </c>
      <c r="T815" t="s">
        <v>913</v>
      </c>
      <c r="U815" t="s">
        <v>843</v>
      </c>
      <c r="V815" t="s">
        <v>66</v>
      </c>
      <c r="W815" t="s">
        <v>66</v>
      </c>
      <c r="X815">
        <v>180810</v>
      </c>
      <c r="Y815">
        <v>19889.099999999999</v>
      </c>
      <c r="Z815">
        <v>33516</v>
      </c>
      <c r="AA815">
        <v>3686.76</v>
      </c>
      <c r="AB815">
        <v>200699.1</v>
      </c>
      <c r="AC815">
        <v>6</v>
      </c>
      <c r="AD815" t="s">
        <v>82</v>
      </c>
      <c r="AE815">
        <v>6</v>
      </c>
      <c r="AF815" t="s">
        <v>90</v>
      </c>
      <c r="AG815">
        <f>IFERROR(VLOOKUP(AF815,[1]STOK!J:O,6,0),"")</f>
        <v>48</v>
      </c>
      <c r="AH815" s="2">
        <f t="shared" si="24"/>
        <v>0.125</v>
      </c>
      <c r="AI815" t="s">
        <v>90</v>
      </c>
      <c r="AJ815" t="s">
        <v>91</v>
      </c>
      <c r="AK815" t="s">
        <v>92</v>
      </c>
      <c r="AL815" t="s">
        <v>86</v>
      </c>
      <c r="AM815">
        <v>6327</v>
      </c>
      <c r="AN815">
        <f t="shared" si="25"/>
        <v>6200.46</v>
      </c>
      <c r="AO815" t="s">
        <v>66</v>
      </c>
      <c r="AP815">
        <v>2</v>
      </c>
      <c r="AQ815" t="s">
        <v>66</v>
      </c>
      <c r="AR815">
        <v>0</v>
      </c>
      <c r="AS815" t="s">
        <v>66</v>
      </c>
      <c r="AT815">
        <v>0</v>
      </c>
      <c r="AU815" t="s">
        <v>66</v>
      </c>
      <c r="AV815">
        <v>0</v>
      </c>
      <c r="AW815" t="s">
        <v>66</v>
      </c>
      <c r="AX815">
        <v>0</v>
      </c>
      <c r="AY815" t="s">
        <v>66</v>
      </c>
      <c r="AZ815">
        <v>0</v>
      </c>
      <c r="BA815" t="s">
        <v>66</v>
      </c>
      <c r="BB815">
        <v>0</v>
      </c>
      <c r="BC815">
        <v>0</v>
      </c>
      <c r="BD815">
        <v>37202.76</v>
      </c>
      <c r="BE815">
        <v>5043.8999999999996</v>
      </c>
      <c r="BF815">
        <v>0</v>
      </c>
      <c r="BG815" t="s">
        <v>87</v>
      </c>
      <c r="BH815" t="s">
        <v>66</v>
      </c>
      <c r="BI815">
        <v>0</v>
      </c>
      <c r="BJ815" t="s">
        <v>66</v>
      </c>
      <c r="BK815" t="s">
        <v>88</v>
      </c>
      <c r="BL815" t="s">
        <v>742</v>
      </c>
      <c r="BM815" t="s">
        <v>159</v>
      </c>
    </row>
    <row r="816" spans="1:65" x14ac:dyDescent="0.25">
      <c r="A816">
        <v>814</v>
      </c>
      <c r="B816" t="s">
        <v>1200</v>
      </c>
      <c r="C816" t="s">
        <v>68</v>
      </c>
      <c r="D816" s="1">
        <v>46213</v>
      </c>
      <c r="E816" t="s">
        <v>1201</v>
      </c>
      <c r="F816" t="s">
        <v>68</v>
      </c>
      <c r="G816" t="s">
        <v>295</v>
      </c>
      <c r="H816" t="s">
        <v>296</v>
      </c>
      <c r="I816" t="s">
        <v>71</v>
      </c>
      <c r="J816" t="s">
        <v>72</v>
      </c>
      <c r="K816" t="s">
        <v>73</v>
      </c>
      <c r="L816" t="s">
        <v>74</v>
      </c>
      <c r="M816" t="s">
        <v>1075</v>
      </c>
      <c r="N816" t="s">
        <v>76</v>
      </c>
      <c r="O816" t="s">
        <v>1076</v>
      </c>
      <c r="P816" t="s">
        <v>1077</v>
      </c>
      <c r="Q816" t="s">
        <v>1202</v>
      </c>
      <c r="R816" s="1">
        <v>46217</v>
      </c>
      <c r="S816" t="s">
        <v>841</v>
      </c>
      <c r="T816" t="s">
        <v>913</v>
      </c>
      <c r="U816" t="s">
        <v>843</v>
      </c>
      <c r="V816" t="s">
        <v>66</v>
      </c>
      <c r="W816" t="s">
        <v>66</v>
      </c>
      <c r="X816">
        <v>180810</v>
      </c>
      <c r="Y816">
        <v>19889.099999999999</v>
      </c>
      <c r="Z816">
        <v>16758</v>
      </c>
      <c r="AA816">
        <v>1843.38</v>
      </c>
      <c r="AB816">
        <v>200699.1</v>
      </c>
      <c r="AC816">
        <v>3</v>
      </c>
      <c r="AD816" t="s">
        <v>82</v>
      </c>
      <c r="AE816">
        <v>3</v>
      </c>
      <c r="AF816" t="s">
        <v>202</v>
      </c>
      <c r="AG816">
        <f>IFERROR(VLOOKUP(AF816,[1]STOK!J:O,6,0),"")</f>
        <v>48</v>
      </c>
      <c r="AH816" s="2">
        <f t="shared" si="24"/>
        <v>6.25E-2</v>
      </c>
      <c r="AI816" t="s">
        <v>202</v>
      </c>
      <c r="AJ816" t="s">
        <v>203</v>
      </c>
      <c r="AK816" t="s">
        <v>204</v>
      </c>
      <c r="AL816" t="s">
        <v>86</v>
      </c>
      <c r="AM816">
        <v>6327</v>
      </c>
      <c r="AN816">
        <f t="shared" si="25"/>
        <v>6200.46</v>
      </c>
      <c r="AO816" t="s">
        <v>66</v>
      </c>
      <c r="AP816">
        <v>2</v>
      </c>
      <c r="AQ816" t="s">
        <v>66</v>
      </c>
      <c r="AR816">
        <v>0</v>
      </c>
      <c r="AS816" t="s">
        <v>66</v>
      </c>
      <c r="AT816">
        <v>0</v>
      </c>
      <c r="AU816" t="s">
        <v>66</v>
      </c>
      <c r="AV816">
        <v>0</v>
      </c>
      <c r="AW816" t="s">
        <v>66</v>
      </c>
      <c r="AX816">
        <v>0</v>
      </c>
      <c r="AY816" t="s">
        <v>66</v>
      </c>
      <c r="AZ816">
        <v>0</v>
      </c>
      <c r="BA816" t="s">
        <v>66</v>
      </c>
      <c r="BB816">
        <v>0</v>
      </c>
      <c r="BC816">
        <v>0</v>
      </c>
      <c r="BD816">
        <v>18601.38</v>
      </c>
      <c r="BE816">
        <v>5137.8900000000003</v>
      </c>
      <c r="BF816">
        <v>0</v>
      </c>
      <c r="BG816" t="s">
        <v>87</v>
      </c>
      <c r="BH816" t="s">
        <v>66</v>
      </c>
      <c r="BI816">
        <v>0</v>
      </c>
      <c r="BJ816" t="s">
        <v>66</v>
      </c>
      <c r="BK816" t="s">
        <v>88</v>
      </c>
      <c r="BL816" t="s">
        <v>742</v>
      </c>
      <c r="BM816" t="s">
        <v>159</v>
      </c>
    </row>
    <row r="817" spans="1:65" x14ac:dyDescent="0.25">
      <c r="A817">
        <v>815</v>
      </c>
      <c r="B817" t="s">
        <v>1200</v>
      </c>
      <c r="C817" t="s">
        <v>68</v>
      </c>
      <c r="D817" s="1">
        <v>46213</v>
      </c>
      <c r="E817" t="s">
        <v>1201</v>
      </c>
      <c r="F817" t="s">
        <v>68</v>
      </c>
      <c r="G817" t="s">
        <v>295</v>
      </c>
      <c r="H817" t="s">
        <v>296</v>
      </c>
      <c r="I817" t="s">
        <v>71</v>
      </c>
      <c r="J817" t="s">
        <v>72</v>
      </c>
      <c r="K817" t="s">
        <v>73</v>
      </c>
      <c r="L817" t="s">
        <v>74</v>
      </c>
      <c r="M817" t="s">
        <v>1075</v>
      </c>
      <c r="N817" t="s">
        <v>76</v>
      </c>
      <c r="O817" t="s">
        <v>1076</v>
      </c>
      <c r="P817" t="s">
        <v>1077</v>
      </c>
      <c r="Q817" t="s">
        <v>1202</v>
      </c>
      <c r="R817" s="1">
        <v>46217</v>
      </c>
      <c r="S817" t="s">
        <v>841</v>
      </c>
      <c r="T817" t="s">
        <v>913</v>
      </c>
      <c r="U817" t="s">
        <v>843</v>
      </c>
      <c r="V817" t="s">
        <v>66</v>
      </c>
      <c r="W817" t="s">
        <v>66</v>
      </c>
      <c r="X817">
        <v>180810</v>
      </c>
      <c r="Y817">
        <v>19889.099999999999</v>
      </c>
      <c r="Z817">
        <v>33516</v>
      </c>
      <c r="AA817">
        <v>3686.76</v>
      </c>
      <c r="AB817">
        <v>200699.1</v>
      </c>
      <c r="AC817">
        <v>6</v>
      </c>
      <c r="AD817" t="s">
        <v>82</v>
      </c>
      <c r="AE817">
        <v>6</v>
      </c>
      <c r="AF817" t="s">
        <v>350</v>
      </c>
      <c r="AG817">
        <f>IFERROR(VLOOKUP(AF817,[1]STOK!J:O,6,0),"")</f>
        <v>48</v>
      </c>
      <c r="AH817" s="2">
        <f t="shared" si="24"/>
        <v>0.125</v>
      </c>
      <c r="AI817" t="s">
        <v>350</v>
      </c>
      <c r="AJ817" t="s">
        <v>351</v>
      </c>
      <c r="AK817" t="s">
        <v>352</v>
      </c>
      <c r="AL817" t="s">
        <v>86</v>
      </c>
      <c r="AM817">
        <v>6327</v>
      </c>
      <c r="AN817">
        <f t="shared" si="25"/>
        <v>6200.46</v>
      </c>
      <c r="AO817" t="s">
        <v>66</v>
      </c>
      <c r="AP817">
        <v>2</v>
      </c>
      <c r="AQ817" t="s">
        <v>66</v>
      </c>
      <c r="AR817">
        <v>0</v>
      </c>
      <c r="AS817" t="s">
        <v>66</v>
      </c>
      <c r="AT817">
        <v>0</v>
      </c>
      <c r="AU817" t="s">
        <v>66</v>
      </c>
      <c r="AV817">
        <v>0</v>
      </c>
      <c r="AW817" t="s">
        <v>66</v>
      </c>
      <c r="AX817">
        <v>0</v>
      </c>
      <c r="AY817" t="s">
        <v>66</v>
      </c>
      <c r="AZ817">
        <v>0</v>
      </c>
      <c r="BA817" t="s">
        <v>66</v>
      </c>
      <c r="BB817">
        <v>0</v>
      </c>
      <c r="BC817">
        <v>0</v>
      </c>
      <c r="BD817">
        <v>37202.76</v>
      </c>
      <c r="BE817">
        <v>5151.21</v>
      </c>
      <c r="BF817">
        <v>0</v>
      </c>
      <c r="BG817" t="s">
        <v>87</v>
      </c>
      <c r="BH817" t="s">
        <v>66</v>
      </c>
      <c r="BI817">
        <v>0</v>
      </c>
      <c r="BJ817" t="s">
        <v>66</v>
      </c>
      <c r="BK817" t="s">
        <v>88</v>
      </c>
      <c r="BL817" t="s">
        <v>742</v>
      </c>
      <c r="BM817" t="s">
        <v>159</v>
      </c>
    </row>
    <row r="818" spans="1:65" x14ac:dyDescent="0.25">
      <c r="A818">
        <v>816</v>
      </c>
      <c r="B818" t="s">
        <v>1200</v>
      </c>
      <c r="C818" t="s">
        <v>68</v>
      </c>
      <c r="D818" s="1">
        <v>46213</v>
      </c>
      <c r="E818" t="s">
        <v>1201</v>
      </c>
      <c r="F818" t="s">
        <v>68</v>
      </c>
      <c r="G818" t="s">
        <v>295</v>
      </c>
      <c r="H818" t="s">
        <v>296</v>
      </c>
      <c r="I818" t="s">
        <v>71</v>
      </c>
      <c r="J818" t="s">
        <v>72</v>
      </c>
      <c r="K818" t="s">
        <v>73</v>
      </c>
      <c r="L818" t="s">
        <v>74</v>
      </c>
      <c r="M818" t="s">
        <v>1075</v>
      </c>
      <c r="N818" t="s">
        <v>76</v>
      </c>
      <c r="O818" t="s">
        <v>1076</v>
      </c>
      <c r="P818" t="s">
        <v>1077</v>
      </c>
      <c r="Q818" t="s">
        <v>1202</v>
      </c>
      <c r="R818" s="1">
        <v>46217</v>
      </c>
      <c r="S818" t="s">
        <v>841</v>
      </c>
      <c r="T818" t="s">
        <v>913</v>
      </c>
      <c r="U818" t="s">
        <v>843</v>
      </c>
      <c r="V818" t="s">
        <v>66</v>
      </c>
      <c r="W818" t="s">
        <v>66</v>
      </c>
      <c r="X818">
        <v>180810</v>
      </c>
      <c r="Y818">
        <v>19889.099999999999</v>
      </c>
      <c r="Z818">
        <v>48510</v>
      </c>
      <c r="AA818">
        <v>5336.1</v>
      </c>
      <c r="AB818">
        <v>200699.1</v>
      </c>
      <c r="AC818">
        <v>3</v>
      </c>
      <c r="AD818" t="s">
        <v>82</v>
      </c>
      <c r="AE818">
        <v>3</v>
      </c>
      <c r="AF818" t="s">
        <v>128</v>
      </c>
      <c r="AG818">
        <f>IFERROR(VLOOKUP(AF818,[1]STOK!J:O,6,0),"")</f>
        <v>24</v>
      </c>
      <c r="AH818" s="2">
        <f t="shared" si="24"/>
        <v>0.125</v>
      </c>
      <c r="AI818" t="s">
        <v>128</v>
      </c>
      <c r="AJ818" t="s">
        <v>129</v>
      </c>
      <c r="AK818" t="s">
        <v>130</v>
      </c>
      <c r="AL818" t="s">
        <v>86</v>
      </c>
      <c r="AM818">
        <v>18315</v>
      </c>
      <c r="AN818">
        <f t="shared" si="25"/>
        <v>17948.7</v>
      </c>
      <c r="AO818" t="s">
        <v>66</v>
      </c>
      <c r="AP818">
        <v>2</v>
      </c>
      <c r="AQ818" t="s">
        <v>66</v>
      </c>
      <c r="AR818">
        <v>0</v>
      </c>
      <c r="AS818" t="s">
        <v>66</v>
      </c>
      <c r="AT818">
        <v>0</v>
      </c>
      <c r="AU818" t="s">
        <v>66</v>
      </c>
      <c r="AV818">
        <v>0</v>
      </c>
      <c r="AW818" t="s">
        <v>66</v>
      </c>
      <c r="AX818">
        <v>0</v>
      </c>
      <c r="AY818" t="s">
        <v>66</v>
      </c>
      <c r="AZ818">
        <v>0</v>
      </c>
      <c r="BA818" t="s">
        <v>66</v>
      </c>
      <c r="BB818">
        <v>0</v>
      </c>
      <c r="BC818">
        <v>0</v>
      </c>
      <c r="BD818">
        <v>53846.1</v>
      </c>
      <c r="BE818">
        <v>14919.17</v>
      </c>
      <c r="BF818">
        <v>0</v>
      </c>
      <c r="BG818" t="s">
        <v>87</v>
      </c>
      <c r="BH818" t="s">
        <v>66</v>
      </c>
      <c r="BI818">
        <v>0</v>
      </c>
      <c r="BJ818" t="s">
        <v>66</v>
      </c>
      <c r="BK818" t="s">
        <v>88</v>
      </c>
      <c r="BL818" t="s">
        <v>742</v>
      </c>
      <c r="BM818" t="s">
        <v>159</v>
      </c>
    </row>
    <row r="819" spans="1:65" x14ac:dyDescent="0.25">
      <c r="A819">
        <v>817</v>
      </c>
      <c r="B819" t="s">
        <v>1200</v>
      </c>
      <c r="C819" t="s">
        <v>68</v>
      </c>
      <c r="D819" s="1">
        <v>46213</v>
      </c>
      <c r="E819" t="s">
        <v>1201</v>
      </c>
      <c r="F819" t="s">
        <v>68</v>
      </c>
      <c r="G819" t="s">
        <v>295</v>
      </c>
      <c r="H819" t="s">
        <v>296</v>
      </c>
      <c r="I819" t="s">
        <v>71</v>
      </c>
      <c r="J819" t="s">
        <v>72</v>
      </c>
      <c r="K819" t="s">
        <v>73</v>
      </c>
      <c r="L819" t="s">
        <v>74</v>
      </c>
      <c r="M819" t="s">
        <v>1075</v>
      </c>
      <c r="N819" t="s">
        <v>76</v>
      </c>
      <c r="O819" t="s">
        <v>1076</v>
      </c>
      <c r="P819" t="s">
        <v>1077</v>
      </c>
      <c r="Q819" t="s">
        <v>1202</v>
      </c>
      <c r="R819" s="1">
        <v>46217</v>
      </c>
      <c r="S819" t="s">
        <v>841</v>
      </c>
      <c r="T819" t="s">
        <v>913</v>
      </c>
      <c r="U819" t="s">
        <v>843</v>
      </c>
      <c r="V819" t="s">
        <v>66</v>
      </c>
      <c r="W819" t="s">
        <v>66</v>
      </c>
      <c r="X819">
        <v>180810</v>
      </c>
      <c r="Y819">
        <v>19889.099999999999</v>
      </c>
      <c r="Z819">
        <v>48510</v>
      </c>
      <c r="AA819">
        <v>5336.1</v>
      </c>
      <c r="AB819">
        <v>200699.1</v>
      </c>
      <c r="AC819">
        <v>3</v>
      </c>
      <c r="AD819" t="s">
        <v>82</v>
      </c>
      <c r="AE819">
        <v>3</v>
      </c>
      <c r="AF819" t="s">
        <v>96</v>
      </c>
      <c r="AG819">
        <f>IFERROR(VLOOKUP(AF819,[1]STOK!J:O,6,0),"")</f>
        <v>24</v>
      </c>
      <c r="AH819" s="2">
        <f t="shared" si="24"/>
        <v>0.125</v>
      </c>
      <c r="AI819" t="s">
        <v>96</v>
      </c>
      <c r="AJ819" t="s">
        <v>97</v>
      </c>
      <c r="AK819" t="s">
        <v>98</v>
      </c>
      <c r="AL819" t="s">
        <v>86</v>
      </c>
      <c r="AM819">
        <v>18315</v>
      </c>
      <c r="AN819">
        <f t="shared" si="25"/>
        <v>17948.7</v>
      </c>
      <c r="AO819" t="s">
        <v>66</v>
      </c>
      <c r="AP819">
        <v>2</v>
      </c>
      <c r="AQ819" t="s">
        <v>66</v>
      </c>
      <c r="AR819">
        <v>0</v>
      </c>
      <c r="AS819" t="s">
        <v>66</v>
      </c>
      <c r="AT819">
        <v>0</v>
      </c>
      <c r="AU819" t="s">
        <v>66</v>
      </c>
      <c r="AV819">
        <v>0</v>
      </c>
      <c r="AW819" t="s">
        <v>66</v>
      </c>
      <c r="AX819">
        <v>0</v>
      </c>
      <c r="AY819" t="s">
        <v>66</v>
      </c>
      <c r="AZ819">
        <v>0</v>
      </c>
      <c r="BA819" t="s">
        <v>66</v>
      </c>
      <c r="BB819">
        <v>0</v>
      </c>
      <c r="BC819">
        <v>0</v>
      </c>
      <c r="BD819">
        <v>53846.1</v>
      </c>
      <c r="BE819">
        <v>14932.88</v>
      </c>
      <c r="BF819">
        <v>0</v>
      </c>
      <c r="BG819" t="s">
        <v>87</v>
      </c>
      <c r="BH819" t="s">
        <v>66</v>
      </c>
      <c r="BI819">
        <v>0</v>
      </c>
      <c r="BJ819" t="s">
        <v>66</v>
      </c>
      <c r="BK819" t="s">
        <v>88</v>
      </c>
      <c r="BL819" t="s">
        <v>742</v>
      </c>
      <c r="BM819" t="s">
        <v>159</v>
      </c>
    </row>
    <row r="820" spans="1:65" x14ac:dyDescent="0.25">
      <c r="A820">
        <v>818</v>
      </c>
      <c r="B820" t="s">
        <v>1203</v>
      </c>
      <c r="C820" t="s">
        <v>68</v>
      </c>
      <c r="D820" s="1">
        <v>46214</v>
      </c>
      <c r="E820" t="s">
        <v>1204</v>
      </c>
      <c r="F820" t="s">
        <v>68</v>
      </c>
      <c r="G820" t="s">
        <v>295</v>
      </c>
      <c r="H820" t="s">
        <v>296</v>
      </c>
      <c r="I820" t="s">
        <v>71</v>
      </c>
      <c r="J820" t="s">
        <v>72</v>
      </c>
      <c r="K820" t="s">
        <v>73</v>
      </c>
      <c r="L820" t="s">
        <v>74</v>
      </c>
      <c r="M820" t="s">
        <v>1205</v>
      </c>
      <c r="N820" t="s">
        <v>274</v>
      </c>
      <c r="O820" t="s">
        <v>1206</v>
      </c>
      <c r="P820" t="s">
        <v>1207</v>
      </c>
      <c r="Q820" t="s">
        <v>1208</v>
      </c>
      <c r="R820" s="1">
        <v>46218</v>
      </c>
      <c r="S820" t="s">
        <v>1209</v>
      </c>
      <c r="T820" t="s">
        <v>1210</v>
      </c>
      <c r="U820" t="s">
        <v>1211</v>
      </c>
      <c r="V820" t="s">
        <v>66</v>
      </c>
      <c r="W820" t="s">
        <v>66</v>
      </c>
      <c r="X820">
        <v>1353600</v>
      </c>
      <c r="Y820">
        <v>148896</v>
      </c>
      <c r="Z820">
        <v>396000</v>
      </c>
      <c r="AA820">
        <v>43560</v>
      </c>
      <c r="AB820">
        <v>1502496</v>
      </c>
      <c r="AC820">
        <v>24</v>
      </c>
      <c r="AD820" t="s">
        <v>82</v>
      </c>
      <c r="AE820">
        <v>24</v>
      </c>
      <c r="AF820" t="s">
        <v>205</v>
      </c>
      <c r="AG820">
        <f>IFERROR(VLOOKUP(AF820,[1]STOK!J:O,6,0),"")</f>
        <v>24</v>
      </c>
      <c r="AH820" s="2">
        <f t="shared" si="24"/>
        <v>1</v>
      </c>
      <c r="AI820" t="s">
        <v>205</v>
      </c>
      <c r="AJ820" t="s">
        <v>206</v>
      </c>
      <c r="AK820" t="s">
        <v>207</v>
      </c>
      <c r="AL820" t="s">
        <v>86</v>
      </c>
      <c r="AM820">
        <v>18315</v>
      </c>
      <c r="AN820">
        <f t="shared" si="25"/>
        <v>18315</v>
      </c>
      <c r="AO820" t="s">
        <v>66</v>
      </c>
      <c r="AP820">
        <v>0</v>
      </c>
      <c r="AQ820" t="s">
        <v>66</v>
      </c>
      <c r="AR820">
        <v>0</v>
      </c>
      <c r="AS820" t="s">
        <v>66</v>
      </c>
      <c r="AT820">
        <v>0</v>
      </c>
      <c r="AU820" t="s">
        <v>66</v>
      </c>
      <c r="AV820">
        <v>0</v>
      </c>
      <c r="AW820" t="s">
        <v>66</v>
      </c>
      <c r="AX820">
        <v>0</v>
      </c>
      <c r="AY820" t="s">
        <v>66</v>
      </c>
      <c r="AZ820">
        <v>0</v>
      </c>
      <c r="BA820" t="s">
        <v>66</v>
      </c>
      <c r="BB820">
        <v>0</v>
      </c>
      <c r="BC820">
        <v>0</v>
      </c>
      <c r="BD820">
        <v>439560</v>
      </c>
      <c r="BE820">
        <v>14914.56</v>
      </c>
      <c r="BF820">
        <v>0</v>
      </c>
      <c r="BG820" t="s">
        <v>87</v>
      </c>
      <c r="BH820" t="s">
        <v>66</v>
      </c>
      <c r="BI820">
        <v>0</v>
      </c>
      <c r="BJ820" t="s">
        <v>66</v>
      </c>
      <c r="BK820" t="s">
        <v>88</v>
      </c>
      <c r="BL820" t="s">
        <v>66</v>
      </c>
      <c r="BM820" t="s">
        <v>159</v>
      </c>
    </row>
    <row r="821" spans="1:65" x14ac:dyDescent="0.25">
      <c r="A821">
        <v>819</v>
      </c>
      <c r="B821" t="s">
        <v>1203</v>
      </c>
      <c r="C821" t="s">
        <v>68</v>
      </c>
      <c r="D821" s="1">
        <v>46214</v>
      </c>
      <c r="E821" t="s">
        <v>1204</v>
      </c>
      <c r="F821" t="s">
        <v>68</v>
      </c>
      <c r="G821" t="s">
        <v>295</v>
      </c>
      <c r="H821" t="s">
        <v>296</v>
      </c>
      <c r="I821" t="s">
        <v>71</v>
      </c>
      <c r="J821" t="s">
        <v>72</v>
      </c>
      <c r="K821" t="s">
        <v>73</v>
      </c>
      <c r="L821" t="s">
        <v>74</v>
      </c>
      <c r="M821" t="s">
        <v>1205</v>
      </c>
      <c r="N821" t="s">
        <v>274</v>
      </c>
      <c r="O821" t="s">
        <v>1206</v>
      </c>
      <c r="P821" t="s">
        <v>1207</v>
      </c>
      <c r="Q821" t="s">
        <v>1208</v>
      </c>
      <c r="R821" s="1">
        <v>46218</v>
      </c>
      <c r="S821" t="s">
        <v>1209</v>
      </c>
      <c r="T821" t="s">
        <v>1210</v>
      </c>
      <c r="U821" t="s">
        <v>1211</v>
      </c>
      <c r="V821" t="s">
        <v>66</v>
      </c>
      <c r="W821" t="s">
        <v>66</v>
      </c>
      <c r="X821">
        <v>1353600</v>
      </c>
      <c r="Y821">
        <v>148896</v>
      </c>
      <c r="Z821">
        <v>792000</v>
      </c>
      <c r="AA821">
        <v>87120</v>
      </c>
      <c r="AB821">
        <v>1502496</v>
      </c>
      <c r="AC821">
        <v>48</v>
      </c>
      <c r="AD821" t="s">
        <v>82</v>
      </c>
      <c r="AE821">
        <v>48</v>
      </c>
      <c r="AF821" t="s">
        <v>99</v>
      </c>
      <c r="AG821">
        <f>IFERROR(VLOOKUP(AF821,[1]STOK!J:O,6,0),"")</f>
        <v>24</v>
      </c>
      <c r="AH821" s="2">
        <f t="shared" si="24"/>
        <v>2</v>
      </c>
      <c r="AI821" t="s">
        <v>99</v>
      </c>
      <c r="AJ821" t="s">
        <v>100</v>
      </c>
      <c r="AK821" t="s">
        <v>101</v>
      </c>
      <c r="AL821" t="s">
        <v>86</v>
      </c>
      <c r="AM821">
        <v>18315</v>
      </c>
      <c r="AN821">
        <f t="shared" si="25"/>
        <v>18315</v>
      </c>
      <c r="AO821" t="s">
        <v>66</v>
      </c>
      <c r="AP821">
        <v>0</v>
      </c>
      <c r="AQ821" t="s">
        <v>66</v>
      </c>
      <c r="AR821">
        <v>0</v>
      </c>
      <c r="AS821" t="s">
        <v>66</v>
      </c>
      <c r="AT821">
        <v>0</v>
      </c>
      <c r="AU821" t="s">
        <v>66</v>
      </c>
      <c r="AV821">
        <v>0</v>
      </c>
      <c r="AW821" t="s">
        <v>66</v>
      </c>
      <c r="AX821">
        <v>0</v>
      </c>
      <c r="AY821" t="s">
        <v>66</v>
      </c>
      <c r="AZ821">
        <v>0</v>
      </c>
      <c r="BA821" t="s">
        <v>66</v>
      </c>
      <c r="BB821">
        <v>0</v>
      </c>
      <c r="BC821">
        <v>0</v>
      </c>
      <c r="BD821">
        <v>879120</v>
      </c>
      <c r="BE821">
        <v>14921.25</v>
      </c>
      <c r="BF821">
        <v>0</v>
      </c>
      <c r="BG821" t="s">
        <v>87</v>
      </c>
      <c r="BH821" t="s">
        <v>66</v>
      </c>
      <c r="BI821">
        <v>0</v>
      </c>
      <c r="BJ821" t="s">
        <v>66</v>
      </c>
      <c r="BK821" t="s">
        <v>88</v>
      </c>
      <c r="BL821" t="s">
        <v>66</v>
      </c>
      <c r="BM821" t="s">
        <v>159</v>
      </c>
    </row>
    <row r="822" spans="1:65" x14ac:dyDescent="0.25">
      <c r="A822">
        <v>820</v>
      </c>
      <c r="B822" t="s">
        <v>1203</v>
      </c>
      <c r="C822" t="s">
        <v>68</v>
      </c>
      <c r="D822" s="1">
        <v>46214</v>
      </c>
      <c r="E822" t="s">
        <v>1204</v>
      </c>
      <c r="F822" t="s">
        <v>68</v>
      </c>
      <c r="G822" t="s">
        <v>295</v>
      </c>
      <c r="H822" t="s">
        <v>296</v>
      </c>
      <c r="I822" t="s">
        <v>71</v>
      </c>
      <c r="J822" t="s">
        <v>72</v>
      </c>
      <c r="K822" t="s">
        <v>73</v>
      </c>
      <c r="L822" t="s">
        <v>74</v>
      </c>
      <c r="M822" t="s">
        <v>1205</v>
      </c>
      <c r="N822" t="s">
        <v>274</v>
      </c>
      <c r="O822" t="s">
        <v>1206</v>
      </c>
      <c r="P822" t="s">
        <v>1207</v>
      </c>
      <c r="Q822" t="s">
        <v>1208</v>
      </c>
      <c r="R822" s="1">
        <v>46218</v>
      </c>
      <c r="S822" t="s">
        <v>1209</v>
      </c>
      <c r="T822" t="s">
        <v>1210</v>
      </c>
      <c r="U822" t="s">
        <v>1211</v>
      </c>
      <c r="V822" t="s">
        <v>66</v>
      </c>
      <c r="W822" t="s">
        <v>66</v>
      </c>
      <c r="X822">
        <v>1353600</v>
      </c>
      <c r="Y822">
        <v>148896</v>
      </c>
      <c r="Z822">
        <v>165600</v>
      </c>
      <c r="AA822">
        <v>18216</v>
      </c>
      <c r="AB822">
        <v>1502496</v>
      </c>
      <c r="AC822">
        <v>24</v>
      </c>
      <c r="AD822" t="s">
        <v>82</v>
      </c>
      <c r="AE822">
        <v>24</v>
      </c>
      <c r="AF822" t="s">
        <v>1141</v>
      </c>
      <c r="AG822">
        <f>IFERROR(VLOOKUP(AF822,[1]STOK!J:O,6,0),"")</f>
        <v>24</v>
      </c>
      <c r="AH822" s="2">
        <f t="shared" si="24"/>
        <v>1</v>
      </c>
      <c r="AI822" t="s">
        <v>1141</v>
      </c>
      <c r="AJ822" t="s">
        <v>1142</v>
      </c>
      <c r="AK822" t="s">
        <v>1143</v>
      </c>
      <c r="AL822" t="s">
        <v>86</v>
      </c>
      <c r="AM822">
        <v>7659</v>
      </c>
      <c r="AN822">
        <f t="shared" si="25"/>
        <v>7659</v>
      </c>
      <c r="AO822" t="s">
        <v>66</v>
      </c>
      <c r="AP822">
        <v>0</v>
      </c>
      <c r="AQ822" t="s">
        <v>66</v>
      </c>
      <c r="AR822">
        <v>0</v>
      </c>
      <c r="AS822" t="s">
        <v>66</v>
      </c>
      <c r="AT822">
        <v>0</v>
      </c>
      <c r="AU822" t="s">
        <v>66</v>
      </c>
      <c r="AV822">
        <v>0</v>
      </c>
      <c r="AW822" t="s">
        <v>66</v>
      </c>
      <c r="AX822">
        <v>0</v>
      </c>
      <c r="AY822" t="s">
        <v>66</v>
      </c>
      <c r="AZ822">
        <v>0</v>
      </c>
      <c r="BA822" t="s">
        <v>66</v>
      </c>
      <c r="BB822">
        <v>0</v>
      </c>
      <c r="BC822">
        <v>0</v>
      </c>
      <c r="BD822">
        <v>183816</v>
      </c>
      <c r="BE822">
        <v>6228.65</v>
      </c>
      <c r="BF822">
        <v>0</v>
      </c>
      <c r="BG822" t="s">
        <v>87</v>
      </c>
      <c r="BH822" t="s">
        <v>66</v>
      </c>
      <c r="BI822">
        <v>0</v>
      </c>
      <c r="BJ822" t="s">
        <v>66</v>
      </c>
      <c r="BK822" t="s">
        <v>88</v>
      </c>
      <c r="BL822" t="s">
        <v>66</v>
      </c>
      <c r="BM822" t="s">
        <v>159</v>
      </c>
    </row>
    <row r="823" spans="1:65" x14ac:dyDescent="0.25">
      <c r="A823">
        <v>821</v>
      </c>
      <c r="B823" t="s">
        <v>1212</v>
      </c>
      <c r="C823" t="s">
        <v>68</v>
      </c>
      <c r="D823" s="1">
        <v>46214</v>
      </c>
      <c r="E823" t="s">
        <v>1213</v>
      </c>
      <c r="F823" t="s">
        <v>68</v>
      </c>
      <c r="G823" t="s">
        <v>295</v>
      </c>
      <c r="H823" t="s">
        <v>296</v>
      </c>
      <c r="I823" t="s">
        <v>71</v>
      </c>
      <c r="J823" t="s">
        <v>72</v>
      </c>
      <c r="K823" t="s">
        <v>73</v>
      </c>
      <c r="L823" t="s">
        <v>74</v>
      </c>
      <c r="M823" t="s">
        <v>1214</v>
      </c>
      <c r="N823" t="s">
        <v>111</v>
      </c>
      <c r="O823" t="s">
        <v>1215</v>
      </c>
      <c r="P823" t="s">
        <v>1216</v>
      </c>
      <c r="Q823" t="s">
        <v>1217</v>
      </c>
      <c r="R823" s="1">
        <v>46217</v>
      </c>
      <c r="S823" t="s">
        <v>1218</v>
      </c>
      <c r="T823" t="s">
        <v>1219</v>
      </c>
      <c r="U823" t="s">
        <v>1220</v>
      </c>
      <c r="V823" t="s">
        <v>66</v>
      </c>
      <c r="W823" t="s">
        <v>66</v>
      </c>
      <c r="X823">
        <v>11262240</v>
      </c>
      <c r="Y823">
        <v>1238846.3999999999</v>
      </c>
      <c r="Z823">
        <v>107217</v>
      </c>
      <c r="AA823">
        <v>11793.87</v>
      </c>
      <c r="AB823">
        <v>12501086.4</v>
      </c>
      <c r="AC823">
        <v>3</v>
      </c>
      <c r="AD823" t="s">
        <v>82</v>
      </c>
      <c r="AE823">
        <v>3</v>
      </c>
      <c r="AF823" t="s">
        <v>432</v>
      </c>
      <c r="AG823">
        <f>IFERROR(VLOOKUP(AF823,[1]STOK!J:O,6,0),"")</f>
        <v>12</v>
      </c>
      <c r="AH823" s="2">
        <f t="shared" si="24"/>
        <v>0.25</v>
      </c>
      <c r="AI823" t="s">
        <v>432</v>
      </c>
      <c r="AJ823" t="s">
        <v>433</v>
      </c>
      <c r="AK823" t="s">
        <v>434</v>
      </c>
      <c r="AL823" t="s">
        <v>86</v>
      </c>
      <c r="AM823">
        <v>40071</v>
      </c>
      <c r="AN823">
        <f t="shared" si="25"/>
        <v>39670.29</v>
      </c>
      <c r="AO823" t="s">
        <v>66</v>
      </c>
      <c r="AP823">
        <v>1</v>
      </c>
      <c r="AQ823" t="s">
        <v>66</v>
      </c>
      <c r="AR823">
        <v>0</v>
      </c>
      <c r="AS823" t="s">
        <v>66</v>
      </c>
      <c r="AT823">
        <v>0</v>
      </c>
      <c r="AU823" t="s">
        <v>66</v>
      </c>
      <c r="AV823">
        <v>0</v>
      </c>
      <c r="AW823" t="s">
        <v>66</v>
      </c>
      <c r="AX823">
        <v>0</v>
      </c>
      <c r="AY823" t="s">
        <v>66</v>
      </c>
      <c r="AZ823">
        <v>0</v>
      </c>
      <c r="BA823" t="s">
        <v>66</v>
      </c>
      <c r="BB823">
        <v>0</v>
      </c>
      <c r="BC823">
        <v>0</v>
      </c>
      <c r="BD823">
        <v>119010.87</v>
      </c>
      <c r="BE823">
        <v>32671.759999999998</v>
      </c>
      <c r="BF823">
        <v>0</v>
      </c>
      <c r="BG823" t="s">
        <v>87</v>
      </c>
      <c r="BH823" t="s">
        <v>66</v>
      </c>
      <c r="BI823">
        <v>0</v>
      </c>
      <c r="BJ823" t="s">
        <v>66</v>
      </c>
      <c r="BK823" t="s">
        <v>88</v>
      </c>
      <c r="BL823" t="s">
        <v>66</v>
      </c>
      <c r="BM823" t="s">
        <v>159</v>
      </c>
    </row>
    <row r="824" spans="1:65" x14ac:dyDescent="0.25">
      <c r="A824">
        <v>822</v>
      </c>
      <c r="B824" t="s">
        <v>1212</v>
      </c>
      <c r="C824" t="s">
        <v>68</v>
      </c>
      <c r="D824" s="1">
        <v>46214</v>
      </c>
      <c r="E824" t="s">
        <v>1213</v>
      </c>
      <c r="F824" t="s">
        <v>68</v>
      </c>
      <c r="G824" t="s">
        <v>295</v>
      </c>
      <c r="H824" t="s">
        <v>296</v>
      </c>
      <c r="I824" t="s">
        <v>71</v>
      </c>
      <c r="J824" t="s">
        <v>72</v>
      </c>
      <c r="K824" t="s">
        <v>73</v>
      </c>
      <c r="L824" t="s">
        <v>74</v>
      </c>
      <c r="M824" t="s">
        <v>1214</v>
      </c>
      <c r="N824" t="s">
        <v>111</v>
      </c>
      <c r="O824" t="s">
        <v>1215</v>
      </c>
      <c r="P824" t="s">
        <v>1216</v>
      </c>
      <c r="Q824" t="s">
        <v>1217</v>
      </c>
      <c r="R824" s="1">
        <v>46217</v>
      </c>
      <c r="S824" t="s">
        <v>1218</v>
      </c>
      <c r="T824" t="s">
        <v>1219</v>
      </c>
      <c r="U824" t="s">
        <v>1220</v>
      </c>
      <c r="V824" t="s">
        <v>66</v>
      </c>
      <c r="W824" t="s">
        <v>66</v>
      </c>
      <c r="X824">
        <v>11262240</v>
      </c>
      <c r="Y824">
        <v>1238846.3999999999</v>
      </c>
      <c r="Z824">
        <v>107217</v>
      </c>
      <c r="AA824">
        <v>11793.87</v>
      </c>
      <c r="AB824">
        <v>12501086.4</v>
      </c>
      <c r="AC824">
        <v>3</v>
      </c>
      <c r="AD824" t="s">
        <v>82</v>
      </c>
      <c r="AE824">
        <v>3</v>
      </c>
      <c r="AF824" t="s">
        <v>1221</v>
      </c>
      <c r="AG824">
        <f>IFERROR(VLOOKUP(AF824,[1]STOK!J:O,6,0),"")</f>
        <v>12</v>
      </c>
      <c r="AH824" s="2">
        <f t="shared" si="24"/>
        <v>0.25</v>
      </c>
      <c r="AI824" t="s">
        <v>1221</v>
      </c>
      <c r="AJ824" t="s">
        <v>1222</v>
      </c>
      <c r="AK824" t="s">
        <v>1223</v>
      </c>
      <c r="AL824" t="s">
        <v>86</v>
      </c>
      <c r="AM824">
        <v>40071</v>
      </c>
      <c r="AN824">
        <f t="shared" si="25"/>
        <v>39670.29</v>
      </c>
      <c r="AO824" t="s">
        <v>66</v>
      </c>
      <c r="AP824">
        <v>1</v>
      </c>
      <c r="AQ824" t="s">
        <v>66</v>
      </c>
      <c r="AR824">
        <v>0</v>
      </c>
      <c r="AS824" t="s">
        <v>66</v>
      </c>
      <c r="AT824">
        <v>0</v>
      </c>
      <c r="AU824" t="s">
        <v>66</v>
      </c>
      <c r="AV824">
        <v>0</v>
      </c>
      <c r="AW824" t="s">
        <v>66</v>
      </c>
      <c r="AX824">
        <v>0</v>
      </c>
      <c r="AY824" t="s">
        <v>66</v>
      </c>
      <c r="AZ824">
        <v>0</v>
      </c>
      <c r="BA824" t="s">
        <v>66</v>
      </c>
      <c r="BB824">
        <v>0</v>
      </c>
      <c r="BC824">
        <v>0</v>
      </c>
      <c r="BD824">
        <v>119010.87</v>
      </c>
      <c r="BE824">
        <v>32671.61</v>
      </c>
      <c r="BF824">
        <v>0</v>
      </c>
      <c r="BG824" t="s">
        <v>87</v>
      </c>
      <c r="BH824" t="s">
        <v>66</v>
      </c>
      <c r="BI824">
        <v>0</v>
      </c>
      <c r="BJ824" t="s">
        <v>66</v>
      </c>
      <c r="BK824" t="s">
        <v>88</v>
      </c>
      <c r="BL824" t="s">
        <v>66</v>
      </c>
      <c r="BM824" t="s">
        <v>159</v>
      </c>
    </row>
    <row r="825" spans="1:65" x14ac:dyDescent="0.25">
      <c r="A825">
        <v>823</v>
      </c>
      <c r="B825" t="s">
        <v>1212</v>
      </c>
      <c r="C825" t="s">
        <v>68</v>
      </c>
      <c r="D825" s="1">
        <v>46214</v>
      </c>
      <c r="E825" t="s">
        <v>1213</v>
      </c>
      <c r="F825" t="s">
        <v>68</v>
      </c>
      <c r="G825" t="s">
        <v>295</v>
      </c>
      <c r="H825" t="s">
        <v>296</v>
      </c>
      <c r="I825" t="s">
        <v>71</v>
      </c>
      <c r="J825" t="s">
        <v>72</v>
      </c>
      <c r="K825" t="s">
        <v>73</v>
      </c>
      <c r="L825" t="s">
        <v>74</v>
      </c>
      <c r="M825" t="s">
        <v>1214</v>
      </c>
      <c r="N825" t="s">
        <v>111</v>
      </c>
      <c r="O825" t="s">
        <v>1215</v>
      </c>
      <c r="P825" t="s">
        <v>1216</v>
      </c>
      <c r="Q825" t="s">
        <v>1217</v>
      </c>
      <c r="R825" s="1">
        <v>46217</v>
      </c>
      <c r="S825" t="s">
        <v>1218</v>
      </c>
      <c r="T825" t="s">
        <v>1219</v>
      </c>
      <c r="U825" t="s">
        <v>1220</v>
      </c>
      <c r="V825" t="s">
        <v>66</v>
      </c>
      <c r="W825" t="s">
        <v>66</v>
      </c>
      <c r="X825">
        <v>11262240</v>
      </c>
      <c r="Y825">
        <v>1238846.3999999999</v>
      </c>
      <c r="Z825">
        <v>54648</v>
      </c>
      <c r="AA825">
        <v>6011.28</v>
      </c>
      <c r="AB825">
        <v>12501086.4</v>
      </c>
      <c r="AC825">
        <v>3</v>
      </c>
      <c r="AD825" t="s">
        <v>82</v>
      </c>
      <c r="AE825">
        <v>3</v>
      </c>
      <c r="AF825" t="s">
        <v>160</v>
      </c>
      <c r="AG825">
        <f>IFERROR(VLOOKUP(AF825,[1]STOK!J:O,6,0),"")</f>
        <v>12</v>
      </c>
      <c r="AH825" s="2">
        <f t="shared" si="24"/>
        <v>0.25</v>
      </c>
      <c r="AI825" t="s">
        <v>160</v>
      </c>
      <c r="AJ825" t="s">
        <v>161</v>
      </c>
      <c r="AK825" t="s">
        <v>162</v>
      </c>
      <c r="AL825" t="s">
        <v>86</v>
      </c>
      <c r="AM825">
        <v>20424</v>
      </c>
      <c r="AN825">
        <f t="shared" si="25"/>
        <v>20219.759999999998</v>
      </c>
      <c r="AO825" t="s">
        <v>66</v>
      </c>
      <c r="AP825">
        <v>1</v>
      </c>
      <c r="AQ825" t="s">
        <v>66</v>
      </c>
      <c r="AR825">
        <v>0</v>
      </c>
      <c r="AS825" t="s">
        <v>66</v>
      </c>
      <c r="AT825">
        <v>0</v>
      </c>
      <c r="AU825" t="s">
        <v>66</v>
      </c>
      <c r="AV825">
        <v>0</v>
      </c>
      <c r="AW825" t="s">
        <v>66</v>
      </c>
      <c r="AX825">
        <v>0</v>
      </c>
      <c r="AY825" t="s">
        <v>66</v>
      </c>
      <c r="AZ825">
        <v>0</v>
      </c>
      <c r="BA825" t="s">
        <v>66</v>
      </c>
      <c r="BB825">
        <v>0</v>
      </c>
      <c r="BC825">
        <v>0</v>
      </c>
      <c r="BD825">
        <v>60659.28</v>
      </c>
      <c r="BE825">
        <v>16652.16</v>
      </c>
      <c r="BF825">
        <v>0</v>
      </c>
      <c r="BG825" t="s">
        <v>87</v>
      </c>
      <c r="BH825" t="s">
        <v>66</v>
      </c>
      <c r="BI825">
        <v>0</v>
      </c>
      <c r="BJ825" t="s">
        <v>66</v>
      </c>
      <c r="BK825" t="s">
        <v>88</v>
      </c>
      <c r="BL825" t="s">
        <v>66</v>
      </c>
      <c r="BM825" t="s">
        <v>159</v>
      </c>
    </row>
    <row r="826" spans="1:65" x14ac:dyDescent="0.25">
      <c r="A826">
        <v>824</v>
      </c>
      <c r="B826" t="s">
        <v>1212</v>
      </c>
      <c r="C826" t="s">
        <v>68</v>
      </c>
      <c r="D826" s="1">
        <v>46214</v>
      </c>
      <c r="E826" t="s">
        <v>1213</v>
      </c>
      <c r="F826" t="s">
        <v>68</v>
      </c>
      <c r="G826" t="s">
        <v>295</v>
      </c>
      <c r="H826" t="s">
        <v>296</v>
      </c>
      <c r="I826" t="s">
        <v>71</v>
      </c>
      <c r="J826" t="s">
        <v>72</v>
      </c>
      <c r="K826" t="s">
        <v>73</v>
      </c>
      <c r="L826" t="s">
        <v>74</v>
      </c>
      <c r="M826" t="s">
        <v>1214</v>
      </c>
      <c r="N826" t="s">
        <v>111</v>
      </c>
      <c r="O826" t="s">
        <v>1215</v>
      </c>
      <c r="P826" t="s">
        <v>1216</v>
      </c>
      <c r="Q826" t="s">
        <v>1217</v>
      </c>
      <c r="R826" s="1">
        <v>46217</v>
      </c>
      <c r="S826" t="s">
        <v>1218</v>
      </c>
      <c r="T826" t="s">
        <v>1219</v>
      </c>
      <c r="U826" t="s">
        <v>1220</v>
      </c>
      <c r="V826" t="s">
        <v>66</v>
      </c>
      <c r="W826" t="s">
        <v>66</v>
      </c>
      <c r="X826">
        <v>11262240</v>
      </c>
      <c r="Y826">
        <v>1238846.3999999999</v>
      </c>
      <c r="Z826">
        <v>58806</v>
      </c>
      <c r="AA826">
        <v>6468.66</v>
      </c>
      <c r="AB826">
        <v>12501086.4</v>
      </c>
      <c r="AC826">
        <v>3</v>
      </c>
      <c r="AD826" t="s">
        <v>82</v>
      </c>
      <c r="AE826">
        <v>3</v>
      </c>
      <c r="AF826" t="s">
        <v>799</v>
      </c>
      <c r="AG826">
        <f>IFERROR(VLOOKUP(AF826,[1]STOK!J:O,6,0),"")</f>
        <v>12</v>
      </c>
      <c r="AH826" s="2">
        <f t="shared" si="24"/>
        <v>0.25</v>
      </c>
      <c r="AI826" t="s">
        <v>799</v>
      </c>
      <c r="AJ826" t="s">
        <v>800</v>
      </c>
      <c r="AK826" t="s">
        <v>801</v>
      </c>
      <c r="AL826" t="s">
        <v>86</v>
      </c>
      <c r="AM826">
        <v>21978</v>
      </c>
      <c r="AN826">
        <f t="shared" si="25"/>
        <v>21758.22</v>
      </c>
      <c r="AO826" t="s">
        <v>66</v>
      </c>
      <c r="AP826">
        <v>1</v>
      </c>
      <c r="AQ826" t="s">
        <v>66</v>
      </c>
      <c r="AR826">
        <v>0</v>
      </c>
      <c r="AS826" t="s">
        <v>66</v>
      </c>
      <c r="AT826">
        <v>0</v>
      </c>
      <c r="AU826" t="s">
        <v>66</v>
      </c>
      <c r="AV826">
        <v>0</v>
      </c>
      <c r="AW826" t="s">
        <v>66</v>
      </c>
      <c r="AX826">
        <v>0</v>
      </c>
      <c r="AY826" t="s">
        <v>66</v>
      </c>
      <c r="AZ826">
        <v>0</v>
      </c>
      <c r="BA826" t="s">
        <v>66</v>
      </c>
      <c r="BB826">
        <v>0</v>
      </c>
      <c r="BC826">
        <v>0</v>
      </c>
      <c r="BD826">
        <v>65274.66</v>
      </c>
      <c r="BE826">
        <v>17707</v>
      </c>
      <c r="BF826">
        <v>0</v>
      </c>
      <c r="BG826" t="s">
        <v>87</v>
      </c>
      <c r="BH826" t="s">
        <v>66</v>
      </c>
      <c r="BI826">
        <v>0</v>
      </c>
      <c r="BJ826" t="s">
        <v>66</v>
      </c>
      <c r="BK826" t="s">
        <v>88</v>
      </c>
      <c r="BL826" t="s">
        <v>66</v>
      </c>
      <c r="BM826" t="s">
        <v>159</v>
      </c>
    </row>
    <row r="827" spans="1:65" x14ac:dyDescent="0.25">
      <c r="A827">
        <v>825</v>
      </c>
      <c r="B827" t="s">
        <v>1212</v>
      </c>
      <c r="C827" t="s">
        <v>68</v>
      </c>
      <c r="D827" s="1">
        <v>46214</v>
      </c>
      <c r="E827" t="s">
        <v>1213</v>
      </c>
      <c r="F827" t="s">
        <v>68</v>
      </c>
      <c r="G827" t="s">
        <v>295</v>
      </c>
      <c r="H827" t="s">
        <v>296</v>
      </c>
      <c r="I827" t="s">
        <v>71</v>
      </c>
      <c r="J827" t="s">
        <v>72</v>
      </c>
      <c r="K827" t="s">
        <v>73</v>
      </c>
      <c r="L827" t="s">
        <v>74</v>
      </c>
      <c r="M827" t="s">
        <v>1214</v>
      </c>
      <c r="N827" t="s">
        <v>111</v>
      </c>
      <c r="O827" t="s">
        <v>1215</v>
      </c>
      <c r="P827" t="s">
        <v>1216</v>
      </c>
      <c r="Q827" t="s">
        <v>1217</v>
      </c>
      <c r="R827" s="1">
        <v>46217</v>
      </c>
      <c r="S827" t="s">
        <v>1218</v>
      </c>
      <c r="T827" t="s">
        <v>1219</v>
      </c>
      <c r="U827" t="s">
        <v>1220</v>
      </c>
      <c r="V827" t="s">
        <v>66</v>
      </c>
      <c r="W827" t="s">
        <v>66</v>
      </c>
      <c r="X827">
        <v>11262240</v>
      </c>
      <c r="Y827">
        <v>1238846.3999999999</v>
      </c>
      <c r="Z827">
        <v>58806</v>
      </c>
      <c r="AA827">
        <v>6468.66</v>
      </c>
      <c r="AB827">
        <v>12501086.4</v>
      </c>
      <c r="AC827">
        <v>3</v>
      </c>
      <c r="AD827" t="s">
        <v>82</v>
      </c>
      <c r="AE827">
        <v>3</v>
      </c>
      <c r="AF827" t="s">
        <v>743</v>
      </c>
      <c r="AG827">
        <f>IFERROR(VLOOKUP(AF827,[1]STOK!J:O,6,0),"")</f>
        <v>12</v>
      </c>
      <c r="AH827" s="2">
        <f t="shared" si="24"/>
        <v>0.25</v>
      </c>
      <c r="AI827" t="s">
        <v>743</v>
      </c>
      <c r="AJ827" t="s">
        <v>744</v>
      </c>
      <c r="AK827" t="s">
        <v>745</v>
      </c>
      <c r="AL827" t="s">
        <v>86</v>
      </c>
      <c r="AM827">
        <v>21978</v>
      </c>
      <c r="AN827">
        <f t="shared" si="25"/>
        <v>21758.22</v>
      </c>
      <c r="AO827" t="s">
        <v>66</v>
      </c>
      <c r="AP827">
        <v>1</v>
      </c>
      <c r="AQ827" t="s">
        <v>66</v>
      </c>
      <c r="AR827">
        <v>0</v>
      </c>
      <c r="AS827" t="s">
        <v>66</v>
      </c>
      <c r="AT827">
        <v>0</v>
      </c>
      <c r="AU827" t="s">
        <v>66</v>
      </c>
      <c r="AV827">
        <v>0</v>
      </c>
      <c r="AW827" t="s">
        <v>66</v>
      </c>
      <c r="AX827">
        <v>0</v>
      </c>
      <c r="AY827" t="s">
        <v>66</v>
      </c>
      <c r="AZ827">
        <v>0</v>
      </c>
      <c r="BA827" t="s">
        <v>66</v>
      </c>
      <c r="BB827">
        <v>0</v>
      </c>
      <c r="BC827">
        <v>0</v>
      </c>
      <c r="BD827">
        <v>65274.66</v>
      </c>
      <c r="BE827">
        <v>17754.919999999998</v>
      </c>
      <c r="BF827">
        <v>0</v>
      </c>
      <c r="BG827" t="s">
        <v>87</v>
      </c>
      <c r="BH827" t="s">
        <v>66</v>
      </c>
      <c r="BI827">
        <v>0</v>
      </c>
      <c r="BJ827" t="s">
        <v>66</v>
      </c>
      <c r="BK827" t="s">
        <v>88</v>
      </c>
      <c r="BL827" t="s">
        <v>66</v>
      </c>
      <c r="BM827" t="s">
        <v>159</v>
      </c>
    </row>
    <row r="828" spans="1:65" x14ac:dyDescent="0.25">
      <c r="A828">
        <v>826</v>
      </c>
      <c r="B828" t="s">
        <v>1212</v>
      </c>
      <c r="C828" t="s">
        <v>68</v>
      </c>
      <c r="D828" s="1">
        <v>46214</v>
      </c>
      <c r="E828" t="s">
        <v>1213</v>
      </c>
      <c r="F828" t="s">
        <v>68</v>
      </c>
      <c r="G828" t="s">
        <v>295</v>
      </c>
      <c r="H828" t="s">
        <v>296</v>
      </c>
      <c r="I828" t="s">
        <v>71</v>
      </c>
      <c r="J828" t="s">
        <v>72</v>
      </c>
      <c r="K828" t="s">
        <v>73</v>
      </c>
      <c r="L828" t="s">
        <v>74</v>
      </c>
      <c r="M828" t="s">
        <v>1214</v>
      </c>
      <c r="N828" t="s">
        <v>111</v>
      </c>
      <c r="O828" t="s">
        <v>1215</v>
      </c>
      <c r="P828" t="s">
        <v>1216</v>
      </c>
      <c r="Q828" t="s">
        <v>1217</v>
      </c>
      <c r="R828" s="1">
        <v>46217</v>
      </c>
      <c r="S828" t="s">
        <v>1218</v>
      </c>
      <c r="T828" t="s">
        <v>1219</v>
      </c>
      <c r="U828" t="s">
        <v>1220</v>
      </c>
      <c r="V828" t="s">
        <v>66</v>
      </c>
      <c r="W828" t="s">
        <v>66</v>
      </c>
      <c r="X828">
        <v>11262240</v>
      </c>
      <c r="Y828">
        <v>1238846.3999999999</v>
      </c>
      <c r="Z828">
        <v>59994</v>
      </c>
      <c r="AA828">
        <v>6599.34</v>
      </c>
      <c r="AB828">
        <v>12501086.4</v>
      </c>
      <c r="AC828">
        <v>3</v>
      </c>
      <c r="AD828" t="s">
        <v>82</v>
      </c>
      <c r="AE828">
        <v>3</v>
      </c>
      <c r="AF828" t="s">
        <v>242</v>
      </c>
      <c r="AG828">
        <f>IFERROR(VLOOKUP(AF828,[1]STOK!J:O,6,0),"")</f>
        <v>12</v>
      </c>
      <c r="AH828" s="2">
        <f t="shared" si="24"/>
        <v>0.25</v>
      </c>
      <c r="AI828" t="s">
        <v>242</v>
      </c>
      <c r="AJ828" t="s">
        <v>243</v>
      </c>
      <c r="AK828" t="s">
        <v>244</v>
      </c>
      <c r="AL828" t="s">
        <v>86</v>
      </c>
      <c r="AM828">
        <v>22422</v>
      </c>
      <c r="AN828">
        <f t="shared" si="25"/>
        <v>22197.78</v>
      </c>
      <c r="AO828" t="s">
        <v>66</v>
      </c>
      <c r="AP828">
        <v>1</v>
      </c>
      <c r="AQ828" t="s">
        <v>66</v>
      </c>
      <c r="AR828">
        <v>0</v>
      </c>
      <c r="AS828" t="s">
        <v>66</v>
      </c>
      <c r="AT828">
        <v>0</v>
      </c>
      <c r="AU828" t="s">
        <v>66</v>
      </c>
      <c r="AV828">
        <v>0</v>
      </c>
      <c r="AW828" t="s">
        <v>66</v>
      </c>
      <c r="AX828">
        <v>0</v>
      </c>
      <c r="AY828" t="s">
        <v>66</v>
      </c>
      <c r="AZ828">
        <v>0</v>
      </c>
      <c r="BA828" t="s">
        <v>66</v>
      </c>
      <c r="BB828">
        <v>0</v>
      </c>
      <c r="BC828">
        <v>0</v>
      </c>
      <c r="BD828">
        <v>66593.34</v>
      </c>
      <c r="BE828">
        <v>16867.34</v>
      </c>
      <c r="BF828">
        <v>0</v>
      </c>
      <c r="BG828" t="s">
        <v>87</v>
      </c>
      <c r="BH828" t="s">
        <v>66</v>
      </c>
      <c r="BI828">
        <v>0</v>
      </c>
      <c r="BJ828" t="s">
        <v>66</v>
      </c>
      <c r="BK828" t="s">
        <v>88</v>
      </c>
      <c r="BL828" t="s">
        <v>66</v>
      </c>
      <c r="BM828" t="s">
        <v>159</v>
      </c>
    </row>
    <row r="829" spans="1:65" x14ac:dyDescent="0.25">
      <c r="A829">
        <v>827</v>
      </c>
      <c r="B829" t="s">
        <v>1212</v>
      </c>
      <c r="C829" t="s">
        <v>68</v>
      </c>
      <c r="D829" s="1">
        <v>46214</v>
      </c>
      <c r="E829" t="s">
        <v>1213</v>
      </c>
      <c r="F829" t="s">
        <v>68</v>
      </c>
      <c r="G829" t="s">
        <v>295</v>
      </c>
      <c r="H829" t="s">
        <v>296</v>
      </c>
      <c r="I829" t="s">
        <v>71</v>
      </c>
      <c r="J829" t="s">
        <v>72</v>
      </c>
      <c r="K829" t="s">
        <v>73</v>
      </c>
      <c r="L829" t="s">
        <v>74</v>
      </c>
      <c r="M829" t="s">
        <v>1214</v>
      </c>
      <c r="N829" t="s">
        <v>111</v>
      </c>
      <c r="O829" t="s">
        <v>1215</v>
      </c>
      <c r="P829" t="s">
        <v>1216</v>
      </c>
      <c r="Q829" t="s">
        <v>1217</v>
      </c>
      <c r="R829" s="1">
        <v>46217</v>
      </c>
      <c r="S829" t="s">
        <v>1218</v>
      </c>
      <c r="T829" t="s">
        <v>1219</v>
      </c>
      <c r="U829" t="s">
        <v>1220</v>
      </c>
      <c r="V829" t="s">
        <v>66</v>
      </c>
      <c r="W829" t="s">
        <v>66</v>
      </c>
      <c r="X829">
        <v>11262240</v>
      </c>
      <c r="Y829">
        <v>1238846.3999999999</v>
      </c>
      <c r="Z829">
        <v>33561</v>
      </c>
      <c r="AA829">
        <v>3691.71</v>
      </c>
      <c r="AB829">
        <v>12501086.4</v>
      </c>
      <c r="AC829">
        <v>3</v>
      </c>
      <c r="AD829" t="s">
        <v>82</v>
      </c>
      <c r="AE829">
        <v>3</v>
      </c>
      <c r="AF829" t="s">
        <v>122</v>
      </c>
      <c r="AG829">
        <f>IFERROR(VLOOKUP(AF829,[1]STOK!J:O,6,0),"")</f>
        <v>24</v>
      </c>
      <c r="AH829" s="2">
        <f t="shared" si="24"/>
        <v>0.125</v>
      </c>
      <c r="AI829" t="s">
        <v>122</v>
      </c>
      <c r="AJ829" t="s">
        <v>123</v>
      </c>
      <c r="AK829" t="s">
        <v>124</v>
      </c>
      <c r="AL829" t="s">
        <v>86</v>
      </c>
      <c r="AM829">
        <v>12543</v>
      </c>
      <c r="AN829">
        <f t="shared" si="25"/>
        <v>12417.57</v>
      </c>
      <c r="AO829" t="s">
        <v>66</v>
      </c>
      <c r="AP829">
        <v>1</v>
      </c>
      <c r="AQ829" t="s">
        <v>66</v>
      </c>
      <c r="AR829">
        <v>0</v>
      </c>
      <c r="AS829" t="s">
        <v>66</v>
      </c>
      <c r="AT829">
        <v>0</v>
      </c>
      <c r="AU829" t="s">
        <v>66</v>
      </c>
      <c r="AV829">
        <v>0</v>
      </c>
      <c r="AW829" t="s">
        <v>66</v>
      </c>
      <c r="AX829">
        <v>0</v>
      </c>
      <c r="AY829" t="s">
        <v>66</v>
      </c>
      <c r="AZ829">
        <v>0</v>
      </c>
      <c r="BA829" t="s">
        <v>66</v>
      </c>
      <c r="BB829">
        <v>0</v>
      </c>
      <c r="BC829">
        <v>0</v>
      </c>
      <c r="BD829">
        <v>37252.71</v>
      </c>
      <c r="BE829">
        <v>10200.57</v>
      </c>
      <c r="BF829">
        <v>0</v>
      </c>
      <c r="BG829" t="s">
        <v>87</v>
      </c>
      <c r="BH829" t="s">
        <v>66</v>
      </c>
      <c r="BI829">
        <v>0</v>
      </c>
      <c r="BJ829" t="s">
        <v>66</v>
      </c>
      <c r="BK829" t="s">
        <v>88</v>
      </c>
      <c r="BL829" t="s">
        <v>66</v>
      </c>
      <c r="BM829" t="s">
        <v>159</v>
      </c>
    </row>
    <row r="830" spans="1:65" x14ac:dyDescent="0.25">
      <c r="A830">
        <v>828</v>
      </c>
      <c r="B830" t="s">
        <v>1212</v>
      </c>
      <c r="C830" t="s">
        <v>68</v>
      </c>
      <c r="D830" s="1">
        <v>46214</v>
      </c>
      <c r="E830" t="s">
        <v>1213</v>
      </c>
      <c r="F830" t="s">
        <v>68</v>
      </c>
      <c r="G830" t="s">
        <v>295</v>
      </c>
      <c r="H830" t="s">
        <v>296</v>
      </c>
      <c r="I830" t="s">
        <v>71</v>
      </c>
      <c r="J830" t="s">
        <v>72</v>
      </c>
      <c r="K830" t="s">
        <v>73</v>
      </c>
      <c r="L830" t="s">
        <v>74</v>
      </c>
      <c r="M830" t="s">
        <v>1214</v>
      </c>
      <c r="N830" t="s">
        <v>111</v>
      </c>
      <c r="O830" t="s">
        <v>1215</v>
      </c>
      <c r="P830" t="s">
        <v>1216</v>
      </c>
      <c r="Q830" t="s">
        <v>1217</v>
      </c>
      <c r="R830" s="1">
        <v>46217</v>
      </c>
      <c r="S830" t="s">
        <v>1218</v>
      </c>
      <c r="T830" t="s">
        <v>1219</v>
      </c>
      <c r="U830" t="s">
        <v>1220</v>
      </c>
      <c r="V830" t="s">
        <v>66</v>
      </c>
      <c r="W830" t="s">
        <v>66</v>
      </c>
      <c r="X830">
        <v>11262240</v>
      </c>
      <c r="Y830">
        <v>1238846.3999999999</v>
      </c>
      <c r="Z830">
        <v>392040</v>
      </c>
      <c r="AA830">
        <v>43124.4</v>
      </c>
      <c r="AB830">
        <v>12501086.4</v>
      </c>
      <c r="AC830">
        <v>24</v>
      </c>
      <c r="AD830" t="s">
        <v>82</v>
      </c>
      <c r="AE830">
        <v>24</v>
      </c>
      <c r="AF830" t="s">
        <v>128</v>
      </c>
      <c r="AG830">
        <f>IFERROR(VLOOKUP(AF830,[1]STOK!J:O,6,0),"")</f>
        <v>24</v>
      </c>
      <c r="AH830" s="2">
        <f t="shared" si="24"/>
        <v>1</v>
      </c>
      <c r="AI830" t="s">
        <v>128</v>
      </c>
      <c r="AJ830" t="s">
        <v>129</v>
      </c>
      <c r="AK830" t="s">
        <v>130</v>
      </c>
      <c r="AL830" t="s">
        <v>86</v>
      </c>
      <c r="AM830">
        <v>18315</v>
      </c>
      <c r="AN830">
        <f t="shared" si="25"/>
        <v>18131.850000000002</v>
      </c>
      <c r="AO830" t="s">
        <v>66</v>
      </c>
      <c r="AP830">
        <v>1</v>
      </c>
      <c r="AQ830" t="s">
        <v>66</v>
      </c>
      <c r="AR830">
        <v>0</v>
      </c>
      <c r="AS830" t="s">
        <v>66</v>
      </c>
      <c r="AT830">
        <v>0</v>
      </c>
      <c r="AU830" t="s">
        <v>66</v>
      </c>
      <c r="AV830">
        <v>0</v>
      </c>
      <c r="AW830" t="s">
        <v>66</v>
      </c>
      <c r="AX830">
        <v>0</v>
      </c>
      <c r="AY830" t="s">
        <v>66</v>
      </c>
      <c r="AZ830">
        <v>0</v>
      </c>
      <c r="BA830" t="s">
        <v>66</v>
      </c>
      <c r="BB830">
        <v>0</v>
      </c>
      <c r="BC830">
        <v>0</v>
      </c>
      <c r="BD830">
        <v>435164.4</v>
      </c>
      <c r="BE830">
        <v>14920.07</v>
      </c>
      <c r="BF830">
        <v>0</v>
      </c>
      <c r="BG830" t="s">
        <v>87</v>
      </c>
      <c r="BH830" t="s">
        <v>66</v>
      </c>
      <c r="BI830">
        <v>0</v>
      </c>
      <c r="BJ830" t="s">
        <v>66</v>
      </c>
      <c r="BK830" t="s">
        <v>88</v>
      </c>
      <c r="BL830" t="s">
        <v>66</v>
      </c>
      <c r="BM830" t="s">
        <v>159</v>
      </c>
    </row>
    <row r="831" spans="1:65" x14ac:dyDescent="0.25">
      <c r="A831">
        <v>829</v>
      </c>
      <c r="B831" t="s">
        <v>1212</v>
      </c>
      <c r="C831" t="s">
        <v>68</v>
      </c>
      <c r="D831" s="1">
        <v>46214</v>
      </c>
      <c r="E831" t="s">
        <v>1213</v>
      </c>
      <c r="F831" t="s">
        <v>68</v>
      </c>
      <c r="G831" t="s">
        <v>295</v>
      </c>
      <c r="H831" t="s">
        <v>296</v>
      </c>
      <c r="I831" t="s">
        <v>71</v>
      </c>
      <c r="J831" t="s">
        <v>72</v>
      </c>
      <c r="K831" t="s">
        <v>73</v>
      </c>
      <c r="L831" t="s">
        <v>74</v>
      </c>
      <c r="M831" t="s">
        <v>1214</v>
      </c>
      <c r="N831" t="s">
        <v>111</v>
      </c>
      <c r="O831" t="s">
        <v>1215</v>
      </c>
      <c r="P831" t="s">
        <v>1216</v>
      </c>
      <c r="Q831" t="s">
        <v>1217</v>
      </c>
      <c r="R831" s="1">
        <v>46217</v>
      </c>
      <c r="S831" t="s">
        <v>1218</v>
      </c>
      <c r="T831" t="s">
        <v>1219</v>
      </c>
      <c r="U831" t="s">
        <v>1220</v>
      </c>
      <c r="V831" t="s">
        <v>66</v>
      </c>
      <c r="W831" t="s">
        <v>66</v>
      </c>
      <c r="X831">
        <v>11262240</v>
      </c>
      <c r="Y831">
        <v>1238846.3999999999</v>
      </c>
      <c r="Z831">
        <v>392040</v>
      </c>
      <c r="AA831">
        <v>43124.4</v>
      </c>
      <c r="AB831">
        <v>12501086.4</v>
      </c>
      <c r="AC831">
        <v>24</v>
      </c>
      <c r="AD831" t="s">
        <v>82</v>
      </c>
      <c r="AE831">
        <v>24</v>
      </c>
      <c r="AF831" t="s">
        <v>93</v>
      </c>
      <c r="AG831">
        <f>IFERROR(VLOOKUP(AF831,[1]STOK!J:O,6,0),"")</f>
        <v>24</v>
      </c>
      <c r="AH831" s="2">
        <f t="shared" si="24"/>
        <v>1</v>
      </c>
      <c r="AI831" t="s">
        <v>93</v>
      </c>
      <c r="AJ831" t="s">
        <v>94</v>
      </c>
      <c r="AK831" t="s">
        <v>95</v>
      </c>
      <c r="AL831" t="s">
        <v>86</v>
      </c>
      <c r="AM831">
        <v>18315</v>
      </c>
      <c r="AN831">
        <f t="shared" si="25"/>
        <v>18131.850000000002</v>
      </c>
      <c r="AO831" t="s">
        <v>66</v>
      </c>
      <c r="AP831">
        <v>1</v>
      </c>
      <c r="AQ831" t="s">
        <v>66</v>
      </c>
      <c r="AR831">
        <v>0</v>
      </c>
      <c r="AS831" t="s">
        <v>66</v>
      </c>
      <c r="AT831">
        <v>0</v>
      </c>
      <c r="AU831" t="s">
        <v>66</v>
      </c>
      <c r="AV831">
        <v>0</v>
      </c>
      <c r="AW831" t="s">
        <v>66</v>
      </c>
      <c r="AX831">
        <v>0</v>
      </c>
      <c r="AY831" t="s">
        <v>66</v>
      </c>
      <c r="AZ831">
        <v>0</v>
      </c>
      <c r="BA831" t="s">
        <v>66</v>
      </c>
      <c r="BB831">
        <v>0</v>
      </c>
      <c r="BC831">
        <v>0</v>
      </c>
      <c r="BD831">
        <v>435164.4</v>
      </c>
      <c r="BE831">
        <v>14931.77</v>
      </c>
      <c r="BF831">
        <v>0</v>
      </c>
      <c r="BG831" t="s">
        <v>87</v>
      </c>
      <c r="BH831" t="s">
        <v>66</v>
      </c>
      <c r="BI831">
        <v>0</v>
      </c>
      <c r="BJ831" t="s">
        <v>66</v>
      </c>
      <c r="BK831" t="s">
        <v>88</v>
      </c>
      <c r="BL831" t="s">
        <v>66</v>
      </c>
      <c r="BM831" t="s">
        <v>159</v>
      </c>
    </row>
    <row r="832" spans="1:65" x14ac:dyDescent="0.25">
      <c r="A832">
        <v>830</v>
      </c>
      <c r="B832" t="s">
        <v>1212</v>
      </c>
      <c r="C832" t="s">
        <v>68</v>
      </c>
      <c r="D832" s="1">
        <v>46214</v>
      </c>
      <c r="E832" t="s">
        <v>1213</v>
      </c>
      <c r="F832" t="s">
        <v>68</v>
      </c>
      <c r="G832" t="s">
        <v>295</v>
      </c>
      <c r="H832" t="s">
        <v>296</v>
      </c>
      <c r="I832" t="s">
        <v>71</v>
      </c>
      <c r="J832" t="s">
        <v>72</v>
      </c>
      <c r="K832" t="s">
        <v>73</v>
      </c>
      <c r="L832" t="s">
        <v>74</v>
      </c>
      <c r="M832" t="s">
        <v>1214</v>
      </c>
      <c r="N832" t="s">
        <v>111</v>
      </c>
      <c r="O832" t="s">
        <v>1215</v>
      </c>
      <c r="P832" t="s">
        <v>1216</v>
      </c>
      <c r="Q832" t="s">
        <v>1217</v>
      </c>
      <c r="R832" s="1">
        <v>46217</v>
      </c>
      <c r="S832" t="s">
        <v>1218</v>
      </c>
      <c r="T832" t="s">
        <v>1219</v>
      </c>
      <c r="U832" t="s">
        <v>1220</v>
      </c>
      <c r="V832" t="s">
        <v>66</v>
      </c>
      <c r="W832" t="s">
        <v>66</v>
      </c>
      <c r="X832">
        <v>11262240</v>
      </c>
      <c r="Y832">
        <v>1238846.3999999999</v>
      </c>
      <c r="Z832">
        <v>196020</v>
      </c>
      <c r="AA832">
        <v>21562.2</v>
      </c>
      <c r="AB832">
        <v>12501086.4</v>
      </c>
      <c r="AC832">
        <v>12</v>
      </c>
      <c r="AD832" t="s">
        <v>82</v>
      </c>
      <c r="AE832">
        <v>12</v>
      </c>
      <c r="AF832" t="s">
        <v>96</v>
      </c>
      <c r="AG832">
        <f>IFERROR(VLOOKUP(AF832,[1]STOK!J:O,6,0),"")</f>
        <v>24</v>
      </c>
      <c r="AH832" s="2">
        <f t="shared" si="24"/>
        <v>0.5</v>
      </c>
      <c r="AI832" t="s">
        <v>96</v>
      </c>
      <c r="AJ832" t="s">
        <v>97</v>
      </c>
      <c r="AK832" t="s">
        <v>98</v>
      </c>
      <c r="AL832" t="s">
        <v>86</v>
      </c>
      <c r="AM832">
        <v>18315</v>
      </c>
      <c r="AN832">
        <f t="shared" si="25"/>
        <v>18131.850000000002</v>
      </c>
      <c r="AO832" t="s">
        <v>66</v>
      </c>
      <c r="AP832">
        <v>1</v>
      </c>
      <c r="AQ832" t="s">
        <v>66</v>
      </c>
      <c r="AR832">
        <v>0</v>
      </c>
      <c r="AS832" t="s">
        <v>66</v>
      </c>
      <c r="AT832">
        <v>0</v>
      </c>
      <c r="AU832" t="s">
        <v>66</v>
      </c>
      <c r="AV832">
        <v>0</v>
      </c>
      <c r="AW832" t="s">
        <v>66</v>
      </c>
      <c r="AX832">
        <v>0</v>
      </c>
      <c r="AY832" t="s">
        <v>66</v>
      </c>
      <c r="AZ832">
        <v>0</v>
      </c>
      <c r="BA832" t="s">
        <v>66</v>
      </c>
      <c r="BB832">
        <v>0</v>
      </c>
      <c r="BC832">
        <v>0</v>
      </c>
      <c r="BD832">
        <v>217582.2</v>
      </c>
      <c r="BE832">
        <v>14932.9</v>
      </c>
      <c r="BF832">
        <v>0</v>
      </c>
      <c r="BG832" t="s">
        <v>87</v>
      </c>
      <c r="BH832" t="s">
        <v>66</v>
      </c>
      <c r="BI832">
        <v>0</v>
      </c>
      <c r="BJ832" t="s">
        <v>66</v>
      </c>
      <c r="BK832" t="s">
        <v>88</v>
      </c>
      <c r="BL832" t="s">
        <v>66</v>
      </c>
      <c r="BM832" t="s">
        <v>159</v>
      </c>
    </row>
    <row r="833" spans="1:65" x14ac:dyDescent="0.25">
      <c r="A833">
        <v>831</v>
      </c>
      <c r="B833" t="s">
        <v>1212</v>
      </c>
      <c r="C833" t="s">
        <v>68</v>
      </c>
      <c r="D833" s="1">
        <v>46214</v>
      </c>
      <c r="E833" t="s">
        <v>1213</v>
      </c>
      <c r="F833" t="s">
        <v>68</v>
      </c>
      <c r="G833" t="s">
        <v>295</v>
      </c>
      <c r="H833" t="s">
        <v>296</v>
      </c>
      <c r="I833" t="s">
        <v>71</v>
      </c>
      <c r="J833" t="s">
        <v>72</v>
      </c>
      <c r="K833" t="s">
        <v>73</v>
      </c>
      <c r="L833" t="s">
        <v>74</v>
      </c>
      <c r="M833" t="s">
        <v>1214</v>
      </c>
      <c r="N833" t="s">
        <v>111</v>
      </c>
      <c r="O833" t="s">
        <v>1215</v>
      </c>
      <c r="P833" t="s">
        <v>1216</v>
      </c>
      <c r="Q833" t="s">
        <v>1217</v>
      </c>
      <c r="R833" s="1">
        <v>46217</v>
      </c>
      <c r="S833" t="s">
        <v>1218</v>
      </c>
      <c r="T833" t="s">
        <v>1219</v>
      </c>
      <c r="U833" t="s">
        <v>1220</v>
      </c>
      <c r="V833" t="s">
        <v>66</v>
      </c>
      <c r="W833" t="s">
        <v>66</v>
      </c>
      <c r="X833">
        <v>11262240</v>
      </c>
      <c r="Y833">
        <v>1238846.3999999999</v>
      </c>
      <c r="Z833">
        <v>3074544</v>
      </c>
      <c r="AA833">
        <v>338199.84</v>
      </c>
      <c r="AB833">
        <v>12501086.4</v>
      </c>
      <c r="AC833">
        <v>24</v>
      </c>
      <c r="AD833" t="s">
        <v>82</v>
      </c>
      <c r="AE833">
        <v>24</v>
      </c>
      <c r="AF833" t="s">
        <v>651</v>
      </c>
      <c r="AG833">
        <f>IFERROR(VLOOKUP(AF833,[1]STOK!J:O,6,0),"")</f>
        <v>4</v>
      </c>
      <c r="AH833" s="2">
        <f t="shared" si="24"/>
        <v>6</v>
      </c>
      <c r="AI833" t="s">
        <v>651</v>
      </c>
      <c r="AJ833" t="s">
        <v>652</v>
      </c>
      <c r="AK833" t="s">
        <v>653</v>
      </c>
      <c r="AL833" t="s">
        <v>86</v>
      </c>
      <c r="AM833">
        <v>143634</v>
      </c>
      <c r="AN833">
        <f t="shared" si="25"/>
        <v>142197.66</v>
      </c>
      <c r="AO833" t="s">
        <v>66</v>
      </c>
      <c r="AP833">
        <v>1</v>
      </c>
      <c r="AQ833" t="s">
        <v>66</v>
      </c>
      <c r="AR833">
        <v>0</v>
      </c>
      <c r="AS833" t="s">
        <v>66</v>
      </c>
      <c r="AT833">
        <v>0</v>
      </c>
      <c r="AU833" t="s">
        <v>66</v>
      </c>
      <c r="AV833">
        <v>0</v>
      </c>
      <c r="AW833" t="s">
        <v>66</v>
      </c>
      <c r="AX833">
        <v>0</v>
      </c>
      <c r="AY833" t="s">
        <v>66</v>
      </c>
      <c r="AZ833">
        <v>0</v>
      </c>
      <c r="BA833" t="s">
        <v>66</v>
      </c>
      <c r="BB833">
        <v>0</v>
      </c>
      <c r="BC833">
        <v>0</v>
      </c>
      <c r="BD833">
        <v>3412743.84</v>
      </c>
      <c r="BE833">
        <v>115738.54</v>
      </c>
      <c r="BF833">
        <v>0</v>
      </c>
      <c r="BG833" t="s">
        <v>87</v>
      </c>
      <c r="BH833" t="s">
        <v>66</v>
      </c>
      <c r="BI833">
        <v>0</v>
      </c>
      <c r="BJ833" t="s">
        <v>66</v>
      </c>
      <c r="BK833" t="s">
        <v>88</v>
      </c>
      <c r="BL833" t="s">
        <v>66</v>
      </c>
      <c r="BM833" t="s">
        <v>159</v>
      </c>
    </row>
    <row r="834" spans="1:65" x14ac:dyDescent="0.25">
      <c r="A834">
        <v>832</v>
      </c>
      <c r="B834" t="s">
        <v>1212</v>
      </c>
      <c r="C834" t="s">
        <v>68</v>
      </c>
      <c r="D834" s="1">
        <v>46214</v>
      </c>
      <c r="E834" t="s">
        <v>1213</v>
      </c>
      <c r="F834" t="s">
        <v>68</v>
      </c>
      <c r="G834" t="s">
        <v>295</v>
      </c>
      <c r="H834" t="s">
        <v>296</v>
      </c>
      <c r="I834" t="s">
        <v>71</v>
      </c>
      <c r="J834" t="s">
        <v>72</v>
      </c>
      <c r="K834" t="s">
        <v>73</v>
      </c>
      <c r="L834" t="s">
        <v>74</v>
      </c>
      <c r="M834" t="s">
        <v>1214</v>
      </c>
      <c r="N834" t="s">
        <v>111</v>
      </c>
      <c r="O834" t="s">
        <v>1215</v>
      </c>
      <c r="P834" t="s">
        <v>1216</v>
      </c>
      <c r="Q834" t="s">
        <v>1217</v>
      </c>
      <c r="R834" s="1">
        <v>46217</v>
      </c>
      <c r="S834" t="s">
        <v>1218</v>
      </c>
      <c r="T834" t="s">
        <v>1219</v>
      </c>
      <c r="U834" t="s">
        <v>1220</v>
      </c>
      <c r="V834" t="s">
        <v>66</v>
      </c>
      <c r="W834" t="s">
        <v>66</v>
      </c>
      <c r="X834">
        <v>11262240</v>
      </c>
      <c r="Y834">
        <v>1238846.3999999999</v>
      </c>
      <c r="Z834">
        <v>1537272</v>
      </c>
      <c r="AA834">
        <v>169099.92</v>
      </c>
      <c r="AB834">
        <v>12501086.4</v>
      </c>
      <c r="AC834">
        <v>12</v>
      </c>
      <c r="AD834" t="s">
        <v>82</v>
      </c>
      <c r="AE834">
        <v>12</v>
      </c>
      <c r="AF834" t="s">
        <v>522</v>
      </c>
      <c r="AG834">
        <f>IFERROR(VLOOKUP(AF834,[1]STOK!J:O,6,0),"")</f>
        <v>4</v>
      </c>
      <c r="AH834" s="2">
        <f t="shared" si="24"/>
        <v>3</v>
      </c>
      <c r="AI834" t="s">
        <v>522</v>
      </c>
      <c r="AJ834" t="s">
        <v>523</v>
      </c>
      <c r="AK834" t="s">
        <v>524</v>
      </c>
      <c r="AL834" t="s">
        <v>86</v>
      </c>
      <c r="AM834">
        <v>143634</v>
      </c>
      <c r="AN834">
        <f t="shared" si="25"/>
        <v>142197.66</v>
      </c>
      <c r="AO834" t="s">
        <v>66</v>
      </c>
      <c r="AP834">
        <v>1</v>
      </c>
      <c r="AQ834" t="s">
        <v>66</v>
      </c>
      <c r="AR834">
        <v>0</v>
      </c>
      <c r="AS834" t="s">
        <v>66</v>
      </c>
      <c r="AT834">
        <v>0</v>
      </c>
      <c r="AU834" t="s">
        <v>66</v>
      </c>
      <c r="AV834">
        <v>0</v>
      </c>
      <c r="AW834" t="s">
        <v>66</v>
      </c>
      <c r="AX834">
        <v>0</v>
      </c>
      <c r="AY834" t="s">
        <v>66</v>
      </c>
      <c r="AZ834">
        <v>0</v>
      </c>
      <c r="BA834" t="s">
        <v>66</v>
      </c>
      <c r="BB834">
        <v>0</v>
      </c>
      <c r="BC834">
        <v>0</v>
      </c>
      <c r="BD834">
        <v>1706371.92</v>
      </c>
      <c r="BE834">
        <v>115210.12</v>
      </c>
      <c r="BF834">
        <v>0</v>
      </c>
      <c r="BG834" t="s">
        <v>87</v>
      </c>
      <c r="BH834" t="s">
        <v>66</v>
      </c>
      <c r="BI834">
        <v>0</v>
      </c>
      <c r="BJ834" t="s">
        <v>66</v>
      </c>
      <c r="BK834" t="s">
        <v>88</v>
      </c>
      <c r="BL834" t="s">
        <v>66</v>
      </c>
      <c r="BM834" t="s">
        <v>159</v>
      </c>
    </row>
    <row r="835" spans="1:65" x14ac:dyDescent="0.25">
      <c r="A835">
        <v>833</v>
      </c>
      <c r="B835" t="s">
        <v>1212</v>
      </c>
      <c r="C835" t="s">
        <v>68</v>
      </c>
      <c r="D835" s="1">
        <v>46214</v>
      </c>
      <c r="E835" t="s">
        <v>1213</v>
      </c>
      <c r="F835" t="s">
        <v>68</v>
      </c>
      <c r="G835" t="s">
        <v>295</v>
      </c>
      <c r="H835" t="s">
        <v>296</v>
      </c>
      <c r="I835" t="s">
        <v>71</v>
      </c>
      <c r="J835" t="s">
        <v>72</v>
      </c>
      <c r="K835" t="s">
        <v>73</v>
      </c>
      <c r="L835" t="s">
        <v>74</v>
      </c>
      <c r="M835" t="s">
        <v>1214</v>
      </c>
      <c r="N835" t="s">
        <v>111</v>
      </c>
      <c r="O835" t="s">
        <v>1215</v>
      </c>
      <c r="P835" t="s">
        <v>1216</v>
      </c>
      <c r="Q835" t="s">
        <v>1217</v>
      </c>
      <c r="R835" s="1">
        <v>46217</v>
      </c>
      <c r="S835" t="s">
        <v>1218</v>
      </c>
      <c r="T835" t="s">
        <v>1219</v>
      </c>
      <c r="U835" t="s">
        <v>1220</v>
      </c>
      <c r="V835" t="s">
        <v>66</v>
      </c>
      <c r="W835" t="s">
        <v>66</v>
      </c>
      <c r="X835">
        <v>11262240</v>
      </c>
      <c r="Y835">
        <v>1238846.3999999999</v>
      </c>
      <c r="Z835">
        <v>42768</v>
      </c>
      <c r="AA835">
        <v>4704.4799999999996</v>
      </c>
      <c r="AB835">
        <v>12501086.4</v>
      </c>
      <c r="AC835">
        <v>3</v>
      </c>
      <c r="AD835" t="s">
        <v>82</v>
      </c>
      <c r="AE835">
        <v>3</v>
      </c>
      <c r="AF835" t="s">
        <v>551</v>
      </c>
      <c r="AG835">
        <f>IFERROR(VLOOKUP(AF835,[1]STOK!J:O,6,0),"")</f>
        <v>12</v>
      </c>
      <c r="AH835" s="2">
        <f t="shared" si="24"/>
        <v>0.25</v>
      </c>
      <c r="AI835" t="s">
        <v>551</v>
      </c>
      <c r="AJ835" t="s">
        <v>552</v>
      </c>
      <c r="AK835" t="s">
        <v>553</v>
      </c>
      <c r="AL835" t="s">
        <v>86</v>
      </c>
      <c r="AM835">
        <v>15984</v>
      </c>
      <c r="AN835">
        <f t="shared" si="25"/>
        <v>15824.160000000002</v>
      </c>
      <c r="AO835" t="s">
        <v>66</v>
      </c>
      <c r="AP835">
        <v>1</v>
      </c>
      <c r="AQ835" t="s">
        <v>66</v>
      </c>
      <c r="AR835">
        <v>0</v>
      </c>
      <c r="AS835" t="s">
        <v>66</v>
      </c>
      <c r="AT835">
        <v>0</v>
      </c>
      <c r="AU835" t="s">
        <v>66</v>
      </c>
      <c r="AV835">
        <v>0</v>
      </c>
      <c r="AW835" t="s">
        <v>66</v>
      </c>
      <c r="AX835">
        <v>0</v>
      </c>
      <c r="AY835" t="s">
        <v>66</v>
      </c>
      <c r="AZ835">
        <v>0</v>
      </c>
      <c r="BA835" t="s">
        <v>66</v>
      </c>
      <c r="BB835">
        <v>0</v>
      </c>
      <c r="BC835">
        <v>0</v>
      </c>
      <c r="BD835">
        <v>47472.480000000003</v>
      </c>
      <c r="BE835">
        <v>12872.99</v>
      </c>
      <c r="BF835">
        <v>0</v>
      </c>
      <c r="BG835" t="s">
        <v>87</v>
      </c>
      <c r="BH835" t="s">
        <v>66</v>
      </c>
      <c r="BI835">
        <v>0</v>
      </c>
      <c r="BJ835" t="s">
        <v>66</v>
      </c>
      <c r="BK835" t="s">
        <v>88</v>
      </c>
      <c r="BL835" t="s">
        <v>66</v>
      </c>
      <c r="BM835" t="s">
        <v>159</v>
      </c>
    </row>
    <row r="836" spans="1:65" x14ac:dyDescent="0.25">
      <c r="A836">
        <v>834</v>
      </c>
      <c r="B836" t="s">
        <v>1212</v>
      </c>
      <c r="C836" t="s">
        <v>68</v>
      </c>
      <c r="D836" s="1">
        <v>46214</v>
      </c>
      <c r="E836" t="s">
        <v>1213</v>
      </c>
      <c r="F836" t="s">
        <v>68</v>
      </c>
      <c r="G836" t="s">
        <v>295</v>
      </c>
      <c r="H836" t="s">
        <v>296</v>
      </c>
      <c r="I836" t="s">
        <v>71</v>
      </c>
      <c r="J836" t="s">
        <v>72</v>
      </c>
      <c r="K836" t="s">
        <v>73</v>
      </c>
      <c r="L836" t="s">
        <v>74</v>
      </c>
      <c r="M836" t="s">
        <v>1214</v>
      </c>
      <c r="N836" t="s">
        <v>111</v>
      </c>
      <c r="O836" t="s">
        <v>1215</v>
      </c>
      <c r="P836" t="s">
        <v>1216</v>
      </c>
      <c r="Q836" t="s">
        <v>1217</v>
      </c>
      <c r="R836" s="1">
        <v>46217</v>
      </c>
      <c r="S836" t="s">
        <v>1218</v>
      </c>
      <c r="T836" t="s">
        <v>1219</v>
      </c>
      <c r="U836" t="s">
        <v>1220</v>
      </c>
      <c r="V836" t="s">
        <v>66</v>
      </c>
      <c r="W836" t="s">
        <v>66</v>
      </c>
      <c r="X836">
        <v>11262240</v>
      </c>
      <c r="Y836">
        <v>1238846.3999999999</v>
      </c>
      <c r="Z836">
        <v>42768</v>
      </c>
      <c r="AA836">
        <v>4704.4799999999996</v>
      </c>
      <c r="AB836">
        <v>12501086.4</v>
      </c>
      <c r="AC836">
        <v>3</v>
      </c>
      <c r="AD836" t="s">
        <v>82</v>
      </c>
      <c r="AE836">
        <v>3</v>
      </c>
      <c r="AF836" t="s">
        <v>172</v>
      </c>
      <c r="AG836">
        <f>IFERROR(VLOOKUP(AF836,[1]STOK!J:O,6,0),"")</f>
        <v>12</v>
      </c>
      <c r="AH836" s="2">
        <f t="shared" ref="AH836:AH899" si="26">AE836/AG836</f>
        <v>0.25</v>
      </c>
      <c r="AI836" t="s">
        <v>172</v>
      </c>
      <c r="AJ836" t="s">
        <v>173</v>
      </c>
      <c r="AK836" t="s">
        <v>174</v>
      </c>
      <c r="AL836" t="s">
        <v>86</v>
      </c>
      <c r="AM836">
        <v>15984</v>
      </c>
      <c r="AN836">
        <f t="shared" ref="AN836:AN899" si="27">BD836/AC836</f>
        <v>15824.160000000002</v>
      </c>
      <c r="AO836" t="s">
        <v>66</v>
      </c>
      <c r="AP836">
        <v>1</v>
      </c>
      <c r="AQ836" t="s">
        <v>66</v>
      </c>
      <c r="AR836">
        <v>0</v>
      </c>
      <c r="AS836" t="s">
        <v>66</v>
      </c>
      <c r="AT836">
        <v>0</v>
      </c>
      <c r="AU836" t="s">
        <v>66</v>
      </c>
      <c r="AV836">
        <v>0</v>
      </c>
      <c r="AW836" t="s">
        <v>66</v>
      </c>
      <c r="AX836">
        <v>0</v>
      </c>
      <c r="AY836" t="s">
        <v>66</v>
      </c>
      <c r="AZ836">
        <v>0</v>
      </c>
      <c r="BA836" t="s">
        <v>66</v>
      </c>
      <c r="BB836">
        <v>0</v>
      </c>
      <c r="BC836">
        <v>0</v>
      </c>
      <c r="BD836">
        <v>47472.480000000003</v>
      </c>
      <c r="BE836">
        <v>12997.24</v>
      </c>
      <c r="BF836">
        <v>0</v>
      </c>
      <c r="BG836" t="s">
        <v>87</v>
      </c>
      <c r="BH836" t="s">
        <v>66</v>
      </c>
      <c r="BI836">
        <v>0</v>
      </c>
      <c r="BJ836" t="s">
        <v>66</v>
      </c>
      <c r="BK836" t="s">
        <v>88</v>
      </c>
      <c r="BL836" t="s">
        <v>66</v>
      </c>
      <c r="BM836" t="s">
        <v>159</v>
      </c>
    </row>
    <row r="837" spans="1:65" x14ac:dyDescent="0.25">
      <c r="A837">
        <v>835</v>
      </c>
      <c r="B837" t="s">
        <v>1212</v>
      </c>
      <c r="C837" t="s">
        <v>68</v>
      </c>
      <c r="D837" s="1">
        <v>46214</v>
      </c>
      <c r="E837" t="s">
        <v>1213</v>
      </c>
      <c r="F837" t="s">
        <v>68</v>
      </c>
      <c r="G837" t="s">
        <v>295</v>
      </c>
      <c r="H837" t="s">
        <v>296</v>
      </c>
      <c r="I837" t="s">
        <v>71</v>
      </c>
      <c r="J837" t="s">
        <v>72</v>
      </c>
      <c r="K837" t="s">
        <v>73</v>
      </c>
      <c r="L837" t="s">
        <v>74</v>
      </c>
      <c r="M837" t="s">
        <v>1214</v>
      </c>
      <c r="N837" t="s">
        <v>111</v>
      </c>
      <c r="O837" t="s">
        <v>1215</v>
      </c>
      <c r="P837" t="s">
        <v>1216</v>
      </c>
      <c r="Q837" t="s">
        <v>1217</v>
      </c>
      <c r="R837" s="1">
        <v>46217</v>
      </c>
      <c r="S837" t="s">
        <v>1218</v>
      </c>
      <c r="T837" t="s">
        <v>1219</v>
      </c>
      <c r="U837" t="s">
        <v>1220</v>
      </c>
      <c r="V837" t="s">
        <v>66</v>
      </c>
      <c r="W837" t="s">
        <v>66</v>
      </c>
      <c r="X837">
        <v>11262240</v>
      </c>
      <c r="Y837">
        <v>1238846.3999999999</v>
      </c>
      <c r="Z837">
        <v>398574</v>
      </c>
      <c r="AA837">
        <v>43843.14</v>
      </c>
      <c r="AB837">
        <v>12501086.4</v>
      </c>
      <c r="AC837">
        <v>6</v>
      </c>
      <c r="AD837" t="s">
        <v>82</v>
      </c>
      <c r="AE837">
        <v>6</v>
      </c>
      <c r="AF837" t="s">
        <v>894</v>
      </c>
      <c r="AG837">
        <f>IFERROR(VLOOKUP(AF837,[1]STOK!J:O,6,0),"")</f>
        <v>4</v>
      </c>
      <c r="AH837" s="2">
        <f t="shared" si="26"/>
        <v>1.5</v>
      </c>
      <c r="AI837" t="s">
        <v>894</v>
      </c>
      <c r="AJ837" t="s">
        <v>895</v>
      </c>
      <c r="AK837" t="s">
        <v>896</v>
      </c>
      <c r="AL837" t="s">
        <v>86</v>
      </c>
      <c r="AM837">
        <v>74481</v>
      </c>
      <c r="AN837">
        <f t="shared" si="27"/>
        <v>73736.19</v>
      </c>
      <c r="AO837" t="s">
        <v>66</v>
      </c>
      <c r="AP837">
        <v>1</v>
      </c>
      <c r="AQ837" t="s">
        <v>66</v>
      </c>
      <c r="AR837">
        <v>0</v>
      </c>
      <c r="AS837" t="s">
        <v>66</v>
      </c>
      <c r="AT837">
        <v>0</v>
      </c>
      <c r="AU837" t="s">
        <v>66</v>
      </c>
      <c r="AV837">
        <v>0</v>
      </c>
      <c r="AW837" t="s">
        <v>66</v>
      </c>
      <c r="AX837">
        <v>0</v>
      </c>
      <c r="AY837" t="s">
        <v>66</v>
      </c>
      <c r="AZ837">
        <v>0</v>
      </c>
      <c r="BA837" t="s">
        <v>66</v>
      </c>
      <c r="BB837">
        <v>0</v>
      </c>
      <c r="BC837">
        <v>0</v>
      </c>
      <c r="BD837">
        <v>442417.14</v>
      </c>
      <c r="BE837">
        <v>60191.11</v>
      </c>
      <c r="BF837">
        <v>0</v>
      </c>
      <c r="BG837" t="s">
        <v>87</v>
      </c>
      <c r="BH837" t="s">
        <v>66</v>
      </c>
      <c r="BI837">
        <v>0</v>
      </c>
      <c r="BJ837" t="s">
        <v>66</v>
      </c>
      <c r="BK837" t="s">
        <v>88</v>
      </c>
      <c r="BL837" t="s">
        <v>66</v>
      </c>
      <c r="BM837" t="s">
        <v>159</v>
      </c>
    </row>
    <row r="838" spans="1:65" x14ac:dyDescent="0.25">
      <c r="A838">
        <v>836</v>
      </c>
      <c r="B838" t="s">
        <v>1212</v>
      </c>
      <c r="C838" t="s">
        <v>68</v>
      </c>
      <c r="D838" s="1">
        <v>46214</v>
      </c>
      <c r="E838" t="s">
        <v>1213</v>
      </c>
      <c r="F838" t="s">
        <v>68</v>
      </c>
      <c r="G838" t="s">
        <v>295</v>
      </c>
      <c r="H838" t="s">
        <v>296</v>
      </c>
      <c r="I838" t="s">
        <v>71</v>
      </c>
      <c r="J838" t="s">
        <v>72</v>
      </c>
      <c r="K838" t="s">
        <v>73</v>
      </c>
      <c r="L838" t="s">
        <v>74</v>
      </c>
      <c r="M838" t="s">
        <v>1214</v>
      </c>
      <c r="N838" t="s">
        <v>111</v>
      </c>
      <c r="O838" t="s">
        <v>1215</v>
      </c>
      <c r="P838" t="s">
        <v>1216</v>
      </c>
      <c r="Q838" t="s">
        <v>1217</v>
      </c>
      <c r="R838" s="1">
        <v>46217</v>
      </c>
      <c r="S838" t="s">
        <v>1218</v>
      </c>
      <c r="T838" t="s">
        <v>1219</v>
      </c>
      <c r="U838" t="s">
        <v>1220</v>
      </c>
      <c r="V838" t="s">
        <v>66</v>
      </c>
      <c r="W838" t="s">
        <v>66</v>
      </c>
      <c r="X838">
        <v>11262240</v>
      </c>
      <c r="Y838">
        <v>1238846.3999999999</v>
      </c>
      <c r="Z838">
        <v>15741</v>
      </c>
      <c r="AA838">
        <v>1731.51</v>
      </c>
      <c r="AB838">
        <v>12501086.4</v>
      </c>
      <c r="AC838">
        <v>3</v>
      </c>
      <c r="AD838" t="s">
        <v>82</v>
      </c>
      <c r="AE838">
        <v>3</v>
      </c>
      <c r="AF838" t="s">
        <v>633</v>
      </c>
      <c r="AG838">
        <f>IFERROR(VLOOKUP(AF838,[1]STOK!J:O,6,0),"")</f>
        <v>24</v>
      </c>
      <c r="AH838" s="2">
        <f t="shared" si="26"/>
        <v>0.125</v>
      </c>
      <c r="AI838" t="s">
        <v>633</v>
      </c>
      <c r="AJ838" t="s">
        <v>634</v>
      </c>
      <c r="AK838" t="s">
        <v>635</v>
      </c>
      <c r="AL838" t="s">
        <v>86</v>
      </c>
      <c r="AM838">
        <v>5883</v>
      </c>
      <c r="AN838">
        <f t="shared" si="27"/>
        <v>5824.1699999999992</v>
      </c>
      <c r="AO838" t="s">
        <v>66</v>
      </c>
      <c r="AP838">
        <v>1</v>
      </c>
      <c r="AQ838" t="s">
        <v>66</v>
      </c>
      <c r="AR838">
        <v>0</v>
      </c>
      <c r="AS838" t="s">
        <v>66</v>
      </c>
      <c r="AT838">
        <v>0</v>
      </c>
      <c r="AU838" t="s">
        <v>66</v>
      </c>
      <c r="AV838">
        <v>0</v>
      </c>
      <c r="AW838" t="s">
        <v>66</v>
      </c>
      <c r="AX838">
        <v>0</v>
      </c>
      <c r="AY838" t="s">
        <v>66</v>
      </c>
      <c r="AZ838">
        <v>0</v>
      </c>
      <c r="BA838" t="s">
        <v>66</v>
      </c>
      <c r="BB838">
        <v>0</v>
      </c>
      <c r="BC838">
        <v>0</v>
      </c>
      <c r="BD838">
        <v>17472.509999999998</v>
      </c>
      <c r="BE838">
        <v>4779.55</v>
      </c>
      <c r="BF838">
        <v>0</v>
      </c>
      <c r="BG838" t="s">
        <v>87</v>
      </c>
      <c r="BH838" t="s">
        <v>66</v>
      </c>
      <c r="BI838">
        <v>0</v>
      </c>
      <c r="BJ838" t="s">
        <v>66</v>
      </c>
      <c r="BK838" t="s">
        <v>88</v>
      </c>
      <c r="BL838" t="s">
        <v>66</v>
      </c>
      <c r="BM838" t="s">
        <v>159</v>
      </c>
    </row>
    <row r="839" spans="1:65" x14ac:dyDescent="0.25">
      <c r="A839">
        <v>837</v>
      </c>
      <c r="B839" t="s">
        <v>1212</v>
      </c>
      <c r="C839" t="s">
        <v>68</v>
      </c>
      <c r="D839" s="1">
        <v>46214</v>
      </c>
      <c r="E839" t="s">
        <v>1213</v>
      </c>
      <c r="F839" t="s">
        <v>68</v>
      </c>
      <c r="G839" t="s">
        <v>295</v>
      </c>
      <c r="H839" t="s">
        <v>296</v>
      </c>
      <c r="I839" t="s">
        <v>71</v>
      </c>
      <c r="J839" t="s">
        <v>72</v>
      </c>
      <c r="K839" t="s">
        <v>73</v>
      </c>
      <c r="L839" t="s">
        <v>74</v>
      </c>
      <c r="M839" t="s">
        <v>1214</v>
      </c>
      <c r="N839" t="s">
        <v>111</v>
      </c>
      <c r="O839" t="s">
        <v>1215</v>
      </c>
      <c r="P839" t="s">
        <v>1216</v>
      </c>
      <c r="Q839" t="s">
        <v>1217</v>
      </c>
      <c r="R839" s="1">
        <v>46217</v>
      </c>
      <c r="S839" t="s">
        <v>1218</v>
      </c>
      <c r="T839" t="s">
        <v>1219</v>
      </c>
      <c r="U839" t="s">
        <v>1220</v>
      </c>
      <c r="V839" t="s">
        <v>66</v>
      </c>
      <c r="W839" t="s">
        <v>66</v>
      </c>
      <c r="X839">
        <v>11262240</v>
      </c>
      <c r="Y839">
        <v>1238846.3999999999</v>
      </c>
      <c r="Z839">
        <v>158004</v>
      </c>
      <c r="AA839">
        <v>17380.439999999999</v>
      </c>
      <c r="AB839">
        <v>12501086.4</v>
      </c>
      <c r="AC839">
        <v>12</v>
      </c>
      <c r="AD839" t="s">
        <v>82</v>
      </c>
      <c r="AE839">
        <v>12</v>
      </c>
      <c r="AF839" t="s">
        <v>135</v>
      </c>
      <c r="AG839">
        <f>IFERROR(VLOOKUP(AF839,[1]STOK!J:O,6,0),"")</f>
        <v>12</v>
      </c>
      <c r="AH839" s="2">
        <f t="shared" si="26"/>
        <v>1</v>
      </c>
      <c r="AI839" t="s">
        <v>135</v>
      </c>
      <c r="AJ839" t="s">
        <v>136</v>
      </c>
      <c r="AK839" t="s">
        <v>137</v>
      </c>
      <c r="AL839" t="s">
        <v>86</v>
      </c>
      <c r="AM839">
        <v>14763</v>
      </c>
      <c r="AN839">
        <f t="shared" si="27"/>
        <v>14615.37</v>
      </c>
      <c r="AO839" t="s">
        <v>66</v>
      </c>
      <c r="AP839">
        <v>1</v>
      </c>
      <c r="AQ839" t="s">
        <v>66</v>
      </c>
      <c r="AR839">
        <v>0</v>
      </c>
      <c r="AS839" t="s">
        <v>66</v>
      </c>
      <c r="AT839">
        <v>0</v>
      </c>
      <c r="AU839" t="s">
        <v>66</v>
      </c>
      <c r="AV839">
        <v>0</v>
      </c>
      <c r="AW839" t="s">
        <v>66</v>
      </c>
      <c r="AX839">
        <v>0</v>
      </c>
      <c r="AY839" t="s">
        <v>66</v>
      </c>
      <c r="AZ839">
        <v>0</v>
      </c>
      <c r="BA839" t="s">
        <v>66</v>
      </c>
      <c r="BB839">
        <v>0</v>
      </c>
      <c r="BC839">
        <v>0</v>
      </c>
      <c r="BD839">
        <v>175384.44</v>
      </c>
      <c r="BE839">
        <v>12036.57</v>
      </c>
      <c r="BF839">
        <v>0</v>
      </c>
      <c r="BG839" t="s">
        <v>87</v>
      </c>
      <c r="BH839" t="s">
        <v>66</v>
      </c>
      <c r="BI839">
        <v>0</v>
      </c>
      <c r="BJ839" t="s">
        <v>66</v>
      </c>
      <c r="BK839" t="s">
        <v>88</v>
      </c>
      <c r="BL839" t="s">
        <v>66</v>
      </c>
      <c r="BM839" t="s">
        <v>159</v>
      </c>
    </row>
    <row r="840" spans="1:65" x14ac:dyDescent="0.25">
      <c r="A840">
        <v>838</v>
      </c>
      <c r="B840" t="s">
        <v>1212</v>
      </c>
      <c r="C840" t="s">
        <v>68</v>
      </c>
      <c r="D840" s="1">
        <v>46214</v>
      </c>
      <c r="E840" t="s">
        <v>1213</v>
      </c>
      <c r="F840" t="s">
        <v>68</v>
      </c>
      <c r="G840" t="s">
        <v>295</v>
      </c>
      <c r="H840" t="s">
        <v>296</v>
      </c>
      <c r="I840" t="s">
        <v>71</v>
      </c>
      <c r="J840" t="s">
        <v>72</v>
      </c>
      <c r="K840" t="s">
        <v>73</v>
      </c>
      <c r="L840" t="s">
        <v>74</v>
      </c>
      <c r="M840" t="s">
        <v>1214</v>
      </c>
      <c r="N840" t="s">
        <v>111</v>
      </c>
      <c r="O840" t="s">
        <v>1215</v>
      </c>
      <c r="P840" t="s">
        <v>1216</v>
      </c>
      <c r="Q840" t="s">
        <v>1217</v>
      </c>
      <c r="R840" s="1">
        <v>46217</v>
      </c>
      <c r="S840" t="s">
        <v>1218</v>
      </c>
      <c r="T840" t="s">
        <v>1219</v>
      </c>
      <c r="U840" t="s">
        <v>1220</v>
      </c>
      <c r="V840" t="s">
        <v>66</v>
      </c>
      <c r="W840" t="s">
        <v>66</v>
      </c>
      <c r="X840">
        <v>11262240</v>
      </c>
      <c r="Y840">
        <v>1238846.3999999999</v>
      </c>
      <c r="Z840">
        <v>158004</v>
      </c>
      <c r="AA840">
        <v>17380.439999999999</v>
      </c>
      <c r="AB840">
        <v>12501086.4</v>
      </c>
      <c r="AC840">
        <v>12</v>
      </c>
      <c r="AD840" t="s">
        <v>82</v>
      </c>
      <c r="AE840">
        <v>12</v>
      </c>
      <c r="AF840" t="s">
        <v>210</v>
      </c>
      <c r="AG840">
        <f>IFERROR(VLOOKUP(AF840,[1]STOK!J:O,6,0),"")</f>
        <v>12</v>
      </c>
      <c r="AH840" s="2">
        <f t="shared" si="26"/>
        <v>1</v>
      </c>
      <c r="AI840" t="s">
        <v>210</v>
      </c>
      <c r="AJ840" t="s">
        <v>211</v>
      </c>
      <c r="AK840" t="s">
        <v>212</v>
      </c>
      <c r="AL840" t="s">
        <v>86</v>
      </c>
      <c r="AM840">
        <v>14763</v>
      </c>
      <c r="AN840">
        <f t="shared" si="27"/>
        <v>14615.37</v>
      </c>
      <c r="AO840" t="s">
        <v>66</v>
      </c>
      <c r="AP840">
        <v>1</v>
      </c>
      <c r="AQ840" t="s">
        <v>66</v>
      </c>
      <c r="AR840">
        <v>0</v>
      </c>
      <c r="AS840" t="s">
        <v>66</v>
      </c>
      <c r="AT840">
        <v>0</v>
      </c>
      <c r="AU840" t="s">
        <v>66</v>
      </c>
      <c r="AV840">
        <v>0</v>
      </c>
      <c r="AW840" t="s">
        <v>66</v>
      </c>
      <c r="AX840">
        <v>0</v>
      </c>
      <c r="AY840" t="s">
        <v>66</v>
      </c>
      <c r="AZ840">
        <v>0</v>
      </c>
      <c r="BA840" t="s">
        <v>66</v>
      </c>
      <c r="BB840">
        <v>0</v>
      </c>
      <c r="BC840">
        <v>0</v>
      </c>
      <c r="BD840">
        <v>175384.44</v>
      </c>
      <c r="BE840">
        <v>12023.52</v>
      </c>
      <c r="BF840">
        <v>0</v>
      </c>
      <c r="BG840" t="s">
        <v>87</v>
      </c>
      <c r="BH840" t="s">
        <v>66</v>
      </c>
      <c r="BI840">
        <v>0</v>
      </c>
      <c r="BJ840" t="s">
        <v>66</v>
      </c>
      <c r="BK840" t="s">
        <v>88</v>
      </c>
      <c r="BL840" t="s">
        <v>66</v>
      </c>
      <c r="BM840" t="s">
        <v>159</v>
      </c>
    </row>
    <row r="841" spans="1:65" x14ac:dyDescent="0.25">
      <c r="A841">
        <v>839</v>
      </c>
      <c r="B841" t="s">
        <v>1212</v>
      </c>
      <c r="C841" t="s">
        <v>68</v>
      </c>
      <c r="D841" s="1">
        <v>46214</v>
      </c>
      <c r="E841" t="s">
        <v>1213</v>
      </c>
      <c r="F841" t="s">
        <v>68</v>
      </c>
      <c r="G841" t="s">
        <v>295</v>
      </c>
      <c r="H841" t="s">
        <v>296</v>
      </c>
      <c r="I841" t="s">
        <v>71</v>
      </c>
      <c r="J841" t="s">
        <v>72</v>
      </c>
      <c r="K841" t="s">
        <v>73</v>
      </c>
      <c r="L841" t="s">
        <v>74</v>
      </c>
      <c r="M841" t="s">
        <v>1214</v>
      </c>
      <c r="N841" t="s">
        <v>111</v>
      </c>
      <c r="O841" t="s">
        <v>1215</v>
      </c>
      <c r="P841" t="s">
        <v>1216</v>
      </c>
      <c r="Q841" t="s">
        <v>1217</v>
      </c>
      <c r="R841" s="1">
        <v>46217</v>
      </c>
      <c r="S841" t="s">
        <v>1218</v>
      </c>
      <c r="T841" t="s">
        <v>1219</v>
      </c>
      <c r="U841" t="s">
        <v>1220</v>
      </c>
      <c r="V841" t="s">
        <v>66</v>
      </c>
      <c r="W841" t="s">
        <v>66</v>
      </c>
      <c r="X841">
        <v>11262240</v>
      </c>
      <c r="Y841">
        <v>1238846.3999999999</v>
      </c>
      <c r="Z841">
        <v>1128600</v>
      </c>
      <c r="AA841">
        <v>124146</v>
      </c>
      <c r="AB841">
        <v>12501086.4</v>
      </c>
      <c r="AC841">
        <v>60</v>
      </c>
      <c r="AD841" t="s">
        <v>82</v>
      </c>
      <c r="AE841">
        <v>60</v>
      </c>
      <c r="AF841" t="s">
        <v>102</v>
      </c>
      <c r="AG841">
        <f>IFERROR(VLOOKUP(AF841,[1]STOK!J:O,6,0),"")</f>
        <v>12</v>
      </c>
      <c r="AH841" s="2">
        <f t="shared" si="26"/>
        <v>5</v>
      </c>
      <c r="AI841" t="s">
        <v>102</v>
      </c>
      <c r="AJ841" t="s">
        <v>103</v>
      </c>
      <c r="AK841" t="s">
        <v>104</v>
      </c>
      <c r="AL841" t="s">
        <v>86</v>
      </c>
      <c r="AM841">
        <v>22200</v>
      </c>
      <c r="AN841">
        <f t="shared" si="27"/>
        <v>20879.099999999999</v>
      </c>
      <c r="AO841" t="s">
        <v>66</v>
      </c>
      <c r="AP841">
        <v>1</v>
      </c>
      <c r="AQ841" t="s">
        <v>66</v>
      </c>
      <c r="AR841">
        <v>0</v>
      </c>
      <c r="AS841" t="s">
        <v>66</v>
      </c>
      <c r="AT841">
        <v>0</v>
      </c>
      <c r="AU841" t="s">
        <v>66</v>
      </c>
      <c r="AV841">
        <v>5</v>
      </c>
      <c r="AW841" t="s">
        <v>66</v>
      </c>
      <c r="AX841">
        <v>0</v>
      </c>
      <c r="AY841" t="s">
        <v>66</v>
      </c>
      <c r="AZ841">
        <v>0</v>
      </c>
      <c r="BA841" t="s">
        <v>66</v>
      </c>
      <c r="BB841">
        <v>0</v>
      </c>
      <c r="BC841">
        <v>0</v>
      </c>
      <c r="BD841">
        <v>1252746</v>
      </c>
      <c r="BE841">
        <v>18090.18</v>
      </c>
      <c r="BF841">
        <v>0</v>
      </c>
      <c r="BG841" t="s">
        <v>87</v>
      </c>
      <c r="BH841" t="s">
        <v>66</v>
      </c>
      <c r="BI841">
        <v>0</v>
      </c>
      <c r="BJ841" t="s">
        <v>66</v>
      </c>
      <c r="BK841" t="s">
        <v>88</v>
      </c>
      <c r="BL841" t="s">
        <v>66</v>
      </c>
      <c r="BM841" t="s">
        <v>159</v>
      </c>
    </row>
    <row r="842" spans="1:65" x14ac:dyDescent="0.25">
      <c r="A842">
        <v>840</v>
      </c>
      <c r="B842" t="s">
        <v>1212</v>
      </c>
      <c r="C842" t="s">
        <v>68</v>
      </c>
      <c r="D842" s="1">
        <v>46214</v>
      </c>
      <c r="E842" t="s">
        <v>1213</v>
      </c>
      <c r="F842" t="s">
        <v>68</v>
      </c>
      <c r="G842" t="s">
        <v>295</v>
      </c>
      <c r="H842" t="s">
        <v>296</v>
      </c>
      <c r="I842" t="s">
        <v>71</v>
      </c>
      <c r="J842" t="s">
        <v>72</v>
      </c>
      <c r="K842" t="s">
        <v>73</v>
      </c>
      <c r="L842" t="s">
        <v>74</v>
      </c>
      <c r="M842" t="s">
        <v>1214</v>
      </c>
      <c r="N842" t="s">
        <v>111</v>
      </c>
      <c r="O842" t="s">
        <v>1215</v>
      </c>
      <c r="P842" t="s">
        <v>1216</v>
      </c>
      <c r="Q842" t="s">
        <v>1217</v>
      </c>
      <c r="R842" s="1">
        <v>46217</v>
      </c>
      <c r="S842" t="s">
        <v>1218</v>
      </c>
      <c r="T842" t="s">
        <v>1219</v>
      </c>
      <c r="U842" t="s">
        <v>1220</v>
      </c>
      <c r="V842" t="s">
        <v>66</v>
      </c>
      <c r="W842" t="s">
        <v>66</v>
      </c>
      <c r="X842">
        <v>11262240</v>
      </c>
      <c r="Y842">
        <v>1238846.3999999999</v>
      </c>
      <c r="Z842">
        <v>455004</v>
      </c>
      <c r="AA842">
        <v>50050.44</v>
      </c>
      <c r="AB842">
        <v>12501086.4</v>
      </c>
      <c r="AC842">
        <v>12</v>
      </c>
      <c r="AD842" t="s">
        <v>82</v>
      </c>
      <c r="AE842">
        <v>12</v>
      </c>
      <c r="AF842" t="s">
        <v>323</v>
      </c>
      <c r="AG842">
        <f>IFERROR(VLOOKUP(AF842,[1]STOK!J:O,6,0),"")</f>
        <v>6</v>
      </c>
      <c r="AH842" s="2">
        <f t="shared" si="26"/>
        <v>2</v>
      </c>
      <c r="AI842" t="s">
        <v>323</v>
      </c>
      <c r="AJ842" t="s">
        <v>324</v>
      </c>
      <c r="AK842" t="s">
        <v>325</v>
      </c>
      <c r="AL842" t="s">
        <v>86</v>
      </c>
      <c r="AM842">
        <v>42513</v>
      </c>
      <c r="AN842">
        <f t="shared" si="27"/>
        <v>42087.87</v>
      </c>
      <c r="AO842" t="s">
        <v>66</v>
      </c>
      <c r="AP842">
        <v>1</v>
      </c>
      <c r="AQ842" t="s">
        <v>66</v>
      </c>
      <c r="AR842">
        <v>0</v>
      </c>
      <c r="AS842" t="s">
        <v>66</v>
      </c>
      <c r="AT842">
        <v>0</v>
      </c>
      <c r="AU842" t="s">
        <v>66</v>
      </c>
      <c r="AV842">
        <v>0</v>
      </c>
      <c r="AW842" t="s">
        <v>66</v>
      </c>
      <c r="AX842">
        <v>0</v>
      </c>
      <c r="AY842" t="s">
        <v>66</v>
      </c>
      <c r="AZ842">
        <v>0</v>
      </c>
      <c r="BA842" t="s">
        <v>66</v>
      </c>
      <c r="BB842">
        <v>0</v>
      </c>
      <c r="BC842">
        <v>0</v>
      </c>
      <c r="BD842">
        <v>505054.44</v>
      </c>
      <c r="BE842">
        <v>34551.519999999997</v>
      </c>
      <c r="BF842">
        <v>0</v>
      </c>
      <c r="BG842" t="s">
        <v>87</v>
      </c>
      <c r="BH842" t="s">
        <v>66</v>
      </c>
      <c r="BI842">
        <v>0</v>
      </c>
      <c r="BJ842" t="s">
        <v>66</v>
      </c>
      <c r="BK842" t="s">
        <v>88</v>
      </c>
      <c r="BL842" t="s">
        <v>66</v>
      </c>
      <c r="BM842" t="s">
        <v>159</v>
      </c>
    </row>
    <row r="843" spans="1:65" x14ac:dyDescent="0.25">
      <c r="A843">
        <v>841</v>
      </c>
      <c r="B843" t="s">
        <v>1212</v>
      </c>
      <c r="C843" t="s">
        <v>68</v>
      </c>
      <c r="D843" s="1">
        <v>46214</v>
      </c>
      <c r="E843" t="s">
        <v>1213</v>
      </c>
      <c r="F843" t="s">
        <v>68</v>
      </c>
      <c r="G843" t="s">
        <v>295</v>
      </c>
      <c r="H843" t="s">
        <v>296</v>
      </c>
      <c r="I843" t="s">
        <v>71</v>
      </c>
      <c r="J843" t="s">
        <v>72</v>
      </c>
      <c r="K843" t="s">
        <v>73</v>
      </c>
      <c r="L843" t="s">
        <v>74</v>
      </c>
      <c r="M843" t="s">
        <v>1214</v>
      </c>
      <c r="N843" t="s">
        <v>111</v>
      </c>
      <c r="O843" t="s">
        <v>1215</v>
      </c>
      <c r="P843" t="s">
        <v>1216</v>
      </c>
      <c r="Q843" t="s">
        <v>1217</v>
      </c>
      <c r="R843" s="1">
        <v>46217</v>
      </c>
      <c r="S843" t="s">
        <v>1218</v>
      </c>
      <c r="T843" t="s">
        <v>1219</v>
      </c>
      <c r="U843" t="s">
        <v>1220</v>
      </c>
      <c r="V843" t="s">
        <v>66</v>
      </c>
      <c r="W843" t="s">
        <v>66</v>
      </c>
      <c r="X843">
        <v>11262240</v>
      </c>
      <c r="Y843">
        <v>1238846.3999999999</v>
      </c>
      <c r="Z843">
        <v>801900</v>
      </c>
      <c r="AA843">
        <v>88209</v>
      </c>
      <c r="AB843">
        <v>12501086.4</v>
      </c>
      <c r="AC843">
        <v>12</v>
      </c>
      <c r="AD843" t="s">
        <v>82</v>
      </c>
      <c r="AE843">
        <v>12</v>
      </c>
      <c r="AF843" t="s">
        <v>312</v>
      </c>
      <c r="AG843">
        <f>IFERROR(VLOOKUP(AF843,[1]STOK!J:O,6,0),"")</f>
        <v>4</v>
      </c>
      <c r="AH843" s="2">
        <f t="shared" si="26"/>
        <v>3</v>
      </c>
      <c r="AI843" t="s">
        <v>312</v>
      </c>
      <c r="AJ843" t="s">
        <v>313</v>
      </c>
      <c r="AK843" t="s">
        <v>314</v>
      </c>
      <c r="AL843" t="s">
        <v>86</v>
      </c>
      <c r="AM843">
        <v>74925</v>
      </c>
      <c r="AN843">
        <f t="shared" si="27"/>
        <v>74175.75</v>
      </c>
      <c r="AO843" t="s">
        <v>66</v>
      </c>
      <c r="AP843">
        <v>1</v>
      </c>
      <c r="AQ843" t="s">
        <v>66</v>
      </c>
      <c r="AR843">
        <v>0</v>
      </c>
      <c r="AS843" t="s">
        <v>66</v>
      </c>
      <c r="AT843">
        <v>0</v>
      </c>
      <c r="AU843" t="s">
        <v>66</v>
      </c>
      <c r="AV843">
        <v>0</v>
      </c>
      <c r="AW843" t="s">
        <v>66</v>
      </c>
      <c r="AX843">
        <v>0</v>
      </c>
      <c r="AY843" t="s">
        <v>66</v>
      </c>
      <c r="AZ843">
        <v>0</v>
      </c>
      <c r="BA843" t="s">
        <v>66</v>
      </c>
      <c r="BB843">
        <v>0</v>
      </c>
      <c r="BC843">
        <v>0</v>
      </c>
      <c r="BD843">
        <v>890109</v>
      </c>
      <c r="BE843">
        <v>60390.38</v>
      </c>
      <c r="BF843">
        <v>0</v>
      </c>
      <c r="BG843" t="s">
        <v>87</v>
      </c>
      <c r="BH843" t="s">
        <v>66</v>
      </c>
      <c r="BI843">
        <v>0</v>
      </c>
      <c r="BJ843" t="s">
        <v>66</v>
      </c>
      <c r="BK843" t="s">
        <v>88</v>
      </c>
      <c r="BL843" t="s">
        <v>66</v>
      </c>
      <c r="BM843" t="s">
        <v>159</v>
      </c>
    </row>
    <row r="844" spans="1:65" x14ac:dyDescent="0.25">
      <c r="A844">
        <v>842</v>
      </c>
      <c r="B844" t="s">
        <v>1212</v>
      </c>
      <c r="C844" t="s">
        <v>68</v>
      </c>
      <c r="D844" s="1">
        <v>46214</v>
      </c>
      <c r="E844" t="s">
        <v>1213</v>
      </c>
      <c r="F844" t="s">
        <v>68</v>
      </c>
      <c r="G844" t="s">
        <v>295</v>
      </c>
      <c r="H844" t="s">
        <v>296</v>
      </c>
      <c r="I844" t="s">
        <v>71</v>
      </c>
      <c r="J844" t="s">
        <v>72</v>
      </c>
      <c r="K844" t="s">
        <v>73</v>
      </c>
      <c r="L844" t="s">
        <v>74</v>
      </c>
      <c r="M844" t="s">
        <v>1214</v>
      </c>
      <c r="N844" t="s">
        <v>111</v>
      </c>
      <c r="O844" t="s">
        <v>1215</v>
      </c>
      <c r="P844" t="s">
        <v>1216</v>
      </c>
      <c r="Q844" t="s">
        <v>1217</v>
      </c>
      <c r="R844" s="1">
        <v>46217</v>
      </c>
      <c r="S844" t="s">
        <v>1218</v>
      </c>
      <c r="T844" t="s">
        <v>1219</v>
      </c>
      <c r="U844" t="s">
        <v>1220</v>
      </c>
      <c r="V844" t="s">
        <v>66</v>
      </c>
      <c r="W844" t="s">
        <v>66</v>
      </c>
      <c r="X844">
        <v>11262240</v>
      </c>
      <c r="Y844">
        <v>1238846.3999999999</v>
      </c>
      <c r="Z844">
        <v>1603800</v>
      </c>
      <c r="AA844">
        <v>176418</v>
      </c>
      <c r="AB844">
        <v>12501086.4</v>
      </c>
      <c r="AC844">
        <v>24</v>
      </c>
      <c r="AD844" t="s">
        <v>82</v>
      </c>
      <c r="AE844">
        <v>24</v>
      </c>
      <c r="AF844" t="s">
        <v>476</v>
      </c>
      <c r="AG844">
        <f>IFERROR(VLOOKUP(AF844,[1]STOK!J:O,6,0),"")</f>
        <v>4</v>
      </c>
      <c r="AH844" s="2">
        <f t="shared" si="26"/>
        <v>6</v>
      </c>
      <c r="AI844" t="s">
        <v>476</v>
      </c>
      <c r="AJ844" t="s">
        <v>477</v>
      </c>
      <c r="AK844" t="s">
        <v>478</v>
      </c>
      <c r="AL844" t="s">
        <v>86</v>
      </c>
      <c r="AM844">
        <v>74925</v>
      </c>
      <c r="AN844">
        <f t="shared" si="27"/>
        <v>74175.75</v>
      </c>
      <c r="AO844" t="s">
        <v>66</v>
      </c>
      <c r="AP844">
        <v>1</v>
      </c>
      <c r="AQ844" t="s">
        <v>66</v>
      </c>
      <c r="AR844">
        <v>0</v>
      </c>
      <c r="AS844" t="s">
        <v>66</v>
      </c>
      <c r="AT844">
        <v>0</v>
      </c>
      <c r="AU844" t="s">
        <v>66</v>
      </c>
      <c r="AV844">
        <v>0</v>
      </c>
      <c r="AW844" t="s">
        <v>66</v>
      </c>
      <c r="AX844">
        <v>0</v>
      </c>
      <c r="AY844" t="s">
        <v>66</v>
      </c>
      <c r="AZ844">
        <v>0</v>
      </c>
      <c r="BA844" t="s">
        <v>66</v>
      </c>
      <c r="BB844">
        <v>0</v>
      </c>
      <c r="BC844">
        <v>0</v>
      </c>
      <c r="BD844">
        <v>1780218</v>
      </c>
      <c r="BE844">
        <v>60248.82</v>
      </c>
      <c r="BF844">
        <v>0</v>
      </c>
      <c r="BG844" t="s">
        <v>87</v>
      </c>
      <c r="BH844" t="s">
        <v>66</v>
      </c>
      <c r="BI844">
        <v>0</v>
      </c>
      <c r="BJ844" t="s">
        <v>66</v>
      </c>
      <c r="BK844" t="s">
        <v>88</v>
      </c>
      <c r="BL844" t="s">
        <v>66</v>
      </c>
      <c r="BM844" t="s">
        <v>159</v>
      </c>
    </row>
    <row r="845" spans="1:65" x14ac:dyDescent="0.25">
      <c r="A845">
        <v>843</v>
      </c>
      <c r="B845" t="s">
        <v>1212</v>
      </c>
      <c r="C845" t="s">
        <v>68</v>
      </c>
      <c r="D845" s="1">
        <v>46214</v>
      </c>
      <c r="E845" t="s">
        <v>1213</v>
      </c>
      <c r="F845" t="s">
        <v>68</v>
      </c>
      <c r="G845" t="s">
        <v>295</v>
      </c>
      <c r="H845" t="s">
        <v>296</v>
      </c>
      <c r="I845" t="s">
        <v>71</v>
      </c>
      <c r="J845" t="s">
        <v>72</v>
      </c>
      <c r="K845" t="s">
        <v>73</v>
      </c>
      <c r="L845" t="s">
        <v>74</v>
      </c>
      <c r="M845" t="s">
        <v>1214</v>
      </c>
      <c r="N845" t="s">
        <v>111</v>
      </c>
      <c r="O845" t="s">
        <v>1215</v>
      </c>
      <c r="P845" t="s">
        <v>1216</v>
      </c>
      <c r="Q845" t="s">
        <v>1217</v>
      </c>
      <c r="R845" s="1">
        <v>46217</v>
      </c>
      <c r="S845" t="s">
        <v>1218</v>
      </c>
      <c r="T845" t="s">
        <v>1219</v>
      </c>
      <c r="U845" t="s">
        <v>1220</v>
      </c>
      <c r="V845" t="s">
        <v>66</v>
      </c>
      <c r="W845" t="s">
        <v>66</v>
      </c>
      <c r="X845">
        <v>11262240</v>
      </c>
      <c r="Y845">
        <v>1238846.3999999999</v>
      </c>
      <c r="Z845">
        <v>342144</v>
      </c>
      <c r="AA845">
        <v>37635.839999999997</v>
      </c>
      <c r="AB845">
        <v>12501086.4</v>
      </c>
      <c r="AC845">
        <v>24</v>
      </c>
      <c r="AD845" t="s">
        <v>82</v>
      </c>
      <c r="AE845">
        <v>24</v>
      </c>
      <c r="AF845" t="s">
        <v>141</v>
      </c>
      <c r="AG845">
        <f>IFERROR(VLOOKUP(AF845,[1]STOK!J:O,6,0),"")</f>
        <v>12</v>
      </c>
      <c r="AH845" s="2">
        <f t="shared" si="26"/>
        <v>2</v>
      </c>
      <c r="AI845" t="s">
        <v>141</v>
      </c>
      <c r="AJ845" t="s">
        <v>142</v>
      </c>
      <c r="AK845" t="s">
        <v>143</v>
      </c>
      <c r="AL845" t="s">
        <v>86</v>
      </c>
      <c r="AM845">
        <v>15984</v>
      </c>
      <c r="AN845">
        <f t="shared" si="27"/>
        <v>15824.160000000002</v>
      </c>
      <c r="AO845" t="s">
        <v>66</v>
      </c>
      <c r="AP845">
        <v>1</v>
      </c>
      <c r="AQ845" t="s">
        <v>66</v>
      </c>
      <c r="AR845">
        <v>0</v>
      </c>
      <c r="AS845" t="s">
        <v>66</v>
      </c>
      <c r="AT845">
        <v>0</v>
      </c>
      <c r="AU845" t="s">
        <v>66</v>
      </c>
      <c r="AV845">
        <v>0</v>
      </c>
      <c r="AW845" t="s">
        <v>66</v>
      </c>
      <c r="AX845">
        <v>0</v>
      </c>
      <c r="AY845" t="s">
        <v>66</v>
      </c>
      <c r="AZ845">
        <v>0</v>
      </c>
      <c r="BA845" t="s">
        <v>66</v>
      </c>
      <c r="BB845">
        <v>0</v>
      </c>
      <c r="BC845">
        <v>0</v>
      </c>
      <c r="BD845">
        <v>379779.84000000003</v>
      </c>
      <c r="BE845">
        <v>13031.69</v>
      </c>
      <c r="BF845">
        <v>0</v>
      </c>
      <c r="BG845" t="s">
        <v>87</v>
      </c>
      <c r="BH845" t="s">
        <v>66</v>
      </c>
      <c r="BI845">
        <v>0</v>
      </c>
      <c r="BJ845" t="s">
        <v>66</v>
      </c>
      <c r="BK845" t="s">
        <v>88</v>
      </c>
      <c r="BL845" t="s">
        <v>66</v>
      </c>
      <c r="BM845" t="s">
        <v>159</v>
      </c>
    </row>
    <row r="846" spans="1:65" x14ac:dyDescent="0.25">
      <c r="A846">
        <v>844</v>
      </c>
      <c r="B846" t="s">
        <v>1212</v>
      </c>
      <c r="C846" t="s">
        <v>68</v>
      </c>
      <c r="D846" s="1">
        <v>46214</v>
      </c>
      <c r="E846" t="s">
        <v>1213</v>
      </c>
      <c r="F846" t="s">
        <v>68</v>
      </c>
      <c r="G846" t="s">
        <v>295</v>
      </c>
      <c r="H846" t="s">
        <v>296</v>
      </c>
      <c r="I846" t="s">
        <v>71</v>
      </c>
      <c r="J846" t="s">
        <v>72</v>
      </c>
      <c r="K846" t="s">
        <v>73</v>
      </c>
      <c r="L846" t="s">
        <v>74</v>
      </c>
      <c r="M846" t="s">
        <v>1214</v>
      </c>
      <c r="N846" t="s">
        <v>111</v>
      </c>
      <c r="O846" t="s">
        <v>1215</v>
      </c>
      <c r="P846" t="s">
        <v>1216</v>
      </c>
      <c r="Q846" t="s">
        <v>1217</v>
      </c>
      <c r="R846" s="1">
        <v>46217</v>
      </c>
      <c r="S846" t="s">
        <v>1218</v>
      </c>
      <c r="T846" t="s">
        <v>1219</v>
      </c>
      <c r="U846" t="s">
        <v>1220</v>
      </c>
      <c r="V846" t="s">
        <v>66</v>
      </c>
      <c r="W846" t="s">
        <v>66</v>
      </c>
      <c r="X846">
        <v>11262240</v>
      </c>
      <c r="Y846">
        <v>1238846.3999999999</v>
      </c>
      <c r="Z846">
        <v>42768</v>
      </c>
      <c r="AA846">
        <v>4704.4799999999996</v>
      </c>
      <c r="AB846">
        <v>12501086.4</v>
      </c>
      <c r="AC846">
        <v>3</v>
      </c>
      <c r="AD846" t="s">
        <v>82</v>
      </c>
      <c r="AE846">
        <v>3</v>
      </c>
      <c r="AF846" t="s">
        <v>213</v>
      </c>
      <c r="AG846">
        <f>IFERROR(VLOOKUP(AF846,[1]STOK!J:O,6,0),"")</f>
        <v>12</v>
      </c>
      <c r="AH846" s="2">
        <f t="shared" si="26"/>
        <v>0.25</v>
      </c>
      <c r="AI846" t="s">
        <v>213</v>
      </c>
      <c r="AJ846" t="s">
        <v>214</v>
      </c>
      <c r="AK846" t="s">
        <v>215</v>
      </c>
      <c r="AL846" t="s">
        <v>86</v>
      </c>
      <c r="AM846">
        <v>15984</v>
      </c>
      <c r="AN846">
        <f t="shared" si="27"/>
        <v>15824.160000000002</v>
      </c>
      <c r="AO846" t="s">
        <v>66</v>
      </c>
      <c r="AP846">
        <v>1</v>
      </c>
      <c r="AQ846" t="s">
        <v>66</v>
      </c>
      <c r="AR846">
        <v>0</v>
      </c>
      <c r="AS846" t="s">
        <v>66</v>
      </c>
      <c r="AT846">
        <v>0</v>
      </c>
      <c r="AU846" t="s">
        <v>66</v>
      </c>
      <c r="AV846">
        <v>0</v>
      </c>
      <c r="AW846" t="s">
        <v>66</v>
      </c>
      <c r="AX846">
        <v>0</v>
      </c>
      <c r="AY846" t="s">
        <v>66</v>
      </c>
      <c r="AZ846">
        <v>0</v>
      </c>
      <c r="BA846" t="s">
        <v>66</v>
      </c>
      <c r="BB846">
        <v>0</v>
      </c>
      <c r="BC846">
        <v>0</v>
      </c>
      <c r="BD846">
        <v>47472.480000000003</v>
      </c>
      <c r="BE846">
        <v>13008.41</v>
      </c>
      <c r="BF846">
        <v>0</v>
      </c>
      <c r="BG846" t="s">
        <v>87</v>
      </c>
      <c r="BH846" t="s">
        <v>66</v>
      </c>
      <c r="BI846">
        <v>0</v>
      </c>
      <c r="BJ846" t="s">
        <v>66</v>
      </c>
      <c r="BK846" t="s">
        <v>88</v>
      </c>
      <c r="BL846" t="s">
        <v>66</v>
      </c>
      <c r="BM846" t="s">
        <v>159</v>
      </c>
    </row>
    <row r="847" spans="1:65" x14ac:dyDescent="0.25">
      <c r="A847">
        <v>845</v>
      </c>
      <c r="B847" t="s">
        <v>1224</v>
      </c>
      <c r="C847" t="s">
        <v>68</v>
      </c>
      <c r="D847" s="1">
        <v>46214</v>
      </c>
      <c r="E847" t="s">
        <v>1225</v>
      </c>
      <c r="F847" t="s">
        <v>68</v>
      </c>
      <c r="G847" t="s">
        <v>295</v>
      </c>
      <c r="H847" t="s">
        <v>296</v>
      </c>
      <c r="I847" t="s">
        <v>71</v>
      </c>
      <c r="J847" t="s">
        <v>72</v>
      </c>
      <c r="K847" t="s">
        <v>73</v>
      </c>
      <c r="L847" t="s">
        <v>74</v>
      </c>
      <c r="M847" t="s">
        <v>1226</v>
      </c>
      <c r="N847" t="s">
        <v>76</v>
      </c>
      <c r="O847" t="s">
        <v>1227</v>
      </c>
      <c r="P847" t="s">
        <v>1228</v>
      </c>
      <c r="Q847" t="s">
        <v>1229</v>
      </c>
      <c r="R847" s="1">
        <v>46214</v>
      </c>
      <c r="S847" t="s">
        <v>1230</v>
      </c>
      <c r="T847" t="s">
        <v>1231</v>
      </c>
      <c r="U847" t="s">
        <v>1232</v>
      </c>
      <c r="V847" t="s">
        <v>66</v>
      </c>
      <c r="W847" t="s">
        <v>66</v>
      </c>
      <c r="X847">
        <v>5362038</v>
      </c>
      <c r="Y847">
        <v>589824.18000000005</v>
      </c>
      <c r="Z847">
        <v>107217</v>
      </c>
      <c r="AA847">
        <v>11793.87</v>
      </c>
      <c r="AB847">
        <v>5951862.1799999997</v>
      </c>
      <c r="AC847">
        <v>3</v>
      </c>
      <c r="AD847" t="s">
        <v>82</v>
      </c>
      <c r="AE847">
        <v>3</v>
      </c>
      <c r="AF847" t="s">
        <v>1221</v>
      </c>
      <c r="AG847">
        <f>IFERROR(VLOOKUP(AF847,[1]STOK!J:O,6,0),"")</f>
        <v>12</v>
      </c>
      <c r="AH847" s="2">
        <f t="shared" si="26"/>
        <v>0.25</v>
      </c>
      <c r="AI847" t="s">
        <v>1221</v>
      </c>
      <c r="AJ847" t="s">
        <v>1222</v>
      </c>
      <c r="AK847" t="s">
        <v>1223</v>
      </c>
      <c r="AL847" t="s">
        <v>86</v>
      </c>
      <c r="AM847">
        <v>40071</v>
      </c>
      <c r="AN847">
        <f t="shared" si="27"/>
        <v>39670.29</v>
      </c>
      <c r="AO847" t="s">
        <v>66</v>
      </c>
      <c r="AP847">
        <v>1</v>
      </c>
      <c r="AQ847" t="s">
        <v>66</v>
      </c>
      <c r="AR847">
        <v>0</v>
      </c>
      <c r="AS847" t="s">
        <v>66</v>
      </c>
      <c r="AT847">
        <v>0</v>
      </c>
      <c r="AU847" t="s">
        <v>66</v>
      </c>
      <c r="AV847">
        <v>0</v>
      </c>
      <c r="AW847" t="s">
        <v>66</v>
      </c>
      <c r="AX847">
        <v>0</v>
      </c>
      <c r="AY847" t="s">
        <v>66</v>
      </c>
      <c r="AZ847">
        <v>0</v>
      </c>
      <c r="BA847" t="s">
        <v>66</v>
      </c>
      <c r="BB847">
        <v>0</v>
      </c>
      <c r="BC847">
        <v>0</v>
      </c>
      <c r="BD847">
        <v>119010.87</v>
      </c>
      <c r="BE847">
        <v>32671.61</v>
      </c>
      <c r="BF847">
        <v>0</v>
      </c>
      <c r="BG847" t="s">
        <v>87</v>
      </c>
      <c r="BH847" t="s">
        <v>66</v>
      </c>
      <c r="BI847">
        <v>0</v>
      </c>
      <c r="BJ847" t="s">
        <v>66</v>
      </c>
      <c r="BK847" t="s">
        <v>88</v>
      </c>
      <c r="BL847" t="s">
        <v>66</v>
      </c>
      <c r="BM847" t="s">
        <v>159</v>
      </c>
    </row>
    <row r="848" spans="1:65" x14ac:dyDescent="0.25">
      <c r="A848">
        <v>846</v>
      </c>
      <c r="B848" t="s">
        <v>1224</v>
      </c>
      <c r="C848" t="s">
        <v>68</v>
      </c>
      <c r="D848" s="1">
        <v>46214</v>
      </c>
      <c r="E848" t="s">
        <v>1225</v>
      </c>
      <c r="F848" t="s">
        <v>68</v>
      </c>
      <c r="G848" t="s">
        <v>295</v>
      </c>
      <c r="H848" t="s">
        <v>296</v>
      </c>
      <c r="I848" t="s">
        <v>71</v>
      </c>
      <c r="J848" t="s">
        <v>72</v>
      </c>
      <c r="K848" t="s">
        <v>73</v>
      </c>
      <c r="L848" t="s">
        <v>74</v>
      </c>
      <c r="M848" t="s">
        <v>1226</v>
      </c>
      <c r="N848" t="s">
        <v>76</v>
      </c>
      <c r="O848" t="s">
        <v>1227</v>
      </c>
      <c r="P848" t="s">
        <v>1228</v>
      </c>
      <c r="Q848" t="s">
        <v>1229</v>
      </c>
      <c r="R848" s="1">
        <v>46214</v>
      </c>
      <c r="S848" t="s">
        <v>1230</v>
      </c>
      <c r="T848" t="s">
        <v>1231</v>
      </c>
      <c r="U848" t="s">
        <v>1232</v>
      </c>
      <c r="V848" t="s">
        <v>66</v>
      </c>
      <c r="W848" t="s">
        <v>66</v>
      </c>
      <c r="X848">
        <v>5362038</v>
      </c>
      <c r="Y848">
        <v>589824.18000000005</v>
      </c>
      <c r="Z848">
        <v>107217</v>
      </c>
      <c r="AA848">
        <v>11793.87</v>
      </c>
      <c r="AB848">
        <v>5951862.1799999997</v>
      </c>
      <c r="AC848">
        <v>3</v>
      </c>
      <c r="AD848" t="s">
        <v>82</v>
      </c>
      <c r="AE848">
        <v>3</v>
      </c>
      <c r="AF848" t="s">
        <v>432</v>
      </c>
      <c r="AG848">
        <f>IFERROR(VLOOKUP(AF848,[1]STOK!J:O,6,0),"")</f>
        <v>12</v>
      </c>
      <c r="AH848" s="2">
        <f t="shared" si="26"/>
        <v>0.25</v>
      </c>
      <c r="AI848" t="s">
        <v>432</v>
      </c>
      <c r="AJ848" t="s">
        <v>433</v>
      </c>
      <c r="AK848" t="s">
        <v>434</v>
      </c>
      <c r="AL848" t="s">
        <v>86</v>
      </c>
      <c r="AM848">
        <v>40071</v>
      </c>
      <c r="AN848">
        <f t="shared" si="27"/>
        <v>39670.29</v>
      </c>
      <c r="AO848" t="s">
        <v>66</v>
      </c>
      <c r="AP848">
        <v>1</v>
      </c>
      <c r="AQ848" t="s">
        <v>66</v>
      </c>
      <c r="AR848">
        <v>0</v>
      </c>
      <c r="AS848" t="s">
        <v>66</v>
      </c>
      <c r="AT848">
        <v>0</v>
      </c>
      <c r="AU848" t="s">
        <v>66</v>
      </c>
      <c r="AV848">
        <v>0</v>
      </c>
      <c r="AW848" t="s">
        <v>66</v>
      </c>
      <c r="AX848">
        <v>0</v>
      </c>
      <c r="AY848" t="s">
        <v>66</v>
      </c>
      <c r="AZ848">
        <v>0</v>
      </c>
      <c r="BA848" t="s">
        <v>66</v>
      </c>
      <c r="BB848">
        <v>0</v>
      </c>
      <c r="BC848">
        <v>0</v>
      </c>
      <c r="BD848">
        <v>119010.87</v>
      </c>
      <c r="BE848">
        <v>32671.759999999998</v>
      </c>
      <c r="BF848">
        <v>0</v>
      </c>
      <c r="BG848" t="s">
        <v>87</v>
      </c>
      <c r="BH848" t="s">
        <v>66</v>
      </c>
      <c r="BI848">
        <v>0</v>
      </c>
      <c r="BJ848" t="s">
        <v>66</v>
      </c>
      <c r="BK848" t="s">
        <v>88</v>
      </c>
      <c r="BL848" t="s">
        <v>66</v>
      </c>
      <c r="BM848" t="s">
        <v>159</v>
      </c>
    </row>
    <row r="849" spans="1:65" x14ac:dyDescent="0.25">
      <c r="A849">
        <v>847</v>
      </c>
      <c r="B849" t="s">
        <v>1224</v>
      </c>
      <c r="C849" t="s">
        <v>68</v>
      </c>
      <c r="D849" s="1">
        <v>46214</v>
      </c>
      <c r="E849" t="s">
        <v>1225</v>
      </c>
      <c r="F849" t="s">
        <v>68</v>
      </c>
      <c r="G849" t="s">
        <v>295</v>
      </c>
      <c r="H849" t="s">
        <v>296</v>
      </c>
      <c r="I849" t="s">
        <v>71</v>
      </c>
      <c r="J849" t="s">
        <v>72</v>
      </c>
      <c r="K849" t="s">
        <v>73</v>
      </c>
      <c r="L849" t="s">
        <v>74</v>
      </c>
      <c r="M849" t="s">
        <v>1226</v>
      </c>
      <c r="N849" t="s">
        <v>76</v>
      </c>
      <c r="O849" t="s">
        <v>1227</v>
      </c>
      <c r="P849" t="s">
        <v>1228</v>
      </c>
      <c r="Q849" t="s">
        <v>1229</v>
      </c>
      <c r="R849" s="1">
        <v>46214</v>
      </c>
      <c r="S849" t="s">
        <v>1230</v>
      </c>
      <c r="T849" t="s">
        <v>1231</v>
      </c>
      <c r="U849" t="s">
        <v>1232</v>
      </c>
      <c r="V849" t="s">
        <v>66</v>
      </c>
      <c r="W849" t="s">
        <v>66</v>
      </c>
      <c r="X849">
        <v>5362038</v>
      </c>
      <c r="Y849">
        <v>589824.18000000005</v>
      </c>
      <c r="Z849">
        <v>27918</v>
      </c>
      <c r="AA849">
        <v>3070.98</v>
      </c>
      <c r="AB849">
        <v>5951862.1799999997</v>
      </c>
      <c r="AC849">
        <v>3</v>
      </c>
      <c r="AD849" t="s">
        <v>82</v>
      </c>
      <c r="AE849">
        <v>3</v>
      </c>
      <c r="AF849" t="s">
        <v>1233</v>
      </c>
      <c r="AG849">
        <f>IFERROR(VLOOKUP(AF849,[1]STOK!J:O,6,0),"")</f>
        <v>12</v>
      </c>
      <c r="AH849" s="2">
        <f t="shared" si="26"/>
        <v>0.25</v>
      </c>
      <c r="AI849" t="s">
        <v>1233</v>
      </c>
      <c r="AJ849" t="s">
        <v>1234</v>
      </c>
      <c r="AK849" t="s">
        <v>1235</v>
      </c>
      <c r="AL849" t="s">
        <v>86</v>
      </c>
      <c r="AM849">
        <v>10434</v>
      </c>
      <c r="AN849">
        <f t="shared" si="27"/>
        <v>10329.66</v>
      </c>
      <c r="AO849" t="s">
        <v>66</v>
      </c>
      <c r="AP849">
        <v>1</v>
      </c>
      <c r="AQ849" t="s">
        <v>66</v>
      </c>
      <c r="AR849">
        <v>0</v>
      </c>
      <c r="AS849" t="s">
        <v>66</v>
      </c>
      <c r="AT849">
        <v>0</v>
      </c>
      <c r="AU849" t="s">
        <v>66</v>
      </c>
      <c r="AV849">
        <v>0</v>
      </c>
      <c r="AW849" t="s">
        <v>66</v>
      </c>
      <c r="AX849">
        <v>0</v>
      </c>
      <c r="AY849" t="s">
        <v>66</v>
      </c>
      <c r="AZ849">
        <v>0</v>
      </c>
      <c r="BA849" t="s">
        <v>66</v>
      </c>
      <c r="BB849">
        <v>0</v>
      </c>
      <c r="BC849">
        <v>0</v>
      </c>
      <c r="BD849">
        <v>30988.98</v>
      </c>
      <c r="BE849">
        <v>8410.64</v>
      </c>
      <c r="BF849">
        <v>0</v>
      </c>
      <c r="BG849" t="s">
        <v>87</v>
      </c>
      <c r="BH849" t="s">
        <v>1236</v>
      </c>
      <c r="BI849">
        <v>3</v>
      </c>
      <c r="BJ849" t="s">
        <v>209</v>
      </c>
      <c r="BK849" t="s">
        <v>88</v>
      </c>
      <c r="BL849" t="s">
        <v>66</v>
      </c>
      <c r="BM849" t="s">
        <v>159</v>
      </c>
    </row>
    <row r="850" spans="1:65" x14ac:dyDescent="0.25">
      <c r="A850">
        <v>848</v>
      </c>
      <c r="B850" t="s">
        <v>1224</v>
      </c>
      <c r="C850" t="s">
        <v>68</v>
      </c>
      <c r="D850" s="1">
        <v>46214</v>
      </c>
      <c r="E850" t="s">
        <v>1225</v>
      </c>
      <c r="F850" t="s">
        <v>68</v>
      </c>
      <c r="G850" t="s">
        <v>295</v>
      </c>
      <c r="H850" t="s">
        <v>296</v>
      </c>
      <c r="I850" t="s">
        <v>71</v>
      </c>
      <c r="J850" t="s">
        <v>72</v>
      </c>
      <c r="K850" t="s">
        <v>73</v>
      </c>
      <c r="L850" t="s">
        <v>74</v>
      </c>
      <c r="M850" t="s">
        <v>1226</v>
      </c>
      <c r="N850" t="s">
        <v>76</v>
      </c>
      <c r="O850" t="s">
        <v>1227</v>
      </c>
      <c r="P850" t="s">
        <v>1228</v>
      </c>
      <c r="Q850" t="s">
        <v>1229</v>
      </c>
      <c r="R850" s="1">
        <v>46214</v>
      </c>
      <c r="S850" t="s">
        <v>1230</v>
      </c>
      <c r="T850" t="s">
        <v>1231</v>
      </c>
      <c r="U850" t="s">
        <v>1232</v>
      </c>
      <c r="V850" t="s">
        <v>66</v>
      </c>
      <c r="W850" t="s">
        <v>66</v>
      </c>
      <c r="X850">
        <v>5362038</v>
      </c>
      <c r="Y850">
        <v>589824.18000000005</v>
      </c>
      <c r="Z850">
        <v>109296</v>
      </c>
      <c r="AA850">
        <v>12022.56</v>
      </c>
      <c r="AB850">
        <v>5951862.1799999997</v>
      </c>
      <c r="AC850">
        <v>6</v>
      </c>
      <c r="AD850" t="s">
        <v>82</v>
      </c>
      <c r="AE850">
        <v>6</v>
      </c>
      <c r="AF850" t="s">
        <v>720</v>
      </c>
      <c r="AG850">
        <f>IFERROR(VLOOKUP(AF850,[1]STOK!J:O,6,0),"")</f>
        <v>12</v>
      </c>
      <c r="AH850" s="2">
        <f t="shared" si="26"/>
        <v>0.5</v>
      </c>
      <c r="AI850" t="s">
        <v>720</v>
      </c>
      <c r="AJ850" t="s">
        <v>721</v>
      </c>
      <c r="AK850" t="s">
        <v>722</v>
      </c>
      <c r="AL850" t="s">
        <v>86</v>
      </c>
      <c r="AM850">
        <v>20424</v>
      </c>
      <c r="AN850">
        <f t="shared" si="27"/>
        <v>20219.759999999998</v>
      </c>
      <c r="AO850" t="s">
        <v>66</v>
      </c>
      <c r="AP850">
        <v>1</v>
      </c>
      <c r="AQ850" t="s">
        <v>66</v>
      </c>
      <c r="AR850">
        <v>0</v>
      </c>
      <c r="AS850" t="s">
        <v>66</v>
      </c>
      <c r="AT850">
        <v>0</v>
      </c>
      <c r="AU850" t="s">
        <v>66</v>
      </c>
      <c r="AV850">
        <v>0</v>
      </c>
      <c r="AW850" t="s">
        <v>66</v>
      </c>
      <c r="AX850">
        <v>0</v>
      </c>
      <c r="AY850" t="s">
        <v>66</v>
      </c>
      <c r="AZ850">
        <v>0</v>
      </c>
      <c r="BA850" t="s">
        <v>66</v>
      </c>
      <c r="BB850">
        <v>0</v>
      </c>
      <c r="BC850">
        <v>0</v>
      </c>
      <c r="BD850">
        <v>121318.56</v>
      </c>
      <c r="BE850">
        <v>16647.18</v>
      </c>
      <c r="BF850">
        <v>0</v>
      </c>
      <c r="BG850" t="s">
        <v>87</v>
      </c>
      <c r="BH850" t="s">
        <v>66</v>
      </c>
      <c r="BI850">
        <v>0</v>
      </c>
      <c r="BJ850" t="s">
        <v>66</v>
      </c>
      <c r="BK850" t="s">
        <v>88</v>
      </c>
      <c r="BL850" t="s">
        <v>66</v>
      </c>
      <c r="BM850" t="s">
        <v>159</v>
      </c>
    </row>
    <row r="851" spans="1:65" x14ac:dyDescent="0.25">
      <c r="A851">
        <v>849</v>
      </c>
      <c r="B851" t="s">
        <v>1224</v>
      </c>
      <c r="C851" t="s">
        <v>68</v>
      </c>
      <c r="D851" s="1">
        <v>46214</v>
      </c>
      <c r="E851" t="s">
        <v>1225</v>
      </c>
      <c r="F851" t="s">
        <v>68</v>
      </c>
      <c r="G851" t="s">
        <v>295</v>
      </c>
      <c r="H851" t="s">
        <v>296</v>
      </c>
      <c r="I851" t="s">
        <v>71</v>
      </c>
      <c r="J851" t="s">
        <v>72</v>
      </c>
      <c r="K851" t="s">
        <v>73</v>
      </c>
      <c r="L851" t="s">
        <v>74</v>
      </c>
      <c r="M851" t="s">
        <v>1226</v>
      </c>
      <c r="N851" t="s">
        <v>76</v>
      </c>
      <c r="O851" t="s">
        <v>1227</v>
      </c>
      <c r="P851" t="s">
        <v>1228</v>
      </c>
      <c r="Q851" t="s">
        <v>1229</v>
      </c>
      <c r="R851" s="1">
        <v>46214</v>
      </c>
      <c r="S851" t="s">
        <v>1230</v>
      </c>
      <c r="T851" t="s">
        <v>1231</v>
      </c>
      <c r="U851" t="s">
        <v>1232</v>
      </c>
      <c r="V851" t="s">
        <v>66</v>
      </c>
      <c r="W851" t="s">
        <v>66</v>
      </c>
      <c r="X851">
        <v>5362038</v>
      </c>
      <c r="Y851">
        <v>589824.18000000005</v>
      </c>
      <c r="Z851">
        <v>54648</v>
      </c>
      <c r="AA851">
        <v>6011.28</v>
      </c>
      <c r="AB851">
        <v>5951862.1799999997</v>
      </c>
      <c r="AC851">
        <v>3</v>
      </c>
      <c r="AD851" t="s">
        <v>82</v>
      </c>
      <c r="AE851">
        <v>3</v>
      </c>
      <c r="AF851" t="s">
        <v>116</v>
      </c>
      <c r="AG851">
        <f>IFERROR(VLOOKUP(AF851,[1]STOK!J:O,6,0),"")</f>
        <v>12</v>
      </c>
      <c r="AH851" s="2">
        <f t="shared" si="26"/>
        <v>0.25</v>
      </c>
      <c r="AI851" t="s">
        <v>116</v>
      </c>
      <c r="AJ851" t="s">
        <v>117</v>
      </c>
      <c r="AK851" t="s">
        <v>118</v>
      </c>
      <c r="AL851" t="s">
        <v>86</v>
      </c>
      <c r="AM851">
        <v>20424</v>
      </c>
      <c r="AN851">
        <f t="shared" si="27"/>
        <v>20219.759999999998</v>
      </c>
      <c r="AO851" t="s">
        <v>66</v>
      </c>
      <c r="AP851">
        <v>1</v>
      </c>
      <c r="AQ851" t="s">
        <v>66</v>
      </c>
      <c r="AR851">
        <v>0</v>
      </c>
      <c r="AS851" t="s">
        <v>66</v>
      </c>
      <c r="AT851">
        <v>0</v>
      </c>
      <c r="AU851" t="s">
        <v>66</v>
      </c>
      <c r="AV851">
        <v>0</v>
      </c>
      <c r="AW851" t="s">
        <v>66</v>
      </c>
      <c r="AX851">
        <v>0</v>
      </c>
      <c r="AY851" t="s">
        <v>66</v>
      </c>
      <c r="AZ851">
        <v>0</v>
      </c>
      <c r="BA851" t="s">
        <v>66</v>
      </c>
      <c r="BB851">
        <v>0</v>
      </c>
      <c r="BC851">
        <v>0</v>
      </c>
      <c r="BD851">
        <v>60659.28</v>
      </c>
      <c r="BE851">
        <v>16645.46</v>
      </c>
      <c r="BF851">
        <v>0</v>
      </c>
      <c r="BG851" t="s">
        <v>87</v>
      </c>
      <c r="BH851" t="s">
        <v>66</v>
      </c>
      <c r="BI851">
        <v>0</v>
      </c>
      <c r="BJ851" t="s">
        <v>66</v>
      </c>
      <c r="BK851" t="s">
        <v>88</v>
      </c>
      <c r="BL851" t="s">
        <v>66</v>
      </c>
      <c r="BM851" t="s">
        <v>159</v>
      </c>
    </row>
    <row r="852" spans="1:65" x14ac:dyDescent="0.25">
      <c r="A852">
        <v>850</v>
      </c>
      <c r="B852" t="s">
        <v>1224</v>
      </c>
      <c r="C852" t="s">
        <v>68</v>
      </c>
      <c r="D852" s="1">
        <v>46214</v>
      </c>
      <c r="E852" t="s">
        <v>1225</v>
      </c>
      <c r="F852" t="s">
        <v>68</v>
      </c>
      <c r="G852" t="s">
        <v>295</v>
      </c>
      <c r="H852" t="s">
        <v>296</v>
      </c>
      <c r="I852" t="s">
        <v>71</v>
      </c>
      <c r="J852" t="s">
        <v>72</v>
      </c>
      <c r="K852" t="s">
        <v>73</v>
      </c>
      <c r="L852" t="s">
        <v>74</v>
      </c>
      <c r="M852" t="s">
        <v>1226</v>
      </c>
      <c r="N852" t="s">
        <v>76</v>
      </c>
      <c r="O852" t="s">
        <v>1227</v>
      </c>
      <c r="P852" t="s">
        <v>1228</v>
      </c>
      <c r="Q852" t="s">
        <v>1229</v>
      </c>
      <c r="R852" s="1">
        <v>46214</v>
      </c>
      <c r="S852" t="s">
        <v>1230</v>
      </c>
      <c r="T852" t="s">
        <v>1231</v>
      </c>
      <c r="U852" t="s">
        <v>1232</v>
      </c>
      <c r="V852" t="s">
        <v>66</v>
      </c>
      <c r="W852" t="s">
        <v>66</v>
      </c>
      <c r="X852">
        <v>5362038</v>
      </c>
      <c r="Y852">
        <v>589824.18000000005</v>
      </c>
      <c r="Z852">
        <v>29997</v>
      </c>
      <c r="AA852">
        <v>3299.67</v>
      </c>
      <c r="AB852">
        <v>5951862.1799999997</v>
      </c>
      <c r="AC852">
        <v>3</v>
      </c>
      <c r="AD852" t="s">
        <v>82</v>
      </c>
      <c r="AE852">
        <v>3</v>
      </c>
      <c r="AF852" t="s">
        <v>857</v>
      </c>
      <c r="AG852">
        <f>IFERROR(VLOOKUP(AF852,[1]STOK!J:O,6,0),"")</f>
        <v>24</v>
      </c>
      <c r="AH852" s="2">
        <f t="shared" si="26"/>
        <v>0.125</v>
      </c>
      <c r="AI852" t="s">
        <v>857</v>
      </c>
      <c r="AJ852" t="s">
        <v>858</v>
      </c>
      <c r="AK852" t="s">
        <v>859</v>
      </c>
      <c r="AL852" t="s">
        <v>86</v>
      </c>
      <c r="AM852">
        <v>11211</v>
      </c>
      <c r="AN852">
        <f t="shared" si="27"/>
        <v>11098.89</v>
      </c>
      <c r="AO852" t="s">
        <v>66</v>
      </c>
      <c r="AP852">
        <v>1</v>
      </c>
      <c r="AQ852" t="s">
        <v>66</v>
      </c>
      <c r="AR852">
        <v>0</v>
      </c>
      <c r="AS852" t="s">
        <v>66</v>
      </c>
      <c r="AT852">
        <v>0</v>
      </c>
      <c r="AU852" t="s">
        <v>66</v>
      </c>
      <c r="AV852">
        <v>0</v>
      </c>
      <c r="AW852" t="s">
        <v>66</v>
      </c>
      <c r="AX852">
        <v>0</v>
      </c>
      <c r="AY852" t="s">
        <v>66</v>
      </c>
      <c r="AZ852">
        <v>0</v>
      </c>
      <c r="BA852" t="s">
        <v>66</v>
      </c>
      <c r="BB852">
        <v>0</v>
      </c>
      <c r="BC852">
        <v>0</v>
      </c>
      <c r="BD852">
        <v>33296.67</v>
      </c>
      <c r="BE852">
        <v>9046.9</v>
      </c>
      <c r="BF852">
        <v>0</v>
      </c>
      <c r="BG852" t="s">
        <v>87</v>
      </c>
      <c r="BH852" t="s">
        <v>66</v>
      </c>
      <c r="BI852">
        <v>0</v>
      </c>
      <c r="BJ852" t="s">
        <v>66</v>
      </c>
      <c r="BK852" t="s">
        <v>88</v>
      </c>
      <c r="BL852" t="s">
        <v>66</v>
      </c>
      <c r="BM852" t="s">
        <v>159</v>
      </c>
    </row>
    <row r="853" spans="1:65" x14ac:dyDescent="0.25">
      <c r="A853">
        <v>851</v>
      </c>
      <c r="B853" t="s">
        <v>1224</v>
      </c>
      <c r="C853" t="s">
        <v>68</v>
      </c>
      <c r="D853" s="1">
        <v>46214</v>
      </c>
      <c r="E853" t="s">
        <v>1225</v>
      </c>
      <c r="F853" t="s">
        <v>68</v>
      </c>
      <c r="G853" t="s">
        <v>295</v>
      </c>
      <c r="H853" t="s">
        <v>296</v>
      </c>
      <c r="I853" t="s">
        <v>71</v>
      </c>
      <c r="J853" t="s">
        <v>72</v>
      </c>
      <c r="K853" t="s">
        <v>73</v>
      </c>
      <c r="L853" t="s">
        <v>74</v>
      </c>
      <c r="M853" t="s">
        <v>1226</v>
      </c>
      <c r="N853" t="s">
        <v>76</v>
      </c>
      <c r="O853" t="s">
        <v>1227</v>
      </c>
      <c r="P853" t="s">
        <v>1228</v>
      </c>
      <c r="Q853" t="s">
        <v>1229</v>
      </c>
      <c r="R853" s="1">
        <v>46214</v>
      </c>
      <c r="S853" t="s">
        <v>1230</v>
      </c>
      <c r="T853" t="s">
        <v>1231</v>
      </c>
      <c r="U853" t="s">
        <v>1232</v>
      </c>
      <c r="V853" t="s">
        <v>66</v>
      </c>
      <c r="W853" t="s">
        <v>66</v>
      </c>
      <c r="X853">
        <v>5362038</v>
      </c>
      <c r="Y853">
        <v>589824.18000000005</v>
      </c>
      <c r="Z853">
        <v>59994</v>
      </c>
      <c r="AA853">
        <v>6599.34</v>
      </c>
      <c r="AB853">
        <v>5951862.1799999997</v>
      </c>
      <c r="AC853">
        <v>3</v>
      </c>
      <c r="AD853" t="s">
        <v>82</v>
      </c>
      <c r="AE853">
        <v>3</v>
      </c>
      <c r="AF853" t="s">
        <v>239</v>
      </c>
      <c r="AG853">
        <f>IFERROR(VLOOKUP(AF853,[1]STOK!J:O,6,0),"")</f>
        <v>12</v>
      </c>
      <c r="AH853" s="2">
        <f t="shared" si="26"/>
        <v>0.25</v>
      </c>
      <c r="AI853" t="s">
        <v>239</v>
      </c>
      <c r="AJ853" t="s">
        <v>240</v>
      </c>
      <c r="AK853" t="s">
        <v>241</v>
      </c>
      <c r="AL853" t="s">
        <v>86</v>
      </c>
      <c r="AM853">
        <v>22422</v>
      </c>
      <c r="AN853">
        <f t="shared" si="27"/>
        <v>22197.78</v>
      </c>
      <c r="AO853" t="s">
        <v>66</v>
      </c>
      <c r="AP853">
        <v>1</v>
      </c>
      <c r="AQ853" t="s">
        <v>66</v>
      </c>
      <c r="AR853">
        <v>0</v>
      </c>
      <c r="AS853" t="s">
        <v>66</v>
      </c>
      <c r="AT853">
        <v>0</v>
      </c>
      <c r="AU853" t="s">
        <v>66</v>
      </c>
      <c r="AV853">
        <v>0</v>
      </c>
      <c r="AW853" t="s">
        <v>66</v>
      </c>
      <c r="AX853">
        <v>0</v>
      </c>
      <c r="AY853" t="s">
        <v>66</v>
      </c>
      <c r="AZ853">
        <v>0</v>
      </c>
      <c r="BA853" t="s">
        <v>66</v>
      </c>
      <c r="BB853">
        <v>0</v>
      </c>
      <c r="BC853">
        <v>0</v>
      </c>
      <c r="BD853">
        <v>66593.34</v>
      </c>
      <c r="BE853">
        <v>17077.43</v>
      </c>
      <c r="BF853">
        <v>0</v>
      </c>
      <c r="BG853" t="s">
        <v>87</v>
      </c>
      <c r="BH853" t="s">
        <v>66</v>
      </c>
      <c r="BI853">
        <v>0</v>
      </c>
      <c r="BJ853" t="s">
        <v>66</v>
      </c>
      <c r="BK853" t="s">
        <v>88</v>
      </c>
      <c r="BL853" t="s">
        <v>66</v>
      </c>
      <c r="BM853" t="s">
        <v>159</v>
      </c>
    </row>
    <row r="854" spans="1:65" x14ac:dyDescent="0.25">
      <c r="A854">
        <v>852</v>
      </c>
      <c r="B854" t="s">
        <v>1224</v>
      </c>
      <c r="C854" t="s">
        <v>68</v>
      </c>
      <c r="D854" s="1">
        <v>46214</v>
      </c>
      <c r="E854" t="s">
        <v>1225</v>
      </c>
      <c r="F854" t="s">
        <v>68</v>
      </c>
      <c r="G854" t="s">
        <v>295</v>
      </c>
      <c r="H854" t="s">
        <v>296</v>
      </c>
      <c r="I854" t="s">
        <v>71</v>
      </c>
      <c r="J854" t="s">
        <v>72</v>
      </c>
      <c r="K854" t="s">
        <v>73</v>
      </c>
      <c r="L854" t="s">
        <v>74</v>
      </c>
      <c r="M854" t="s">
        <v>1226</v>
      </c>
      <c r="N854" t="s">
        <v>76</v>
      </c>
      <c r="O854" t="s">
        <v>1227</v>
      </c>
      <c r="P854" t="s">
        <v>1228</v>
      </c>
      <c r="Q854" t="s">
        <v>1229</v>
      </c>
      <c r="R854" s="1">
        <v>46214</v>
      </c>
      <c r="S854" t="s">
        <v>1230</v>
      </c>
      <c r="T854" t="s">
        <v>1231</v>
      </c>
      <c r="U854" t="s">
        <v>1232</v>
      </c>
      <c r="V854" t="s">
        <v>66</v>
      </c>
      <c r="W854" t="s">
        <v>66</v>
      </c>
      <c r="X854">
        <v>5362038</v>
      </c>
      <c r="Y854">
        <v>589824.18000000005</v>
      </c>
      <c r="Z854">
        <v>59994</v>
      </c>
      <c r="AA854">
        <v>6599.34</v>
      </c>
      <c r="AB854">
        <v>5951862.1799999997</v>
      </c>
      <c r="AC854">
        <v>3</v>
      </c>
      <c r="AD854" t="s">
        <v>82</v>
      </c>
      <c r="AE854">
        <v>3</v>
      </c>
      <c r="AF854" t="s">
        <v>242</v>
      </c>
      <c r="AG854">
        <f>IFERROR(VLOOKUP(AF854,[1]STOK!J:O,6,0),"")</f>
        <v>12</v>
      </c>
      <c r="AH854" s="2">
        <f t="shared" si="26"/>
        <v>0.25</v>
      </c>
      <c r="AI854" t="s">
        <v>242</v>
      </c>
      <c r="AJ854" t="s">
        <v>243</v>
      </c>
      <c r="AK854" t="s">
        <v>244</v>
      </c>
      <c r="AL854" t="s">
        <v>86</v>
      </c>
      <c r="AM854">
        <v>22422</v>
      </c>
      <c r="AN854">
        <f t="shared" si="27"/>
        <v>22197.78</v>
      </c>
      <c r="AO854" t="s">
        <v>66</v>
      </c>
      <c r="AP854">
        <v>1</v>
      </c>
      <c r="AQ854" t="s">
        <v>66</v>
      </c>
      <c r="AR854">
        <v>0</v>
      </c>
      <c r="AS854" t="s">
        <v>66</v>
      </c>
      <c r="AT854">
        <v>0</v>
      </c>
      <c r="AU854" t="s">
        <v>66</v>
      </c>
      <c r="AV854">
        <v>0</v>
      </c>
      <c r="AW854" t="s">
        <v>66</v>
      </c>
      <c r="AX854">
        <v>0</v>
      </c>
      <c r="AY854" t="s">
        <v>66</v>
      </c>
      <c r="AZ854">
        <v>0</v>
      </c>
      <c r="BA854" t="s">
        <v>66</v>
      </c>
      <c r="BB854">
        <v>0</v>
      </c>
      <c r="BC854">
        <v>0</v>
      </c>
      <c r="BD854">
        <v>66593.34</v>
      </c>
      <c r="BE854">
        <v>16867.34</v>
      </c>
      <c r="BF854">
        <v>0</v>
      </c>
      <c r="BG854" t="s">
        <v>87</v>
      </c>
      <c r="BH854" t="s">
        <v>66</v>
      </c>
      <c r="BI854">
        <v>0</v>
      </c>
      <c r="BJ854" t="s">
        <v>66</v>
      </c>
      <c r="BK854" t="s">
        <v>88</v>
      </c>
      <c r="BL854" t="s">
        <v>66</v>
      </c>
      <c r="BM854" t="s">
        <v>159</v>
      </c>
    </row>
    <row r="855" spans="1:65" x14ac:dyDescent="0.25">
      <c r="A855">
        <v>853</v>
      </c>
      <c r="B855" t="s">
        <v>1224</v>
      </c>
      <c r="C855" t="s">
        <v>68</v>
      </c>
      <c r="D855" s="1">
        <v>46214</v>
      </c>
      <c r="E855" t="s">
        <v>1225</v>
      </c>
      <c r="F855" t="s">
        <v>68</v>
      </c>
      <c r="G855" t="s">
        <v>295</v>
      </c>
      <c r="H855" t="s">
        <v>296</v>
      </c>
      <c r="I855" t="s">
        <v>71</v>
      </c>
      <c r="J855" t="s">
        <v>72</v>
      </c>
      <c r="K855" t="s">
        <v>73</v>
      </c>
      <c r="L855" t="s">
        <v>74</v>
      </c>
      <c r="M855" t="s">
        <v>1226</v>
      </c>
      <c r="N855" t="s">
        <v>76</v>
      </c>
      <c r="O855" t="s">
        <v>1227</v>
      </c>
      <c r="P855" t="s">
        <v>1228</v>
      </c>
      <c r="Q855" t="s">
        <v>1229</v>
      </c>
      <c r="R855" s="1">
        <v>46214</v>
      </c>
      <c r="S855" t="s">
        <v>1230</v>
      </c>
      <c r="T855" t="s">
        <v>1231</v>
      </c>
      <c r="U855" t="s">
        <v>1232</v>
      </c>
      <c r="V855" t="s">
        <v>66</v>
      </c>
      <c r="W855" t="s">
        <v>66</v>
      </c>
      <c r="X855">
        <v>5362038</v>
      </c>
      <c r="Y855">
        <v>589824.18000000005</v>
      </c>
      <c r="Z855">
        <v>93852</v>
      </c>
      <c r="AA855">
        <v>10323.719999999999</v>
      </c>
      <c r="AB855">
        <v>5951862.1799999997</v>
      </c>
      <c r="AC855">
        <v>12</v>
      </c>
      <c r="AD855" t="s">
        <v>82</v>
      </c>
      <c r="AE855">
        <v>12</v>
      </c>
      <c r="AF855" t="s">
        <v>248</v>
      </c>
      <c r="AG855">
        <f>IFERROR(VLOOKUP(AF855,[1]STOK!J:O,6,0),"")</f>
        <v>24</v>
      </c>
      <c r="AH855" s="2">
        <f t="shared" si="26"/>
        <v>0.5</v>
      </c>
      <c r="AI855" t="s">
        <v>248</v>
      </c>
      <c r="AJ855" t="s">
        <v>249</v>
      </c>
      <c r="AK855" t="s">
        <v>250</v>
      </c>
      <c r="AL855" t="s">
        <v>86</v>
      </c>
      <c r="AM855">
        <v>8769</v>
      </c>
      <c r="AN855">
        <f t="shared" si="27"/>
        <v>8681.31</v>
      </c>
      <c r="AO855" t="s">
        <v>66</v>
      </c>
      <c r="AP855">
        <v>1</v>
      </c>
      <c r="AQ855" t="s">
        <v>66</v>
      </c>
      <c r="AR855">
        <v>0</v>
      </c>
      <c r="AS855" t="s">
        <v>66</v>
      </c>
      <c r="AT855">
        <v>0</v>
      </c>
      <c r="AU855" t="s">
        <v>66</v>
      </c>
      <c r="AV855">
        <v>0</v>
      </c>
      <c r="AW855" t="s">
        <v>66</v>
      </c>
      <c r="AX855">
        <v>0</v>
      </c>
      <c r="AY855" t="s">
        <v>66</v>
      </c>
      <c r="AZ855">
        <v>0</v>
      </c>
      <c r="BA855" t="s">
        <v>66</v>
      </c>
      <c r="BB855">
        <v>0</v>
      </c>
      <c r="BC855">
        <v>0</v>
      </c>
      <c r="BD855">
        <v>104175.72</v>
      </c>
      <c r="BE855">
        <v>7146.6</v>
      </c>
      <c r="BF855">
        <v>0</v>
      </c>
      <c r="BG855" t="s">
        <v>87</v>
      </c>
      <c r="BH855" t="s">
        <v>66</v>
      </c>
      <c r="BI855">
        <v>0</v>
      </c>
      <c r="BJ855" t="s">
        <v>66</v>
      </c>
      <c r="BK855" t="s">
        <v>88</v>
      </c>
      <c r="BL855" t="s">
        <v>66</v>
      </c>
      <c r="BM855" t="s">
        <v>159</v>
      </c>
    </row>
    <row r="856" spans="1:65" x14ac:dyDescent="0.25">
      <c r="A856">
        <v>854</v>
      </c>
      <c r="B856" t="s">
        <v>1224</v>
      </c>
      <c r="C856" t="s">
        <v>68</v>
      </c>
      <c r="D856" s="1">
        <v>46214</v>
      </c>
      <c r="E856" t="s">
        <v>1225</v>
      </c>
      <c r="F856" t="s">
        <v>68</v>
      </c>
      <c r="G856" t="s">
        <v>295</v>
      </c>
      <c r="H856" t="s">
        <v>296</v>
      </c>
      <c r="I856" t="s">
        <v>71</v>
      </c>
      <c r="J856" t="s">
        <v>72</v>
      </c>
      <c r="K856" t="s">
        <v>73</v>
      </c>
      <c r="L856" t="s">
        <v>74</v>
      </c>
      <c r="M856" t="s">
        <v>1226</v>
      </c>
      <c r="N856" t="s">
        <v>76</v>
      </c>
      <c r="O856" t="s">
        <v>1227</v>
      </c>
      <c r="P856" t="s">
        <v>1228</v>
      </c>
      <c r="Q856" t="s">
        <v>1229</v>
      </c>
      <c r="R856" s="1">
        <v>46214</v>
      </c>
      <c r="S856" t="s">
        <v>1230</v>
      </c>
      <c r="T856" t="s">
        <v>1231</v>
      </c>
      <c r="U856" t="s">
        <v>1232</v>
      </c>
      <c r="V856" t="s">
        <v>66</v>
      </c>
      <c r="W856" t="s">
        <v>66</v>
      </c>
      <c r="X856">
        <v>5362038</v>
      </c>
      <c r="Y856">
        <v>589824.18000000005</v>
      </c>
      <c r="Z856">
        <v>93852</v>
      </c>
      <c r="AA856">
        <v>10323.719999999999</v>
      </c>
      <c r="AB856">
        <v>5951862.1799999997</v>
      </c>
      <c r="AC856">
        <v>12</v>
      </c>
      <c r="AD856" t="s">
        <v>82</v>
      </c>
      <c r="AE856">
        <v>12</v>
      </c>
      <c r="AF856" t="s">
        <v>199</v>
      </c>
      <c r="AG856">
        <f>IFERROR(VLOOKUP(AF856,[1]STOK!J:O,6,0),"")</f>
        <v>24</v>
      </c>
      <c r="AH856" s="2">
        <f t="shared" si="26"/>
        <v>0.5</v>
      </c>
      <c r="AI856" t="s">
        <v>199</v>
      </c>
      <c r="AJ856" t="s">
        <v>200</v>
      </c>
      <c r="AK856" t="s">
        <v>201</v>
      </c>
      <c r="AL856" t="s">
        <v>86</v>
      </c>
      <c r="AM856">
        <v>8769</v>
      </c>
      <c r="AN856">
        <f t="shared" si="27"/>
        <v>8681.31</v>
      </c>
      <c r="AO856" t="s">
        <v>66</v>
      </c>
      <c r="AP856">
        <v>1</v>
      </c>
      <c r="AQ856" t="s">
        <v>66</v>
      </c>
      <c r="AR856">
        <v>0</v>
      </c>
      <c r="AS856" t="s">
        <v>66</v>
      </c>
      <c r="AT856">
        <v>0</v>
      </c>
      <c r="AU856" t="s">
        <v>66</v>
      </c>
      <c r="AV856">
        <v>0</v>
      </c>
      <c r="AW856" t="s">
        <v>66</v>
      </c>
      <c r="AX856">
        <v>0</v>
      </c>
      <c r="AY856" t="s">
        <v>66</v>
      </c>
      <c r="AZ856">
        <v>0</v>
      </c>
      <c r="BA856" t="s">
        <v>66</v>
      </c>
      <c r="BB856">
        <v>0</v>
      </c>
      <c r="BC856">
        <v>0</v>
      </c>
      <c r="BD856">
        <v>104175.72</v>
      </c>
      <c r="BE856">
        <v>7146.59</v>
      </c>
      <c r="BF856">
        <v>0</v>
      </c>
      <c r="BG856" t="s">
        <v>87</v>
      </c>
      <c r="BH856" t="s">
        <v>66</v>
      </c>
      <c r="BI856">
        <v>0</v>
      </c>
      <c r="BJ856" t="s">
        <v>66</v>
      </c>
      <c r="BK856" t="s">
        <v>88</v>
      </c>
      <c r="BL856" t="s">
        <v>66</v>
      </c>
      <c r="BM856" t="s">
        <v>159</v>
      </c>
    </row>
    <row r="857" spans="1:65" x14ac:dyDescent="0.25">
      <c r="A857">
        <v>855</v>
      </c>
      <c r="B857" t="s">
        <v>1224</v>
      </c>
      <c r="C857" t="s">
        <v>68</v>
      </c>
      <c r="D857" s="1">
        <v>46214</v>
      </c>
      <c r="E857" t="s">
        <v>1225</v>
      </c>
      <c r="F857" t="s">
        <v>68</v>
      </c>
      <c r="G857" t="s">
        <v>295</v>
      </c>
      <c r="H857" t="s">
        <v>296</v>
      </c>
      <c r="I857" t="s">
        <v>71</v>
      </c>
      <c r="J857" t="s">
        <v>72</v>
      </c>
      <c r="K857" t="s">
        <v>73</v>
      </c>
      <c r="L857" t="s">
        <v>74</v>
      </c>
      <c r="M857" t="s">
        <v>1226</v>
      </c>
      <c r="N857" t="s">
        <v>76</v>
      </c>
      <c r="O857" t="s">
        <v>1227</v>
      </c>
      <c r="P857" t="s">
        <v>1228</v>
      </c>
      <c r="Q857" t="s">
        <v>1229</v>
      </c>
      <c r="R857" s="1">
        <v>46214</v>
      </c>
      <c r="S857" t="s">
        <v>1230</v>
      </c>
      <c r="T857" t="s">
        <v>1231</v>
      </c>
      <c r="U857" t="s">
        <v>1232</v>
      </c>
      <c r="V857" t="s">
        <v>66</v>
      </c>
      <c r="W857" t="s">
        <v>66</v>
      </c>
      <c r="X857">
        <v>5362038</v>
      </c>
      <c r="Y857">
        <v>589824.18000000005</v>
      </c>
      <c r="Z857">
        <v>46926</v>
      </c>
      <c r="AA857">
        <v>5161.8599999999997</v>
      </c>
      <c r="AB857">
        <v>5951862.1799999997</v>
      </c>
      <c r="AC857">
        <v>6</v>
      </c>
      <c r="AD857" t="s">
        <v>82</v>
      </c>
      <c r="AE857">
        <v>6</v>
      </c>
      <c r="AF857" t="s">
        <v>344</v>
      </c>
      <c r="AG857">
        <f>IFERROR(VLOOKUP(AF857,[1]STOK!J:O,6,0),"")</f>
        <v>24</v>
      </c>
      <c r="AH857" s="2">
        <f t="shared" si="26"/>
        <v>0.25</v>
      </c>
      <c r="AI857" t="s">
        <v>344</v>
      </c>
      <c r="AJ857" t="s">
        <v>345</v>
      </c>
      <c r="AK857" t="s">
        <v>346</v>
      </c>
      <c r="AL857" t="s">
        <v>86</v>
      </c>
      <c r="AM857">
        <v>8769</v>
      </c>
      <c r="AN857">
        <f t="shared" si="27"/>
        <v>8681.31</v>
      </c>
      <c r="AO857" t="s">
        <v>66</v>
      </c>
      <c r="AP857">
        <v>1</v>
      </c>
      <c r="AQ857" t="s">
        <v>66</v>
      </c>
      <c r="AR857">
        <v>0</v>
      </c>
      <c r="AS857" t="s">
        <v>66</v>
      </c>
      <c r="AT857">
        <v>0</v>
      </c>
      <c r="AU857" t="s">
        <v>66</v>
      </c>
      <c r="AV857">
        <v>0</v>
      </c>
      <c r="AW857" t="s">
        <v>66</v>
      </c>
      <c r="AX857">
        <v>0</v>
      </c>
      <c r="AY857" t="s">
        <v>66</v>
      </c>
      <c r="AZ857">
        <v>0</v>
      </c>
      <c r="BA857" t="s">
        <v>66</v>
      </c>
      <c r="BB857">
        <v>0</v>
      </c>
      <c r="BC857">
        <v>0</v>
      </c>
      <c r="BD857">
        <v>52087.86</v>
      </c>
      <c r="BE857">
        <v>7028.61</v>
      </c>
      <c r="BF857">
        <v>0</v>
      </c>
      <c r="BG857" t="s">
        <v>87</v>
      </c>
      <c r="BH857" t="s">
        <v>66</v>
      </c>
      <c r="BI857">
        <v>0</v>
      </c>
      <c r="BJ857" t="s">
        <v>66</v>
      </c>
      <c r="BK857" t="s">
        <v>88</v>
      </c>
      <c r="BL857" t="s">
        <v>66</v>
      </c>
      <c r="BM857" t="s">
        <v>159</v>
      </c>
    </row>
    <row r="858" spans="1:65" x14ac:dyDescent="0.25">
      <c r="A858">
        <v>856</v>
      </c>
      <c r="B858" t="s">
        <v>1224</v>
      </c>
      <c r="C858" t="s">
        <v>68</v>
      </c>
      <c r="D858" s="1">
        <v>46214</v>
      </c>
      <c r="E858" t="s">
        <v>1225</v>
      </c>
      <c r="F858" t="s">
        <v>68</v>
      </c>
      <c r="G858" t="s">
        <v>295</v>
      </c>
      <c r="H858" t="s">
        <v>296</v>
      </c>
      <c r="I858" t="s">
        <v>71</v>
      </c>
      <c r="J858" t="s">
        <v>72</v>
      </c>
      <c r="K858" t="s">
        <v>73</v>
      </c>
      <c r="L858" t="s">
        <v>74</v>
      </c>
      <c r="M858" t="s">
        <v>1226</v>
      </c>
      <c r="N858" t="s">
        <v>76</v>
      </c>
      <c r="O858" t="s">
        <v>1227</v>
      </c>
      <c r="P858" t="s">
        <v>1228</v>
      </c>
      <c r="Q858" t="s">
        <v>1229</v>
      </c>
      <c r="R858" s="1">
        <v>46214</v>
      </c>
      <c r="S858" t="s">
        <v>1230</v>
      </c>
      <c r="T858" t="s">
        <v>1231</v>
      </c>
      <c r="U858" t="s">
        <v>1232</v>
      </c>
      <c r="V858" t="s">
        <v>66</v>
      </c>
      <c r="W858" t="s">
        <v>66</v>
      </c>
      <c r="X858">
        <v>5362038</v>
      </c>
      <c r="Y858">
        <v>589824.18000000005</v>
      </c>
      <c r="Z858">
        <v>196020</v>
      </c>
      <c r="AA858">
        <v>21562.2</v>
      </c>
      <c r="AB858">
        <v>5951862.1799999997</v>
      </c>
      <c r="AC858">
        <v>12</v>
      </c>
      <c r="AD858" t="s">
        <v>82</v>
      </c>
      <c r="AE858">
        <v>12</v>
      </c>
      <c r="AF858" t="s">
        <v>96</v>
      </c>
      <c r="AG858">
        <f>IFERROR(VLOOKUP(AF858,[1]STOK!J:O,6,0),"")</f>
        <v>24</v>
      </c>
      <c r="AH858" s="2">
        <f t="shared" si="26"/>
        <v>0.5</v>
      </c>
      <c r="AI858" t="s">
        <v>96</v>
      </c>
      <c r="AJ858" t="s">
        <v>97</v>
      </c>
      <c r="AK858" t="s">
        <v>98</v>
      </c>
      <c r="AL858" t="s">
        <v>86</v>
      </c>
      <c r="AM858">
        <v>18315</v>
      </c>
      <c r="AN858">
        <f t="shared" si="27"/>
        <v>18131.850000000002</v>
      </c>
      <c r="AO858" t="s">
        <v>66</v>
      </c>
      <c r="AP858">
        <v>1</v>
      </c>
      <c r="AQ858" t="s">
        <v>66</v>
      </c>
      <c r="AR858">
        <v>0</v>
      </c>
      <c r="AS858" t="s">
        <v>66</v>
      </c>
      <c r="AT858">
        <v>0</v>
      </c>
      <c r="AU858" t="s">
        <v>66</v>
      </c>
      <c r="AV858">
        <v>0</v>
      </c>
      <c r="AW858" t="s">
        <v>66</v>
      </c>
      <c r="AX858">
        <v>0</v>
      </c>
      <c r="AY858" t="s">
        <v>66</v>
      </c>
      <c r="AZ858">
        <v>0</v>
      </c>
      <c r="BA858" t="s">
        <v>66</v>
      </c>
      <c r="BB858">
        <v>0</v>
      </c>
      <c r="BC858">
        <v>0</v>
      </c>
      <c r="BD858">
        <v>217582.2</v>
      </c>
      <c r="BE858">
        <v>14932.9</v>
      </c>
      <c r="BF858">
        <v>0</v>
      </c>
      <c r="BG858" t="s">
        <v>87</v>
      </c>
      <c r="BH858" t="s">
        <v>66</v>
      </c>
      <c r="BI858">
        <v>0</v>
      </c>
      <c r="BJ858" t="s">
        <v>66</v>
      </c>
      <c r="BK858" t="s">
        <v>88</v>
      </c>
      <c r="BL858" t="s">
        <v>66</v>
      </c>
      <c r="BM858" t="s">
        <v>159</v>
      </c>
    </row>
    <row r="859" spans="1:65" x14ac:dyDescent="0.25">
      <c r="A859">
        <v>857</v>
      </c>
      <c r="B859" t="s">
        <v>1224</v>
      </c>
      <c r="C859" t="s">
        <v>68</v>
      </c>
      <c r="D859" s="1">
        <v>46214</v>
      </c>
      <c r="E859" t="s">
        <v>1225</v>
      </c>
      <c r="F859" t="s">
        <v>68</v>
      </c>
      <c r="G859" t="s">
        <v>295</v>
      </c>
      <c r="H859" t="s">
        <v>296</v>
      </c>
      <c r="I859" t="s">
        <v>71</v>
      </c>
      <c r="J859" t="s">
        <v>72</v>
      </c>
      <c r="K859" t="s">
        <v>73</v>
      </c>
      <c r="L859" t="s">
        <v>74</v>
      </c>
      <c r="M859" t="s">
        <v>1226</v>
      </c>
      <c r="N859" t="s">
        <v>76</v>
      </c>
      <c r="O859" t="s">
        <v>1227</v>
      </c>
      <c r="P859" t="s">
        <v>1228</v>
      </c>
      <c r="Q859" t="s">
        <v>1229</v>
      </c>
      <c r="R859" s="1">
        <v>46214</v>
      </c>
      <c r="S859" t="s">
        <v>1230</v>
      </c>
      <c r="T859" t="s">
        <v>1231</v>
      </c>
      <c r="U859" t="s">
        <v>1232</v>
      </c>
      <c r="V859" t="s">
        <v>66</v>
      </c>
      <c r="W859" t="s">
        <v>66</v>
      </c>
      <c r="X859">
        <v>5362038</v>
      </c>
      <c r="Y859">
        <v>589824.18000000005</v>
      </c>
      <c r="Z859">
        <v>392040</v>
      </c>
      <c r="AA859">
        <v>43124.4</v>
      </c>
      <c r="AB859">
        <v>5951862.1799999997</v>
      </c>
      <c r="AC859">
        <v>24</v>
      </c>
      <c r="AD859" t="s">
        <v>82</v>
      </c>
      <c r="AE859">
        <v>24</v>
      </c>
      <c r="AF859" t="s">
        <v>99</v>
      </c>
      <c r="AG859">
        <f>IFERROR(VLOOKUP(AF859,[1]STOK!J:O,6,0),"")</f>
        <v>24</v>
      </c>
      <c r="AH859" s="2">
        <f t="shared" si="26"/>
        <v>1</v>
      </c>
      <c r="AI859" t="s">
        <v>99</v>
      </c>
      <c r="AJ859" t="s">
        <v>100</v>
      </c>
      <c r="AK859" t="s">
        <v>101</v>
      </c>
      <c r="AL859" t="s">
        <v>86</v>
      </c>
      <c r="AM859">
        <v>18315</v>
      </c>
      <c r="AN859">
        <f t="shared" si="27"/>
        <v>18131.850000000002</v>
      </c>
      <c r="AO859" t="s">
        <v>66</v>
      </c>
      <c r="AP859">
        <v>1</v>
      </c>
      <c r="AQ859" t="s">
        <v>66</v>
      </c>
      <c r="AR859">
        <v>0</v>
      </c>
      <c r="AS859" t="s">
        <v>66</v>
      </c>
      <c r="AT859">
        <v>0</v>
      </c>
      <c r="AU859" t="s">
        <v>66</v>
      </c>
      <c r="AV859">
        <v>0</v>
      </c>
      <c r="AW859" t="s">
        <v>66</v>
      </c>
      <c r="AX859">
        <v>0</v>
      </c>
      <c r="AY859" t="s">
        <v>66</v>
      </c>
      <c r="AZ859">
        <v>0</v>
      </c>
      <c r="BA859" t="s">
        <v>66</v>
      </c>
      <c r="BB859">
        <v>0</v>
      </c>
      <c r="BC859">
        <v>0</v>
      </c>
      <c r="BD859">
        <v>435164.4</v>
      </c>
      <c r="BE859">
        <v>14921.25</v>
      </c>
      <c r="BF859">
        <v>0</v>
      </c>
      <c r="BG859" t="s">
        <v>87</v>
      </c>
      <c r="BH859" t="s">
        <v>66</v>
      </c>
      <c r="BI859">
        <v>0</v>
      </c>
      <c r="BJ859" t="s">
        <v>66</v>
      </c>
      <c r="BK859" t="s">
        <v>88</v>
      </c>
      <c r="BL859" t="s">
        <v>66</v>
      </c>
      <c r="BM859" t="s">
        <v>159</v>
      </c>
    </row>
    <row r="860" spans="1:65" x14ac:dyDescent="0.25">
      <c r="A860">
        <v>858</v>
      </c>
      <c r="B860" t="s">
        <v>1224</v>
      </c>
      <c r="C860" t="s">
        <v>68</v>
      </c>
      <c r="D860" s="1">
        <v>46214</v>
      </c>
      <c r="E860" t="s">
        <v>1225</v>
      </c>
      <c r="F860" t="s">
        <v>68</v>
      </c>
      <c r="G860" t="s">
        <v>295</v>
      </c>
      <c r="H860" t="s">
        <v>296</v>
      </c>
      <c r="I860" t="s">
        <v>71</v>
      </c>
      <c r="J860" t="s">
        <v>72</v>
      </c>
      <c r="K860" t="s">
        <v>73</v>
      </c>
      <c r="L860" t="s">
        <v>74</v>
      </c>
      <c r="M860" t="s">
        <v>1226</v>
      </c>
      <c r="N860" t="s">
        <v>76</v>
      </c>
      <c r="O860" t="s">
        <v>1227</v>
      </c>
      <c r="P860" t="s">
        <v>1228</v>
      </c>
      <c r="Q860" t="s">
        <v>1229</v>
      </c>
      <c r="R860" s="1">
        <v>46214</v>
      </c>
      <c r="S860" t="s">
        <v>1230</v>
      </c>
      <c r="T860" t="s">
        <v>1231</v>
      </c>
      <c r="U860" t="s">
        <v>1232</v>
      </c>
      <c r="V860" t="s">
        <v>66</v>
      </c>
      <c r="W860" t="s">
        <v>66</v>
      </c>
      <c r="X860">
        <v>5362038</v>
      </c>
      <c r="Y860">
        <v>589824.18000000005</v>
      </c>
      <c r="Z860">
        <v>1537272</v>
      </c>
      <c r="AA860">
        <v>169099.92</v>
      </c>
      <c r="AB860">
        <v>5951862.1799999997</v>
      </c>
      <c r="AC860">
        <v>12</v>
      </c>
      <c r="AD860" t="s">
        <v>82</v>
      </c>
      <c r="AE860">
        <v>12</v>
      </c>
      <c r="AF860" t="s">
        <v>522</v>
      </c>
      <c r="AG860">
        <f>IFERROR(VLOOKUP(AF860,[1]STOK!J:O,6,0),"")</f>
        <v>4</v>
      </c>
      <c r="AH860" s="2">
        <f t="shared" si="26"/>
        <v>3</v>
      </c>
      <c r="AI860" t="s">
        <v>522</v>
      </c>
      <c r="AJ860" t="s">
        <v>523</v>
      </c>
      <c r="AK860" t="s">
        <v>524</v>
      </c>
      <c r="AL860" t="s">
        <v>86</v>
      </c>
      <c r="AM860">
        <v>143634</v>
      </c>
      <c r="AN860">
        <f t="shared" si="27"/>
        <v>142197.66</v>
      </c>
      <c r="AO860" t="s">
        <v>66</v>
      </c>
      <c r="AP860">
        <v>1</v>
      </c>
      <c r="AQ860" t="s">
        <v>66</v>
      </c>
      <c r="AR860">
        <v>0</v>
      </c>
      <c r="AS860" t="s">
        <v>66</v>
      </c>
      <c r="AT860">
        <v>0</v>
      </c>
      <c r="AU860" t="s">
        <v>66</v>
      </c>
      <c r="AV860">
        <v>0</v>
      </c>
      <c r="AW860" t="s">
        <v>66</v>
      </c>
      <c r="AX860">
        <v>0</v>
      </c>
      <c r="AY860" t="s">
        <v>66</v>
      </c>
      <c r="AZ860">
        <v>0</v>
      </c>
      <c r="BA860" t="s">
        <v>66</v>
      </c>
      <c r="BB860">
        <v>0</v>
      </c>
      <c r="BC860">
        <v>0</v>
      </c>
      <c r="BD860">
        <v>1706371.92</v>
      </c>
      <c r="BE860">
        <v>115210.12</v>
      </c>
      <c r="BF860">
        <v>0</v>
      </c>
      <c r="BG860" t="s">
        <v>87</v>
      </c>
      <c r="BH860" t="s">
        <v>66</v>
      </c>
      <c r="BI860">
        <v>0</v>
      </c>
      <c r="BJ860" t="s">
        <v>66</v>
      </c>
      <c r="BK860" t="s">
        <v>88</v>
      </c>
      <c r="BL860" t="s">
        <v>66</v>
      </c>
      <c r="BM860" t="s">
        <v>159</v>
      </c>
    </row>
    <row r="861" spans="1:65" x14ac:dyDescent="0.25">
      <c r="A861">
        <v>859</v>
      </c>
      <c r="B861" t="s">
        <v>1224</v>
      </c>
      <c r="C861" t="s">
        <v>68</v>
      </c>
      <c r="D861" s="1">
        <v>46214</v>
      </c>
      <c r="E861" t="s">
        <v>1225</v>
      </c>
      <c r="F861" t="s">
        <v>68</v>
      </c>
      <c r="G861" t="s">
        <v>295</v>
      </c>
      <c r="H861" t="s">
        <v>296</v>
      </c>
      <c r="I861" t="s">
        <v>71</v>
      </c>
      <c r="J861" t="s">
        <v>72</v>
      </c>
      <c r="K861" t="s">
        <v>73</v>
      </c>
      <c r="L861" t="s">
        <v>74</v>
      </c>
      <c r="M861" t="s">
        <v>1226</v>
      </c>
      <c r="N861" t="s">
        <v>76</v>
      </c>
      <c r="O861" t="s">
        <v>1227</v>
      </c>
      <c r="P861" t="s">
        <v>1228</v>
      </c>
      <c r="Q861" t="s">
        <v>1229</v>
      </c>
      <c r="R861" s="1">
        <v>46214</v>
      </c>
      <c r="S861" t="s">
        <v>1230</v>
      </c>
      <c r="T861" t="s">
        <v>1231</v>
      </c>
      <c r="U861" t="s">
        <v>1232</v>
      </c>
      <c r="V861" t="s">
        <v>66</v>
      </c>
      <c r="W861" t="s">
        <v>66</v>
      </c>
      <c r="X861">
        <v>5362038</v>
      </c>
      <c r="Y861">
        <v>589824.18000000005</v>
      </c>
      <c r="Z861">
        <v>921888</v>
      </c>
      <c r="AA861">
        <v>101407.67999999999</v>
      </c>
      <c r="AB861">
        <v>5951862.1799999997</v>
      </c>
      <c r="AC861">
        <v>48</v>
      </c>
      <c r="AD861" t="s">
        <v>82</v>
      </c>
      <c r="AE861">
        <v>48</v>
      </c>
      <c r="AF861" t="s">
        <v>284</v>
      </c>
      <c r="AG861">
        <f>IFERROR(VLOOKUP(AF861,[1]STOK!J:O,6,0),"")</f>
        <v>12</v>
      </c>
      <c r="AH861" s="2">
        <f t="shared" si="26"/>
        <v>4</v>
      </c>
      <c r="AI861" t="s">
        <v>284</v>
      </c>
      <c r="AJ861" t="s">
        <v>285</v>
      </c>
      <c r="AK861" t="s">
        <v>286</v>
      </c>
      <c r="AL861" t="s">
        <v>86</v>
      </c>
      <c r="AM861">
        <v>21534</v>
      </c>
      <c r="AN861">
        <f t="shared" si="27"/>
        <v>21318.66</v>
      </c>
      <c r="AO861" t="s">
        <v>66</v>
      </c>
      <c r="AP861">
        <v>1</v>
      </c>
      <c r="AQ861" t="s">
        <v>66</v>
      </c>
      <c r="AR861">
        <v>0</v>
      </c>
      <c r="AS861" t="s">
        <v>66</v>
      </c>
      <c r="AT861">
        <v>0</v>
      </c>
      <c r="AU861" t="s">
        <v>66</v>
      </c>
      <c r="AV861">
        <v>0</v>
      </c>
      <c r="AW861" t="s">
        <v>66</v>
      </c>
      <c r="AX861">
        <v>0</v>
      </c>
      <c r="AY861" t="s">
        <v>66</v>
      </c>
      <c r="AZ861">
        <v>0</v>
      </c>
      <c r="BA861" t="s">
        <v>66</v>
      </c>
      <c r="BB861">
        <v>0</v>
      </c>
      <c r="BC861">
        <v>0</v>
      </c>
      <c r="BD861">
        <v>1023295.68</v>
      </c>
      <c r="BE861">
        <v>17475.419999999998</v>
      </c>
      <c r="BF861">
        <v>0</v>
      </c>
      <c r="BG861" t="s">
        <v>87</v>
      </c>
      <c r="BH861" t="s">
        <v>66</v>
      </c>
      <c r="BI861">
        <v>0</v>
      </c>
      <c r="BJ861" t="s">
        <v>66</v>
      </c>
      <c r="BK861" t="s">
        <v>88</v>
      </c>
      <c r="BL861" t="s">
        <v>66</v>
      </c>
      <c r="BM861" t="s">
        <v>159</v>
      </c>
    </row>
    <row r="862" spans="1:65" x14ac:dyDescent="0.25">
      <c r="A862">
        <v>860</v>
      </c>
      <c r="B862" t="s">
        <v>1224</v>
      </c>
      <c r="C862" t="s">
        <v>68</v>
      </c>
      <c r="D862" s="1">
        <v>46214</v>
      </c>
      <c r="E862" t="s">
        <v>1225</v>
      </c>
      <c r="F862" t="s">
        <v>68</v>
      </c>
      <c r="G862" t="s">
        <v>295</v>
      </c>
      <c r="H862" t="s">
        <v>296</v>
      </c>
      <c r="I862" t="s">
        <v>71</v>
      </c>
      <c r="J862" t="s">
        <v>72</v>
      </c>
      <c r="K862" t="s">
        <v>73</v>
      </c>
      <c r="L862" t="s">
        <v>74</v>
      </c>
      <c r="M862" t="s">
        <v>1226</v>
      </c>
      <c r="N862" t="s">
        <v>76</v>
      </c>
      <c r="O862" t="s">
        <v>1227</v>
      </c>
      <c r="P862" t="s">
        <v>1228</v>
      </c>
      <c r="Q862" t="s">
        <v>1229</v>
      </c>
      <c r="R862" s="1">
        <v>46214</v>
      </c>
      <c r="S862" t="s">
        <v>1230</v>
      </c>
      <c r="T862" t="s">
        <v>1231</v>
      </c>
      <c r="U862" t="s">
        <v>1232</v>
      </c>
      <c r="V862" t="s">
        <v>66</v>
      </c>
      <c r="W862" t="s">
        <v>66</v>
      </c>
      <c r="X862">
        <v>5362038</v>
      </c>
      <c r="Y862">
        <v>589824.18000000005</v>
      </c>
      <c r="Z862">
        <v>460944</v>
      </c>
      <c r="AA862">
        <v>50703.839999999997</v>
      </c>
      <c r="AB862">
        <v>5951862.1799999997</v>
      </c>
      <c r="AC862">
        <v>24</v>
      </c>
      <c r="AD862" t="s">
        <v>82</v>
      </c>
      <c r="AE862">
        <v>24</v>
      </c>
      <c r="AF862" t="s">
        <v>287</v>
      </c>
      <c r="AG862">
        <f>IFERROR(VLOOKUP(AF862,[1]STOK!J:O,6,0),"")</f>
        <v>12</v>
      </c>
      <c r="AH862" s="2">
        <f t="shared" si="26"/>
        <v>2</v>
      </c>
      <c r="AI862" t="s">
        <v>287</v>
      </c>
      <c r="AJ862" t="s">
        <v>288</v>
      </c>
      <c r="AK862" t="s">
        <v>289</v>
      </c>
      <c r="AL862" t="s">
        <v>86</v>
      </c>
      <c r="AM862">
        <v>21534</v>
      </c>
      <c r="AN862">
        <f t="shared" si="27"/>
        <v>21318.66</v>
      </c>
      <c r="AO862" t="s">
        <v>66</v>
      </c>
      <c r="AP862">
        <v>1</v>
      </c>
      <c r="AQ862" t="s">
        <v>66</v>
      </c>
      <c r="AR862">
        <v>0</v>
      </c>
      <c r="AS862" t="s">
        <v>66</v>
      </c>
      <c r="AT862">
        <v>0</v>
      </c>
      <c r="AU862" t="s">
        <v>66</v>
      </c>
      <c r="AV862">
        <v>0</v>
      </c>
      <c r="AW862" t="s">
        <v>66</v>
      </c>
      <c r="AX862">
        <v>0</v>
      </c>
      <c r="AY862" t="s">
        <v>66</v>
      </c>
      <c r="AZ862">
        <v>0</v>
      </c>
      <c r="BA862" t="s">
        <v>66</v>
      </c>
      <c r="BB862">
        <v>0</v>
      </c>
      <c r="BC862">
        <v>0</v>
      </c>
      <c r="BD862">
        <v>511647.84</v>
      </c>
      <c r="BE862">
        <v>17453.490000000002</v>
      </c>
      <c r="BF862">
        <v>0</v>
      </c>
      <c r="BG862" t="s">
        <v>87</v>
      </c>
      <c r="BH862" t="s">
        <v>66</v>
      </c>
      <c r="BI862">
        <v>0</v>
      </c>
      <c r="BJ862" t="s">
        <v>66</v>
      </c>
      <c r="BK862" t="s">
        <v>88</v>
      </c>
      <c r="BL862" t="s">
        <v>66</v>
      </c>
      <c r="BM862" t="s">
        <v>159</v>
      </c>
    </row>
    <row r="863" spans="1:65" x14ac:dyDescent="0.25">
      <c r="A863">
        <v>861</v>
      </c>
      <c r="B863" t="s">
        <v>1224</v>
      </c>
      <c r="C863" t="s">
        <v>68</v>
      </c>
      <c r="D863" s="1">
        <v>46214</v>
      </c>
      <c r="E863" t="s">
        <v>1225</v>
      </c>
      <c r="F863" t="s">
        <v>68</v>
      </c>
      <c r="G863" t="s">
        <v>295</v>
      </c>
      <c r="H863" t="s">
        <v>296</v>
      </c>
      <c r="I863" t="s">
        <v>71</v>
      </c>
      <c r="J863" t="s">
        <v>72</v>
      </c>
      <c r="K863" t="s">
        <v>73</v>
      </c>
      <c r="L863" t="s">
        <v>74</v>
      </c>
      <c r="M863" t="s">
        <v>1226</v>
      </c>
      <c r="N863" t="s">
        <v>76</v>
      </c>
      <c r="O863" t="s">
        <v>1227</v>
      </c>
      <c r="P863" t="s">
        <v>1228</v>
      </c>
      <c r="Q863" t="s">
        <v>1229</v>
      </c>
      <c r="R863" s="1">
        <v>46214</v>
      </c>
      <c r="S863" t="s">
        <v>1230</v>
      </c>
      <c r="T863" t="s">
        <v>1231</v>
      </c>
      <c r="U863" t="s">
        <v>1232</v>
      </c>
      <c r="V863" t="s">
        <v>66</v>
      </c>
      <c r="W863" t="s">
        <v>66</v>
      </c>
      <c r="X863">
        <v>5362038</v>
      </c>
      <c r="Y863">
        <v>589824.18000000005</v>
      </c>
      <c r="Z863">
        <v>12474</v>
      </c>
      <c r="AA863">
        <v>1372.14</v>
      </c>
      <c r="AB863">
        <v>5951862.1799999997</v>
      </c>
      <c r="AC863">
        <v>3</v>
      </c>
      <c r="AD863" t="s">
        <v>82</v>
      </c>
      <c r="AE863">
        <v>3</v>
      </c>
      <c r="AF863" t="s">
        <v>131</v>
      </c>
      <c r="AG863">
        <f>IFERROR(VLOOKUP(AF863,[1]STOK!J:O,6,0),"")</f>
        <v>24</v>
      </c>
      <c r="AH863" s="2">
        <f t="shared" si="26"/>
        <v>0.125</v>
      </c>
      <c r="AI863" t="s">
        <v>131</v>
      </c>
      <c r="AJ863" t="s">
        <v>132</v>
      </c>
      <c r="AK863" t="s">
        <v>133</v>
      </c>
      <c r="AL863" t="s">
        <v>86</v>
      </c>
      <c r="AM863">
        <v>4662</v>
      </c>
      <c r="AN863">
        <f t="shared" si="27"/>
        <v>4615.38</v>
      </c>
      <c r="AO863" t="s">
        <v>66</v>
      </c>
      <c r="AP863">
        <v>1</v>
      </c>
      <c r="AQ863" t="s">
        <v>66</v>
      </c>
      <c r="AR863">
        <v>0</v>
      </c>
      <c r="AS863" t="s">
        <v>66</v>
      </c>
      <c r="AT863">
        <v>0</v>
      </c>
      <c r="AU863" t="s">
        <v>66</v>
      </c>
      <c r="AV863">
        <v>0</v>
      </c>
      <c r="AW863" t="s">
        <v>66</v>
      </c>
      <c r="AX863">
        <v>0</v>
      </c>
      <c r="AY863" t="s">
        <v>66</v>
      </c>
      <c r="AZ863">
        <v>0</v>
      </c>
      <c r="BA863" t="s">
        <v>66</v>
      </c>
      <c r="BB863">
        <v>0</v>
      </c>
      <c r="BC863">
        <v>0</v>
      </c>
      <c r="BD863">
        <v>13846.14</v>
      </c>
      <c r="BE863">
        <v>3790.62</v>
      </c>
      <c r="BF863">
        <v>0</v>
      </c>
      <c r="BG863" t="s">
        <v>87</v>
      </c>
      <c r="BH863" t="s">
        <v>66</v>
      </c>
      <c r="BI863">
        <v>0</v>
      </c>
      <c r="BJ863" t="s">
        <v>66</v>
      </c>
      <c r="BK863" t="s">
        <v>88</v>
      </c>
      <c r="BL863" t="s">
        <v>66</v>
      </c>
      <c r="BM863" t="s">
        <v>159</v>
      </c>
    </row>
    <row r="864" spans="1:65" x14ac:dyDescent="0.25">
      <c r="A864">
        <v>862</v>
      </c>
      <c r="B864" t="s">
        <v>1224</v>
      </c>
      <c r="C864" t="s">
        <v>68</v>
      </c>
      <c r="D864" s="1">
        <v>46214</v>
      </c>
      <c r="E864" t="s">
        <v>1225</v>
      </c>
      <c r="F864" t="s">
        <v>68</v>
      </c>
      <c r="G864" t="s">
        <v>295</v>
      </c>
      <c r="H864" t="s">
        <v>296</v>
      </c>
      <c r="I864" t="s">
        <v>71</v>
      </c>
      <c r="J864" t="s">
        <v>72</v>
      </c>
      <c r="K864" t="s">
        <v>73</v>
      </c>
      <c r="L864" t="s">
        <v>74</v>
      </c>
      <c r="M864" t="s">
        <v>1226</v>
      </c>
      <c r="N864" t="s">
        <v>76</v>
      </c>
      <c r="O864" t="s">
        <v>1227</v>
      </c>
      <c r="P864" t="s">
        <v>1228</v>
      </c>
      <c r="Q864" t="s">
        <v>1229</v>
      </c>
      <c r="R864" s="1">
        <v>46214</v>
      </c>
      <c r="S864" t="s">
        <v>1230</v>
      </c>
      <c r="T864" t="s">
        <v>1231</v>
      </c>
      <c r="U864" t="s">
        <v>1232</v>
      </c>
      <c r="V864" t="s">
        <v>66</v>
      </c>
      <c r="W864" t="s">
        <v>66</v>
      </c>
      <c r="X864">
        <v>5362038</v>
      </c>
      <c r="Y864">
        <v>589824.18000000005</v>
      </c>
      <c r="Z864">
        <v>15741</v>
      </c>
      <c r="AA864">
        <v>1731.51</v>
      </c>
      <c r="AB864">
        <v>5951862.1799999997</v>
      </c>
      <c r="AC864">
        <v>3</v>
      </c>
      <c r="AD864" t="s">
        <v>82</v>
      </c>
      <c r="AE864">
        <v>3</v>
      </c>
      <c r="AF864" t="s">
        <v>633</v>
      </c>
      <c r="AG864">
        <f>IFERROR(VLOOKUP(AF864,[1]STOK!J:O,6,0),"")</f>
        <v>24</v>
      </c>
      <c r="AH864" s="2">
        <f t="shared" si="26"/>
        <v>0.125</v>
      </c>
      <c r="AI864" t="s">
        <v>633</v>
      </c>
      <c r="AJ864" t="s">
        <v>634</v>
      </c>
      <c r="AK864" t="s">
        <v>635</v>
      </c>
      <c r="AL864" t="s">
        <v>86</v>
      </c>
      <c r="AM864">
        <v>5883</v>
      </c>
      <c r="AN864">
        <f t="shared" si="27"/>
        <v>5824.1699999999992</v>
      </c>
      <c r="AO864" t="s">
        <v>66</v>
      </c>
      <c r="AP864">
        <v>1</v>
      </c>
      <c r="AQ864" t="s">
        <v>66</v>
      </c>
      <c r="AR864">
        <v>0</v>
      </c>
      <c r="AS864" t="s">
        <v>66</v>
      </c>
      <c r="AT864">
        <v>0</v>
      </c>
      <c r="AU864" t="s">
        <v>66</v>
      </c>
      <c r="AV864">
        <v>0</v>
      </c>
      <c r="AW864" t="s">
        <v>66</v>
      </c>
      <c r="AX864">
        <v>0</v>
      </c>
      <c r="AY864" t="s">
        <v>66</v>
      </c>
      <c r="AZ864">
        <v>0</v>
      </c>
      <c r="BA864" t="s">
        <v>66</v>
      </c>
      <c r="BB864">
        <v>0</v>
      </c>
      <c r="BC864">
        <v>0</v>
      </c>
      <c r="BD864">
        <v>17472.509999999998</v>
      </c>
      <c r="BE864">
        <v>4779.55</v>
      </c>
      <c r="BF864">
        <v>0</v>
      </c>
      <c r="BG864" t="s">
        <v>87</v>
      </c>
      <c r="BH864" t="s">
        <v>66</v>
      </c>
      <c r="BI864">
        <v>0</v>
      </c>
      <c r="BJ864" t="s">
        <v>66</v>
      </c>
      <c r="BK864" t="s">
        <v>88</v>
      </c>
      <c r="BL864" t="s">
        <v>66</v>
      </c>
      <c r="BM864" t="s">
        <v>159</v>
      </c>
    </row>
    <row r="865" spans="1:65" x14ac:dyDescent="0.25">
      <c r="A865">
        <v>863</v>
      </c>
      <c r="B865" t="s">
        <v>1224</v>
      </c>
      <c r="C865" t="s">
        <v>68</v>
      </c>
      <c r="D865" s="1">
        <v>46214</v>
      </c>
      <c r="E865" t="s">
        <v>1225</v>
      </c>
      <c r="F865" t="s">
        <v>68</v>
      </c>
      <c r="G865" t="s">
        <v>295</v>
      </c>
      <c r="H865" t="s">
        <v>296</v>
      </c>
      <c r="I865" t="s">
        <v>71</v>
      </c>
      <c r="J865" t="s">
        <v>72</v>
      </c>
      <c r="K865" t="s">
        <v>73</v>
      </c>
      <c r="L865" t="s">
        <v>74</v>
      </c>
      <c r="M865" t="s">
        <v>1226</v>
      </c>
      <c r="N865" t="s">
        <v>76</v>
      </c>
      <c r="O865" t="s">
        <v>1227</v>
      </c>
      <c r="P865" t="s">
        <v>1228</v>
      </c>
      <c r="Q865" t="s">
        <v>1229</v>
      </c>
      <c r="R865" s="1">
        <v>46214</v>
      </c>
      <c r="S865" t="s">
        <v>1230</v>
      </c>
      <c r="T865" t="s">
        <v>1231</v>
      </c>
      <c r="U865" t="s">
        <v>1232</v>
      </c>
      <c r="V865" t="s">
        <v>66</v>
      </c>
      <c r="W865" t="s">
        <v>66</v>
      </c>
      <c r="X865">
        <v>5362038</v>
      </c>
      <c r="Y865">
        <v>589824.18000000005</v>
      </c>
      <c r="Z865">
        <v>316008</v>
      </c>
      <c r="AA865">
        <v>34760.879999999997</v>
      </c>
      <c r="AB865">
        <v>5951862.1799999997</v>
      </c>
      <c r="AC865">
        <v>24</v>
      </c>
      <c r="AD865" t="s">
        <v>82</v>
      </c>
      <c r="AE865">
        <v>24</v>
      </c>
      <c r="AF865" t="s">
        <v>210</v>
      </c>
      <c r="AG865">
        <f>IFERROR(VLOOKUP(AF865,[1]STOK!J:O,6,0),"")</f>
        <v>12</v>
      </c>
      <c r="AH865" s="2">
        <f t="shared" si="26"/>
        <v>2</v>
      </c>
      <c r="AI865" t="s">
        <v>210</v>
      </c>
      <c r="AJ865" t="s">
        <v>211</v>
      </c>
      <c r="AK865" t="s">
        <v>212</v>
      </c>
      <c r="AL865" t="s">
        <v>86</v>
      </c>
      <c r="AM865">
        <v>14763</v>
      </c>
      <c r="AN865">
        <f t="shared" si="27"/>
        <v>14615.37</v>
      </c>
      <c r="AO865" t="s">
        <v>66</v>
      </c>
      <c r="AP865">
        <v>1</v>
      </c>
      <c r="AQ865" t="s">
        <v>66</v>
      </c>
      <c r="AR865">
        <v>0</v>
      </c>
      <c r="AS865" t="s">
        <v>66</v>
      </c>
      <c r="AT865">
        <v>0</v>
      </c>
      <c r="AU865" t="s">
        <v>66</v>
      </c>
      <c r="AV865">
        <v>0</v>
      </c>
      <c r="AW865" t="s">
        <v>66</v>
      </c>
      <c r="AX865">
        <v>0</v>
      </c>
      <c r="AY865" t="s">
        <v>66</v>
      </c>
      <c r="AZ865">
        <v>0</v>
      </c>
      <c r="BA865" t="s">
        <v>66</v>
      </c>
      <c r="BB865">
        <v>0</v>
      </c>
      <c r="BC865">
        <v>0</v>
      </c>
      <c r="BD865">
        <v>350768.88</v>
      </c>
      <c r="BE865">
        <v>12023.52</v>
      </c>
      <c r="BF865">
        <v>0</v>
      </c>
      <c r="BG865" t="s">
        <v>87</v>
      </c>
      <c r="BH865" t="s">
        <v>66</v>
      </c>
      <c r="BI865">
        <v>0</v>
      </c>
      <c r="BJ865" t="s">
        <v>66</v>
      </c>
      <c r="BK865" t="s">
        <v>88</v>
      </c>
      <c r="BL865" t="s">
        <v>66</v>
      </c>
      <c r="BM865" t="s">
        <v>159</v>
      </c>
    </row>
    <row r="866" spans="1:65" x14ac:dyDescent="0.25">
      <c r="A866">
        <v>864</v>
      </c>
      <c r="B866" t="s">
        <v>1224</v>
      </c>
      <c r="C866" t="s">
        <v>68</v>
      </c>
      <c r="D866" s="1">
        <v>46214</v>
      </c>
      <c r="E866" t="s">
        <v>1225</v>
      </c>
      <c r="F866" t="s">
        <v>68</v>
      </c>
      <c r="G866" t="s">
        <v>295</v>
      </c>
      <c r="H866" t="s">
        <v>296</v>
      </c>
      <c r="I866" t="s">
        <v>71</v>
      </c>
      <c r="J866" t="s">
        <v>72</v>
      </c>
      <c r="K866" t="s">
        <v>73</v>
      </c>
      <c r="L866" t="s">
        <v>74</v>
      </c>
      <c r="M866" t="s">
        <v>1226</v>
      </c>
      <c r="N866" t="s">
        <v>76</v>
      </c>
      <c r="O866" t="s">
        <v>1227</v>
      </c>
      <c r="P866" t="s">
        <v>1228</v>
      </c>
      <c r="Q866" t="s">
        <v>1229</v>
      </c>
      <c r="R866" s="1">
        <v>46214</v>
      </c>
      <c r="S866" t="s">
        <v>1230</v>
      </c>
      <c r="T866" t="s">
        <v>1231</v>
      </c>
      <c r="U866" t="s">
        <v>1232</v>
      </c>
      <c r="V866" t="s">
        <v>66</v>
      </c>
      <c r="W866" t="s">
        <v>66</v>
      </c>
      <c r="X866">
        <v>5362038</v>
      </c>
      <c r="Y866">
        <v>589824.18000000005</v>
      </c>
      <c r="Z866">
        <v>205524</v>
      </c>
      <c r="AA866">
        <v>22607.64</v>
      </c>
      <c r="AB866">
        <v>5951862.1799999997</v>
      </c>
      <c r="AC866">
        <v>12</v>
      </c>
      <c r="AD866" t="s">
        <v>82</v>
      </c>
      <c r="AE866">
        <v>12</v>
      </c>
      <c r="AF866" t="s">
        <v>359</v>
      </c>
      <c r="AG866">
        <f>IFERROR(VLOOKUP(AF866,[1]STOK!J:O,6,0),"")</f>
        <v>12</v>
      </c>
      <c r="AH866" s="2">
        <f t="shared" si="26"/>
        <v>1</v>
      </c>
      <c r="AI866" t="s">
        <v>359</v>
      </c>
      <c r="AJ866" t="s">
        <v>360</v>
      </c>
      <c r="AK866" t="s">
        <v>361</v>
      </c>
      <c r="AL866" t="s">
        <v>86</v>
      </c>
      <c r="AM866">
        <v>19203</v>
      </c>
      <c r="AN866">
        <f t="shared" si="27"/>
        <v>19010.97</v>
      </c>
      <c r="AO866" t="s">
        <v>66</v>
      </c>
      <c r="AP866">
        <v>1</v>
      </c>
      <c r="AQ866" t="s">
        <v>66</v>
      </c>
      <c r="AR866">
        <v>0</v>
      </c>
      <c r="AS866" t="s">
        <v>66</v>
      </c>
      <c r="AT866">
        <v>0</v>
      </c>
      <c r="AU866" t="s">
        <v>66</v>
      </c>
      <c r="AV866">
        <v>0</v>
      </c>
      <c r="AW866" t="s">
        <v>66</v>
      </c>
      <c r="AX866">
        <v>0</v>
      </c>
      <c r="AY866" t="s">
        <v>66</v>
      </c>
      <c r="AZ866">
        <v>0</v>
      </c>
      <c r="BA866" t="s">
        <v>66</v>
      </c>
      <c r="BB866">
        <v>0</v>
      </c>
      <c r="BC866">
        <v>0</v>
      </c>
      <c r="BD866">
        <v>228131.64</v>
      </c>
      <c r="BE866">
        <v>15641.37</v>
      </c>
      <c r="BF866">
        <v>0</v>
      </c>
      <c r="BG866" t="s">
        <v>87</v>
      </c>
      <c r="BH866" t="s">
        <v>66</v>
      </c>
      <c r="BI866">
        <v>0</v>
      </c>
      <c r="BJ866" t="s">
        <v>66</v>
      </c>
      <c r="BK866" t="s">
        <v>88</v>
      </c>
      <c r="BL866" t="s">
        <v>66</v>
      </c>
      <c r="BM866" t="s">
        <v>159</v>
      </c>
    </row>
    <row r="867" spans="1:65" x14ac:dyDescent="0.25">
      <c r="A867">
        <v>865</v>
      </c>
      <c r="B867" t="s">
        <v>1224</v>
      </c>
      <c r="C867" t="s">
        <v>68</v>
      </c>
      <c r="D867" s="1">
        <v>46214</v>
      </c>
      <c r="E867" t="s">
        <v>1225</v>
      </c>
      <c r="F867" t="s">
        <v>68</v>
      </c>
      <c r="G867" t="s">
        <v>295</v>
      </c>
      <c r="H867" t="s">
        <v>296</v>
      </c>
      <c r="I867" t="s">
        <v>71</v>
      </c>
      <c r="J867" t="s">
        <v>72</v>
      </c>
      <c r="K867" t="s">
        <v>73</v>
      </c>
      <c r="L867" t="s">
        <v>74</v>
      </c>
      <c r="M867" t="s">
        <v>1226</v>
      </c>
      <c r="N867" t="s">
        <v>76</v>
      </c>
      <c r="O867" t="s">
        <v>1227</v>
      </c>
      <c r="P867" t="s">
        <v>1228</v>
      </c>
      <c r="Q867" t="s">
        <v>1229</v>
      </c>
      <c r="R867" s="1">
        <v>46214</v>
      </c>
      <c r="S867" t="s">
        <v>1230</v>
      </c>
      <c r="T867" t="s">
        <v>1231</v>
      </c>
      <c r="U867" t="s">
        <v>1232</v>
      </c>
      <c r="V867" t="s">
        <v>66</v>
      </c>
      <c r="W867" t="s">
        <v>66</v>
      </c>
      <c r="X867">
        <v>5362038</v>
      </c>
      <c r="Y867">
        <v>589824.18000000005</v>
      </c>
      <c r="Z867">
        <v>171072</v>
      </c>
      <c r="AA867">
        <v>18817.919999999998</v>
      </c>
      <c r="AB867">
        <v>5951862.1799999997</v>
      </c>
      <c r="AC867">
        <v>12</v>
      </c>
      <c r="AD867" t="s">
        <v>82</v>
      </c>
      <c r="AE867">
        <v>12</v>
      </c>
      <c r="AF867" t="s">
        <v>141</v>
      </c>
      <c r="AG867">
        <f>IFERROR(VLOOKUP(AF867,[1]STOK!J:O,6,0),"")</f>
        <v>12</v>
      </c>
      <c r="AH867" s="2">
        <f t="shared" si="26"/>
        <v>1</v>
      </c>
      <c r="AI867" t="s">
        <v>141</v>
      </c>
      <c r="AJ867" t="s">
        <v>142</v>
      </c>
      <c r="AK867" t="s">
        <v>143</v>
      </c>
      <c r="AL867" t="s">
        <v>86</v>
      </c>
      <c r="AM867">
        <v>15984</v>
      </c>
      <c r="AN867">
        <f t="shared" si="27"/>
        <v>15824.160000000002</v>
      </c>
      <c r="AO867" t="s">
        <v>66</v>
      </c>
      <c r="AP867">
        <v>1</v>
      </c>
      <c r="AQ867" t="s">
        <v>66</v>
      </c>
      <c r="AR867">
        <v>0</v>
      </c>
      <c r="AS867" t="s">
        <v>66</v>
      </c>
      <c r="AT867">
        <v>0</v>
      </c>
      <c r="AU867" t="s">
        <v>66</v>
      </c>
      <c r="AV867">
        <v>0</v>
      </c>
      <c r="AW867" t="s">
        <v>66</v>
      </c>
      <c r="AX867">
        <v>0</v>
      </c>
      <c r="AY867" t="s">
        <v>66</v>
      </c>
      <c r="AZ867">
        <v>0</v>
      </c>
      <c r="BA867" t="s">
        <v>66</v>
      </c>
      <c r="BB867">
        <v>0</v>
      </c>
      <c r="BC867">
        <v>0</v>
      </c>
      <c r="BD867">
        <v>189889.92000000001</v>
      </c>
      <c r="BE867">
        <v>13031.69</v>
      </c>
      <c r="BF867">
        <v>0</v>
      </c>
      <c r="BG867" t="s">
        <v>87</v>
      </c>
      <c r="BH867" t="s">
        <v>66</v>
      </c>
      <c r="BI867">
        <v>0</v>
      </c>
      <c r="BJ867" t="s">
        <v>66</v>
      </c>
      <c r="BK867" t="s">
        <v>88</v>
      </c>
      <c r="BL867" t="s">
        <v>66</v>
      </c>
      <c r="BM867" t="s">
        <v>159</v>
      </c>
    </row>
    <row r="868" spans="1:65" x14ac:dyDescent="0.25">
      <c r="A868">
        <v>866</v>
      </c>
      <c r="B868" t="s">
        <v>1224</v>
      </c>
      <c r="C868" t="s">
        <v>68</v>
      </c>
      <c r="D868" s="1">
        <v>46214</v>
      </c>
      <c r="E868" t="s">
        <v>1225</v>
      </c>
      <c r="F868" t="s">
        <v>68</v>
      </c>
      <c r="G868" t="s">
        <v>295</v>
      </c>
      <c r="H868" t="s">
        <v>296</v>
      </c>
      <c r="I868" t="s">
        <v>71</v>
      </c>
      <c r="J868" t="s">
        <v>72</v>
      </c>
      <c r="K868" t="s">
        <v>73</v>
      </c>
      <c r="L868" t="s">
        <v>74</v>
      </c>
      <c r="M868" t="s">
        <v>1226</v>
      </c>
      <c r="N868" t="s">
        <v>76</v>
      </c>
      <c r="O868" t="s">
        <v>1227</v>
      </c>
      <c r="P868" t="s">
        <v>1228</v>
      </c>
      <c r="Q868" t="s">
        <v>1229</v>
      </c>
      <c r="R868" s="1">
        <v>46214</v>
      </c>
      <c r="S868" t="s">
        <v>1230</v>
      </c>
      <c r="T868" t="s">
        <v>1231</v>
      </c>
      <c r="U868" t="s">
        <v>1232</v>
      </c>
      <c r="V868" t="s">
        <v>66</v>
      </c>
      <c r="W868" t="s">
        <v>66</v>
      </c>
      <c r="X868">
        <v>5362038</v>
      </c>
      <c r="Y868">
        <v>589824.18000000005</v>
      </c>
      <c r="Z868">
        <v>342144</v>
      </c>
      <c r="AA868">
        <v>37635.839999999997</v>
      </c>
      <c r="AB868">
        <v>5951862.1799999997</v>
      </c>
      <c r="AC868">
        <v>24</v>
      </c>
      <c r="AD868" t="s">
        <v>82</v>
      </c>
      <c r="AE868">
        <v>24</v>
      </c>
      <c r="AF868" t="s">
        <v>213</v>
      </c>
      <c r="AG868">
        <f>IFERROR(VLOOKUP(AF868,[1]STOK!J:O,6,0),"")</f>
        <v>12</v>
      </c>
      <c r="AH868" s="2">
        <f t="shared" si="26"/>
        <v>2</v>
      </c>
      <c r="AI868" t="s">
        <v>213</v>
      </c>
      <c r="AJ868" t="s">
        <v>214</v>
      </c>
      <c r="AK868" t="s">
        <v>215</v>
      </c>
      <c r="AL868" t="s">
        <v>86</v>
      </c>
      <c r="AM868">
        <v>15984</v>
      </c>
      <c r="AN868">
        <f t="shared" si="27"/>
        <v>15824.160000000002</v>
      </c>
      <c r="AO868" t="s">
        <v>66</v>
      </c>
      <c r="AP868">
        <v>1</v>
      </c>
      <c r="AQ868" t="s">
        <v>66</v>
      </c>
      <c r="AR868">
        <v>0</v>
      </c>
      <c r="AS868" t="s">
        <v>66</v>
      </c>
      <c r="AT868">
        <v>0</v>
      </c>
      <c r="AU868" t="s">
        <v>66</v>
      </c>
      <c r="AV868">
        <v>0</v>
      </c>
      <c r="AW868" t="s">
        <v>66</v>
      </c>
      <c r="AX868">
        <v>0</v>
      </c>
      <c r="AY868" t="s">
        <v>66</v>
      </c>
      <c r="AZ868">
        <v>0</v>
      </c>
      <c r="BA868" t="s">
        <v>66</v>
      </c>
      <c r="BB868">
        <v>0</v>
      </c>
      <c r="BC868">
        <v>0</v>
      </c>
      <c r="BD868">
        <v>379779.84000000003</v>
      </c>
      <c r="BE868">
        <v>13008.41</v>
      </c>
      <c r="BF868">
        <v>0</v>
      </c>
      <c r="BG868" t="s">
        <v>87</v>
      </c>
      <c r="BH868" t="s">
        <v>66</v>
      </c>
      <c r="BI868">
        <v>0</v>
      </c>
      <c r="BJ868" t="s">
        <v>66</v>
      </c>
      <c r="BK868" t="s">
        <v>88</v>
      </c>
      <c r="BL868" t="s">
        <v>66</v>
      </c>
      <c r="BM868" t="s">
        <v>159</v>
      </c>
    </row>
    <row r="869" spans="1:65" x14ac:dyDescent="0.25">
      <c r="A869">
        <v>867</v>
      </c>
      <c r="B869" t="s">
        <v>1237</v>
      </c>
      <c r="C869" t="s">
        <v>68</v>
      </c>
      <c r="D869" s="1">
        <v>46214</v>
      </c>
      <c r="E869" t="s">
        <v>1238</v>
      </c>
      <c r="F869" t="s">
        <v>68</v>
      </c>
      <c r="G869" t="s">
        <v>69</v>
      </c>
      <c r="H869" t="s">
        <v>70</v>
      </c>
      <c r="I869" t="s">
        <v>71</v>
      </c>
      <c r="J869" t="s">
        <v>72</v>
      </c>
      <c r="K869" t="s">
        <v>73</v>
      </c>
      <c r="L869" t="s">
        <v>74</v>
      </c>
      <c r="M869" t="s">
        <v>1239</v>
      </c>
      <c r="N869" t="s">
        <v>274</v>
      </c>
      <c r="O869" t="s">
        <v>1240</v>
      </c>
      <c r="P869" t="s">
        <v>1241</v>
      </c>
      <c r="Q869" t="s">
        <v>66</v>
      </c>
      <c r="R869" s="1">
        <v>46218</v>
      </c>
      <c r="S869" t="s">
        <v>1242</v>
      </c>
      <c r="T869" t="s">
        <v>1243</v>
      </c>
      <c r="U869" t="s">
        <v>1244</v>
      </c>
      <c r="V869" t="s">
        <v>66</v>
      </c>
      <c r="W869" t="s">
        <v>66</v>
      </c>
      <c r="X869">
        <v>1368279</v>
      </c>
      <c r="Y869">
        <v>150510.69</v>
      </c>
      <c r="Z869">
        <v>49005</v>
      </c>
      <c r="AA869">
        <v>5390.55</v>
      </c>
      <c r="AB869">
        <v>1518789.69</v>
      </c>
      <c r="AC869">
        <v>3</v>
      </c>
      <c r="AD869" t="s">
        <v>82</v>
      </c>
      <c r="AE869">
        <v>3</v>
      </c>
      <c r="AF869" t="s">
        <v>93</v>
      </c>
      <c r="AG869">
        <f>IFERROR(VLOOKUP(AF869,[1]STOK!J:O,6,0),"")</f>
        <v>24</v>
      </c>
      <c r="AH869" s="2">
        <f t="shared" si="26"/>
        <v>0.125</v>
      </c>
      <c r="AI869" t="s">
        <v>93</v>
      </c>
      <c r="AJ869" t="s">
        <v>94</v>
      </c>
      <c r="AK869" t="s">
        <v>95</v>
      </c>
      <c r="AL869" t="s">
        <v>86</v>
      </c>
      <c r="AM869">
        <v>18315</v>
      </c>
      <c r="AN869">
        <f t="shared" si="27"/>
        <v>18131.850000000002</v>
      </c>
      <c r="AO869" t="s">
        <v>66</v>
      </c>
      <c r="AP869">
        <v>1</v>
      </c>
      <c r="AQ869" t="s">
        <v>66</v>
      </c>
      <c r="AR869">
        <v>0</v>
      </c>
      <c r="AS869" t="s">
        <v>66</v>
      </c>
      <c r="AT869">
        <v>0</v>
      </c>
      <c r="AU869" t="s">
        <v>66</v>
      </c>
      <c r="AV869">
        <v>0</v>
      </c>
      <c r="AW869" t="s">
        <v>66</v>
      </c>
      <c r="AX869">
        <v>0</v>
      </c>
      <c r="AY869" t="s">
        <v>66</v>
      </c>
      <c r="AZ869">
        <v>0</v>
      </c>
      <c r="BA869" t="s">
        <v>66</v>
      </c>
      <c r="BB869">
        <v>0</v>
      </c>
      <c r="BC869">
        <v>0</v>
      </c>
      <c r="BD869">
        <v>54395.55</v>
      </c>
      <c r="BE869">
        <v>14931.77</v>
      </c>
      <c r="BF869">
        <v>0</v>
      </c>
      <c r="BG869" t="s">
        <v>87</v>
      </c>
      <c r="BH869" t="s">
        <v>66</v>
      </c>
      <c r="BI869">
        <v>0</v>
      </c>
      <c r="BJ869" t="s">
        <v>66</v>
      </c>
      <c r="BK869" t="s">
        <v>88</v>
      </c>
      <c r="BL869" t="s">
        <v>66</v>
      </c>
      <c r="BM869" t="s">
        <v>159</v>
      </c>
    </row>
    <row r="870" spans="1:65" x14ac:dyDescent="0.25">
      <c r="A870">
        <v>868</v>
      </c>
      <c r="B870" t="s">
        <v>1237</v>
      </c>
      <c r="C870" t="s">
        <v>68</v>
      </c>
      <c r="D870" s="1">
        <v>46214</v>
      </c>
      <c r="E870" t="s">
        <v>1238</v>
      </c>
      <c r="F870" t="s">
        <v>68</v>
      </c>
      <c r="G870" t="s">
        <v>69</v>
      </c>
      <c r="H870" t="s">
        <v>70</v>
      </c>
      <c r="I870" t="s">
        <v>71</v>
      </c>
      <c r="J870" t="s">
        <v>72</v>
      </c>
      <c r="K870" t="s">
        <v>73</v>
      </c>
      <c r="L870" t="s">
        <v>74</v>
      </c>
      <c r="M870" t="s">
        <v>1239</v>
      </c>
      <c r="N870" t="s">
        <v>274</v>
      </c>
      <c r="O870" t="s">
        <v>1240</v>
      </c>
      <c r="P870" t="s">
        <v>1241</v>
      </c>
      <c r="Q870" t="s">
        <v>66</v>
      </c>
      <c r="R870" s="1">
        <v>46218</v>
      </c>
      <c r="S870" t="s">
        <v>1242</v>
      </c>
      <c r="T870" t="s">
        <v>1243</v>
      </c>
      <c r="U870" t="s">
        <v>1244</v>
      </c>
      <c r="V870" t="s">
        <v>66</v>
      </c>
      <c r="W870" t="s">
        <v>66</v>
      </c>
      <c r="X870">
        <v>1368279</v>
      </c>
      <c r="Y870">
        <v>150510.69</v>
      </c>
      <c r="Z870">
        <v>98010</v>
      </c>
      <c r="AA870">
        <v>10781.1</v>
      </c>
      <c r="AB870">
        <v>1518789.69</v>
      </c>
      <c r="AC870">
        <v>6</v>
      </c>
      <c r="AD870" t="s">
        <v>82</v>
      </c>
      <c r="AE870">
        <v>6</v>
      </c>
      <c r="AF870" t="s">
        <v>205</v>
      </c>
      <c r="AG870">
        <f>IFERROR(VLOOKUP(AF870,[1]STOK!J:O,6,0),"")</f>
        <v>24</v>
      </c>
      <c r="AH870" s="2">
        <f t="shared" si="26"/>
        <v>0.25</v>
      </c>
      <c r="AI870" t="s">
        <v>205</v>
      </c>
      <c r="AJ870" t="s">
        <v>206</v>
      </c>
      <c r="AK870" t="s">
        <v>207</v>
      </c>
      <c r="AL870" t="s">
        <v>86</v>
      </c>
      <c r="AM870">
        <v>18315</v>
      </c>
      <c r="AN870">
        <f t="shared" si="27"/>
        <v>18131.850000000002</v>
      </c>
      <c r="AO870" t="s">
        <v>66</v>
      </c>
      <c r="AP870">
        <v>1</v>
      </c>
      <c r="AQ870" t="s">
        <v>66</v>
      </c>
      <c r="AR870">
        <v>0</v>
      </c>
      <c r="AS870" t="s">
        <v>66</v>
      </c>
      <c r="AT870">
        <v>0</v>
      </c>
      <c r="AU870" t="s">
        <v>66</v>
      </c>
      <c r="AV870">
        <v>0</v>
      </c>
      <c r="AW870" t="s">
        <v>66</v>
      </c>
      <c r="AX870">
        <v>0</v>
      </c>
      <c r="AY870" t="s">
        <v>66</v>
      </c>
      <c r="AZ870">
        <v>0</v>
      </c>
      <c r="BA870" t="s">
        <v>66</v>
      </c>
      <c r="BB870">
        <v>0</v>
      </c>
      <c r="BC870">
        <v>0</v>
      </c>
      <c r="BD870">
        <v>108791.1</v>
      </c>
      <c r="BE870">
        <v>14914.56</v>
      </c>
      <c r="BF870">
        <v>0</v>
      </c>
      <c r="BG870" t="s">
        <v>87</v>
      </c>
      <c r="BH870" t="s">
        <v>66</v>
      </c>
      <c r="BI870">
        <v>0</v>
      </c>
      <c r="BJ870" t="s">
        <v>66</v>
      </c>
      <c r="BK870" t="s">
        <v>88</v>
      </c>
      <c r="BL870" t="s">
        <v>66</v>
      </c>
      <c r="BM870" t="s">
        <v>159</v>
      </c>
    </row>
    <row r="871" spans="1:65" x14ac:dyDescent="0.25">
      <c r="A871">
        <v>869</v>
      </c>
      <c r="B871" t="s">
        <v>1237</v>
      </c>
      <c r="C871" t="s">
        <v>68</v>
      </c>
      <c r="D871" s="1">
        <v>46214</v>
      </c>
      <c r="E871" t="s">
        <v>1238</v>
      </c>
      <c r="F871" t="s">
        <v>68</v>
      </c>
      <c r="G871" t="s">
        <v>69</v>
      </c>
      <c r="H871" t="s">
        <v>70</v>
      </c>
      <c r="I871" t="s">
        <v>71</v>
      </c>
      <c r="J871" t="s">
        <v>72</v>
      </c>
      <c r="K871" t="s">
        <v>73</v>
      </c>
      <c r="L871" t="s">
        <v>74</v>
      </c>
      <c r="M871" t="s">
        <v>1239</v>
      </c>
      <c r="N871" t="s">
        <v>274</v>
      </c>
      <c r="O871" t="s">
        <v>1240</v>
      </c>
      <c r="P871" t="s">
        <v>1241</v>
      </c>
      <c r="Q871" t="s">
        <v>66</v>
      </c>
      <c r="R871" s="1">
        <v>46218</v>
      </c>
      <c r="S871" t="s">
        <v>1242</v>
      </c>
      <c r="T871" t="s">
        <v>1243</v>
      </c>
      <c r="U871" t="s">
        <v>1244</v>
      </c>
      <c r="V871" t="s">
        <v>66</v>
      </c>
      <c r="W871" t="s">
        <v>66</v>
      </c>
      <c r="X871">
        <v>1368279</v>
      </c>
      <c r="Y871">
        <v>150510.69</v>
      </c>
      <c r="Z871">
        <v>98010</v>
      </c>
      <c r="AA871">
        <v>10781.1</v>
      </c>
      <c r="AB871">
        <v>1518789.69</v>
      </c>
      <c r="AC871">
        <v>6</v>
      </c>
      <c r="AD871" t="s">
        <v>82</v>
      </c>
      <c r="AE871">
        <v>6</v>
      </c>
      <c r="AF871" t="s">
        <v>99</v>
      </c>
      <c r="AG871">
        <f>IFERROR(VLOOKUP(AF871,[1]STOK!J:O,6,0),"")</f>
        <v>24</v>
      </c>
      <c r="AH871" s="2">
        <f t="shared" si="26"/>
        <v>0.25</v>
      </c>
      <c r="AI871" t="s">
        <v>99</v>
      </c>
      <c r="AJ871" t="s">
        <v>100</v>
      </c>
      <c r="AK871" t="s">
        <v>101</v>
      </c>
      <c r="AL871" t="s">
        <v>86</v>
      </c>
      <c r="AM871">
        <v>18315</v>
      </c>
      <c r="AN871">
        <f t="shared" si="27"/>
        <v>18131.850000000002</v>
      </c>
      <c r="AO871" t="s">
        <v>66</v>
      </c>
      <c r="AP871">
        <v>1</v>
      </c>
      <c r="AQ871" t="s">
        <v>66</v>
      </c>
      <c r="AR871">
        <v>0</v>
      </c>
      <c r="AS871" t="s">
        <v>66</v>
      </c>
      <c r="AT871">
        <v>0</v>
      </c>
      <c r="AU871" t="s">
        <v>66</v>
      </c>
      <c r="AV871">
        <v>0</v>
      </c>
      <c r="AW871" t="s">
        <v>66</v>
      </c>
      <c r="AX871">
        <v>0</v>
      </c>
      <c r="AY871" t="s">
        <v>66</v>
      </c>
      <c r="AZ871">
        <v>0</v>
      </c>
      <c r="BA871" t="s">
        <v>66</v>
      </c>
      <c r="BB871">
        <v>0</v>
      </c>
      <c r="BC871">
        <v>0</v>
      </c>
      <c r="BD871">
        <v>108791.1</v>
      </c>
      <c r="BE871">
        <v>14921.25</v>
      </c>
      <c r="BF871">
        <v>0</v>
      </c>
      <c r="BG871" t="s">
        <v>87</v>
      </c>
      <c r="BH871" t="s">
        <v>66</v>
      </c>
      <c r="BI871">
        <v>0</v>
      </c>
      <c r="BJ871" t="s">
        <v>66</v>
      </c>
      <c r="BK871" t="s">
        <v>88</v>
      </c>
      <c r="BL871" t="s">
        <v>66</v>
      </c>
      <c r="BM871" t="s">
        <v>159</v>
      </c>
    </row>
    <row r="872" spans="1:65" x14ac:dyDescent="0.25">
      <c r="A872">
        <v>870</v>
      </c>
      <c r="B872" t="s">
        <v>1237</v>
      </c>
      <c r="C872" t="s">
        <v>68</v>
      </c>
      <c r="D872" s="1">
        <v>46214</v>
      </c>
      <c r="E872" t="s">
        <v>1238</v>
      </c>
      <c r="F872" t="s">
        <v>68</v>
      </c>
      <c r="G872" t="s">
        <v>69</v>
      </c>
      <c r="H872" t="s">
        <v>70</v>
      </c>
      <c r="I872" t="s">
        <v>71</v>
      </c>
      <c r="J872" t="s">
        <v>72</v>
      </c>
      <c r="K872" t="s">
        <v>73</v>
      </c>
      <c r="L872" t="s">
        <v>74</v>
      </c>
      <c r="M872" t="s">
        <v>1239</v>
      </c>
      <c r="N872" t="s">
        <v>274</v>
      </c>
      <c r="O872" t="s">
        <v>1240</v>
      </c>
      <c r="P872" t="s">
        <v>1241</v>
      </c>
      <c r="Q872" t="s">
        <v>66</v>
      </c>
      <c r="R872" s="1">
        <v>46218</v>
      </c>
      <c r="S872" t="s">
        <v>1242</v>
      </c>
      <c r="T872" t="s">
        <v>1243</v>
      </c>
      <c r="U872" t="s">
        <v>1244</v>
      </c>
      <c r="V872" t="s">
        <v>66</v>
      </c>
      <c r="W872" t="s">
        <v>66</v>
      </c>
      <c r="X872">
        <v>1368279</v>
      </c>
      <c r="Y872">
        <v>150510.69</v>
      </c>
      <c r="Z872">
        <v>158004</v>
      </c>
      <c r="AA872">
        <v>17380.439999999999</v>
      </c>
      <c r="AB872">
        <v>1518789.69</v>
      </c>
      <c r="AC872">
        <v>1</v>
      </c>
      <c r="AD872" t="s">
        <v>134</v>
      </c>
      <c r="AE872">
        <v>12</v>
      </c>
      <c r="AF872" t="s">
        <v>135</v>
      </c>
      <c r="AG872">
        <f>IFERROR(VLOOKUP(AF872,[1]STOK!J:O,6,0),"")</f>
        <v>12</v>
      </c>
      <c r="AH872" s="2">
        <f t="shared" si="26"/>
        <v>1</v>
      </c>
      <c r="AI872" t="s">
        <v>135</v>
      </c>
      <c r="AJ872" t="s">
        <v>136</v>
      </c>
      <c r="AK872" t="s">
        <v>137</v>
      </c>
      <c r="AL872" t="s">
        <v>86</v>
      </c>
      <c r="AM872">
        <v>177156</v>
      </c>
      <c r="AN872">
        <f t="shared" si="27"/>
        <v>175384.44</v>
      </c>
      <c r="AO872" t="s">
        <v>66</v>
      </c>
      <c r="AP872">
        <v>1</v>
      </c>
      <c r="AQ872" t="s">
        <v>66</v>
      </c>
      <c r="AR872">
        <v>0</v>
      </c>
      <c r="AS872" t="s">
        <v>66</v>
      </c>
      <c r="AT872">
        <v>0</v>
      </c>
      <c r="AU872" t="s">
        <v>66</v>
      </c>
      <c r="AV872">
        <v>0</v>
      </c>
      <c r="AW872" t="s">
        <v>66</v>
      </c>
      <c r="AX872">
        <v>0</v>
      </c>
      <c r="AY872" t="s">
        <v>66</v>
      </c>
      <c r="AZ872">
        <v>0</v>
      </c>
      <c r="BA872" t="s">
        <v>66</v>
      </c>
      <c r="BB872">
        <v>0</v>
      </c>
      <c r="BC872">
        <v>0</v>
      </c>
      <c r="BD872">
        <v>175384.44</v>
      </c>
      <c r="BE872">
        <v>12036.57</v>
      </c>
      <c r="BF872">
        <v>0</v>
      </c>
      <c r="BG872" t="s">
        <v>87</v>
      </c>
      <c r="BH872" t="s">
        <v>66</v>
      </c>
      <c r="BI872">
        <v>0</v>
      </c>
      <c r="BJ872" t="s">
        <v>66</v>
      </c>
      <c r="BK872" t="s">
        <v>88</v>
      </c>
      <c r="BL872" t="s">
        <v>66</v>
      </c>
      <c r="BM872" t="s">
        <v>159</v>
      </c>
    </row>
    <row r="873" spans="1:65" x14ac:dyDescent="0.25">
      <c r="A873">
        <v>871</v>
      </c>
      <c r="B873" t="s">
        <v>1237</v>
      </c>
      <c r="C873" t="s">
        <v>68</v>
      </c>
      <c r="D873" s="1">
        <v>46214</v>
      </c>
      <c r="E873" t="s">
        <v>1238</v>
      </c>
      <c r="F873" t="s">
        <v>68</v>
      </c>
      <c r="G873" t="s">
        <v>69</v>
      </c>
      <c r="H873" t="s">
        <v>70</v>
      </c>
      <c r="I873" t="s">
        <v>71</v>
      </c>
      <c r="J873" t="s">
        <v>72</v>
      </c>
      <c r="K873" t="s">
        <v>73</v>
      </c>
      <c r="L873" t="s">
        <v>74</v>
      </c>
      <c r="M873" t="s">
        <v>1239</v>
      </c>
      <c r="N873" t="s">
        <v>274</v>
      </c>
      <c r="O873" t="s">
        <v>1240</v>
      </c>
      <c r="P873" t="s">
        <v>1241</v>
      </c>
      <c r="Q873" t="s">
        <v>66</v>
      </c>
      <c r="R873" s="1">
        <v>46218</v>
      </c>
      <c r="S873" t="s">
        <v>1242</v>
      </c>
      <c r="T873" t="s">
        <v>1243</v>
      </c>
      <c r="U873" t="s">
        <v>1244</v>
      </c>
      <c r="V873" t="s">
        <v>66</v>
      </c>
      <c r="W873" t="s">
        <v>66</v>
      </c>
      <c r="X873">
        <v>1368279</v>
      </c>
      <c r="Y873">
        <v>150510.69</v>
      </c>
      <c r="Z873">
        <v>158004</v>
      </c>
      <c r="AA873">
        <v>17380.439999999999</v>
      </c>
      <c r="AB873">
        <v>1518789.69</v>
      </c>
      <c r="AC873">
        <v>1</v>
      </c>
      <c r="AD873" t="s">
        <v>134</v>
      </c>
      <c r="AE873">
        <v>12</v>
      </c>
      <c r="AF873" t="s">
        <v>210</v>
      </c>
      <c r="AG873">
        <f>IFERROR(VLOOKUP(AF873,[1]STOK!J:O,6,0),"")</f>
        <v>12</v>
      </c>
      <c r="AH873" s="2">
        <f t="shared" si="26"/>
        <v>1</v>
      </c>
      <c r="AI873" t="s">
        <v>210</v>
      </c>
      <c r="AJ873" t="s">
        <v>211</v>
      </c>
      <c r="AK873" t="s">
        <v>212</v>
      </c>
      <c r="AL873" t="s">
        <v>86</v>
      </c>
      <c r="AM873">
        <v>177156</v>
      </c>
      <c r="AN873">
        <f t="shared" si="27"/>
        <v>175384.44</v>
      </c>
      <c r="AO873" t="s">
        <v>66</v>
      </c>
      <c r="AP873">
        <v>1</v>
      </c>
      <c r="AQ873" t="s">
        <v>66</v>
      </c>
      <c r="AR873">
        <v>0</v>
      </c>
      <c r="AS873" t="s">
        <v>66</v>
      </c>
      <c r="AT873">
        <v>0</v>
      </c>
      <c r="AU873" t="s">
        <v>66</v>
      </c>
      <c r="AV873">
        <v>0</v>
      </c>
      <c r="AW873" t="s">
        <v>66</v>
      </c>
      <c r="AX873">
        <v>0</v>
      </c>
      <c r="AY873" t="s">
        <v>66</v>
      </c>
      <c r="AZ873">
        <v>0</v>
      </c>
      <c r="BA873" t="s">
        <v>66</v>
      </c>
      <c r="BB873">
        <v>0</v>
      </c>
      <c r="BC873">
        <v>0</v>
      </c>
      <c r="BD873">
        <v>175384.44</v>
      </c>
      <c r="BE873">
        <v>12023.52</v>
      </c>
      <c r="BF873">
        <v>0</v>
      </c>
      <c r="BG873" t="s">
        <v>87</v>
      </c>
      <c r="BH873" t="s">
        <v>66</v>
      </c>
      <c r="BI873">
        <v>0</v>
      </c>
      <c r="BJ873" t="s">
        <v>66</v>
      </c>
      <c r="BK873" t="s">
        <v>88</v>
      </c>
      <c r="BL873" t="s">
        <v>66</v>
      </c>
      <c r="BM873" t="s">
        <v>159</v>
      </c>
    </row>
    <row r="874" spans="1:65" x14ac:dyDescent="0.25">
      <c r="A874">
        <v>872</v>
      </c>
      <c r="B874" t="s">
        <v>1237</v>
      </c>
      <c r="C874" t="s">
        <v>68</v>
      </c>
      <c r="D874" s="1">
        <v>46214</v>
      </c>
      <c r="E874" t="s">
        <v>1238</v>
      </c>
      <c r="F874" t="s">
        <v>68</v>
      </c>
      <c r="G874" t="s">
        <v>69</v>
      </c>
      <c r="H874" t="s">
        <v>70</v>
      </c>
      <c r="I874" t="s">
        <v>71</v>
      </c>
      <c r="J874" t="s">
        <v>72</v>
      </c>
      <c r="K874" t="s">
        <v>73</v>
      </c>
      <c r="L874" t="s">
        <v>74</v>
      </c>
      <c r="M874" t="s">
        <v>1239</v>
      </c>
      <c r="N874" t="s">
        <v>274</v>
      </c>
      <c r="O874" t="s">
        <v>1240</v>
      </c>
      <c r="P874" t="s">
        <v>1241</v>
      </c>
      <c r="Q874" t="s">
        <v>66</v>
      </c>
      <c r="R874" s="1">
        <v>46218</v>
      </c>
      <c r="S874" t="s">
        <v>1242</v>
      </c>
      <c r="T874" t="s">
        <v>1243</v>
      </c>
      <c r="U874" t="s">
        <v>1244</v>
      </c>
      <c r="V874" t="s">
        <v>66</v>
      </c>
      <c r="W874" t="s">
        <v>66</v>
      </c>
      <c r="X874">
        <v>1368279</v>
      </c>
      <c r="Y874">
        <v>150510.69</v>
      </c>
      <c r="Z874">
        <v>237600</v>
      </c>
      <c r="AA874">
        <v>26136</v>
      </c>
      <c r="AB874">
        <v>1518789.69</v>
      </c>
      <c r="AC874">
        <v>1</v>
      </c>
      <c r="AD874" t="s">
        <v>134</v>
      </c>
      <c r="AE874">
        <v>12</v>
      </c>
      <c r="AF874" t="s">
        <v>102</v>
      </c>
      <c r="AG874">
        <f>IFERROR(VLOOKUP(AF874,[1]STOK!J:O,6,0),"")</f>
        <v>12</v>
      </c>
      <c r="AH874" s="2">
        <f t="shared" si="26"/>
        <v>1</v>
      </c>
      <c r="AI874" t="s">
        <v>102</v>
      </c>
      <c r="AJ874" t="s">
        <v>103</v>
      </c>
      <c r="AK874" t="s">
        <v>104</v>
      </c>
      <c r="AL874" t="s">
        <v>86</v>
      </c>
      <c r="AM874">
        <v>266400</v>
      </c>
      <c r="AN874">
        <f t="shared" si="27"/>
        <v>263736</v>
      </c>
      <c r="AO874" t="s">
        <v>66</v>
      </c>
      <c r="AP874">
        <v>1</v>
      </c>
      <c r="AQ874" t="s">
        <v>66</v>
      </c>
      <c r="AR874">
        <v>0</v>
      </c>
      <c r="AS874" t="s">
        <v>66</v>
      </c>
      <c r="AT874">
        <v>0</v>
      </c>
      <c r="AU874" t="s">
        <v>66</v>
      </c>
      <c r="AV874">
        <v>0</v>
      </c>
      <c r="AW874" t="s">
        <v>66</v>
      </c>
      <c r="AX874">
        <v>0</v>
      </c>
      <c r="AY874" t="s">
        <v>66</v>
      </c>
      <c r="AZ874">
        <v>0</v>
      </c>
      <c r="BA874" t="s">
        <v>66</v>
      </c>
      <c r="BB874">
        <v>0</v>
      </c>
      <c r="BC874">
        <v>0</v>
      </c>
      <c r="BD874">
        <v>263736</v>
      </c>
      <c r="BE874">
        <v>18090.18</v>
      </c>
      <c r="BF874">
        <v>0</v>
      </c>
      <c r="BG874" t="s">
        <v>87</v>
      </c>
      <c r="BH874" t="s">
        <v>66</v>
      </c>
      <c r="BI874">
        <v>0</v>
      </c>
      <c r="BJ874" t="s">
        <v>66</v>
      </c>
      <c r="BK874" t="s">
        <v>88</v>
      </c>
      <c r="BL874" t="s">
        <v>66</v>
      </c>
      <c r="BM874" t="s">
        <v>159</v>
      </c>
    </row>
    <row r="875" spans="1:65" x14ac:dyDescent="0.25">
      <c r="A875">
        <v>873</v>
      </c>
      <c r="B875" t="s">
        <v>1237</v>
      </c>
      <c r="C875" t="s">
        <v>68</v>
      </c>
      <c r="D875" s="1">
        <v>46214</v>
      </c>
      <c r="E875" t="s">
        <v>1238</v>
      </c>
      <c r="F875" t="s">
        <v>68</v>
      </c>
      <c r="G875" t="s">
        <v>69</v>
      </c>
      <c r="H875" t="s">
        <v>70</v>
      </c>
      <c r="I875" t="s">
        <v>71</v>
      </c>
      <c r="J875" t="s">
        <v>72</v>
      </c>
      <c r="K875" t="s">
        <v>73</v>
      </c>
      <c r="L875" t="s">
        <v>74</v>
      </c>
      <c r="M875" t="s">
        <v>1239</v>
      </c>
      <c r="N875" t="s">
        <v>274</v>
      </c>
      <c r="O875" t="s">
        <v>1240</v>
      </c>
      <c r="P875" t="s">
        <v>1241</v>
      </c>
      <c r="Q875" t="s">
        <v>66</v>
      </c>
      <c r="R875" s="1">
        <v>46218</v>
      </c>
      <c r="S875" t="s">
        <v>1242</v>
      </c>
      <c r="T875" t="s">
        <v>1243</v>
      </c>
      <c r="U875" t="s">
        <v>1244</v>
      </c>
      <c r="V875" t="s">
        <v>66</v>
      </c>
      <c r="W875" t="s">
        <v>66</v>
      </c>
      <c r="X875">
        <v>1368279</v>
      </c>
      <c r="Y875">
        <v>150510.69</v>
      </c>
      <c r="Z875">
        <v>227502</v>
      </c>
      <c r="AA875">
        <v>25025.22</v>
      </c>
      <c r="AB875">
        <v>1518789.69</v>
      </c>
      <c r="AC875">
        <v>1</v>
      </c>
      <c r="AD875" t="s">
        <v>134</v>
      </c>
      <c r="AE875">
        <v>6</v>
      </c>
      <c r="AF875" t="s">
        <v>138</v>
      </c>
      <c r="AG875">
        <f>IFERROR(VLOOKUP(AF875,[1]STOK!J:O,6,0),"")</f>
        <v>6</v>
      </c>
      <c r="AH875" s="2">
        <f t="shared" si="26"/>
        <v>1</v>
      </c>
      <c r="AI875" t="s">
        <v>138</v>
      </c>
      <c r="AJ875" t="s">
        <v>139</v>
      </c>
      <c r="AK875" t="s">
        <v>140</v>
      </c>
      <c r="AL875" t="s">
        <v>86</v>
      </c>
      <c r="AM875">
        <v>255078</v>
      </c>
      <c r="AN875">
        <f t="shared" si="27"/>
        <v>252527.22</v>
      </c>
      <c r="AO875" t="s">
        <v>66</v>
      </c>
      <c r="AP875">
        <v>1</v>
      </c>
      <c r="AQ875" t="s">
        <v>66</v>
      </c>
      <c r="AR875">
        <v>0</v>
      </c>
      <c r="AS875" t="s">
        <v>66</v>
      </c>
      <c r="AT875">
        <v>0</v>
      </c>
      <c r="AU875" t="s">
        <v>66</v>
      </c>
      <c r="AV875">
        <v>0</v>
      </c>
      <c r="AW875" t="s">
        <v>66</v>
      </c>
      <c r="AX875">
        <v>0</v>
      </c>
      <c r="AY875" t="s">
        <v>66</v>
      </c>
      <c r="AZ875">
        <v>0</v>
      </c>
      <c r="BA875" t="s">
        <v>66</v>
      </c>
      <c r="BB875">
        <v>0</v>
      </c>
      <c r="BC875">
        <v>0</v>
      </c>
      <c r="BD875">
        <v>252527.22</v>
      </c>
      <c r="BE875">
        <v>34661.269999999997</v>
      </c>
      <c r="BF875">
        <v>0</v>
      </c>
      <c r="BG875" t="s">
        <v>87</v>
      </c>
      <c r="BH875" t="s">
        <v>66</v>
      </c>
      <c r="BI875">
        <v>0</v>
      </c>
      <c r="BJ875" t="s">
        <v>66</v>
      </c>
      <c r="BK875" t="s">
        <v>88</v>
      </c>
      <c r="BL875" t="s">
        <v>66</v>
      </c>
      <c r="BM875" t="s">
        <v>159</v>
      </c>
    </row>
    <row r="876" spans="1:65" x14ac:dyDescent="0.25">
      <c r="A876">
        <v>874</v>
      </c>
      <c r="B876" t="s">
        <v>1237</v>
      </c>
      <c r="C876" t="s">
        <v>68</v>
      </c>
      <c r="D876" s="1">
        <v>46214</v>
      </c>
      <c r="E876" t="s">
        <v>1238</v>
      </c>
      <c r="F876" t="s">
        <v>68</v>
      </c>
      <c r="G876" t="s">
        <v>69</v>
      </c>
      <c r="H876" t="s">
        <v>70</v>
      </c>
      <c r="I876" t="s">
        <v>71</v>
      </c>
      <c r="J876" t="s">
        <v>72</v>
      </c>
      <c r="K876" t="s">
        <v>73</v>
      </c>
      <c r="L876" t="s">
        <v>74</v>
      </c>
      <c r="M876" t="s">
        <v>1239</v>
      </c>
      <c r="N876" t="s">
        <v>274</v>
      </c>
      <c r="O876" t="s">
        <v>1240</v>
      </c>
      <c r="P876" t="s">
        <v>1241</v>
      </c>
      <c r="Q876" t="s">
        <v>66</v>
      </c>
      <c r="R876" s="1">
        <v>46218</v>
      </c>
      <c r="S876" t="s">
        <v>1242</v>
      </c>
      <c r="T876" t="s">
        <v>1243</v>
      </c>
      <c r="U876" t="s">
        <v>1244</v>
      </c>
      <c r="V876" t="s">
        <v>66</v>
      </c>
      <c r="W876" t="s">
        <v>66</v>
      </c>
      <c r="X876">
        <v>1368279</v>
      </c>
      <c r="Y876">
        <v>150510.69</v>
      </c>
      <c r="Z876">
        <v>342144</v>
      </c>
      <c r="AA876">
        <v>37635.839999999997</v>
      </c>
      <c r="AB876">
        <v>1518789.69</v>
      </c>
      <c r="AC876">
        <v>2</v>
      </c>
      <c r="AD876" t="s">
        <v>134</v>
      </c>
      <c r="AE876">
        <v>24</v>
      </c>
      <c r="AF876" t="s">
        <v>141</v>
      </c>
      <c r="AG876">
        <f>IFERROR(VLOOKUP(AF876,[1]STOK!J:O,6,0),"")</f>
        <v>12</v>
      </c>
      <c r="AH876" s="2">
        <f t="shared" si="26"/>
        <v>2</v>
      </c>
      <c r="AI876" t="s">
        <v>141</v>
      </c>
      <c r="AJ876" t="s">
        <v>142</v>
      </c>
      <c r="AK876" t="s">
        <v>143</v>
      </c>
      <c r="AL876" t="s">
        <v>86</v>
      </c>
      <c r="AM876">
        <v>191808</v>
      </c>
      <c r="AN876">
        <f t="shared" si="27"/>
        <v>189889.92000000001</v>
      </c>
      <c r="AO876" t="s">
        <v>66</v>
      </c>
      <c r="AP876">
        <v>1</v>
      </c>
      <c r="AQ876" t="s">
        <v>66</v>
      </c>
      <c r="AR876">
        <v>0</v>
      </c>
      <c r="AS876" t="s">
        <v>66</v>
      </c>
      <c r="AT876">
        <v>0</v>
      </c>
      <c r="AU876" t="s">
        <v>66</v>
      </c>
      <c r="AV876">
        <v>0</v>
      </c>
      <c r="AW876" t="s">
        <v>66</v>
      </c>
      <c r="AX876">
        <v>0</v>
      </c>
      <c r="AY876" t="s">
        <v>66</v>
      </c>
      <c r="AZ876">
        <v>0</v>
      </c>
      <c r="BA876" t="s">
        <v>66</v>
      </c>
      <c r="BB876">
        <v>0</v>
      </c>
      <c r="BC876">
        <v>0</v>
      </c>
      <c r="BD876">
        <v>379779.84000000003</v>
      </c>
      <c r="BE876">
        <v>13031.69</v>
      </c>
      <c r="BF876">
        <v>0</v>
      </c>
      <c r="BG876" t="s">
        <v>87</v>
      </c>
      <c r="BH876" t="s">
        <v>66</v>
      </c>
      <c r="BI876">
        <v>0</v>
      </c>
      <c r="BJ876" t="s">
        <v>66</v>
      </c>
      <c r="BK876" t="s">
        <v>88</v>
      </c>
      <c r="BL876" t="s">
        <v>66</v>
      </c>
      <c r="BM876" t="s">
        <v>159</v>
      </c>
    </row>
    <row r="877" spans="1:65" x14ac:dyDescent="0.25">
      <c r="A877">
        <v>875</v>
      </c>
      <c r="B877" t="s">
        <v>1245</v>
      </c>
      <c r="C877" t="s">
        <v>66</v>
      </c>
      <c r="D877" s="1">
        <v>46214</v>
      </c>
      <c r="E877" t="s">
        <v>1246</v>
      </c>
      <c r="F877" t="s">
        <v>68</v>
      </c>
      <c r="G877" t="s">
        <v>69</v>
      </c>
      <c r="H877" t="s">
        <v>70</v>
      </c>
      <c r="I877" t="s">
        <v>71</v>
      </c>
      <c r="J877" t="s">
        <v>72</v>
      </c>
      <c r="K877" t="s">
        <v>73</v>
      </c>
      <c r="L877" t="s">
        <v>74</v>
      </c>
      <c r="M877" t="s">
        <v>1247</v>
      </c>
      <c r="N877" t="s">
        <v>76</v>
      </c>
      <c r="O877" t="s">
        <v>1248</v>
      </c>
      <c r="P877" t="s">
        <v>1249</v>
      </c>
      <c r="Q877" t="s">
        <v>1250</v>
      </c>
      <c r="R877" s="1">
        <v>46218</v>
      </c>
      <c r="S877" t="s">
        <v>1251</v>
      </c>
      <c r="T877" t="s">
        <v>1252</v>
      </c>
      <c r="U877" t="s">
        <v>1253</v>
      </c>
      <c r="V877" t="s">
        <v>66</v>
      </c>
      <c r="W877" t="s">
        <v>66</v>
      </c>
      <c r="X877">
        <v>1301161.5</v>
      </c>
      <c r="Y877">
        <v>143127.76999999999</v>
      </c>
      <c r="Z877">
        <v>20298</v>
      </c>
      <c r="AA877">
        <v>2232.7800000000002</v>
      </c>
      <c r="AB877">
        <v>1444289.27</v>
      </c>
      <c r="AC877">
        <v>2</v>
      </c>
      <c r="AD877" t="s">
        <v>82</v>
      </c>
      <c r="AE877">
        <v>2</v>
      </c>
      <c r="AF877" t="s">
        <v>667</v>
      </c>
      <c r="AG877">
        <f>IFERROR(VLOOKUP(AF877,[1]STOK!J:O,6,0),"")</f>
        <v>24</v>
      </c>
      <c r="AH877" s="2">
        <f t="shared" si="26"/>
        <v>8.3333333333333329E-2</v>
      </c>
      <c r="AI877" t="s">
        <v>667</v>
      </c>
      <c r="AJ877" t="s">
        <v>668</v>
      </c>
      <c r="AK877" t="s">
        <v>669</v>
      </c>
      <c r="AL877" t="s">
        <v>86</v>
      </c>
      <c r="AM877">
        <v>11322</v>
      </c>
      <c r="AN877">
        <f t="shared" si="27"/>
        <v>11265.39</v>
      </c>
      <c r="AO877" t="s">
        <v>66</v>
      </c>
      <c r="AP877">
        <v>0.5</v>
      </c>
      <c r="AQ877" t="s">
        <v>66</v>
      </c>
      <c r="AR877">
        <v>0</v>
      </c>
      <c r="AS877" t="s">
        <v>66</v>
      </c>
      <c r="AT877">
        <v>0</v>
      </c>
      <c r="AU877" t="s">
        <v>66</v>
      </c>
      <c r="AV877">
        <v>0</v>
      </c>
      <c r="AW877" t="s">
        <v>66</v>
      </c>
      <c r="AX877">
        <v>0</v>
      </c>
      <c r="AY877" t="s">
        <v>66</v>
      </c>
      <c r="AZ877">
        <v>0</v>
      </c>
      <c r="BA877" t="s">
        <v>66</v>
      </c>
      <c r="BB877">
        <v>0</v>
      </c>
      <c r="BC877">
        <v>0</v>
      </c>
      <c r="BD877">
        <v>22530.78</v>
      </c>
      <c r="BE877">
        <v>9046.9599999999991</v>
      </c>
      <c r="BF877">
        <v>0</v>
      </c>
      <c r="BG877" t="s">
        <v>87</v>
      </c>
      <c r="BH877" t="s">
        <v>66</v>
      </c>
      <c r="BI877">
        <v>0</v>
      </c>
      <c r="BJ877" t="s">
        <v>66</v>
      </c>
      <c r="BK877" t="s">
        <v>88</v>
      </c>
      <c r="BL877" t="s">
        <v>66</v>
      </c>
      <c r="BM877" t="s">
        <v>159</v>
      </c>
    </row>
    <row r="878" spans="1:65" x14ac:dyDescent="0.25">
      <c r="A878">
        <v>876</v>
      </c>
      <c r="B878" t="s">
        <v>1245</v>
      </c>
      <c r="C878" t="s">
        <v>66</v>
      </c>
      <c r="D878" s="1">
        <v>46214</v>
      </c>
      <c r="E878" t="s">
        <v>1246</v>
      </c>
      <c r="F878" t="s">
        <v>68</v>
      </c>
      <c r="G878" t="s">
        <v>69</v>
      </c>
      <c r="H878" t="s">
        <v>70</v>
      </c>
      <c r="I878" t="s">
        <v>71</v>
      </c>
      <c r="J878" t="s">
        <v>72</v>
      </c>
      <c r="K878" t="s">
        <v>73</v>
      </c>
      <c r="L878" t="s">
        <v>74</v>
      </c>
      <c r="M878" t="s">
        <v>1247</v>
      </c>
      <c r="N878" t="s">
        <v>76</v>
      </c>
      <c r="O878" t="s">
        <v>1248</v>
      </c>
      <c r="P878" t="s">
        <v>1249</v>
      </c>
      <c r="Q878" t="s">
        <v>1250</v>
      </c>
      <c r="R878" s="1">
        <v>46218</v>
      </c>
      <c r="S878" t="s">
        <v>1251</v>
      </c>
      <c r="T878" t="s">
        <v>1252</v>
      </c>
      <c r="U878" t="s">
        <v>1253</v>
      </c>
      <c r="V878" t="s">
        <v>66</v>
      </c>
      <c r="W878" t="s">
        <v>66</v>
      </c>
      <c r="X878">
        <v>1301161.5</v>
      </c>
      <c r="Y878">
        <v>143127.76999999999</v>
      </c>
      <c r="Z878">
        <v>20298</v>
      </c>
      <c r="AA878">
        <v>2232.7800000000002</v>
      </c>
      <c r="AB878">
        <v>1444289.27</v>
      </c>
      <c r="AC878">
        <v>2</v>
      </c>
      <c r="AD878" t="s">
        <v>82</v>
      </c>
      <c r="AE878">
        <v>2</v>
      </c>
      <c r="AF878" t="s">
        <v>670</v>
      </c>
      <c r="AG878">
        <f>IFERROR(VLOOKUP(AF878,[1]STOK!J:O,6,0),"")</f>
        <v>24</v>
      </c>
      <c r="AH878" s="2">
        <f t="shared" si="26"/>
        <v>8.3333333333333329E-2</v>
      </c>
      <c r="AI878" t="s">
        <v>670</v>
      </c>
      <c r="AJ878" t="s">
        <v>671</v>
      </c>
      <c r="AK878" t="s">
        <v>672</v>
      </c>
      <c r="AL878" t="s">
        <v>86</v>
      </c>
      <c r="AM878">
        <v>11322</v>
      </c>
      <c r="AN878">
        <f t="shared" si="27"/>
        <v>11265.39</v>
      </c>
      <c r="AO878" t="s">
        <v>66</v>
      </c>
      <c r="AP878">
        <v>0.5</v>
      </c>
      <c r="AQ878" t="s">
        <v>66</v>
      </c>
      <c r="AR878">
        <v>0</v>
      </c>
      <c r="AS878" t="s">
        <v>66</v>
      </c>
      <c r="AT878">
        <v>0</v>
      </c>
      <c r="AU878" t="s">
        <v>66</v>
      </c>
      <c r="AV878">
        <v>0</v>
      </c>
      <c r="AW878" t="s">
        <v>66</v>
      </c>
      <c r="AX878">
        <v>0</v>
      </c>
      <c r="AY878" t="s">
        <v>66</v>
      </c>
      <c r="AZ878">
        <v>0</v>
      </c>
      <c r="BA878" t="s">
        <v>66</v>
      </c>
      <c r="BB878">
        <v>0</v>
      </c>
      <c r="BC878">
        <v>0</v>
      </c>
      <c r="BD878">
        <v>22530.78</v>
      </c>
      <c r="BE878">
        <v>9214.48</v>
      </c>
      <c r="BF878">
        <v>0</v>
      </c>
      <c r="BG878" t="s">
        <v>87</v>
      </c>
      <c r="BH878" t="s">
        <v>66</v>
      </c>
      <c r="BI878">
        <v>0</v>
      </c>
      <c r="BJ878" t="s">
        <v>66</v>
      </c>
      <c r="BK878" t="s">
        <v>88</v>
      </c>
      <c r="BL878" t="s">
        <v>66</v>
      </c>
      <c r="BM878" t="s">
        <v>159</v>
      </c>
    </row>
    <row r="879" spans="1:65" x14ac:dyDescent="0.25">
      <c r="A879">
        <v>877</v>
      </c>
      <c r="B879" t="s">
        <v>1245</v>
      </c>
      <c r="C879" t="s">
        <v>66</v>
      </c>
      <c r="D879" s="1">
        <v>46214</v>
      </c>
      <c r="E879" t="s">
        <v>1246</v>
      </c>
      <c r="F879" t="s">
        <v>68</v>
      </c>
      <c r="G879" t="s">
        <v>69</v>
      </c>
      <c r="H879" t="s">
        <v>70</v>
      </c>
      <c r="I879" t="s">
        <v>71</v>
      </c>
      <c r="J879" t="s">
        <v>72</v>
      </c>
      <c r="K879" t="s">
        <v>73</v>
      </c>
      <c r="L879" t="s">
        <v>74</v>
      </c>
      <c r="M879" t="s">
        <v>1247</v>
      </c>
      <c r="N879" t="s">
        <v>76</v>
      </c>
      <c r="O879" t="s">
        <v>1248</v>
      </c>
      <c r="P879" t="s">
        <v>1249</v>
      </c>
      <c r="Q879" t="s">
        <v>1250</v>
      </c>
      <c r="R879" s="1">
        <v>46218</v>
      </c>
      <c r="S879" t="s">
        <v>1251</v>
      </c>
      <c r="T879" t="s">
        <v>1252</v>
      </c>
      <c r="U879" t="s">
        <v>1253</v>
      </c>
      <c r="V879" t="s">
        <v>66</v>
      </c>
      <c r="W879" t="s">
        <v>66</v>
      </c>
      <c r="X879">
        <v>1301161.5</v>
      </c>
      <c r="Y879">
        <v>143127.76999999999</v>
      </c>
      <c r="Z879">
        <v>35024</v>
      </c>
      <c r="AA879">
        <v>3852.64</v>
      </c>
      <c r="AB879">
        <v>1444289.27</v>
      </c>
      <c r="AC879">
        <v>2</v>
      </c>
      <c r="AD879" t="s">
        <v>82</v>
      </c>
      <c r="AE879">
        <v>2</v>
      </c>
      <c r="AF879" t="s">
        <v>1254</v>
      </c>
      <c r="AG879">
        <f>IFERROR(VLOOKUP(AF879,[1]STOK!J:O,6,0),"")</f>
        <v>12</v>
      </c>
      <c r="AH879" s="2">
        <f t="shared" si="26"/>
        <v>0.16666666666666666</v>
      </c>
      <c r="AI879" t="s">
        <v>1254</v>
      </c>
      <c r="AJ879" t="s">
        <v>1255</v>
      </c>
      <c r="AK879" t="s">
        <v>1256</v>
      </c>
      <c r="AL879" t="s">
        <v>86</v>
      </c>
      <c r="AM879">
        <v>19536</v>
      </c>
      <c r="AN879">
        <f t="shared" si="27"/>
        <v>19438.32</v>
      </c>
      <c r="AO879" t="s">
        <v>66</v>
      </c>
      <c r="AP879">
        <v>0.5</v>
      </c>
      <c r="AQ879" t="s">
        <v>66</v>
      </c>
      <c r="AR879">
        <v>0</v>
      </c>
      <c r="AS879" t="s">
        <v>66</v>
      </c>
      <c r="AT879">
        <v>0</v>
      </c>
      <c r="AU879" t="s">
        <v>66</v>
      </c>
      <c r="AV879">
        <v>0</v>
      </c>
      <c r="AW879" t="s">
        <v>66</v>
      </c>
      <c r="AX879">
        <v>0</v>
      </c>
      <c r="AY879" t="s">
        <v>66</v>
      </c>
      <c r="AZ879">
        <v>0</v>
      </c>
      <c r="BA879" t="s">
        <v>66</v>
      </c>
      <c r="BB879">
        <v>0</v>
      </c>
      <c r="BC879">
        <v>0</v>
      </c>
      <c r="BD879">
        <v>38876.639999999999</v>
      </c>
      <c r="BE879">
        <v>15218.03</v>
      </c>
      <c r="BF879">
        <v>0</v>
      </c>
      <c r="BG879" t="s">
        <v>87</v>
      </c>
      <c r="BH879" t="s">
        <v>66</v>
      </c>
      <c r="BI879">
        <v>0</v>
      </c>
      <c r="BJ879" t="s">
        <v>66</v>
      </c>
      <c r="BK879" t="s">
        <v>88</v>
      </c>
      <c r="BL879" t="s">
        <v>66</v>
      </c>
      <c r="BM879" t="s">
        <v>159</v>
      </c>
    </row>
    <row r="880" spans="1:65" x14ac:dyDescent="0.25">
      <c r="A880">
        <v>878</v>
      </c>
      <c r="B880" t="s">
        <v>1245</v>
      </c>
      <c r="C880" t="s">
        <v>66</v>
      </c>
      <c r="D880" s="1">
        <v>46214</v>
      </c>
      <c r="E880" t="s">
        <v>1246</v>
      </c>
      <c r="F880" t="s">
        <v>68</v>
      </c>
      <c r="G880" t="s">
        <v>69</v>
      </c>
      <c r="H880" t="s">
        <v>70</v>
      </c>
      <c r="I880" t="s">
        <v>71</v>
      </c>
      <c r="J880" t="s">
        <v>72</v>
      </c>
      <c r="K880" t="s">
        <v>73</v>
      </c>
      <c r="L880" t="s">
        <v>74</v>
      </c>
      <c r="M880" t="s">
        <v>1247</v>
      </c>
      <c r="N880" t="s">
        <v>76</v>
      </c>
      <c r="O880" t="s">
        <v>1248</v>
      </c>
      <c r="P880" t="s">
        <v>1249</v>
      </c>
      <c r="Q880" t="s">
        <v>1250</v>
      </c>
      <c r="R880" s="1">
        <v>46218</v>
      </c>
      <c r="S880" t="s">
        <v>1251</v>
      </c>
      <c r="T880" t="s">
        <v>1252</v>
      </c>
      <c r="U880" t="s">
        <v>1253</v>
      </c>
      <c r="V880" t="s">
        <v>66</v>
      </c>
      <c r="W880" t="s">
        <v>66</v>
      </c>
      <c r="X880">
        <v>1301161.5</v>
      </c>
      <c r="Y880">
        <v>143127.76999999999</v>
      </c>
      <c r="Z880">
        <v>17014.5</v>
      </c>
      <c r="AA880">
        <v>1871.6</v>
      </c>
      <c r="AB880">
        <v>1444289.27</v>
      </c>
      <c r="AC880">
        <v>3</v>
      </c>
      <c r="AD880" t="s">
        <v>82</v>
      </c>
      <c r="AE880">
        <v>3</v>
      </c>
      <c r="AF880" t="s">
        <v>350</v>
      </c>
      <c r="AG880">
        <f>IFERROR(VLOOKUP(AF880,[1]STOK!J:O,6,0),"")</f>
        <v>48</v>
      </c>
      <c r="AH880" s="2">
        <f t="shared" si="26"/>
        <v>6.25E-2</v>
      </c>
      <c r="AI880" t="s">
        <v>350</v>
      </c>
      <c r="AJ880" t="s">
        <v>351</v>
      </c>
      <c r="AK880" t="s">
        <v>352</v>
      </c>
      <c r="AL880" t="s">
        <v>86</v>
      </c>
      <c r="AM880">
        <v>6327</v>
      </c>
      <c r="AN880">
        <f t="shared" si="27"/>
        <v>6295.3666666666659</v>
      </c>
      <c r="AO880" t="s">
        <v>66</v>
      </c>
      <c r="AP880">
        <v>0.5</v>
      </c>
      <c r="AQ880" t="s">
        <v>66</v>
      </c>
      <c r="AR880">
        <v>0</v>
      </c>
      <c r="AS880" t="s">
        <v>66</v>
      </c>
      <c r="AT880">
        <v>0</v>
      </c>
      <c r="AU880" t="s">
        <v>66</v>
      </c>
      <c r="AV880">
        <v>0</v>
      </c>
      <c r="AW880" t="s">
        <v>66</v>
      </c>
      <c r="AX880">
        <v>0</v>
      </c>
      <c r="AY880" t="s">
        <v>66</v>
      </c>
      <c r="AZ880">
        <v>0</v>
      </c>
      <c r="BA880" t="s">
        <v>66</v>
      </c>
      <c r="BB880">
        <v>0</v>
      </c>
      <c r="BC880">
        <v>0</v>
      </c>
      <c r="BD880">
        <v>18886.099999999999</v>
      </c>
      <c r="BE880">
        <v>5152.5600000000004</v>
      </c>
      <c r="BF880">
        <v>0</v>
      </c>
      <c r="BG880" t="s">
        <v>87</v>
      </c>
      <c r="BH880" t="s">
        <v>66</v>
      </c>
      <c r="BI880">
        <v>0</v>
      </c>
      <c r="BJ880" t="s">
        <v>66</v>
      </c>
      <c r="BK880" t="s">
        <v>88</v>
      </c>
      <c r="BL880" t="s">
        <v>66</v>
      </c>
      <c r="BM880" t="s">
        <v>159</v>
      </c>
    </row>
    <row r="881" spans="1:65" x14ac:dyDescent="0.25">
      <c r="A881">
        <v>879</v>
      </c>
      <c r="B881" t="s">
        <v>1245</v>
      </c>
      <c r="C881" t="s">
        <v>66</v>
      </c>
      <c r="D881" s="1">
        <v>46214</v>
      </c>
      <c r="E881" t="s">
        <v>1246</v>
      </c>
      <c r="F881" t="s">
        <v>68</v>
      </c>
      <c r="G881" t="s">
        <v>69</v>
      </c>
      <c r="H881" t="s">
        <v>70</v>
      </c>
      <c r="I881" t="s">
        <v>71</v>
      </c>
      <c r="J881" t="s">
        <v>72</v>
      </c>
      <c r="K881" t="s">
        <v>73</v>
      </c>
      <c r="L881" t="s">
        <v>74</v>
      </c>
      <c r="M881" t="s">
        <v>1247</v>
      </c>
      <c r="N881" t="s">
        <v>76</v>
      </c>
      <c r="O881" t="s">
        <v>1248</v>
      </c>
      <c r="P881" t="s">
        <v>1249</v>
      </c>
      <c r="Q881" t="s">
        <v>1250</v>
      </c>
      <c r="R881" s="1">
        <v>46218</v>
      </c>
      <c r="S881" t="s">
        <v>1251</v>
      </c>
      <c r="T881" t="s">
        <v>1252</v>
      </c>
      <c r="U881" t="s">
        <v>1253</v>
      </c>
      <c r="V881" t="s">
        <v>66</v>
      </c>
      <c r="W881" t="s">
        <v>66</v>
      </c>
      <c r="X881">
        <v>1301161.5</v>
      </c>
      <c r="Y881">
        <v>143127.76999999999</v>
      </c>
      <c r="Z881">
        <v>32835</v>
      </c>
      <c r="AA881">
        <v>3611.85</v>
      </c>
      <c r="AB881">
        <v>1444289.27</v>
      </c>
      <c r="AC881">
        <v>2</v>
      </c>
      <c r="AD881" t="s">
        <v>82</v>
      </c>
      <c r="AE881">
        <v>2</v>
      </c>
      <c r="AF881" t="s">
        <v>128</v>
      </c>
      <c r="AG881">
        <f>IFERROR(VLOOKUP(AF881,[1]STOK!J:O,6,0),"")</f>
        <v>24</v>
      </c>
      <c r="AH881" s="2">
        <f t="shared" si="26"/>
        <v>8.3333333333333329E-2</v>
      </c>
      <c r="AI881" t="s">
        <v>128</v>
      </c>
      <c r="AJ881" t="s">
        <v>129</v>
      </c>
      <c r="AK881" t="s">
        <v>130</v>
      </c>
      <c r="AL881" t="s">
        <v>86</v>
      </c>
      <c r="AM881">
        <v>18315</v>
      </c>
      <c r="AN881">
        <f t="shared" si="27"/>
        <v>18223.424999999999</v>
      </c>
      <c r="AO881" t="s">
        <v>66</v>
      </c>
      <c r="AP881">
        <v>0.5</v>
      </c>
      <c r="AQ881" t="s">
        <v>66</v>
      </c>
      <c r="AR881">
        <v>0</v>
      </c>
      <c r="AS881" t="s">
        <v>66</v>
      </c>
      <c r="AT881">
        <v>0</v>
      </c>
      <c r="AU881" t="s">
        <v>66</v>
      </c>
      <c r="AV881">
        <v>0</v>
      </c>
      <c r="AW881" t="s">
        <v>66</v>
      </c>
      <c r="AX881">
        <v>0</v>
      </c>
      <c r="AY881" t="s">
        <v>66</v>
      </c>
      <c r="AZ881">
        <v>0</v>
      </c>
      <c r="BA881" t="s">
        <v>66</v>
      </c>
      <c r="BB881">
        <v>0</v>
      </c>
      <c r="BC881">
        <v>0</v>
      </c>
      <c r="BD881">
        <v>36446.85</v>
      </c>
      <c r="BE881">
        <v>14920.07</v>
      </c>
      <c r="BF881">
        <v>0</v>
      </c>
      <c r="BG881" t="s">
        <v>87</v>
      </c>
      <c r="BH881" t="s">
        <v>66</v>
      </c>
      <c r="BI881">
        <v>0</v>
      </c>
      <c r="BJ881" t="s">
        <v>66</v>
      </c>
      <c r="BK881" t="s">
        <v>88</v>
      </c>
      <c r="BL881" t="s">
        <v>66</v>
      </c>
      <c r="BM881" t="s">
        <v>159</v>
      </c>
    </row>
    <row r="882" spans="1:65" x14ac:dyDescent="0.25">
      <c r="A882">
        <v>880</v>
      </c>
      <c r="B882" t="s">
        <v>1245</v>
      </c>
      <c r="C882" t="s">
        <v>66</v>
      </c>
      <c r="D882" s="1">
        <v>46214</v>
      </c>
      <c r="E882" t="s">
        <v>1246</v>
      </c>
      <c r="F882" t="s">
        <v>68</v>
      </c>
      <c r="G882" t="s">
        <v>69</v>
      </c>
      <c r="H882" t="s">
        <v>70</v>
      </c>
      <c r="I882" t="s">
        <v>71</v>
      </c>
      <c r="J882" t="s">
        <v>72</v>
      </c>
      <c r="K882" t="s">
        <v>73</v>
      </c>
      <c r="L882" t="s">
        <v>74</v>
      </c>
      <c r="M882" t="s">
        <v>1247</v>
      </c>
      <c r="N882" t="s">
        <v>76</v>
      </c>
      <c r="O882" t="s">
        <v>1248</v>
      </c>
      <c r="P882" t="s">
        <v>1249</v>
      </c>
      <c r="Q882" t="s">
        <v>1250</v>
      </c>
      <c r="R882" s="1">
        <v>46218</v>
      </c>
      <c r="S882" t="s">
        <v>1251</v>
      </c>
      <c r="T882" t="s">
        <v>1252</v>
      </c>
      <c r="U882" t="s">
        <v>1253</v>
      </c>
      <c r="V882" t="s">
        <v>66</v>
      </c>
      <c r="W882" t="s">
        <v>66</v>
      </c>
      <c r="X882">
        <v>1301161.5</v>
      </c>
      <c r="Y882">
        <v>143127.76999999999</v>
      </c>
      <c r="Z882">
        <v>32835</v>
      </c>
      <c r="AA882">
        <v>3611.85</v>
      </c>
      <c r="AB882">
        <v>1444289.27</v>
      </c>
      <c r="AC882">
        <v>2</v>
      </c>
      <c r="AD882" t="s">
        <v>82</v>
      </c>
      <c r="AE882">
        <v>2</v>
      </c>
      <c r="AF882" t="s">
        <v>93</v>
      </c>
      <c r="AG882">
        <f>IFERROR(VLOOKUP(AF882,[1]STOK!J:O,6,0),"")</f>
        <v>24</v>
      </c>
      <c r="AH882" s="2">
        <f t="shared" si="26"/>
        <v>8.3333333333333329E-2</v>
      </c>
      <c r="AI882" t="s">
        <v>93</v>
      </c>
      <c r="AJ882" t="s">
        <v>94</v>
      </c>
      <c r="AK882" t="s">
        <v>95</v>
      </c>
      <c r="AL882" t="s">
        <v>86</v>
      </c>
      <c r="AM882">
        <v>18315</v>
      </c>
      <c r="AN882">
        <f t="shared" si="27"/>
        <v>18223.424999999999</v>
      </c>
      <c r="AO882" t="s">
        <v>66</v>
      </c>
      <c r="AP882">
        <v>0.5</v>
      </c>
      <c r="AQ882" t="s">
        <v>66</v>
      </c>
      <c r="AR882">
        <v>0</v>
      </c>
      <c r="AS882" t="s">
        <v>66</v>
      </c>
      <c r="AT882">
        <v>0</v>
      </c>
      <c r="AU882" t="s">
        <v>66</v>
      </c>
      <c r="AV882">
        <v>0</v>
      </c>
      <c r="AW882" t="s">
        <v>66</v>
      </c>
      <c r="AX882">
        <v>0</v>
      </c>
      <c r="AY882" t="s">
        <v>66</v>
      </c>
      <c r="AZ882">
        <v>0</v>
      </c>
      <c r="BA882" t="s">
        <v>66</v>
      </c>
      <c r="BB882">
        <v>0</v>
      </c>
      <c r="BC882">
        <v>0</v>
      </c>
      <c r="BD882">
        <v>36446.85</v>
      </c>
      <c r="BE882">
        <v>14931.77</v>
      </c>
      <c r="BF882">
        <v>0</v>
      </c>
      <c r="BG882" t="s">
        <v>87</v>
      </c>
      <c r="BH882" t="s">
        <v>66</v>
      </c>
      <c r="BI882">
        <v>0</v>
      </c>
      <c r="BJ882" t="s">
        <v>66</v>
      </c>
      <c r="BK882" t="s">
        <v>88</v>
      </c>
      <c r="BL882" t="s">
        <v>66</v>
      </c>
      <c r="BM882" t="s">
        <v>159</v>
      </c>
    </row>
    <row r="883" spans="1:65" x14ac:dyDescent="0.25">
      <c r="A883">
        <v>881</v>
      </c>
      <c r="B883" t="s">
        <v>1245</v>
      </c>
      <c r="C883" t="s">
        <v>66</v>
      </c>
      <c r="D883" s="1">
        <v>46214</v>
      </c>
      <c r="E883" t="s">
        <v>1246</v>
      </c>
      <c r="F883" t="s">
        <v>68</v>
      </c>
      <c r="G883" t="s">
        <v>69</v>
      </c>
      <c r="H883" t="s">
        <v>70</v>
      </c>
      <c r="I883" t="s">
        <v>71</v>
      </c>
      <c r="J883" t="s">
        <v>72</v>
      </c>
      <c r="K883" t="s">
        <v>73</v>
      </c>
      <c r="L883" t="s">
        <v>74</v>
      </c>
      <c r="M883" t="s">
        <v>1247</v>
      </c>
      <c r="N883" t="s">
        <v>76</v>
      </c>
      <c r="O883" t="s">
        <v>1248</v>
      </c>
      <c r="P883" t="s">
        <v>1249</v>
      </c>
      <c r="Q883" t="s">
        <v>1250</v>
      </c>
      <c r="R883" s="1">
        <v>46218</v>
      </c>
      <c r="S883" t="s">
        <v>1251</v>
      </c>
      <c r="T883" t="s">
        <v>1252</v>
      </c>
      <c r="U883" t="s">
        <v>1253</v>
      </c>
      <c r="V883" t="s">
        <v>66</v>
      </c>
      <c r="W883" t="s">
        <v>66</v>
      </c>
      <c r="X883">
        <v>1301161.5</v>
      </c>
      <c r="Y883">
        <v>143127.76999999999</v>
      </c>
      <c r="Z883">
        <v>32835</v>
      </c>
      <c r="AA883">
        <v>3611.85</v>
      </c>
      <c r="AB883">
        <v>1444289.27</v>
      </c>
      <c r="AC883">
        <v>2</v>
      </c>
      <c r="AD883" t="s">
        <v>82</v>
      </c>
      <c r="AE883">
        <v>2</v>
      </c>
      <c r="AF883" t="s">
        <v>205</v>
      </c>
      <c r="AG883">
        <f>IFERROR(VLOOKUP(AF883,[1]STOK!J:O,6,0),"")</f>
        <v>24</v>
      </c>
      <c r="AH883" s="2">
        <f t="shared" si="26"/>
        <v>8.3333333333333329E-2</v>
      </c>
      <c r="AI883" t="s">
        <v>205</v>
      </c>
      <c r="AJ883" t="s">
        <v>206</v>
      </c>
      <c r="AK883" t="s">
        <v>207</v>
      </c>
      <c r="AL883" t="s">
        <v>86</v>
      </c>
      <c r="AM883">
        <v>18315</v>
      </c>
      <c r="AN883">
        <f t="shared" si="27"/>
        <v>18223.424999999999</v>
      </c>
      <c r="AO883" t="s">
        <v>66</v>
      </c>
      <c r="AP883">
        <v>0.5</v>
      </c>
      <c r="AQ883" t="s">
        <v>66</v>
      </c>
      <c r="AR883">
        <v>0</v>
      </c>
      <c r="AS883" t="s">
        <v>66</v>
      </c>
      <c r="AT883">
        <v>0</v>
      </c>
      <c r="AU883" t="s">
        <v>66</v>
      </c>
      <c r="AV883">
        <v>0</v>
      </c>
      <c r="AW883" t="s">
        <v>66</v>
      </c>
      <c r="AX883">
        <v>0</v>
      </c>
      <c r="AY883" t="s">
        <v>66</v>
      </c>
      <c r="AZ883">
        <v>0</v>
      </c>
      <c r="BA883" t="s">
        <v>66</v>
      </c>
      <c r="BB883">
        <v>0</v>
      </c>
      <c r="BC883">
        <v>0</v>
      </c>
      <c r="BD883">
        <v>36446.85</v>
      </c>
      <c r="BE883">
        <v>14914.56</v>
      </c>
      <c r="BF883">
        <v>0</v>
      </c>
      <c r="BG883" t="s">
        <v>87</v>
      </c>
      <c r="BH883" t="s">
        <v>66</v>
      </c>
      <c r="BI883">
        <v>0</v>
      </c>
      <c r="BJ883" t="s">
        <v>66</v>
      </c>
      <c r="BK883" t="s">
        <v>88</v>
      </c>
      <c r="BL883" t="s">
        <v>66</v>
      </c>
      <c r="BM883" t="s">
        <v>159</v>
      </c>
    </row>
    <row r="884" spans="1:65" x14ac:dyDescent="0.25">
      <c r="A884">
        <v>882</v>
      </c>
      <c r="B884" t="s">
        <v>1245</v>
      </c>
      <c r="C884" t="s">
        <v>66</v>
      </c>
      <c r="D884" s="1">
        <v>46214</v>
      </c>
      <c r="E884" t="s">
        <v>1246</v>
      </c>
      <c r="F884" t="s">
        <v>68</v>
      </c>
      <c r="G884" t="s">
        <v>69</v>
      </c>
      <c r="H884" t="s">
        <v>70</v>
      </c>
      <c r="I884" t="s">
        <v>71</v>
      </c>
      <c r="J884" t="s">
        <v>72</v>
      </c>
      <c r="K884" t="s">
        <v>73</v>
      </c>
      <c r="L884" t="s">
        <v>74</v>
      </c>
      <c r="M884" t="s">
        <v>1247</v>
      </c>
      <c r="N884" t="s">
        <v>76</v>
      </c>
      <c r="O884" t="s">
        <v>1248</v>
      </c>
      <c r="P884" t="s">
        <v>1249</v>
      </c>
      <c r="Q884" t="s">
        <v>1250</v>
      </c>
      <c r="R884" s="1">
        <v>46218</v>
      </c>
      <c r="S884" t="s">
        <v>1251</v>
      </c>
      <c r="T884" t="s">
        <v>1252</v>
      </c>
      <c r="U884" t="s">
        <v>1253</v>
      </c>
      <c r="V884" t="s">
        <v>66</v>
      </c>
      <c r="W884" t="s">
        <v>66</v>
      </c>
      <c r="X884">
        <v>1301161.5</v>
      </c>
      <c r="Y884">
        <v>143127.76999999999</v>
      </c>
      <c r="Z884">
        <v>32835</v>
      </c>
      <c r="AA884">
        <v>3611.85</v>
      </c>
      <c r="AB884">
        <v>1444289.27</v>
      </c>
      <c r="AC884">
        <v>2</v>
      </c>
      <c r="AD884" t="s">
        <v>82</v>
      </c>
      <c r="AE884">
        <v>2</v>
      </c>
      <c r="AF884" t="s">
        <v>96</v>
      </c>
      <c r="AG884">
        <f>IFERROR(VLOOKUP(AF884,[1]STOK!J:O,6,0),"")</f>
        <v>24</v>
      </c>
      <c r="AH884" s="2">
        <f t="shared" si="26"/>
        <v>8.3333333333333329E-2</v>
      </c>
      <c r="AI884" t="s">
        <v>96</v>
      </c>
      <c r="AJ884" t="s">
        <v>97</v>
      </c>
      <c r="AK884" t="s">
        <v>98</v>
      </c>
      <c r="AL884" t="s">
        <v>86</v>
      </c>
      <c r="AM884">
        <v>18315</v>
      </c>
      <c r="AN884">
        <f t="shared" si="27"/>
        <v>18223.424999999999</v>
      </c>
      <c r="AO884" t="s">
        <v>66</v>
      </c>
      <c r="AP884">
        <v>0.5</v>
      </c>
      <c r="AQ884" t="s">
        <v>66</v>
      </c>
      <c r="AR884">
        <v>0</v>
      </c>
      <c r="AS884" t="s">
        <v>66</v>
      </c>
      <c r="AT884">
        <v>0</v>
      </c>
      <c r="AU884" t="s">
        <v>66</v>
      </c>
      <c r="AV884">
        <v>0</v>
      </c>
      <c r="AW884" t="s">
        <v>66</v>
      </c>
      <c r="AX884">
        <v>0</v>
      </c>
      <c r="AY884" t="s">
        <v>66</v>
      </c>
      <c r="AZ884">
        <v>0</v>
      </c>
      <c r="BA884" t="s">
        <v>66</v>
      </c>
      <c r="BB884">
        <v>0</v>
      </c>
      <c r="BC884">
        <v>0</v>
      </c>
      <c r="BD884">
        <v>36446.85</v>
      </c>
      <c r="BE884">
        <v>14932.9</v>
      </c>
      <c r="BF884">
        <v>0</v>
      </c>
      <c r="BG884" t="s">
        <v>87</v>
      </c>
      <c r="BH884" t="s">
        <v>66</v>
      </c>
      <c r="BI884">
        <v>0</v>
      </c>
      <c r="BJ884" t="s">
        <v>66</v>
      </c>
      <c r="BK884" t="s">
        <v>88</v>
      </c>
      <c r="BL884" t="s">
        <v>66</v>
      </c>
      <c r="BM884" t="s">
        <v>159</v>
      </c>
    </row>
    <row r="885" spans="1:65" x14ac:dyDescent="0.25">
      <c r="A885">
        <v>883</v>
      </c>
      <c r="B885" t="s">
        <v>1245</v>
      </c>
      <c r="C885" t="s">
        <v>66</v>
      </c>
      <c r="D885" s="1">
        <v>46214</v>
      </c>
      <c r="E885" t="s">
        <v>1246</v>
      </c>
      <c r="F885" t="s">
        <v>68</v>
      </c>
      <c r="G885" t="s">
        <v>69</v>
      </c>
      <c r="H885" t="s">
        <v>70</v>
      </c>
      <c r="I885" t="s">
        <v>71</v>
      </c>
      <c r="J885" t="s">
        <v>72</v>
      </c>
      <c r="K885" t="s">
        <v>73</v>
      </c>
      <c r="L885" t="s">
        <v>74</v>
      </c>
      <c r="M885" t="s">
        <v>1247</v>
      </c>
      <c r="N885" t="s">
        <v>76</v>
      </c>
      <c r="O885" t="s">
        <v>1248</v>
      </c>
      <c r="P885" t="s">
        <v>1249</v>
      </c>
      <c r="Q885" t="s">
        <v>1250</v>
      </c>
      <c r="R885" s="1">
        <v>46218</v>
      </c>
      <c r="S885" t="s">
        <v>1251</v>
      </c>
      <c r="T885" t="s">
        <v>1252</v>
      </c>
      <c r="U885" t="s">
        <v>1253</v>
      </c>
      <c r="V885" t="s">
        <v>66</v>
      </c>
      <c r="W885" t="s">
        <v>66</v>
      </c>
      <c r="X885">
        <v>1301161.5</v>
      </c>
      <c r="Y885">
        <v>143127.76999999999</v>
      </c>
      <c r="Z885">
        <v>54327</v>
      </c>
      <c r="AA885">
        <v>5975.97</v>
      </c>
      <c r="AB885">
        <v>1444289.27</v>
      </c>
      <c r="AC885">
        <v>2</v>
      </c>
      <c r="AD885" t="s">
        <v>82</v>
      </c>
      <c r="AE885">
        <v>2</v>
      </c>
      <c r="AF885" t="s">
        <v>593</v>
      </c>
      <c r="AG885">
        <f>IFERROR(VLOOKUP(AF885,[1]STOK!J:O,6,0),"")</f>
        <v>12</v>
      </c>
      <c r="AH885" s="2">
        <f t="shared" si="26"/>
        <v>0.16666666666666666</v>
      </c>
      <c r="AI885" t="s">
        <v>593</v>
      </c>
      <c r="AJ885" t="s">
        <v>594</v>
      </c>
      <c r="AK885" t="s">
        <v>595</v>
      </c>
      <c r="AL885" t="s">
        <v>86</v>
      </c>
      <c r="AM885">
        <v>30303</v>
      </c>
      <c r="AN885">
        <f t="shared" si="27"/>
        <v>30151.485000000001</v>
      </c>
      <c r="AO885" t="s">
        <v>66</v>
      </c>
      <c r="AP885">
        <v>0.5</v>
      </c>
      <c r="AQ885" t="s">
        <v>66</v>
      </c>
      <c r="AR885">
        <v>0</v>
      </c>
      <c r="AS885" t="s">
        <v>66</v>
      </c>
      <c r="AT885">
        <v>0</v>
      </c>
      <c r="AU885" t="s">
        <v>66</v>
      </c>
      <c r="AV885">
        <v>0</v>
      </c>
      <c r="AW885" t="s">
        <v>66</v>
      </c>
      <c r="AX885">
        <v>0</v>
      </c>
      <c r="AY885" t="s">
        <v>66</v>
      </c>
      <c r="AZ885">
        <v>0</v>
      </c>
      <c r="BA885" t="s">
        <v>66</v>
      </c>
      <c r="BB885">
        <v>0</v>
      </c>
      <c r="BC885">
        <v>0</v>
      </c>
      <c r="BD885">
        <v>60302.97</v>
      </c>
      <c r="BE885">
        <v>24662.42</v>
      </c>
      <c r="BF885">
        <v>0</v>
      </c>
      <c r="BG885" t="s">
        <v>87</v>
      </c>
      <c r="BH885" t="s">
        <v>66</v>
      </c>
      <c r="BI885">
        <v>0</v>
      </c>
      <c r="BJ885" t="s">
        <v>66</v>
      </c>
      <c r="BK885" t="s">
        <v>88</v>
      </c>
      <c r="BL885" t="s">
        <v>66</v>
      </c>
      <c r="BM885" t="s">
        <v>159</v>
      </c>
    </row>
    <row r="886" spans="1:65" x14ac:dyDescent="0.25">
      <c r="A886">
        <v>884</v>
      </c>
      <c r="B886" t="s">
        <v>1245</v>
      </c>
      <c r="C886" t="s">
        <v>66</v>
      </c>
      <c r="D886" s="1">
        <v>46214</v>
      </c>
      <c r="E886" t="s">
        <v>1246</v>
      </c>
      <c r="F886" t="s">
        <v>68</v>
      </c>
      <c r="G886" t="s">
        <v>69</v>
      </c>
      <c r="H886" t="s">
        <v>70</v>
      </c>
      <c r="I886" t="s">
        <v>71</v>
      </c>
      <c r="J886" t="s">
        <v>72</v>
      </c>
      <c r="K886" t="s">
        <v>73</v>
      </c>
      <c r="L886" t="s">
        <v>74</v>
      </c>
      <c r="M886" t="s">
        <v>1247</v>
      </c>
      <c r="N886" t="s">
        <v>76</v>
      </c>
      <c r="O886" t="s">
        <v>1248</v>
      </c>
      <c r="P886" t="s">
        <v>1249</v>
      </c>
      <c r="Q886" t="s">
        <v>1250</v>
      </c>
      <c r="R886" s="1">
        <v>46218</v>
      </c>
      <c r="S886" t="s">
        <v>1251</v>
      </c>
      <c r="T886" t="s">
        <v>1252</v>
      </c>
      <c r="U886" t="s">
        <v>1253</v>
      </c>
      <c r="V886" t="s">
        <v>66</v>
      </c>
      <c r="W886" t="s">
        <v>66</v>
      </c>
      <c r="X886">
        <v>1301161.5</v>
      </c>
      <c r="Y886">
        <v>143127.76999999999</v>
      </c>
      <c r="Z886">
        <v>54327</v>
      </c>
      <c r="AA886">
        <v>5975.97</v>
      </c>
      <c r="AB886">
        <v>1444289.27</v>
      </c>
      <c r="AC886">
        <v>2</v>
      </c>
      <c r="AD886" t="s">
        <v>82</v>
      </c>
      <c r="AE886">
        <v>2</v>
      </c>
      <c r="AF886" t="s">
        <v>303</v>
      </c>
      <c r="AG886">
        <f>IFERROR(VLOOKUP(AF886,[1]STOK!J:O,6,0),"")</f>
        <v>12</v>
      </c>
      <c r="AH886" s="2">
        <f t="shared" si="26"/>
        <v>0.16666666666666666</v>
      </c>
      <c r="AI886" t="s">
        <v>303</v>
      </c>
      <c r="AJ886" t="s">
        <v>304</v>
      </c>
      <c r="AK886" t="s">
        <v>305</v>
      </c>
      <c r="AL886" t="s">
        <v>86</v>
      </c>
      <c r="AM886">
        <v>30303</v>
      </c>
      <c r="AN886">
        <f t="shared" si="27"/>
        <v>30151.485000000001</v>
      </c>
      <c r="AO886" t="s">
        <v>66</v>
      </c>
      <c r="AP886">
        <v>0.5</v>
      </c>
      <c r="AQ886" t="s">
        <v>66</v>
      </c>
      <c r="AR886">
        <v>0</v>
      </c>
      <c r="AS886" t="s">
        <v>66</v>
      </c>
      <c r="AT886">
        <v>0</v>
      </c>
      <c r="AU886" t="s">
        <v>66</v>
      </c>
      <c r="AV886">
        <v>0</v>
      </c>
      <c r="AW886" t="s">
        <v>66</v>
      </c>
      <c r="AX886">
        <v>0</v>
      </c>
      <c r="AY886" t="s">
        <v>66</v>
      </c>
      <c r="AZ886">
        <v>0</v>
      </c>
      <c r="BA886" t="s">
        <v>66</v>
      </c>
      <c r="BB886">
        <v>0</v>
      </c>
      <c r="BC886">
        <v>0</v>
      </c>
      <c r="BD886">
        <v>60302.97</v>
      </c>
      <c r="BE886">
        <v>24655.39</v>
      </c>
      <c r="BF886">
        <v>0</v>
      </c>
      <c r="BG886" t="s">
        <v>87</v>
      </c>
      <c r="BH886" t="s">
        <v>66</v>
      </c>
      <c r="BI886">
        <v>0</v>
      </c>
      <c r="BJ886" t="s">
        <v>66</v>
      </c>
      <c r="BK886" t="s">
        <v>88</v>
      </c>
      <c r="BL886" t="s">
        <v>66</v>
      </c>
      <c r="BM886" t="s">
        <v>159</v>
      </c>
    </row>
    <row r="887" spans="1:65" x14ac:dyDescent="0.25">
      <c r="A887">
        <v>885</v>
      </c>
      <c r="B887" t="s">
        <v>1245</v>
      </c>
      <c r="C887" t="s">
        <v>66</v>
      </c>
      <c r="D887" s="1">
        <v>46214</v>
      </c>
      <c r="E887" t="s">
        <v>1246</v>
      </c>
      <c r="F887" t="s">
        <v>68</v>
      </c>
      <c r="G887" t="s">
        <v>69</v>
      </c>
      <c r="H887" t="s">
        <v>70</v>
      </c>
      <c r="I887" t="s">
        <v>71</v>
      </c>
      <c r="J887" t="s">
        <v>72</v>
      </c>
      <c r="K887" t="s">
        <v>73</v>
      </c>
      <c r="L887" t="s">
        <v>74</v>
      </c>
      <c r="M887" t="s">
        <v>1247</v>
      </c>
      <c r="N887" t="s">
        <v>76</v>
      </c>
      <c r="O887" t="s">
        <v>1248</v>
      </c>
      <c r="P887" t="s">
        <v>1249</v>
      </c>
      <c r="Q887" t="s">
        <v>1250</v>
      </c>
      <c r="R887" s="1">
        <v>46218</v>
      </c>
      <c r="S887" t="s">
        <v>1251</v>
      </c>
      <c r="T887" t="s">
        <v>1252</v>
      </c>
      <c r="U887" t="s">
        <v>1253</v>
      </c>
      <c r="V887" t="s">
        <v>66</v>
      </c>
      <c r="W887" t="s">
        <v>66</v>
      </c>
      <c r="X887">
        <v>1301161.5</v>
      </c>
      <c r="Y887">
        <v>143127.76999999999</v>
      </c>
      <c r="Z887">
        <v>54327</v>
      </c>
      <c r="AA887">
        <v>5975.97</v>
      </c>
      <c r="AB887">
        <v>1444289.27</v>
      </c>
      <c r="AC887">
        <v>2</v>
      </c>
      <c r="AD887" t="s">
        <v>82</v>
      </c>
      <c r="AE887">
        <v>2</v>
      </c>
      <c r="AF887" t="s">
        <v>306</v>
      </c>
      <c r="AG887">
        <f>IFERROR(VLOOKUP(AF887,[1]STOK!J:O,6,0),"")</f>
        <v>12</v>
      </c>
      <c r="AH887" s="2">
        <f t="shared" si="26"/>
        <v>0.16666666666666666</v>
      </c>
      <c r="AI887" t="s">
        <v>306</v>
      </c>
      <c r="AJ887" t="s">
        <v>307</v>
      </c>
      <c r="AK887" t="s">
        <v>308</v>
      </c>
      <c r="AL887" t="s">
        <v>86</v>
      </c>
      <c r="AM887">
        <v>30303</v>
      </c>
      <c r="AN887">
        <f t="shared" si="27"/>
        <v>30151.485000000001</v>
      </c>
      <c r="AO887" t="s">
        <v>66</v>
      </c>
      <c r="AP887">
        <v>0.5</v>
      </c>
      <c r="AQ887" t="s">
        <v>66</v>
      </c>
      <c r="AR887">
        <v>0</v>
      </c>
      <c r="AS887" t="s">
        <v>66</v>
      </c>
      <c r="AT887">
        <v>0</v>
      </c>
      <c r="AU887" t="s">
        <v>66</v>
      </c>
      <c r="AV887">
        <v>0</v>
      </c>
      <c r="AW887" t="s">
        <v>66</v>
      </c>
      <c r="AX887">
        <v>0</v>
      </c>
      <c r="AY887" t="s">
        <v>66</v>
      </c>
      <c r="AZ887">
        <v>0</v>
      </c>
      <c r="BA887" t="s">
        <v>66</v>
      </c>
      <c r="BB887">
        <v>0</v>
      </c>
      <c r="BC887">
        <v>0</v>
      </c>
      <c r="BD887">
        <v>60302.97</v>
      </c>
      <c r="BE887">
        <v>24556.61</v>
      </c>
      <c r="BF887">
        <v>0</v>
      </c>
      <c r="BG887" t="s">
        <v>87</v>
      </c>
      <c r="BH887" t="s">
        <v>66</v>
      </c>
      <c r="BI887">
        <v>0</v>
      </c>
      <c r="BJ887" t="s">
        <v>66</v>
      </c>
      <c r="BK887" t="s">
        <v>88</v>
      </c>
      <c r="BL887" t="s">
        <v>66</v>
      </c>
      <c r="BM887" t="s">
        <v>159</v>
      </c>
    </row>
    <row r="888" spans="1:65" x14ac:dyDescent="0.25">
      <c r="A888">
        <v>886</v>
      </c>
      <c r="B888" t="s">
        <v>1245</v>
      </c>
      <c r="C888" t="s">
        <v>66</v>
      </c>
      <c r="D888" s="1">
        <v>46214</v>
      </c>
      <c r="E888" t="s">
        <v>1246</v>
      </c>
      <c r="F888" t="s">
        <v>68</v>
      </c>
      <c r="G888" t="s">
        <v>69</v>
      </c>
      <c r="H888" t="s">
        <v>70</v>
      </c>
      <c r="I888" t="s">
        <v>71</v>
      </c>
      <c r="J888" t="s">
        <v>72</v>
      </c>
      <c r="K888" t="s">
        <v>73</v>
      </c>
      <c r="L888" t="s">
        <v>74</v>
      </c>
      <c r="M888" t="s">
        <v>1247</v>
      </c>
      <c r="N888" t="s">
        <v>76</v>
      </c>
      <c r="O888" t="s">
        <v>1248</v>
      </c>
      <c r="P888" t="s">
        <v>1249</v>
      </c>
      <c r="Q888" t="s">
        <v>1250</v>
      </c>
      <c r="R888" s="1">
        <v>46218</v>
      </c>
      <c r="S888" t="s">
        <v>1251</v>
      </c>
      <c r="T888" t="s">
        <v>1252</v>
      </c>
      <c r="U888" t="s">
        <v>1253</v>
      </c>
      <c r="V888" t="s">
        <v>66</v>
      </c>
      <c r="W888" t="s">
        <v>66</v>
      </c>
      <c r="X888">
        <v>1301161.5</v>
      </c>
      <c r="Y888">
        <v>143127.76999999999</v>
      </c>
      <c r="Z888">
        <v>54327</v>
      </c>
      <c r="AA888">
        <v>5975.97</v>
      </c>
      <c r="AB888">
        <v>1444289.27</v>
      </c>
      <c r="AC888">
        <v>2</v>
      </c>
      <c r="AD888" t="s">
        <v>82</v>
      </c>
      <c r="AE888">
        <v>2</v>
      </c>
      <c r="AF888" t="s">
        <v>309</v>
      </c>
      <c r="AG888">
        <f>IFERROR(VLOOKUP(AF888,[1]STOK!J:O,6,0),"")</f>
        <v>12</v>
      </c>
      <c r="AH888" s="2">
        <f t="shared" si="26"/>
        <v>0.16666666666666666</v>
      </c>
      <c r="AI888" t="s">
        <v>309</v>
      </c>
      <c r="AJ888" t="s">
        <v>310</v>
      </c>
      <c r="AK888" t="s">
        <v>311</v>
      </c>
      <c r="AL888" t="s">
        <v>86</v>
      </c>
      <c r="AM888">
        <v>30303</v>
      </c>
      <c r="AN888">
        <f t="shared" si="27"/>
        <v>30151.485000000001</v>
      </c>
      <c r="AO888" t="s">
        <v>66</v>
      </c>
      <c r="AP888">
        <v>0.5</v>
      </c>
      <c r="AQ888" t="s">
        <v>66</v>
      </c>
      <c r="AR888">
        <v>0</v>
      </c>
      <c r="AS888" t="s">
        <v>66</v>
      </c>
      <c r="AT888">
        <v>0</v>
      </c>
      <c r="AU888" t="s">
        <v>66</v>
      </c>
      <c r="AV888">
        <v>0</v>
      </c>
      <c r="AW888" t="s">
        <v>66</v>
      </c>
      <c r="AX888">
        <v>0</v>
      </c>
      <c r="AY888" t="s">
        <v>66</v>
      </c>
      <c r="AZ888">
        <v>0</v>
      </c>
      <c r="BA888" t="s">
        <v>66</v>
      </c>
      <c r="BB888">
        <v>0</v>
      </c>
      <c r="BC888">
        <v>0</v>
      </c>
      <c r="BD888">
        <v>60302.97</v>
      </c>
      <c r="BE888">
        <v>24633.96</v>
      </c>
      <c r="BF888">
        <v>0</v>
      </c>
      <c r="BG888" t="s">
        <v>87</v>
      </c>
      <c r="BH888" t="s">
        <v>66</v>
      </c>
      <c r="BI888">
        <v>0</v>
      </c>
      <c r="BJ888" t="s">
        <v>66</v>
      </c>
      <c r="BK888" t="s">
        <v>88</v>
      </c>
      <c r="BL888" t="s">
        <v>66</v>
      </c>
      <c r="BM888" t="s">
        <v>159</v>
      </c>
    </row>
    <row r="889" spans="1:65" x14ac:dyDescent="0.25">
      <c r="A889">
        <v>887</v>
      </c>
      <c r="B889" t="s">
        <v>1245</v>
      </c>
      <c r="C889" t="s">
        <v>66</v>
      </c>
      <c r="D889" s="1">
        <v>46214</v>
      </c>
      <c r="E889" t="s">
        <v>1246</v>
      </c>
      <c r="F889" t="s">
        <v>68</v>
      </c>
      <c r="G889" t="s">
        <v>69</v>
      </c>
      <c r="H889" t="s">
        <v>70</v>
      </c>
      <c r="I889" t="s">
        <v>71</v>
      </c>
      <c r="J889" t="s">
        <v>72</v>
      </c>
      <c r="K889" t="s">
        <v>73</v>
      </c>
      <c r="L889" t="s">
        <v>74</v>
      </c>
      <c r="M889" t="s">
        <v>1247</v>
      </c>
      <c r="N889" t="s">
        <v>76</v>
      </c>
      <c r="O889" t="s">
        <v>1248</v>
      </c>
      <c r="P889" t="s">
        <v>1249</v>
      </c>
      <c r="Q889" t="s">
        <v>1250</v>
      </c>
      <c r="R889" s="1">
        <v>46218</v>
      </c>
      <c r="S889" t="s">
        <v>1251</v>
      </c>
      <c r="T889" t="s">
        <v>1252</v>
      </c>
      <c r="U889" t="s">
        <v>1253</v>
      </c>
      <c r="V889" t="s">
        <v>66</v>
      </c>
      <c r="W889" t="s">
        <v>66</v>
      </c>
      <c r="X889">
        <v>1301161.5</v>
      </c>
      <c r="Y889">
        <v>143127.76999999999</v>
      </c>
      <c r="Z889">
        <v>54327</v>
      </c>
      <c r="AA889">
        <v>5975.97</v>
      </c>
      <c r="AB889">
        <v>1444289.27</v>
      </c>
      <c r="AC889">
        <v>2</v>
      </c>
      <c r="AD889" t="s">
        <v>82</v>
      </c>
      <c r="AE889">
        <v>2</v>
      </c>
      <c r="AF889" t="s">
        <v>563</v>
      </c>
      <c r="AG889">
        <f>IFERROR(VLOOKUP(AF889,[1]STOK!J:O,6,0),"")</f>
        <v>12</v>
      </c>
      <c r="AH889" s="2">
        <f t="shared" si="26"/>
        <v>0.16666666666666666</v>
      </c>
      <c r="AI889" t="s">
        <v>563</v>
      </c>
      <c r="AJ889" t="s">
        <v>564</v>
      </c>
      <c r="AK889" t="s">
        <v>565</v>
      </c>
      <c r="AL889" t="s">
        <v>86</v>
      </c>
      <c r="AM889">
        <v>30303</v>
      </c>
      <c r="AN889">
        <f t="shared" si="27"/>
        <v>30151.485000000001</v>
      </c>
      <c r="AO889" t="s">
        <v>66</v>
      </c>
      <c r="AP889">
        <v>0.5</v>
      </c>
      <c r="AQ889" t="s">
        <v>66</v>
      </c>
      <c r="AR889">
        <v>0</v>
      </c>
      <c r="AS889" t="s">
        <v>66</v>
      </c>
      <c r="AT889">
        <v>0</v>
      </c>
      <c r="AU889" t="s">
        <v>66</v>
      </c>
      <c r="AV889">
        <v>0</v>
      </c>
      <c r="AW889" t="s">
        <v>66</v>
      </c>
      <c r="AX889">
        <v>0</v>
      </c>
      <c r="AY889" t="s">
        <v>66</v>
      </c>
      <c r="AZ889">
        <v>0</v>
      </c>
      <c r="BA889" t="s">
        <v>66</v>
      </c>
      <c r="BB889">
        <v>0</v>
      </c>
      <c r="BC889">
        <v>0</v>
      </c>
      <c r="BD889">
        <v>60302.97</v>
      </c>
      <c r="BE889">
        <v>24691.81</v>
      </c>
      <c r="BF889">
        <v>0</v>
      </c>
      <c r="BG889" t="s">
        <v>87</v>
      </c>
      <c r="BH889" t="s">
        <v>66</v>
      </c>
      <c r="BI889">
        <v>0</v>
      </c>
      <c r="BJ889" t="s">
        <v>66</v>
      </c>
      <c r="BK889" t="s">
        <v>88</v>
      </c>
      <c r="BL889" t="s">
        <v>66</v>
      </c>
      <c r="BM889" t="s">
        <v>159</v>
      </c>
    </row>
    <row r="890" spans="1:65" x14ac:dyDescent="0.25">
      <c r="A890">
        <v>888</v>
      </c>
      <c r="B890" t="s">
        <v>1245</v>
      </c>
      <c r="C890" t="s">
        <v>66</v>
      </c>
      <c r="D890" s="1">
        <v>46214</v>
      </c>
      <c r="E890" t="s">
        <v>1246</v>
      </c>
      <c r="F890" t="s">
        <v>68</v>
      </c>
      <c r="G890" t="s">
        <v>69</v>
      </c>
      <c r="H890" t="s">
        <v>70</v>
      </c>
      <c r="I890" t="s">
        <v>71</v>
      </c>
      <c r="J890" t="s">
        <v>72</v>
      </c>
      <c r="K890" t="s">
        <v>73</v>
      </c>
      <c r="L890" t="s">
        <v>74</v>
      </c>
      <c r="M890" t="s">
        <v>1247</v>
      </c>
      <c r="N890" t="s">
        <v>76</v>
      </c>
      <c r="O890" t="s">
        <v>1248</v>
      </c>
      <c r="P890" t="s">
        <v>1249</v>
      </c>
      <c r="Q890" t="s">
        <v>1250</v>
      </c>
      <c r="R890" s="1">
        <v>46218</v>
      </c>
      <c r="S890" t="s">
        <v>1251</v>
      </c>
      <c r="T890" t="s">
        <v>1252</v>
      </c>
      <c r="U890" t="s">
        <v>1253</v>
      </c>
      <c r="V890" t="s">
        <v>66</v>
      </c>
      <c r="W890" t="s">
        <v>66</v>
      </c>
      <c r="X890">
        <v>1301161.5</v>
      </c>
      <c r="Y890">
        <v>143127.76999999999</v>
      </c>
      <c r="Z890">
        <v>25273</v>
      </c>
      <c r="AA890">
        <v>2780.03</v>
      </c>
      <c r="AB890">
        <v>1444289.27</v>
      </c>
      <c r="AC890">
        <v>2</v>
      </c>
      <c r="AD890" t="s">
        <v>82</v>
      </c>
      <c r="AE890">
        <v>2</v>
      </c>
      <c r="AF890" t="s">
        <v>830</v>
      </c>
      <c r="AG890">
        <f>IFERROR(VLOOKUP(AF890,[1]STOK!J:O,6,0),"")</f>
        <v>12</v>
      </c>
      <c r="AH890" s="2">
        <f t="shared" si="26"/>
        <v>0.16666666666666666</v>
      </c>
      <c r="AI890" t="s">
        <v>830</v>
      </c>
      <c r="AJ890" t="s">
        <v>831</v>
      </c>
      <c r="AK890" t="s">
        <v>832</v>
      </c>
      <c r="AL890" t="s">
        <v>86</v>
      </c>
      <c r="AM890">
        <v>14097</v>
      </c>
      <c r="AN890">
        <f t="shared" si="27"/>
        <v>14026.514999999999</v>
      </c>
      <c r="AO890" t="s">
        <v>66</v>
      </c>
      <c r="AP890">
        <v>0.5</v>
      </c>
      <c r="AQ890" t="s">
        <v>66</v>
      </c>
      <c r="AR890">
        <v>0</v>
      </c>
      <c r="AS890" t="s">
        <v>66</v>
      </c>
      <c r="AT890">
        <v>0</v>
      </c>
      <c r="AU890" t="s">
        <v>66</v>
      </c>
      <c r="AV890">
        <v>0</v>
      </c>
      <c r="AW890" t="s">
        <v>66</v>
      </c>
      <c r="AX890">
        <v>0</v>
      </c>
      <c r="AY890" t="s">
        <v>66</v>
      </c>
      <c r="AZ890">
        <v>0</v>
      </c>
      <c r="BA890" t="s">
        <v>66</v>
      </c>
      <c r="BB890">
        <v>0</v>
      </c>
      <c r="BC890">
        <v>0</v>
      </c>
      <c r="BD890">
        <v>28053.03</v>
      </c>
      <c r="BE890">
        <v>11088.63</v>
      </c>
      <c r="BF890">
        <v>0</v>
      </c>
      <c r="BG890" t="s">
        <v>87</v>
      </c>
      <c r="BH890" t="s">
        <v>66</v>
      </c>
      <c r="BI890">
        <v>0</v>
      </c>
      <c r="BJ890" t="s">
        <v>66</v>
      </c>
      <c r="BK890" t="s">
        <v>88</v>
      </c>
      <c r="BL890" t="s">
        <v>66</v>
      </c>
      <c r="BM890" t="s">
        <v>159</v>
      </c>
    </row>
    <row r="891" spans="1:65" x14ac:dyDescent="0.25">
      <c r="A891">
        <v>889</v>
      </c>
      <c r="B891" t="s">
        <v>1245</v>
      </c>
      <c r="C891" t="s">
        <v>66</v>
      </c>
      <c r="D891" s="1">
        <v>46214</v>
      </c>
      <c r="E891" t="s">
        <v>1246</v>
      </c>
      <c r="F891" t="s">
        <v>68</v>
      </c>
      <c r="G891" t="s">
        <v>69</v>
      </c>
      <c r="H891" t="s">
        <v>70</v>
      </c>
      <c r="I891" t="s">
        <v>71</v>
      </c>
      <c r="J891" t="s">
        <v>72</v>
      </c>
      <c r="K891" t="s">
        <v>73</v>
      </c>
      <c r="L891" t="s">
        <v>74</v>
      </c>
      <c r="M891" t="s">
        <v>1247</v>
      </c>
      <c r="N891" t="s">
        <v>76</v>
      </c>
      <c r="O891" t="s">
        <v>1248</v>
      </c>
      <c r="P891" t="s">
        <v>1249</v>
      </c>
      <c r="Q891" t="s">
        <v>1250</v>
      </c>
      <c r="R891" s="1">
        <v>46218</v>
      </c>
      <c r="S891" t="s">
        <v>1251</v>
      </c>
      <c r="T891" t="s">
        <v>1252</v>
      </c>
      <c r="U891" t="s">
        <v>1253</v>
      </c>
      <c r="V891" t="s">
        <v>66</v>
      </c>
      <c r="W891" t="s">
        <v>66</v>
      </c>
      <c r="X891">
        <v>1301161.5</v>
      </c>
      <c r="Y891">
        <v>143127.76999999999</v>
      </c>
      <c r="Z891">
        <v>25273</v>
      </c>
      <c r="AA891">
        <v>2780.03</v>
      </c>
      <c r="AB891">
        <v>1444289.27</v>
      </c>
      <c r="AC891">
        <v>2</v>
      </c>
      <c r="AD891" t="s">
        <v>82</v>
      </c>
      <c r="AE891">
        <v>2</v>
      </c>
      <c r="AF891" t="s">
        <v>827</v>
      </c>
      <c r="AG891">
        <f>IFERROR(VLOOKUP(AF891,[1]STOK!J:O,6,0),"")</f>
        <v>12</v>
      </c>
      <c r="AH891" s="2">
        <f t="shared" si="26"/>
        <v>0.16666666666666666</v>
      </c>
      <c r="AI891" t="s">
        <v>827</v>
      </c>
      <c r="AJ891" t="s">
        <v>828</v>
      </c>
      <c r="AK891" t="s">
        <v>829</v>
      </c>
      <c r="AL891" t="s">
        <v>86</v>
      </c>
      <c r="AM891">
        <v>14097</v>
      </c>
      <c r="AN891">
        <f t="shared" si="27"/>
        <v>14026.514999999999</v>
      </c>
      <c r="AO891" t="s">
        <v>66</v>
      </c>
      <c r="AP891">
        <v>0.5</v>
      </c>
      <c r="AQ891" t="s">
        <v>66</v>
      </c>
      <c r="AR891">
        <v>0</v>
      </c>
      <c r="AS891" t="s">
        <v>66</v>
      </c>
      <c r="AT891">
        <v>0</v>
      </c>
      <c r="AU891" t="s">
        <v>66</v>
      </c>
      <c r="AV891">
        <v>0</v>
      </c>
      <c r="AW891" t="s">
        <v>66</v>
      </c>
      <c r="AX891">
        <v>0</v>
      </c>
      <c r="AY891" t="s">
        <v>66</v>
      </c>
      <c r="AZ891">
        <v>0</v>
      </c>
      <c r="BA891" t="s">
        <v>66</v>
      </c>
      <c r="BB891">
        <v>0</v>
      </c>
      <c r="BC891">
        <v>0</v>
      </c>
      <c r="BD891">
        <v>28053.03</v>
      </c>
      <c r="BE891">
        <v>11437.12</v>
      </c>
      <c r="BF891">
        <v>0</v>
      </c>
      <c r="BG891" t="s">
        <v>87</v>
      </c>
      <c r="BH891" t="s">
        <v>66</v>
      </c>
      <c r="BI891">
        <v>0</v>
      </c>
      <c r="BJ891" t="s">
        <v>66</v>
      </c>
      <c r="BK891" t="s">
        <v>88</v>
      </c>
      <c r="BL891" t="s">
        <v>66</v>
      </c>
      <c r="BM891" t="s">
        <v>159</v>
      </c>
    </row>
    <row r="892" spans="1:65" x14ac:dyDescent="0.25">
      <c r="A892">
        <v>890</v>
      </c>
      <c r="B892" t="s">
        <v>1245</v>
      </c>
      <c r="C892" t="s">
        <v>66</v>
      </c>
      <c r="D892" s="1">
        <v>46214</v>
      </c>
      <c r="E892" t="s">
        <v>1246</v>
      </c>
      <c r="F892" t="s">
        <v>68</v>
      </c>
      <c r="G892" t="s">
        <v>69</v>
      </c>
      <c r="H892" t="s">
        <v>70</v>
      </c>
      <c r="I892" t="s">
        <v>71</v>
      </c>
      <c r="J892" t="s">
        <v>72</v>
      </c>
      <c r="K892" t="s">
        <v>73</v>
      </c>
      <c r="L892" t="s">
        <v>74</v>
      </c>
      <c r="M892" t="s">
        <v>1247</v>
      </c>
      <c r="N892" t="s">
        <v>76</v>
      </c>
      <c r="O892" t="s">
        <v>1248</v>
      </c>
      <c r="P892" t="s">
        <v>1249</v>
      </c>
      <c r="Q892" t="s">
        <v>1250</v>
      </c>
      <c r="R892" s="1">
        <v>46218</v>
      </c>
      <c r="S892" t="s">
        <v>1251</v>
      </c>
      <c r="T892" t="s">
        <v>1252</v>
      </c>
      <c r="U892" t="s">
        <v>1253</v>
      </c>
      <c r="V892" t="s">
        <v>66</v>
      </c>
      <c r="W892" t="s">
        <v>66</v>
      </c>
      <c r="X892">
        <v>1301161.5</v>
      </c>
      <c r="Y892">
        <v>143127.76999999999</v>
      </c>
      <c r="Z892">
        <v>42785</v>
      </c>
      <c r="AA892">
        <v>4706.3500000000004</v>
      </c>
      <c r="AB892">
        <v>1444289.27</v>
      </c>
      <c r="AC892">
        <v>2</v>
      </c>
      <c r="AD892" t="s">
        <v>82</v>
      </c>
      <c r="AE892">
        <v>2</v>
      </c>
      <c r="AF892" t="s">
        <v>1147</v>
      </c>
      <c r="AG892">
        <f>IFERROR(VLOOKUP(AF892,[1]STOK!J:O,6,0),"")</f>
        <v>12</v>
      </c>
      <c r="AH892" s="2">
        <f t="shared" si="26"/>
        <v>0.16666666666666666</v>
      </c>
      <c r="AI892" t="s">
        <v>1147</v>
      </c>
      <c r="AJ892" t="s">
        <v>1148</v>
      </c>
      <c r="AK892" t="s">
        <v>1149</v>
      </c>
      <c r="AL892" t="s">
        <v>86</v>
      </c>
      <c r="AM892">
        <v>23865</v>
      </c>
      <c r="AN892">
        <f t="shared" si="27"/>
        <v>23745.674999999999</v>
      </c>
      <c r="AO892" t="s">
        <v>66</v>
      </c>
      <c r="AP892">
        <v>0.5</v>
      </c>
      <c r="AQ892" t="s">
        <v>66</v>
      </c>
      <c r="AR892">
        <v>0</v>
      </c>
      <c r="AS892" t="s">
        <v>66</v>
      </c>
      <c r="AT892">
        <v>0</v>
      </c>
      <c r="AU892" t="s">
        <v>66</v>
      </c>
      <c r="AV892">
        <v>0</v>
      </c>
      <c r="AW892" t="s">
        <v>66</v>
      </c>
      <c r="AX892">
        <v>0</v>
      </c>
      <c r="AY892" t="s">
        <v>66</v>
      </c>
      <c r="AZ892">
        <v>0</v>
      </c>
      <c r="BA892" t="s">
        <v>66</v>
      </c>
      <c r="BB892">
        <v>0</v>
      </c>
      <c r="BC892">
        <v>0</v>
      </c>
      <c r="BD892">
        <v>47491.35</v>
      </c>
      <c r="BE892">
        <v>19322.560000000001</v>
      </c>
      <c r="BF892">
        <v>0</v>
      </c>
      <c r="BG892" t="s">
        <v>87</v>
      </c>
      <c r="BH892" t="s">
        <v>66</v>
      </c>
      <c r="BI892">
        <v>0</v>
      </c>
      <c r="BJ892" t="s">
        <v>66</v>
      </c>
      <c r="BK892" t="s">
        <v>88</v>
      </c>
      <c r="BL892" t="s">
        <v>66</v>
      </c>
      <c r="BM892" t="s">
        <v>159</v>
      </c>
    </row>
    <row r="893" spans="1:65" x14ac:dyDescent="0.25">
      <c r="A893">
        <v>891</v>
      </c>
      <c r="B893" t="s">
        <v>1245</v>
      </c>
      <c r="C893" t="s">
        <v>66</v>
      </c>
      <c r="D893" s="1">
        <v>46214</v>
      </c>
      <c r="E893" t="s">
        <v>1246</v>
      </c>
      <c r="F893" t="s">
        <v>68</v>
      </c>
      <c r="G893" t="s">
        <v>69</v>
      </c>
      <c r="H893" t="s">
        <v>70</v>
      </c>
      <c r="I893" t="s">
        <v>71</v>
      </c>
      <c r="J893" t="s">
        <v>72</v>
      </c>
      <c r="K893" t="s">
        <v>73</v>
      </c>
      <c r="L893" t="s">
        <v>74</v>
      </c>
      <c r="M893" t="s">
        <v>1247</v>
      </c>
      <c r="N893" t="s">
        <v>76</v>
      </c>
      <c r="O893" t="s">
        <v>1248</v>
      </c>
      <c r="P893" t="s">
        <v>1249</v>
      </c>
      <c r="Q893" t="s">
        <v>1250</v>
      </c>
      <c r="R893" s="1">
        <v>46218</v>
      </c>
      <c r="S893" t="s">
        <v>1251</v>
      </c>
      <c r="T893" t="s">
        <v>1252</v>
      </c>
      <c r="U893" t="s">
        <v>1253</v>
      </c>
      <c r="V893" t="s">
        <v>66</v>
      </c>
      <c r="W893" t="s">
        <v>66</v>
      </c>
      <c r="X893">
        <v>1301161.5</v>
      </c>
      <c r="Y893">
        <v>143127.76999999999</v>
      </c>
      <c r="Z893">
        <v>107062</v>
      </c>
      <c r="AA893">
        <v>11776.82</v>
      </c>
      <c r="AB893">
        <v>1444289.27</v>
      </c>
      <c r="AC893">
        <v>2</v>
      </c>
      <c r="AD893" t="s">
        <v>82</v>
      </c>
      <c r="AE893">
        <v>2</v>
      </c>
      <c r="AF893" t="s">
        <v>878</v>
      </c>
      <c r="AG893">
        <f>IFERROR(VLOOKUP(AF893,[1]STOK!J:O,6,0),"")</f>
        <v>6</v>
      </c>
      <c r="AH893" s="2">
        <f t="shared" si="26"/>
        <v>0.33333333333333331</v>
      </c>
      <c r="AI893" t="s">
        <v>878</v>
      </c>
      <c r="AJ893" t="s">
        <v>879</v>
      </c>
      <c r="AK893" t="s">
        <v>880</v>
      </c>
      <c r="AL893" t="s">
        <v>86</v>
      </c>
      <c r="AM893">
        <v>59718</v>
      </c>
      <c r="AN893">
        <f t="shared" si="27"/>
        <v>59419.41</v>
      </c>
      <c r="AO893" t="s">
        <v>66</v>
      </c>
      <c r="AP893">
        <v>0.5</v>
      </c>
      <c r="AQ893" t="s">
        <v>66</v>
      </c>
      <c r="AR893">
        <v>0</v>
      </c>
      <c r="AS893" t="s">
        <v>66</v>
      </c>
      <c r="AT893">
        <v>0</v>
      </c>
      <c r="AU893" t="s">
        <v>66</v>
      </c>
      <c r="AV893">
        <v>0</v>
      </c>
      <c r="AW893" t="s">
        <v>66</v>
      </c>
      <c r="AX893">
        <v>0</v>
      </c>
      <c r="AY893" t="s">
        <v>66</v>
      </c>
      <c r="AZ893">
        <v>0</v>
      </c>
      <c r="BA893" t="s">
        <v>66</v>
      </c>
      <c r="BB893">
        <v>0</v>
      </c>
      <c r="BC893">
        <v>0</v>
      </c>
      <c r="BD893">
        <v>118838.82</v>
      </c>
      <c r="BE893">
        <v>46280.62</v>
      </c>
      <c r="BF893">
        <v>0</v>
      </c>
      <c r="BG893" t="s">
        <v>87</v>
      </c>
      <c r="BH893" t="s">
        <v>66</v>
      </c>
      <c r="BI893">
        <v>0</v>
      </c>
      <c r="BJ893" t="s">
        <v>66</v>
      </c>
      <c r="BK893" t="s">
        <v>88</v>
      </c>
      <c r="BL893" t="s">
        <v>66</v>
      </c>
      <c r="BM893" t="s">
        <v>159</v>
      </c>
    </row>
    <row r="894" spans="1:65" x14ac:dyDescent="0.25">
      <c r="A894">
        <v>892</v>
      </c>
      <c r="B894" t="s">
        <v>1245</v>
      </c>
      <c r="C894" t="s">
        <v>66</v>
      </c>
      <c r="D894" s="1">
        <v>46214</v>
      </c>
      <c r="E894" t="s">
        <v>1246</v>
      </c>
      <c r="F894" t="s">
        <v>68</v>
      </c>
      <c r="G894" t="s">
        <v>69</v>
      </c>
      <c r="H894" t="s">
        <v>70</v>
      </c>
      <c r="I894" t="s">
        <v>71</v>
      </c>
      <c r="J894" t="s">
        <v>72</v>
      </c>
      <c r="K894" t="s">
        <v>73</v>
      </c>
      <c r="L894" t="s">
        <v>74</v>
      </c>
      <c r="M894" t="s">
        <v>1247</v>
      </c>
      <c r="N894" t="s">
        <v>76</v>
      </c>
      <c r="O894" t="s">
        <v>1248</v>
      </c>
      <c r="P894" t="s">
        <v>1249</v>
      </c>
      <c r="Q894" t="s">
        <v>1250</v>
      </c>
      <c r="R894" s="1">
        <v>46218</v>
      </c>
      <c r="S894" t="s">
        <v>1251</v>
      </c>
      <c r="T894" t="s">
        <v>1252</v>
      </c>
      <c r="U894" t="s">
        <v>1253</v>
      </c>
      <c r="V894" t="s">
        <v>66</v>
      </c>
      <c r="W894" t="s">
        <v>66</v>
      </c>
      <c r="X894">
        <v>1301161.5</v>
      </c>
      <c r="Y894">
        <v>143127.76999999999</v>
      </c>
      <c r="Z894">
        <v>36019</v>
      </c>
      <c r="AA894">
        <v>3962.09</v>
      </c>
      <c r="AB894">
        <v>1444289.27</v>
      </c>
      <c r="AC894">
        <v>2</v>
      </c>
      <c r="AD894" t="s">
        <v>82</v>
      </c>
      <c r="AE894">
        <v>2</v>
      </c>
      <c r="AF894" t="s">
        <v>356</v>
      </c>
      <c r="AG894">
        <f>IFERROR(VLOOKUP(AF894,[1]STOK!J:O,6,0),"")</f>
        <v>12</v>
      </c>
      <c r="AH894" s="2">
        <f t="shared" si="26"/>
        <v>0.16666666666666666</v>
      </c>
      <c r="AI894" t="s">
        <v>356</v>
      </c>
      <c r="AJ894" t="s">
        <v>357</v>
      </c>
      <c r="AK894" t="s">
        <v>358</v>
      </c>
      <c r="AL894" t="s">
        <v>86</v>
      </c>
      <c r="AM894">
        <v>20091</v>
      </c>
      <c r="AN894">
        <f t="shared" si="27"/>
        <v>19990.544999999998</v>
      </c>
      <c r="AO894" t="s">
        <v>66</v>
      </c>
      <c r="AP894">
        <v>0.5</v>
      </c>
      <c r="AQ894" t="s">
        <v>66</v>
      </c>
      <c r="AR894">
        <v>0</v>
      </c>
      <c r="AS894" t="s">
        <v>66</v>
      </c>
      <c r="AT894">
        <v>0</v>
      </c>
      <c r="AU894" t="s">
        <v>66</v>
      </c>
      <c r="AV894">
        <v>0</v>
      </c>
      <c r="AW894" t="s">
        <v>66</v>
      </c>
      <c r="AX894">
        <v>0</v>
      </c>
      <c r="AY894" t="s">
        <v>66</v>
      </c>
      <c r="AZ894">
        <v>0</v>
      </c>
      <c r="BA894" t="s">
        <v>66</v>
      </c>
      <c r="BB894">
        <v>0</v>
      </c>
      <c r="BC894">
        <v>0</v>
      </c>
      <c r="BD894">
        <v>39981.089999999997</v>
      </c>
      <c r="BE894">
        <v>16311.91</v>
      </c>
      <c r="BF894">
        <v>0</v>
      </c>
      <c r="BG894" t="s">
        <v>87</v>
      </c>
      <c r="BH894" t="s">
        <v>66</v>
      </c>
      <c r="BI894">
        <v>0</v>
      </c>
      <c r="BJ894" t="s">
        <v>66</v>
      </c>
      <c r="BK894" t="s">
        <v>88</v>
      </c>
      <c r="BL894" t="s">
        <v>66</v>
      </c>
      <c r="BM894" t="s">
        <v>159</v>
      </c>
    </row>
    <row r="895" spans="1:65" x14ac:dyDescent="0.25">
      <c r="A895">
        <v>893</v>
      </c>
      <c r="B895" t="s">
        <v>1245</v>
      </c>
      <c r="C895" t="s">
        <v>66</v>
      </c>
      <c r="D895" s="1">
        <v>46214</v>
      </c>
      <c r="E895" t="s">
        <v>1246</v>
      </c>
      <c r="F895" t="s">
        <v>68</v>
      </c>
      <c r="G895" t="s">
        <v>69</v>
      </c>
      <c r="H895" t="s">
        <v>70</v>
      </c>
      <c r="I895" t="s">
        <v>71</v>
      </c>
      <c r="J895" t="s">
        <v>72</v>
      </c>
      <c r="K895" t="s">
        <v>73</v>
      </c>
      <c r="L895" t="s">
        <v>74</v>
      </c>
      <c r="M895" t="s">
        <v>1247</v>
      </c>
      <c r="N895" t="s">
        <v>76</v>
      </c>
      <c r="O895" t="s">
        <v>1248</v>
      </c>
      <c r="P895" t="s">
        <v>1249</v>
      </c>
      <c r="Q895" t="s">
        <v>1250</v>
      </c>
      <c r="R895" s="1">
        <v>46218</v>
      </c>
      <c r="S895" t="s">
        <v>1251</v>
      </c>
      <c r="T895" t="s">
        <v>1252</v>
      </c>
      <c r="U895" t="s">
        <v>1253</v>
      </c>
      <c r="V895" t="s">
        <v>66</v>
      </c>
      <c r="W895" t="s">
        <v>66</v>
      </c>
      <c r="X895">
        <v>1301161.5</v>
      </c>
      <c r="Y895">
        <v>143127.76999999999</v>
      </c>
      <c r="Z895">
        <v>26467</v>
      </c>
      <c r="AA895">
        <v>2911.37</v>
      </c>
      <c r="AB895">
        <v>1444289.27</v>
      </c>
      <c r="AC895">
        <v>2</v>
      </c>
      <c r="AD895" t="s">
        <v>82</v>
      </c>
      <c r="AE895">
        <v>2</v>
      </c>
      <c r="AF895" t="s">
        <v>135</v>
      </c>
      <c r="AG895">
        <f>IFERROR(VLOOKUP(AF895,[1]STOK!J:O,6,0),"")</f>
        <v>12</v>
      </c>
      <c r="AH895" s="2">
        <f t="shared" si="26"/>
        <v>0.16666666666666666</v>
      </c>
      <c r="AI895" t="s">
        <v>135</v>
      </c>
      <c r="AJ895" t="s">
        <v>136</v>
      </c>
      <c r="AK895" t="s">
        <v>137</v>
      </c>
      <c r="AL895" t="s">
        <v>86</v>
      </c>
      <c r="AM895">
        <v>14763</v>
      </c>
      <c r="AN895">
        <f t="shared" si="27"/>
        <v>14689.184999999999</v>
      </c>
      <c r="AO895" t="s">
        <v>66</v>
      </c>
      <c r="AP895">
        <v>0.5</v>
      </c>
      <c r="AQ895" t="s">
        <v>66</v>
      </c>
      <c r="AR895">
        <v>0</v>
      </c>
      <c r="AS895" t="s">
        <v>66</v>
      </c>
      <c r="AT895">
        <v>0</v>
      </c>
      <c r="AU895" t="s">
        <v>66</v>
      </c>
      <c r="AV895">
        <v>0</v>
      </c>
      <c r="AW895" t="s">
        <v>66</v>
      </c>
      <c r="AX895">
        <v>0</v>
      </c>
      <c r="AY895" t="s">
        <v>66</v>
      </c>
      <c r="AZ895">
        <v>0</v>
      </c>
      <c r="BA895" t="s">
        <v>66</v>
      </c>
      <c r="BB895">
        <v>0</v>
      </c>
      <c r="BC895">
        <v>0</v>
      </c>
      <c r="BD895">
        <v>29378.37</v>
      </c>
      <c r="BE895">
        <v>12036.57</v>
      </c>
      <c r="BF895">
        <v>0</v>
      </c>
      <c r="BG895" t="s">
        <v>87</v>
      </c>
      <c r="BH895" t="s">
        <v>66</v>
      </c>
      <c r="BI895">
        <v>0</v>
      </c>
      <c r="BJ895" t="s">
        <v>66</v>
      </c>
      <c r="BK895" t="s">
        <v>88</v>
      </c>
      <c r="BL895" t="s">
        <v>66</v>
      </c>
      <c r="BM895" t="s">
        <v>159</v>
      </c>
    </row>
    <row r="896" spans="1:65" x14ac:dyDescent="0.25">
      <c r="A896">
        <v>894</v>
      </c>
      <c r="B896" t="s">
        <v>1245</v>
      </c>
      <c r="C896" t="s">
        <v>66</v>
      </c>
      <c r="D896" s="1">
        <v>46214</v>
      </c>
      <c r="E896" t="s">
        <v>1246</v>
      </c>
      <c r="F896" t="s">
        <v>68</v>
      </c>
      <c r="G896" t="s">
        <v>69</v>
      </c>
      <c r="H896" t="s">
        <v>70</v>
      </c>
      <c r="I896" t="s">
        <v>71</v>
      </c>
      <c r="J896" t="s">
        <v>72</v>
      </c>
      <c r="K896" t="s">
        <v>73</v>
      </c>
      <c r="L896" t="s">
        <v>74</v>
      </c>
      <c r="M896" t="s">
        <v>1247</v>
      </c>
      <c r="N896" t="s">
        <v>76</v>
      </c>
      <c r="O896" t="s">
        <v>1248</v>
      </c>
      <c r="P896" t="s">
        <v>1249</v>
      </c>
      <c r="Q896" t="s">
        <v>1250</v>
      </c>
      <c r="R896" s="1">
        <v>46218</v>
      </c>
      <c r="S896" t="s">
        <v>1251</v>
      </c>
      <c r="T896" t="s">
        <v>1252</v>
      </c>
      <c r="U896" t="s">
        <v>1253</v>
      </c>
      <c r="V896" t="s">
        <v>66</v>
      </c>
      <c r="W896" t="s">
        <v>66</v>
      </c>
      <c r="X896">
        <v>1301161.5</v>
      </c>
      <c r="Y896">
        <v>143127.76999999999</v>
      </c>
      <c r="Z896">
        <v>26467</v>
      </c>
      <c r="AA896">
        <v>2911.37</v>
      </c>
      <c r="AB896">
        <v>1444289.27</v>
      </c>
      <c r="AC896">
        <v>2</v>
      </c>
      <c r="AD896" t="s">
        <v>82</v>
      </c>
      <c r="AE896">
        <v>2</v>
      </c>
      <c r="AF896" t="s">
        <v>210</v>
      </c>
      <c r="AG896">
        <f>IFERROR(VLOOKUP(AF896,[1]STOK!J:O,6,0),"")</f>
        <v>12</v>
      </c>
      <c r="AH896" s="2">
        <f t="shared" si="26"/>
        <v>0.16666666666666666</v>
      </c>
      <c r="AI896" t="s">
        <v>210</v>
      </c>
      <c r="AJ896" t="s">
        <v>211</v>
      </c>
      <c r="AK896" t="s">
        <v>212</v>
      </c>
      <c r="AL896" t="s">
        <v>86</v>
      </c>
      <c r="AM896">
        <v>14763</v>
      </c>
      <c r="AN896">
        <f t="shared" si="27"/>
        <v>14689.184999999999</v>
      </c>
      <c r="AO896" t="s">
        <v>66</v>
      </c>
      <c r="AP896">
        <v>0.5</v>
      </c>
      <c r="AQ896" t="s">
        <v>66</v>
      </c>
      <c r="AR896">
        <v>0</v>
      </c>
      <c r="AS896" t="s">
        <v>66</v>
      </c>
      <c r="AT896">
        <v>0</v>
      </c>
      <c r="AU896" t="s">
        <v>66</v>
      </c>
      <c r="AV896">
        <v>0</v>
      </c>
      <c r="AW896" t="s">
        <v>66</v>
      </c>
      <c r="AX896">
        <v>0</v>
      </c>
      <c r="AY896" t="s">
        <v>66</v>
      </c>
      <c r="AZ896">
        <v>0</v>
      </c>
      <c r="BA896" t="s">
        <v>66</v>
      </c>
      <c r="BB896">
        <v>0</v>
      </c>
      <c r="BC896">
        <v>0</v>
      </c>
      <c r="BD896">
        <v>29378.37</v>
      </c>
      <c r="BE896">
        <v>12023.52</v>
      </c>
      <c r="BF896">
        <v>0</v>
      </c>
      <c r="BG896" t="s">
        <v>87</v>
      </c>
      <c r="BH896" t="s">
        <v>66</v>
      </c>
      <c r="BI896">
        <v>0</v>
      </c>
      <c r="BJ896" t="s">
        <v>66</v>
      </c>
      <c r="BK896" t="s">
        <v>88</v>
      </c>
      <c r="BL896" t="s">
        <v>66</v>
      </c>
      <c r="BM896" t="s">
        <v>159</v>
      </c>
    </row>
    <row r="897" spans="1:65" x14ac:dyDescent="0.25">
      <c r="A897">
        <v>895</v>
      </c>
      <c r="B897" t="s">
        <v>1245</v>
      </c>
      <c r="C897" t="s">
        <v>66</v>
      </c>
      <c r="D897" s="1">
        <v>46214</v>
      </c>
      <c r="E897" t="s">
        <v>1246</v>
      </c>
      <c r="F897" t="s">
        <v>68</v>
      </c>
      <c r="G897" t="s">
        <v>69</v>
      </c>
      <c r="H897" t="s">
        <v>70</v>
      </c>
      <c r="I897" t="s">
        <v>71</v>
      </c>
      <c r="J897" t="s">
        <v>72</v>
      </c>
      <c r="K897" t="s">
        <v>73</v>
      </c>
      <c r="L897" t="s">
        <v>74</v>
      </c>
      <c r="M897" t="s">
        <v>1247</v>
      </c>
      <c r="N897" t="s">
        <v>76</v>
      </c>
      <c r="O897" t="s">
        <v>1248</v>
      </c>
      <c r="P897" t="s">
        <v>1249</v>
      </c>
      <c r="Q897" t="s">
        <v>1250</v>
      </c>
      <c r="R897" s="1">
        <v>46218</v>
      </c>
      <c r="S897" t="s">
        <v>1251</v>
      </c>
      <c r="T897" t="s">
        <v>1252</v>
      </c>
      <c r="U897" t="s">
        <v>1253</v>
      </c>
      <c r="V897" t="s">
        <v>66</v>
      </c>
      <c r="W897" t="s">
        <v>66</v>
      </c>
      <c r="X897">
        <v>1301161.5</v>
      </c>
      <c r="Y897">
        <v>143127.76999999999</v>
      </c>
      <c r="Z897">
        <v>34427</v>
      </c>
      <c r="AA897">
        <v>3786.97</v>
      </c>
      <c r="AB897">
        <v>1444289.27</v>
      </c>
      <c r="AC897">
        <v>2</v>
      </c>
      <c r="AD897" t="s">
        <v>82</v>
      </c>
      <c r="AE897">
        <v>2</v>
      </c>
      <c r="AF897" t="s">
        <v>359</v>
      </c>
      <c r="AG897">
        <f>IFERROR(VLOOKUP(AF897,[1]STOK!J:O,6,0),"")</f>
        <v>12</v>
      </c>
      <c r="AH897" s="2">
        <f t="shared" si="26"/>
        <v>0.16666666666666666</v>
      </c>
      <c r="AI897" t="s">
        <v>359</v>
      </c>
      <c r="AJ897" t="s">
        <v>360</v>
      </c>
      <c r="AK897" t="s">
        <v>361</v>
      </c>
      <c r="AL897" t="s">
        <v>86</v>
      </c>
      <c r="AM897">
        <v>19203</v>
      </c>
      <c r="AN897">
        <f t="shared" si="27"/>
        <v>19106.985000000001</v>
      </c>
      <c r="AO897" t="s">
        <v>66</v>
      </c>
      <c r="AP897">
        <v>0.5</v>
      </c>
      <c r="AQ897" t="s">
        <v>66</v>
      </c>
      <c r="AR897">
        <v>0</v>
      </c>
      <c r="AS897" t="s">
        <v>66</v>
      </c>
      <c r="AT897">
        <v>0</v>
      </c>
      <c r="AU897" t="s">
        <v>66</v>
      </c>
      <c r="AV897">
        <v>0</v>
      </c>
      <c r="AW897" t="s">
        <v>66</v>
      </c>
      <c r="AX897">
        <v>0</v>
      </c>
      <c r="AY897" t="s">
        <v>66</v>
      </c>
      <c r="AZ897">
        <v>0</v>
      </c>
      <c r="BA897" t="s">
        <v>66</v>
      </c>
      <c r="BB897">
        <v>0</v>
      </c>
      <c r="BC897">
        <v>0</v>
      </c>
      <c r="BD897">
        <v>38213.97</v>
      </c>
      <c r="BE897">
        <v>15641.37</v>
      </c>
      <c r="BF897">
        <v>0</v>
      </c>
      <c r="BG897" t="s">
        <v>87</v>
      </c>
      <c r="BH897" t="s">
        <v>66</v>
      </c>
      <c r="BI897">
        <v>0</v>
      </c>
      <c r="BJ897" t="s">
        <v>66</v>
      </c>
      <c r="BK897" t="s">
        <v>88</v>
      </c>
      <c r="BL897" t="s">
        <v>66</v>
      </c>
      <c r="BM897" t="s">
        <v>159</v>
      </c>
    </row>
    <row r="898" spans="1:65" x14ac:dyDescent="0.25">
      <c r="A898">
        <v>896</v>
      </c>
      <c r="B898" t="s">
        <v>1245</v>
      </c>
      <c r="C898" t="s">
        <v>66</v>
      </c>
      <c r="D898" s="1">
        <v>46214</v>
      </c>
      <c r="E898" t="s">
        <v>1246</v>
      </c>
      <c r="F898" t="s">
        <v>68</v>
      </c>
      <c r="G898" t="s">
        <v>69</v>
      </c>
      <c r="H898" t="s">
        <v>70</v>
      </c>
      <c r="I898" t="s">
        <v>71</v>
      </c>
      <c r="J898" t="s">
        <v>72</v>
      </c>
      <c r="K898" t="s">
        <v>73</v>
      </c>
      <c r="L898" t="s">
        <v>74</v>
      </c>
      <c r="M898" t="s">
        <v>1247</v>
      </c>
      <c r="N898" t="s">
        <v>76</v>
      </c>
      <c r="O898" t="s">
        <v>1248</v>
      </c>
      <c r="P898" t="s">
        <v>1249</v>
      </c>
      <c r="Q898" t="s">
        <v>1250</v>
      </c>
      <c r="R898" s="1">
        <v>46218</v>
      </c>
      <c r="S898" t="s">
        <v>1251</v>
      </c>
      <c r="T898" t="s">
        <v>1252</v>
      </c>
      <c r="U898" t="s">
        <v>1253</v>
      </c>
      <c r="V898" t="s">
        <v>66</v>
      </c>
      <c r="W898" t="s">
        <v>66</v>
      </c>
      <c r="X898">
        <v>1301161.5</v>
      </c>
      <c r="Y898">
        <v>143127.76999999999</v>
      </c>
      <c r="Z898">
        <v>39800</v>
      </c>
      <c r="AA898">
        <v>4378</v>
      </c>
      <c r="AB898">
        <v>1444289.27</v>
      </c>
      <c r="AC898">
        <v>2</v>
      </c>
      <c r="AD898" t="s">
        <v>82</v>
      </c>
      <c r="AE898">
        <v>2</v>
      </c>
      <c r="AF898" t="s">
        <v>290</v>
      </c>
      <c r="AG898">
        <f>IFERROR(VLOOKUP(AF898,[1]STOK!J:O,6,0),"")</f>
        <v>12</v>
      </c>
      <c r="AH898" s="2">
        <f t="shared" si="26"/>
        <v>0.16666666666666666</v>
      </c>
      <c r="AI898" t="s">
        <v>290</v>
      </c>
      <c r="AJ898" t="s">
        <v>291</v>
      </c>
      <c r="AK898" t="s">
        <v>292</v>
      </c>
      <c r="AL898" t="s">
        <v>86</v>
      </c>
      <c r="AM898">
        <v>22200</v>
      </c>
      <c r="AN898">
        <f t="shared" si="27"/>
        <v>22089</v>
      </c>
      <c r="AO898" t="s">
        <v>66</v>
      </c>
      <c r="AP898">
        <v>0.5</v>
      </c>
      <c r="AQ898" t="s">
        <v>66</v>
      </c>
      <c r="AR898">
        <v>0</v>
      </c>
      <c r="AS898" t="s">
        <v>66</v>
      </c>
      <c r="AT898">
        <v>0</v>
      </c>
      <c r="AU898" t="s">
        <v>66</v>
      </c>
      <c r="AV898">
        <v>0</v>
      </c>
      <c r="AW898" t="s">
        <v>66</v>
      </c>
      <c r="AX898">
        <v>0</v>
      </c>
      <c r="AY898" t="s">
        <v>66</v>
      </c>
      <c r="AZ898">
        <v>0</v>
      </c>
      <c r="BA898" t="s">
        <v>66</v>
      </c>
      <c r="BB898">
        <v>0</v>
      </c>
      <c r="BC898">
        <v>0</v>
      </c>
      <c r="BD898">
        <v>44178</v>
      </c>
      <c r="BE898">
        <v>18103.560000000001</v>
      </c>
      <c r="BF898">
        <v>0</v>
      </c>
      <c r="BG898" t="s">
        <v>87</v>
      </c>
      <c r="BH898" t="s">
        <v>66</v>
      </c>
      <c r="BI898">
        <v>0</v>
      </c>
      <c r="BJ898" t="s">
        <v>66</v>
      </c>
      <c r="BK898" t="s">
        <v>88</v>
      </c>
      <c r="BL898" t="s">
        <v>66</v>
      </c>
      <c r="BM898" t="s">
        <v>159</v>
      </c>
    </row>
    <row r="899" spans="1:65" x14ac:dyDescent="0.25">
      <c r="A899">
        <v>897</v>
      </c>
      <c r="B899" t="s">
        <v>1245</v>
      </c>
      <c r="C899" t="s">
        <v>66</v>
      </c>
      <c r="D899" s="1">
        <v>46214</v>
      </c>
      <c r="E899" t="s">
        <v>1246</v>
      </c>
      <c r="F899" t="s">
        <v>68</v>
      </c>
      <c r="G899" t="s">
        <v>69</v>
      </c>
      <c r="H899" t="s">
        <v>70</v>
      </c>
      <c r="I899" t="s">
        <v>71</v>
      </c>
      <c r="J899" t="s">
        <v>72</v>
      </c>
      <c r="K899" t="s">
        <v>73</v>
      </c>
      <c r="L899" t="s">
        <v>74</v>
      </c>
      <c r="M899" t="s">
        <v>1247</v>
      </c>
      <c r="N899" t="s">
        <v>76</v>
      </c>
      <c r="O899" t="s">
        <v>1248</v>
      </c>
      <c r="P899" t="s">
        <v>1249</v>
      </c>
      <c r="Q899" t="s">
        <v>1250</v>
      </c>
      <c r="R899" s="1">
        <v>46218</v>
      </c>
      <c r="S899" t="s">
        <v>1251</v>
      </c>
      <c r="T899" t="s">
        <v>1252</v>
      </c>
      <c r="U899" t="s">
        <v>1253</v>
      </c>
      <c r="V899" t="s">
        <v>66</v>
      </c>
      <c r="W899" t="s">
        <v>66</v>
      </c>
      <c r="X899">
        <v>1301161.5</v>
      </c>
      <c r="Y899">
        <v>143127.76999999999</v>
      </c>
      <c r="Z899">
        <v>39800</v>
      </c>
      <c r="AA899">
        <v>4378</v>
      </c>
      <c r="AB899">
        <v>1444289.27</v>
      </c>
      <c r="AC899">
        <v>2</v>
      </c>
      <c r="AD899" t="s">
        <v>82</v>
      </c>
      <c r="AE899">
        <v>2</v>
      </c>
      <c r="AF899" t="s">
        <v>102</v>
      </c>
      <c r="AG899">
        <f>IFERROR(VLOOKUP(AF899,[1]STOK!J:O,6,0),"")</f>
        <v>12</v>
      </c>
      <c r="AH899" s="2">
        <f t="shared" si="26"/>
        <v>0.16666666666666666</v>
      </c>
      <c r="AI899" t="s">
        <v>102</v>
      </c>
      <c r="AJ899" t="s">
        <v>103</v>
      </c>
      <c r="AK899" t="s">
        <v>104</v>
      </c>
      <c r="AL899" t="s">
        <v>86</v>
      </c>
      <c r="AM899">
        <v>22200</v>
      </c>
      <c r="AN899">
        <f t="shared" si="27"/>
        <v>22089</v>
      </c>
      <c r="AO899" t="s">
        <v>66</v>
      </c>
      <c r="AP899">
        <v>0.5</v>
      </c>
      <c r="AQ899" t="s">
        <v>66</v>
      </c>
      <c r="AR899">
        <v>0</v>
      </c>
      <c r="AS899" t="s">
        <v>66</v>
      </c>
      <c r="AT899">
        <v>0</v>
      </c>
      <c r="AU899" t="s">
        <v>66</v>
      </c>
      <c r="AV899">
        <v>0</v>
      </c>
      <c r="AW899" t="s">
        <v>66</v>
      </c>
      <c r="AX899">
        <v>0</v>
      </c>
      <c r="AY899" t="s">
        <v>66</v>
      </c>
      <c r="AZ899">
        <v>0</v>
      </c>
      <c r="BA899" t="s">
        <v>66</v>
      </c>
      <c r="BB899">
        <v>0</v>
      </c>
      <c r="BC899">
        <v>0</v>
      </c>
      <c r="BD899">
        <v>44178</v>
      </c>
      <c r="BE899">
        <v>18090.18</v>
      </c>
      <c r="BF899">
        <v>0</v>
      </c>
      <c r="BG899" t="s">
        <v>87</v>
      </c>
      <c r="BH899" t="s">
        <v>66</v>
      </c>
      <c r="BI899">
        <v>0</v>
      </c>
      <c r="BJ899" t="s">
        <v>66</v>
      </c>
      <c r="BK899" t="s">
        <v>88</v>
      </c>
      <c r="BL899" t="s">
        <v>66</v>
      </c>
      <c r="BM899" t="s">
        <v>159</v>
      </c>
    </row>
    <row r="900" spans="1:65" x14ac:dyDescent="0.25">
      <c r="A900">
        <v>898</v>
      </c>
      <c r="B900" t="s">
        <v>1245</v>
      </c>
      <c r="C900" t="s">
        <v>66</v>
      </c>
      <c r="D900" s="1">
        <v>46214</v>
      </c>
      <c r="E900" t="s">
        <v>1246</v>
      </c>
      <c r="F900" t="s">
        <v>68</v>
      </c>
      <c r="G900" t="s">
        <v>69</v>
      </c>
      <c r="H900" t="s">
        <v>70</v>
      </c>
      <c r="I900" t="s">
        <v>71</v>
      </c>
      <c r="J900" t="s">
        <v>72</v>
      </c>
      <c r="K900" t="s">
        <v>73</v>
      </c>
      <c r="L900" t="s">
        <v>74</v>
      </c>
      <c r="M900" t="s">
        <v>1247</v>
      </c>
      <c r="N900" t="s">
        <v>76</v>
      </c>
      <c r="O900" t="s">
        <v>1248</v>
      </c>
      <c r="P900" t="s">
        <v>1249</v>
      </c>
      <c r="Q900" t="s">
        <v>1250</v>
      </c>
      <c r="R900" s="1">
        <v>46218</v>
      </c>
      <c r="S900" t="s">
        <v>1251</v>
      </c>
      <c r="T900" t="s">
        <v>1252</v>
      </c>
      <c r="U900" t="s">
        <v>1253</v>
      </c>
      <c r="V900" t="s">
        <v>66</v>
      </c>
      <c r="W900" t="s">
        <v>66</v>
      </c>
      <c r="X900">
        <v>1301161.5</v>
      </c>
      <c r="Y900">
        <v>143127.76999999999</v>
      </c>
      <c r="Z900">
        <v>76217</v>
      </c>
      <c r="AA900">
        <v>8383.8700000000008</v>
      </c>
      <c r="AB900">
        <v>1444289.27</v>
      </c>
      <c r="AC900">
        <v>2</v>
      </c>
      <c r="AD900" t="s">
        <v>82</v>
      </c>
      <c r="AE900">
        <v>2</v>
      </c>
      <c r="AF900" t="s">
        <v>138</v>
      </c>
      <c r="AG900">
        <f>IFERROR(VLOOKUP(AF900,[1]STOK!J:O,6,0),"")</f>
        <v>6</v>
      </c>
      <c r="AH900" s="2">
        <f t="shared" ref="AH900:AH963" si="28">AE900/AG900</f>
        <v>0.33333333333333331</v>
      </c>
      <c r="AI900" t="s">
        <v>138</v>
      </c>
      <c r="AJ900" t="s">
        <v>139</v>
      </c>
      <c r="AK900" t="s">
        <v>140</v>
      </c>
      <c r="AL900" t="s">
        <v>86</v>
      </c>
      <c r="AM900">
        <v>42513</v>
      </c>
      <c r="AN900">
        <f t="shared" ref="AN900:AN963" si="29">BD900/AC900</f>
        <v>42300.434999999998</v>
      </c>
      <c r="AO900" t="s">
        <v>66</v>
      </c>
      <c r="AP900">
        <v>0.5</v>
      </c>
      <c r="AQ900" t="s">
        <v>66</v>
      </c>
      <c r="AR900">
        <v>0</v>
      </c>
      <c r="AS900" t="s">
        <v>66</v>
      </c>
      <c r="AT900">
        <v>0</v>
      </c>
      <c r="AU900" t="s">
        <v>66</v>
      </c>
      <c r="AV900">
        <v>0</v>
      </c>
      <c r="AW900" t="s">
        <v>66</v>
      </c>
      <c r="AX900">
        <v>0</v>
      </c>
      <c r="AY900" t="s">
        <v>66</v>
      </c>
      <c r="AZ900">
        <v>0</v>
      </c>
      <c r="BA900" t="s">
        <v>66</v>
      </c>
      <c r="BB900">
        <v>0</v>
      </c>
      <c r="BC900">
        <v>0</v>
      </c>
      <c r="BD900">
        <v>84600.87</v>
      </c>
      <c r="BE900">
        <v>34661.269999999997</v>
      </c>
      <c r="BF900">
        <v>0</v>
      </c>
      <c r="BG900" t="s">
        <v>87</v>
      </c>
      <c r="BH900" t="s">
        <v>66</v>
      </c>
      <c r="BI900">
        <v>0</v>
      </c>
      <c r="BJ900" t="s">
        <v>66</v>
      </c>
      <c r="BK900" t="s">
        <v>88</v>
      </c>
      <c r="BL900" t="s">
        <v>66</v>
      </c>
      <c r="BM900" t="s">
        <v>159</v>
      </c>
    </row>
    <row r="901" spans="1:65" x14ac:dyDescent="0.25">
      <c r="A901">
        <v>899</v>
      </c>
      <c r="B901" t="s">
        <v>1245</v>
      </c>
      <c r="C901" t="s">
        <v>66</v>
      </c>
      <c r="D901" s="1">
        <v>46214</v>
      </c>
      <c r="E901" t="s">
        <v>1246</v>
      </c>
      <c r="F901" t="s">
        <v>68</v>
      </c>
      <c r="G901" t="s">
        <v>69</v>
      </c>
      <c r="H901" t="s">
        <v>70</v>
      </c>
      <c r="I901" t="s">
        <v>71</v>
      </c>
      <c r="J901" t="s">
        <v>72</v>
      </c>
      <c r="K901" t="s">
        <v>73</v>
      </c>
      <c r="L901" t="s">
        <v>74</v>
      </c>
      <c r="M901" t="s">
        <v>1247</v>
      </c>
      <c r="N901" t="s">
        <v>76</v>
      </c>
      <c r="O901" t="s">
        <v>1248</v>
      </c>
      <c r="P901" t="s">
        <v>1249</v>
      </c>
      <c r="Q901" t="s">
        <v>1250</v>
      </c>
      <c r="R901" s="1">
        <v>46218</v>
      </c>
      <c r="S901" t="s">
        <v>1251</v>
      </c>
      <c r="T901" t="s">
        <v>1252</v>
      </c>
      <c r="U901" t="s">
        <v>1253</v>
      </c>
      <c r="V901" t="s">
        <v>66</v>
      </c>
      <c r="W901" t="s">
        <v>66</v>
      </c>
      <c r="X901">
        <v>1301161.5</v>
      </c>
      <c r="Y901">
        <v>143127.76999999999</v>
      </c>
      <c r="Z901">
        <v>134325</v>
      </c>
      <c r="AA901">
        <v>14775.75</v>
      </c>
      <c r="AB901">
        <v>1444289.27</v>
      </c>
      <c r="AC901">
        <v>2</v>
      </c>
      <c r="AD901" t="s">
        <v>82</v>
      </c>
      <c r="AE901">
        <v>2</v>
      </c>
      <c r="AF901" t="s">
        <v>312</v>
      </c>
      <c r="AG901">
        <f>IFERROR(VLOOKUP(AF901,[1]STOK!J:O,6,0),"")</f>
        <v>4</v>
      </c>
      <c r="AH901" s="2">
        <f t="shared" si="28"/>
        <v>0.5</v>
      </c>
      <c r="AI901" t="s">
        <v>312</v>
      </c>
      <c r="AJ901" t="s">
        <v>313</v>
      </c>
      <c r="AK901" t="s">
        <v>314</v>
      </c>
      <c r="AL901" t="s">
        <v>86</v>
      </c>
      <c r="AM901">
        <v>74925</v>
      </c>
      <c r="AN901">
        <f t="shared" si="29"/>
        <v>74550.375</v>
      </c>
      <c r="AO901" t="s">
        <v>66</v>
      </c>
      <c r="AP901">
        <v>0.5</v>
      </c>
      <c r="AQ901" t="s">
        <v>66</v>
      </c>
      <c r="AR901">
        <v>0</v>
      </c>
      <c r="AS901" t="s">
        <v>66</v>
      </c>
      <c r="AT901">
        <v>0</v>
      </c>
      <c r="AU901" t="s">
        <v>66</v>
      </c>
      <c r="AV901">
        <v>0</v>
      </c>
      <c r="AW901" t="s">
        <v>66</v>
      </c>
      <c r="AX901">
        <v>0</v>
      </c>
      <c r="AY901" t="s">
        <v>66</v>
      </c>
      <c r="AZ901">
        <v>0</v>
      </c>
      <c r="BA901" t="s">
        <v>66</v>
      </c>
      <c r="BB901">
        <v>0</v>
      </c>
      <c r="BC901">
        <v>0</v>
      </c>
      <c r="BD901">
        <v>149100.75</v>
      </c>
      <c r="BE901">
        <v>60390.38</v>
      </c>
      <c r="BF901">
        <v>0</v>
      </c>
      <c r="BG901" t="s">
        <v>87</v>
      </c>
      <c r="BH901" t="s">
        <v>66</v>
      </c>
      <c r="BI901">
        <v>0</v>
      </c>
      <c r="BJ901" t="s">
        <v>66</v>
      </c>
      <c r="BK901" t="s">
        <v>88</v>
      </c>
      <c r="BL901" t="s">
        <v>66</v>
      </c>
      <c r="BM901" t="s">
        <v>159</v>
      </c>
    </row>
    <row r="902" spans="1:65" x14ac:dyDescent="0.25">
      <c r="A902">
        <v>900</v>
      </c>
      <c r="B902" t="s">
        <v>1245</v>
      </c>
      <c r="C902" t="s">
        <v>66</v>
      </c>
      <c r="D902" s="1">
        <v>46214</v>
      </c>
      <c r="E902" t="s">
        <v>1246</v>
      </c>
      <c r="F902" t="s">
        <v>68</v>
      </c>
      <c r="G902" t="s">
        <v>69</v>
      </c>
      <c r="H902" t="s">
        <v>70</v>
      </c>
      <c r="I902" t="s">
        <v>71</v>
      </c>
      <c r="J902" t="s">
        <v>72</v>
      </c>
      <c r="K902" t="s">
        <v>73</v>
      </c>
      <c r="L902" t="s">
        <v>74</v>
      </c>
      <c r="M902" t="s">
        <v>1247</v>
      </c>
      <c r="N902" t="s">
        <v>76</v>
      </c>
      <c r="O902" t="s">
        <v>1248</v>
      </c>
      <c r="P902" t="s">
        <v>1249</v>
      </c>
      <c r="Q902" t="s">
        <v>1250</v>
      </c>
      <c r="R902" s="1">
        <v>46218</v>
      </c>
      <c r="S902" t="s">
        <v>1251</v>
      </c>
      <c r="T902" t="s">
        <v>1252</v>
      </c>
      <c r="U902" t="s">
        <v>1253</v>
      </c>
      <c r="V902" t="s">
        <v>66</v>
      </c>
      <c r="W902" t="s">
        <v>66</v>
      </c>
      <c r="X902">
        <v>1301161.5</v>
      </c>
      <c r="Y902">
        <v>143127.76999999999</v>
      </c>
      <c r="Z902">
        <v>134325</v>
      </c>
      <c r="AA902">
        <v>14775.75</v>
      </c>
      <c r="AB902">
        <v>1444289.27</v>
      </c>
      <c r="AC902">
        <v>2</v>
      </c>
      <c r="AD902" t="s">
        <v>82</v>
      </c>
      <c r="AE902">
        <v>2</v>
      </c>
      <c r="AF902" t="s">
        <v>476</v>
      </c>
      <c r="AG902">
        <f>IFERROR(VLOOKUP(AF902,[1]STOK!J:O,6,0),"")</f>
        <v>4</v>
      </c>
      <c r="AH902" s="2">
        <f t="shared" si="28"/>
        <v>0.5</v>
      </c>
      <c r="AI902" t="s">
        <v>476</v>
      </c>
      <c r="AJ902" t="s">
        <v>477</v>
      </c>
      <c r="AK902" t="s">
        <v>478</v>
      </c>
      <c r="AL902" t="s">
        <v>86</v>
      </c>
      <c r="AM902">
        <v>74925</v>
      </c>
      <c r="AN902">
        <f t="shared" si="29"/>
        <v>74550.375</v>
      </c>
      <c r="AO902" t="s">
        <v>66</v>
      </c>
      <c r="AP902">
        <v>0.5</v>
      </c>
      <c r="AQ902" t="s">
        <v>66</v>
      </c>
      <c r="AR902">
        <v>0</v>
      </c>
      <c r="AS902" t="s">
        <v>66</v>
      </c>
      <c r="AT902">
        <v>0</v>
      </c>
      <c r="AU902" t="s">
        <v>66</v>
      </c>
      <c r="AV902">
        <v>0</v>
      </c>
      <c r="AW902" t="s">
        <v>66</v>
      </c>
      <c r="AX902">
        <v>0</v>
      </c>
      <c r="AY902" t="s">
        <v>66</v>
      </c>
      <c r="AZ902">
        <v>0</v>
      </c>
      <c r="BA902" t="s">
        <v>66</v>
      </c>
      <c r="BB902">
        <v>0</v>
      </c>
      <c r="BC902">
        <v>0</v>
      </c>
      <c r="BD902">
        <v>149100.75</v>
      </c>
      <c r="BE902">
        <v>60248.82</v>
      </c>
      <c r="BF902">
        <v>0</v>
      </c>
      <c r="BG902" t="s">
        <v>87</v>
      </c>
      <c r="BH902" t="s">
        <v>66</v>
      </c>
      <c r="BI902">
        <v>0</v>
      </c>
      <c r="BJ902" t="s">
        <v>66</v>
      </c>
      <c r="BK902" t="s">
        <v>88</v>
      </c>
      <c r="BL902" t="s">
        <v>66</v>
      </c>
      <c r="BM902" t="s">
        <v>159</v>
      </c>
    </row>
    <row r="903" spans="1:65" x14ac:dyDescent="0.25">
      <c r="A903">
        <v>901</v>
      </c>
      <c r="B903" t="s">
        <v>1245</v>
      </c>
      <c r="C903" t="s">
        <v>66</v>
      </c>
      <c r="D903" s="1">
        <v>46214</v>
      </c>
      <c r="E903" t="s">
        <v>1246</v>
      </c>
      <c r="F903" t="s">
        <v>68</v>
      </c>
      <c r="G903" t="s">
        <v>69</v>
      </c>
      <c r="H903" t="s">
        <v>70</v>
      </c>
      <c r="I903" t="s">
        <v>71</v>
      </c>
      <c r="J903" t="s">
        <v>72</v>
      </c>
      <c r="K903" t="s">
        <v>73</v>
      </c>
      <c r="L903" t="s">
        <v>74</v>
      </c>
      <c r="M903" t="s">
        <v>1247</v>
      </c>
      <c r="N903" t="s">
        <v>76</v>
      </c>
      <c r="O903" t="s">
        <v>1248</v>
      </c>
      <c r="P903" t="s">
        <v>1249</v>
      </c>
      <c r="Q903" t="s">
        <v>1250</v>
      </c>
      <c r="R903" s="1">
        <v>46218</v>
      </c>
      <c r="S903" t="s">
        <v>1251</v>
      </c>
      <c r="T903" t="s">
        <v>1252</v>
      </c>
      <c r="U903" t="s">
        <v>1253</v>
      </c>
      <c r="V903" t="s">
        <v>66</v>
      </c>
      <c r="W903" t="s">
        <v>66</v>
      </c>
      <c r="X903">
        <v>1301161.5</v>
      </c>
      <c r="Y903">
        <v>143127.76999999999</v>
      </c>
      <c r="Z903">
        <v>28656</v>
      </c>
      <c r="AA903">
        <v>3152.16</v>
      </c>
      <c r="AB903">
        <v>1444289.27</v>
      </c>
      <c r="AC903">
        <v>2</v>
      </c>
      <c r="AD903" t="s">
        <v>82</v>
      </c>
      <c r="AE903">
        <v>2</v>
      </c>
      <c r="AF903" t="s">
        <v>141</v>
      </c>
      <c r="AG903">
        <f>IFERROR(VLOOKUP(AF903,[1]STOK!J:O,6,0),"")</f>
        <v>12</v>
      </c>
      <c r="AH903" s="2">
        <f t="shared" si="28"/>
        <v>0.16666666666666666</v>
      </c>
      <c r="AI903" t="s">
        <v>141</v>
      </c>
      <c r="AJ903" t="s">
        <v>142</v>
      </c>
      <c r="AK903" t="s">
        <v>143</v>
      </c>
      <c r="AL903" t="s">
        <v>86</v>
      </c>
      <c r="AM903">
        <v>15984</v>
      </c>
      <c r="AN903">
        <f t="shared" si="29"/>
        <v>15904.08</v>
      </c>
      <c r="AO903" t="s">
        <v>66</v>
      </c>
      <c r="AP903">
        <v>0.5</v>
      </c>
      <c r="AQ903" t="s">
        <v>66</v>
      </c>
      <c r="AR903">
        <v>0</v>
      </c>
      <c r="AS903" t="s">
        <v>66</v>
      </c>
      <c r="AT903">
        <v>0</v>
      </c>
      <c r="AU903" t="s">
        <v>66</v>
      </c>
      <c r="AV903">
        <v>0</v>
      </c>
      <c r="AW903" t="s">
        <v>66</v>
      </c>
      <c r="AX903">
        <v>0</v>
      </c>
      <c r="AY903" t="s">
        <v>66</v>
      </c>
      <c r="AZ903">
        <v>0</v>
      </c>
      <c r="BA903" t="s">
        <v>66</v>
      </c>
      <c r="BB903">
        <v>0</v>
      </c>
      <c r="BC903">
        <v>0</v>
      </c>
      <c r="BD903">
        <v>31808.16</v>
      </c>
      <c r="BE903">
        <v>13031.69</v>
      </c>
      <c r="BF903">
        <v>0</v>
      </c>
      <c r="BG903" t="s">
        <v>87</v>
      </c>
      <c r="BH903" t="s">
        <v>66</v>
      </c>
      <c r="BI903">
        <v>0</v>
      </c>
      <c r="BJ903" t="s">
        <v>66</v>
      </c>
      <c r="BK903" t="s">
        <v>88</v>
      </c>
      <c r="BL903" t="s">
        <v>66</v>
      </c>
      <c r="BM903" t="s">
        <v>159</v>
      </c>
    </row>
    <row r="904" spans="1:65" x14ac:dyDescent="0.25">
      <c r="A904">
        <v>902</v>
      </c>
      <c r="B904" t="s">
        <v>1245</v>
      </c>
      <c r="C904" t="s">
        <v>66</v>
      </c>
      <c r="D904" s="1">
        <v>46214</v>
      </c>
      <c r="E904" t="s">
        <v>1246</v>
      </c>
      <c r="F904" t="s">
        <v>68</v>
      </c>
      <c r="G904" t="s">
        <v>69</v>
      </c>
      <c r="H904" t="s">
        <v>70</v>
      </c>
      <c r="I904" t="s">
        <v>71</v>
      </c>
      <c r="J904" t="s">
        <v>72</v>
      </c>
      <c r="K904" t="s">
        <v>73</v>
      </c>
      <c r="L904" t="s">
        <v>74</v>
      </c>
      <c r="M904" t="s">
        <v>1247</v>
      </c>
      <c r="N904" t="s">
        <v>76</v>
      </c>
      <c r="O904" t="s">
        <v>1248</v>
      </c>
      <c r="P904" t="s">
        <v>1249</v>
      </c>
      <c r="Q904" t="s">
        <v>1250</v>
      </c>
      <c r="R904" s="1">
        <v>46218</v>
      </c>
      <c r="S904" t="s">
        <v>1251</v>
      </c>
      <c r="T904" t="s">
        <v>1252</v>
      </c>
      <c r="U904" t="s">
        <v>1253</v>
      </c>
      <c r="V904" t="s">
        <v>66</v>
      </c>
      <c r="W904" t="s">
        <v>66</v>
      </c>
      <c r="X904">
        <v>1301161.5</v>
      </c>
      <c r="Y904">
        <v>143127.76999999999</v>
      </c>
      <c r="Z904">
        <v>28656</v>
      </c>
      <c r="AA904">
        <v>3152.16</v>
      </c>
      <c r="AB904">
        <v>1444289.27</v>
      </c>
      <c r="AC904">
        <v>2</v>
      </c>
      <c r="AD904" t="s">
        <v>82</v>
      </c>
      <c r="AE904">
        <v>2</v>
      </c>
      <c r="AF904" t="s">
        <v>213</v>
      </c>
      <c r="AG904">
        <f>IFERROR(VLOOKUP(AF904,[1]STOK!J:O,6,0),"")</f>
        <v>12</v>
      </c>
      <c r="AH904" s="2">
        <f t="shared" si="28"/>
        <v>0.16666666666666666</v>
      </c>
      <c r="AI904" t="s">
        <v>213</v>
      </c>
      <c r="AJ904" t="s">
        <v>214</v>
      </c>
      <c r="AK904" t="s">
        <v>215</v>
      </c>
      <c r="AL904" t="s">
        <v>86</v>
      </c>
      <c r="AM904">
        <v>15984</v>
      </c>
      <c r="AN904">
        <f t="shared" si="29"/>
        <v>15904.08</v>
      </c>
      <c r="AO904" t="s">
        <v>66</v>
      </c>
      <c r="AP904">
        <v>0.5</v>
      </c>
      <c r="AQ904" t="s">
        <v>66</v>
      </c>
      <c r="AR904">
        <v>0</v>
      </c>
      <c r="AS904" t="s">
        <v>66</v>
      </c>
      <c r="AT904">
        <v>0</v>
      </c>
      <c r="AU904" t="s">
        <v>66</v>
      </c>
      <c r="AV904">
        <v>0</v>
      </c>
      <c r="AW904" t="s">
        <v>66</v>
      </c>
      <c r="AX904">
        <v>0</v>
      </c>
      <c r="AY904" t="s">
        <v>66</v>
      </c>
      <c r="AZ904">
        <v>0</v>
      </c>
      <c r="BA904" t="s">
        <v>66</v>
      </c>
      <c r="BB904">
        <v>0</v>
      </c>
      <c r="BC904">
        <v>0</v>
      </c>
      <c r="BD904">
        <v>31808.16</v>
      </c>
      <c r="BE904">
        <v>13008.41</v>
      </c>
      <c r="BF904">
        <v>0</v>
      </c>
      <c r="BG904" t="s">
        <v>87</v>
      </c>
      <c r="BH904" t="s">
        <v>66</v>
      </c>
      <c r="BI904">
        <v>0</v>
      </c>
      <c r="BJ904" t="s">
        <v>66</v>
      </c>
      <c r="BK904" t="s">
        <v>88</v>
      </c>
      <c r="BL904" t="s">
        <v>66</v>
      </c>
      <c r="BM904" t="s">
        <v>159</v>
      </c>
    </row>
    <row r="905" spans="1:65" x14ac:dyDescent="0.25">
      <c r="A905">
        <v>903</v>
      </c>
      <c r="B905" t="s">
        <v>1257</v>
      </c>
      <c r="C905" t="s">
        <v>66</v>
      </c>
      <c r="D905" s="1">
        <v>46214</v>
      </c>
      <c r="E905" t="s">
        <v>1258</v>
      </c>
      <c r="F905" t="s">
        <v>68</v>
      </c>
      <c r="G905" t="s">
        <v>69</v>
      </c>
      <c r="H905" t="s">
        <v>70</v>
      </c>
      <c r="I905" t="s">
        <v>71</v>
      </c>
      <c r="J905" t="s">
        <v>72</v>
      </c>
      <c r="K905" t="s">
        <v>73</v>
      </c>
      <c r="L905" t="s">
        <v>74</v>
      </c>
      <c r="M905" t="s">
        <v>1259</v>
      </c>
      <c r="N905" t="s">
        <v>111</v>
      </c>
      <c r="O905" t="s">
        <v>1260</v>
      </c>
      <c r="P905" t="s">
        <v>1261</v>
      </c>
      <c r="Q905" t="s">
        <v>1262</v>
      </c>
      <c r="R905" s="1">
        <v>46218</v>
      </c>
      <c r="S905" t="s">
        <v>544</v>
      </c>
      <c r="T905" t="s">
        <v>545</v>
      </c>
      <c r="U905" t="s">
        <v>546</v>
      </c>
      <c r="V905" t="s">
        <v>66</v>
      </c>
      <c r="W905" t="s">
        <v>66</v>
      </c>
      <c r="X905">
        <v>835203</v>
      </c>
      <c r="Y905">
        <v>91872.33</v>
      </c>
      <c r="Z905">
        <v>29850</v>
      </c>
      <c r="AA905">
        <v>3283.5</v>
      </c>
      <c r="AB905">
        <v>927075.33</v>
      </c>
      <c r="AC905">
        <v>12</v>
      </c>
      <c r="AD905" t="s">
        <v>82</v>
      </c>
      <c r="AE905">
        <v>12</v>
      </c>
      <c r="AF905" t="s">
        <v>341</v>
      </c>
      <c r="AG905">
        <f>IFERROR(VLOOKUP(AF905,[1]STOK!J:O,6,0),"")</f>
        <v>72</v>
      </c>
      <c r="AH905" s="2">
        <f t="shared" si="28"/>
        <v>0.16666666666666666</v>
      </c>
      <c r="AI905" t="s">
        <v>341</v>
      </c>
      <c r="AJ905" t="s">
        <v>342</v>
      </c>
      <c r="AK905" t="s">
        <v>343</v>
      </c>
      <c r="AL905" t="s">
        <v>86</v>
      </c>
      <c r="AM905">
        <v>2775</v>
      </c>
      <c r="AN905">
        <f t="shared" si="29"/>
        <v>2761.125</v>
      </c>
      <c r="AO905" t="s">
        <v>66</v>
      </c>
      <c r="AP905">
        <v>0.5</v>
      </c>
      <c r="AQ905" t="s">
        <v>66</v>
      </c>
      <c r="AR905">
        <v>0</v>
      </c>
      <c r="AS905" t="s">
        <v>66</v>
      </c>
      <c r="AT905">
        <v>0</v>
      </c>
      <c r="AU905" t="s">
        <v>66</v>
      </c>
      <c r="AV905">
        <v>0</v>
      </c>
      <c r="AW905" t="s">
        <v>66</v>
      </c>
      <c r="AX905">
        <v>0</v>
      </c>
      <c r="AY905" t="s">
        <v>66</v>
      </c>
      <c r="AZ905">
        <v>0</v>
      </c>
      <c r="BA905" t="s">
        <v>66</v>
      </c>
      <c r="BB905">
        <v>0</v>
      </c>
      <c r="BC905">
        <v>0</v>
      </c>
      <c r="BD905">
        <v>33133.5</v>
      </c>
      <c r="BE905">
        <v>2254.98</v>
      </c>
      <c r="BF905">
        <v>0</v>
      </c>
      <c r="BG905" t="s">
        <v>87</v>
      </c>
      <c r="BH905" t="s">
        <v>66</v>
      </c>
      <c r="BI905">
        <v>0</v>
      </c>
      <c r="BJ905" t="s">
        <v>66</v>
      </c>
      <c r="BK905" t="s">
        <v>88</v>
      </c>
      <c r="BL905" t="s">
        <v>547</v>
      </c>
      <c r="BM905" t="s">
        <v>159</v>
      </c>
    </row>
    <row r="906" spans="1:65" x14ac:dyDescent="0.25">
      <c r="A906">
        <v>904</v>
      </c>
      <c r="B906" t="s">
        <v>1257</v>
      </c>
      <c r="C906" t="s">
        <v>66</v>
      </c>
      <c r="D906" s="1">
        <v>46214</v>
      </c>
      <c r="E906" t="s">
        <v>1258</v>
      </c>
      <c r="F906" t="s">
        <v>68</v>
      </c>
      <c r="G906" t="s">
        <v>69</v>
      </c>
      <c r="H906" t="s">
        <v>70</v>
      </c>
      <c r="I906" t="s">
        <v>71</v>
      </c>
      <c r="J906" t="s">
        <v>72</v>
      </c>
      <c r="K906" t="s">
        <v>73</v>
      </c>
      <c r="L906" t="s">
        <v>74</v>
      </c>
      <c r="M906" t="s">
        <v>1259</v>
      </c>
      <c r="N906" t="s">
        <v>111</v>
      </c>
      <c r="O906" t="s">
        <v>1260</v>
      </c>
      <c r="P906" t="s">
        <v>1261</v>
      </c>
      <c r="Q906" t="s">
        <v>1262</v>
      </c>
      <c r="R906" s="1">
        <v>46218</v>
      </c>
      <c r="S906" t="s">
        <v>544</v>
      </c>
      <c r="T906" t="s">
        <v>545</v>
      </c>
      <c r="U906" t="s">
        <v>546</v>
      </c>
      <c r="V906" t="s">
        <v>66</v>
      </c>
      <c r="W906" t="s">
        <v>66</v>
      </c>
      <c r="X906">
        <v>835203</v>
      </c>
      <c r="Y906">
        <v>91872.33</v>
      </c>
      <c r="Z906">
        <v>59103</v>
      </c>
      <c r="AA906">
        <v>6501.33</v>
      </c>
      <c r="AB906">
        <v>927075.33</v>
      </c>
      <c r="AC906">
        <v>3</v>
      </c>
      <c r="AD906" t="s">
        <v>82</v>
      </c>
      <c r="AE906">
        <v>3</v>
      </c>
      <c r="AF906" t="s">
        <v>743</v>
      </c>
      <c r="AG906">
        <f>IFERROR(VLOOKUP(AF906,[1]STOK!J:O,6,0),"")</f>
        <v>12</v>
      </c>
      <c r="AH906" s="2">
        <f t="shared" si="28"/>
        <v>0.25</v>
      </c>
      <c r="AI906" t="s">
        <v>743</v>
      </c>
      <c r="AJ906" t="s">
        <v>744</v>
      </c>
      <c r="AK906" t="s">
        <v>745</v>
      </c>
      <c r="AL906" t="s">
        <v>86</v>
      </c>
      <c r="AM906">
        <v>21978</v>
      </c>
      <c r="AN906">
        <f t="shared" si="29"/>
        <v>21868.11</v>
      </c>
      <c r="AO906" t="s">
        <v>66</v>
      </c>
      <c r="AP906">
        <v>0.5</v>
      </c>
      <c r="AQ906" t="s">
        <v>66</v>
      </c>
      <c r="AR906">
        <v>0</v>
      </c>
      <c r="AS906" t="s">
        <v>66</v>
      </c>
      <c r="AT906">
        <v>0</v>
      </c>
      <c r="AU906" t="s">
        <v>66</v>
      </c>
      <c r="AV906">
        <v>0</v>
      </c>
      <c r="AW906" t="s">
        <v>66</v>
      </c>
      <c r="AX906">
        <v>0</v>
      </c>
      <c r="AY906" t="s">
        <v>66</v>
      </c>
      <c r="AZ906">
        <v>0</v>
      </c>
      <c r="BA906" t="s">
        <v>66</v>
      </c>
      <c r="BB906">
        <v>0</v>
      </c>
      <c r="BC906">
        <v>0</v>
      </c>
      <c r="BD906">
        <v>65604.33</v>
      </c>
      <c r="BE906">
        <v>17754.919999999998</v>
      </c>
      <c r="BF906">
        <v>0</v>
      </c>
      <c r="BG906" t="s">
        <v>87</v>
      </c>
      <c r="BH906" t="s">
        <v>66</v>
      </c>
      <c r="BI906">
        <v>0</v>
      </c>
      <c r="BJ906" t="s">
        <v>66</v>
      </c>
      <c r="BK906" t="s">
        <v>88</v>
      </c>
      <c r="BL906" t="s">
        <v>547</v>
      </c>
      <c r="BM906" t="s">
        <v>159</v>
      </c>
    </row>
    <row r="907" spans="1:65" x14ac:dyDescent="0.25">
      <c r="A907">
        <v>905</v>
      </c>
      <c r="B907" t="s">
        <v>1257</v>
      </c>
      <c r="C907" t="s">
        <v>66</v>
      </c>
      <c r="D907" s="1">
        <v>46214</v>
      </c>
      <c r="E907" t="s">
        <v>1258</v>
      </c>
      <c r="F907" t="s">
        <v>68</v>
      </c>
      <c r="G907" t="s">
        <v>69</v>
      </c>
      <c r="H907" t="s">
        <v>70</v>
      </c>
      <c r="I907" t="s">
        <v>71</v>
      </c>
      <c r="J907" t="s">
        <v>72</v>
      </c>
      <c r="K907" t="s">
        <v>73</v>
      </c>
      <c r="L907" t="s">
        <v>74</v>
      </c>
      <c r="M907" t="s">
        <v>1259</v>
      </c>
      <c r="N907" t="s">
        <v>111</v>
      </c>
      <c r="O907" t="s">
        <v>1260</v>
      </c>
      <c r="P907" t="s">
        <v>1261</v>
      </c>
      <c r="Q907" t="s">
        <v>1262</v>
      </c>
      <c r="R907" s="1">
        <v>46218</v>
      </c>
      <c r="S907" t="s">
        <v>544</v>
      </c>
      <c r="T907" t="s">
        <v>545</v>
      </c>
      <c r="U907" t="s">
        <v>546</v>
      </c>
      <c r="V907" t="s">
        <v>66</v>
      </c>
      <c r="W907" t="s">
        <v>66</v>
      </c>
      <c r="X907">
        <v>835203</v>
      </c>
      <c r="Y907">
        <v>91872.33</v>
      </c>
      <c r="Z907">
        <v>44178</v>
      </c>
      <c r="AA907">
        <v>4859.58</v>
      </c>
      <c r="AB907">
        <v>927075.33</v>
      </c>
      <c r="AC907">
        <v>3</v>
      </c>
      <c r="AD907" t="s">
        <v>82</v>
      </c>
      <c r="AE907">
        <v>3</v>
      </c>
      <c r="AF907" t="s">
        <v>845</v>
      </c>
      <c r="AG907">
        <f>IFERROR(VLOOKUP(AF907,[1]STOK!J:O,6,0),"")</f>
        <v>12</v>
      </c>
      <c r="AH907" s="2">
        <f t="shared" si="28"/>
        <v>0.25</v>
      </c>
      <c r="AI907" t="s">
        <v>845</v>
      </c>
      <c r="AJ907" t="s">
        <v>846</v>
      </c>
      <c r="AK907" t="s">
        <v>847</v>
      </c>
      <c r="AL907" t="s">
        <v>86</v>
      </c>
      <c r="AM907">
        <v>16428</v>
      </c>
      <c r="AN907">
        <f t="shared" si="29"/>
        <v>16345.86</v>
      </c>
      <c r="AO907" t="s">
        <v>66</v>
      </c>
      <c r="AP907">
        <v>0.5</v>
      </c>
      <c r="AQ907" t="s">
        <v>66</v>
      </c>
      <c r="AR907">
        <v>0</v>
      </c>
      <c r="AS907" t="s">
        <v>66</v>
      </c>
      <c r="AT907">
        <v>0</v>
      </c>
      <c r="AU907" t="s">
        <v>66</v>
      </c>
      <c r="AV907">
        <v>0</v>
      </c>
      <c r="AW907" t="s">
        <v>66</v>
      </c>
      <c r="AX907">
        <v>0</v>
      </c>
      <c r="AY907" t="s">
        <v>66</v>
      </c>
      <c r="AZ907">
        <v>0</v>
      </c>
      <c r="BA907" t="s">
        <v>66</v>
      </c>
      <c r="BB907">
        <v>0</v>
      </c>
      <c r="BC907">
        <v>0</v>
      </c>
      <c r="BD907">
        <v>49037.58</v>
      </c>
      <c r="BE907">
        <v>13390.11</v>
      </c>
      <c r="BF907">
        <v>0</v>
      </c>
      <c r="BG907" t="s">
        <v>87</v>
      </c>
      <c r="BH907" t="s">
        <v>66</v>
      </c>
      <c r="BI907">
        <v>0</v>
      </c>
      <c r="BJ907" t="s">
        <v>66</v>
      </c>
      <c r="BK907" t="s">
        <v>88</v>
      </c>
      <c r="BL907" t="s">
        <v>547</v>
      </c>
      <c r="BM907" t="s">
        <v>159</v>
      </c>
    </row>
    <row r="908" spans="1:65" x14ac:dyDescent="0.25">
      <c r="A908">
        <v>906</v>
      </c>
      <c r="B908" t="s">
        <v>1257</v>
      </c>
      <c r="C908" t="s">
        <v>66</v>
      </c>
      <c r="D908" s="1">
        <v>46214</v>
      </c>
      <c r="E908" t="s">
        <v>1258</v>
      </c>
      <c r="F908" t="s">
        <v>68</v>
      </c>
      <c r="G908" t="s">
        <v>69</v>
      </c>
      <c r="H908" t="s">
        <v>70</v>
      </c>
      <c r="I908" t="s">
        <v>71</v>
      </c>
      <c r="J908" t="s">
        <v>72</v>
      </c>
      <c r="K908" t="s">
        <v>73</v>
      </c>
      <c r="L908" t="s">
        <v>74</v>
      </c>
      <c r="M908" t="s">
        <v>1259</v>
      </c>
      <c r="N908" t="s">
        <v>111</v>
      </c>
      <c r="O908" t="s">
        <v>1260</v>
      </c>
      <c r="P908" t="s">
        <v>1261</v>
      </c>
      <c r="Q908" t="s">
        <v>1262</v>
      </c>
      <c r="R908" s="1">
        <v>46218</v>
      </c>
      <c r="S908" t="s">
        <v>544</v>
      </c>
      <c r="T908" t="s">
        <v>545</v>
      </c>
      <c r="U908" t="s">
        <v>546</v>
      </c>
      <c r="V908" t="s">
        <v>66</v>
      </c>
      <c r="W908" t="s">
        <v>66</v>
      </c>
      <c r="X908">
        <v>835203</v>
      </c>
      <c r="Y908">
        <v>91872.33</v>
      </c>
      <c r="Z908">
        <v>30148.5</v>
      </c>
      <c r="AA908">
        <v>3316.34</v>
      </c>
      <c r="AB908">
        <v>927075.33</v>
      </c>
      <c r="AC908">
        <v>3</v>
      </c>
      <c r="AD908" t="s">
        <v>82</v>
      </c>
      <c r="AE908">
        <v>3</v>
      </c>
      <c r="AF908" t="s">
        <v>857</v>
      </c>
      <c r="AG908">
        <f>IFERROR(VLOOKUP(AF908,[1]STOK!J:O,6,0),"")</f>
        <v>24</v>
      </c>
      <c r="AH908" s="2">
        <f t="shared" si="28"/>
        <v>0.125</v>
      </c>
      <c r="AI908" t="s">
        <v>857</v>
      </c>
      <c r="AJ908" t="s">
        <v>858</v>
      </c>
      <c r="AK908" t="s">
        <v>859</v>
      </c>
      <c r="AL908" t="s">
        <v>86</v>
      </c>
      <c r="AM908">
        <v>11211</v>
      </c>
      <c r="AN908">
        <f t="shared" si="29"/>
        <v>11154.946666666665</v>
      </c>
      <c r="AO908" t="s">
        <v>66</v>
      </c>
      <c r="AP908">
        <v>0.5</v>
      </c>
      <c r="AQ908" t="s">
        <v>66</v>
      </c>
      <c r="AR908">
        <v>0</v>
      </c>
      <c r="AS908" t="s">
        <v>66</v>
      </c>
      <c r="AT908">
        <v>0</v>
      </c>
      <c r="AU908" t="s">
        <v>66</v>
      </c>
      <c r="AV908">
        <v>0</v>
      </c>
      <c r="AW908" t="s">
        <v>66</v>
      </c>
      <c r="AX908">
        <v>0</v>
      </c>
      <c r="AY908" t="s">
        <v>66</v>
      </c>
      <c r="AZ908">
        <v>0</v>
      </c>
      <c r="BA908" t="s">
        <v>66</v>
      </c>
      <c r="BB908">
        <v>0</v>
      </c>
      <c r="BC908">
        <v>0</v>
      </c>
      <c r="BD908">
        <v>33464.839999999997</v>
      </c>
      <c r="BE908">
        <v>9046.9</v>
      </c>
      <c r="BF908">
        <v>0</v>
      </c>
      <c r="BG908" t="s">
        <v>87</v>
      </c>
      <c r="BH908" t="s">
        <v>66</v>
      </c>
      <c r="BI908">
        <v>0</v>
      </c>
      <c r="BJ908" t="s">
        <v>66</v>
      </c>
      <c r="BK908" t="s">
        <v>88</v>
      </c>
      <c r="BL908" t="s">
        <v>547</v>
      </c>
      <c r="BM908" t="s">
        <v>159</v>
      </c>
    </row>
    <row r="909" spans="1:65" x14ac:dyDescent="0.25">
      <c r="A909">
        <v>907</v>
      </c>
      <c r="B909" t="s">
        <v>1257</v>
      </c>
      <c r="C909" t="s">
        <v>66</v>
      </c>
      <c r="D909" s="1">
        <v>46214</v>
      </c>
      <c r="E909" t="s">
        <v>1258</v>
      </c>
      <c r="F909" t="s">
        <v>68</v>
      </c>
      <c r="G909" t="s">
        <v>69</v>
      </c>
      <c r="H909" t="s">
        <v>70</v>
      </c>
      <c r="I909" t="s">
        <v>71</v>
      </c>
      <c r="J909" t="s">
        <v>72</v>
      </c>
      <c r="K909" t="s">
        <v>73</v>
      </c>
      <c r="L909" t="s">
        <v>74</v>
      </c>
      <c r="M909" t="s">
        <v>1259</v>
      </c>
      <c r="N909" t="s">
        <v>111</v>
      </c>
      <c r="O909" t="s">
        <v>1260</v>
      </c>
      <c r="P909" t="s">
        <v>1261</v>
      </c>
      <c r="Q909" t="s">
        <v>1262</v>
      </c>
      <c r="R909" s="1">
        <v>46218</v>
      </c>
      <c r="S909" t="s">
        <v>544</v>
      </c>
      <c r="T909" t="s">
        <v>545</v>
      </c>
      <c r="U909" t="s">
        <v>546</v>
      </c>
      <c r="V909" t="s">
        <v>66</v>
      </c>
      <c r="W909" t="s">
        <v>66</v>
      </c>
      <c r="X909">
        <v>835203</v>
      </c>
      <c r="Y909">
        <v>91872.33</v>
      </c>
      <c r="Z909">
        <v>47163</v>
      </c>
      <c r="AA909">
        <v>5187.93</v>
      </c>
      <c r="AB909">
        <v>927075.33</v>
      </c>
      <c r="AC909">
        <v>6</v>
      </c>
      <c r="AD909" t="s">
        <v>82</v>
      </c>
      <c r="AE909">
        <v>6</v>
      </c>
      <c r="AF909" t="s">
        <v>199</v>
      </c>
      <c r="AG909">
        <f>IFERROR(VLOOKUP(AF909,[1]STOK!J:O,6,0),"")</f>
        <v>24</v>
      </c>
      <c r="AH909" s="2">
        <f t="shared" si="28"/>
        <v>0.25</v>
      </c>
      <c r="AI909" t="s">
        <v>199</v>
      </c>
      <c r="AJ909" t="s">
        <v>200</v>
      </c>
      <c r="AK909" t="s">
        <v>201</v>
      </c>
      <c r="AL909" t="s">
        <v>86</v>
      </c>
      <c r="AM909">
        <v>8769</v>
      </c>
      <c r="AN909">
        <f t="shared" si="29"/>
        <v>8725.1550000000007</v>
      </c>
      <c r="AO909" t="s">
        <v>66</v>
      </c>
      <c r="AP909">
        <v>0.5</v>
      </c>
      <c r="AQ909" t="s">
        <v>66</v>
      </c>
      <c r="AR909">
        <v>0</v>
      </c>
      <c r="AS909" t="s">
        <v>66</v>
      </c>
      <c r="AT909">
        <v>0</v>
      </c>
      <c r="AU909" t="s">
        <v>66</v>
      </c>
      <c r="AV909">
        <v>0</v>
      </c>
      <c r="AW909" t="s">
        <v>66</v>
      </c>
      <c r="AX909">
        <v>0</v>
      </c>
      <c r="AY909" t="s">
        <v>66</v>
      </c>
      <c r="AZ909">
        <v>0</v>
      </c>
      <c r="BA909" t="s">
        <v>66</v>
      </c>
      <c r="BB909">
        <v>0</v>
      </c>
      <c r="BC909">
        <v>0</v>
      </c>
      <c r="BD909">
        <v>52350.93</v>
      </c>
      <c r="BE909">
        <v>7146.59</v>
      </c>
      <c r="BF909">
        <v>0</v>
      </c>
      <c r="BG909" t="s">
        <v>87</v>
      </c>
      <c r="BH909" t="s">
        <v>66</v>
      </c>
      <c r="BI909">
        <v>0</v>
      </c>
      <c r="BJ909" t="s">
        <v>66</v>
      </c>
      <c r="BK909" t="s">
        <v>88</v>
      </c>
      <c r="BL909" t="s">
        <v>547</v>
      </c>
      <c r="BM909" t="s">
        <v>159</v>
      </c>
    </row>
    <row r="910" spans="1:65" x14ac:dyDescent="0.25">
      <c r="A910">
        <v>908</v>
      </c>
      <c r="B910" t="s">
        <v>1257</v>
      </c>
      <c r="C910" t="s">
        <v>66</v>
      </c>
      <c r="D910" s="1">
        <v>46214</v>
      </c>
      <c r="E910" t="s">
        <v>1258</v>
      </c>
      <c r="F910" t="s">
        <v>68</v>
      </c>
      <c r="G910" t="s">
        <v>69</v>
      </c>
      <c r="H910" t="s">
        <v>70</v>
      </c>
      <c r="I910" t="s">
        <v>71</v>
      </c>
      <c r="J910" t="s">
        <v>72</v>
      </c>
      <c r="K910" t="s">
        <v>73</v>
      </c>
      <c r="L910" t="s">
        <v>74</v>
      </c>
      <c r="M910" t="s">
        <v>1259</v>
      </c>
      <c r="N910" t="s">
        <v>111</v>
      </c>
      <c r="O910" t="s">
        <v>1260</v>
      </c>
      <c r="P910" t="s">
        <v>1261</v>
      </c>
      <c r="Q910" t="s">
        <v>1262</v>
      </c>
      <c r="R910" s="1">
        <v>46218</v>
      </c>
      <c r="S910" t="s">
        <v>544</v>
      </c>
      <c r="T910" t="s">
        <v>545</v>
      </c>
      <c r="U910" t="s">
        <v>546</v>
      </c>
      <c r="V910" t="s">
        <v>66</v>
      </c>
      <c r="W910" t="s">
        <v>66</v>
      </c>
      <c r="X910">
        <v>835203</v>
      </c>
      <c r="Y910">
        <v>91872.33</v>
      </c>
      <c r="Z910">
        <v>67461</v>
      </c>
      <c r="AA910">
        <v>7420.71</v>
      </c>
      <c r="AB910">
        <v>927075.33</v>
      </c>
      <c r="AC910">
        <v>6</v>
      </c>
      <c r="AD910" t="s">
        <v>82</v>
      </c>
      <c r="AE910">
        <v>6</v>
      </c>
      <c r="AF910" t="s">
        <v>122</v>
      </c>
      <c r="AG910">
        <f>IFERROR(VLOOKUP(AF910,[1]STOK!J:O,6,0),"")</f>
        <v>24</v>
      </c>
      <c r="AH910" s="2">
        <f t="shared" si="28"/>
        <v>0.25</v>
      </c>
      <c r="AI910" t="s">
        <v>122</v>
      </c>
      <c r="AJ910" t="s">
        <v>123</v>
      </c>
      <c r="AK910" t="s">
        <v>124</v>
      </c>
      <c r="AL910" t="s">
        <v>86</v>
      </c>
      <c r="AM910">
        <v>12543</v>
      </c>
      <c r="AN910">
        <f t="shared" si="29"/>
        <v>12480.285000000002</v>
      </c>
      <c r="AO910" t="s">
        <v>66</v>
      </c>
      <c r="AP910">
        <v>0.5</v>
      </c>
      <c r="AQ910" t="s">
        <v>66</v>
      </c>
      <c r="AR910">
        <v>0</v>
      </c>
      <c r="AS910" t="s">
        <v>66</v>
      </c>
      <c r="AT910">
        <v>0</v>
      </c>
      <c r="AU910" t="s">
        <v>66</v>
      </c>
      <c r="AV910">
        <v>0</v>
      </c>
      <c r="AW910" t="s">
        <v>66</v>
      </c>
      <c r="AX910">
        <v>0</v>
      </c>
      <c r="AY910" t="s">
        <v>66</v>
      </c>
      <c r="AZ910">
        <v>0</v>
      </c>
      <c r="BA910" t="s">
        <v>66</v>
      </c>
      <c r="BB910">
        <v>0</v>
      </c>
      <c r="BC910">
        <v>0</v>
      </c>
      <c r="BD910">
        <v>74881.710000000006</v>
      </c>
      <c r="BE910">
        <v>10200.57</v>
      </c>
      <c r="BF910">
        <v>0</v>
      </c>
      <c r="BG910" t="s">
        <v>87</v>
      </c>
      <c r="BH910" t="s">
        <v>66</v>
      </c>
      <c r="BI910">
        <v>0</v>
      </c>
      <c r="BJ910" t="s">
        <v>66</v>
      </c>
      <c r="BK910" t="s">
        <v>88</v>
      </c>
      <c r="BL910" t="s">
        <v>547</v>
      </c>
      <c r="BM910" t="s">
        <v>159</v>
      </c>
    </row>
    <row r="911" spans="1:65" x14ac:dyDescent="0.25">
      <c r="A911">
        <v>909</v>
      </c>
      <c r="B911" t="s">
        <v>1257</v>
      </c>
      <c r="C911" t="s">
        <v>66</v>
      </c>
      <c r="D911" s="1">
        <v>46214</v>
      </c>
      <c r="E911" t="s">
        <v>1258</v>
      </c>
      <c r="F911" t="s">
        <v>68</v>
      </c>
      <c r="G911" t="s">
        <v>69</v>
      </c>
      <c r="H911" t="s">
        <v>70</v>
      </c>
      <c r="I911" t="s">
        <v>71</v>
      </c>
      <c r="J911" t="s">
        <v>72</v>
      </c>
      <c r="K911" t="s">
        <v>73</v>
      </c>
      <c r="L911" t="s">
        <v>74</v>
      </c>
      <c r="M911" t="s">
        <v>1259</v>
      </c>
      <c r="N911" t="s">
        <v>111</v>
      </c>
      <c r="O911" t="s">
        <v>1260</v>
      </c>
      <c r="P911" t="s">
        <v>1261</v>
      </c>
      <c r="Q911" t="s">
        <v>1262</v>
      </c>
      <c r="R911" s="1">
        <v>46218</v>
      </c>
      <c r="S911" t="s">
        <v>544</v>
      </c>
      <c r="T911" t="s">
        <v>545</v>
      </c>
      <c r="U911" t="s">
        <v>546</v>
      </c>
      <c r="V911" t="s">
        <v>66</v>
      </c>
      <c r="W911" t="s">
        <v>66</v>
      </c>
      <c r="X911">
        <v>835203</v>
      </c>
      <c r="Y911">
        <v>91872.33</v>
      </c>
      <c r="Z911">
        <v>34029</v>
      </c>
      <c r="AA911">
        <v>3743.19</v>
      </c>
      <c r="AB911">
        <v>927075.33</v>
      </c>
      <c r="AC911">
        <v>6</v>
      </c>
      <c r="AD911" t="s">
        <v>82</v>
      </c>
      <c r="AE911">
        <v>6</v>
      </c>
      <c r="AF911" t="s">
        <v>90</v>
      </c>
      <c r="AG911">
        <f>IFERROR(VLOOKUP(AF911,[1]STOK!J:O,6,0),"")</f>
        <v>48</v>
      </c>
      <c r="AH911" s="2">
        <f t="shared" si="28"/>
        <v>0.125</v>
      </c>
      <c r="AI911" t="s">
        <v>90</v>
      </c>
      <c r="AJ911" t="s">
        <v>91</v>
      </c>
      <c r="AK911" t="s">
        <v>92</v>
      </c>
      <c r="AL911" t="s">
        <v>86</v>
      </c>
      <c r="AM911">
        <v>6327</v>
      </c>
      <c r="AN911">
        <f t="shared" si="29"/>
        <v>6295.3650000000007</v>
      </c>
      <c r="AO911" t="s">
        <v>66</v>
      </c>
      <c r="AP911">
        <v>0.5</v>
      </c>
      <c r="AQ911" t="s">
        <v>66</v>
      </c>
      <c r="AR911">
        <v>0</v>
      </c>
      <c r="AS911" t="s">
        <v>66</v>
      </c>
      <c r="AT911">
        <v>0</v>
      </c>
      <c r="AU911" t="s">
        <v>66</v>
      </c>
      <c r="AV911">
        <v>0</v>
      </c>
      <c r="AW911" t="s">
        <v>66</v>
      </c>
      <c r="AX911">
        <v>0</v>
      </c>
      <c r="AY911" t="s">
        <v>66</v>
      </c>
      <c r="AZ911">
        <v>0</v>
      </c>
      <c r="BA911" t="s">
        <v>66</v>
      </c>
      <c r="BB911">
        <v>0</v>
      </c>
      <c r="BC911">
        <v>0</v>
      </c>
      <c r="BD911">
        <v>37772.19</v>
      </c>
      <c r="BE911">
        <v>5043.8999999999996</v>
      </c>
      <c r="BF911">
        <v>0</v>
      </c>
      <c r="BG911" t="s">
        <v>87</v>
      </c>
      <c r="BH911" t="s">
        <v>66</v>
      </c>
      <c r="BI911">
        <v>0</v>
      </c>
      <c r="BJ911" t="s">
        <v>66</v>
      </c>
      <c r="BK911" t="s">
        <v>88</v>
      </c>
      <c r="BL911" t="s">
        <v>547</v>
      </c>
      <c r="BM911" t="s">
        <v>159</v>
      </c>
    </row>
    <row r="912" spans="1:65" x14ac:dyDescent="0.25">
      <c r="A912">
        <v>910</v>
      </c>
      <c r="B912" t="s">
        <v>1257</v>
      </c>
      <c r="C912" t="s">
        <v>66</v>
      </c>
      <c r="D912" s="1">
        <v>46214</v>
      </c>
      <c r="E912" t="s">
        <v>1258</v>
      </c>
      <c r="F912" t="s">
        <v>68</v>
      </c>
      <c r="G912" t="s">
        <v>69</v>
      </c>
      <c r="H912" t="s">
        <v>70</v>
      </c>
      <c r="I912" t="s">
        <v>71</v>
      </c>
      <c r="J912" t="s">
        <v>72</v>
      </c>
      <c r="K912" t="s">
        <v>73</v>
      </c>
      <c r="L912" t="s">
        <v>74</v>
      </c>
      <c r="M912" t="s">
        <v>1259</v>
      </c>
      <c r="N912" t="s">
        <v>111</v>
      </c>
      <c r="O912" t="s">
        <v>1260</v>
      </c>
      <c r="P912" t="s">
        <v>1261</v>
      </c>
      <c r="Q912" t="s">
        <v>1262</v>
      </c>
      <c r="R912" s="1">
        <v>46218</v>
      </c>
      <c r="S912" t="s">
        <v>544</v>
      </c>
      <c r="T912" t="s">
        <v>545</v>
      </c>
      <c r="U912" t="s">
        <v>546</v>
      </c>
      <c r="V912" t="s">
        <v>66</v>
      </c>
      <c r="W912" t="s">
        <v>66</v>
      </c>
      <c r="X912">
        <v>835203</v>
      </c>
      <c r="Y912">
        <v>91872.33</v>
      </c>
      <c r="Z912">
        <v>49252.5</v>
      </c>
      <c r="AA912">
        <v>5417.78</v>
      </c>
      <c r="AB912">
        <v>927075.33</v>
      </c>
      <c r="AC912">
        <v>3</v>
      </c>
      <c r="AD912" t="s">
        <v>82</v>
      </c>
      <c r="AE912">
        <v>3</v>
      </c>
      <c r="AF912" t="s">
        <v>99</v>
      </c>
      <c r="AG912">
        <f>IFERROR(VLOOKUP(AF912,[1]STOK!J:O,6,0),"")</f>
        <v>24</v>
      </c>
      <c r="AH912" s="2">
        <f t="shared" si="28"/>
        <v>0.125</v>
      </c>
      <c r="AI912" t="s">
        <v>99</v>
      </c>
      <c r="AJ912" t="s">
        <v>100</v>
      </c>
      <c r="AK912" t="s">
        <v>101</v>
      </c>
      <c r="AL912" t="s">
        <v>86</v>
      </c>
      <c r="AM912">
        <v>18315</v>
      </c>
      <c r="AN912">
        <f t="shared" si="29"/>
        <v>18223.426666666666</v>
      </c>
      <c r="AO912" t="s">
        <v>66</v>
      </c>
      <c r="AP912">
        <v>0.5</v>
      </c>
      <c r="AQ912" t="s">
        <v>66</v>
      </c>
      <c r="AR912">
        <v>0</v>
      </c>
      <c r="AS912" t="s">
        <v>66</v>
      </c>
      <c r="AT912">
        <v>0</v>
      </c>
      <c r="AU912" t="s">
        <v>66</v>
      </c>
      <c r="AV912">
        <v>0</v>
      </c>
      <c r="AW912" t="s">
        <v>66</v>
      </c>
      <c r="AX912">
        <v>0</v>
      </c>
      <c r="AY912" t="s">
        <v>66</v>
      </c>
      <c r="AZ912">
        <v>0</v>
      </c>
      <c r="BA912" t="s">
        <v>66</v>
      </c>
      <c r="BB912">
        <v>0</v>
      </c>
      <c r="BC912">
        <v>0</v>
      </c>
      <c r="BD912">
        <v>54670.28</v>
      </c>
      <c r="BE912">
        <v>14921.25</v>
      </c>
      <c r="BF912">
        <v>0</v>
      </c>
      <c r="BG912" t="s">
        <v>87</v>
      </c>
      <c r="BH912" t="s">
        <v>66</v>
      </c>
      <c r="BI912">
        <v>0</v>
      </c>
      <c r="BJ912" t="s">
        <v>66</v>
      </c>
      <c r="BK912" t="s">
        <v>88</v>
      </c>
      <c r="BL912" t="s">
        <v>547</v>
      </c>
      <c r="BM912" t="s">
        <v>159</v>
      </c>
    </row>
    <row r="913" spans="1:65" x14ac:dyDescent="0.25">
      <c r="A913">
        <v>911</v>
      </c>
      <c r="B913" t="s">
        <v>1257</v>
      </c>
      <c r="C913" t="s">
        <v>66</v>
      </c>
      <c r="D913" s="1">
        <v>46214</v>
      </c>
      <c r="E913" t="s">
        <v>1258</v>
      </c>
      <c r="F913" t="s">
        <v>68</v>
      </c>
      <c r="G913" t="s">
        <v>69</v>
      </c>
      <c r="H913" t="s">
        <v>70</v>
      </c>
      <c r="I913" t="s">
        <v>71</v>
      </c>
      <c r="J913" t="s">
        <v>72</v>
      </c>
      <c r="K913" t="s">
        <v>73</v>
      </c>
      <c r="L913" t="s">
        <v>74</v>
      </c>
      <c r="M913" t="s">
        <v>1259</v>
      </c>
      <c r="N913" t="s">
        <v>111</v>
      </c>
      <c r="O913" t="s">
        <v>1260</v>
      </c>
      <c r="P913" t="s">
        <v>1261</v>
      </c>
      <c r="Q913" t="s">
        <v>1262</v>
      </c>
      <c r="R913" s="1">
        <v>46218</v>
      </c>
      <c r="S913" t="s">
        <v>544</v>
      </c>
      <c r="T913" t="s">
        <v>545</v>
      </c>
      <c r="U913" t="s">
        <v>546</v>
      </c>
      <c r="V913" t="s">
        <v>66</v>
      </c>
      <c r="W913" t="s">
        <v>66</v>
      </c>
      <c r="X913">
        <v>835203</v>
      </c>
      <c r="Y913">
        <v>91872.33</v>
      </c>
      <c r="Z913">
        <v>57909</v>
      </c>
      <c r="AA913">
        <v>6369.99</v>
      </c>
      <c r="AB913">
        <v>927075.33</v>
      </c>
      <c r="AC913">
        <v>3</v>
      </c>
      <c r="AD913" t="s">
        <v>82</v>
      </c>
      <c r="AE913">
        <v>3</v>
      </c>
      <c r="AF913" t="s">
        <v>284</v>
      </c>
      <c r="AG913">
        <f>IFERROR(VLOOKUP(AF913,[1]STOK!J:O,6,0),"")</f>
        <v>12</v>
      </c>
      <c r="AH913" s="2">
        <f t="shared" si="28"/>
        <v>0.25</v>
      </c>
      <c r="AI913" t="s">
        <v>284</v>
      </c>
      <c r="AJ913" t="s">
        <v>285</v>
      </c>
      <c r="AK913" t="s">
        <v>286</v>
      </c>
      <c r="AL913" t="s">
        <v>86</v>
      </c>
      <c r="AM913">
        <v>21534</v>
      </c>
      <c r="AN913">
        <f t="shared" si="29"/>
        <v>21426.329999999998</v>
      </c>
      <c r="AO913" t="s">
        <v>66</v>
      </c>
      <c r="AP913">
        <v>0.5</v>
      </c>
      <c r="AQ913" t="s">
        <v>66</v>
      </c>
      <c r="AR913">
        <v>0</v>
      </c>
      <c r="AS913" t="s">
        <v>66</v>
      </c>
      <c r="AT913">
        <v>0</v>
      </c>
      <c r="AU913" t="s">
        <v>66</v>
      </c>
      <c r="AV913">
        <v>0</v>
      </c>
      <c r="AW913" t="s">
        <v>66</v>
      </c>
      <c r="AX913">
        <v>0</v>
      </c>
      <c r="AY913" t="s">
        <v>66</v>
      </c>
      <c r="AZ913">
        <v>0</v>
      </c>
      <c r="BA913" t="s">
        <v>66</v>
      </c>
      <c r="BB913">
        <v>0</v>
      </c>
      <c r="BC913">
        <v>0</v>
      </c>
      <c r="BD913">
        <v>64278.99</v>
      </c>
      <c r="BE913">
        <v>17475.419999999998</v>
      </c>
      <c r="BF913">
        <v>0</v>
      </c>
      <c r="BG913" t="s">
        <v>87</v>
      </c>
      <c r="BH913" t="s">
        <v>66</v>
      </c>
      <c r="BI913">
        <v>0</v>
      </c>
      <c r="BJ913" t="s">
        <v>66</v>
      </c>
      <c r="BK913" t="s">
        <v>88</v>
      </c>
      <c r="BL913" t="s">
        <v>547</v>
      </c>
      <c r="BM913" t="s">
        <v>159</v>
      </c>
    </row>
    <row r="914" spans="1:65" x14ac:dyDescent="0.25">
      <c r="A914">
        <v>912</v>
      </c>
      <c r="B914" t="s">
        <v>1257</v>
      </c>
      <c r="C914" t="s">
        <v>66</v>
      </c>
      <c r="D914" s="1">
        <v>46214</v>
      </c>
      <c r="E914" t="s">
        <v>1258</v>
      </c>
      <c r="F914" t="s">
        <v>68</v>
      </c>
      <c r="G914" t="s">
        <v>69</v>
      </c>
      <c r="H914" t="s">
        <v>70</v>
      </c>
      <c r="I914" t="s">
        <v>71</v>
      </c>
      <c r="J914" t="s">
        <v>72</v>
      </c>
      <c r="K914" t="s">
        <v>73</v>
      </c>
      <c r="L914" t="s">
        <v>74</v>
      </c>
      <c r="M914" t="s">
        <v>1259</v>
      </c>
      <c r="N914" t="s">
        <v>111</v>
      </c>
      <c r="O914" t="s">
        <v>1260</v>
      </c>
      <c r="P914" t="s">
        <v>1261</v>
      </c>
      <c r="Q914" t="s">
        <v>1262</v>
      </c>
      <c r="R914" s="1">
        <v>46218</v>
      </c>
      <c r="S914" t="s">
        <v>544</v>
      </c>
      <c r="T914" t="s">
        <v>545</v>
      </c>
      <c r="U914" t="s">
        <v>546</v>
      </c>
      <c r="V914" t="s">
        <v>66</v>
      </c>
      <c r="W914" t="s">
        <v>66</v>
      </c>
      <c r="X914">
        <v>835203</v>
      </c>
      <c r="Y914">
        <v>91872.33</v>
      </c>
      <c r="Z914">
        <v>43879.5</v>
      </c>
      <c r="AA914">
        <v>4826.75</v>
      </c>
      <c r="AB914">
        <v>927075.33</v>
      </c>
      <c r="AC914">
        <v>3</v>
      </c>
      <c r="AD914" t="s">
        <v>82</v>
      </c>
      <c r="AE914">
        <v>3</v>
      </c>
      <c r="AF914" t="s">
        <v>1263</v>
      </c>
      <c r="AG914">
        <f>IFERROR(VLOOKUP(AF914,[1]STOK!J:O,6,0),"")</f>
        <v>12</v>
      </c>
      <c r="AH914" s="2">
        <f t="shared" si="28"/>
        <v>0.25</v>
      </c>
      <c r="AI914" t="s">
        <v>1263</v>
      </c>
      <c r="AJ914" t="s">
        <v>1264</v>
      </c>
      <c r="AK914" t="s">
        <v>1265</v>
      </c>
      <c r="AL914" t="s">
        <v>86</v>
      </c>
      <c r="AM914">
        <v>16317</v>
      </c>
      <c r="AN914">
        <f t="shared" si="29"/>
        <v>16235.416666666666</v>
      </c>
      <c r="AO914" t="s">
        <v>66</v>
      </c>
      <c r="AP914">
        <v>0.5</v>
      </c>
      <c r="AQ914" t="s">
        <v>66</v>
      </c>
      <c r="AR914">
        <v>0</v>
      </c>
      <c r="AS914" t="s">
        <v>66</v>
      </c>
      <c r="AT914">
        <v>0</v>
      </c>
      <c r="AU914" t="s">
        <v>66</v>
      </c>
      <c r="AV914">
        <v>0</v>
      </c>
      <c r="AW914" t="s">
        <v>66</v>
      </c>
      <c r="AX914">
        <v>0</v>
      </c>
      <c r="AY914" t="s">
        <v>66</v>
      </c>
      <c r="AZ914">
        <v>0</v>
      </c>
      <c r="BA914" t="s">
        <v>66</v>
      </c>
      <c r="BB914">
        <v>0</v>
      </c>
      <c r="BC914">
        <v>0</v>
      </c>
      <c r="BD914">
        <v>48706.25</v>
      </c>
      <c r="BE914">
        <v>13286.06</v>
      </c>
      <c r="BF914">
        <v>0</v>
      </c>
      <c r="BG914" t="s">
        <v>87</v>
      </c>
      <c r="BH914" t="s">
        <v>66</v>
      </c>
      <c r="BI914">
        <v>0</v>
      </c>
      <c r="BJ914" t="s">
        <v>66</v>
      </c>
      <c r="BK914" t="s">
        <v>88</v>
      </c>
      <c r="BL914" t="s">
        <v>547</v>
      </c>
      <c r="BM914" t="s">
        <v>159</v>
      </c>
    </row>
    <row r="915" spans="1:65" x14ac:dyDescent="0.25">
      <c r="A915">
        <v>913</v>
      </c>
      <c r="B915" t="s">
        <v>1257</v>
      </c>
      <c r="C915" t="s">
        <v>66</v>
      </c>
      <c r="D915" s="1">
        <v>46214</v>
      </c>
      <c r="E915" t="s">
        <v>1258</v>
      </c>
      <c r="F915" t="s">
        <v>68</v>
      </c>
      <c r="G915" t="s">
        <v>69</v>
      </c>
      <c r="H915" t="s">
        <v>70</v>
      </c>
      <c r="I915" t="s">
        <v>71</v>
      </c>
      <c r="J915" t="s">
        <v>72</v>
      </c>
      <c r="K915" t="s">
        <v>73</v>
      </c>
      <c r="L915" t="s">
        <v>74</v>
      </c>
      <c r="M915" t="s">
        <v>1259</v>
      </c>
      <c r="N915" t="s">
        <v>111</v>
      </c>
      <c r="O915" t="s">
        <v>1260</v>
      </c>
      <c r="P915" t="s">
        <v>1261</v>
      </c>
      <c r="Q915" t="s">
        <v>1262</v>
      </c>
      <c r="R915" s="1">
        <v>46218</v>
      </c>
      <c r="S915" t="s">
        <v>544</v>
      </c>
      <c r="T915" t="s">
        <v>545</v>
      </c>
      <c r="U915" t="s">
        <v>546</v>
      </c>
      <c r="V915" t="s">
        <v>66</v>
      </c>
      <c r="W915" t="s">
        <v>66</v>
      </c>
      <c r="X915">
        <v>835203</v>
      </c>
      <c r="Y915">
        <v>91872.33</v>
      </c>
      <c r="Z915">
        <v>20596.5</v>
      </c>
      <c r="AA915">
        <v>2265.62</v>
      </c>
      <c r="AB915">
        <v>927075.33</v>
      </c>
      <c r="AC915">
        <v>3</v>
      </c>
      <c r="AD915" t="s">
        <v>82</v>
      </c>
      <c r="AE915">
        <v>3</v>
      </c>
      <c r="AF915" t="s">
        <v>495</v>
      </c>
      <c r="AG915">
        <f>IFERROR(VLOOKUP(AF915,[1]STOK!J:O,6,0),"")</f>
        <v>24</v>
      </c>
      <c r="AH915" s="2">
        <f t="shared" si="28"/>
        <v>0.125</v>
      </c>
      <c r="AI915" t="s">
        <v>495</v>
      </c>
      <c r="AJ915" t="s">
        <v>496</v>
      </c>
      <c r="AK915" t="s">
        <v>497</v>
      </c>
      <c r="AL915" t="s">
        <v>86</v>
      </c>
      <c r="AM915">
        <v>7659</v>
      </c>
      <c r="AN915">
        <f t="shared" si="29"/>
        <v>7620.706666666666</v>
      </c>
      <c r="AO915" t="s">
        <v>66</v>
      </c>
      <c r="AP915">
        <v>0.5</v>
      </c>
      <c r="AQ915" t="s">
        <v>66</v>
      </c>
      <c r="AR915">
        <v>0</v>
      </c>
      <c r="AS915" t="s">
        <v>66</v>
      </c>
      <c r="AT915">
        <v>0</v>
      </c>
      <c r="AU915" t="s">
        <v>66</v>
      </c>
      <c r="AV915">
        <v>0</v>
      </c>
      <c r="AW915" t="s">
        <v>66</v>
      </c>
      <c r="AX915">
        <v>0</v>
      </c>
      <c r="AY915" t="s">
        <v>66</v>
      </c>
      <c r="AZ915">
        <v>0</v>
      </c>
      <c r="BA915" t="s">
        <v>66</v>
      </c>
      <c r="BB915">
        <v>0</v>
      </c>
      <c r="BC915">
        <v>0</v>
      </c>
      <c r="BD915">
        <v>22862.12</v>
      </c>
      <c r="BE915">
        <v>6244.2</v>
      </c>
      <c r="BF915">
        <v>0</v>
      </c>
      <c r="BG915" t="s">
        <v>87</v>
      </c>
      <c r="BH915" t="s">
        <v>66</v>
      </c>
      <c r="BI915">
        <v>0</v>
      </c>
      <c r="BJ915" t="s">
        <v>66</v>
      </c>
      <c r="BK915" t="s">
        <v>88</v>
      </c>
      <c r="BL915" t="s">
        <v>547</v>
      </c>
      <c r="BM915" t="s">
        <v>159</v>
      </c>
    </row>
    <row r="916" spans="1:65" x14ac:dyDescent="0.25">
      <c r="A916">
        <v>914</v>
      </c>
      <c r="B916" t="s">
        <v>1257</v>
      </c>
      <c r="C916" t="s">
        <v>66</v>
      </c>
      <c r="D916" s="1">
        <v>46214</v>
      </c>
      <c r="E916" t="s">
        <v>1258</v>
      </c>
      <c r="F916" t="s">
        <v>68</v>
      </c>
      <c r="G916" t="s">
        <v>69</v>
      </c>
      <c r="H916" t="s">
        <v>70</v>
      </c>
      <c r="I916" t="s">
        <v>71</v>
      </c>
      <c r="J916" t="s">
        <v>72</v>
      </c>
      <c r="K916" t="s">
        <v>73</v>
      </c>
      <c r="L916" t="s">
        <v>74</v>
      </c>
      <c r="M916" t="s">
        <v>1259</v>
      </c>
      <c r="N916" t="s">
        <v>111</v>
      </c>
      <c r="O916" t="s">
        <v>1260</v>
      </c>
      <c r="P916" t="s">
        <v>1261</v>
      </c>
      <c r="Q916" t="s">
        <v>1262</v>
      </c>
      <c r="R916" s="1">
        <v>46218</v>
      </c>
      <c r="S916" t="s">
        <v>544</v>
      </c>
      <c r="T916" t="s">
        <v>545</v>
      </c>
      <c r="U916" t="s">
        <v>546</v>
      </c>
      <c r="V916" t="s">
        <v>66</v>
      </c>
      <c r="W916" t="s">
        <v>66</v>
      </c>
      <c r="X916">
        <v>835203</v>
      </c>
      <c r="Y916">
        <v>91872.33</v>
      </c>
      <c r="Z916">
        <v>103281</v>
      </c>
      <c r="AA916">
        <v>11360.91</v>
      </c>
      <c r="AB916">
        <v>927075.33</v>
      </c>
      <c r="AC916">
        <v>6</v>
      </c>
      <c r="AD916" t="s">
        <v>82</v>
      </c>
      <c r="AE916">
        <v>6</v>
      </c>
      <c r="AF916" t="s">
        <v>359</v>
      </c>
      <c r="AG916">
        <f>IFERROR(VLOOKUP(AF916,[1]STOK!J:O,6,0),"")</f>
        <v>12</v>
      </c>
      <c r="AH916" s="2">
        <f t="shared" si="28"/>
        <v>0.5</v>
      </c>
      <c r="AI916" t="s">
        <v>359</v>
      </c>
      <c r="AJ916" t="s">
        <v>360</v>
      </c>
      <c r="AK916" t="s">
        <v>361</v>
      </c>
      <c r="AL916" t="s">
        <v>86</v>
      </c>
      <c r="AM916">
        <v>19203</v>
      </c>
      <c r="AN916">
        <f t="shared" si="29"/>
        <v>19106.985000000001</v>
      </c>
      <c r="AO916" t="s">
        <v>66</v>
      </c>
      <c r="AP916">
        <v>0.5</v>
      </c>
      <c r="AQ916" t="s">
        <v>66</v>
      </c>
      <c r="AR916">
        <v>0</v>
      </c>
      <c r="AS916" t="s">
        <v>66</v>
      </c>
      <c r="AT916">
        <v>0</v>
      </c>
      <c r="AU916" t="s">
        <v>66</v>
      </c>
      <c r="AV916">
        <v>0</v>
      </c>
      <c r="AW916" t="s">
        <v>66</v>
      </c>
      <c r="AX916">
        <v>0</v>
      </c>
      <c r="AY916" t="s">
        <v>66</v>
      </c>
      <c r="AZ916">
        <v>0</v>
      </c>
      <c r="BA916" t="s">
        <v>66</v>
      </c>
      <c r="BB916">
        <v>0</v>
      </c>
      <c r="BC916">
        <v>0</v>
      </c>
      <c r="BD916">
        <v>114641.91</v>
      </c>
      <c r="BE916">
        <v>15641.37</v>
      </c>
      <c r="BF916">
        <v>0</v>
      </c>
      <c r="BG916" t="s">
        <v>87</v>
      </c>
      <c r="BH916" t="s">
        <v>66</v>
      </c>
      <c r="BI916">
        <v>0</v>
      </c>
      <c r="BJ916" t="s">
        <v>66</v>
      </c>
      <c r="BK916" t="s">
        <v>88</v>
      </c>
      <c r="BL916" t="s">
        <v>547</v>
      </c>
      <c r="BM916" t="s">
        <v>159</v>
      </c>
    </row>
    <row r="917" spans="1:65" x14ac:dyDescent="0.25">
      <c r="A917">
        <v>915</v>
      </c>
      <c r="B917" t="s">
        <v>1257</v>
      </c>
      <c r="C917" t="s">
        <v>66</v>
      </c>
      <c r="D917" s="1">
        <v>46214</v>
      </c>
      <c r="E917" t="s">
        <v>1258</v>
      </c>
      <c r="F917" t="s">
        <v>68</v>
      </c>
      <c r="G917" t="s">
        <v>69</v>
      </c>
      <c r="H917" t="s">
        <v>70</v>
      </c>
      <c r="I917" t="s">
        <v>71</v>
      </c>
      <c r="J917" t="s">
        <v>72</v>
      </c>
      <c r="K917" t="s">
        <v>73</v>
      </c>
      <c r="L917" t="s">
        <v>74</v>
      </c>
      <c r="M917" t="s">
        <v>1259</v>
      </c>
      <c r="N917" t="s">
        <v>111</v>
      </c>
      <c r="O917" t="s">
        <v>1260</v>
      </c>
      <c r="P917" t="s">
        <v>1261</v>
      </c>
      <c r="Q917" t="s">
        <v>1262</v>
      </c>
      <c r="R917" s="1">
        <v>46218</v>
      </c>
      <c r="S917" t="s">
        <v>544</v>
      </c>
      <c r="T917" t="s">
        <v>545</v>
      </c>
      <c r="U917" t="s">
        <v>546</v>
      </c>
      <c r="V917" t="s">
        <v>66</v>
      </c>
      <c r="W917" t="s">
        <v>66</v>
      </c>
      <c r="X917">
        <v>835203</v>
      </c>
      <c r="Y917">
        <v>91872.33</v>
      </c>
      <c r="Z917">
        <v>119400</v>
      </c>
      <c r="AA917">
        <v>13134</v>
      </c>
      <c r="AB917">
        <v>927075.33</v>
      </c>
      <c r="AC917">
        <v>6</v>
      </c>
      <c r="AD917" t="s">
        <v>82</v>
      </c>
      <c r="AE917">
        <v>6</v>
      </c>
      <c r="AF917" t="s">
        <v>290</v>
      </c>
      <c r="AG917">
        <f>IFERROR(VLOOKUP(AF917,[1]STOK!J:O,6,0),"")</f>
        <v>12</v>
      </c>
      <c r="AH917" s="2">
        <f t="shared" si="28"/>
        <v>0.5</v>
      </c>
      <c r="AI917" t="s">
        <v>290</v>
      </c>
      <c r="AJ917" t="s">
        <v>291</v>
      </c>
      <c r="AK917" t="s">
        <v>292</v>
      </c>
      <c r="AL917" t="s">
        <v>86</v>
      </c>
      <c r="AM917">
        <v>22200</v>
      </c>
      <c r="AN917">
        <f t="shared" si="29"/>
        <v>22089</v>
      </c>
      <c r="AO917" t="s">
        <v>66</v>
      </c>
      <c r="AP917">
        <v>0.5</v>
      </c>
      <c r="AQ917" t="s">
        <v>66</v>
      </c>
      <c r="AR917">
        <v>0</v>
      </c>
      <c r="AS917" t="s">
        <v>66</v>
      </c>
      <c r="AT917">
        <v>0</v>
      </c>
      <c r="AU917" t="s">
        <v>66</v>
      </c>
      <c r="AV917">
        <v>0</v>
      </c>
      <c r="AW917" t="s">
        <v>66</v>
      </c>
      <c r="AX917">
        <v>0</v>
      </c>
      <c r="AY917" t="s">
        <v>66</v>
      </c>
      <c r="AZ917">
        <v>0</v>
      </c>
      <c r="BA917" t="s">
        <v>66</v>
      </c>
      <c r="BB917">
        <v>0</v>
      </c>
      <c r="BC917">
        <v>0</v>
      </c>
      <c r="BD917">
        <v>132534</v>
      </c>
      <c r="BE917">
        <v>18103.560000000001</v>
      </c>
      <c r="BF917">
        <v>0</v>
      </c>
      <c r="BG917" t="s">
        <v>87</v>
      </c>
      <c r="BH917" t="s">
        <v>66</v>
      </c>
      <c r="BI917">
        <v>0</v>
      </c>
      <c r="BJ917" t="s">
        <v>66</v>
      </c>
      <c r="BK917" t="s">
        <v>88</v>
      </c>
      <c r="BL917" t="s">
        <v>547</v>
      </c>
      <c r="BM917" t="s">
        <v>159</v>
      </c>
    </row>
    <row r="918" spans="1:65" x14ac:dyDescent="0.25">
      <c r="A918">
        <v>916</v>
      </c>
      <c r="B918" t="s">
        <v>1257</v>
      </c>
      <c r="C918" t="s">
        <v>66</v>
      </c>
      <c r="D918" s="1">
        <v>46214</v>
      </c>
      <c r="E918" t="s">
        <v>1258</v>
      </c>
      <c r="F918" t="s">
        <v>68</v>
      </c>
      <c r="G918" t="s">
        <v>69</v>
      </c>
      <c r="H918" t="s">
        <v>70</v>
      </c>
      <c r="I918" t="s">
        <v>71</v>
      </c>
      <c r="J918" t="s">
        <v>72</v>
      </c>
      <c r="K918" t="s">
        <v>73</v>
      </c>
      <c r="L918" t="s">
        <v>74</v>
      </c>
      <c r="M918" t="s">
        <v>1259</v>
      </c>
      <c r="N918" t="s">
        <v>111</v>
      </c>
      <c r="O918" t="s">
        <v>1260</v>
      </c>
      <c r="P918" t="s">
        <v>1261</v>
      </c>
      <c r="Q918" t="s">
        <v>1262</v>
      </c>
      <c r="R918" s="1">
        <v>46218</v>
      </c>
      <c r="S918" t="s">
        <v>544</v>
      </c>
      <c r="T918" t="s">
        <v>545</v>
      </c>
      <c r="U918" t="s">
        <v>546</v>
      </c>
      <c r="V918" t="s">
        <v>66</v>
      </c>
      <c r="W918" t="s">
        <v>66</v>
      </c>
      <c r="X918">
        <v>835203</v>
      </c>
      <c r="Y918">
        <v>91872.33</v>
      </c>
      <c r="Z918">
        <v>85968</v>
      </c>
      <c r="AA918">
        <v>9456.48</v>
      </c>
      <c r="AB918">
        <v>927075.33</v>
      </c>
      <c r="AC918">
        <v>6</v>
      </c>
      <c r="AD918" t="s">
        <v>82</v>
      </c>
      <c r="AE918">
        <v>6</v>
      </c>
      <c r="AF918" t="s">
        <v>141</v>
      </c>
      <c r="AG918">
        <f>IFERROR(VLOOKUP(AF918,[1]STOK!J:O,6,0),"")</f>
        <v>12</v>
      </c>
      <c r="AH918" s="2">
        <f t="shared" si="28"/>
        <v>0.5</v>
      </c>
      <c r="AI918" t="s">
        <v>141</v>
      </c>
      <c r="AJ918" t="s">
        <v>142</v>
      </c>
      <c r="AK918" t="s">
        <v>143</v>
      </c>
      <c r="AL918" t="s">
        <v>86</v>
      </c>
      <c r="AM918">
        <v>15984</v>
      </c>
      <c r="AN918">
        <f t="shared" si="29"/>
        <v>15904.08</v>
      </c>
      <c r="AO918" t="s">
        <v>66</v>
      </c>
      <c r="AP918">
        <v>0.5</v>
      </c>
      <c r="AQ918" t="s">
        <v>66</v>
      </c>
      <c r="AR918">
        <v>0</v>
      </c>
      <c r="AS918" t="s">
        <v>66</v>
      </c>
      <c r="AT918">
        <v>0</v>
      </c>
      <c r="AU918" t="s">
        <v>66</v>
      </c>
      <c r="AV918">
        <v>0</v>
      </c>
      <c r="AW918" t="s">
        <v>66</v>
      </c>
      <c r="AX918">
        <v>0</v>
      </c>
      <c r="AY918" t="s">
        <v>66</v>
      </c>
      <c r="AZ918">
        <v>0</v>
      </c>
      <c r="BA918" t="s">
        <v>66</v>
      </c>
      <c r="BB918">
        <v>0</v>
      </c>
      <c r="BC918">
        <v>0</v>
      </c>
      <c r="BD918">
        <v>95424.48</v>
      </c>
      <c r="BE918">
        <v>13031.69</v>
      </c>
      <c r="BF918">
        <v>0</v>
      </c>
      <c r="BG918" t="s">
        <v>87</v>
      </c>
      <c r="BH918" t="s">
        <v>66</v>
      </c>
      <c r="BI918">
        <v>0</v>
      </c>
      <c r="BJ918" t="s">
        <v>66</v>
      </c>
      <c r="BK918" t="s">
        <v>88</v>
      </c>
      <c r="BL918" t="s">
        <v>547</v>
      </c>
      <c r="BM918" t="s">
        <v>159</v>
      </c>
    </row>
    <row r="919" spans="1:65" x14ac:dyDescent="0.25">
      <c r="A919">
        <v>917</v>
      </c>
      <c r="B919" t="s">
        <v>1257</v>
      </c>
      <c r="C919" t="s">
        <v>66</v>
      </c>
      <c r="D919" s="1">
        <v>46214</v>
      </c>
      <c r="E919" t="s">
        <v>1258</v>
      </c>
      <c r="F919" t="s">
        <v>68</v>
      </c>
      <c r="G919" t="s">
        <v>69</v>
      </c>
      <c r="H919" t="s">
        <v>70</v>
      </c>
      <c r="I919" t="s">
        <v>71</v>
      </c>
      <c r="J919" t="s">
        <v>72</v>
      </c>
      <c r="K919" t="s">
        <v>73</v>
      </c>
      <c r="L919" t="s">
        <v>74</v>
      </c>
      <c r="M919" t="s">
        <v>1259</v>
      </c>
      <c r="N919" t="s">
        <v>111</v>
      </c>
      <c r="O919" t="s">
        <v>1260</v>
      </c>
      <c r="P919" t="s">
        <v>1261</v>
      </c>
      <c r="Q919" t="s">
        <v>1262</v>
      </c>
      <c r="R919" s="1">
        <v>46218</v>
      </c>
      <c r="S919" t="s">
        <v>544</v>
      </c>
      <c r="T919" t="s">
        <v>545</v>
      </c>
      <c r="U919" t="s">
        <v>546</v>
      </c>
      <c r="V919" t="s">
        <v>66</v>
      </c>
      <c r="W919" t="s">
        <v>66</v>
      </c>
      <c r="X919">
        <v>835203</v>
      </c>
      <c r="Y919">
        <v>91872.33</v>
      </c>
      <c r="Z919">
        <v>42984</v>
      </c>
      <c r="AA919">
        <v>4728.24</v>
      </c>
      <c r="AB919">
        <v>927075.33</v>
      </c>
      <c r="AC919">
        <v>3</v>
      </c>
      <c r="AD919" t="s">
        <v>82</v>
      </c>
      <c r="AE919">
        <v>3</v>
      </c>
      <c r="AF919" t="s">
        <v>213</v>
      </c>
      <c r="AG919">
        <f>IFERROR(VLOOKUP(AF919,[1]STOK!J:O,6,0),"")</f>
        <v>12</v>
      </c>
      <c r="AH919" s="2">
        <f t="shared" si="28"/>
        <v>0.25</v>
      </c>
      <c r="AI919" t="s">
        <v>213</v>
      </c>
      <c r="AJ919" t="s">
        <v>214</v>
      </c>
      <c r="AK919" t="s">
        <v>215</v>
      </c>
      <c r="AL919" t="s">
        <v>86</v>
      </c>
      <c r="AM919">
        <v>15984</v>
      </c>
      <c r="AN919">
        <f t="shared" si="29"/>
        <v>15904.08</v>
      </c>
      <c r="AO919" t="s">
        <v>66</v>
      </c>
      <c r="AP919">
        <v>0.5</v>
      </c>
      <c r="AQ919" t="s">
        <v>66</v>
      </c>
      <c r="AR919">
        <v>0</v>
      </c>
      <c r="AS919" t="s">
        <v>66</v>
      </c>
      <c r="AT919">
        <v>0</v>
      </c>
      <c r="AU919" t="s">
        <v>66</v>
      </c>
      <c r="AV919">
        <v>0</v>
      </c>
      <c r="AW919" t="s">
        <v>66</v>
      </c>
      <c r="AX919">
        <v>0</v>
      </c>
      <c r="AY919" t="s">
        <v>66</v>
      </c>
      <c r="AZ919">
        <v>0</v>
      </c>
      <c r="BA919" t="s">
        <v>66</v>
      </c>
      <c r="BB919">
        <v>0</v>
      </c>
      <c r="BC919">
        <v>0</v>
      </c>
      <c r="BD919">
        <v>47712.24</v>
      </c>
      <c r="BE919">
        <v>13008.41</v>
      </c>
      <c r="BF919">
        <v>0</v>
      </c>
      <c r="BG919" t="s">
        <v>87</v>
      </c>
      <c r="BH919" t="s">
        <v>66</v>
      </c>
      <c r="BI919">
        <v>0</v>
      </c>
      <c r="BJ919" t="s">
        <v>66</v>
      </c>
      <c r="BK919" t="s">
        <v>88</v>
      </c>
      <c r="BL919" t="s">
        <v>547</v>
      </c>
      <c r="BM919" t="s">
        <v>159</v>
      </c>
    </row>
    <row r="920" spans="1:65" x14ac:dyDescent="0.25">
      <c r="A920">
        <v>918</v>
      </c>
      <c r="B920" t="s">
        <v>1266</v>
      </c>
      <c r="C920" t="s">
        <v>66</v>
      </c>
      <c r="D920" s="1">
        <v>46214</v>
      </c>
      <c r="E920" t="s">
        <v>1267</v>
      </c>
      <c r="F920" t="s">
        <v>1268</v>
      </c>
      <c r="G920" t="s">
        <v>69</v>
      </c>
      <c r="H920" t="s">
        <v>70</v>
      </c>
      <c r="I920" t="s">
        <v>71</v>
      </c>
      <c r="J920" t="s">
        <v>72</v>
      </c>
      <c r="K920" t="s">
        <v>73</v>
      </c>
      <c r="L920" t="s">
        <v>74</v>
      </c>
      <c r="M920" t="s">
        <v>1095</v>
      </c>
      <c r="N920" t="s">
        <v>696</v>
      </c>
      <c r="O920" t="s">
        <v>1096</v>
      </c>
      <c r="P920" t="s">
        <v>1097</v>
      </c>
      <c r="Q920" t="s">
        <v>1269</v>
      </c>
      <c r="R920" s="1">
        <v>46217</v>
      </c>
      <c r="S920" t="s">
        <v>1099</v>
      </c>
      <c r="T920" t="s">
        <v>1100</v>
      </c>
      <c r="U920" t="s">
        <v>1101</v>
      </c>
      <c r="V920" t="s">
        <v>66</v>
      </c>
      <c r="W920" t="s">
        <v>66</v>
      </c>
      <c r="X920">
        <v>201372</v>
      </c>
      <c r="Y920">
        <v>22150.92</v>
      </c>
      <c r="Z920">
        <v>201372</v>
      </c>
      <c r="AA920">
        <v>22150.92</v>
      </c>
      <c r="AB920">
        <v>223522.92</v>
      </c>
      <c r="AC920">
        <v>1</v>
      </c>
      <c r="AD920" t="s">
        <v>134</v>
      </c>
      <c r="AE920">
        <v>12</v>
      </c>
      <c r="AF920" t="s">
        <v>359</v>
      </c>
      <c r="AG920">
        <f>IFERROR(VLOOKUP(AF920,[1]STOK!J:O,6,0),"")</f>
        <v>12</v>
      </c>
      <c r="AH920" s="2">
        <f t="shared" si="28"/>
        <v>1</v>
      </c>
      <c r="AI920" t="s">
        <v>359</v>
      </c>
      <c r="AJ920" t="s">
        <v>360</v>
      </c>
      <c r="AK920" t="s">
        <v>361</v>
      </c>
      <c r="AL920" t="s">
        <v>86</v>
      </c>
      <c r="AM920">
        <v>230436</v>
      </c>
      <c r="AN920">
        <f t="shared" si="29"/>
        <v>223522.92</v>
      </c>
      <c r="AO920" t="s">
        <v>66</v>
      </c>
      <c r="AP920">
        <v>3</v>
      </c>
      <c r="AQ920" t="s">
        <v>66</v>
      </c>
      <c r="AR920">
        <v>0</v>
      </c>
      <c r="AS920" t="s">
        <v>66</v>
      </c>
      <c r="AT920">
        <v>0</v>
      </c>
      <c r="AU920" t="s">
        <v>66</v>
      </c>
      <c r="AV920">
        <v>0</v>
      </c>
      <c r="AW920" t="s">
        <v>66</v>
      </c>
      <c r="AX920">
        <v>0</v>
      </c>
      <c r="AY920" t="s">
        <v>66</v>
      </c>
      <c r="AZ920">
        <v>0</v>
      </c>
      <c r="BA920" t="s">
        <v>66</v>
      </c>
      <c r="BB920">
        <v>0</v>
      </c>
      <c r="BC920">
        <v>0</v>
      </c>
      <c r="BD920">
        <v>223522.92</v>
      </c>
      <c r="BE920">
        <v>15641.37</v>
      </c>
      <c r="BF920">
        <v>0</v>
      </c>
      <c r="BG920" t="s">
        <v>87</v>
      </c>
      <c r="BH920" t="s">
        <v>66</v>
      </c>
      <c r="BI920">
        <v>0</v>
      </c>
      <c r="BJ920" t="s">
        <v>66</v>
      </c>
      <c r="BK920" t="s">
        <v>88</v>
      </c>
      <c r="BL920" t="s">
        <v>66</v>
      </c>
      <c r="BM920" t="s">
        <v>159</v>
      </c>
    </row>
    <row r="921" spans="1:65" x14ac:dyDescent="0.25">
      <c r="A921">
        <v>919</v>
      </c>
      <c r="B921" t="s">
        <v>1270</v>
      </c>
      <c r="C921" t="s">
        <v>68</v>
      </c>
      <c r="D921" s="1">
        <v>46214</v>
      </c>
      <c r="E921" t="s">
        <v>1271</v>
      </c>
      <c r="F921" t="s">
        <v>68</v>
      </c>
      <c r="G921" t="s">
        <v>69</v>
      </c>
      <c r="H921" t="s">
        <v>70</v>
      </c>
      <c r="I921" t="s">
        <v>71</v>
      </c>
      <c r="J921" t="s">
        <v>72</v>
      </c>
      <c r="K921" t="s">
        <v>73</v>
      </c>
      <c r="L921" t="s">
        <v>74</v>
      </c>
      <c r="M921" t="s">
        <v>1272</v>
      </c>
      <c r="N921" t="s">
        <v>111</v>
      </c>
      <c r="O921" t="s">
        <v>1273</v>
      </c>
      <c r="P921" t="s">
        <v>1274</v>
      </c>
      <c r="Q921" t="s">
        <v>1275</v>
      </c>
      <c r="R921" s="1">
        <v>46214</v>
      </c>
      <c r="S921" t="s">
        <v>1276</v>
      </c>
      <c r="T921" t="s">
        <v>1277</v>
      </c>
      <c r="U921" t="s">
        <v>1278</v>
      </c>
      <c r="V921" t="s">
        <v>66</v>
      </c>
      <c r="W921" t="s">
        <v>66</v>
      </c>
      <c r="X921">
        <v>1696761</v>
      </c>
      <c r="Y921">
        <v>186643.71</v>
      </c>
      <c r="Z921">
        <v>21978</v>
      </c>
      <c r="AA921">
        <v>2417.58</v>
      </c>
      <c r="AB921">
        <v>1883404.71</v>
      </c>
      <c r="AC921">
        <v>3</v>
      </c>
      <c r="AD921" t="s">
        <v>82</v>
      </c>
      <c r="AE921">
        <v>3</v>
      </c>
      <c r="AF921" t="s">
        <v>415</v>
      </c>
      <c r="AG921">
        <f>IFERROR(VLOOKUP(AF921,[1]STOK!J:O,6,0),"")</f>
        <v>24</v>
      </c>
      <c r="AH921" s="2">
        <f t="shared" si="28"/>
        <v>0.125</v>
      </c>
      <c r="AI921" t="s">
        <v>415</v>
      </c>
      <c r="AJ921" t="s">
        <v>416</v>
      </c>
      <c r="AK921" t="s">
        <v>417</v>
      </c>
      <c r="AL921" t="s">
        <v>86</v>
      </c>
      <c r="AM921">
        <v>8214</v>
      </c>
      <c r="AN921">
        <f t="shared" si="29"/>
        <v>8131.8600000000006</v>
      </c>
      <c r="AO921" t="s">
        <v>66</v>
      </c>
      <c r="AP921">
        <v>1</v>
      </c>
      <c r="AQ921" t="s">
        <v>66</v>
      </c>
      <c r="AR921">
        <v>0</v>
      </c>
      <c r="AS921" t="s">
        <v>66</v>
      </c>
      <c r="AT921">
        <v>0</v>
      </c>
      <c r="AU921" t="s">
        <v>66</v>
      </c>
      <c r="AV921">
        <v>0</v>
      </c>
      <c r="AW921" t="s">
        <v>66</v>
      </c>
      <c r="AX921">
        <v>0</v>
      </c>
      <c r="AY921" t="s">
        <v>66</v>
      </c>
      <c r="AZ921">
        <v>0</v>
      </c>
      <c r="BA921" t="s">
        <v>66</v>
      </c>
      <c r="BB921">
        <v>0</v>
      </c>
      <c r="BC921">
        <v>0</v>
      </c>
      <c r="BD921">
        <v>24395.58</v>
      </c>
      <c r="BE921">
        <v>6673.67</v>
      </c>
      <c r="BF921">
        <v>0</v>
      </c>
      <c r="BG921" t="s">
        <v>87</v>
      </c>
      <c r="BH921" t="s">
        <v>66</v>
      </c>
      <c r="BI921">
        <v>0</v>
      </c>
      <c r="BJ921" t="s">
        <v>66</v>
      </c>
      <c r="BK921" t="s">
        <v>88</v>
      </c>
      <c r="BL921" t="s">
        <v>66</v>
      </c>
      <c r="BM921" t="s">
        <v>159</v>
      </c>
    </row>
    <row r="922" spans="1:65" x14ac:dyDescent="0.25">
      <c r="A922">
        <v>920</v>
      </c>
      <c r="B922" t="s">
        <v>1270</v>
      </c>
      <c r="C922" t="s">
        <v>68</v>
      </c>
      <c r="D922" s="1">
        <v>46214</v>
      </c>
      <c r="E922" t="s">
        <v>1271</v>
      </c>
      <c r="F922" t="s">
        <v>68</v>
      </c>
      <c r="G922" t="s">
        <v>69</v>
      </c>
      <c r="H922" t="s">
        <v>70</v>
      </c>
      <c r="I922" t="s">
        <v>71</v>
      </c>
      <c r="J922" t="s">
        <v>72</v>
      </c>
      <c r="K922" t="s">
        <v>73</v>
      </c>
      <c r="L922" t="s">
        <v>74</v>
      </c>
      <c r="M922" t="s">
        <v>1272</v>
      </c>
      <c r="N922" t="s">
        <v>111</v>
      </c>
      <c r="O922" t="s">
        <v>1273</v>
      </c>
      <c r="P922" t="s">
        <v>1274</v>
      </c>
      <c r="Q922" t="s">
        <v>1275</v>
      </c>
      <c r="R922" s="1">
        <v>46214</v>
      </c>
      <c r="S922" t="s">
        <v>1276</v>
      </c>
      <c r="T922" t="s">
        <v>1277</v>
      </c>
      <c r="U922" t="s">
        <v>1278</v>
      </c>
      <c r="V922" t="s">
        <v>66</v>
      </c>
      <c r="W922" t="s">
        <v>66</v>
      </c>
      <c r="X922">
        <v>1696761</v>
      </c>
      <c r="Y922">
        <v>186643.71</v>
      </c>
      <c r="Z922">
        <v>23463</v>
      </c>
      <c r="AA922">
        <v>2580.9299999999998</v>
      </c>
      <c r="AB922">
        <v>1883404.71</v>
      </c>
      <c r="AC922">
        <v>3</v>
      </c>
      <c r="AD922" t="s">
        <v>82</v>
      </c>
      <c r="AE922">
        <v>3</v>
      </c>
      <c r="AF922" t="s">
        <v>199</v>
      </c>
      <c r="AG922">
        <f>IFERROR(VLOOKUP(AF922,[1]STOK!J:O,6,0),"")</f>
        <v>24</v>
      </c>
      <c r="AH922" s="2">
        <f t="shared" si="28"/>
        <v>0.125</v>
      </c>
      <c r="AI922" t="s">
        <v>199</v>
      </c>
      <c r="AJ922" t="s">
        <v>200</v>
      </c>
      <c r="AK922" t="s">
        <v>201</v>
      </c>
      <c r="AL922" t="s">
        <v>86</v>
      </c>
      <c r="AM922">
        <v>8769</v>
      </c>
      <c r="AN922">
        <f t="shared" si="29"/>
        <v>8681.31</v>
      </c>
      <c r="AO922" t="s">
        <v>66</v>
      </c>
      <c r="AP922">
        <v>1</v>
      </c>
      <c r="AQ922" t="s">
        <v>66</v>
      </c>
      <c r="AR922">
        <v>0</v>
      </c>
      <c r="AS922" t="s">
        <v>66</v>
      </c>
      <c r="AT922">
        <v>0</v>
      </c>
      <c r="AU922" t="s">
        <v>66</v>
      </c>
      <c r="AV922">
        <v>0</v>
      </c>
      <c r="AW922" t="s">
        <v>66</v>
      </c>
      <c r="AX922">
        <v>0</v>
      </c>
      <c r="AY922" t="s">
        <v>66</v>
      </c>
      <c r="AZ922">
        <v>0</v>
      </c>
      <c r="BA922" t="s">
        <v>66</v>
      </c>
      <c r="BB922">
        <v>0</v>
      </c>
      <c r="BC922">
        <v>0</v>
      </c>
      <c r="BD922">
        <v>26043.93</v>
      </c>
      <c r="BE922">
        <v>7146.59</v>
      </c>
      <c r="BF922">
        <v>0</v>
      </c>
      <c r="BG922" t="s">
        <v>87</v>
      </c>
      <c r="BH922" t="s">
        <v>66</v>
      </c>
      <c r="BI922">
        <v>0</v>
      </c>
      <c r="BJ922" t="s">
        <v>66</v>
      </c>
      <c r="BK922" t="s">
        <v>88</v>
      </c>
      <c r="BL922" t="s">
        <v>66</v>
      </c>
      <c r="BM922" t="s">
        <v>159</v>
      </c>
    </row>
    <row r="923" spans="1:65" x14ac:dyDescent="0.25">
      <c r="A923">
        <v>921</v>
      </c>
      <c r="B923" t="s">
        <v>1270</v>
      </c>
      <c r="C923" t="s">
        <v>68</v>
      </c>
      <c r="D923" s="1">
        <v>46214</v>
      </c>
      <c r="E923" t="s">
        <v>1271</v>
      </c>
      <c r="F923" t="s">
        <v>68</v>
      </c>
      <c r="G923" t="s">
        <v>69</v>
      </c>
      <c r="H923" t="s">
        <v>70</v>
      </c>
      <c r="I923" t="s">
        <v>71</v>
      </c>
      <c r="J923" t="s">
        <v>72</v>
      </c>
      <c r="K923" t="s">
        <v>73</v>
      </c>
      <c r="L923" t="s">
        <v>74</v>
      </c>
      <c r="M923" t="s">
        <v>1272</v>
      </c>
      <c r="N923" t="s">
        <v>111</v>
      </c>
      <c r="O923" t="s">
        <v>1273</v>
      </c>
      <c r="P923" t="s">
        <v>1274</v>
      </c>
      <c r="Q923" t="s">
        <v>1275</v>
      </c>
      <c r="R923" s="1">
        <v>46214</v>
      </c>
      <c r="S923" t="s">
        <v>1276</v>
      </c>
      <c r="T923" t="s">
        <v>1277</v>
      </c>
      <c r="U923" t="s">
        <v>1278</v>
      </c>
      <c r="V923" t="s">
        <v>66</v>
      </c>
      <c r="W923" t="s">
        <v>66</v>
      </c>
      <c r="X923">
        <v>1696761</v>
      </c>
      <c r="Y923">
        <v>186643.71</v>
      </c>
      <c r="Z923">
        <v>230472</v>
      </c>
      <c r="AA923">
        <v>25351.919999999998</v>
      </c>
      <c r="AB923">
        <v>1883404.71</v>
      </c>
      <c r="AC923">
        <v>12</v>
      </c>
      <c r="AD923" t="s">
        <v>82</v>
      </c>
      <c r="AE923">
        <v>12</v>
      </c>
      <c r="AF923" t="s">
        <v>284</v>
      </c>
      <c r="AG923">
        <f>IFERROR(VLOOKUP(AF923,[1]STOK!J:O,6,0),"")</f>
        <v>12</v>
      </c>
      <c r="AH923" s="2">
        <f t="shared" si="28"/>
        <v>1</v>
      </c>
      <c r="AI923" t="s">
        <v>284</v>
      </c>
      <c r="AJ923" t="s">
        <v>285</v>
      </c>
      <c r="AK923" t="s">
        <v>286</v>
      </c>
      <c r="AL923" t="s">
        <v>86</v>
      </c>
      <c r="AM923">
        <v>21534</v>
      </c>
      <c r="AN923">
        <f t="shared" si="29"/>
        <v>21318.66</v>
      </c>
      <c r="AO923" t="s">
        <v>66</v>
      </c>
      <c r="AP923">
        <v>1</v>
      </c>
      <c r="AQ923" t="s">
        <v>66</v>
      </c>
      <c r="AR923">
        <v>0</v>
      </c>
      <c r="AS923" t="s">
        <v>66</v>
      </c>
      <c r="AT923">
        <v>0</v>
      </c>
      <c r="AU923" t="s">
        <v>66</v>
      </c>
      <c r="AV923">
        <v>0</v>
      </c>
      <c r="AW923" t="s">
        <v>66</v>
      </c>
      <c r="AX923">
        <v>0</v>
      </c>
      <c r="AY923" t="s">
        <v>66</v>
      </c>
      <c r="AZ923">
        <v>0</v>
      </c>
      <c r="BA923" t="s">
        <v>66</v>
      </c>
      <c r="BB923">
        <v>0</v>
      </c>
      <c r="BC923">
        <v>0</v>
      </c>
      <c r="BD923">
        <v>255823.92</v>
      </c>
      <c r="BE923">
        <v>17475.419999999998</v>
      </c>
      <c r="BF923">
        <v>0</v>
      </c>
      <c r="BG923" t="s">
        <v>87</v>
      </c>
      <c r="BH923" t="s">
        <v>66</v>
      </c>
      <c r="BI923">
        <v>0</v>
      </c>
      <c r="BJ923" t="s">
        <v>66</v>
      </c>
      <c r="BK923" t="s">
        <v>88</v>
      </c>
      <c r="BL923" t="s">
        <v>66</v>
      </c>
      <c r="BM923" t="s">
        <v>159</v>
      </c>
    </row>
    <row r="924" spans="1:65" x14ac:dyDescent="0.25">
      <c r="A924">
        <v>922</v>
      </c>
      <c r="B924" t="s">
        <v>1270</v>
      </c>
      <c r="C924" t="s">
        <v>68</v>
      </c>
      <c r="D924" s="1">
        <v>46214</v>
      </c>
      <c r="E924" t="s">
        <v>1271</v>
      </c>
      <c r="F924" t="s">
        <v>68</v>
      </c>
      <c r="G924" t="s">
        <v>69</v>
      </c>
      <c r="H924" t="s">
        <v>70</v>
      </c>
      <c r="I924" t="s">
        <v>71</v>
      </c>
      <c r="J924" t="s">
        <v>72</v>
      </c>
      <c r="K924" t="s">
        <v>73</v>
      </c>
      <c r="L924" t="s">
        <v>74</v>
      </c>
      <c r="M924" t="s">
        <v>1272</v>
      </c>
      <c r="N924" t="s">
        <v>111</v>
      </c>
      <c r="O924" t="s">
        <v>1273</v>
      </c>
      <c r="P924" t="s">
        <v>1274</v>
      </c>
      <c r="Q924" t="s">
        <v>1275</v>
      </c>
      <c r="R924" s="1">
        <v>46214</v>
      </c>
      <c r="S924" t="s">
        <v>1276</v>
      </c>
      <c r="T924" t="s">
        <v>1277</v>
      </c>
      <c r="U924" t="s">
        <v>1278</v>
      </c>
      <c r="V924" t="s">
        <v>66</v>
      </c>
      <c r="W924" t="s">
        <v>66</v>
      </c>
      <c r="X924">
        <v>1696761</v>
      </c>
      <c r="Y924">
        <v>186643.71</v>
      </c>
      <c r="Z924">
        <v>230472</v>
      </c>
      <c r="AA924">
        <v>25351.919999999998</v>
      </c>
      <c r="AB924">
        <v>1883404.71</v>
      </c>
      <c r="AC924">
        <v>12</v>
      </c>
      <c r="AD924" t="s">
        <v>82</v>
      </c>
      <c r="AE924">
        <v>12</v>
      </c>
      <c r="AF924" t="s">
        <v>287</v>
      </c>
      <c r="AG924">
        <f>IFERROR(VLOOKUP(AF924,[1]STOK!J:O,6,0),"")</f>
        <v>12</v>
      </c>
      <c r="AH924" s="2">
        <f t="shared" si="28"/>
        <v>1</v>
      </c>
      <c r="AI924" t="s">
        <v>287</v>
      </c>
      <c r="AJ924" t="s">
        <v>288</v>
      </c>
      <c r="AK924" t="s">
        <v>289</v>
      </c>
      <c r="AL924" t="s">
        <v>86</v>
      </c>
      <c r="AM924">
        <v>21534</v>
      </c>
      <c r="AN924">
        <f t="shared" si="29"/>
        <v>21318.66</v>
      </c>
      <c r="AO924" t="s">
        <v>66</v>
      </c>
      <c r="AP924">
        <v>1</v>
      </c>
      <c r="AQ924" t="s">
        <v>66</v>
      </c>
      <c r="AR924">
        <v>0</v>
      </c>
      <c r="AS924" t="s">
        <v>66</v>
      </c>
      <c r="AT924">
        <v>0</v>
      </c>
      <c r="AU924" t="s">
        <v>66</v>
      </c>
      <c r="AV924">
        <v>0</v>
      </c>
      <c r="AW924" t="s">
        <v>66</v>
      </c>
      <c r="AX924">
        <v>0</v>
      </c>
      <c r="AY924" t="s">
        <v>66</v>
      </c>
      <c r="AZ924">
        <v>0</v>
      </c>
      <c r="BA924" t="s">
        <v>66</v>
      </c>
      <c r="BB924">
        <v>0</v>
      </c>
      <c r="BC924">
        <v>0</v>
      </c>
      <c r="BD924">
        <v>255823.92</v>
      </c>
      <c r="BE924">
        <v>17453.490000000002</v>
      </c>
      <c r="BF924">
        <v>0</v>
      </c>
      <c r="BG924" t="s">
        <v>87</v>
      </c>
      <c r="BH924" t="s">
        <v>66</v>
      </c>
      <c r="BI924">
        <v>0</v>
      </c>
      <c r="BJ924" t="s">
        <v>66</v>
      </c>
      <c r="BK924" t="s">
        <v>88</v>
      </c>
      <c r="BL924" t="s">
        <v>66</v>
      </c>
      <c r="BM924" t="s">
        <v>159</v>
      </c>
    </row>
    <row r="925" spans="1:65" x14ac:dyDescent="0.25">
      <c r="A925">
        <v>923</v>
      </c>
      <c r="B925" t="s">
        <v>1270</v>
      </c>
      <c r="C925" t="s">
        <v>68</v>
      </c>
      <c r="D925" s="1">
        <v>46214</v>
      </c>
      <c r="E925" t="s">
        <v>1271</v>
      </c>
      <c r="F925" t="s">
        <v>68</v>
      </c>
      <c r="G925" t="s">
        <v>69</v>
      </c>
      <c r="H925" t="s">
        <v>70</v>
      </c>
      <c r="I925" t="s">
        <v>71</v>
      </c>
      <c r="J925" t="s">
        <v>72</v>
      </c>
      <c r="K925" t="s">
        <v>73</v>
      </c>
      <c r="L925" t="s">
        <v>74</v>
      </c>
      <c r="M925" t="s">
        <v>1272</v>
      </c>
      <c r="N925" t="s">
        <v>111</v>
      </c>
      <c r="O925" t="s">
        <v>1273</v>
      </c>
      <c r="P925" t="s">
        <v>1274</v>
      </c>
      <c r="Q925" t="s">
        <v>1275</v>
      </c>
      <c r="R925" s="1">
        <v>46214</v>
      </c>
      <c r="S925" t="s">
        <v>1276</v>
      </c>
      <c r="T925" t="s">
        <v>1277</v>
      </c>
      <c r="U925" t="s">
        <v>1278</v>
      </c>
      <c r="V925" t="s">
        <v>66</v>
      </c>
      <c r="W925" t="s">
        <v>66</v>
      </c>
      <c r="X925">
        <v>1696761</v>
      </c>
      <c r="Y925">
        <v>186643.71</v>
      </c>
      <c r="Z925">
        <v>43659</v>
      </c>
      <c r="AA925">
        <v>4802.49</v>
      </c>
      <c r="AB925">
        <v>1883404.71</v>
      </c>
      <c r="AC925">
        <v>3</v>
      </c>
      <c r="AD925" t="s">
        <v>82</v>
      </c>
      <c r="AE925">
        <v>3</v>
      </c>
      <c r="AF925" t="s">
        <v>473</v>
      </c>
      <c r="AG925">
        <f>IFERROR(VLOOKUP(AF925,[1]STOK!J:O,6,0),"")</f>
        <v>12</v>
      </c>
      <c r="AH925" s="2">
        <f t="shared" si="28"/>
        <v>0.25</v>
      </c>
      <c r="AI925" t="s">
        <v>473</v>
      </c>
      <c r="AJ925" t="s">
        <v>474</v>
      </c>
      <c r="AK925" t="s">
        <v>475</v>
      </c>
      <c r="AL925" t="s">
        <v>86</v>
      </c>
      <c r="AM925">
        <v>16317</v>
      </c>
      <c r="AN925">
        <f t="shared" si="29"/>
        <v>16153.83</v>
      </c>
      <c r="AO925" t="s">
        <v>66</v>
      </c>
      <c r="AP925">
        <v>1</v>
      </c>
      <c r="AQ925" t="s">
        <v>66</v>
      </c>
      <c r="AR925">
        <v>0</v>
      </c>
      <c r="AS925" t="s">
        <v>66</v>
      </c>
      <c r="AT925">
        <v>0</v>
      </c>
      <c r="AU925" t="s">
        <v>66</v>
      </c>
      <c r="AV925">
        <v>0</v>
      </c>
      <c r="AW925" t="s">
        <v>66</v>
      </c>
      <c r="AX925">
        <v>0</v>
      </c>
      <c r="AY925" t="s">
        <v>66</v>
      </c>
      <c r="AZ925">
        <v>0</v>
      </c>
      <c r="BA925" t="s">
        <v>66</v>
      </c>
      <c r="BB925">
        <v>0</v>
      </c>
      <c r="BC925">
        <v>0</v>
      </c>
      <c r="BD925">
        <v>48461.49</v>
      </c>
      <c r="BE925">
        <v>13319.47</v>
      </c>
      <c r="BF925">
        <v>0</v>
      </c>
      <c r="BG925" t="s">
        <v>87</v>
      </c>
      <c r="BH925" t="s">
        <v>66</v>
      </c>
      <c r="BI925">
        <v>0</v>
      </c>
      <c r="BJ925" t="s">
        <v>66</v>
      </c>
      <c r="BK925" t="s">
        <v>88</v>
      </c>
      <c r="BL925" t="s">
        <v>66</v>
      </c>
      <c r="BM925" t="s">
        <v>159</v>
      </c>
    </row>
    <row r="926" spans="1:65" x14ac:dyDescent="0.25">
      <c r="A926">
        <v>924</v>
      </c>
      <c r="B926" t="s">
        <v>1270</v>
      </c>
      <c r="C926" t="s">
        <v>68</v>
      </c>
      <c r="D926" s="1">
        <v>46214</v>
      </c>
      <c r="E926" t="s">
        <v>1271</v>
      </c>
      <c r="F926" t="s">
        <v>68</v>
      </c>
      <c r="G926" t="s">
        <v>69</v>
      </c>
      <c r="H926" t="s">
        <v>70</v>
      </c>
      <c r="I926" t="s">
        <v>71</v>
      </c>
      <c r="J926" t="s">
        <v>72</v>
      </c>
      <c r="K926" t="s">
        <v>73</v>
      </c>
      <c r="L926" t="s">
        <v>74</v>
      </c>
      <c r="M926" t="s">
        <v>1272</v>
      </c>
      <c r="N926" t="s">
        <v>111</v>
      </c>
      <c r="O926" t="s">
        <v>1273</v>
      </c>
      <c r="P926" t="s">
        <v>1274</v>
      </c>
      <c r="Q926" t="s">
        <v>1275</v>
      </c>
      <c r="R926" s="1">
        <v>46214</v>
      </c>
      <c r="S926" t="s">
        <v>1276</v>
      </c>
      <c r="T926" t="s">
        <v>1277</v>
      </c>
      <c r="U926" t="s">
        <v>1278</v>
      </c>
      <c r="V926" t="s">
        <v>66</v>
      </c>
      <c r="W926" t="s">
        <v>66</v>
      </c>
      <c r="X926">
        <v>1696761</v>
      </c>
      <c r="Y926">
        <v>186643.71</v>
      </c>
      <c r="Z926">
        <v>15741</v>
      </c>
      <c r="AA926">
        <v>1731.51</v>
      </c>
      <c r="AB926">
        <v>1883404.71</v>
      </c>
      <c r="AC926">
        <v>3</v>
      </c>
      <c r="AD926" t="s">
        <v>82</v>
      </c>
      <c r="AE926">
        <v>3</v>
      </c>
      <c r="AF926" t="s">
        <v>633</v>
      </c>
      <c r="AG926">
        <f>IFERROR(VLOOKUP(AF926,[1]STOK!J:O,6,0),"")</f>
        <v>24</v>
      </c>
      <c r="AH926" s="2">
        <f t="shared" si="28"/>
        <v>0.125</v>
      </c>
      <c r="AI926" t="s">
        <v>633</v>
      </c>
      <c r="AJ926" t="s">
        <v>634</v>
      </c>
      <c r="AK926" t="s">
        <v>635</v>
      </c>
      <c r="AL926" t="s">
        <v>86</v>
      </c>
      <c r="AM926">
        <v>5883</v>
      </c>
      <c r="AN926">
        <f t="shared" si="29"/>
        <v>5824.1699999999992</v>
      </c>
      <c r="AO926" t="s">
        <v>66</v>
      </c>
      <c r="AP926">
        <v>1</v>
      </c>
      <c r="AQ926" t="s">
        <v>66</v>
      </c>
      <c r="AR926">
        <v>0</v>
      </c>
      <c r="AS926" t="s">
        <v>66</v>
      </c>
      <c r="AT926">
        <v>0</v>
      </c>
      <c r="AU926" t="s">
        <v>66</v>
      </c>
      <c r="AV926">
        <v>0</v>
      </c>
      <c r="AW926" t="s">
        <v>66</v>
      </c>
      <c r="AX926">
        <v>0</v>
      </c>
      <c r="AY926" t="s">
        <v>66</v>
      </c>
      <c r="AZ926">
        <v>0</v>
      </c>
      <c r="BA926" t="s">
        <v>66</v>
      </c>
      <c r="BB926">
        <v>0</v>
      </c>
      <c r="BC926">
        <v>0</v>
      </c>
      <c r="BD926">
        <v>17472.509999999998</v>
      </c>
      <c r="BE926">
        <v>4779.55</v>
      </c>
      <c r="BF926">
        <v>0</v>
      </c>
      <c r="BG926" t="s">
        <v>87</v>
      </c>
      <c r="BH926" t="s">
        <v>66</v>
      </c>
      <c r="BI926">
        <v>0</v>
      </c>
      <c r="BJ926" t="s">
        <v>66</v>
      </c>
      <c r="BK926" t="s">
        <v>88</v>
      </c>
      <c r="BL926" t="s">
        <v>66</v>
      </c>
      <c r="BM926" t="s">
        <v>159</v>
      </c>
    </row>
    <row r="927" spans="1:65" x14ac:dyDescent="0.25">
      <c r="A927">
        <v>925</v>
      </c>
      <c r="B927" t="s">
        <v>1270</v>
      </c>
      <c r="C927" t="s">
        <v>68</v>
      </c>
      <c r="D927" s="1">
        <v>46214</v>
      </c>
      <c r="E927" t="s">
        <v>1271</v>
      </c>
      <c r="F927" t="s">
        <v>68</v>
      </c>
      <c r="G927" t="s">
        <v>69</v>
      </c>
      <c r="H927" t="s">
        <v>70</v>
      </c>
      <c r="I927" t="s">
        <v>71</v>
      </c>
      <c r="J927" t="s">
        <v>72</v>
      </c>
      <c r="K927" t="s">
        <v>73</v>
      </c>
      <c r="L927" t="s">
        <v>74</v>
      </c>
      <c r="M927" t="s">
        <v>1272</v>
      </c>
      <c r="N927" t="s">
        <v>111</v>
      </c>
      <c r="O927" t="s">
        <v>1273</v>
      </c>
      <c r="P927" t="s">
        <v>1274</v>
      </c>
      <c r="Q927" t="s">
        <v>1275</v>
      </c>
      <c r="R927" s="1">
        <v>46214</v>
      </c>
      <c r="S927" t="s">
        <v>1276</v>
      </c>
      <c r="T927" t="s">
        <v>1277</v>
      </c>
      <c r="U927" t="s">
        <v>1278</v>
      </c>
      <c r="V927" t="s">
        <v>66</v>
      </c>
      <c r="W927" t="s">
        <v>66</v>
      </c>
      <c r="X927">
        <v>1696761</v>
      </c>
      <c r="Y927">
        <v>186643.71</v>
      </c>
      <c r="Z927">
        <v>158004</v>
      </c>
      <c r="AA927">
        <v>17380.439999999999</v>
      </c>
      <c r="AB927">
        <v>1883404.71</v>
      </c>
      <c r="AC927">
        <v>12</v>
      </c>
      <c r="AD927" t="s">
        <v>82</v>
      </c>
      <c r="AE927">
        <v>12</v>
      </c>
      <c r="AF927" t="s">
        <v>135</v>
      </c>
      <c r="AG927">
        <f>IFERROR(VLOOKUP(AF927,[1]STOK!J:O,6,0),"")</f>
        <v>12</v>
      </c>
      <c r="AH927" s="2">
        <f t="shared" si="28"/>
        <v>1</v>
      </c>
      <c r="AI927" t="s">
        <v>135</v>
      </c>
      <c r="AJ927" t="s">
        <v>136</v>
      </c>
      <c r="AK927" t="s">
        <v>137</v>
      </c>
      <c r="AL927" t="s">
        <v>86</v>
      </c>
      <c r="AM927">
        <v>14763</v>
      </c>
      <c r="AN927">
        <f t="shared" si="29"/>
        <v>14615.37</v>
      </c>
      <c r="AO927" t="s">
        <v>66</v>
      </c>
      <c r="AP927">
        <v>1</v>
      </c>
      <c r="AQ927" t="s">
        <v>66</v>
      </c>
      <c r="AR927">
        <v>0</v>
      </c>
      <c r="AS927" t="s">
        <v>66</v>
      </c>
      <c r="AT927">
        <v>0</v>
      </c>
      <c r="AU927" t="s">
        <v>66</v>
      </c>
      <c r="AV927">
        <v>0</v>
      </c>
      <c r="AW927" t="s">
        <v>66</v>
      </c>
      <c r="AX927">
        <v>0</v>
      </c>
      <c r="AY927" t="s">
        <v>66</v>
      </c>
      <c r="AZ927">
        <v>0</v>
      </c>
      <c r="BA927" t="s">
        <v>66</v>
      </c>
      <c r="BB927">
        <v>0</v>
      </c>
      <c r="BC927">
        <v>0</v>
      </c>
      <c r="BD927">
        <v>175384.44</v>
      </c>
      <c r="BE927">
        <v>12036.57</v>
      </c>
      <c r="BF927">
        <v>0</v>
      </c>
      <c r="BG927" t="s">
        <v>87</v>
      </c>
      <c r="BH927" t="s">
        <v>66</v>
      </c>
      <c r="BI927">
        <v>0</v>
      </c>
      <c r="BJ927" t="s">
        <v>66</v>
      </c>
      <c r="BK927" t="s">
        <v>88</v>
      </c>
      <c r="BL927" t="s">
        <v>66</v>
      </c>
      <c r="BM927" t="s">
        <v>159</v>
      </c>
    </row>
    <row r="928" spans="1:65" x14ac:dyDescent="0.25">
      <c r="A928">
        <v>926</v>
      </c>
      <c r="B928" t="s">
        <v>1270</v>
      </c>
      <c r="C928" t="s">
        <v>68</v>
      </c>
      <c r="D928" s="1">
        <v>46214</v>
      </c>
      <c r="E928" t="s">
        <v>1271</v>
      </c>
      <c r="F928" t="s">
        <v>68</v>
      </c>
      <c r="G928" t="s">
        <v>69</v>
      </c>
      <c r="H928" t="s">
        <v>70</v>
      </c>
      <c r="I928" t="s">
        <v>71</v>
      </c>
      <c r="J928" t="s">
        <v>72</v>
      </c>
      <c r="K928" t="s">
        <v>73</v>
      </c>
      <c r="L928" t="s">
        <v>74</v>
      </c>
      <c r="M928" t="s">
        <v>1272</v>
      </c>
      <c r="N928" t="s">
        <v>111</v>
      </c>
      <c r="O928" t="s">
        <v>1273</v>
      </c>
      <c r="P928" t="s">
        <v>1274</v>
      </c>
      <c r="Q928" t="s">
        <v>1275</v>
      </c>
      <c r="R928" s="1">
        <v>46214</v>
      </c>
      <c r="S928" t="s">
        <v>1276</v>
      </c>
      <c r="T928" t="s">
        <v>1277</v>
      </c>
      <c r="U928" t="s">
        <v>1278</v>
      </c>
      <c r="V928" t="s">
        <v>66</v>
      </c>
      <c r="W928" t="s">
        <v>66</v>
      </c>
      <c r="X928">
        <v>1696761</v>
      </c>
      <c r="Y928">
        <v>186643.71</v>
      </c>
      <c r="Z928">
        <v>801900</v>
      </c>
      <c r="AA928">
        <v>88209</v>
      </c>
      <c r="AB928">
        <v>1883404.71</v>
      </c>
      <c r="AC928">
        <v>12</v>
      </c>
      <c r="AD928" t="s">
        <v>82</v>
      </c>
      <c r="AE928">
        <v>12</v>
      </c>
      <c r="AF928" t="s">
        <v>312</v>
      </c>
      <c r="AG928">
        <f>IFERROR(VLOOKUP(AF928,[1]STOK!J:O,6,0),"")</f>
        <v>4</v>
      </c>
      <c r="AH928" s="2">
        <f t="shared" si="28"/>
        <v>3</v>
      </c>
      <c r="AI928" t="s">
        <v>312</v>
      </c>
      <c r="AJ928" t="s">
        <v>313</v>
      </c>
      <c r="AK928" t="s">
        <v>314</v>
      </c>
      <c r="AL928" t="s">
        <v>86</v>
      </c>
      <c r="AM928">
        <v>74925</v>
      </c>
      <c r="AN928">
        <f t="shared" si="29"/>
        <v>74175.75</v>
      </c>
      <c r="AO928" t="s">
        <v>66</v>
      </c>
      <c r="AP928">
        <v>1</v>
      </c>
      <c r="AQ928" t="s">
        <v>66</v>
      </c>
      <c r="AR928">
        <v>0</v>
      </c>
      <c r="AS928" t="s">
        <v>66</v>
      </c>
      <c r="AT928">
        <v>0</v>
      </c>
      <c r="AU928" t="s">
        <v>66</v>
      </c>
      <c r="AV928">
        <v>0</v>
      </c>
      <c r="AW928" t="s">
        <v>66</v>
      </c>
      <c r="AX928">
        <v>0</v>
      </c>
      <c r="AY928" t="s">
        <v>66</v>
      </c>
      <c r="AZ928">
        <v>0</v>
      </c>
      <c r="BA928" t="s">
        <v>66</v>
      </c>
      <c r="BB928">
        <v>0</v>
      </c>
      <c r="BC928">
        <v>0</v>
      </c>
      <c r="BD928">
        <v>890109</v>
      </c>
      <c r="BE928">
        <v>60390.38</v>
      </c>
      <c r="BF928">
        <v>0</v>
      </c>
      <c r="BG928" t="s">
        <v>87</v>
      </c>
      <c r="BH928" t="s">
        <v>66</v>
      </c>
      <c r="BI928">
        <v>0</v>
      </c>
      <c r="BJ928" t="s">
        <v>66</v>
      </c>
      <c r="BK928" t="s">
        <v>88</v>
      </c>
      <c r="BL928" t="s">
        <v>66</v>
      </c>
      <c r="BM928" t="s">
        <v>159</v>
      </c>
    </row>
    <row r="929" spans="1:65" x14ac:dyDescent="0.25">
      <c r="A929">
        <v>927</v>
      </c>
      <c r="B929" t="s">
        <v>1270</v>
      </c>
      <c r="C929" t="s">
        <v>68</v>
      </c>
      <c r="D929" s="1">
        <v>46214</v>
      </c>
      <c r="E929" t="s">
        <v>1271</v>
      </c>
      <c r="F929" t="s">
        <v>68</v>
      </c>
      <c r="G929" t="s">
        <v>69</v>
      </c>
      <c r="H929" t="s">
        <v>70</v>
      </c>
      <c r="I929" t="s">
        <v>71</v>
      </c>
      <c r="J929" t="s">
        <v>72</v>
      </c>
      <c r="K929" t="s">
        <v>73</v>
      </c>
      <c r="L929" t="s">
        <v>74</v>
      </c>
      <c r="M929" t="s">
        <v>1272</v>
      </c>
      <c r="N929" t="s">
        <v>111</v>
      </c>
      <c r="O929" t="s">
        <v>1273</v>
      </c>
      <c r="P929" t="s">
        <v>1274</v>
      </c>
      <c r="Q929" t="s">
        <v>1275</v>
      </c>
      <c r="R929" s="1">
        <v>46214</v>
      </c>
      <c r="S929" t="s">
        <v>1276</v>
      </c>
      <c r="T929" t="s">
        <v>1277</v>
      </c>
      <c r="U929" t="s">
        <v>1278</v>
      </c>
      <c r="V929" t="s">
        <v>66</v>
      </c>
      <c r="W929" t="s">
        <v>66</v>
      </c>
      <c r="X929">
        <v>1696761</v>
      </c>
      <c r="Y929">
        <v>186643.71</v>
      </c>
      <c r="Z929">
        <v>171072</v>
      </c>
      <c r="AA929">
        <v>18817.919999999998</v>
      </c>
      <c r="AB929">
        <v>1883404.71</v>
      </c>
      <c r="AC929">
        <v>12</v>
      </c>
      <c r="AD929" t="s">
        <v>82</v>
      </c>
      <c r="AE929">
        <v>12</v>
      </c>
      <c r="AF929" t="s">
        <v>141</v>
      </c>
      <c r="AG929">
        <f>IFERROR(VLOOKUP(AF929,[1]STOK!J:O,6,0),"")</f>
        <v>12</v>
      </c>
      <c r="AH929" s="2">
        <f t="shared" si="28"/>
        <v>1</v>
      </c>
      <c r="AI929" t="s">
        <v>141</v>
      </c>
      <c r="AJ929" t="s">
        <v>142</v>
      </c>
      <c r="AK929" t="s">
        <v>143</v>
      </c>
      <c r="AL929" t="s">
        <v>86</v>
      </c>
      <c r="AM929">
        <v>15984</v>
      </c>
      <c r="AN929">
        <f t="shared" si="29"/>
        <v>15824.160000000002</v>
      </c>
      <c r="AO929" t="s">
        <v>66</v>
      </c>
      <c r="AP929">
        <v>1</v>
      </c>
      <c r="AQ929" t="s">
        <v>66</v>
      </c>
      <c r="AR929">
        <v>0</v>
      </c>
      <c r="AS929" t="s">
        <v>66</v>
      </c>
      <c r="AT929">
        <v>0</v>
      </c>
      <c r="AU929" t="s">
        <v>66</v>
      </c>
      <c r="AV929">
        <v>0</v>
      </c>
      <c r="AW929" t="s">
        <v>66</v>
      </c>
      <c r="AX929">
        <v>0</v>
      </c>
      <c r="AY929" t="s">
        <v>66</v>
      </c>
      <c r="AZ929">
        <v>0</v>
      </c>
      <c r="BA929" t="s">
        <v>66</v>
      </c>
      <c r="BB929">
        <v>0</v>
      </c>
      <c r="BC929">
        <v>0</v>
      </c>
      <c r="BD929">
        <v>189889.92000000001</v>
      </c>
      <c r="BE929">
        <v>13031.69</v>
      </c>
      <c r="BF929">
        <v>0</v>
      </c>
      <c r="BG929" t="s">
        <v>87</v>
      </c>
      <c r="BH929" t="s">
        <v>66</v>
      </c>
      <c r="BI929">
        <v>0</v>
      </c>
      <c r="BJ929" t="s">
        <v>66</v>
      </c>
      <c r="BK929" t="s">
        <v>88</v>
      </c>
      <c r="BL929" t="s">
        <v>66</v>
      </c>
      <c r="BM929" t="s">
        <v>159</v>
      </c>
    </row>
    <row r="930" spans="1:65" x14ac:dyDescent="0.25">
      <c r="A930">
        <v>928</v>
      </c>
      <c r="B930" t="s">
        <v>1279</v>
      </c>
      <c r="C930" t="s">
        <v>68</v>
      </c>
      <c r="D930" s="1">
        <v>46214</v>
      </c>
      <c r="E930" t="s">
        <v>1280</v>
      </c>
      <c r="F930" t="s">
        <v>68</v>
      </c>
      <c r="G930" t="s">
        <v>69</v>
      </c>
      <c r="H930" t="s">
        <v>70</v>
      </c>
      <c r="I930" t="s">
        <v>71</v>
      </c>
      <c r="J930" t="s">
        <v>72</v>
      </c>
      <c r="K930" t="s">
        <v>73</v>
      </c>
      <c r="L930" t="s">
        <v>74</v>
      </c>
      <c r="M930" t="s">
        <v>1281</v>
      </c>
      <c r="N930" t="s">
        <v>111</v>
      </c>
      <c r="O930" t="s">
        <v>1282</v>
      </c>
      <c r="P930" t="s">
        <v>1283</v>
      </c>
      <c r="Q930" t="s">
        <v>1284</v>
      </c>
      <c r="R930" s="1">
        <v>46217</v>
      </c>
      <c r="S930" t="s">
        <v>1218</v>
      </c>
      <c r="T930" t="s">
        <v>1219</v>
      </c>
      <c r="U930" t="s">
        <v>1220</v>
      </c>
      <c r="V930" t="s">
        <v>66</v>
      </c>
      <c r="W930" t="s">
        <v>66</v>
      </c>
      <c r="X930">
        <v>4533705</v>
      </c>
      <c r="Y930">
        <v>498707.55</v>
      </c>
      <c r="Z930">
        <v>119988</v>
      </c>
      <c r="AA930">
        <v>13198.68</v>
      </c>
      <c r="AB930">
        <v>5032412.55</v>
      </c>
      <c r="AC930">
        <v>12</v>
      </c>
      <c r="AD930" t="s">
        <v>82</v>
      </c>
      <c r="AE930">
        <v>12</v>
      </c>
      <c r="AF930" t="s">
        <v>857</v>
      </c>
      <c r="AG930">
        <f>IFERROR(VLOOKUP(AF930,[1]STOK!J:O,6,0),"")</f>
        <v>24</v>
      </c>
      <c r="AH930" s="2">
        <f t="shared" si="28"/>
        <v>0.5</v>
      </c>
      <c r="AI930" t="s">
        <v>857</v>
      </c>
      <c r="AJ930" t="s">
        <v>858</v>
      </c>
      <c r="AK930" t="s">
        <v>859</v>
      </c>
      <c r="AL930" t="s">
        <v>86</v>
      </c>
      <c r="AM930">
        <v>11211</v>
      </c>
      <c r="AN930">
        <f t="shared" si="29"/>
        <v>11098.89</v>
      </c>
      <c r="AO930" t="s">
        <v>66</v>
      </c>
      <c r="AP930">
        <v>1</v>
      </c>
      <c r="AQ930" t="s">
        <v>66</v>
      </c>
      <c r="AR930">
        <v>0</v>
      </c>
      <c r="AS930" t="s">
        <v>66</v>
      </c>
      <c r="AT930">
        <v>0</v>
      </c>
      <c r="AU930" t="s">
        <v>66</v>
      </c>
      <c r="AV930">
        <v>0</v>
      </c>
      <c r="AW930" t="s">
        <v>66</v>
      </c>
      <c r="AX930">
        <v>0</v>
      </c>
      <c r="AY930" t="s">
        <v>66</v>
      </c>
      <c r="AZ930">
        <v>0</v>
      </c>
      <c r="BA930" t="s">
        <v>66</v>
      </c>
      <c r="BB930">
        <v>0</v>
      </c>
      <c r="BC930">
        <v>0</v>
      </c>
      <c r="BD930">
        <v>133186.68</v>
      </c>
      <c r="BE930">
        <v>9046.9</v>
      </c>
      <c r="BF930">
        <v>0</v>
      </c>
      <c r="BG930" t="s">
        <v>87</v>
      </c>
      <c r="BH930" t="s">
        <v>66</v>
      </c>
      <c r="BI930">
        <v>0</v>
      </c>
      <c r="BJ930" t="s">
        <v>66</v>
      </c>
      <c r="BK930" t="s">
        <v>88</v>
      </c>
      <c r="BL930" t="s">
        <v>66</v>
      </c>
      <c r="BM930" t="s">
        <v>159</v>
      </c>
    </row>
    <row r="931" spans="1:65" x14ac:dyDescent="0.25">
      <c r="A931">
        <v>929</v>
      </c>
      <c r="B931" t="s">
        <v>1279</v>
      </c>
      <c r="C931" t="s">
        <v>68</v>
      </c>
      <c r="D931" s="1">
        <v>46214</v>
      </c>
      <c r="E931" t="s">
        <v>1280</v>
      </c>
      <c r="F931" t="s">
        <v>68</v>
      </c>
      <c r="G931" t="s">
        <v>69</v>
      </c>
      <c r="H931" t="s">
        <v>70</v>
      </c>
      <c r="I931" t="s">
        <v>71</v>
      </c>
      <c r="J931" t="s">
        <v>72</v>
      </c>
      <c r="K931" t="s">
        <v>73</v>
      </c>
      <c r="L931" t="s">
        <v>74</v>
      </c>
      <c r="M931" t="s">
        <v>1281</v>
      </c>
      <c r="N931" t="s">
        <v>111</v>
      </c>
      <c r="O931" t="s">
        <v>1282</v>
      </c>
      <c r="P931" t="s">
        <v>1283</v>
      </c>
      <c r="Q931" t="s">
        <v>1284</v>
      </c>
      <c r="R931" s="1">
        <v>46217</v>
      </c>
      <c r="S931" t="s">
        <v>1218</v>
      </c>
      <c r="T931" t="s">
        <v>1219</v>
      </c>
      <c r="U931" t="s">
        <v>1220</v>
      </c>
      <c r="V931" t="s">
        <v>66</v>
      </c>
      <c r="W931" t="s">
        <v>66</v>
      </c>
      <c r="X931">
        <v>4533705</v>
      </c>
      <c r="Y931">
        <v>498707.55</v>
      </c>
      <c r="Z931">
        <v>30294</v>
      </c>
      <c r="AA931">
        <v>3332.34</v>
      </c>
      <c r="AB931">
        <v>5032412.55</v>
      </c>
      <c r="AC931">
        <v>3</v>
      </c>
      <c r="AD931" t="s">
        <v>82</v>
      </c>
      <c r="AE931">
        <v>3</v>
      </c>
      <c r="AF931" t="s">
        <v>726</v>
      </c>
      <c r="AG931">
        <f>IFERROR(VLOOKUP(AF931,[1]STOK!J:O,6,0),"")</f>
        <v>24</v>
      </c>
      <c r="AH931" s="2">
        <f t="shared" si="28"/>
        <v>0.125</v>
      </c>
      <c r="AI931" t="s">
        <v>726</v>
      </c>
      <c r="AJ931" t="s">
        <v>727</v>
      </c>
      <c r="AK931" t="s">
        <v>728</v>
      </c>
      <c r="AL931" t="s">
        <v>86</v>
      </c>
      <c r="AM931">
        <v>11322</v>
      </c>
      <c r="AN931">
        <f t="shared" si="29"/>
        <v>11208.779999999999</v>
      </c>
      <c r="AO931" t="s">
        <v>66</v>
      </c>
      <c r="AP931">
        <v>1</v>
      </c>
      <c r="AQ931" t="s">
        <v>66</v>
      </c>
      <c r="AR931">
        <v>0</v>
      </c>
      <c r="AS931" t="s">
        <v>66</v>
      </c>
      <c r="AT931">
        <v>0</v>
      </c>
      <c r="AU931" t="s">
        <v>66</v>
      </c>
      <c r="AV931">
        <v>0</v>
      </c>
      <c r="AW931" t="s">
        <v>66</v>
      </c>
      <c r="AX931">
        <v>0</v>
      </c>
      <c r="AY931" t="s">
        <v>66</v>
      </c>
      <c r="AZ931">
        <v>0</v>
      </c>
      <c r="BA931" t="s">
        <v>66</v>
      </c>
      <c r="BB931">
        <v>0</v>
      </c>
      <c r="BC931">
        <v>0</v>
      </c>
      <c r="BD931">
        <v>33626.339999999997</v>
      </c>
      <c r="BE931">
        <v>8902.5499999999993</v>
      </c>
      <c r="BF931">
        <v>0</v>
      </c>
      <c r="BG931" t="s">
        <v>87</v>
      </c>
      <c r="BH931" t="s">
        <v>66</v>
      </c>
      <c r="BI931">
        <v>0</v>
      </c>
      <c r="BJ931" t="s">
        <v>66</v>
      </c>
      <c r="BK931" t="s">
        <v>88</v>
      </c>
      <c r="BL931" t="s">
        <v>66</v>
      </c>
      <c r="BM931" t="s">
        <v>159</v>
      </c>
    </row>
    <row r="932" spans="1:65" x14ac:dyDescent="0.25">
      <c r="A932">
        <v>930</v>
      </c>
      <c r="B932" t="s">
        <v>1279</v>
      </c>
      <c r="C932" t="s">
        <v>68</v>
      </c>
      <c r="D932" s="1">
        <v>46214</v>
      </c>
      <c r="E932" t="s">
        <v>1280</v>
      </c>
      <c r="F932" t="s">
        <v>68</v>
      </c>
      <c r="G932" t="s">
        <v>69</v>
      </c>
      <c r="H932" t="s">
        <v>70</v>
      </c>
      <c r="I932" t="s">
        <v>71</v>
      </c>
      <c r="J932" t="s">
        <v>72</v>
      </c>
      <c r="K932" t="s">
        <v>73</v>
      </c>
      <c r="L932" t="s">
        <v>74</v>
      </c>
      <c r="M932" t="s">
        <v>1281</v>
      </c>
      <c r="N932" t="s">
        <v>111</v>
      </c>
      <c r="O932" t="s">
        <v>1282</v>
      </c>
      <c r="P932" t="s">
        <v>1283</v>
      </c>
      <c r="Q932" t="s">
        <v>1284</v>
      </c>
      <c r="R932" s="1">
        <v>46217</v>
      </c>
      <c r="S932" t="s">
        <v>1218</v>
      </c>
      <c r="T932" t="s">
        <v>1219</v>
      </c>
      <c r="U932" t="s">
        <v>1220</v>
      </c>
      <c r="V932" t="s">
        <v>66</v>
      </c>
      <c r="W932" t="s">
        <v>66</v>
      </c>
      <c r="X932">
        <v>4533705</v>
      </c>
      <c r="Y932">
        <v>498707.55</v>
      </c>
      <c r="Z932">
        <v>30294</v>
      </c>
      <c r="AA932">
        <v>3332.34</v>
      </c>
      <c r="AB932">
        <v>5032412.55</v>
      </c>
      <c r="AC932">
        <v>3</v>
      </c>
      <c r="AD932" t="s">
        <v>82</v>
      </c>
      <c r="AE932">
        <v>3</v>
      </c>
      <c r="AF932" t="s">
        <v>860</v>
      </c>
      <c r="AG932">
        <f>IFERROR(VLOOKUP(AF932,[1]STOK!J:O,6,0),"")</f>
        <v>24</v>
      </c>
      <c r="AH932" s="2">
        <f t="shared" si="28"/>
        <v>0.125</v>
      </c>
      <c r="AI932" t="s">
        <v>860</v>
      </c>
      <c r="AJ932" t="s">
        <v>861</v>
      </c>
      <c r="AK932" t="s">
        <v>862</v>
      </c>
      <c r="AL932" t="s">
        <v>86</v>
      </c>
      <c r="AM932">
        <v>11322</v>
      </c>
      <c r="AN932">
        <f t="shared" si="29"/>
        <v>11208.779999999999</v>
      </c>
      <c r="AO932" t="s">
        <v>66</v>
      </c>
      <c r="AP932">
        <v>1</v>
      </c>
      <c r="AQ932" t="s">
        <v>66</v>
      </c>
      <c r="AR932">
        <v>0</v>
      </c>
      <c r="AS932" t="s">
        <v>66</v>
      </c>
      <c r="AT932">
        <v>0</v>
      </c>
      <c r="AU932" t="s">
        <v>66</v>
      </c>
      <c r="AV932">
        <v>0</v>
      </c>
      <c r="AW932" t="s">
        <v>66</v>
      </c>
      <c r="AX932">
        <v>0</v>
      </c>
      <c r="AY932" t="s">
        <v>66</v>
      </c>
      <c r="AZ932">
        <v>0</v>
      </c>
      <c r="BA932" t="s">
        <v>66</v>
      </c>
      <c r="BB932">
        <v>0</v>
      </c>
      <c r="BC932">
        <v>0</v>
      </c>
      <c r="BD932">
        <v>33626.339999999997</v>
      </c>
      <c r="BE932">
        <v>9175.68</v>
      </c>
      <c r="BF932">
        <v>0</v>
      </c>
      <c r="BG932" t="s">
        <v>87</v>
      </c>
      <c r="BH932" t="s">
        <v>66</v>
      </c>
      <c r="BI932">
        <v>0</v>
      </c>
      <c r="BJ932" t="s">
        <v>66</v>
      </c>
      <c r="BK932" t="s">
        <v>88</v>
      </c>
      <c r="BL932" t="s">
        <v>66</v>
      </c>
      <c r="BM932" t="s">
        <v>159</v>
      </c>
    </row>
    <row r="933" spans="1:65" x14ac:dyDescent="0.25">
      <c r="A933">
        <v>931</v>
      </c>
      <c r="B933" t="s">
        <v>1279</v>
      </c>
      <c r="C933" t="s">
        <v>68</v>
      </c>
      <c r="D933" s="1">
        <v>46214</v>
      </c>
      <c r="E933" t="s">
        <v>1280</v>
      </c>
      <c r="F933" t="s">
        <v>68</v>
      </c>
      <c r="G933" t="s">
        <v>69</v>
      </c>
      <c r="H933" t="s">
        <v>70</v>
      </c>
      <c r="I933" t="s">
        <v>71</v>
      </c>
      <c r="J933" t="s">
        <v>72</v>
      </c>
      <c r="K933" t="s">
        <v>73</v>
      </c>
      <c r="L933" t="s">
        <v>74</v>
      </c>
      <c r="M933" t="s">
        <v>1281</v>
      </c>
      <c r="N933" t="s">
        <v>111</v>
      </c>
      <c r="O933" t="s">
        <v>1282</v>
      </c>
      <c r="P933" t="s">
        <v>1283</v>
      </c>
      <c r="Q933" t="s">
        <v>1284</v>
      </c>
      <c r="R933" s="1">
        <v>46217</v>
      </c>
      <c r="S933" t="s">
        <v>1218</v>
      </c>
      <c r="T933" t="s">
        <v>1219</v>
      </c>
      <c r="U933" t="s">
        <v>1220</v>
      </c>
      <c r="V933" t="s">
        <v>66</v>
      </c>
      <c r="W933" t="s">
        <v>66</v>
      </c>
      <c r="X933">
        <v>4533705</v>
      </c>
      <c r="Y933">
        <v>498707.55</v>
      </c>
      <c r="Z933">
        <v>392040</v>
      </c>
      <c r="AA933">
        <v>43124.4</v>
      </c>
      <c r="AB933">
        <v>5032412.55</v>
      </c>
      <c r="AC933">
        <v>24</v>
      </c>
      <c r="AD933" t="s">
        <v>82</v>
      </c>
      <c r="AE933">
        <v>24</v>
      </c>
      <c r="AF933" t="s">
        <v>93</v>
      </c>
      <c r="AG933">
        <f>IFERROR(VLOOKUP(AF933,[1]STOK!J:O,6,0),"")</f>
        <v>24</v>
      </c>
      <c r="AH933" s="2">
        <f t="shared" si="28"/>
        <v>1</v>
      </c>
      <c r="AI933" t="s">
        <v>93</v>
      </c>
      <c r="AJ933" t="s">
        <v>94</v>
      </c>
      <c r="AK933" t="s">
        <v>95</v>
      </c>
      <c r="AL933" t="s">
        <v>86</v>
      </c>
      <c r="AM933">
        <v>18315</v>
      </c>
      <c r="AN933">
        <f t="shared" si="29"/>
        <v>18131.850000000002</v>
      </c>
      <c r="AO933" t="s">
        <v>66</v>
      </c>
      <c r="AP933">
        <v>1</v>
      </c>
      <c r="AQ933" t="s">
        <v>66</v>
      </c>
      <c r="AR933">
        <v>0</v>
      </c>
      <c r="AS933" t="s">
        <v>66</v>
      </c>
      <c r="AT933">
        <v>0</v>
      </c>
      <c r="AU933" t="s">
        <v>66</v>
      </c>
      <c r="AV933">
        <v>0</v>
      </c>
      <c r="AW933" t="s">
        <v>66</v>
      </c>
      <c r="AX933">
        <v>0</v>
      </c>
      <c r="AY933" t="s">
        <v>66</v>
      </c>
      <c r="AZ933">
        <v>0</v>
      </c>
      <c r="BA933" t="s">
        <v>66</v>
      </c>
      <c r="BB933">
        <v>0</v>
      </c>
      <c r="BC933">
        <v>0</v>
      </c>
      <c r="BD933">
        <v>435164.4</v>
      </c>
      <c r="BE933">
        <v>14931.77</v>
      </c>
      <c r="BF933">
        <v>0</v>
      </c>
      <c r="BG933" t="s">
        <v>87</v>
      </c>
      <c r="BH933" t="s">
        <v>66</v>
      </c>
      <c r="BI933">
        <v>0</v>
      </c>
      <c r="BJ933" t="s">
        <v>66</v>
      </c>
      <c r="BK933" t="s">
        <v>88</v>
      </c>
      <c r="BL933" t="s">
        <v>66</v>
      </c>
      <c r="BM933" t="s">
        <v>159</v>
      </c>
    </row>
    <row r="934" spans="1:65" x14ac:dyDescent="0.25">
      <c r="A934">
        <v>932</v>
      </c>
      <c r="B934" t="s">
        <v>1279</v>
      </c>
      <c r="C934" t="s">
        <v>68</v>
      </c>
      <c r="D934" s="1">
        <v>46214</v>
      </c>
      <c r="E934" t="s">
        <v>1280</v>
      </c>
      <c r="F934" t="s">
        <v>68</v>
      </c>
      <c r="G934" t="s">
        <v>69</v>
      </c>
      <c r="H934" t="s">
        <v>70</v>
      </c>
      <c r="I934" t="s">
        <v>71</v>
      </c>
      <c r="J934" t="s">
        <v>72</v>
      </c>
      <c r="K934" t="s">
        <v>73</v>
      </c>
      <c r="L934" t="s">
        <v>74</v>
      </c>
      <c r="M934" t="s">
        <v>1281</v>
      </c>
      <c r="N934" t="s">
        <v>111</v>
      </c>
      <c r="O934" t="s">
        <v>1282</v>
      </c>
      <c r="P934" t="s">
        <v>1283</v>
      </c>
      <c r="Q934" t="s">
        <v>1284</v>
      </c>
      <c r="R934" s="1">
        <v>46217</v>
      </c>
      <c r="S934" t="s">
        <v>1218</v>
      </c>
      <c r="T934" t="s">
        <v>1219</v>
      </c>
      <c r="U934" t="s">
        <v>1220</v>
      </c>
      <c r="V934" t="s">
        <v>66</v>
      </c>
      <c r="W934" t="s">
        <v>66</v>
      </c>
      <c r="X934">
        <v>4533705</v>
      </c>
      <c r="Y934">
        <v>498707.55</v>
      </c>
      <c r="Z934">
        <v>460944</v>
      </c>
      <c r="AA934">
        <v>50703.839999999997</v>
      </c>
      <c r="AB934">
        <v>5032412.55</v>
      </c>
      <c r="AC934">
        <v>24</v>
      </c>
      <c r="AD934" t="s">
        <v>82</v>
      </c>
      <c r="AE934">
        <v>24</v>
      </c>
      <c r="AF934" t="s">
        <v>287</v>
      </c>
      <c r="AG934">
        <f>IFERROR(VLOOKUP(AF934,[1]STOK!J:O,6,0),"")</f>
        <v>12</v>
      </c>
      <c r="AH934" s="2">
        <f t="shared" si="28"/>
        <v>2</v>
      </c>
      <c r="AI934" t="s">
        <v>287</v>
      </c>
      <c r="AJ934" t="s">
        <v>288</v>
      </c>
      <c r="AK934" t="s">
        <v>289</v>
      </c>
      <c r="AL934" t="s">
        <v>86</v>
      </c>
      <c r="AM934">
        <v>21534</v>
      </c>
      <c r="AN934">
        <f t="shared" si="29"/>
        <v>21318.66</v>
      </c>
      <c r="AO934" t="s">
        <v>66</v>
      </c>
      <c r="AP934">
        <v>1</v>
      </c>
      <c r="AQ934" t="s">
        <v>66</v>
      </c>
      <c r="AR934">
        <v>0</v>
      </c>
      <c r="AS934" t="s">
        <v>66</v>
      </c>
      <c r="AT934">
        <v>0</v>
      </c>
      <c r="AU934" t="s">
        <v>66</v>
      </c>
      <c r="AV934">
        <v>0</v>
      </c>
      <c r="AW934" t="s">
        <v>66</v>
      </c>
      <c r="AX934">
        <v>0</v>
      </c>
      <c r="AY934" t="s">
        <v>66</v>
      </c>
      <c r="AZ934">
        <v>0</v>
      </c>
      <c r="BA934" t="s">
        <v>66</v>
      </c>
      <c r="BB934">
        <v>0</v>
      </c>
      <c r="BC934">
        <v>0</v>
      </c>
      <c r="BD934">
        <v>511647.84</v>
      </c>
      <c r="BE934">
        <v>17453.490000000002</v>
      </c>
      <c r="BF934">
        <v>0</v>
      </c>
      <c r="BG934" t="s">
        <v>87</v>
      </c>
      <c r="BH934" t="s">
        <v>66</v>
      </c>
      <c r="BI934">
        <v>0</v>
      </c>
      <c r="BJ934" t="s">
        <v>66</v>
      </c>
      <c r="BK934" t="s">
        <v>88</v>
      </c>
      <c r="BL934" t="s">
        <v>66</v>
      </c>
      <c r="BM934" t="s">
        <v>159</v>
      </c>
    </row>
    <row r="935" spans="1:65" x14ac:dyDescent="0.25">
      <c r="A935">
        <v>933</v>
      </c>
      <c r="B935" t="s">
        <v>1279</v>
      </c>
      <c r="C935" t="s">
        <v>68</v>
      </c>
      <c r="D935" s="1">
        <v>46214</v>
      </c>
      <c r="E935" t="s">
        <v>1280</v>
      </c>
      <c r="F935" t="s">
        <v>68</v>
      </c>
      <c r="G935" t="s">
        <v>69</v>
      </c>
      <c r="H935" t="s">
        <v>70</v>
      </c>
      <c r="I935" t="s">
        <v>71</v>
      </c>
      <c r="J935" t="s">
        <v>72</v>
      </c>
      <c r="K935" t="s">
        <v>73</v>
      </c>
      <c r="L935" t="s">
        <v>74</v>
      </c>
      <c r="M935" t="s">
        <v>1281</v>
      </c>
      <c r="N935" t="s">
        <v>111</v>
      </c>
      <c r="O935" t="s">
        <v>1282</v>
      </c>
      <c r="P935" t="s">
        <v>1283</v>
      </c>
      <c r="Q935" t="s">
        <v>1284</v>
      </c>
      <c r="R935" s="1">
        <v>46217</v>
      </c>
      <c r="S935" t="s">
        <v>1218</v>
      </c>
      <c r="T935" t="s">
        <v>1219</v>
      </c>
      <c r="U935" t="s">
        <v>1220</v>
      </c>
      <c r="V935" t="s">
        <v>66</v>
      </c>
      <c r="W935" t="s">
        <v>66</v>
      </c>
      <c r="X935">
        <v>4533705</v>
      </c>
      <c r="Y935">
        <v>498707.55</v>
      </c>
      <c r="Z935">
        <v>49896</v>
      </c>
      <c r="AA935">
        <v>5488.56</v>
      </c>
      <c r="AB935">
        <v>5032412.55</v>
      </c>
      <c r="AC935">
        <v>12</v>
      </c>
      <c r="AD935" t="s">
        <v>82</v>
      </c>
      <c r="AE935">
        <v>12</v>
      </c>
      <c r="AF935" t="s">
        <v>131</v>
      </c>
      <c r="AG935">
        <f>IFERROR(VLOOKUP(AF935,[1]STOK!J:O,6,0),"")</f>
        <v>24</v>
      </c>
      <c r="AH935" s="2">
        <f t="shared" si="28"/>
        <v>0.5</v>
      </c>
      <c r="AI935" t="s">
        <v>131</v>
      </c>
      <c r="AJ935" t="s">
        <v>132</v>
      </c>
      <c r="AK935" t="s">
        <v>133</v>
      </c>
      <c r="AL935" t="s">
        <v>86</v>
      </c>
      <c r="AM935">
        <v>4662</v>
      </c>
      <c r="AN935">
        <f t="shared" si="29"/>
        <v>4615.38</v>
      </c>
      <c r="AO935" t="s">
        <v>66</v>
      </c>
      <c r="AP935">
        <v>1</v>
      </c>
      <c r="AQ935" t="s">
        <v>66</v>
      </c>
      <c r="AR935">
        <v>0</v>
      </c>
      <c r="AS935" t="s">
        <v>66</v>
      </c>
      <c r="AT935">
        <v>0</v>
      </c>
      <c r="AU935" t="s">
        <v>66</v>
      </c>
      <c r="AV935">
        <v>0</v>
      </c>
      <c r="AW935" t="s">
        <v>66</v>
      </c>
      <c r="AX935">
        <v>0</v>
      </c>
      <c r="AY935" t="s">
        <v>66</v>
      </c>
      <c r="AZ935">
        <v>0</v>
      </c>
      <c r="BA935" t="s">
        <v>66</v>
      </c>
      <c r="BB935">
        <v>0</v>
      </c>
      <c r="BC935">
        <v>0</v>
      </c>
      <c r="BD935">
        <v>55384.56</v>
      </c>
      <c r="BE935">
        <v>3790.62</v>
      </c>
      <c r="BF935">
        <v>0</v>
      </c>
      <c r="BG935" t="s">
        <v>87</v>
      </c>
      <c r="BH935" t="s">
        <v>66</v>
      </c>
      <c r="BI935">
        <v>0</v>
      </c>
      <c r="BJ935" t="s">
        <v>66</v>
      </c>
      <c r="BK935" t="s">
        <v>88</v>
      </c>
      <c r="BL935" t="s">
        <v>66</v>
      </c>
      <c r="BM935" t="s">
        <v>159</v>
      </c>
    </row>
    <row r="936" spans="1:65" x14ac:dyDescent="0.25">
      <c r="A936">
        <v>934</v>
      </c>
      <c r="B936" t="s">
        <v>1279</v>
      </c>
      <c r="C936" t="s">
        <v>68</v>
      </c>
      <c r="D936" s="1">
        <v>46214</v>
      </c>
      <c r="E936" t="s">
        <v>1280</v>
      </c>
      <c r="F936" t="s">
        <v>68</v>
      </c>
      <c r="G936" t="s">
        <v>69</v>
      </c>
      <c r="H936" t="s">
        <v>70</v>
      </c>
      <c r="I936" t="s">
        <v>71</v>
      </c>
      <c r="J936" t="s">
        <v>72</v>
      </c>
      <c r="K936" t="s">
        <v>73</v>
      </c>
      <c r="L936" t="s">
        <v>74</v>
      </c>
      <c r="M936" t="s">
        <v>1281</v>
      </c>
      <c r="N936" t="s">
        <v>111</v>
      </c>
      <c r="O936" t="s">
        <v>1282</v>
      </c>
      <c r="P936" t="s">
        <v>1283</v>
      </c>
      <c r="Q936" t="s">
        <v>1284</v>
      </c>
      <c r="R936" s="1">
        <v>46217</v>
      </c>
      <c r="S936" t="s">
        <v>1218</v>
      </c>
      <c r="T936" t="s">
        <v>1219</v>
      </c>
      <c r="U936" t="s">
        <v>1220</v>
      </c>
      <c r="V936" t="s">
        <v>66</v>
      </c>
      <c r="W936" t="s">
        <v>66</v>
      </c>
      <c r="X936">
        <v>4533705</v>
      </c>
      <c r="Y936">
        <v>498707.55</v>
      </c>
      <c r="Z936">
        <v>49896</v>
      </c>
      <c r="AA936">
        <v>5488.56</v>
      </c>
      <c r="AB936">
        <v>5032412.55</v>
      </c>
      <c r="AC936">
        <v>12</v>
      </c>
      <c r="AD936" t="s">
        <v>82</v>
      </c>
      <c r="AE936">
        <v>12</v>
      </c>
      <c r="AF936" t="s">
        <v>1285</v>
      </c>
      <c r="AG936">
        <f>IFERROR(VLOOKUP(AF936,[1]STOK!J:O,6,0),"")</f>
        <v>24</v>
      </c>
      <c r="AH936" s="2">
        <f t="shared" si="28"/>
        <v>0.5</v>
      </c>
      <c r="AI936" t="s">
        <v>1285</v>
      </c>
      <c r="AJ936" t="s">
        <v>1286</v>
      </c>
      <c r="AK936" t="s">
        <v>1287</v>
      </c>
      <c r="AL936" t="s">
        <v>86</v>
      </c>
      <c r="AM936">
        <v>4662</v>
      </c>
      <c r="AN936">
        <f t="shared" si="29"/>
        <v>4615.38</v>
      </c>
      <c r="AO936" t="s">
        <v>66</v>
      </c>
      <c r="AP936">
        <v>1</v>
      </c>
      <c r="AQ936" t="s">
        <v>66</v>
      </c>
      <c r="AR936">
        <v>0</v>
      </c>
      <c r="AS936" t="s">
        <v>66</v>
      </c>
      <c r="AT936">
        <v>0</v>
      </c>
      <c r="AU936" t="s">
        <v>66</v>
      </c>
      <c r="AV936">
        <v>0</v>
      </c>
      <c r="AW936" t="s">
        <v>66</v>
      </c>
      <c r="AX936">
        <v>0</v>
      </c>
      <c r="AY936" t="s">
        <v>66</v>
      </c>
      <c r="AZ936">
        <v>0</v>
      </c>
      <c r="BA936" t="s">
        <v>66</v>
      </c>
      <c r="BB936">
        <v>0</v>
      </c>
      <c r="BC936">
        <v>0</v>
      </c>
      <c r="BD936">
        <v>55384.56</v>
      </c>
      <c r="BE936">
        <v>3777.09</v>
      </c>
      <c r="BF936">
        <v>0</v>
      </c>
      <c r="BG936" t="s">
        <v>87</v>
      </c>
      <c r="BH936" t="s">
        <v>66</v>
      </c>
      <c r="BI936">
        <v>0</v>
      </c>
      <c r="BJ936" t="s">
        <v>66</v>
      </c>
      <c r="BK936" t="s">
        <v>88</v>
      </c>
      <c r="BL936" t="s">
        <v>66</v>
      </c>
      <c r="BM936" t="s">
        <v>159</v>
      </c>
    </row>
    <row r="937" spans="1:65" x14ac:dyDescent="0.25">
      <c r="A937">
        <v>935</v>
      </c>
      <c r="B937" t="s">
        <v>1279</v>
      </c>
      <c r="C937" t="s">
        <v>68</v>
      </c>
      <c r="D937" s="1">
        <v>46214</v>
      </c>
      <c r="E937" t="s">
        <v>1280</v>
      </c>
      <c r="F937" t="s">
        <v>68</v>
      </c>
      <c r="G937" t="s">
        <v>69</v>
      </c>
      <c r="H937" t="s">
        <v>70</v>
      </c>
      <c r="I937" t="s">
        <v>71</v>
      </c>
      <c r="J937" t="s">
        <v>72</v>
      </c>
      <c r="K937" t="s">
        <v>73</v>
      </c>
      <c r="L937" t="s">
        <v>74</v>
      </c>
      <c r="M937" t="s">
        <v>1281</v>
      </c>
      <c r="N937" t="s">
        <v>111</v>
      </c>
      <c r="O937" t="s">
        <v>1282</v>
      </c>
      <c r="P937" t="s">
        <v>1283</v>
      </c>
      <c r="Q937" t="s">
        <v>1284</v>
      </c>
      <c r="R937" s="1">
        <v>46217</v>
      </c>
      <c r="S937" t="s">
        <v>1218</v>
      </c>
      <c r="T937" t="s">
        <v>1219</v>
      </c>
      <c r="U937" t="s">
        <v>1220</v>
      </c>
      <c r="V937" t="s">
        <v>66</v>
      </c>
      <c r="W937" t="s">
        <v>66</v>
      </c>
      <c r="X937">
        <v>4533705</v>
      </c>
      <c r="Y937">
        <v>498707.55</v>
      </c>
      <c r="Z937">
        <v>319572</v>
      </c>
      <c r="AA937">
        <v>35152.92</v>
      </c>
      <c r="AB937">
        <v>5032412.55</v>
      </c>
      <c r="AC937">
        <v>6</v>
      </c>
      <c r="AD937" t="s">
        <v>82</v>
      </c>
      <c r="AE937">
        <v>6</v>
      </c>
      <c r="AF937" t="s">
        <v>525</v>
      </c>
      <c r="AG937">
        <f>IFERROR(VLOOKUP(AF937,[1]STOK!J:O,6,0),"")</f>
        <v>6</v>
      </c>
      <c r="AH937" s="2">
        <f t="shared" si="28"/>
        <v>1</v>
      </c>
      <c r="AI937" t="s">
        <v>525</v>
      </c>
      <c r="AJ937" t="s">
        <v>526</v>
      </c>
      <c r="AK937" t="s">
        <v>527</v>
      </c>
      <c r="AL937" t="s">
        <v>86</v>
      </c>
      <c r="AM937">
        <v>59718</v>
      </c>
      <c r="AN937">
        <f t="shared" si="29"/>
        <v>59120.82</v>
      </c>
      <c r="AO937" t="s">
        <v>66</v>
      </c>
      <c r="AP937">
        <v>1</v>
      </c>
      <c r="AQ937" t="s">
        <v>66</v>
      </c>
      <c r="AR937">
        <v>0</v>
      </c>
      <c r="AS937" t="s">
        <v>66</v>
      </c>
      <c r="AT937">
        <v>0</v>
      </c>
      <c r="AU937" t="s">
        <v>66</v>
      </c>
      <c r="AV937">
        <v>0</v>
      </c>
      <c r="AW937" t="s">
        <v>66</v>
      </c>
      <c r="AX937">
        <v>0</v>
      </c>
      <c r="AY937" t="s">
        <v>66</v>
      </c>
      <c r="AZ937">
        <v>0</v>
      </c>
      <c r="BA937" t="s">
        <v>66</v>
      </c>
      <c r="BB937">
        <v>0</v>
      </c>
      <c r="BC937">
        <v>0</v>
      </c>
      <c r="BD937">
        <v>354724.92</v>
      </c>
      <c r="BE937">
        <v>48436.72</v>
      </c>
      <c r="BF937">
        <v>0</v>
      </c>
      <c r="BG937" t="s">
        <v>87</v>
      </c>
      <c r="BH937" t="s">
        <v>66</v>
      </c>
      <c r="BI937">
        <v>0</v>
      </c>
      <c r="BJ937" t="s">
        <v>66</v>
      </c>
      <c r="BK937" t="s">
        <v>88</v>
      </c>
      <c r="BL937" t="s">
        <v>66</v>
      </c>
      <c r="BM937" t="s">
        <v>159</v>
      </c>
    </row>
    <row r="938" spans="1:65" x14ac:dyDescent="0.25">
      <c r="A938">
        <v>936</v>
      </c>
      <c r="B938" t="s">
        <v>1279</v>
      </c>
      <c r="C938" t="s">
        <v>68</v>
      </c>
      <c r="D938" s="1">
        <v>46214</v>
      </c>
      <c r="E938" t="s">
        <v>1280</v>
      </c>
      <c r="F938" t="s">
        <v>68</v>
      </c>
      <c r="G938" t="s">
        <v>69</v>
      </c>
      <c r="H938" t="s">
        <v>70</v>
      </c>
      <c r="I938" t="s">
        <v>71</v>
      </c>
      <c r="J938" t="s">
        <v>72</v>
      </c>
      <c r="K938" t="s">
        <v>73</v>
      </c>
      <c r="L938" t="s">
        <v>74</v>
      </c>
      <c r="M938" t="s">
        <v>1281</v>
      </c>
      <c r="N938" t="s">
        <v>111</v>
      </c>
      <c r="O938" t="s">
        <v>1282</v>
      </c>
      <c r="P938" t="s">
        <v>1283</v>
      </c>
      <c r="Q938" t="s">
        <v>1284</v>
      </c>
      <c r="R938" s="1">
        <v>46217</v>
      </c>
      <c r="S938" t="s">
        <v>1218</v>
      </c>
      <c r="T938" t="s">
        <v>1219</v>
      </c>
      <c r="U938" t="s">
        <v>1220</v>
      </c>
      <c r="V938" t="s">
        <v>66</v>
      </c>
      <c r="W938" t="s">
        <v>66</v>
      </c>
      <c r="X938">
        <v>4533705</v>
      </c>
      <c r="Y938">
        <v>498707.55</v>
      </c>
      <c r="Z938">
        <v>15741</v>
      </c>
      <c r="AA938">
        <v>1731.51</v>
      </c>
      <c r="AB938">
        <v>5032412.55</v>
      </c>
      <c r="AC938">
        <v>3</v>
      </c>
      <c r="AD938" t="s">
        <v>82</v>
      </c>
      <c r="AE938">
        <v>3</v>
      </c>
      <c r="AF938" t="s">
        <v>633</v>
      </c>
      <c r="AG938">
        <f>IFERROR(VLOOKUP(AF938,[1]STOK!J:O,6,0),"")</f>
        <v>24</v>
      </c>
      <c r="AH938" s="2">
        <f t="shared" si="28"/>
        <v>0.125</v>
      </c>
      <c r="AI938" t="s">
        <v>633</v>
      </c>
      <c r="AJ938" t="s">
        <v>634</v>
      </c>
      <c r="AK938" t="s">
        <v>635</v>
      </c>
      <c r="AL938" t="s">
        <v>86</v>
      </c>
      <c r="AM938">
        <v>5883</v>
      </c>
      <c r="AN938">
        <f t="shared" si="29"/>
        <v>5824.1699999999992</v>
      </c>
      <c r="AO938" t="s">
        <v>66</v>
      </c>
      <c r="AP938">
        <v>1</v>
      </c>
      <c r="AQ938" t="s">
        <v>66</v>
      </c>
      <c r="AR938">
        <v>0</v>
      </c>
      <c r="AS938" t="s">
        <v>66</v>
      </c>
      <c r="AT938">
        <v>0</v>
      </c>
      <c r="AU938" t="s">
        <v>66</v>
      </c>
      <c r="AV938">
        <v>0</v>
      </c>
      <c r="AW938" t="s">
        <v>66</v>
      </c>
      <c r="AX938">
        <v>0</v>
      </c>
      <c r="AY938" t="s">
        <v>66</v>
      </c>
      <c r="AZ938">
        <v>0</v>
      </c>
      <c r="BA938" t="s">
        <v>66</v>
      </c>
      <c r="BB938">
        <v>0</v>
      </c>
      <c r="BC938">
        <v>0</v>
      </c>
      <c r="BD938">
        <v>17472.509999999998</v>
      </c>
      <c r="BE938">
        <v>4779.55</v>
      </c>
      <c r="BF938">
        <v>0</v>
      </c>
      <c r="BG938" t="s">
        <v>87</v>
      </c>
      <c r="BH938" t="s">
        <v>66</v>
      </c>
      <c r="BI938">
        <v>0</v>
      </c>
      <c r="BJ938" t="s">
        <v>66</v>
      </c>
      <c r="BK938" t="s">
        <v>88</v>
      </c>
      <c r="BL938" t="s">
        <v>66</v>
      </c>
      <c r="BM938" t="s">
        <v>159</v>
      </c>
    </row>
    <row r="939" spans="1:65" x14ac:dyDescent="0.25">
      <c r="A939">
        <v>937</v>
      </c>
      <c r="B939" t="s">
        <v>1279</v>
      </c>
      <c r="C939" t="s">
        <v>68</v>
      </c>
      <c r="D939" s="1">
        <v>46214</v>
      </c>
      <c r="E939" t="s">
        <v>1280</v>
      </c>
      <c r="F939" t="s">
        <v>68</v>
      </c>
      <c r="G939" t="s">
        <v>69</v>
      </c>
      <c r="H939" t="s">
        <v>70</v>
      </c>
      <c r="I939" t="s">
        <v>71</v>
      </c>
      <c r="J939" t="s">
        <v>72</v>
      </c>
      <c r="K939" t="s">
        <v>73</v>
      </c>
      <c r="L939" t="s">
        <v>74</v>
      </c>
      <c r="M939" t="s">
        <v>1281</v>
      </c>
      <c r="N939" t="s">
        <v>111</v>
      </c>
      <c r="O939" t="s">
        <v>1282</v>
      </c>
      <c r="P939" t="s">
        <v>1283</v>
      </c>
      <c r="Q939" t="s">
        <v>1284</v>
      </c>
      <c r="R939" s="1">
        <v>46217</v>
      </c>
      <c r="S939" t="s">
        <v>1218</v>
      </c>
      <c r="T939" t="s">
        <v>1219</v>
      </c>
      <c r="U939" t="s">
        <v>1220</v>
      </c>
      <c r="V939" t="s">
        <v>66</v>
      </c>
      <c r="W939" t="s">
        <v>66</v>
      </c>
      <c r="X939">
        <v>4533705</v>
      </c>
      <c r="Y939">
        <v>498707.55</v>
      </c>
      <c r="Z939">
        <v>1128600</v>
      </c>
      <c r="AA939">
        <v>124146</v>
      </c>
      <c r="AB939">
        <v>5032412.55</v>
      </c>
      <c r="AC939">
        <v>60</v>
      </c>
      <c r="AD939" t="s">
        <v>82</v>
      </c>
      <c r="AE939">
        <v>60</v>
      </c>
      <c r="AF939" t="s">
        <v>102</v>
      </c>
      <c r="AG939">
        <f>IFERROR(VLOOKUP(AF939,[1]STOK!J:O,6,0),"")</f>
        <v>12</v>
      </c>
      <c r="AH939" s="2">
        <f t="shared" si="28"/>
        <v>5</v>
      </c>
      <c r="AI939" t="s">
        <v>102</v>
      </c>
      <c r="AJ939" t="s">
        <v>103</v>
      </c>
      <c r="AK939" t="s">
        <v>104</v>
      </c>
      <c r="AL939" t="s">
        <v>86</v>
      </c>
      <c r="AM939">
        <v>22200</v>
      </c>
      <c r="AN939">
        <f t="shared" si="29"/>
        <v>20879.099999999999</v>
      </c>
      <c r="AO939" t="s">
        <v>66</v>
      </c>
      <c r="AP939">
        <v>1</v>
      </c>
      <c r="AQ939" t="s">
        <v>66</v>
      </c>
      <c r="AR939">
        <v>0</v>
      </c>
      <c r="AS939" t="s">
        <v>66</v>
      </c>
      <c r="AT939">
        <v>0</v>
      </c>
      <c r="AU939" t="s">
        <v>66</v>
      </c>
      <c r="AV939">
        <v>5</v>
      </c>
      <c r="AW939" t="s">
        <v>66</v>
      </c>
      <c r="AX939">
        <v>0</v>
      </c>
      <c r="AY939" t="s">
        <v>66</v>
      </c>
      <c r="AZ939">
        <v>0</v>
      </c>
      <c r="BA939" t="s">
        <v>66</v>
      </c>
      <c r="BB939">
        <v>0</v>
      </c>
      <c r="BC939">
        <v>0</v>
      </c>
      <c r="BD939">
        <v>1252746</v>
      </c>
      <c r="BE939">
        <v>18090.18</v>
      </c>
      <c r="BF939">
        <v>0</v>
      </c>
      <c r="BG939" t="s">
        <v>87</v>
      </c>
      <c r="BH939" t="s">
        <v>66</v>
      </c>
      <c r="BI939">
        <v>0</v>
      </c>
      <c r="BJ939" t="s">
        <v>66</v>
      </c>
      <c r="BK939" t="s">
        <v>88</v>
      </c>
      <c r="BL939" t="s">
        <v>66</v>
      </c>
      <c r="BM939" t="s">
        <v>159</v>
      </c>
    </row>
    <row r="940" spans="1:65" x14ac:dyDescent="0.25">
      <c r="A940">
        <v>938</v>
      </c>
      <c r="B940" t="s">
        <v>1279</v>
      </c>
      <c r="C940" t="s">
        <v>68</v>
      </c>
      <c r="D940" s="1">
        <v>46214</v>
      </c>
      <c r="E940" t="s">
        <v>1280</v>
      </c>
      <c r="F940" t="s">
        <v>68</v>
      </c>
      <c r="G940" t="s">
        <v>69</v>
      </c>
      <c r="H940" t="s">
        <v>70</v>
      </c>
      <c r="I940" t="s">
        <v>71</v>
      </c>
      <c r="J940" t="s">
        <v>72</v>
      </c>
      <c r="K940" t="s">
        <v>73</v>
      </c>
      <c r="L940" t="s">
        <v>74</v>
      </c>
      <c r="M940" t="s">
        <v>1281</v>
      </c>
      <c r="N940" t="s">
        <v>111</v>
      </c>
      <c r="O940" t="s">
        <v>1282</v>
      </c>
      <c r="P940" t="s">
        <v>1283</v>
      </c>
      <c r="Q940" t="s">
        <v>1284</v>
      </c>
      <c r="R940" s="1">
        <v>46217</v>
      </c>
      <c r="S940" t="s">
        <v>1218</v>
      </c>
      <c r="T940" t="s">
        <v>1219</v>
      </c>
      <c r="U940" t="s">
        <v>1220</v>
      </c>
      <c r="V940" t="s">
        <v>66</v>
      </c>
      <c r="W940" t="s">
        <v>66</v>
      </c>
      <c r="X940">
        <v>4533705</v>
      </c>
      <c r="Y940">
        <v>498707.55</v>
      </c>
      <c r="Z940">
        <v>910008</v>
      </c>
      <c r="AA940">
        <v>100100.88</v>
      </c>
      <c r="AB940">
        <v>5032412.55</v>
      </c>
      <c r="AC940">
        <v>24</v>
      </c>
      <c r="AD940" t="s">
        <v>82</v>
      </c>
      <c r="AE940">
        <v>24</v>
      </c>
      <c r="AF940" t="s">
        <v>138</v>
      </c>
      <c r="AG940">
        <f>IFERROR(VLOOKUP(AF940,[1]STOK!J:O,6,0),"")</f>
        <v>6</v>
      </c>
      <c r="AH940" s="2">
        <f t="shared" si="28"/>
        <v>4</v>
      </c>
      <c r="AI940" t="s">
        <v>138</v>
      </c>
      <c r="AJ940" t="s">
        <v>139</v>
      </c>
      <c r="AK940" t="s">
        <v>140</v>
      </c>
      <c r="AL940" t="s">
        <v>86</v>
      </c>
      <c r="AM940">
        <v>42513</v>
      </c>
      <c r="AN940">
        <f t="shared" si="29"/>
        <v>42087.87</v>
      </c>
      <c r="AO940" t="s">
        <v>66</v>
      </c>
      <c r="AP940">
        <v>1</v>
      </c>
      <c r="AQ940" t="s">
        <v>66</v>
      </c>
      <c r="AR940">
        <v>0</v>
      </c>
      <c r="AS940" t="s">
        <v>66</v>
      </c>
      <c r="AT940">
        <v>0</v>
      </c>
      <c r="AU940" t="s">
        <v>66</v>
      </c>
      <c r="AV940">
        <v>0</v>
      </c>
      <c r="AW940" t="s">
        <v>66</v>
      </c>
      <c r="AX940">
        <v>0</v>
      </c>
      <c r="AY940" t="s">
        <v>66</v>
      </c>
      <c r="AZ940">
        <v>0</v>
      </c>
      <c r="BA940" t="s">
        <v>66</v>
      </c>
      <c r="BB940">
        <v>0</v>
      </c>
      <c r="BC940">
        <v>0</v>
      </c>
      <c r="BD940">
        <v>1010108.88</v>
      </c>
      <c r="BE940">
        <v>34661.269999999997</v>
      </c>
      <c r="BF940">
        <v>0</v>
      </c>
      <c r="BG940" t="s">
        <v>87</v>
      </c>
      <c r="BH940" t="s">
        <v>66</v>
      </c>
      <c r="BI940">
        <v>0</v>
      </c>
      <c r="BJ940" t="s">
        <v>66</v>
      </c>
      <c r="BK940" t="s">
        <v>88</v>
      </c>
      <c r="BL940" t="s">
        <v>66</v>
      </c>
      <c r="BM940" t="s">
        <v>159</v>
      </c>
    </row>
    <row r="941" spans="1:65" x14ac:dyDescent="0.25">
      <c r="A941">
        <v>939</v>
      </c>
      <c r="B941" t="s">
        <v>1279</v>
      </c>
      <c r="C941" t="s">
        <v>68</v>
      </c>
      <c r="D941" s="1">
        <v>46214</v>
      </c>
      <c r="E941" t="s">
        <v>1280</v>
      </c>
      <c r="F941" t="s">
        <v>68</v>
      </c>
      <c r="G941" t="s">
        <v>69</v>
      </c>
      <c r="H941" t="s">
        <v>70</v>
      </c>
      <c r="I941" t="s">
        <v>71</v>
      </c>
      <c r="J941" t="s">
        <v>72</v>
      </c>
      <c r="K941" t="s">
        <v>73</v>
      </c>
      <c r="L941" t="s">
        <v>74</v>
      </c>
      <c r="M941" t="s">
        <v>1281</v>
      </c>
      <c r="N941" t="s">
        <v>111</v>
      </c>
      <c r="O941" t="s">
        <v>1282</v>
      </c>
      <c r="P941" t="s">
        <v>1283</v>
      </c>
      <c r="Q941" t="s">
        <v>1284</v>
      </c>
      <c r="R941" s="1">
        <v>46217</v>
      </c>
      <c r="S941" t="s">
        <v>1218</v>
      </c>
      <c r="T941" t="s">
        <v>1219</v>
      </c>
      <c r="U941" t="s">
        <v>1220</v>
      </c>
      <c r="V941" t="s">
        <v>66</v>
      </c>
      <c r="W941" t="s">
        <v>66</v>
      </c>
      <c r="X941">
        <v>4533705</v>
      </c>
      <c r="Y941">
        <v>498707.55</v>
      </c>
      <c r="Z941">
        <v>171072</v>
      </c>
      <c r="AA941">
        <v>18817.919999999998</v>
      </c>
      <c r="AB941">
        <v>5032412.55</v>
      </c>
      <c r="AC941">
        <v>12</v>
      </c>
      <c r="AD941" t="s">
        <v>82</v>
      </c>
      <c r="AE941">
        <v>12</v>
      </c>
      <c r="AF941" t="s">
        <v>141</v>
      </c>
      <c r="AG941">
        <f>IFERROR(VLOOKUP(AF941,[1]STOK!J:O,6,0),"")</f>
        <v>12</v>
      </c>
      <c r="AH941" s="2">
        <f t="shared" si="28"/>
        <v>1</v>
      </c>
      <c r="AI941" t="s">
        <v>141</v>
      </c>
      <c r="AJ941" t="s">
        <v>142</v>
      </c>
      <c r="AK941" t="s">
        <v>143</v>
      </c>
      <c r="AL941" t="s">
        <v>86</v>
      </c>
      <c r="AM941">
        <v>15984</v>
      </c>
      <c r="AN941">
        <f t="shared" si="29"/>
        <v>15824.160000000002</v>
      </c>
      <c r="AO941" t="s">
        <v>66</v>
      </c>
      <c r="AP941">
        <v>1</v>
      </c>
      <c r="AQ941" t="s">
        <v>66</v>
      </c>
      <c r="AR941">
        <v>0</v>
      </c>
      <c r="AS941" t="s">
        <v>66</v>
      </c>
      <c r="AT941">
        <v>0</v>
      </c>
      <c r="AU941" t="s">
        <v>66</v>
      </c>
      <c r="AV941">
        <v>0</v>
      </c>
      <c r="AW941" t="s">
        <v>66</v>
      </c>
      <c r="AX941">
        <v>0</v>
      </c>
      <c r="AY941" t="s">
        <v>66</v>
      </c>
      <c r="AZ941">
        <v>0</v>
      </c>
      <c r="BA941" t="s">
        <v>66</v>
      </c>
      <c r="BB941">
        <v>0</v>
      </c>
      <c r="BC941">
        <v>0</v>
      </c>
      <c r="BD941">
        <v>189889.92000000001</v>
      </c>
      <c r="BE941">
        <v>13031.69</v>
      </c>
      <c r="BF941">
        <v>0</v>
      </c>
      <c r="BG941" t="s">
        <v>87</v>
      </c>
      <c r="BH941" t="s">
        <v>66</v>
      </c>
      <c r="BI941">
        <v>0</v>
      </c>
      <c r="BJ941" t="s">
        <v>66</v>
      </c>
      <c r="BK941" t="s">
        <v>88</v>
      </c>
      <c r="BL941" t="s">
        <v>66</v>
      </c>
      <c r="BM941" t="s">
        <v>159</v>
      </c>
    </row>
    <row r="942" spans="1:65" x14ac:dyDescent="0.25">
      <c r="A942">
        <v>940</v>
      </c>
      <c r="B942" t="s">
        <v>1279</v>
      </c>
      <c r="C942" t="s">
        <v>68</v>
      </c>
      <c r="D942" s="1">
        <v>46214</v>
      </c>
      <c r="E942" t="s">
        <v>1280</v>
      </c>
      <c r="F942" t="s">
        <v>68</v>
      </c>
      <c r="G942" t="s">
        <v>69</v>
      </c>
      <c r="H942" t="s">
        <v>70</v>
      </c>
      <c r="I942" t="s">
        <v>71</v>
      </c>
      <c r="J942" t="s">
        <v>72</v>
      </c>
      <c r="K942" t="s">
        <v>73</v>
      </c>
      <c r="L942" t="s">
        <v>74</v>
      </c>
      <c r="M942" t="s">
        <v>1281</v>
      </c>
      <c r="N942" t="s">
        <v>111</v>
      </c>
      <c r="O942" t="s">
        <v>1282</v>
      </c>
      <c r="P942" t="s">
        <v>1283</v>
      </c>
      <c r="Q942" t="s">
        <v>1284</v>
      </c>
      <c r="R942" s="1">
        <v>46217</v>
      </c>
      <c r="S942" t="s">
        <v>1218</v>
      </c>
      <c r="T942" t="s">
        <v>1219</v>
      </c>
      <c r="U942" t="s">
        <v>1220</v>
      </c>
      <c r="V942" t="s">
        <v>66</v>
      </c>
      <c r="W942" t="s">
        <v>66</v>
      </c>
      <c r="X942">
        <v>4533705</v>
      </c>
      <c r="Y942">
        <v>498707.55</v>
      </c>
      <c r="Z942">
        <v>855360</v>
      </c>
      <c r="AA942">
        <v>94089.600000000006</v>
      </c>
      <c r="AB942">
        <v>5032412.55</v>
      </c>
      <c r="AC942">
        <v>60</v>
      </c>
      <c r="AD942" t="s">
        <v>82</v>
      </c>
      <c r="AE942">
        <v>60</v>
      </c>
      <c r="AF942" t="s">
        <v>213</v>
      </c>
      <c r="AG942">
        <f>IFERROR(VLOOKUP(AF942,[1]STOK!J:O,6,0),"")</f>
        <v>12</v>
      </c>
      <c r="AH942" s="2">
        <f t="shared" si="28"/>
        <v>5</v>
      </c>
      <c r="AI942" t="s">
        <v>213</v>
      </c>
      <c r="AJ942" t="s">
        <v>214</v>
      </c>
      <c r="AK942" t="s">
        <v>215</v>
      </c>
      <c r="AL942" t="s">
        <v>86</v>
      </c>
      <c r="AM942">
        <v>15984</v>
      </c>
      <c r="AN942">
        <f t="shared" si="29"/>
        <v>15824.16</v>
      </c>
      <c r="AO942" t="s">
        <v>66</v>
      </c>
      <c r="AP942">
        <v>1</v>
      </c>
      <c r="AQ942" t="s">
        <v>66</v>
      </c>
      <c r="AR942">
        <v>0</v>
      </c>
      <c r="AS942" t="s">
        <v>66</v>
      </c>
      <c r="AT942">
        <v>0</v>
      </c>
      <c r="AU942" t="s">
        <v>66</v>
      </c>
      <c r="AV942">
        <v>0</v>
      </c>
      <c r="AW942" t="s">
        <v>66</v>
      </c>
      <c r="AX942">
        <v>0</v>
      </c>
      <c r="AY942" t="s">
        <v>66</v>
      </c>
      <c r="AZ942">
        <v>0</v>
      </c>
      <c r="BA942" t="s">
        <v>66</v>
      </c>
      <c r="BB942">
        <v>0</v>
      </c>
      <c r="BC942">
        <v>0</v>
      </c>
      <c r="BD942">
        <v>949449.6</v>
      </c>
      <c r="BE942">
        <v>13008.41</v>
      </c>
      <c r="BF942">
        <v>0</v>
      </c>
      <c r="BG942" t="s">
        <v>87</v>
      </c>
      <c r="BH942" t="s">
        <v>66</v>
      </c>
      <c r="BI942">
        <v>0</v>
      </c>
      <c r="BJ942" t="s">
        <v>66</v>
      </c>
      <c r="BK942" t="s">
        <v>88</v>
      </c>
      <c r="BL942" t="s">
        <v>66</v>
      </c>
      <c r="BM942" t="s">
        <v>159</v>
      </c>
    </row>
    <row r="943" spans="1:65" x14ac:dyDescent="0.25">
      <c r="A943">
        <v>941</v>
      </c>
      <c r="B943" t="s">
        <v>1288</v>
      </c>
      <c r="C943" t="s">
        <v>68</v>
      </c>
      <c r="D943" s="1">
        <v>46214</v>
      </c>
      <c r="E943" t="s">
        <v>1289</v>
      </c>
      <c r="F943" t="s">
        <v>68</v>
      </c>
      <c r="G943" t="s">
        <v>69</v>
      </c>
      <c r="H943" t="s">
        <v>70</v>
      </c>
      <c r="I943" t="s">
        <v>71</v>
      </c>
      <c r="J943" t="s">
        <v>72</v>
      </c>
      <c r="K943" t="s">
        <v>73</v>
      </c>
      <c r="L943" t="s">
        <v>74</v>
      </c>
      <c r="M943" t="s">
        <v>1290</v>
      </c>
      <c r="N943" t="s">
        <v>76</v>
      </c>
      <c r="O943" t="s">
        <v>1291</v>
      </c>
      <c r="P943" t="s">
        <v>1292</v>
      </c>
      <c r="Q943" t="s">
        <v>1293</v>
      </c>
      <c r="R943" s="1">
        <v>46214</v>
      </c>
      <c r="S943" t="s">
        <v>1294</v>
      </c>
      <c r="T943" t="s">
        <v>1277</v>
      </c>
      <c r="U943" t="s">
        <v>1278</v>
      </c>
      <c r="V943" t="s">
        <v>66</v>
      </c>
      <c r="W943" t="s">
        <v>66</v>
      </c>
      <c r="X943">
        <v>788238</v>
      </c>
      <c r="Y943">
        <v>86706.18</v>
      </c>
      <c r="Z943">
        <v>43956</v>
      </c>
      <c r="AA943">
        <v>4835.16</v>
      </c>
      <c r="AB943">
        <v>874944.18</v>
      </c>
      <c r="AC943">
        <v>6</v>
      </c>
      <c r="AD943" t="s">
        <v>82</v>
      </c>
      <c r="AE943">
        <v>6</v>
      </c>
      <c r="AF943" t="s">
        <v>415</v>
      </c>
      <c r="AG943">
        <f>IFERROR(VLOOKUP(AF943,[1]STOK!J:O,6,0),"")</f>
        <v>24</v>
      </c>
      <c r="AH943" s="2">
        <f t="shared" si="28"/>
        <v>0.25</v>
      </c>
      <c r="AI943" t="s">
        <v>415</v>
      </c>
      <c r="AJ943" t="s">
        <v>416</v>
      </c>
      <c r="AK943" t="s">
        <v>417</v>
      </c>
      <c r="AL943" t="s">
        <v>86</v>
      </c>
      <c r="AM943">
        <v>8214</v>
      </c>
      <c r="AN943">
        <f t="shared" si="29"/>
        <v>8131.8600000000006</v>
      </c>
      <c r="AO943" t="s">
        <v>66</v>
      </c>
      <c r="AP943">
        <v>1</v>
      </c>
      <c r="AQ943" t="s">
        <v>66</v>
      </c>
      <c r="AR943">
        <v>0</v>
      </c>
      <c r="AS943" t="s">
        <v>66</v>
      </c>
      <c r="AT943">
        <v>0</v>
      </c>
      <c r="AU943" t="s">
        <v>66</v>
      </c>
      <c r="AV943">
        <v>0</v>
      </c>
      <c r="AW943" t="s">
        <v>66</v>
      </c>
      <c r="AX943">
        <v>0</v>
      </c>
      <c r="AY943" t="s">
        <v>66</v>
      </c>
      <c r="AZ943">
        <v>0</v>
      </c>
      <c r="BA943" t="s">
        <v>66</v>
      </c>
      <c r="BB943">
        <v>0</v>
      </c>
      <c r="BC943">
        <v>0</v>
      </c>
      <c r="BD943">
        <v>48791.16</v>
      </c>
      <c r="BE943">
        <v>6673.67</v>
      </c>
      <c r="BF943">
        <v>0</v>
      </c>
      <c r="BG943" t="s">
        <v>87</v>
      </c>
      <c r="BH943" t="s">
        <v>66</v>
      </c>
      <c r="BI943">
        <v>0</v>
      </c>
      <c r="BJ943" t="s">
        <v>66</v>
      </c>
      <c r="BK943" t="s">
        <v>88</v>
      </c>
      <c r="BL943" t="s">
        <v>66</v>
      </c>
      <c r="BM943" t="s">
        <v>159</v>
      </c>
    </row>
    <row r="944" spans="1:65" x14ac:dyDescent="0.25">
      <c r="A944">
        <v>942</v>
      </c>
      <c r="B944" t="s">
        <v>1288</v>
      </c>
      <c r="C944" t="s">
        <v>68</v>
      </c>
      <c r="D944" s="1">
        <v>46214</v>
      </c>
      <c r="E944" t="s">
        <v>1289</v>
      </c>
      <c r="F944" t="s">
        <v>68</v>
      </c>
      <c r="G944" t="s">
        <v>69</v>
      </c>
      <c r="H944" t="s">
        <v>70</v>
      </c>
      <c r="I944" t="s">
        <v>71</v>
      </c>
      <c r="J944" t="s">
        <v>72</v>
      </c>
      <c r="K944" t="s">
        <v>73</v>
      </c>
      <c r="L944" t="s">
        <v>74</v>
      </c>
      <c r="M944" t="s">
        <v>1290</v>
      </c>
      <c r="N944" t="s">
        <v>76</v>
      </c>
      <c r="O944" t="s">
        <v>1291</v>
      </c>
      <c r="P944" t="s">
        <v>1292</v>
      </c>
      <c r="Q944" t="s">
        <v>1293</v>
      </c>
      <c r="R944" s="1">
        <v>46214</v>
      </c>
      <c r="S944" t="s">
        <v>1294</v>
      </c>
      <c r="T944" t="s">
        <v>1277</v>
      </c>
      <c r="U944" t="s">
        <v>1278</v>
      </c>
      <c r="V944" t="s">
        <v>66</v>
      </c>
      <c r="W944" t="s">
        <v>66</v>
      </c>
      <c r="X944">
        <v>788238</v>
      </c>
      <c r="Y944">
        <v>86706.18</v>
      </c>
      <c r="Z944">
        <v>21978</v>
      </c>
      <c r="AA944">
        <v>2417.58</v>
      </c>
      <c r="AB944">
        <v>874944.18</v>
      </c>
      <c r="AC944">
        <v>3</v>
      </c>
      <c r="AD944" t="s">
        <v>82</v>
      </c>
      <c r="AE944">
        <v>3</v>
      </c>
      <c r="AF944" t="s">
        <v>262</v>
      </c>
      <c r="AG944">
        <f>IFERROR(VLOOKUP(AF944,[1]STOK!J:O,6,0),"")</f>
        <v>24</v>
      </c>
      <c r="AH944" s="2">
        <f t="shared" si="28"/>
        <v>0.125</v>
      </c>
      <c r="AI944" t="s">
        <v>262</v>
      </c>
      <c r="AJ944" t="s">
        <v>263</v>
      </c>
      <c r="AK944" t="s">
        <v>264</v>
      </c>
      <c r="AL944" t="s">
        <v>86</v>
      </c>
      <c r="AM944">
        <v>8214</v>
      </c>
      <c r="AN944">
        <f t="shared" si="29"/>
        <v>8131.8600000000006</v>
      </c>
      <c r="AO944" t="s">
        <v>66</v>
      </c>
      <c r="AP944">
        <v>1</v>
      </c>
      <c r="AQ944" t="s">
        <v>66</v>
      </c>
      <c r="AR944">
        <v>0</v>
      </c>
      <c r="AS944" t="s">
        <v>66</v>
      </c>
      <c r="AT944">
        <v>0</v>
      </c>
      <c r="AU944" t="s">
        <v>66</v>
      </c>
      <c r="AV944">
        <v>0</v>
      </c>
      <c r="AW944" t="s">
        <v>66</v>
      </c>
      <c r="AX944">
        <v>0</v>
      </c>
      <c r="AY944" t="s">
        <v>66</v>
      </c>
      <c r="AZ944">
        <v>0</v>
      </c>
      <c r="BA944" t="s">
        <v>66</v>
      </c>
      <c r="BB944">
        <v>0</v>
      </c>
      <c r="BC944">
        <v>0</v>
      </c>
      <c r="BD944">
        <v>24395.58</v>
      </c>
      <c r="BE944">
        <v>6696.26</v>
      </c>
      <c r="BF944">
        <v>0</v>
      </c>
      <c r="BG944" t="s">
        <v>87</v>
      </c>
      <c r="BH944" t="s">
        <v>66</v>
      </c>
      <c r="BI944">
        <v>0</v>
      </c>
      <c r="BJ944" t="s">
        <v>66</v>
      </c>
      <c r="BK944" t="s">
        <v>88</v>
      </c>
      <c r="BL944" t="s">
        <v>66</v>
      </c>
      <c r="BM944" t="s">
        <v>159</v>
      </c>
    </row>
    <row r="945" spans="1:65" x14ac:dyDescent="0.25">
      <c r="A945">
        <v>943</v>
      </c>
      <c r="B945" t="s">
        <v>1288</v>
      </c>
      <c r="C945" t="s">
        <v>68</v>
      </c>
      <c r="D945" s="1">
        <v>46214</v>
      </c>
      <c r="E945" t="s">
        <v>1289</v>
      </c>
      <c r="F945" t="s">
        <v>68</v>
      </c>
      <c r="G945" t="s">
        <v>69</v>
      </c>
      <c r="H945" t="s">
        <v>70</v>
      </c>
      <c r="I945" t="s">
        <v>71</v>
      </c>
      <c r="J945" t="s">
        <v>72</v>
      </c>
      <c r="K945" t="s">
        <v>73</v>
      </c>
      <c r="L945" t="s">
        <v>74</v>
      </c>
      <c r="M945" t="s">
        <v>1290</v>
      </c>
      <c r="N945" t="s">
        <v>76</v>
      </c>
      <c r="O945" t="s">
        <v>1291</v>
      </c>
      <c r="P945" t="s">
        <v>1292</v>
      </c>
      <c r="Q945" t="s">
        <v>1293</v>
      </c>
      <c r="R945" s="1">
        <v>46214</v>
      </c>
      <c r="S945" t="s">
        <v>1294</v>
      </c>
      <c r="T945" t="s">
        <v>1277</v>
      </c>
      <c r="U945" t="s">
        <v>1278</v>
      </c>
      <c r="V945" t="s">
        <v>66</v>
      </c>
      <c r="W945" t="s">
        <v>66</v>
      </c>
      <c r="X945">
        <v>788238</v>
      </c>
      <c r="Y945">
        <v>86706.18</v>
      </c>
      <c r="Z945">
        <v>29997</v>
      </c>
      <c r="AA945">
        <v>3299.67</v>
      </c>
      <c r="AB945">
        <v>874944.18</v>
      </c>
      <c r="AC945">
        <v>3</v>
      </c>
      <c r="AD945" t="s">
        <v>82</v>
      </c>
      <c r="AE945">
        <v>3</v>
      </c>
      <c r="AF945" t="s">
        <v>723</v>
      </c>
      <c r="AG945">
        <f>IFERROR(VLOOKUP(AF945,[1]STOK!J:O,6,0),"")</f>
        <v>24</v>
      </c>
      <c r="AH945" s="2">
        <f t="shared" si="28"/>
        <v>0.125</v>
      </c>
      <c r="AI945" t="s">
        <v>723</v>
      </c>
      <c r="AJ945" t="s">
        <v>724</v>
      </c>
      <c r="AK945" t="s">
        <v>725</v>
      </c>
      <c r="AL945" t="s">
        <v>86</v>
      </c>
      <c r="AM945">
        <v>11211</v>
      </c>
      <c r="AN945">
        <f t="shared" si="29"/>
        <v>11098.89</v>
      </c>
      <c r="AO945" t="s">
        <v>66</v>
      </c>
      <c r="AP945">
        <v>1</v>
      </c>
      <c r="AQ945" t="s">
        <v>66</v>
      </c>
      <c r="AR945">
        <v>0</v>
      </c>
      <c r="AS945" t="s">
        <v>66</v>
      </c>
      <c r="AT945">
        <v>0</v>
      </c>
      <c r="AU945" t="s">
        <v>66</v>
      </c>
      <c r="AV945">
        <v>0</v>
      </c>
      <c r="AW945" t="s">
        <v>66</v>
      </c>
      <c r="AX945">
        <v>0</v>
      </c>
      <c r="AY945" t="s">
        <v>66</v>
      </c>
      <c r="AZ945">
        <v>0</v>
      </c>
      <c r="BA945" t="s">
        <v>66</v>
      </c>
      <c r="BB945">
        <v>0</v>
      </c>
      <c r="BC945">
        <v>0</v>
      </c>
      <c r="BD945">
        <v>33296.67</v>
      </c>
      <c r="BE945">
        <v>9091.2900000000009</v>
      </c>
      <c r="BF945">
        <v>0</v>
      </c>
      <c r="BG945" t="s">
        <v>87</v>
      </c>
      <c r="BH945" t="s">
        <v>1295</v>
      </c>
      <c r="BI945">
        <v>3</v>
      </c>
      <c r="BJ945" t="s">
        <v>209</v>
      </c>
      <c r="BK945" t="s">
        <v>88</v>
      </c>
      <c r="BL945" t="s">
        <v>66</v>
      </c>
      <c r="BM945" t="s">
        <v>159</v>
      </c>
    </row>
    <row r="946" spans="1:65" x14ac:dyDescent="0.25">
      <c r="A946">
        <v>944</v>
      </c>
      <c r="B946" t="s">
        <v>1288</v>
      </c>
      <c r="C946" t="s">
        <v>68</v>
      </c>
      <c r="D946" s="1">
        <v>46214</v>
      </c>
      <c r="E946" t="s">
        <v>1289</v>
      </c>
      <c r="F946" t="s">
        <v>68</v>
      </c>
      <c r="G946" t="s">
        <v>69</v>
      </c>
      <c r="H946" t="s">
        <v>70</v>
      </c>
      <c r="I946" t="s">
        <v>71</v>
      </c>
      <c r="J946" t="s">
        <v>72</v>
      </c>
      <c r="K946" t="s">
        <v>73</v>
      </c>
      <c r="L946" t="s">
        <v>74</v>
      </c>
      <c r="M946" t="s">
        <v>1290</v>
      </c>
      <c r="N946" t="s">
        <v>76</v>
      </c>
      <c r="O946" t="s">
        <v>1291</v>
      </c>
      <c r="P946" t="s">
        <v>1292</v>
      </c>
      <c r="Q946" t="s">
        <v>1293</v>
      </c>
      <c r="R946" s="1">
        <v>46214</v>
      </c>
      <c r="S946" t="s">
        <v>1294</v>
      </c>
      <c r="T946" t="s">
        <v>1277</v>
      </c>
      <c r="U946" t="s">
        <v>1278</v>
      </c>
      <c r="V946" t="s">
        <v>66</v>
      </c>
      <c r="W946" t="s">
        <v>66</v>
      </c>
      <c r="X946">
        <v>788238</v>
      </c>
      <c r="Y946">
        <v>86706.18</v>
      </c>
      <c r="Z946">
        <v>29997</v>
      </c>
      <c r="AA946">
        <v>3299.67</v>
      </c>
      <c r="AB946">
        <v>874944.18</v>
      </c>
      <c r="AC946">
        <v>3</v>
      </c>
      <c r="AD946" t="s">
        <v>82</v>
      </c>
      <c r="AE946">
        <v>3</v>
      </c>
      <c r="AF946" t="s">
        <v>857</v>
      </c>
      <c r="AG946">
        <f>IFERROR(VLOOKUP(AF946,[1]STOK!J:O,6,0),"")</f>
        <v>24</v>
      </c>
      <c r="AH946" s="2">
        <f t="shared" si="28"/>
        <v>0.125</v>
      </c>
      <c r="AI946" t="s">
        <v>857</v>
      </c>
      <c r="AJ946" t="s">
        <v>858</v>
      </c>
      <c r="AK946" t="s">
        <v>859</v>
      </c>
      <c r="AL946" t="s">
        <v>86</v>
      </c>
      <c r="AM946">
        <v>11211</v>
      </c>
      <c r="AN946">
        <f t="shared" si="29"/>
        <v>11098.89</v>
      </c>
      <c r="AO946" t="s">
        <v>66</v>
      </c>
      <c r="AP946">
        <v>1</v>
      </c>
      <c r="AQ946" t="s">
        <v>66</v>
      </c>
      <c r="AR946">
        <v>0</v>
      </c>
      <c r="AS946" t="s">
        <v>66</v>
      </c>
      <c r="AT946">
        <v>0</v>
      </c>
      <c r="AU946" t="s">
        <v>66</v>
      </c>
      <c r="AV946">
        <v>0</v>
      </c>
      <c r="AW946" t="s">
        <v>66</v>
      </c>
      <c r="AX946">
        <v>0</v>
      </c>
      <c r="AY946" t="s">
        <v>66</v>
      </c>
      <c r="AZ946">
        <v>0</v>
      </c>
      <c r="BA946" t="s">
        <v>66</v>
      </c>
      <c r="BB946">
        <v>0</v>
      </c>
      <c r="BC946">
        <v>0</v>
      </c>
      <c r="BD946">
        <v>33296.67</v>
      </c>
      <c r="BE946">
        <v>9046.9</v>
      </c>
      <c r="BF946">
        <v>0</v>
      </c>
      <c r="BG946" t="s">
        <v>87</v>
      </c>
      <c r="BH946" t="s">
        <v>1295</v>
      </c>
      <c r="BI946">
        <v>3</v>
      </c>
      <c r="BJ946" t="s">
        <v>209</v>
      </c>
      <c r="BK946" t="s">
        <v>88</v>
      </c>
      <c r="BL946" t="s">
        <v>66</v>
      </c>
      <c r="BM946" t="s">
        <v>159</v>
      </c>
    </row>
    <row r="947" spans="1:65" x14ac:dyDescent="0.25">
      <c r="A947">
        <v>945</v>
      </c>
      <c r="B947" t="s">
        <v>1288</v>
      </c>
      <c r="C947" t="s">
        <v>68</v>
      </c>
      <c r="D947" s="1">
        <v>46214</v>
      </c>
      <c r="E947" t="s">
        <v>1289</v>
      </c>
      <c r="F947" t="s">
        <v>68</v>
      </c>
      <c r="G947" t="s">
        <v>69</v>
      </c>
      <c r="H947" t="s">
        <v>70</v>
      </c>
      <c r="I947" t="s">
        <v>71</v>
      </c>
      <c r="J947" t="s">
        <v>72</v>
      </c>
      <c r="K947" t="s">
        <v>73</v>
      </c>
      <c r="L947" t="s">
        <v>74</v>
      </c>
      <c r="M947" t="s">
        <v>1290</v>
      </c>
      <c r="N947" t="s">
        <v>76</v>
      </c>
      <c r="O947" t="s">
        <v>1291</v>
      </c>
      <c r="P947" t="s">
        <v>1292</v>
      </c>
      <c r="Q947" t="s">
        <v>1293</v>
      </c>
      <c r="R947" s="1">
        <v>46214</v>
      </c>
      <c r="S947" t="s">
        <v>1294</v>
      </c>
      <c r="T947" t="s">
        <v>1277</v>
      </c>
      <c r="U947" t="s">
        <v>1278</v>
      </c>
      <c r="V947" t="s">
        <v>66</v>
      </c>
      <c r="W947" t="s">
        <v>66</v>
      </c>
      <c r="X947">
        <v>788238</v>
      </c>
      <c r="Y947">
        <v>86706.18</v>
      </c>
      <c r="Z947">
        <v>46926</v>
      </c>
      <c r="AA947">
        <v>5161.8599999999997</v>
      </c>
      <c r="AB947">
        <v>874944.18</v>
      </c>
      <c r="AC947">
        <v>6</v>
      </c>
      <c r="AD947" t="s">
        <v>82</v>
      </c>
      <c r="AE947">
        <v>6</v>
      </c>
      <c r="AF947" t="s">
        <v>248</v>
      </c>
      <c r="AG947">
        <f>IFERROR(VLOOKUP(AF947,[1]STOK!J:O,6,0),"")</f>
        <v>24</v>
      </c>
      <c r="AH947" s="2">
        <f t="shared" si="28"/>
        <v>0.25</v>
      </c>
      <c r="AI947" t="s">
        <v>248</v>
      </c>
      <c r="AJ947" t="s">
        <v>249</v>
      </c>
      <c r="AK947" t="s">
        <v>250</v>
      </c>
      <c r="AL947" t="s">
        <v>86</v>
      </c>
      <c r="AM947">
        <v>8769</v>
      </c>
      <c r="AN947">
        <f t="shared" si="29"/>
        <v>8681.31</v>
      </c>
      <c r="AO947" t="s">
        <v>66</v>
      </c>
      <c r="AP947">
        <v>1</v>
      </c>
      <c r="AQ947" t="s">
        <v>66</v>
      </c>
      <c r="AR947">
        <v>0</v>
      </c>
      <c r="AS947" t="s">
        <v>66</v>
      </c>
      <c r="AT947">
        <v>0</v>
      </c>
      <c r="AU947" t="s">
        <v>66</v>
      </c>
      <c r="AV947">
        <v>0</v>
      </c>
      <c r="AW947" t="s">
        <v>66</v>
      </c>
      <c r="AX947">
        <v>0</v>
      </c>
      <c r="AY947" t="s">
        <v>66</v>
      </c>
      <c r="AZ947">
        <v>0</v>
      </c>
      <c r="BA947" t="s">
        <v>66</v>
      </c>
      <c r="BB947">
        <v>0</v>
      </c>
      <c r="BC947">
        <v>0</v>
      </c>
      <c r="BD947">
        <v>52087.86</v>
      </c>
      <c r="BE947">
        <v>7146.6</v>
      </c>
      <c r="BF947">
        <v>0</v>
      </c>
      <c r="BG947" t="s">
        <v>87</v>
      </c>
      <c r="BH947" t="s">
        <v>66</v>
      </c>
      <c r="BI947">
        <v>0</v>
      </c>
      <c r="BJ947" t="s">
        <v>66</v>
      </c>
      <c r="BK947" t="s">
        <v>88</v>
      </c>
      <c r="BL947" t="s">
        <v>66</v>
      </c>
      <c r="BM947" t="s">
        <v>159</v>
      </c>
    </row>
    <row r="948" spans="1:65" x14ac:dyDescent="0.25">
      <c r="A948">
        <v>946</v>
      </c>
      <c r="B948" t="s">
        <v>1288</v>
      </c>
      <c r="C948" t="s">
        <v>68</v>
      </c>
      <c r="D948" s="1">
        <v>46214</v>
      </c>
      <c r="E948" t="s">
        <v>1289</v>
      </c>
      <c r="F948" t="s">
        <v>68</v>
      </c>
      <c r="G948" t="s">
        <v>69</v>
      </c>
      <c r="H948" t="s">
        <v>70</v>
      </c>
      <c r="I948" t="s">
        <v>71</v>
      </c>
      <c r="J948" t="s">
        <v>72</v>
      </c>
      <c r="K948" t="s">
        <v>73</v>
      </c>
      <c r="L948" t="s">
        <v>74</v>
      </c>
      <c r="M948" t="s">
        <v>1290</v>
      </c>
      <c r="N948" t="s">
        <v>76</v>
      </c>
      <c r="O948" t="s">
        <v>1291</v>
      </c>
      <c r="P948" t="s">
        <v>1292</v>
      </c>
      <c r="Q948" t="s">
        <v>1293</v>
      </c>
      <c r="R948" s="1">
        <v>46214</v>
      </c>
      <c r="S948" t="s">
        <v>1294</v>
      </c>
      <c r="T948" t="s">
        <v>1277</v>
      </c>
      <c r="U948" t="s">
        <v>1278</v>
      </c>
      <c r="V948" t="s">
        <v>66</v>
      </c>
      <c r="W948" t="s">
        <v>66</v>
      </c>
      <c r="X948">
        <v>788238</v>
      </c>
      <c r="Y948">
        <v>86706.18</v>
      </c>
      <c r="Z948">
        <v>46926</v>
      </c>
      <c r="AA948">
        <v>5161.8599999999997</v>
      </c>
      <c r="AB948">
        <v>874944.18</v>
      </c>
      <c r="AC948">
        <v>6</v>
      </c>
      <c r="AD948" t="s">
        <v>82</v>
      </c>
      <c r="AE948">
        <v>6</v>
      </c>
      <c r="AF948" t="s">
        <v>199</v>
      </c>
      <c r="AG948">
        <f>IFERROR(VLOOKUP(AF948,[1]STOK!J:O,6,0),"")</f>
        <v>24</v>
      </c>
      <c r="AH948" s="2">
        <f t="shared" si="28"/>
        <v>0.25</v>
      </c>
      <c r="AI948" t="s">
        <v>199</v>
      </c>
      <c r="AJ948" t="s">
        <v>200</v>
      </c>
      <c r="AK948" t="s">
        <v>201</v>
      </c>
      <c r="AL948" t="s">
        <v>86</v>
      </c>
      <c r="AM948">
        <v>8769</v>
      </c>
      <c r="AN948">
        <f t="shared" si="29"/>
        <v>8681.31</v>
      </c>
      <c r="AO948" t="s">
        <v>66</v>
      </c>
      <c r="AP948">
        <v>1</v>
      </c>
      <c r="AQ948" t="s">
        <v>66</v>
      </c>
      <c r="AR948">
        <v>0</v>
      </c>
      <c r="AS948" t="s">
        <v>66</v>
      </c>
      <c r="AT948">
        <v>0</v>
      </c>
      <c r="AU948" t="s">
        <v>66</v>
      </c>
      <c r="AV948">
        <v>0</v>
      </c>
      <c r="AW948" t="s">
        <v>66</v>
      </c>
      <c r="AX948">
        <v>0</v>
      </c>
      <c r="AY948" t="s">
        <v>66</v>
      </c>
      <c r="AZ948">
        <v>0</v>
      </c>
      <c r="BA948" t="s">
        <v>66</v>
      </c>
      <c r="BB948">
        <v>0</v>
      </c>
      <c r="BC948">
        <v>0</v>
      </c>
      <c r="BD948">
        <v>52087.86</v>
      </c>
      <c r="BE948">
        <v>7146.59</v>
      </c>
      <c r="BF948">
        <v>0</v>
      </c>
      <c r="BG948" t="s">
        <v>87</v>
      </c>
      <c r="BH948" t="s">
        <v>66</v>
      </c>
      <c r="BI948">
        <v>0</v>
      </c>
      <c r="BJ948" t="s">
        <v>66</v>
      </c>
      <c r="BK948" t="s">
        <v>88</v>
      </c>
      <c r="BL948" t="s">
        <v>66</v>
      </c>
      <c r="BM948" t="s">
        <v>159</v>
      </c>
    </row>
    <row r="949" spans="1:65" x14ac:dyDescent="0.25">
      <c r="A949">
        <v>947</v>
      </c>
      <c r="B949" t="s">
        <v>1288</v>
      </c>
      <c r="C949" t="s">
        <v>68</v>
      </c>
      <c r="D949" s="1">
        <v>46214</v>
      </c>
      <c r="E949" t="s">
        <v>1289</v>
      </c>
      <c r="F949" t="s">
        <v>68</v>
      </c>
      <c r="G949" t="s">
        <v>69</v>
      </c>
      <c r="H949" t="s">
        <v>70</v>
      </c>
      <c r="I949" t="s">
        <v>71</v>
      </c>
      <c r="J949" t="s">
        <v>72</v>
      </c>
      <c r="K949" t="s">
        <v>73</v>
      </c>
      <c r="L949" t="s">
        <v>74</v>
      </c>
      <c r="M949" t="s">
        <v>1290</v>
      </c>
      <c r="N949" t="s">
        <v>76</v>
      </c>
      <c r="O949" t="s">
        <v>1291</v>
      </c>
      <c r="P949" t="s">
        <v>1292</v>
      </c>
      <c r="Q949" t="s">
        <v>1293</v>
      </c>
      <c r="R949" s="1">
        <v>46214</v>
      </c>
      <c r="S949" t="s">
        <v>1294</v>
      </c>
      <c r="T949" t="s">
        <v>1277</v>
      </c>
      <c r="U949" t="s">
        <v>1278</v>
      </c>
      <c r="V949" t="s">
        <v>66</v>
      </c>
      <c r="W949" t="s">
        <v>66</v>
      </c>
      <c r="X949">
        <v>788238</v>
      </c>
      <c r="Y949">
        <v>86706.18</v>
      </c>
      <c r="Z949">
        <v>46926</v>
      </c>
      <c r="AA949">
        <v>5161.8599999999997</v>
      </c>
      <c r="AB949">
        <v>874944.18</v>
      </c>
      <c r="AC949">
        <v>6</v>
      </c>
      <c r="AD949" t="s">
        <v>82</v>
      </c>
      <c r="AE949">
        <v>6</v>
      </c>
      <c r="AF949" t="s">
        <v>344</v>
      </c>
      <c r="AG949">
        <f>IFERROR(VLOOKUP(AF949,[1]STOK!J:O,6,0),"")</f>
        <v>24</v>
      </c>
      <c r="AH949" s="2">
        <f t="shared" si="28"/>
        <v>0.25</v>
      </c>
      <c r="AI949" t="s">
        <v>344</v>
      </c>
      <c r="AJ949" t="s">
        <v>345</v>
      </c>
      <c r="AK949" t="s">
        <v>346</v>
      </c>
      <c r="AL949" t="s">
        <v>86</v>
      </c>
      <c r="AM949">
        <v>8769</v>
      </c>
      <c r="AN949">
        <f t="shared" si="29"/>
        <v>8681.31</v>
      </c>
      <c r="AO949" t="s">
        <v>66</v>
      </c>
      <c r="AP949">
        <v>1</v>
      </c>
      <c r="AQ949" t="s">
        <v>66</v>
      </c>
      <c r="AR949">
        <v>0</v>
      </c>
      <c r="AS949" t="s">
        <v>66</v>
      </c>
      <c r="AT949">
        <v>0</v>
      </c>
      <c r="AU949" t="s">
        <v>66</v>
      </c>
      <c r="AV949">
        <v>0</v>
      </c>
      <c r="AW949" t="s">
        <v>66</v>
      </c>
      <c r="AX949">
        <v>0</v>
      </c>
      <c r="AY949" t="s">
        <v>66</v>
      </c>
      <c r="AZ949">
        <v>0</v>
      </c>
      <c r="BA949" t="s">
        <v>66</v>
      </c>
      <c r="BB949">
        <v>0</v>
      </c>
      <c r="BC949">
        <v>0</v>
      </c>
      <c r="BD949">
        <v>52087.86</v>
      </c>
      <c r="BE949">
        <v>7028.61</v>
      </c>
      <c r="BF949">
        <v>0</v>
      </c>
      <c r="BG949" t="s">
        <v>87</v>
      </c>
      <c r="BH949" t="s">
        <v>66</v>
      </c>
      <c r="BI949">
        <v>0</v>
      </c>
      <c r="BJ949" t="s">
        <v>66</v>
      </c>
      <c r="BK949" t="s">
        <v>88</v>
      </c>
      <c r="BL949" t="s">
        <v>66</v>
      </c>
      <c r="BM949" t="s">
        <v>159</v>
      </c>
    </row>
    <row r="950" spans="1:65" x14ac:dyDescent="0.25">
      <c r="A950">
        <v>948</v>
      </c>
      <c r="B950" t="s">
        <v>1288</v>
      </c>
      <c r="C950" t="s">
        <v>68</v>
      </c>
      <c r="D950" s="1">
        <v>46214</v>
      </c>
      <c r="E950" t="s">
        <v>1289</v>
      </c>
      <c r="F950" t="s">
        <v>68</v>
      </c>
      <c r="G950" t="s">
        <v>69</v>
      </c>
      <c r="H950" t="s">
        <v>70</v>
      </c>
      <c r="I950" t="s">
        <v>71</v>
      </c>
      <c r="J950" t="s">
        <v>72</v>
      </c>
      <c r="K950" t="s">
        <v>73</v>
      </c>
      <c r="L950" t="s">
        <v>74</v>
      </c>
      <c r="M950" t="s">
        <v>1290</v>
      </c>
      <c r="N950" t="s">
        <v>76</v>
      </c>
      <c r="O950" t="s">
        <v>1291</v>
      </c>
      <c r="P950" t="s">
        <v>1292</v>
      </c>
      <c r="Q950" t="s">
        <v>1293</v>
      </c>
      <c r="R950" s="1">
        <v>46214</v>
      </c>
      <c r="S950" t="s">
        <v>1294</v>
      </c>
      <c r="T950" t="s">
        <v>1277</v>
      </c>
      <c r="U950" t="s">
        <v>1278</v>
      </c>
      <c r="V950" t="s">
        <v>66</v>
      </c>
      <c r="W950" t="s">
        <v>66</v>
      </c>
      <c r="X950">
        <v>788238</v>
      </c>
      <c r="Y950">
        <v>86706.18</v>
      </c>
      <c r="Z950">
        <v>30294</v>
      </c>
      <c r="AA950">
        <v>3332.34</v>
      </c>
      <c r="AB950">
        <v>874944.18</v>
      </c>
      <c r="AC950">
        <v>3</v>
      </c>
      <c r="AD950" t="s">
        <v>82</v>
      </c>
      <c r="AE950">
        <v>3</v>
      </c>
      <c r="AF950" t="s">
        <v>670</v>
      </c>
      <c r="AG950">
        <f>IFERROR(VLOOKUP(AF950,[1]STOK!J:O,6,0),"")</f>
        <v>24</v>
      </c>
      <c r="AH950" s="2">
        <f t="shared" si="28"/>
        <v>0.125</v>
      </c>
      <c r="AI950" t="s">
        <v>670</v>
      </c>
      <c r="AJ950" t="s">
        <v>671</v>
      </c>
      <c r="AK950" t="s">
        <v>672</v>
      </c>
      <c r="AL950" t="s">
        <v>86</v>
      </c>
      <c r="AM950">
        <v>11322</v>
      </c>
      <c r="AN950">
        <f t="shared" si="29"/>
        <v>11208.779999999999</v>
      </c>
      <c r="AO950" t="s">
        <v>66</v>
      </c>
      <c r="AP950">
        <v>1</v>
      </c>
      <c r="AQ950" t="s">
        <v>66</v>
      </c>
      <c r="AR950">
        <v>0</v>
      </c>
      <c r="AS950" t="s">
        <v>66</v>
      </c>
      <c r="AT950">
        <v>0</v>
      </c>
      <c r="AU950" t="s">
        <v>66</v>
      </c>
      <c r="AV950">
        <v>0</v>
      </c>
      <c r="AW950" t="s">
        <v>66</v>
      </c>
      <c r="AX950">
        <v>0</v>
      </c>
      <c r="AY950" t="s">
        <v>66</v>
      </c>
      <c r="AZ950">
        <v>0</v>
      </c>
      <c r="BA950" t="s">
        <v>66</v>
      </c>
      <c r="BB950">
        <v>0</v>
      </c>
      <c r="BC950">
        <v>0</v>
      </c>
      <c r="BD950">
        <v>33626.339999999997</v>
      </c>
      <c r="BE950">
        <v>9214.48</v>
      </c>
      <c r="BF950">
        <v>0</v>
      </c>
      <c r="BG950" t="s">
        <v>87</v>
      </c>
      <c r="BH950" t="s">
        <v>66</v>
      </c>
      <c r="BI950">
        <v>0</v>
      </c>
      <c r="BJ950" t="s">
        <v>66</v>
      </c>
      <c r="BK950" t="s">
        <v>88</v>
      </c>
      <c r="BL950" t="s">
        <v>66</v>
      </c>
      <c r="BM950" t="s">
        <v>159</v>
      </c>
    </row>
    <row r="951" spans="1:65" x14ac:dyDescent="0.25">
      <c r="A951">
        <v>949</v>
      </c>
      <c r="B951" t="s">
        <v>1288</v>
      </c>
      <c r="C951" t="s">
        <v>68</v>
      </c>
      <c r="D951" s="1">
        <v>46214</v>
      </c>
      <c r="E951" t="s">
        <v>1289</v>
      </c>
      <c r="F951" t="s">
        <v>68</v>
      </c>
      <c r="G951" t="s">
        <v>69</v>
      </c>
      <c r="H951" t="s">
        <v>70</v>
      </c>
      <c r="I951" t="s">
        <v>71</v>
      </c>
      <c r="J951" t="s">
        <v>72</v>
      </c>
      <c r="K951" t="s">
        <v>73</v>
      </c>
      <c r="L951" t="s">
        <v>74</v>
      </c>
      <c r="M951" t="s">
        <v>1290</v>
      </c>
      <c r="N951" t="s">
        <v>76</v>
      </c>
      <c r="O951" t="s">
        <v>1291</v>
      </c>
      <c r="P951" t="s">
        <v>1292</v>
      </c>
      <c r="Q951" t="s">
        <v>1293</v>
      </c>
      <c r="R951" s="1">
        <v>46214</v>
      </c>
      <c r="S951" t="s">
        <v>1294</v>
      </c>
      <c r="T951" t="s">
        <v>1277</v>
      </c>
      <c r="U951" t="s">
        <v>1278</v>
      </c>
      <c r="V951" t="s">
        <v>66</v>
      </c>
      <c r="W951" t="s">
        <v>66</v>
      </c>
      <c r="X951">
        <v>788238</v>
      </c>
      <c r="Y951">
        <v>86706.18</v>
      </c>
      <c r="Z951">
        <v>49005</v>
      </c>
      <c r="AA951">
        <v>5390.55</v>
      </c>
      <c r="AB951">
        <v>874944.18</v>
      </c>
      <c r="AC951">
        <v>3</v>
      </c>
      <c r="AD951" t="s">
        <v>82</v>
      </c>
      <c r="AE951">
        <v>3</v>
      </c>
      <c r="AF951" t="s">
        <v>96</v>
      </c>
      <c r="AG951">
        <f>IFERROR(VLOOKUP(AF951,[1]STOK!J:O,6,0),"")</f>
        <v>24</v>
      </c>
      <c r="AH951" s="2">
        <f t="shared" si="28"/>
        <v>0.125</v>
      </c>
      <c r="AI951" t="s">
        <v>96</v>
      </c>
      <c r="AJ951" t="s">
        <v>97</v>
      </c>
      <c r="AK951" t="s">
        <v>98</v>
      </c>
      <c r="AL951" t="s">
        <v>86</v>
      </c>
      <c r="AM951">
        <v>18315</v>
      </c>
      <c r="AN951">
        <f t="shared" si="29"/>
        <v>18131.850000000002</v>
      </c>
      <c r="AO951" t="s">
        <v>66</v>
      </c>
      <c r="AP951">
        <v>1</v>
      </c>
      <c r="AQ951" t="s">
        <v>66</v>
      </c>
      <c r="AR951">
        <v>0</v>
      </c>
      <c r="AS951" t="s">
        <v>66</v>
      </c>
      <c r="AT951">
        <v>0</v>
      </c>
      <c r="AU951" t="s">
        <v>66</v>
      </c>
      <c r="AV951">
        <v>0</v>
      </c>
      <c r="AW951" t="s">
        <v>66</v>
      </c>
      <c r="AX951">
        <v>0</v>
      </c>
      <c r="AY951" t="s">
        <v>66</v>
      </c>
      <c r="AZ951">
        <v>0</v>
      </c>
      <c r="BA951" t="s">
        <v>66</v>
      </c>
      <c r="BB951">
        <v>0</v>
      </c>
      <c r="BC951">
        <v>0</v>
      </c>
      <c r="BD951">
        <v>54395.55</v>
      </c>
      <c r="BE951">
        <v>14932.9</v>
      </c>
      <c r="BF951">
        <v>0</v>
      </c>
      <c r="BG951" t="s">
        <v>87</v>
      </c>
      <c r="BH951" t="s">
        <v>66</v>
      </c>
      <c r="BI951">
        <v>0</v>
      </c>
      <c r="BJ951" t="s">
        <v>66</v>
      </c>
      <c r="BK951" t="s">
        <v>88</v>
      </c>
      <c r="BL951" t="s">
        <v>66</v>
      </c>
      <c r="BM951" t="s">
        <v>159</v>
      </c>
    </row>
    <row r="952" spans="1:65" x14ac:dyDescent="0.25">
      <c r="A952">
        <v>950</v>
      </c>
      <c r="B952" t="s">
        <v>1288</v>
      </c>
      <c r="C952" t="s">
        <v>68</v>
      </c>
      <c r="D952" s="1">
        <v>46214</v>
      </c>
      <c r="E952" t="s">
        <v>1289</v>
      </c>
      <c r="F952" t="s">
        <v>68</v>
      </c>
      <c r="G952" t="s">
        <v>69</v>
      </c>
      <c r="H952" t="s">
        <v>70</v>
      </c>
      <c r="I952" t="s">
        <v>71</v>
      </c>
      <c r="J952" t="s">
        <v>72</v>
      </c>
      <c r="K952" t="s">
        <v>73</v>
      </c>
      <c r="L952" t="s">
        <v>74</v>
      </c>
      <c r="M952" t="s">
        <v>1290</v>
      </c>
      <c r="N952" t="s">
        <v>76</v>
      </c>
      <c r="O952" t="s">
        <v>1291</v>
      </c>
      <c r="P952" t="s">
        <v>1292</v>
      </c>
      <c r="Q952" t="s">
        <v>1293</v>
      </c>
      <c r="R952" s="1">
        <v>46214</v>
      </c>
      <c r="S952" t="s">
        <v>1294</v>
      </c>
      <c r="T952" t="s">
        <v>1277</v>
      </c>
      <c r="U952" t="s">
        <v>1278</v>
      </c>
      <c r="V952" t="s">
        <v>66</v>
      </c>
      <c r="W952" t="s">
        <v>66</v>
      </c>
      <c r="X952">
        <v>788238</v>
      </c>
      <c r="Y952">
        <v>86706.18</v>
      </c>
      <c r="Z952">
        <v>49005</v>
      </c>
      <c r="AA952">
        <v>5390.55</v>
      </c>
      <c r="AB952">
        <v>874944.18</v>
      </c>
      <c r="AC952">
        <v>3</v>
      </c>
      <c r="AD952" t="s">
        <v>82</v>
      </c>
      <c r="AE952">
        <v>3</v>
      </c>
      <c r="AF952" t="s">
        <v>99</v>
      </c>
      <c r="AG952">
        <f>IFERROR(VLOOKUP(AF952,[1]STOK!J:O,6,0),"")</f>
        <v>24</v>
      </c>
      <c r="AH952" s="2">
        <f t="shared" si="28"/>
        <v>0.125</v>
      </c>
      <c r="AI952" t="s">
        <v>99</v>
      </c>
      <c r="AJ952" t="s">
        <v>100</v>
      </c>
      <c r="AK952" t="s">
        <v>101</v>
      </c>
      <c r="AL952" t="s">
        <v>86</v>
      </c>
      <c r="AM952">
        <v>18315</v>
      </c>
      <c r="AN952">
        <f t="shared" si="29"/>
        <v>18131.850000000002</v>
      </c>
      <c r="AO952" t="s">
        <v>66</v>
      </c>
      <c r="AP952">
        <v>1</v>
      </c>
      <c r="AQ952" t="s">
        <v>66</v>
      </c>
      <c r="AR952">
        <v>0</v>
      </c>
      <c r="AS952" t="s">
        <v>66</v>
      </c>
      <c r="AT952">
        <v>0</v>
      </c>
      <c r="AU952" t="s">
        <v>66</v>
      </c>
      <c r="AV952">
        <v>0</v>
      </c>
      <c r="AW952" t="s">
        <v>66</v>
      </c>
      <c r="AX952">
        <v>0</v>
      </c>
      <c r="AY952" t="s">
        <v>66</v>
      </c>
      <c r="AZ952">
        <v>0</v>
      </c>
      <c r="BA952" t="s">
        <v>66</v>
      </c>
      <c r="BB952">
        <v>0</v>
      </c>
      <c r="BC952">
        <v>0</v>
      </c>
      <c r="BD952">
        <v>54395.55</v>
      </c>
      <c r="BE952">
        <v>14921.25</v>
      </c>
      <c r="BF952">
        <v>0</v>
      </c>
      <c r="BG952" t="s">
        <v>87</v>
      </c>
      <c r="BH952" t="s">
        <v>66</v>
      </c>
      <c r="BI952">
        <v>0</v>
      </c>
      <c r="BJ952" t="s">
        <v>66</v>
      </c>
      <c r="BK952" t="s">
        <v>88</v>
      </c>
      <c r="BL952" t="s">
        <v>66</v>
      </c>
      <c r="BM952" t="s">
        <v>159</v>
      </c>
    </row>
    <row r="953" spans="1:65" x14ac:dyDescent="0.25">
      <c r="A953">
        <v>951</v>
      </c>
      <c r="B953" t="s">
        <v>1288</v>
      </c>
      <c r="C953" t="s">
        <v>68</v>
      </c>
      <c r="D953" s="1">
        <v>46214</v>
      </c>
      <c r="E953" t="s">
        <v>1289</v>
      </c>
      <c r="F953" t="s">
        <v>68</v>
      </c>
      <c r="G953" t="s">
        <v>69</v>
      </c>
      <c r="H953" t="s">
        <v>70</v>
      </c>
      <c r="I953" t="s">
        <v>71</v>
      </c>
      <c r="J953" t="s">
        <v>72</v>
      </c>
      <c r="K953" t="s">
        <v>73</v>
      </c>
      <c r="L953" t="s">
        <v>74</v>
      </c>
      <c r="M953" t="s">
        <v>1290</v>
      </c>
      <c r="N953" t="s">
        <v>76</v>
      </c>
      <c r="O953" t="s">
        <v>1291</v>
      </c>
      <c r="P953" t="s">
        <v>1292</v>
      </c>
      <c r="Q953" t="s">
        <v>1293</v>
      </c>
      <c r="R953" s="1">
        <v>46214</v>
      </c>
      <c r="S953" t="s">
        <v>1294</v>
      </c>
      <c r="T953" t="s">
        <v>1277</v>
      </c>
      <c r="U953" t="s">
        <v>1278</v>
      </c>
      <c r="V953" t="s">
        <v>66</v>
      </c>
      <c r="W953" t="s">
        <v>66</v>
      </c>
      <c r="X953">
        <v>788238</v>
      </c>
      <c r="Y953">
        <v>86706.18</v>
      </c>
      <c r="Z953">
        <v>43659</v>
      </c>
      <c r="AA953">
        <v>4802.49</v>
      </c>
      <c r="AB953">
        <v>874944.18</v>
      </c>
      <c r="AC953">
        <v>3</v>
      </c>
      <c r="AD953" t="s">
        <v>82</v>
      </c>
      <c r="AE953">
        <v>3</v>
      </c>
      <c r="AF953" t="s">
        <v>473</v>
      </c>
      <c r="AG953">
        <f>IFERROR(VLOOKUP(AF953,[1]STOK!J:O,6,0),"")</f>
        <v>12</v>
      </c>
      <c r="AH953" s="2">
        <f t="shared" si="28"/>
        <v>0.25</v>
      </c>
      <c r="AI953" t="s">
        <v>473</v>
      </c>
      <c r="AJ953" t="s">
        <v>474</v>
      </c>
      <c r="AK953" t="s">
        <v>475</v>
      </c>
      <c r="AL953" t="s">
        <v>86</v>
      </c>
      <c r="AM953">
        <v>16317</v>
      </c>
      <c r="AN953">
        <f t="shared" si="29"/>
        <v>16153.83</v>
      </c>
      <c r="AO953" t="s">
        <v>66</v>
      </c>
      <c r="AP953">
        <v>1</v>
      </c>
      <c r="AQ953" t="s">
        <v>66</v>
      </c>
      <c r="AR953">
        <v>0</v>
      </c>
      <c r="AS953" t="s">
        <v>66</v>
      </c>
      <c r="AT953">
        <v>0</v>
      </c>
      <c r="AU953" t="s">
        <v>66</v>
      </c>
      <c r="AV953">
        <v>0</v>
      </c>
      <c r="AW953" t="s">
        <v>66</v>
      </c>
      <c r="AX953">
        <v>0</v>
      </c>
      <c r="AY953" t="s">
        <v>66</v>
      </c>
      <c r="AZ953">
        <v>0</v>
      </c>
      <c r="BA953" t="s">
        <v>66</v>
      </c>
      <c r="BB953">
        <v>0</v>
      </c>
      <c r="BC953">
        <v>0</v>
      </c>
      <c r="BD953">
        <v>48461.49</v>
      </c>
      <c r="BE953">
        <v>13319.47</v>
      </c>
      <c r="BF953">
        <v>0</v>
      </c>
      <c r="BG953" t="s">
        <v>87</v>
      </c>
      <c r="BH953" t="s">
        <v>66</v>
      </c>
      <c r="BI953">
        <v>0</v>
      </c>
      <c r="BJ953" t="s">
        <v>66</v>
      </c>
      <c r="BK953" t="s">
        <v>88</v>
      </c>
      <c r="BL953" t="s">
        <v>66</v>
      </c>
      <c r="BM953" t="s">
        <v>159</v>
      </c>
    </row>
    <row r="954" spans="1:65" x14ac:dyDescent="0.25">
      <c r="A954">
        <v>952</v>
      </c>
      <c r="B954" t="s">
        <v>1288</v>
      </c>
      <c r="C954" t="s">
        <v>68</v>
      </c>
      <c r="D954" s="1">
        <v>46214</v>
      </c>
      <c r="E954" t="s">
        <v>1289</v>
      </c>
      <c r="F954" t="s">
        <v>68</v>
      </c>
      <c r="G954" t="s">
        <v>69</v>
      </c>
      <c r="H954" t="s">
        <v>70</v>
      </c>
      <c r="I954" t="s">
        <v>71</v>
      </c>
      <c r="J954" t="s">
        <v>72</v>
      </c>
      <c r="K954" t="s">
        <v>73</v>
      </c>
      <c r="L954" t="s">
        <v>74</v>
      </c>
      <c r="M954" t="s">
        <v>1290</v>
      </c>
      <c r="N954" t="s">
        <v>76</v>
      </c>
      <c r="O954" t="s">
        <v>1291</v>
      </c>
      <c r="P954" t="s">
        <v>1292</v>
      </c>
      <c r="Q954" t="s">
        <v>1293</v>
      </c>
      <c r="R954" s="1">
        <v>46214</v>
      </c>
      <c r="S954" t="s">
        <v>1294</v>
      </c>
      <c r="T954" t="s">
        <v>1277</v>
      </c>
      <c r="U954" t="s">
        <v>1278</v>
      </c>
      <c r="V954" t="s">
        <v>66</v>
      </c>
      <c r="W954" t="s">
        <v>66</v>
      </c>
      <c r="X954">
        <v>788238</v>
      </c>
      <c r="Y954">
        <v>86706.18</v>
      </c>
      <c r="Z954">
        <v>20493</v>
      </c>
      <c r="AA954">
        <v>2254.23</v>
      </c>
      <c r="AB954">
        <v>874944.18</v>
      </c>
      <c r="AC954">
        <v>3</v>
      </c>
      <c r="AD954" t="s">
        <v>82</v>
      </c>
      <c r="AE954">
        <v>3</v>
      </c>
      <c r="AF954" t="s">
        <v>1141</v>
      </c>
      <c r="AG954">
        <f>IFERROR(VLOOKUP(AF954,[1]STOK!J:O,6,0),"")</f>
        <v>24</v>
      </c>
      <c r="AH954" s="2">
        <f t="shared" si="28"/>
        <v>0.125</v>
      </c>
      <c r="AI954" t="s">
        <v>1141</v>
      </c>
      <c r="AJ954" t="s">
        <v>1142</v>
      </c>
      <c r="AK954" t="s">
        <v>1143</v>
      </c>
      <c r="AL954" t="s">
        <v>86</v>
      </c>
      <c r="AM954">
        <v>7659</v>
      </c>
      <c r="AN954">
        <f t="shared" si="29"/>
        <v>7582.41</v>
      </c>
      <c r="AO954" t="s">
        <v>66</v>
      </c>
      <c r="AP954">
        <v>1</v>
      </c>
      <c r="AQ954" t="s">
        <v>66</v>
      </c>
      <c r="AR954">
        <v>0</v>
      </c>
      <c r="AS954" t="s">
        <v>66</v>
      </c>
      <c r="AT954">
        <v>0</v>
      </c>
      <c r="AU954" t="s">
        <v>66</v>
      </c>
      <c r="AV954">
        <v>0</v>
      </c>
      <c r="AW954" t="s">
        <v>66</v>
      </c>
      <c r="AX954">
        <v>0</v>
      </c>
      <c r="AY954" t="s">
        <v>66</v>
      </c>
      <c r="AZ954">
        <v>0</v>
      </c>
      <c r="BA954" t="s">
        <v>66</v>
      </c>
      <c r="BB954">
        <v>0</v>
      </c>
      <c r="BC954">
        <v>0</v>
      </c>
      <c r="BD954">
        <v>22747.23</v>
      </c>
      <c r="BE954">
        <v>6228.65</v>
      </c>
      <c r="BF954">
        <v>0</v>
      </c>
      <c r="BG954" t="s">
        <v>87</v>
      </c>
      <c r="BH954" t="s">
        <v>66</v>
      </c>
      <c r="BI954">
        <v>0</v>
      </c>
      <c r="BJ954" t="s">
        <v>66</v>
      </c>
      <c r="BK954" t="s">
        <v>88</v>
      </c>
      <c r="BL954" t="s">
        <v>66</v>
      </c>
      <c r="BM954" t="s">
        <v>159</v>
      </c>
    </row>
    <row r="955" spans="1:65" x14ac:dyDescent="0.25">
      <c r="A955">
        <v>953</v>
      </c>
      <c r="B955" t="s">
        <v>1288</v>
      </c>
      <c r="C955" t="s">
        <v>68</v>
      </c>
      <c r="D955" s="1">
        <v>46214</v>
      </c>
      <c r="E955" t="s">
        <v>1289</v>
      </c>
      <c r="F955" t="s">
        <v>68</v>
      </c>
      <c r="G955" t="s">
        <v>69</v>
      </c>
      <c r="H955" t="s">
        <v>70</v>
      </c>
      <c r="I955" t="s">
        <v>71</v>
      </c>
      <c r="J955" t="s">
        <v>72</v>
      </c>
      <c r="K955" t="s">
        <v>73</v>
      </c>
      <c r="L955" t="s">
        <v>74</v>
      </c>
      <c r="M955" t="s">
        <v>1290</v>
      </c>
      <c r="N955" t="s">
        <v>76</v>
      </c>
      <c r="O955" t="s">
        <v>1291</v>
      </c>
      <c r="P955" t="s">
        <v>1292</v>
      </c>
      <c r="Q955" t="s">
        <v>1293</v>
      </c>
      <c r="R955" s="1">
        <v>46214</v>
      </c>
      <c r="S955" t="s">
        <v>1294</v>
      </c>
      <c r="T955" t="s">
        <v>1277</v>
      </c>
      <c r="U955" t="s">
        <v>1278</v>
      </c>
      <c r="V955" t="s">
        <v>66</v>
      </c>
      <c r="W955" t="s">
        <v>66</v>
      </c>
      <c r="X955">
        <v>788238</v>
      </c>
      <c r="Y955">
        <v>86706.18</v>
      </c>
      <c r="Z955">
        <v>12474</v>
      </c>
      <c r="AA955">
        <v>1372.14</v>
      </c>
      <c r="AB955">
        <v>874944.18</v>
      </c>
      <c r="AC955">
        <v>3</v>
      </c>
      <c r="AD955" t="s">
        <v>82</v>
      </c>
      <c r="AE955">
        <v>3</v>
      </c>
      <c r="AF955" t="s">
        <v>1285</v>
      </c>
      <c r="AG955">
        <f>IFERROR(VLOOKUP(AF955,[1]STOK!J:O,6,0),"")</f>
        <v>24</v>
      </c>
      <c r="AH955" s="2">
        <f t="shared" si="28"/>
        <v>0.125</v>
      </c>
      <c r="AI955" t="s">
        <v>1285</v>
      </c>
      <c r="AJ955" t="s">
        <v>1286</v>
      </c>
      <c r="AK955" t="s">
        <v>1287</v>
      </c>
      <c r="AL955" t="s">
        <v>86</v>
      </c>
      <c r="AM955">
        <v>4662</v>
      </c>
      <c r="AN955">
        <f t="shared" si="29"/>
        <v>4615.38</v>
      </c>
      <c r="AO955" t="s">
        <v>66</v>
      </c>
      <c r="AP955">
        <v>1</v>
      </c>
      <c r="AQ955" t="s">
        <v>66</v>
      </c>
      <c r="AR955">
        <v>0</v>
      </c>
      <c r="AS955" t="s">
        <v>66</v>
      </c>
      <c r="AT955">
        <v>0</v>
      </c>
      <c r="AU955" t="s">
        <v>66</v>
      </c>
      <c r="AV955">
        <v>0</v>
      </c>
      <c r="AW955" t="s">
        <v>66</v>
      </c>
      <c r="AX955">
        <v>0</v>
      </c>
      <c r="AY955" t="s">
        <v>66</v>
      </c>
      <c r="AZ955">
        <v>0</v>
      </c>
      <c r="BA955" t="s">
        <v>66</v>
      </c>
      <c r="BB955">
        <v>0</v>
      </c>
      <c r="BC955">
        <v>0</v>
      </c>
      <c r="BD955">
        <v>13846.14</v>
      </c>
      <c r="BE955">
        <v>3777.09</v>
      </c>
      <c r="BF955">
        <v>0</v>
      </c>
      <c r="BG955" t="s">
        <v>87</v>
      </c>
      <c r="BH955" t="s">
        <v>66</v>
      </c>
      <c r="BI955">
        <v>0</v>
      </c>
      <c r="BJ955" t="s">
        <v>66</v>
      </c>
      <c r="BK955" t="s">
        <v>88</v>
      </c>
      <c r="BL955" t="s">
        <v>66</v>
      </c>
      <c r="BM955" t="s">
        <v>159</v>
      </c>
    </row>
    <row r="956" spans="1:65" x14ac:dyDescent="0.25">
      <c r="A956">
        <v>954</v>
      </c>
      <c r="B956" t="s">
        <v>1288</v>
      </c>
      <c r="C956" t="s">
        <v>68</v>
      </c>
      <c r="D956" s="1">
        <v>46214</v>
      </c>
      <c r="E956" t="s">
        <v>1289</v>
      </c>
      <c r="F956" t="s">
        <v>68</v>
      </c>
      <c r="G956" t="s">
        <v>69</v>
      </c>
      <c r="H956" t="s">
        <v>70</v>
      </c>
      <c r="I956" t="s">
        <v>71</v>
      </c>
      <c r="J956" t="s">
        <v>72</v>
      </c>
      <c r="K956" t="s">
        <v>73</v>
      </c>
      <c r="L956" t="s">
        <v>74</v>
      </c>
      <c r="M956" t="s">
        <v>1290</v>
      </c>
      <c r="N956" t="s">
        <v>76</v>
      </c>
      <c r="O956" t="s">
        <v>1291</v>
      </c>
      <c r="P956" t="s">
        <v>1292</v>
      </c>
      <c r="Q956" t="s">
        <v>1293</v>
      </c>
      <c r="R956" s="1">
        <v>46214</v>
      </c>
      <c r="S956" t="s">
        <v>1294</v>
      </c>
      <c r="T956" t="s">
        <v>1277</v>
      </c>
      <c r="U956" t="s">
        <v>1278</v>
      </c>
      <c r="V956" t="s">
        <v>66</v>
      </c>
      <c r="W956" t="s">
        <v>66</v>
      </c>
      <c r="X956">
        <v>788238</v>
      </c>
      <c r="Y956">
        <v>86706.18</v>
      </c>
      <c r="Z956">
        <v>31779</v>
      </c>
      <c r="AA956">
        <v>3495.69</v>
      </c>
      <c r="AB956">
        <v>874944.18</v>
      </c>
      <c r="AC956">
        <v>3</v>
      </c>
      <c r="AD956" t="s">
        <v>82</v>
      </c>
      <c r="AE956">
        <v>3</v>
      </c>
      <c r="AF956" t="s">
        <v>421</v>
      </c>
      <c r="AG956">
        <f>IFERROR(VLOOKUP(AF956,[1]STOK!J:O,6,0),"")</f>
        <v>12</v>
      </c>
      <c r="AH956" s="2">
        <f t="shared" si="28"/>
        <v>0.25</v>
      </c>
      <c r="AI956" t="s">
        <v>421</v>
      </c>
      <c r="AJ956" t="s">
        <v>422</v>
      </c>
      <c r="AK956" t="s">
        <v>423</v>
      </c>
      <c r="AL956" t="s">
        <v>86</v>
      </c>
      <c r="AM956">
        <v>11877</v>
      </c>
      <c r="AN956">
        <f t="shared" si="29"/>
        <v>11758.230000000001</v>
      </c>
      <c r="AO956" t="s">
        <v>66</v>
      </c>
      <c r="AP956">
        <v>1</v>
      </c>
      <c r="AQ956" t="s">
        <v>66</v>
      </c>
      <c r="AR956">
        <v>0</v>
      </c>
      <c r="AS956" t="s">
        <v>66</v>
      </c>
      <c r="AT956">
        <v>0</v>
      </c>
      <c r="AU956" t="s">
        <v>66</v>
      </c>
      <c r="AV956">
        <v>0</v>
      </c>
      <c r="AW956" t="s">
        <v>66</v>
      </c>
      <c r="AX956">
        <v>0</v>
      </c>
      <c r="AY956" t="s">
        <v>66</v>
      </c>
      <c r="AZ956">
        <v>0</v>
      </c>
      <c r="BA956" t="s">
        <v>66</v>
      </c>
      <c r="BB956">
        <v>0</v>
      </c>
      <c r="BC956">
        <v>0</v>
      </c>
      <c r="BD956">
        <v>35274.69</v>
      </c>
      <c r="BE956">
        <v>9164.5400000000009</v>
      </c>
      <c r="BF956">
        <v>0</v>
      </c>
      <c r="BG956" t="s">
        <v>87</v>
      </c>
      <c r="BH956" t="s">
        <v>66</v>
      </c>
      <c r="BI956">
        <v>0</v>
      </c>
      <c r="BJ956" t="s">
        <v>66</v>
      </c>
      <c r="BK956" t="s">
        <v>88</v>
      </c>
      <c r="BL956" t="s">
        <v>66</v>
      </c>
      <c r="BM956" t="s">
        <v>159</v>
      </c>
    </row>
    <row r="957" spans="1:65" x14ac:dyDescent="0.25">
      <c r="A957">
        <v>955</v>
      </c>
      <c r="B957" t="s">
        <v>1288</v>
      </c>
      <c r="C957" t="s">
        <v>68</v>
      </c>
      <c r="D957" s="1">
        <v>46214</v>
      </c>
      <c r="E957" t="s">
        <v>1289</v>
      </c>
      <c r="F957" t="s">
        <v>68</v>
      </c>
      <c r="G957" t="s">
        <v>69</v>
      </c>
      <c r="H957" t="s">
        <v>70</v>
      </c>
      <c r="I957" t="s">
        <v>71</v>
      </c>
      <c r="J957" t="s">
        <v>72</v>
      </c>
      <c r="K957" t="s">
        <v>73</v>
      </c>
      <c r="L957" t="s">
        <v>74</v>
      </c>
      <c r="M957" t="s">
        <v>1290</v>
      </c>
      <c r="N957" t="s">
        <v>76</v>
      </c>
      <c r="O957" t="s">
        <v>1291</v>
      </c>
      <c r="P957" t="s">
        <v>1292</v>
      </c>
      <c r="Q957" t="s">
        <v>1293</v>
      </c>
      <c r="R957" s="1">
        <v>46214</v>
      </c>
      <c r="S957" t="s">
        <v>1294</v>
      </c>
      <c r="T957" t="s">
        <v>1277</v>
      </c>
      <c r="U957" t="s">
        <v>1278</v>
      </c>
      <c r="V957" t="s">
        <v>66</v>
      </c>
      <c r="W957" t="s">
        <v>66</v>
      </c>
      <c r="X957">
        <v>788238</v>
      </c>
      <c r="Y957">
        <v>86706.18</v>
      </c>
      <c r="Z957">
        <v>113751</v>
      </c>
      <c r="AA957">
        <v>12512.61</v>
      </c>
      <c r="AB957">
        <v>874944.18</v>
      </c>
      <c r="AC957">
        <v>3</v>
      </c>
      <c r="AD957" t="s">
        <v>82</v>
      </c>
      <c r="AE957">
        <v>3</v>
      </c>
      <c r="AF957" t="s">
        <v>138</v>
      </c>
      <c r="AG957">
        <f>IFERROR(VLOOKUP(AF957,[1]STOK!J:O,6,0),"")</f>
        <v>6</v>
      </c>
      <c r="AH957" s="2">
        <f t="shared" si="28"/>
        <v>0.5</v>
      </c>
      <c r="AI957" t="s">
        <v>138</v>
      </c>
      <c r="AJ957" t="s">
        <v>139</v>
      </c>
      <c r="AK957" t="s">
        <v>140</v>
      </c>
      <c r="AL957" t="s">
        <v>86</v>
      </c>
      <c r="AM957">
        <v>42513</v>
      </c>
      <c r="AN957">
        <f t="shared" si="29"/>
        <v>42087.87</v>
      </c>
      <c r="AO957" t="s">
        <v>66</v>
      </c>
      <c r="AP957">
        <v>1</v>
      </c>
      <c r="AQ957" t="s">
        <v>66</v>
      </c>
      <c r="AR957">
        <v>0</v>
      </c>
      <c r="AS957" t="s">
        <v>66</v>
      </c>
      <c r="AT957">
        <v>0</v>
      </c>
      <c r="AU957" t="s">
        <v>66</v>
      </c>
      <c r="AV957">
        <v>0</v>
      </c>
      <c r="AW957" t="s">
        <v>66</v>
      </c>
      <c r="AX957">
        <v>0</v>
      </c>
      <c r="AY957" t="s">
        <v>66</v>
      </c>
      <c r="AZ957">
        <v>0</v>
      </c>
      <c r="BA957" t="s">
        <v>66</v>
      </c>
      <c r="BB957">
        <v>0</v>
      </c>
      <c r="BC957">
        <v>0</v>
      </c>
      <c r="BD957">
        <v>126263.61</v>
      </c>
      <c r="BE957">
        <v>34661.269999999997</v>
      </c>
      <c r="BF957">
        <v>0</v>
      </c>
      <c r="BG957" t="s">
        <v>87</v>
      </c>
      <c r="BH957" t="s">
        <v>66</v>
      </c>
      <c r="BI957">
        <v>0</v>
      </c>
      <c r="BJ957" t="s">
        <v>66</v>
      </c>
      <c r="BK957" t="s">
        <v>88</v>
      </c>
      <c r="BL957" t="s">
        <v>66</v>
      </c>
      <c r="BM957" t="s">
        <v>159</v>
      </c>
    </row>
    <row r="958" spans="1:65" x14ac:dyDescent="0.25">
      <c r="A958">
        <v>956</v>
      </c>
      <c r="B958" t="s">
        <v>1288</v>
      </c>
      <c r="C958" t="s">
        <v>68</v>
      </c>
      <c r="D958" s="1">
        <v>46214</v>
      </c>
      <c r="E958" t="s">
        <v>1289</v>
      </c>
      <c r="F958" t="s">
        <v>68</v>
      </c>
      <c r="G958" t="s">
        <v>69</v>
      </c>
      <c r="H958" t="s">
        <v>70</v>
      </c>
      <c r="I958" t="s">
        <v>71</v>
      </c>
      <c r="J958" t="s">
        <v>72</v>
      </c>
      <c r="K958" t="s">
        <v>73</v>
      </c>
      <c r="L958" t="s">
        <v>74</v>
      </c>
      <c r="M958" t="s">
        <v>1290</v>
      </c>
      <c r="N958" t="s">
        <v>76</v>
      </c>
      <c r="O958" t="s">
        <v>1291</v>
      </c>
      <c r="P958" t="s">
        <v>1292</v>
      </c>
      <c r="Q958" t="s">
        <v>1293</v>
      </c>
      <c r="R958" s="1">
        <v>46214</v>
      </c>
      <c r="S958" t="s">
        <v>1294</v>
      </c>
      <c r="T958" t="s">
        <v>1277</v>
      </c>
      <c r="U958" t="s">
        <v>1278</v>
      </c>
      <c r="V958" t="s">
        <v>66</v>
      </c>
      <c r="W958" t="s">
        <v>66</v>
      </c>
      <c r="X958">
        <v>788238</v>
      </c>
      <c r="Y958">
        <v>86706.18</v>
      </c>
      <c r="Z958">
        <v>171072</v>
      </c>
      <c r="AA958">
        <v>18817.919999999998</v>
      </c>
      <c r="AB958">
        <v>874944.18</v>
      </c>
      <c r="AC958">
        <v>12</v>
      </c>
      <c r="AD958" t="s">
        <v>82</v>
      </c>
      <c r="AE958">
        <v>12</v>
      </c>
      <c r="AF958" t="s">
        <v>213</v>
      </c>
      <c r="AG958">
        <f>IFERROR(VLOOKUP(AF958,[1]STOK!J:O,6,0),"")</f>
        <v>12</v>
      </c>
      <c r="AH958" s="2">
        <f t="shared" si="28"/>
        <v>1</v>
      </c>
      <c r="AI958" t="s">
        <v>213</v>
      </c>
      <c r="AJ958" t="s">
        <v>214</v>
      </c>
      <c r="AK958" t="s">
        <v>215</v>
      </c>
      <c r="AL958" t="s">
        <v>86</v>
      </c>
      <c r="AM958">
        <v>15984</v>
      </c>
      <c r="AN958">
        <f t="shared" si="29"/>
        <v>15824.160000000002</v>
      </c>
      <c r="AO958" t="s">
        <v>66</v>
      </c>
      <c r="AP958">
        <v>1</v>
      </c>
      <c r="AQ958" t="s">
        <v>66</v>
      </c>
      <c r="AR958">
        <v>0</v>
      </c>
      <c r="AS958" t="s">
        <v>66</v>
      </c>
      <c r="AT958">
        <v>0</v>
      </c>
      <c r="AU958" t="s">
        <v>66</v>
      </c>
      <c r="AV958">
        <v>0</v>
      </c>
      <c r="AW958" t="s">
        <v>66</v>
      </c>
      <c r="AX958">
        <v>0</v>
      </c>
      <c r="AY958" t="s">
        <v>66</v>
      </c>
      <c r="AZ958">
        <v>0</v>
      </c>
      <c r="BA958" t="s">
        <v>66</v>
      </c>
      <c r="BB958">
        <v>0</v>
      </c>
      <c r="BC958">
        <v>0</v>
      </c>
      <c r="BD958">
        <v>189889.92000000001</v>
      </c>
      <c r="BE958">
        <v>13008.41</v>
      </c>
      <c r="BF958">
        <v>0</v>
      </c>
      <c r="BG958" t="s">
        <v>87</v>
      </c>
      <c r="BH958" t="s">
        <v>66</v>
      </c>
      <c r="BI958">
        <v>0</v>
      </c>
      <c r="BJ958" t="s">
        <v>66</v>
      </c>
      <c r="BK958" t="s">
        <v>88</v>
      </c>
      <c r="BL958" t="s">
        <v>66</v>
      </c>
      <c r="BM958" t="s">
        <v>159</v>
      </c>
    </row>
    <row r="959" spans="1:65" x14ac:dyDescent="0.25">
      <c r="A959">
        <v>957</v>
      </c>
      <c r="B959" t="s">
        <v>1296</v>
      </c>
      <c r="C959" t="s">
        <v>68</v>
      </c>
      <c r="D959" s="1">
        <v>46214</v>
      </c>
      <c r="E959" t="s">
        <v>1297</v>
      </c>
      <c r="F959" t="s">
        <v>68</v>
      </c>
      <c r="G959" t="s">
        <v>69</v>
      </c>
      <c r="H959" t="s">
        <v>70</v>
      </c>
      <c r="I959" t="s">
        <v>71</v>
      </c>
      <c r="J959" t="s">
        <v>72</v>
      </c>
      <c r="K959" t="s">
        <v>73</v>
      </c>
      <c r="L959" t="s">
        <v>74</v>
      </c>
      <c r="M959" t="s">
        <v>1298</v>
      </c>
      <c r="N959" t="s">
        <v>111</v>
      </c>
      <c r="O959" t="s">
        <v>1299</v>
      </c>
      <c r="P959" t="s">
        <v>1300</v>
      </c>
      <c r="Q959" t="s">
        <v>1301</v>
      </c>
      <c r="R959" s="1">
        <v>46214</v>
      </c>
      <c r="S959" t="s">
        <v>1276</v>
      </c>
      <c r="T959" t="s">
        <v>1277</v>
      </c>
      <c r="U959" t="s">
        <v>1278</v>
      </c>
      <c r="V959" t="s">
        <v>66</v>
      </c>
      <c r="W959" t="s">
        <v>66</v>
      </c>
      <c r="X959">
        <v>906147</v>
      </c>
      <c r="Y959">
        <v>99676.17</v>
      </c>
      <c r="Z959">
        <v>218592</v>
      </c>
      <c r="AA959">
        <v>24045.119999999999</v>
      </c>
      <c r="AB959">
        <v>1005823.17</v>
      </c>
      <c r="AC959">
        <v>12</v>
      </c>
      <c r="AD959" t="s">
        <v>82</v>
      </c>
      <c r="AE959">
        <v>12</v>
      </c>
      <c r="AF959" t="s">
        <v>116</v>
      </c>
      <c r="AG959">
        <f>IFERROR(VLOOKUP(AF959,[1]STOK!J:O,6,0),"")</f>
        <v>12</v>
      </c>
      <c r="AH959" s="2">
        <f t="shared" si="28"/>
        <v>1</v>
      </c>
      <c r="AI959" t="s">
        <v>116</v>
      </c>
      <c r="AJ959" t="s">
        <v>117</v>
      </c>
      <c r="AK959" t="s">
        <v>118</v>
      </c>
      <c r="AL959" t="s">
        <v>86</v>
      </c>
      <c r="AM959">
        <v>20424</v>
      </c>
      <c r="AN959">
        <f t="shared" si="29"/>
        <v>20219.759999999998</v>
      </c>
      <c r="AO959" t="s">
        <v>66</v>
      </c>
      <c r="AP959">
        <v>1</v>
      </c>
      <c r="AQ959" t="s">
        <v>66</v>
      </c>
      <c r="AR959">
        <v>0</v>
      </c>
      <c r="AS959" t="s">
        <v>66</v>
      </c>
      <c r="AT959">
        <v>0</v>
      </c>
      <c r="AU959" t="s">
        <v>66</v>
      </c>
      <c r="AV959">
        <v>0</v>
      </c>
      <c r="AW959" t="s">
        <v>66</v>
      </c>
      <c r="AX959">
        <v>0</v>
      </c>
      <c r="AY959" t="s">
        <v>66</v>
      </c>
      <c r="AZ959">
        <v>0</v>
      </c>
      <c r="BA959" t="s">
        <v>66</v>
      </c>
      <c r="BB959">
        <v>0</v>
      </c>
      <c r="BC959">
        <v>0</v>
      </c>
      <c r="BD959">
        <v>242637.12</v>
      </c>
      <c r="BE959">
        <v>16645.46</v>
      </c>
      <c r="BF959">
        <v>0</v>
      </c>
      <c r="BG959" t="s">
        <v>87</v>
      </c>
      <c r="BH959" t="s">
        <v>66</v>
      </c>
      <c r="BI959">
        <v>0</v>
      </c>
      <c r="BJ959" t="s">
        <v>66</v>
      </c>
      <c r="BK959" t="s">
        <v>88</v>
      </c>
      <c r="BL959" t="s">
        <v>66</v>
      </c>
      <c r="BM959" t="s">
        <v>159</v>
      </c>
    </row>
    <row r="960" spans="1:65" x14ac:dyDescent="0.25">
      <c r="A960">
        <v>958</v>
      </c>
      <c r="B960" t="s">
        <v>1296</v>
      </c>
      <c r="C960" t="s">
        <v>68</v>
      </c>
      <c r="D960" s="1">
        <v>46214</v>
      </c>
      <c r="E960" t="s">
        <v>1297</v>
      </c>
      <c r="F960" t="s">
        <v>68</v>
      </c>
      <c r="G960" t="s">
        <v>69</v>
      </c>
      <c r="H960" t="s">
        <v>70</v>
      </c>
      <c r="I960" t="s">
        <v>71</v>
      </c>
      <c r="J960" t="s">
        <v>72</v>
      </c>
      <c r="K960" t="s">
        <v>73</v>
      </c>
      <c r="L960" t="s">
        <v>74</v>
      </c>
      <c r="M960" t="s">
        <v>1298</v>
      </c>
      <c r="N960" t="s">
        <v>111</v>
      </c>
      <c r="O960" t="s">
        <v>1299</v>
      </c>
      <c r="P960" t="s">
        <v>1300</v>
      </c>
      <c r="Q960" t="s">
        <v>1301</v>
      </c>
      <c r="R960" s="1">
        <v>46214</v>
      </c>
      <c r="S960" t="s">
        <v>1276</v>
      </c>
      <c r="T960" t="s">
        <v>1277</v>
      </c>
      <c r="U960" t="s">
        <v>1278</v>
      </c>
      <c r="V960" t="s">
        <v>66</v>
      </c>
      <c r="W960" t="s">
        <v>66</v>
      </c>
      <c r="X960">
        <v>906147</v>
      </c>
      <c r="Y960">
        <v>99676.17</v>
      </c>
      <c r="Z960">
        <v>21978</v>
      </c>
      <c r="AA960">
        <v>2417.58</v>
      </c>
      <c r="AB960">
        <v>1005823.17</v>
      </c>
      <c r="AC960">
        <v>3</v>
      </c>
      <c r="AD960" t="s">
        <v>82</v>
      </c>
      <c r="AE960">
        <v>3</v>
      </c>
      <c r="AF960" t="s">
        <v>262</v>
      </c>
      <c r="AG960">
        <f>IFERROR(VLOOKUP(AF960,[1]STOK!J:O,6,0),"")</f>
        <v>24</v>
      </c>
      <c r="AH960" s="2">
        <f t="shared" si="28"/>
        <v>0.125</v>
      </c>
      <c r="AI960" t="s">
        <v>262</v>
      </c>
      <c r="AJ960" t="s">
        <v>263</v>
      </c>
      <c r="AK960" t="s">
        <v>264</v>
      </c>
      <c r="AL960" t="s">
        <v>86</v>
      </c>
      <c r="AM960">
        <v>8214</v>
      </c>
      <c r="AN960">
        <f t="shared" si="29"/>
        <v>8131.8600000000006</v>
      </c>
      <c r="AO960" t="s">
        <v>66</v>
      </c>
      <c r="AP960">
        <v>1</v>
      </c>
      <c r="AQ960" t="s">
        <v>66</v>
      </c>
      <c r="AR960">
        <v>0</v>
      </c>
      <c r="AS960" t="s">
        <v>66</v>
      </c>
      <c r="AT960">
        <v>0</v>
      </c>
      <c r="AU960" t="s">
        <v>66</v>
      </c>
      <c r="AV960">
        <v>0</v>
      </c>
      <c r="AW960" t="s">
        <v>66</v>
      </c>
      <c r="AX960">
        <v>0</v>
      </c>
      <c r="AY960" t="s">
        <v>66</v>
      </c>
      <c r="AZ960">
        <v>0</v>
      </c>
      <c r="BA960" t="s">
        <v>66</v>
      </c>
      <c r="BB960">
        <v>0</v>
      </c>
      <c r="BC960">
        <v>0</v>
      </c>
      <c r="BD960">
        <v>24395.58</v>
      </c>
      <c r="BE960">
        <v>6696.26</v>
      </c>
      <c r="BF960">
        <v>0</v>
      </c>
      <c r="BG960" t="s">
        <v>87</v>
      </c>
      <c r="BH960" t="s">
        <v>66</v>
      </c>
      <c r="BI960">
        <v>0</v>
      </c>
      <c r="BJ960" t="s">
        <v>66</v>
      </c>
      <c r="BK960" t="s">
        <v>88</v>
      </c>
      <c r="BL960" t="s">
        <v>66</v>
      </c>
      <c r="BM960" t="s">
        <v>159</v>
      </c>
    </row>
    <row r="961" spans="1:65" x14ac:dyDescent="0.25">
      <c r="A961">
        <v>959</v>
      </c>
      <c r="B961" t="s">
        <v>1296</v>
      </c>
      <c r="C961" t="s">
        <v>68</v>
      </c>
      <c r="D961" s="1">
        <v>46214</v>
      </c>
      <c r="E961" t="s">
        <v>1297</v>
      </c>
      <c r="F961" t="s">
        <v>68</v>
      </c>
      <c r="G961" t="s">
        <v>69</v>
      </c>
      <c r="H961" t="s">
        <v>70</v>
      </c>
      <c r="I961" t="s">
        <v>71</v>
      </c>
      <c r="J961" t="s">
        <v>72</v>
      </c>
      <c r="K961" t="s">
        <v>73</v>
      </c>
      <c r="L961" t="s">
        <v>74</v>
      </c>
      <c r="M961" t="s">
        <v>1298</v>
      </c>
      <c r="N961" t="s">
        <v>111</v>
      </c>
      <c r="O961" t="s">
        <v>1299</v>
      </c>
      <c r="P961" t="s">
        <v>1300</v>
      </c>
      <c r="Q961" t="s">
        <v>1301</v>
      </c>
      <c r="R961" s="1">
        <v>46214</v>
      </c>
      <c r="S961" t="s">
        <v>1276</v>
      </c>
      <c r="T961" t="s">
        <v>1277</v>
      </c>
      <c r="U961" t="s">
        <v>1278</v>
      </c>
      <c r="V961" t="s">
        <v>66</v>
      </c>
      <c r="W961" t="s">
        <v>66</v>
      </c>
      <c r="X961">
        <v>906147</v>
      </c>
      <c r="Y961">
        <v>99676.17</v>
      </c>
      <c r="Z961">
        <v>58806</v>
      </c>
      <c r="AA961">
        <v>6468.66</v>
      </c>
      <c r="AB961">
        <v>1005823.17</v>
      </c>
      <c r="AC961">
        <v>3</v>
      </c>
      <c r="AD961" t="s">
        <v>82</v>
      </c>
      <c r="AE961">
        <v>3</v>
      </c>
      <c r="AF961" t="s">
        <v>1302</v>
      </c>
      <c r="AG961">
        <f>IFERROR(VLOOKUP(AF961,[1]STOK!J:O,6,0),"")</f>
        <v>12</v>
      </c>
      <c r="AH961" s="2">
        <f t="shared" si="28"/>
        <v>0.25</v>
      </c>
      <c r="AI961" t="s">
        <v>1302</v>
      </c>
      <c r="AJ961" t="s">
        <v>1303</v>
      </c>
      <c r="AK961" t="s">
        <v>1304</v>
      </c>
      <c r="AL961" t="s">
        <v>86</v>
      </c>
      <c r="AM961">
        <v>21978</v>
      </c>
      <c r="AN961">
        <f t="shared" si="29"/>
        <v>21758.22</v>
      </c>
      <c r="AO961" t="s">
        <v>66</v>
      </c>
      <c r="AP961">
        <v>1</v>
      </c>
      <c r="AQ961" t="s">
        <v>66</v>
      </c>
      <c r="AR961">
        <v>0</v>
      </c>
      <c r="AS961" t="s">
        <v>66</v>
      </c>
      <c r="AT961">
        <v>0</v>
      </c>
      <c r="AU961" t="s">
        <v>66</v>
      </c>
      <c r="AV961">
        <v>0</v>
      </c>
      <c r="AW961" t="s">
        <v>66</v>
      </c>
      <c r="AX961">
        <v>0</v>
      </c>
      <c r="AY961" t="s">
        <v>66</v>
      </c>
      <c r="AZ961">
        <v>0</v>
      </c>
      <c r="BA961" t="s">
        <v>66</v>
      </c>
      <c r="BB961">
        <v>0</v>
      </c>
      <c r="BC961">
        <v>0</v>
      </c>
      <c r="BD961">
        <v>65274.66</v>
      </c>
      <c r="BE961">
        <v>17530.68</v>
      </c>
      <c r="BF961">
        <v>0</v>
      </c>
      <c r="BG961" t="s">
        <v>87</v>
      </c>
      <c r="BH961" t="s">
        <v>66</v>
      </c>
      <c r="BI961">
        <v>0</v>
      </c>
      <c r="BJ961" t="s">
        <v>66</v>
      </c>
      <c r="BK961" t="s">
        <v>88</v>
      </c>
      <c r="BL961" t="s">
        <v>66</v>
      </c>
      <c r="BM961" t="s">
        <v>159</v>
      </c>
    </row>
    <row r="962" spans="1:65" x14ac:dyDescent="0.25">
      <c r="A962">
        <v>960</v>
      </c>
      <c r="B962" t="s">
        <v>1296</v>
      </c>
      <c r="C962" t="s">
        <v>68</v>
      </c>
      <c r="D962" s="1">
        <v>46214</v>
      </c>
      <c r="E962" t="s">
        <v>1297</v>
      </c>
      <c r="F962" t="s">
        <v>68</v>
      </c>
      <c r="G962" t="s">
        <v>69</v>
      </c>
      <c r="H962" t="s">
        <v>70</v>
      </c>
      <c r="I962" t="s">
        <v>71</v>
      </c>
      <c r="J962" t="s">
        <v>72</v>
      </c>
      <c r="K962" t="s">
        <v>73</v>
      </c>
      <c r="L962" t="s">
        <v>74</v>
      </c>
      <c r="M962" t="s">
        <v>1298</v>
      </c>
      <c r="N962" t="s">
        <v>111</v>
      </c>
      <c r="O962" t="s">
        <v>1299</v>
      </c>
      <c r="P962" t="s">
        <v>1300</v>
      </c>
      <c r="Q962" t="s">
        <v>1301</v>
      </c>
      <c r="R962" s="1">
        <v>46214</v>
      </c>
      <c r="S962" t="s">
        <v>1276</v>
      </c>
      <c r="T962" t="s">
        <v>1277</v>
      </c>
      <c r="U962" t="s">
        <v>1278</v>
      </c>
      <c r="V962" t="s">
        <v>66</v>
      </c>
      <c r="W962" t="s">
        <v>66</v>
      </c>
      <c r="X962">
        <v>906147</v>
      </c>
      <c r="Y962">
        <v>99676.17</v>
      </c>
      <c r="Z962">
        <v>121176</v>
      </c>
      <c r="AA962">
        <v>13329.36</v>
      </c>
      <c r="AB962">
        <v>1005823.17</v>
      </c>
      <c r="AC962">
        <v>12</v>
      </c>
      <c r="AD962" t="s">
        <v>82</v>
      </c>
      <c r="AE962">
        <v>12</v>
      </c>
      <c r="AF962" t="s">
        <v>667</v>
      </c>
      <c r="AG962">
        <f>IFERROR(VLOOKUP(AF962,[1]STOK!J:O,6,0),"")</f>
        <v>24</v>
      </c>
      <c r="AH962" s="2">
        <f t="shared" si="28"/>
        <v>0.5</v>
      </c>
      <c r="AI962" t="s">
        <v>667</v>
      </c>
      <c r="AJ962" t="s">
        <v>668</v>
      </c>
      <c r="AK962" t="s">
        <v>669</v>
      </c>
      <c r="AL962" t="s">
        <v>86</v>
      </c>
      <c r="AM962">
        <v>11322</v>
      </c>
      <c r="AN962">
        <f t="shared" si="29"/>
        <v>11208.779999999999</v>
      </c>
      <c r="AO962" t="s">
        <v>66</v>
      </c>
      <c r="AP962">
        <v>1</v>
      </c>
      <c r="AQ962" t="s">
        <v>66</v>
      </c>
      <c r="AR962">
        <v>0</v>
      </c>
      <c r="AS962" t="s">
        <v>66</v>
      </c>
      <c r="AT962">
        <v>0</v>
      </c>
      <c r="AU962" t="s">
        <v>66</v>
      </c>
      <c r="AV962">
        <v>0</v>
      </c>
      <c r="AW962" t="s">
        <v>66</v>
      </c>
      <c r="AX962">
        <v>0</v>
      </c>
      <c r="AY962" t="s">
        <v>66</v>
      </c>
      <c r="AZ962">
        <v>0</v>
      </c>
      <c r="BA962" t="s">
        <v>66</v>
      </c>
      <c r="BB962">
        <v>0</v>
      </c>
      <c r="BC962">
        <v>0</v>
      </c>
      <c r="BD962">
        <v>134505.35999999999</v>
      </c>
      <c r="BE962">
        <v>9046.9599999999991</v>
      </c>
      <c r="BF962">
        <v>0</v>
      </c>
      <c r="BG962" t="s">
        <v>87</v>
      </c>
      <c r="BH962" t="s">
        <v>66</v>
      </c>
      <c r="BI962">
        <v>0</v>
      </c>
      <c r="BJ962" t="s">
        <v>66</v>
      </c>
      <c r="BK962" t="s">
        <v>88</v>
      </c>
      <c r="BL962" t="s">
        <v>66</v>
      </c>
      <c r="BM962" t="s">
        <v>159</v>
      </c>
    </row>
    <row r="963" spans="1:65" x14ac:dyDescent="0.25">
      <c r="A963">
        <v>961</v>
      </c>
      <c r="B963" t="s">
        <v>1296</v>
      </c>
      <c r="C963" t="s">
        <v>68</v>
      </c>
      <c r="D963" s="1">
        <v>46214</v>
      </c>
      <c r="E963" t="s">
        <v>1297</v>
      </c>
      <c r="F963" t="s">
        <v>68</v>
      </c>
      <c r="G963" t="s">
        <v>69</v>
      </c>
      <c r="H963" t="s">
        <v>70</v>
      </c>
      <c r="I963" t="s">
        <v>71</v>
      </c>
      <c r="J963" t="s">
        <v>72</v>
      </c>
      <c r="K963" t="s">
        <v>73</v>
      </c>
      <c r="L963" t="s">
        <v>74</v>
      </c>
      <c r="M963" t="s">
        <v>1298</v>
      </c>
      <c r="N963" t="s">
        <v>111</v>
      </c>
      <c r="O963" t="s">
        <v>1299</v>
      </c>
      <c r="P963" t="s">
        <v>1300</v>
      </c>
      <c r="Q963" t="s">
        <v>1301</v>
      </c>
      <c r="R963" s="1">
        <v>46214</v>
      </c>
      <c r="S963" t="s">
        <v>1276</v>
      </c>
      <c r="T963" t="s">
        <v>1277</v>
      </c>
      <c r="U963" t="s">
        <v>1278</v>
      </c>
      <c r="V963" t="s">
        <v>66</v>
      </c>
      <c r="W963" t="s">
        <v>66</v>
      </c>
      <c r="X963">
        <v>906147</v>
      </c>
      <c r="Y963">
        <v>99676.17</v>
      </c>
      <c r="Z963">
        <v>81081</v>
      </c>
      <c r="AA963">
        <v>8918.91</v>
      </c>
      <c r="AB963">
        <v>1005823.17</v>
      </c>
      <c r="AC963">
        <v>3</v>
      </c>
      <c r="AD963" t="s">
        <v>82</v>
      </c>
      <c r="AE963">
        <v>3</v>
      </c>
      <c r="AF963" t="s">
        <v>306</v>
      </c>
      <c r="AG963">
        <f>IFERROR(VLOOKUP(AF963,[1]STOK!J:O,6,0),"")</f>
        <v>12</v>
      </c>
      <c r="AH963" s="2">
        <f t="shared" si="28"/>
        <v>0.25</v>
      </c>
      <c r="AI963" t="s">
        <v>306</v>
      </c>
      <c r="AJ963" t="s">
        <v>307</v>
      </c>
      <c r="AK963" t="s">
        <v>308</v>
      </c>
      <c r="AL963" t="s">
        <v>86</v>
      </c>
      <c r="AM963">
        <v>30303</v>
      </c>
      <c r="AN963">
        <f t="shared" si="29"/>
        <v>29999.97</v>
      </c>
      <c r="AO963" t="s">
        <v>66</v>
      </c>
      <c r="AP963">
        <v>1</v>
      </c>
      <c r="AQ963" t="s">
        <v>66</v>
      </c>
      <c r="AR963">
        <v>0</v>
      </c>
      <c r="AS963" t="s">
        <v>66</v>
      </c>
      <c r="AT963">
        <v>0</v>
      </c>
      <c r="AU963" t="s">
        <v>66</v>
      </c>
      <c r="AV963">
        <v>0</v>
      </c>
      <c r="AW963" t="s">
        <v>66</v>
      </c>
      <c r="AX963">
        <v>0</v>
      </c>
      <c r="AY963" t="s">
        <v>66</v>
      </c>
      <c r="AZ963">
        <v>0</v>
      </c>
      <c r="BA963" t="s">
        <v>66</v>
      </c>
      <c r="BB963">
        <v>0</v>
      </c>
      <c r="BC963">
        <v>0</v>
      </c>
      <c r="BD963">
        <v>89999.91</v>
      </c>
      <c r="BE963">
        <v>24556.61</v>
      </c>
      <c r="BF963">
        <v>0</v>
      </c>
      <c r="BG963" t="s">
        <v>87</v>
      </c>
      <c r="BH963" t="s">
        <v>66</v>
      </c>
      <c r="BI963">
        <v>0</v>
      </c>
      <c r="BJ963" t="s">
        <v>66</v>
      </c>
      <c r="BK963" t="s">
        <v>88</v>
      </c>
      <c r="BL963" t="s">
        <v>66</v>
      </c>
      <c r="BM963" t="s">
        <v>159</v>
      </c>
    </row>
    <row r="964" spans="1:65" x14ac:dyDescent="0.25">
      <c r="A964">
        <v>962</v>
      </c>
      <c r="B964" t="s">
        <v>1296</v>
      </c>
      <c r="C964" t="s">
        <v>68</v>
      </c>
      <c r="D964" s="1">
        <v>46214</v>
      </c>
      <c r="E964" t="s">
        <v>1297</v>
      </c>
      <c r="F964" t="s">
        <v>68</v>
      </c>
      <c r="G964" t="s">
        <v>69</v>
      </c>
      <c r="H964" t="s">
        <v>70</v>
      </c>
      <c r="I964" t="s">
        <v>71</v>
      </c>
      <c r="J964" t="s">
        <v>72</v>
      </c>
      <c r="K964" t="s">
        <v>73</v>
      </c>
      <c r="L964" t="s">
        <v>74</v>
      </c>
      <c r="M964" t="s">
        <v>1298</v>
      </c>
      <c r="N964" t="s">
        <v>111</v>
      </c>
      <c r="O964" t="s">
        <v>1299</v>
      </c>
      <c r="P964" t="s">
        <v>1300</v>
      </c>
      <c r="Q964" t="s">
        <v>1301</v>
      </c>
      <c r="R964" s="1">
        <v>46214</v>
      </c>
      <c r="S964" t="s">
        <v>1276</v>
      </c>
      <c r="T964" t="s">
        <v>1277</v>
      </c>
      <c r="U964" t="s">
        <v>1278</v>
      </c>
      <c r="V964" t="s">
        <v>66</v>
      </c>
      <c r="W964" t="s">
        <v>66</v>
      </c>
      <c r="X964">
        <v>906147</v>
      </c>
      <c r="Y964">
        <v>99676.17</v>
      </c>
      <c r="Z964">
        <v>43659</v>
      </c>
      <c r="AA964">
        <v>4802.49</v>
      </c>
      <c r="AB964">
        <v>1005823.17</v>
      </c>
      <c r="AC964">
        <v>3</v>
      </c>
      <c r="AD964" t="s">
        <v>82</v>
      </c>
      <c r="AE964">
        <v>3</v>
      </c>
      <c r="AF964" t="s">
        <v>1263</v>
      </c>
      <c r="AG964">
        <f>IFERROR(VLOOKUP(AF964,[1]STOK!J:O,6,0),"")</f>
        <v>12</v>
      </c>
      <c r="AH964" s="2">
        <f t="shared" ref="AH964:AH1027" si="30">AE964/AG964</f>
        <v>0.25</v>
      </c>
      <c r="AI964" t="s">
        <v>1263</v>
      </c>
      <c r="AJ964" t="s">
        <v>1264</v>
      </c>
      <c r="AK964" t="s">
        <v>1265</v>
      </c>
      <c r="AL964" t="s">
        <v>86</v>
      </c>
      <c r="AM964">
        <v>16317</v>
      </c>
      <c r="AN964">
        <f t="shared" ref="AN964:AN1027" si="31">BD964/AC964</f>
        <v>16153.83</v>
      </c>
      <c r="AO964" t="s">
        <v>66</v>
      </c>
      <c r="AP964">
        <v>1</v>
      </c>
      <c r="AQ964" t="s">
        <v>66</v>
      </c>
      <c r="AR964">
        <v>0</v>
      </c>
      <c r="AS964" t="s">
        <v>66</v>
      </c>
      <c r="AT964">
        <v>0</v>
      </c>
      <c r="AU964" t="s">
        <v>66</v>
      </c>
      <c r="AV964">
        <v>0</v>
      </c>
      <c r="AW964" t="s">
        <v>66</v>
      </c>
      <c r="AX964">
        <v>0</v>
      </c>
      <c r="AY964" t="s">
        <v>66</v>
      </c>
      <c r="AZ964">
        <v>0</v>
      </c>
      <c r="BA964" t="s">
        <v>66</v>
      </c>
      <c r="BB964">
        <v>0</v>
      </c>
      <c r="BC964">
        <v>0</v>
      </c>
      <c r="BD964">
        <v>48461.49</v>
      </c>
      <c r="BE964">
        <v>13286.06</v>
      </c>
      <c r="BF964">
        <v>0</v>
      </c>
      <c r="BG964" t="s">
        <v>87</v>
      </c>
      <c r="BH964" t="s">
        <v>66</v>
      </c>
      <c r="BI964">
        <v>0</v>
      </c>
      <c r="BJ964" t="s">
        <v>66</v>
      </c>
      <c r="BK964" t="s">
        <v>88</v>
      </c>
      <c r="BL964" t="s">
        <v>66</v>
      </c>
      <c r="BM964" t="s">
        <v>159</v>
      </c>
    </row>
    <row r="965" spans="1:65" x14ac:dyDescent="0.25">
      <c r="A965">
        <v>963</v>
      </c>
      <c r="B965" t="s">
        <v>1296</v>
      </c>
      <c r="C965" t="s">
        <v>68</v>
      </c>
      <c r="D965" s="1">
        <v>46214</v>
      </c>
      <c r="E965" t="s">
        <v>1297</v>
      </c>
      <c r="F965" t="s">
        <v>68</v>
      </c>
      <c r="G965" t="s">
        <v>69</v>
      </c>
      <c r="H965" t="s">
        <v>70</v>
      </c>
      <c r="I965" t="s">
        <v>71</v>
      </c>
      <c r="J965" t="s">
        <v>72</v>
      </c>
      <c r="K965" t="s">
        <v>73</v>
      </c>
      <c r="L965" t="s">
        <v>74</v>
      </c>
      <c r="M965" t="s">
        <v>1298</v>
      </c>
      <c r="N965" t="s">
        <v>111</v>
      </c>
      <c r="O965" t="s">
        <v>1299</v>
      </c>
      <c r="P965" t="s">
        <v>1300</v>
      </c>
      <c r="Q965" t="s">
        <v>1301</v>
      </c>
      <c r="R965" s="1">
        <v>46214</v>
      </c>
      <c r="S965" t="s">
        <v>1276</v>
      </c>
      <c r="T965" t="s">
        <v>1277</v>
      </c>
      <c r="U965" t="s">
        <v>1278</v>
      </c>
      <c r="V965" t="s">
        <v>66</v>
      </c>
      <c r="W965" t="s">
        <v>66</v>
      </c>
      <c r="X965">
        <v>906147</v>
      </c>
      <c r="Y965">
        <v>99676.17</v>
      </c>
      <c r="Z965">
        <v>31779</v>
      </c>
      <c r="AA965">
        <v>3495.69</v>
      </c>
      <c r="AB965">
        <v>1005823.17</v>
      </c>
      <c r="AC965">
        <v>3</v>
      </c>
      <c r="AD965" t="s">
        <v>82</v>
      </c>
      <c r="AE965">
        <v>3</v>
      </c>
      <c r="AF965" t="s">
        <v>421</v>
      </c>
      <c r="AG965">
        <f>IFERROR(VLOOKUP(AF965,[1]STOK!J:O,6,0),"")</f>
        <v>12</v>
      </c>
      <c r="AH965" s="2">
        <f t="shared" si="30"/>
        <v>0.25</v>
      </c>
      <c r="AI965" t="s">
        <v>421</v>
      </c>
      <c r="AJ965" t="s">
        <v>422</v>
      </c>
      <c r="AK965" t="s">
        <v>423</v>
      </c>
      <c r="AL965" t="s">
        <v>86</v>
      </c>
      <c r="AM965">
        <v>11877</v>
      </c>
      <c r="AN965">
        <f t="shared" si="31"/>
        <v>11758.230000000001</v>
      </c>
      <c r="AO965" t="s">
        <v>66</v>
      </c>
      <c r="AP965">
        <v>1</v>
      </c>
      <c r="AQ965" t="s">
        <v>66</v>
      </c>
      <c r="AR965">
        <v>0</v>
      </c>
      <c r="AS965" t="s">
        <v>66</v>
      </c>
      <c r="AT965">
        <v>0</v>
      </c>
      <c r="AU965" t="s">
        <v>66</v>
      </c>
      <c r="AV965">
        <v>0</v>
      </c>
      <c r="AW965" t="s">
        <v>66</v>
      </c>
      <c r="AX965">
        <v>0</v>
      </c>
      <c r="AY965" t="s">
        <v>66</v>
      </c>
      <c r="AZ965">
        <v>0</v>
      </c>
      <c r="BA965" t="s">
        <v>66</v>
      </c>
      <c r="BB965">
        <v>0</v>
      </c>
      <c r="BC965">
        <v>0</v>
      </c>
      <c r="BD965">
        <v>35274.69</v>
      </c>
      <c r="BE965">
        <v>9164.5400000000009</v>
      </c>
      <c r="BF965">
        <v>0</v>
      </c>
      <c r="BG965" t="s">
        <v>87</v>
      </c>
      <c r="BH965" t="s">
        <v>66</v>
      </c>
      <c r="BI965">
        <v>0</v>
      </c>
      <c r="BJ965" t="s">
        <v>66</v>
      </c>
      <c r="BK965" t="s">
        <v>88</v>
      </c>
      <c r="BL965" t="s">
        <v>66</v>
      </c>
      <c r="BM965" t="s">
        <v>159</v>
      </c>
    </row>
    <row r="966" spans="1:65" x14ac:dyDescent="0.25">
      <c r="A966">
        <v>964</v>
      </c>
      <c r="B966" t="s">
        <v>1296</v>
      </c>
      <c r="C966" t="s">
        <v>68</v>
      </c>
      <c r="D966" s="1">
        <v>46214</v>
      </c>
      <c r="E966" t="s">
        <v>1297</v>
      </c>
      <c r="F966" t="s">
        <v>68</v>
      </c>
      <c r="G966" t="s">
        <v>69</v>
      </c>
      <c r="H966" t="s">
        <v>70</v>
      </c>
      <c r="I966" t="s">
        <v>71</v>
      </c>
      <c r="J966" t="s">
        <v>72</v>
      </c>
      <c r="K966" t="s">
        <v>73</v>
      </c>
      <c r="L966" t="s">
        <v>74</v>
      </c>
      <c r="M966" t="s">
        <v>1298</v>
      </c>
      <c r="N966" t="s">
        <v>111</v>
      </c>
      <c r="O966" t="s">
        <v>1299</v>
      </c>
      <c r="P966" t="s">
        <v>1300</v>
      </c>
      <c r="Q966" t="s">
        <v>1301</v>
      </c>
      <c r="R966" s="1">
        <v>46214</v>
      </c>
      <c r="S966" t="s">
        <v>1276</v>
      </c>
      <c r="T966" t="s">
        <v>1277</v>
      </c>
      <c r="U966" t="s">
        <v>1278</v>
      </c>
      <c r="V966" t="s">
        <v>66</v>
      </c>
      <c r="W966" t="s">
        <v>66</v>
      </c>
      <c r="X966">
        <v>906147</v>
      </c>
      <c r="Y966">
        <v>99676.17</v>
      </c>
      <c r="Z966">
        <v>158004</v>
      </c>
      <c r="AA966">
        <v>17380.439999999999</v>
      </c>
      <c r="AB966">
        <v>1005823.17</v>
      </c>
      <c r="AC966">
        <v>12</v>
      </c>
      <c r="AD966" t="s">
        <v>82</v>
      </c>
      <c r="AE966">
        <v>12</v>
      </c>
      <c r="AF966" t="s">
        <v>135</v>
      </c>
      <c r="AG966">
        <f>IFERROR(VLOOKUP(AF966,[1]STOK!J:O,6,0),"")</f>
        <v>12</v>
      </c>
      <c r="AH966" s="2">
        <f t="shared" si="30"/>
        <v>1</v>
      </c>
      <c r="AI966" t="s">
        <v>135</v>
      </c>
      <c r="AJ966" t="s">
        <v>136</v>
      </c>
      <c r="AK966" t="s">
        <v>137</v>
      </c>
      <c r="AL966" t="s">
        <v>86</v>
      </c>
      <c r="AM966">
        <v>14763</v>
      </c>
      <c r="AN966">
        <f t="shared" si="31"/>
        <v>14615.37</v>
      </c>
      <c r="AO966" t="s">
        <v>66</v>
      </c>
      <c r="AP966">
        <v>1</v>
      </c>
      <c r="AQ966" t="s">
        <v>66</v>
      </c>
      <c r="AR966">
        <v>0</v>
      </c>
      <c r="AS966" t="s">
        <v>66</v>
      </c>
      <c r="AT966">
        <v>0</v>
      </c>
      <c r="AU966" t="s">
        <v>66</v>
      </c>
      <c r="AV966">
        <v>0</v>
      </c>
      <c r="AW966" t="s">
        <v>66</v>
      </c>
      <c r="AX966">
        <v>0</v>
      </c>
      <c r="AY966" t="s">
        <v>66</v>
      </c>
      <c r="AZ966">
        <v>0</v>
      </c>
      <c r="BA966" t="s">
        <v>66</v>
      </c>
      <c r="BB966">
        <v>0</v>
      </c>
      <c r="BC966">
        <v>0</v>
      </c>
      <c r="BD966">
        <v>175384.44</v>
      </c>
      <c r="BE966">
        <v>12036.57</v>
      </c>
      <c r="BF966">
        <v>0</v>
      </c>
      <c r="BG966" t="s">
        <v>87</v>
      </c>
      <c r="BH966" t="s">
        <v>66</v>
      </c>
      <c r="BI966">
        <v>0</v>
      </c>
      <c r="BJ966" t="s">
        <v>66</v>
      </c>
      <c r="BK966" t="s">
        <v>88</v>
      </c>
      <c r="BL966" t="s">
        <v>66</v>
      </c>
      <c r="BM966" t="s">
        <v>159</v>
      </c>
    </row>
    <row r="967" spans="1:65" x14ac:dyDescent="0.25">
      <c r="A967">
        <v>965</v>
      </c>
      <c r="B967" t="s">
        <v>1296</v>
      </c>
      <c r="C967" t="s">
        <v>68</v>
      </c>
      <c r="D967" s="1">
        <v>46214</v>
      </c>
      <c r="E967" t="s">
        <v>1297</v>
      </c>
      <c r="F967" t="s">
        <v>68</v>
      </c>
      <c r="G967" t="s">
        <v>69</v>
      </c>
      <c r="H967" t="s">
        <v>70</v>
      </c>
      <c r="I967" t="s">
        <v>71</v>
      </c>
      <c r="J967" t="s">
        <v>72</v>
      </c>
      <c r="K967" t="s">
        <v>73</v>
      </c>
      <c r="L967" t="s">
        <v>74</v>
      </c>
      <c r="M967" t="s">
        <v>1298</v>
      </c>
      <c r="N967" t="s">
        <v>111</v>
      </c>
      <c r="O967" t="s">
        <v>1299</v>
      </c>
      <c r="P967" t="s">
        <v>1300</v>
      </c>
      <c r="Q967" t="s">
        <v>1301</v>
      </c>
      <c r="R967" s="1">
        <v>46214</v>
      </c>
      <c r="S967" t="s">
        <v>1276</v>
      </c>
      <c r="T967" t="s">
        <v>1277</v>
      </c>
      <c r="U967" t="s">
        <v>1278</v>
      </c>
      <c r="V967" t="s">
        <v>66</v>
      </c>
      <c r="W967" t="s">
        <v>66</v>
      </c>
      <c r="X967">
        <v>906147</v>
      </c>
      <c r="Y967">
        <v>99676.17</v>
      </c>
      <c r="Z967">
        <v>171072</v>
      </c>
      <c r="AA967">
        <v>18817.919999999998</v>
      </c>
      <c r="AB967">
        <v>1005823.17</v>
      </c>
      <c r="AC967">
        <v>12</v>
      </c>
      <c r="AD967" t="s">
        <v>82</v>
      </c>
      <c r="AE967">
        <v>12</v>
      </c>
      <c r="AF967" t="s">
        <v>141</v>
      </c>
      <c r="AG967">
        <f>IFERROR(VLOOKUP(AF967,[1]STOK!J:O,6,0),"")</f>
        <v>12</v>
      </c>
      <c r="AH967" s="2">
        <f t="shared" si="30"/>
        <v>1</v>
      </c>
      <c r="AI967" t="s">
        <v>141</v>
      </c>
      <c r="AJ967" t="s">
        <v>142</v>
      </c>
      <c r="AK967" t="s">
        <v>143</v>
      </c>
      <c r="AL967" t="s">
        <v>86</v>
      </c>
      <c r="AM967">
        <v>15984</v>
      </c>
      <c r="AN967">
        <f t="shared" si="31"/>
        <v>15824.160000000002</v>
      </c>
      <c r="AO967" t="s">
        <v>66</v>
      </c>
      <c r="AP967">
        <v>1</v>
      </c>
      <c r="AQ967" t="s">
        <v>66</v>
      </c>
      <c r="AR967">
        <v>0</v>
      </c>
      <c r="AS967" t="s">
        <v>66</v>
      </c>
      <c r="AT967">
        <v>0</v>
      </c>
      <c r="AU967" t="s">
        <v>66</v>
      </c>
      <c r="AV967">
        <v>0</v>
      </c>
      <c r="AW967" t="s">
        <v>66</v>
      </c>
      <c r="AX967">
        <v>0</v>
      </c>
      <c r="AY967" t="s">
        <v>66</v>
      </c>
      <c r="AZ967">
        <v>0</v>
      </c>
      <c r="BA967" t="s">
        <v>66</v>
      </c>
      <c r="BB967">
        <v>0</v>
      </c>
      <c r="BC967">
        <v>0</v>
      </c>
      <c r="BD967">
        <v>189889.92000000001</v>
      </c>
      <c r="BE967">
        <v>13031.69</v>
      </c>
      <c r="BF967">
        <v>0</v>
      </c>
      <c r="BG967" t="s">
        <v>87</v>
      </c>
      <c r="BH967" t="s">
        <v>66</v>
      </c>
      <c r="BI967">
        <v>0</v>
      </c>
      <c r="BJ967" t="s">
        <v>66</v>
      </c>
      <c r="BK967" t="s">
        <v>88</v>
      </c>
      <c r="BL967" t="s">
        <v>66</v>
      </c>
      <c r="BM967" t="s">
        <v>159</v>
      </c>
    </row>
    <row r="968" spans="1:65" x14ac:dyDescent="0.25">
      <c r="A968">
        <v>966</v>
      </c>
      <c r="B968" t="s">
        <v>1305</v>
      </c>
      <c r="C968" t="s">
        <v>1306</v>
      </c>
      <c r="D968" s="1">
        <v>46214</v>
      </c>
      <c r="E968" t="s">
        <v>1307</v>
      </c>
      <c r="F968" t="s">
        <v>1308</v>
      </c>
      <c r="G968" t="s">
        <v>69</v>
      </c>
      <c r="H968" t="s">
        <v>70</v>
      </c>
      <c r="I968" t="s">
        <v>71</v>
      </c>
      <c r="J968" t="s">
        <v>72</v>
      </c>
      <c r="K968" t="s">
        <v>73</v>
      </c>
      <c r="L968" t="s">
        <v>74</v>
      </c>
      <c r="M968" t="s">
        <v>867</v>
      </c>
      <c r="N968" t="s">
        <v>696</v>
      </c>
      <c r="O968" t="s">
        <v>868</v>
      </c>
      <c r="P968" t="s">
        <v>869</v>
      </c>
      <c r="Q968" t="s">
        <v>1309</v>
      </c>
      <c r="R968" s="1">
        <v>46216</v>
      </c>
      <c r="S968" t="s">
        <v>871</v>
      </c>
      <c r="T968" t="s">
        <v>872</v>
      </c>
      <c r="U968" t="s">
        <v>873</v>
      </c>
      <c r="V968" t="s">
        <v>66</v>
      </c>
      <c r="W968" t="s">
        <v>66</v>
      </c>
      <c r="X968">
        <v>12979182</v>
      </c>
      <c r="Y968">
        <v>1427710.02</v>
      </c>
      <c r="Z968">
        <v>183912</v>
      </c>
      <c r="AA968">
        <v>20230.32</v>
      </c>
      <c r="AB968">
        <v>14406892.02</v>
      </c>
      <c r="AC968">
        <v>1</v>
      </c>
      <c r="AD968" t="s">
        <v>134</v>
      </c>
      <c r="AE968">
        <v>24</v>
      </c>
      <c r="AF968" t="s">
        <v>344</v>
      </c>
      <c r="AG968">
        <f>IFERROR(VLOOKUP(AF968,[1]STOK!J:O,6,0),"")</f>
        <v>24</v>
      </c>
      <c r="AH968" s="2">
        <f t="shared" si="30"/>
        <v>1</v>
      </c>
      <c r="AI968" t="s">
        <v>344</v>
      </c>
      <c r="AJ968" t="s">
        <v>345</v>
      </c>
      <c r="AK968" t="s">
        <v>346</v>
      </c>
      <c r="AL968" t="s">
        <v>86</v>
      </c>
      <c r="AM968">
        <v>210456</v>
      </c>
      <c r="AN968">
        <f t="shared" si="31"/>
        <v>204142.32</v>
      </c>
      <c r="AO968" t="s">
        <v>66</v>
      </c>
      <c r="AP968">
        <v>3</v>
      </c>
      <c r="AQ968" t="s">
        <v>66</v>
      </c>
      <c r="AR968">
        <v>0</v>
      </c>
      <c r="AS968" t="s">
        <v>66</v>
      </c>
      <c r="AT968">
        <v>0</v>
      </c>
      <c r="AU968" t="s">
        <v>66</v>
      </c>
      <c r="AV968">
        <v>0</v>
      </c>
      <c r="AW968" t="s">
        <v>66</v>
      </c>
      <c r="AX968">
        <v>0</v>
      </c>
      <c r="AY968" t="s">
        <v>66</v>
      </c>
      <c r="AZ968">
        <v>0</v>
      </c>
      <c r="BA968" t="s">
        <v>66</v>
      </c>
      <c r="BB968">
        <v>0</v>
      </c>
      <c r="BC968">
        <v>0</v>
      </c>
      <c r="BD968">
        <v>204142.32</v>
      </c>
      <c r="BE968">
        <v>7028.61</v>
      </c>
      <c r="BF968">
        <v>0</v>
      </c>
      <c r="BG968" t="s">
        <v>87</v>
      </c>
      <c r="BH968" t="s">
        <v>66</v>
      </c>
      <c r="BI968">
        <v>0</v>
      </c>
      <c r="BJ968" t="s">
        <v>66</v>
      </c>
      <c r="BK968" t="s">
        <v>88</v>
      </c>
      <c r="BL968" t="s">
        <v>877</v>
      </c>
      <c r="BM968" t="s">
        <v>159</v>
      </c>
    </row>
    <row r="969" spans="1:65" x14ac:dyDescent="0.25">
      <c r="A969">
        <v>967</v>
      </c>
      <c r="B969" t="s">
        <v>1305</v>
      </c>
      <c r="C969" t="s">
        <v>1306</v>
      </c>
      <c r="D969" s="1">
        <v>46214</v>
      </c>
      <c r="E969" t="s">
        <v>1307</v>
      </c>
      <c r="F969" t="s">
        <v>1308</v>
      </c>
      <c r="G969" t="s">
        <v>69</v>
      </c>
      <c r="H969" t="s">
        <v>70</v>
      </c>
      <c r="I969" t="s">
        <v>71</v>
      </c>
      <c r="J969" t="s">
        <v>72</v>
      </c>
      <c r="K969" t="s">
        <v>73</v>
      </c>
      <c r="L969" t="s">
        <v>74</v>
      </c>
      <c r="M969" t="s">
        <v>867</v>
      </c>
      <c r="N969" t="s">
        <v>696</v>
      </c>
      <c r="O969" t="s">
        <v>868</v>
      </c>
      <c r="P969" t="s">
        <v>869</v>
      </c>
      <c r="Q969" t="s">
        <v>1309</v>
      </c>
      <c r="R969" s="1">
        <v>46216</v>
      </c>
      <c r="S969" t="s">
        <v>871</v>
      </c>
      <c r="T969" t="s">
        <v>872</v>
      </c>
      <c r="U969" t="s">
        <v>873</v>
      </c>
      <c r="V969" t="s">
        <v>66</v>
      </c>
      <c r="W969" t="s">
        <v>66</v>
      </c>
      <c r="X969">
        <v>12979182</v>
      </c>
      <c r="Y969">
        <v>1427710.02</v>
      </c>
      <c r="Z969">
        <v>2258160</v>
      </c>
      <c r="AA969">
        <v>248397.6</v>
      </c>
      <c r="AB969">
        <v>14406892.02</v>
      </c>
      <c r="AC969">
        <v>5</v>
      </c>
      <c r="AD969" t="s">
        <v>134</v>
      </c>
      <c r="AE969">
        <v>120</v>
      </c>
      <c r="AF969" t="s">
        <v>281</v>
      </c>
      <c r="AG969">
        <f>IFERROR(VLOOKUP(AF969,[1]STOK!J:O,6,0),"")</f>
        <v>24</v>
      </c>
      <c r="AH969" s="2">
        <f t="shared" si="30"/>
        <v>5</v>
      </c>
      <c r="AI969" t="s">
        <v>281</v>
      </c>
      <c r="AJ969" t="s">
        <v>282</v>
      </c>
      <c r="AK969" t="s">
        <v>283</v>
      </c>
      <c r="AL969" t="s">
        <v>86</v>
      </c>
      <c r="AM969">
        <v>516816</v>
      </c>
      <c r="AN969">
        <f t="shared" si="31"/>
        <v>501311.52</v>
      </c>
      <c r="AO969" t="s">
        <v>66</v>
      </c>
      <c r="AP969">
        <v>3</v>
      </c>
      <c r="AQ969" t="s">
        <v>66</v>
      </c>
      <c r="AR969">
        <v>0</v>
      </c>
      <c r="AS969" t="s">
        <v>66</v>
      </c>
      <c r="AT969">
        <v>0</v>
      </c>
      <c r="AU969" t="s">
        <v>66</v>
      </c>
      <c r="AV969">
        <v>0</v>
      </c>
      <c r="AW969" t="s">
        <v>66</v>
      </c>
      <c r="AX969">
        <v>0</v>
      </c>
      <c r="AY969" t="s">
        <v>66</v>
      </c>
      <c r="AZ969">
        <v>0</v>
      </c>
      <c r="BA969" t="s">
        <v>66</v>
      </c>
      <c r="BB969">
        <v>0</v>
      </c>
      <c r="BC969">
        <v>0</v>
      </c>
      <c r="BD969">
        <v>2506557.6</v>
      </c>
      <c r="BE969">
        <v>17390.830000000002</v>
      </c>
      <c r="BF969">
        <v>0</v>
      </c>
      <c r="BG969" t="s">
        <v>87</v>
      </c>
      <c r="BH969" t="s">
        <v>66</v>
      </c>
      <c r="BI969">
        <v>0</v>
      </c>
      <c r="BJ969" t="s">
        <v>66</v>
      </c>
      <c r="BK969" t="s">
        <v>88</v>
      </c>
      <c r="BL969" t="s">
        <v>877</v>
      </c>
      <c r="BM969" t="s">
        <v>159</v>
      </c>
    </row>
    <row r="970" spans="1:65" x14ac:dyDescent="0.25">
      <c r="A970">
        <v>968</v>
      </c>
      <c r="B970" t="s">
        <v>1305</v>
      </c>
      <c r="C970" t="s">
        <v>1306</v>
      </c>
      <c r="D970" s="1">
        <v>46214</v>
      </c>
      <c r="E970" t="s">
        <v>1307</v>
      </c>
      <c r="F970" t="s">
        <v>1308</v>
      </c>
      <c r="G970" t="s">
        <v>69</v>
      </c>
      <c r="H970" t="s">
        <v>70</v>
      </c>
      <c r="I970" t="s">
        <v>71</v>
      </c>
      <c r="J970" t="s">
        <v>72</v>
      </c>
      <c r="K970" t="s">
        <v>73</v>
      </c>
      <c r="L970" t="s">
        <v>74</v>
      </c>
      <c r="M970" t="s">
        <v>867</v>
      </c>
      <c r="N970" t="s">
        <v>696</v>
      </c>
      <c r="O970" t="s">
        <v>868</v>
      </c>
      <c r="P970" t="s">
        <v>869</v>
      </c>
      <c r="Q970" t="s">
        <v>1309</v>
      </c>
      <c r="R970" s="1">
        <v>46216</v>
      </c>
      <c r="S970" t="s">
        <v>871</v>
      </c>
      <c r="T970" t="s">
        <v>872</v>
      </c>
      <c r="U970" t="s">
        <v>873</v>
      </c>
      <c r="V970" t="s">
        <v>66</v>
      </c>
      <c r="W970" t="s">
        <v>66</v>
      </c>
      <c r="X970">
        <v>12979182</v>
      </c>
      <c r="Y970">
        <v>1427710.02</v>
      </c>
      <c r="Z970">
        <v>684432</v>
      </c>
      <c r="AA970">
        <v>75287.520000000004</v>
      </c>
      <c r="AB970">
        <v>14406892.02</v>
      </c>
      <c r="AC970">
        <v>4</v>
      </c>
      <c r="AD970" t="s">
        <v>134</v>
      </c>
      <c r="AE970">
        <v>48</v>
      </c>
      <c r="AF970" t="s">
        <v>1263</v>
      </c>
      <c r="AG970">
        <f>IFERROR(VLOOKUP(AF970,[1]STOK!J:O,6,0),"")</f>
        <v>12</v>
      </c>
      <c r="AH970" s="2">
        <f t="shared" si="30"/>
        <v>4</v>
      </c>
      <c r="AI970" t="s">
        <v>1263</v>
      </c>
      <c r="AJ970" t="s">
        <v>1264</v>
      </c>
      <c r="AK970" t="s">
        <v>1265</v>
      </c>
      <c r="AL970" t="s">
        <v>86</v>
      </c>
      <c r="AM970">
        <v>195804</v>
      </c>
      <c r="AN970">
        <f t="shared" si="31"/>
        <v>189929.88</v>
      </c>
      <c r="AO970" t="s">
        <v>66</v>
      </c>
      <c r="AP970">
        <v>3</v>
      </c>
      <c r="AQ970" t="s">
        <v>66</v>
      </c>
      <c r="AR970">
        <v>0</v>
      </c>
      <c r="AS970" t="s">
        <v>66</v>
      </c>
      <c r="AT970">
        <v>0</v>
      </c>
      <c r="AU970" t="s">
        <v>66</v>
      </c>
      <c r="AV970">
        <v>0</v>
      </c>
      <c r="AW970" t="s">
        <v>66</v>
      </c>
      <c r="AX970">
        <v>0</v>
      </c>
      <c r="AY970" t="s">
        <v>66</v>
      </c>
      <c r="AZ970">
        <v>0</v>
      </c>
      <c r="BA970" t="s">
        <v>66</v>
      </c>
      <c r="BB970">
        <v>0</v>
      </c>
      <c r="BC970">
        <v>0</v>
      </c>
      <c r="BD970">
        <v>759719.52</v>
      </c>
      <c r="BE970">
        <v>13286.06</v>
      </c>
      <c r="BF970">
        <v>0</v>
      </c>
      <c r="BG970" t="s">
        <v>87</v>
      </c>
      <c r="BH970" t="s">
        <v>66</v>
      </c>
      <c r="BI970">
        <v>0</v>
      </c>
      <c r="BJ970" t="s">
        <v>66</v>
      </c>
      <c r="BK970" t="s">
        <v>88</v>
      </c>
      <c r="BL970" t="s">
        <v>877</v>
      </c>
      <c r="BM970" t="s">
        <v>159</v>
      </c>
    </row>
    <row r="971" spans="1:65" x14ac:dyDescent="0.25">
      <c r="A971">
        <v>969</v>
      </c>
      <c r="B971" t="s">
        <v>1305</v>
      </c>
      <c r="C971" t="s">
        <v>1306</v>
      </c>
      <c r="D971" s="1">
        <v>46214</v>
      </c>
      <c r="E971" t="s">
        <v>1307</v>
      </c>
      <c r="F971" t="s">
        <v>1308</v>
      </c>
      <c r="G971" t="s">
        <v>69</v>
      </c>
      <c r="H971" t="s">
        <v>70</v>
      </c>
      <c r="I971" t="s">
        <v>71</v>
      </c>
      <c r="J971" t="s">
        <v>72</v>
      </c>
      <c r="K971" t="s">
        <v>73</v>
      </c>
      <c r="L971" t="s">
        <v>74</v>
      </c>
      <c r="M971" t="s">
        <v>867</v>
      </c>
      <c r="N971" t="s">
        <v>696</v>
      </c>
      <c r="O971" t="s">
        <v>868</v>
      </c>
      <c r="P971" t="s">
        <v>869</v>
      </c>
      <c r="Q971" t="s">
        <v>1309</v>
      </c>
      <c r="R971" s="1">
        <v>46216</v>
      </c>
      <c r="S971" t="s">
        <v>871</v>
      </c>
      <c r="T971" t="s">
        <v>872</v>
      </c>
      <c r="U971" t="s">
        <v>873</v>
      </c>
      <c r="V971" t="s">
        <v>66</v>
      </c>
      <c r="W971" t="s">
        <v>66</v>
      </c>
      <c r="X971">
        <v>12979182</v>
      </c>
      <c r="Y971">
        <v>1427710.02</v>
      </c>
      <c r="Z971">
        <v>313116</v>
      </c>
      <c r="AA971">
        <v>34442.76</v>
      </c>
      <c r="AB971">
        <v>14406892.02</v>
      </c>
      <c r="AC971">
        <v>1</v>
      </c>
      <c r="AD971" t="s">
        <v>134</v>
      </c>
      <c r="AE971">
        <v>6</v>
      </c>
      <c r="AF971" t="s">
        <v>878</v>
      </c>
      <c r="AG971">
        <f>IFERROR(VLOOKUP(AF971,[1]STOK!J:O,6,0),"")</f>
        <v>6</v>
      </c>
      <c r="AH971" s="2">
        <f t="shared" si="30"/>
        <v>1</v>
      </c>
      <c r="AI971" t="s">
        <v>878</v>
      </c>
      <c r="AJ971" t="s">
        <v>879</v>
      </c>
      <c r="AK971" t="s">
        <v>880</v>
      </c>
      <c r="AL971" t="s">
        <v>86</v>
      </c>
      <c r="AM971">
        <v>358308</v>
      </c>
      <c r="AN971">
        <f t="shared" si="31"/>
        <v>347558.76</v>
      </c>
      <c r="AO971" t="s">
        <v>66</v>
      </c>
      <c r="AP971">
        <v>3</v>
      </c>
      <c r="AQ971" t="s">
        <v>66</v>
      </c>
      <c r="AR971">
        <v>0</v>
      </c>
      <c r="AS971" t="s">
        <v>66</v>
      </c>
      <c r="AT971">
        <v>0</v>
      </c>
      <c r="AU971" t="s">
        <v>66</v>
      </c>
      <c r="AV971">
        <v>0</v>
      </c>
      <c r="AW971" t="s">
        <v>66</v>
      </c>
      <c r="AX971">
        <v>0</v>
      </c>
      <c r="AY971" t="s">
        <v>66</v>
      </c>
      <c r="AZ971">
        <v>0</v>
      </c>
      <c r="BA971" t="s">
        <v>66</v>
      </c>
      <c r="BB971">
        <v>0</v>
      </c>
      <c r="BC971">
        <v>0</v>
      </c>
      <c r="BD971">
        <v>347558.76</v>
      </c>
      <c r="BE971">
        <v>46280.62</v>
      </c>
      <c r="BF971">
        <v>0</v>
      </c>
      <c r="BG971" t="s">
        <v>87</v>
      </c>
      <c r="BH971" t="s">
        <v>66</v>
      </c>
      <c r="BI971">
        <v>0</v>
      </c>
      <c r="BJ971" t="s">
        <v>66</v>
      </c>
      <c r="BK971" t="s">
        <v>88</v>
      </c>
      <c r="BL971" t="s">
        <v>877</v>
      </c>
      <c r="BM971" t="s">
        <v>159</v>
      </c>
    </row>
    <row r="972" spans="1:65" x14ac:dyDescent="0.25">
      <c r="A972">
        <v>970</v>
      </c>
      <c r="B972" t="s">
        <v>1305</v>
      </c>
      <c r="C972" t="s">
        <v>1306</v>
      </c>
      <c r="D972" s="1">
        <v>46214</v>
      </c>
      <c r="E972" t="s">
        <v>1307</v>
      </c>
      <c r="F972" t="s">
        <v>1308</v>
      </c>
      <c r="G972" t="s">
        <v>69</v>
      </c>
      <c r="H972" t="s">
        <v>70</v>
      </c>
      <c r="I972" t="s">
        <v>71</v>
      </c>
      <c r="J972" t="s">
        <v>72</v>
      </c>
      <c r="K972" t="s">
        <v>73</v>
      </c>
      <c r="L972" t="s">
        <v>74</v>
      </c>
      <c r="M972" t="s">
        <v>867</v>
      </c>
      <c r="N972" t="s">
        <v>696</v>
      </c>
      <c r="O972" t="s">
        <v>868</v>
      </c>
      <c r="P972" t="s">
        <v>869</v>
      </c>
      <c r="Q972" t="s">
        <v>1309</v>
      </c>
      <c r="R972" s="1">
        <v>46216</v>
      </c>
      <c r="S972" t="s">
        <v>871</v>
      </c>
      <c r="T972" t="s">
        <v>872</v>
      </c>
      <c r="U972" t="s">
        <v>873</v>
      </c>
      <c r="V972" t="s">
        <v>66</v>
      </c>
      <c r="W972" t="s">
        <v>66</v>
      </c>
      <c r="X972">
        <v>12979182</v>
      </c>
      <c r="Y972">
        <v>1427710.02</v>
      </c>
      <c r="Z972">
        <v>228144</v>
      </c>
      <c r="AA972">
        <v>25095.84</v>
      </c>
      <c r="AB972">
        <v>14406892.02</v>
      </c>
      <c r="AC972">
        <v>2</v>
      </c>
      <c r="AD972" t="s">
        <v>134</v>
      </c>
      <c r="AE972">
        <v>48</v>
      </c>
      <c r="AF972" t="s">
        <v>1310</v>
      </c>
      <c r="AG972">
        <f>IFERROR(VLOOKUP(AF972,[1]STOK!J:O,6,0),"")</f>
        <v>24</v>
      </c>
      <c r="AH972" s="2">
        <f t="shared" si="30"/>
        <v>2</v>
      </c>
      <c r="AI972" t="s">
        <v>1310</v>
      </c>
      <c r="AJ972" t="s">
        <v>1311</v>
      </c>
      <c r="AK972" t="s">
        <v>1312</v>
      </c>
      <c r="AL972" t="s">
        <v>86</v>
      </c>
      <c r="AM972">
        <v>130536</v>
      </c>
      <c r="AN972">
        <f t="shared" si="31"/>
        <v>126619.92</v>
      </c>
      <c r="AO972" t="s">
        <v>66</v>
      </c>
      <c r="AP972">
        <v>3</v>
      </c>
      <c r="AQ972" t="s">
        <v>66</v>
      </c>
      <c r="AR972">
        <v>0</v>
      </c>
      <c r="AS972" t="s">
        <v>66</v>
      </c>
      <c r="AT972">
        <v>0</v>
      </c>
      <c r="AU972" t="s">
        <v>66</v>
      </c>
      <c r="AV972">
        <v>0</v>
      </c>
      <c r="AW972" t="s">
        <v>66</v>
      </c>
      <c r="AX972">
        <v>0</v>
      </c>
      <c r="AY972" t="s">
        <v>66</v>
      </c>
      <c r="AZ972">
        <v>0</v>
      </c>
      <c r="BA972" t="s">
        <v>66</v>
      </c>
      <c r="BB972">
        <v>0</v>
      </c>
      <c r="BC972">
        <v>0</v>
      </c>
      <c r="BD972">
        <v>253239.84</v>
      </c>
      <c r="BE972">
        <v>4433.26</v>
      </c>
      <c r="BF972">
        <v>0</v>
      </c>
      <c r="BG972" t="s">
        <v>87</v>
      </c>
      <c r="BH972" t="s">
        <v>66</v>
      </c>
      <c r="BI972">
        <v>0</v>
      </c>
      <c r="BJ972" t="s">
        <v>66</v>
      </c>
      <c r="BK972" t="s">
        <v>88</v>
      </c>
      <c r="BL972" t="s">
        <v>877</v>
      </c>
      <c r="BM972" t="s">
        <v>159</v>
      </c>
    </row>
    <row r="973" spans="1:65" x14ac:dyDescent="0.25">
      <c r="A973">
        <v>971</v>
      </c>
      <c r="B973" t="s">
        <v>1305</v>
      </c>
      <c r="C973" t="s">
        <v>1306</v>
      </c>
      <c r="D973" s="1">
        <v>46214</v>
      </c>
      <c r="E973" t="s">
        <v>1307</v>
      </c>
      <c r="F973" t="s">
        <v>1308</v>
      </c>
      <c r="G973" t="s">
        <v>69</v>
      </c>
      <c r="H973" t="s">
        <v>70</v>
      </c>
      <c r="I973" t="s">
        <v>71</v>
      </c>
      <c r="J973" t="s">
        <v>72</v>
      </c>
      <c r="K973" t="s">
        <v>73</v>
      </c>
      <c r="L973" t="s">
        <v>74</v>
      </c>
      <c r="M973" t="s">
        <v>867</v>
      </c>
      <c r="N973" t="s">
        <v>696</v>
      </c>
      <c r="O973" t="s">
        <v>868</v>
      </c>
      <c r="P973" t="s">
        <v>869</v>
      </c>
      <c r="Q973" t="s">
        <v>1309</v>
      </c>
      <c r="R973" s="1">
        <v>46216</v>
      </c>
      <c r="S973" t="s">
        <v>871</v>
      </c>
      <c r="T973" t="s">
        <v>872</v>
      </c>
      <c r="U973" t="s">
        <v>873</v>
      </c>
      <c r="V973" t="s">
        <v>66</v>
      </c>
      <c r="W973" t="s">
        <v>66</v>
      </c>
      <c r="X973">
        <v>12979182</v>
      </c>
      <c r="Y973">
        <v>1427710.02</v>
      </c>
      <c r="Z973">
        <v>2786616</v>
      </c>
      <c r="AA973">
        <v>306527.76</v>
      </c>
      <c r="AB973">
        <v>14406892.02</v>
      </c>
      <c r="AC973">
        <v>18</v>
      </c>
      <c r="AD973" t="s">
        <v>134</v>
      </c>
      <c r="AE973">
        <v>216</v>
      </c>
      <c r="AF973" t="s">
        <v>135</v>
      </c>
      <c r="AG973">
        <f>IFERROR(VLOOKUP(AF973,[1]STOK!J:O,6,0),"")</f>
        <v>12</v>
      </c>
      <c r="AH973" s="2">
        <f t="shared" si="30"/>
        <v>18</v>
      </c>
      <c r="AI973" t="s">
        <v>135</v>
      </c>
      <c r="AJ973" t="s">
        <v>136</v>
      </c>
      <c r="AK973" t="s">
        <v>137</v>
      </c>
      <c r="AL973" t="s">
        <v>86</v>
      </c>
      <c r="AM973">
        <v>177156</v>
      </c>
      <c r="AN973">
        <f t="shared" si="31"/>
        <v>171841.31999999998</v>
      </c>
      <c r="AO973" t="s">
        <v>66</v>
      </c>
      <c r="AP973">
        <v>3</v>
      </c>
      <c r="AQ973" t="s">
        <v>66</v>
      </c>
      <c r="AR973">
        <v>0</v>
      </c>
      <c r="AS973" t="s">
        <v>66</v>
      </c>
      <c r="AT973">
        <v>0</v>
      </c>
      <c r="AU973" t="s">
        <v>66</v>
      </c>
      <c r="AV973">
        <v>0</v>
      </c>
      <c r="AW973" t="s">
        <v>66</v>
      </c>
      <c r="AX973">
        <v>0</v>
      </c>
      <c r="AY973" t="s">
        <v>66</v>
      </c>
      <c r="AZ973">
        <v>0</v>
      </c>
      <c r="BA973" t="s">
        <v>66</v>
      </c>
      <c r="BB973">
        <v>0</v>
      </c>
      <c r="BC973">
        <v>0</v>
      </c>
      <c r="BD973">
        <v>3093143.76</v>
      </c>
      <c r="BE973">
        <v>12036.57</v>
      </c>
      <c r="BF973">
        <v>0</v>
      </c>
      <c r="BG973" t="s">
        <v>87</v>
      </c>
      <c r="BH973" t="s">
        <v>66</v>
      </c>
      <c r="BI973">
        <v>0</v>
      </c>
      <c r="BJ973" t="s">
        <v>66</v>
      </c>
      <c r="BK973" t="s">
        <v>88</v>
      </c>
      <c r="BL973" t="s">
        <v>877</v>
      </c>
      <c r="BM973" t="s">
        <v>159</v>
      </c>
    </row>
    <row r="974" spans="1:65" x14ac:dyDescent="0.25">
      <c r="A974">
        <v>972</v>
      </c>
      <c r="B974" t="s">
        <v>1305</v>
      </c>
      <c r="C974" t="s">
        <v>1306</v>
      </c>
      <c r="D974" s="1">
        <v>46214</v>
      </c>
      <c r="E974" t="s">
        <v>1307</v>
      </c>
      <c r="F974" t="s">
        <v>1308</v>
      </c>
      <c r="G974" t="s">
        <v>69</v>
      </c>
      <c r="H974" t="s">
        <v>70</v>
      </c>
      <c r="I974" t="s">
        <v>71</v>
      </c>
      <c r="J974" t="s">
        <v>72</v>
      </c>
      <c r="K974" t="s">
        <v>73</v>
      </c>
      <c r="L974" t="s">
        <v>74</v>
      </c>
      <c r="M974" t="s">
        <v>867</v>
      </c>
      <c r="N974" t="s">
        <v>696</v>
      </c>
      <c r="O974" t="s">
        <v>868</v>
      </c>
      <c r="P974" t="s">
        <v>869</v>
      </c>
      <c r="Q974" t="s">
        <v>1309</v>
      </c>
      <c r="R974" s="1">
        <v>46216</v>
      </c>
      <c r="S974" t="s">
        <v>871</v>
      </c>
      <c r="T974" t="s">
        <v>872</v>
      </c>
      <c r="U974" t="s">
        <v>873</v>
      </c>
      <c r="V974" t="s">
        <v>66</v>
      </c>
      <c r="W974" t="s">
        <v>66</v>
      </c>
      <c r="X974">
        <v>12979182</v>
      </c>
      <c r="Y974">
        <v>1427710.02</v>
      </c>
      <c r="Z974">
        <v>4681026</v>
      </c>
      <c r="AA974">
        <v>514912.86</v>
      </c>
      <c r="AB974">
        <v>14406892.02</v>
      </c>
      <c r="AC974">
        <v>21</v>
      </c>
      <c r="AD974" t="s">
        <v>134</v>
      </c>
      <c r="AE974">
        <v>126</v>
      </c>
      <c r="AF974" t="s">
        <v>323</v>
      </c>
      <c r="AG974">
        <f>IFERROR(VLOOKUP(AF974,[1]STOK!J:O,6,0),"")</f>
        <v>6</v>
      </c>
      <c r="AH974" s="2">
        <f t="shared" si="30"/>
        <v>21</v>
      </c>
      <c r="AI974" t="s">
        <v>323</v>
      </c>
      <c r="AJ974" t="s">
        <v>324</v>
      </c>
      <c r="AK974" t="s">
        <v>325</v>
      </c>
      <c r="AL974" t="s">
        <v>86</v>
      </c>
      <c r="AM974">
        <v>255078</v>
      </c>
      <c r="AN974">
        <f t="shared" si="31"/>
        <v>247425.66</v>
      </c>
      <c r="AO974" t="s">
        <v>66</v>
      </c>
      <c r="AP974">
        <v>3</v>
      </c>
      <c r="AQ974" t="s">
        <v>66</v>
      </c>
      <c r="AR974">
        <v>0</v>
      </c>
      <c r="AS974" t="s">
        <v>66</v>
      </c>
      <c r="AT974">
        <v>0</v>
      </c>
      <c r="AU974" t="s">
        <v>66</v>
      </c>
      <c r="AV974">
        <v>0</v>
      </c>
      <c r="AW974" t="s">
        <v>66</v>
      </c>
      <c r="AX974">
        <v>0</v>
      </c>
      <c r="AY974" t="s">
        <v>66</v>
      </c>
      <c r="AZ974">
        <v>0</v>
      </c>
      <c r="BA974" t="s">
        <v>66</v>
      </c>
      <c r="BB974">
        <v>0</v>
      </c>
      <c r="BC974">
        <v>0</v>
      </c>
      <c r="BD974">
        <v>5195938.8600000003</v>
      </c>
      <c r="BE974">
        <v>34551.519999999997</v>
      </c>
      <c r="BF974">
        <v>0</v>
      </c>
      <c r="BG974" t="s">
        <v>87</v>
      </c>
      <c r="BH974" t="s">
        <v>66</v>
      </c>
      <c r="BI974">
        <v>0</v>
      </c>
      <c r="BJ974" t="s">
        <v>66</v>
      </c>
      <c r="BK974" t="s">
        <v>88</v>
      </c>
      <c r="BL974" t="s">
        <v>877</v>
      </c>
      <c r="BM974" t="s">
        <v>159</v>
      </c>
    </row>
    <row r="975" spans="1:65" x14ac:dyDescent="0.25">
      <c r="A975">
        <v>973</v>
      </c>
      <c r="B975" t="s">
        <v>1305</v>
      </c>
      <c r="C975" t="s">
        <v>1306</v>
      </c>
      <c r="D975" s="1">
        <v>46214</v>
      </c>
      <c r="E975" t="s">
        <v>1307</v>
      </c>
      <c r="F975" t="s">
        <v>1308</v>
      </c>
      <c r="G975" t="s">
        <v>69</v>
      </c>
      <c r="H975" t="s">
        <v>70</v>
      </c>
      <c r="I975" t="s">
        <v>71</v>
      </c>
      <c r="J975" t="s">
        <v>72</v>
      </c>
      <c r="K975" t="s">
        <v>73</v>
      </c>
      <c r="L975" t="s">
        <v>74</v>
      </c>
      <c r="M975" t="s">
        <v>867</v>
      </c>
      <c r="N975" t="s">
        <v>696</v>
      </c>
      <c r="O975" t="s">
        <v>868</v>
      </c>
      <c r="P975" t="s">
        <v>869</v>
      </c>
      <c r="Q975" t="s">
        <v>1309</v>
      </c>
      <c r="R975" s="1">
        <v>46216</v>
      </c>
      <c r="S975" t="s">
        <v>871</v>
      </c>
      <c r="T975" t="s">
        <v>872</v>
      </c>
      <c r="U975" t="s">
        <v>873</v>
      </c>
      <c r="V975" t="s">
        <v>66</v>
      </c>
      <c r="W975" t="s">
        <v>66</v>
      </c>
      <c r="X975">
        <v>12979182</v>
      </c>
      <c r="Y975">
        <v>1427710.02</v>
      </c>
      <c r="Z975">
        <v>1843776</v>
      </c>
      <c r="AA975">
        <v>202815.35999999999</v>
      </c>
      <c r="AB975">
        <v>14406892.02</v>
      </c>
      <c r="AC975">
        <v>11</v>
      </c>
      <c r="AD975" t="s">
        <v>134</v>
      </c>
      <c r="AE975">
        <v>132</v>
      </c>
      <c r="AF975" t="s">
        <v>141</v>
      </c>
      <c r="AG975">
        <f>IFERROR(VLOOKUP(AF975,[1]STOK!J:O,6,0),"")</f>
        <v>12</v>
      </c>
      <c r="AH975" s="2">
        <f t="shared" si="30"/>
        <v>11</v>
      </c>
      <c r="AI975" t="s">
        <v>141</v>
      </c>
      <c r="AJ975" t="s">
        <v>142</v>
      </c>
      <c r="AK975" t="s">
        <v>143</v>
      </c>
      <c r="AL975" t="s">
        <v>86</v>
      </c>
      <c r="AM975">
        <v>191808</v>
      </c>
      <c r="AN975">
        <f t="shared" si="31"/>
        <v>186053.76000000001</v>
      </c>
      <c r="AO975" t="s">
        <v>66</v>
      </c>
      <c r="AP975">
        <v>3</v>
      </c>
      <c r="AQ975" t="s">
        <v>66</v>
      </c>
      <c r="AR975">
        <v>0</v>
      </c>
      <c r="AS975" t="s">
        <v>66</v>
      </c>
      <c r="AT975">
        <v>0</v>
      </c>
      <c r="AU975" t="s">
        <v>66</v>
      </c>
      <c r="AV975">
        <v>0</v>
      </c>
      <c r="AW975" t="s">
        <v>66</v>
      </c>
      <c r="AX975">
        <v>0</v>
      </c>
      <c r="AY975" t="s">
        <v>66</v>
      </c>
      <c r="AZ975">
        <v>0</v>
      </c>
      <c r="BA975" t="s">
        <v>66</v>
      </c>
      <c r="BB975">
        <v>0</v>
      </c>
      <c r="BC975">
        <v>0</v>
      </c>
      <c r="BD975">
        <v>2046591.36</v>
      </c>
      <c r="BE975">
        <v>13031.69</v>
      </c>
      <c r="BF975">
        <v>0</v>
      </c>
      <c r="BG975" t="s">
        <v>87</v>
      </c>
      <c r="BH975" t="s">
        <v>66</v>
      </c>
      <c r="BI975">
        <v>0</v>
      </c>
      <c r="BJ975" t="s">
        <v>66</v>
      </c>
      <c r="BK975" t="s">
        <v>88</v>
      </c>
      <c r="BL975" t="s">
        <v>877</v>
      </c>
      <c r="BM975" t="s">
        <v>159</v>
      </c>
    </row>
    <row r="976" spans="1:65" x14ac:dyDescent="0.25">
      <c r="A976">
        <v>974</v>
      </c>
      <c r="B976" t="s">
        <v>1313</v>
      </c>
      <c r="C976" t="s">
        <v>1314</v>
      </c>
      <c r="D976" s="1">
        <v>46214</v>
      </c>
      <c r="E976" t="s">
        <v>1315</v>
      </c>
      <c r="F976" t="s">
        <v>1316</v>
      </c>
      <c r="G976" t="s">
        <v>69</v>
      </c>
      <c r="H976" t="s">
        <v>70</v>
      </c>
      <c r="I976" t="s">
        <v>71</v>
      </c>
      <c r="J976" t="s">
        <v>72</v>
      </c>
      <c r="K976" t="s">
        <v>73</v>
      </c>
      <c r="L976" t="s">
        <v>74</v>
      </c>
      <c r="M976" t="s">
        <v>867</v>
      </c>
      <c r="N976" t="s">
        <v>696</v>
      </c>
      <c r="O976" t="s">
        <v>868</v>
      </c>
      <c r="P976" t="s">
        <v>869</v>
      </c>
      <c r="Q976" t="s">
        <v>1317</v>
      </c>
      <c r="R976" s="1">
        <v>46216</v>
      </c>
      <c r="S976" t="s">
        <v>871</v>
      </c>
      <c r="T976" t="s">
        <v>872</v>
      </c>
      <c r="U976" t="s">
        <v>873</v>
      </c>
      <c r="V976" t="s">
        <v>66</v>
      </c>
      <c r="W976" t="s">
        <v>66</v>
      </c>
      <c r="X976">
        <v>526128</v>
      </c>
      <c r="Y976">
        <v>57874.080000000002</v>
      </c>
      <c r="Z976">
        <v>526128</v>
      </c>
      <c r="AA976">
        <v>57874.080000000002</v>
      </c>
      <c r="AB976">
        <v>584002.07999999996</v>
      </c>
      <c r="AC976">
        <v>2</v>
      </c>
      <c r="AD976" t="s">
        <v>134</v>
      </c>
      <c r="AE976">
        <v>48</v>
      </c>
      <c r="AF976" t="s">
        <v>122</v>
      </c>
      <c r="AG976">
        <f>IFERROR(VLOOKUP(AF976,[1]STOK!J:O,6,0),"")</f>
        <v>24</v>
      </c>
      <c r="AH976" s="2">
        <f t="shared" si="30"/>
        <v>2</v>
      </c>
      <c r="AI976" t="s">
        <v>122</v>
      </c>
      <c r="AJ976" t="s">
        <v>123</v>
      </c>
      <c r="AK976" t="s">
        <v>124</v>
      </c>
      <c r="AL976" t="s">
        <v>86</v>
      </c>
      <c r="AM976">
        <v>301032</v>
      </c>
      <c r="AN976">
        <f t="shared" si="31"/>
        <v>292001.03999999998</v>
      </c>
      <c r="AO976" t="s">
        <v>66</v>
      </c>
      <c r="AP976">
        <v>3</v>
      </c>
      <c r="AQ976" t="s">
        <v>66</v>
      </c>
      <c r="AR976">
        <v>0</v>
      </c>
      <c r="AS976" t="s">
        <v>66</v>
      </c>
      <c r="AT976">
        <v>0</v>
      </c>
      <c r="AU976" t="s">
        <v>66</v>
      </c>
      <c r="AV976">
        <v>0</v>
      </c>
      <c r="AW976" t="s">
        <v>66</v>
      </c>
      <c r="AX976">
        <v>0</v>
      </c>
      <c r="AY976" t="s">
        <v>66</v>
      </c>
      <c r="AZ976">
        <v>0</v>
      </c>
      <c r="BA976" t="s">
        <v>66</v>
      </c>
      <c r="BB976">
        <v>0</v>
      </c>
      <c r="BC976">
        <v>0</v>
      </c>
      <c r="BD976">
        <v>584002.07999999996</v>
      </c>
      <c r="BE976">
        <v>10200.57</v>
      </c>
      <c r="BF976">
        <v>0</v>
      </c>
      <c r="BG976" t="s">
        <v>87</v>
      </c>
      <c r="BH976" t="s">
        <v>66</v>
      </c>
      <c r="BI976">
        <v>0</v>
      </c>
      <c r="BJ976" t="s">
        <v>66</v>
      </c>
      <c r="BK976" t="s">
        <v>88</v>
      </c>
      <c r="BL976" t="s">
        <v>877</v>
      </c>
      <c r="BM976" t="s">
        <v>159</v>
      </c>
    </row>
    <row r="977" spans="1:65" x14ac:dyDescent="0.25">
      <c r="A977">
        <v>975</v>
      </c>
      <c r="B977" t="s">
        <v>1318</v>
      </c>
      <c r="C977" t="s">
        <v>1319</v>
      </c>
      <c r="D977" s="1">
        <v>46214</v>
      </c>
      <c r="E977" t="s">
        <v>1320</v>
      </c>
      <c r="F977" t="s">
        <v>1321</v>
      </c>
      <c r="G977" t="s">
        <v>69</v>
      </c>
      <c r="H977" t="s">
        <v>70</v>
      </c>
      <c r="I977" t="s">
        <v>71</v>
      </c>
      <c r="J977" t="s">
        <v>72</v>
      </c>
      <c r="K977" t="s">
        <v>73</v>
      </c>
      <c r="L977" t="s">
        <v>74</v>
      </c>
      <c r="M977" t="s">
        <v>867</v>
      </c>
      <c r="N977" t="s">
        <v>696</v>
      </c>
      <c r="O977" t="s">
        <v>868</v>
      </c>
      <c r="P977" t="s">
        <v>869</v>
      </c>
      <c r="Q977" t="s">
        <v>1322</v>
      </c>
      <c r="R977" s="1">
        <v>46216</v>
      </c>
      <c r="S977" t="s">
        <v>871</v>
      </c>
      <c r="T977" t="s">
        <v>872</v>
      </c>
      <c r="U977" t="s">
        <v>873</v>
      </c>
      <c r="V977" t="s">
        <v>66</v>
      </c>
      <c r="W977" t="s">
        <v>66</v>
      </c>
      <c r="X977">
        <v>568032</v>
      </c>
      <c r="Y977">
        <v>62483.519999999997</v>
      </c>
      <c r="Z977">
        <v>568032</v>
      </c>
      <c r="AA977">
        <v>62483.519999999997</v>
      </c>
      <c r="AB977">
        <v>630515.52</v>
      </c>
      <c r="AC977">
        <v>2</v>
      </c>
      <c r="AD977" t="s">
        <v>134</v>
      </c>
      <c r="AE977">
        <v>96</v>
      </c>
      <c r="AF977" t="s">
        <v>125</v>
      </c>
      <c r="AG977">
        <f>IFERROR(VLOOKUP(AF977,[1]STOK!J:O,6,0),"")</f>
        <v>48</v>
      </c>
      <c r="AH977" s="2">
        <f t="shared" si="30"/>
        <v>2</v>
      </c>
      <c r="AI977" t="s">
        <v>125</v>
      </c>
      <c r="AJ977" t="s">
        <v>126</v>
      </c>
      <c r="AK977" t="s">
        <v>127</v>
      </c>
      <c r="AL977" t="s">
        <v>86</v>
      </c>
      <c r="AM977">
        <v>325008</v>
      </c>
      <c r="AN977">
        <f t="shared" si="31"/>
        <v>315257.76</v>
      </c>
      <c r="AO977" t="s">
        <v>66</v>
      </c>
      <c r="AP977">
        <v>3</v>
      </c>
      <c r="AQ977" t="s">
        <v>66</v>
      </c>
      <c r="AR977">
        <v>0</v>
      </c>
      <c r="AS977" t="s">
        <v>66</v>
      </c>
      <c r="AT977">
        <v>0</v>
      </c>
      <c r="AU977" t="s">
        <v>66</v>
      </c>
      <c r="AV977">
        <v>0</v>
      </c>
      <c r="AW977" t="s">
        <v>66</v>
      </c>
      <c r="AX977">
        <v>0</v>
      </c>
      <c r="AY977" t="s">
        <v>66</v>
      </c>
      <c r="AZ977">
        <v>0</v>
      </c>
      <c r="BA977" t="s">
        <v>66</v>
      </c>
      <c r="BB977">
        <v>0</v>
      </c>
      <c r="BC977">
        <v>0</v>
      </c>
      <c r="BD977">
        <v>630515.52</v>
      </c>
      <c r="BE977">
        <v>5519.33</v>
      </c>
      <c r="BF977">
        <v>0</v>
      </c>
      <c r="BG977" t="s">
        <v>87</v>
      </c>
      <c r="BH977" t="s">
        <v>66</v>
      </c>
      <c r="BI977">
        <v>0</v>
      </c>
      <c r="BJ977" t="s">
        <v>66</v>
      </c>
      <c r="BK977" t="s">
        <v>88</v>
      </c>
      <c r="BL977" t="s">
        <v>877</v>
      </c>
      <c r="BM977" t="s">
        <v>159</v>
      </c>
    </row>
    <row r="978" spans="1:65" x14ac:dyDescent="0.25">
      <c r="A978">
        <v>976</v>
      </c>
      <c r="B978" t="s">
        <v>1323</v>
      </c>
      <c r="C978" t="s">
        <v>1324</v>
      </c>
      <c r="D978" s="1">
        <v>46216</v>
      </c>
      <c r="E978" t="s">
        <v>1325</v>
      </c>
      <c r="F978" t="s">
        <v>1326</v>
      </c>
      <c r="G978" t="s">
        <v>295</v>
      </c>
      <c r="H978" t="s">
        <v>296</v>
      </c>
      <c r="I978" t="s">
        <v>71</v>
      </c>
      <c r="J978" t="s">
        <v>72</v>
      </c>
      <c r="K978" t="s">
        <v>73</v>
      </c>
      <c r="L978" t="s">
        <v>74</v>
      </c>
      <c r="M978" t="s">
        <v>736</v>
      </c>
      <c r="N978" t="s">
        <v>76</v>
      </c>
      <c r="O978" t="s">
        <v>737</v>
      </c>
      <c r="P978" t="s">
        <v>738</v>
      </c>
      <c r="Q978" t="s">
        <v>1327</v>
      </c>
      <c r="R978" s="1">
        <v>46211</v>
      </c>
      <c r="S978" t="s">
        <v>739</v>
      </c>
      <c r="T978" t="s">
        <v>740</v>
      </c>
      <c r="U978" t="s">
        <v>718</v>
      </c>
      <c r="V978" t="s">
        <v>66</v>
      </c>
      <c r="W978" t="s">
        <v>66</v>
      </c>
      <c r="X978">
        <v>245196</v>
      </c>
      <c r="Y978">
        <v>26971.56</v>
      </c>
      <c r="Z978">
        <v>54096</v>
      </c>
      <c r="AA978">
        <v>5950.56</v>
      </c>
      <c r="AB978">
        <v>272167.56</v>
      </c>
      <c r="AC978">
        <v>3</v>
      </c>
      <c r="AD978" t="s">
        <v>82</v>
      </c>
      <c r="AE978">
        <v>3</v>
      </c>
      <c r="AF978" t="s">
        <v>720</v>
      </c>
      <c r="AG978">
        <f>IFERROR(VLOOKUP(AF978,[1]STOK!J:O,6,0),"")</f>
        <v>12</v>
      </c>
      <c r="AH978" s="2">
        <f t="shared" si="30"/>
        <v>0.25</v>
      </c>
      <c r="AI978" t="s">
        <v>720</v>
      </c>
      <c r="AJ978" t="s">
        <v>721</v>
      </c>
      <c r="AK978" t="s">
        <v>722</v>
      </c>
      <c r="AL978" t="s">
        <v>86</v>
      </c>
      <c r="AM978">
        <v>20424</v>
      </c>
      <c r="AN978">
        <f t="shared" si="31"/>
        <v>20015.52</v>
      </c>
      <c r="AO978" t="s">
        <v>66</v>
      </c>
      <c r="AP978">
        <v>2</v>
      </c>
      <c r="AQ978" t="s">
        <v>66</v>
      </c>
      <c r="AR978">
        <v>0</v>
      </c>
      <c r="AS978" t="s">
        <v>66</v>
      </c>
      <c r="AT978">
        <v>0</v>
      </c>
      <c r="AU978" t="s">
        <v>66</v>
      </c>
      <c r="AV978">
        <v>0</v>
      </c>
      <c r="AW978" t="s">
        <v>66</v>
      </c>
      <c r="AX978">
        <v>0</v>
      </c>
      <c r="AY978" t="s">
        <v>66</v>
      </c>
      <c r="AZ978">
        <v>0</v>
      </c>
      <c r="BA978" t="s">
        <v>66</v>
      </c>
      <c r="BB978">
        <v>0</v>
      </c>
      <c r="BC978">
        <v>0</v>
      </c>
      <c r="BD978">
        <v>60046.559999999998</v>
      </c>
      <c r="BE978">
        <v>16647.18</v>
      </c>
      <c r="BF978">
        <v>0</v>
      </c>
      <c r="BG978" t="s">
        <v>87</v>
      </c>
      <c r="BH978" t="s">
        <v>66</v>
      </c>
      <c r="BI978">
        <v>0</v>
      </c>
      <c r="BJ978" t="s">
        <v>66</v>
      </c>
      <c r="BK978" t="s">
        <v>88</v>
      </c>
      <c r="BL978" t="s">
        <v>742</v>
      </c>
      <c r="BM978" t="s">
        <v>159</v>
      </c>
    </row>
    <row r="979" spans="1:65" x14ac:dyDescent="0.25">
      <c r="A979">
        <v>977</v>
      </c>
      <c r="B979" t="s">
        <v>1323</v>
      </c>
      <c r="C979" t="s">
        <v>1324</v>
      </c>
      <c r="D979" s="1">
        <v>46216</v>
      </c>
      <c r="E979" t="s">
        <v>1325</v>
      </c>
      <c r="F979" t="s">
        <v>1326</v>
      </c>
      <c r="G979" t="s">
        <v>295</v>
      </c>
      <c r="H979" t="s">
        <v>296</v>
      </c>
      <c r="I979" t="s">
        <v>71</v>
      </c>
      <c r="J979" t="s">
        <v>72</v>
      </c>
      <c r="K979" t="s">
        <v>73</v>
      </c>
      <c r="L979" t="s">
        <v>74</v>
      </c>
      <c r="M979" t="s">
        <v>736</v>
      </c>
      <c r="N979" t="s">
        <v>76</v>
      </c>
      <c r="O979" t="s">
        <v>737</v>
      </c>
      <c r="P979" t="s">
        <v>738</v>
      </c>
      <c r="Q979" t="s">
        <v>1327</v>
      </c>
      <c r="R979" s="1">
        <v>46211</v>
      </c>
      <c r="S979" t="s">
        <v>739</v>
      </c>
      <c r="T979" t="s">
        <v>740</v>
      </c>
      <c r="U979" t="s">
        <v>718</v>
      </c>
      <c r="V979" t="s">
        <v>66</v>
      </c>
      <c r="W979" t="s">
        <v>66</v>
      </c>
      <c r="X979">
        <v>245196</v>
      </c>
      <c r="Y979">
        <v>26971.56</v>
      </c>
      <c r="Z979">
        <v>21756</v>
      </c>
      <c r="AA979">
        <v>2393.16</v>
      </c>
      <c r="AB979">
        <v>272167.56</v>
      </c>
      <c r="AC979">
        <v>3</v>
      </c>
      <c r="AD979" t="s">
        <v>82</v>
      </c>
      <c r="AE979">
        <v>3</v>
      </c>
      <c r="AF979" t="s">
        <v>83</v>
      </c>
      <c r="AG979">
        <f>IFERROR(VLOOKUP(AF979,[1]STOK!J:O,6,0),"")</f>
        <v>24</v>
      </c>
      <c r="AH979" s="2">
        <f t="shared" si="30"/>
        <v>0.125</v>
      </c>
      <c r="AI979" t="s">
        <v>83</v>
      </c>
      <c r="AJ979" t="s">
        <v>84</v>
      </c>
      <c r="AK979" t="s">
        <v>85</v>
      </c>
      <c r="AL979" t="s">
        <v>86</v>
      </c>
      <c r="AM979">
        <v>8214</v>
      </c>
      <c r="AN979">
        <f t="shared" si="31"/>
        <v>8049.72</v>
      </c>
      <c r="AO979" t="s">
        <v>66</v>
      </c>
      <c r="AP979">
        <v>2</v>
      </c>
      <c r="AQ979" t="s">
        <v>66</v>
      </c>
      <c r="AR979">
        <v>0</v>
      </c>
      <c r="AS979" t="s">
        <v>66</v>
      </c>
      <c r="AT979">
        <v>0</v>
      </c>
      <c r="AU979" t="s">
        <v>66</v>
      </c>
      <c r="AV979">
        <v>0</v>
      </c>
      <c r="AW979" t="s">
        <v>66</v>
      </c>
      <c r="AX979">
        <v>0</v>
      </c>
      <c r="AY979" t="s">
        <v>66</v>
      </c>
      <c r="AZ979">
        <v>0</v>
      </c>
      <c r="BA979" t="s">
        <v>66</v>
      </c>
      <c r="BB979">
        <v>0</v>
      </c>
      <c r="BC979">
        <v>0</v>
      </c>
      <c r="BD979">
        <v>24149.16</v>
      </c>
      <c r="BE979">
        <v>6700.17</v>
      </c>
      <c r="BF979">
        <v>0</v>
      </c>
      <c r="BG979" t="s">
        <v>87</v>
      </c>
      <c r="BH979" t="s">
        <v>66</v>
      </c>
      <c r="BI979">
        <v>0</v>
      </c>
      <c r="BJ979" t="s">
        <v>66</v>
      </c>
      <c r="BK979" t="s">
        <v>88</v>
      </c>
      <c r="BL979" t="s">
        <v>742</v>
      </c>
      <c r="BM979" t="s">
        <v>159</v>
      </c>
    </row>
    <row r="980" spans="1:65" x14ac:dyDescent="0.25">
      <c r="A980">
        <v>978</v>
      </c>
      <c r="B980" t="s">
        <v>1323</v>
      </c>
      <c r="C980" t="s">
        <v>1324</v>
      </c>
      <c r="D980" s="1">
        <v>46216</v>
      </c>
      <c r="E980" t="s">
        <v>1325</v>
      </c>
      <c r="F980" t="s">
        <v>1326</v>
      </c>
      <c r="G980" t="s">
        <v>295</v>
      </c>
      <c r="H980" t="s">
        <v>296</v>
      </c>
      <c r="I980" t="s">
        <v>71</v>
      </c>
      <c r="J980" t="s">
        <v>72</v>
      </c>
      <c r="K980" t="s">
        <v>73</v>
      </c>
      <c r="L980" t="s">
        <v>74</v>
      </c>
      <c r="M980" t="s">
        <v>736</v>
      </c>
      <c r="N980" t="s">
        <v>76</v>
      </c>
      <c r="O980" t="s">
        <v>737</v>
      </c>
      <c r="P980" t="s">
        <v>738</v>
      </c>
      <c r="Q980" t="s">
        <v>1327</v>
      </c>
      <c r="R980" s="1">
        <v>46211</v>
      </c>
      <c r="S980" t="s">
        <v>739</v>
      </c>
      <c r="T980" t="s">
        <v>740</v>
      </c>
      <c r="U980" t="s">
        <v>718</v>
      </c>
      <c r="V980" t="s">
        <v>66</v>
      </c>
      <c r="W980" t="s">
        <v>66</v>
      </c>
      <c r="X980">
        <v>245196</v>
      </c>
      <c r="Y980">
        <v>26971.56</v>
      </c>
      <c r="Z980">
        <v>58212</v>
      </c>
      <c r="AA980">
        <v>6403.32</v>
      </c>
      <c r="AB980">
        <v>272167.56</v>
      </c>
      <c r="AC980">
        <v>3</v>
      </c>
      <c r="AD980" t="s">
        <v>82</v>
      </c>
      <c r="AE980">
        <v>3</v>
      </c>
      <c r="AF980" t="s">
        <v>370</v>
      </c>
      <c r="AG980">
        <f>IFERROR(VLOOKUP(AF980,[1]STOK!J:O,6,0),"")</f>
        <v>12</v>
      </c>
      <c r="AH980" s="2">
        <f t="shared" si="30"/>
        <v>0.25</v>
      </c>
      <c r="AI980" t="s">
        <v>370</v>
      </c>
      <c r="AJ980" t="s">
        <v>371</v>
      </c>
      <c r="AK980" t="s">
        <v>372</v>
      </c>
      <c r="AL980" t="s">
        <v>86</v>
      </c>
      <c r="AM980">
        <v>21978</v>
      </c>
      <c r="AN980">
        <f t="shared" si="31"/>
        <v>21538.44</v>
      </c>
      <c r="AO980" t="s">
        <v>66</v>
      </c>
      <c r="AP980">
        <v>2</v>
      </c>
      <c r="AQ980" t="s">
        <v>66</v>
      </c>
      <c r="AR980">
        <v>0</v>
      </c>
      <c r="AS980" t="s">
        <v>66</v>
      </c>
      <c r="AT980">
        <v>0</v>
      </c>
      <c r="AU980" t="s">
        <v>66</v>
      </c>
      <c r="AV980">
        <v>0</v>
      </c>
      <c r="AW980" t="s">
        <v>66</v>
      </c>
      <c r="AX980">
        <v>0</v>
      </c>
      <c r="AY980" t="s">
        <v>66</v>
      </c>
      <c r="AZ980">
        <v>0</v>
      </c>
      <c r="BA980" t="s">
        <v>66</v>
      </c>
      <c r="BB980">
        <v>0</v>
      </c>
      <c r="BC980">
        <v>0</v>
      </c>
      <c r="BD980">
        <v>64615.32</v>
      </c>
      <c r="BE980">
        <v>17693.96</v>
      </c>
      <c r="BF980">
        <v>0</v>
      </c>
      <c r="BG980" t="s">
        <v>87</v>
      </c>
      <c r="BH980" t="s">
        <v>66</v>
      </c>
      <c r="BI980">
        <v>0</v>
      </c>
      <c r="BJ980" t="s">
        <v>66</v>
      </c>
      <c r="BK980" t="s">
        <v>88</v>
      </c>
      <c r="BL980" t="s">
        <v>742</v>
      </c>
      <c r="BM980" t="s">
        <v>159</v>
      </c>
    </row>
    <row r="981" spans="1:65" x14ac:dyDescent="0.25">
      <c r="A981">
        <v>979</v>
      </c>
      <c r="B981" t="s">
        <v>1323</v>
      </c>
      <c r="C981" t="s">
        <v>1324</v>
      </c>
      <c r="D981" s="1">
        <v>46216</v>
      </c>
      <c r="E981" t="s">
        <v>1325</v>
      </c>
      <c r="F981" t="s">
        <v>1326</v>
      </c>
      <c r="G981" t="s">
        <v>295</v>
      </c>
      <c r="H981" t="s">
        <v>296</v>
      </c>
      <c r="I981" t="s">
        <v>71</v>
      </c>
      <c r="J981" t="s">
        <v>72</v>
      </c>
      <c r="K981" t="s">
        <v>73</v>
      </c>
      <c r="L981" t="s">
        <v>74</v>
      </c>
      <c r="M981" t="s">
        <v>736</v>
      </c>
      <c r="N981" t="s">
        <v>76</v>
      </c>
      <c r="O981" t="s">
        <v>737</v>
      </c>
      <c r="P981" t="s">
        <v>738</v>
      </c>
      <c r="Q981" t="s">
        <v>1327</v>
      </c>
      <c r="R981" s="1">
        <v>46211</v>
      </c>
      <c r="S981" t="s">
        <v>739</v>
      </c>
      <c r="T981" t="s">
        <v>740</v>
      </c>
      <c r="U981" t="s">
        <v>718</v>
      </c>
      <c r="V981" t="s">
        <v>66</v>
      </c>
      <c r="W981" t="s">
        <v>66</v>
      </c>
      <c r="X981">
        <v>245196</v>
      </c>
      <c r="Y981">
        <v>26971.56</v>
      </c>
      <c r="Z981">
        <v>58212</v>
      </c>
      <c r="AA981">
        <v>6403.32</v>
      </c>
      <c r="AB981">
        <v>272167.56</v>
      </c>
      <c r="AC981">
        <v>3</v>
      </c>
      <c r="AD981" t="s">
        <v>82</v>
      </c>
      <c r="AE981">
        <v>3</v>
      </c>
      <c r="AF981" t="s">
        <v>743</v>
      </c>
      <c r="AG981">
        <f>IFERROR(VLOOKUP(AF981,[1]STOK!J:O,6,0),"")</f>
        <v>12</v>
      </c>
      <c r="AH981" s="2">
        <f t="shared" si="30"/>
        <v>0.25</v>
      </c>
      <c r="AI981" t="s">
        <v>743</v>
      </c>
      <c r="AJ981" t="s">
        <v>744</v>
      </c>
      <c r="AK981" t="s">
        <v>745</v>
      </c>
      <c r="AL981" t="s">
        <v>86</v>
      </c>
      <c r="AM981">
        <v>21978</v>
      </c>
      <c r="AN981">
        <f t="shared" si="31"/>
        <v>21538.44</v>
      </c>
      <c r="AO981" t="s">
        <v>66</v>
      </c>
      <c r="AP981">
        <v>2</v>
      </c>
      <c r="AQ981" t="s">
        <v>66</v>
      </c>
      <c r="AR981">
        <v>0</v>
      </c>
      <c r="AS981" t="s">
        <v>66</v>
      </c>
      <c r="AT981">
        <v>0</v>
      </c>
      <c r="AU981" t="s">
        <v>66</v>
      </c>
      <c r="AV981">
        <v>0</v>
      </c>
      <c r="AW981" t="s">
        <v>66</v>
      </c>
      <c r="AX981">
        <v>0</v>
      </c>
      <c r="AY981" t="s">
        <v>66</v>
      </c>
      <c r="AZ981">
        <v>0</v>
      </c>
      <c r="BA981" t="s">
        <v>66</v>
      </c>
      <c r="BB981">
        <v>0</v>
      </c>
      <c r="BC981">
        <v>0</v>
      </c>
      <c r="BD981">
        <v>64615.32</v>
      </c>
      <c r="BE981">
        <v>17754.919999999998</v>
      </c>
      <c r="BF981">
        <v>0</v>
      </c>
      <c r="BG981" t="s">
        <v>87</v>
      </c>
      <c r="BH981" t="s">
        <v>66</v>
      </c>
      <c r="BI981">
        <v>0</v>
      </c>
      <c r="BJ981" t="s">
        <v>66</v>
      </c>
      <c r="BK981" t="s">
        <v>88</v>
      </c>
      <c r="BL981" t="s">
        <v>742</v>
      </c>
      <c r="BM981" t="s">
        <v>159</v>
      </c>
    </row>
    <row r="982" spans="1:65" x14ac:dyDescent="0.25">
      <c r="A982">
        <v>980</v>
      </c>
      <c r="B982" t="s">
        <v>1323</v>
      </c>
      <c r="C982" t="s">
        <v>1324</v>
      </c>
      <c r="D982" s="1">
        <v>46216</v>
      </c>
      <c r="E982" t="s">
        <v>1325</v>
      </c>
      <c r="F982" t="s">
        <v>1326</v>
      </c>
      <c r="G982" t="s">
        <v>295</v>
      </c>
      <c r="H982" t="s">
        <v>296</v>
      </c>
      <c r="I982" t="s">
        <v>71</v>
      </c>
      <c r="J982" t="s">
        <v>72</v>
      </c>
      <c r="K982" t="s">
        <v>73</v>
      </c>
      <c r="L982" t="s">
        <v>74</v>
      </c>
      <c r="M982" t="s">
        <v>736</v>
      </c>
      <c r="N982" t="s">
        <v>76</v>
      </c>
      <c r="O982" t="s">
        <v>737</v>
      </c>
      <c r="P982" t="s">
        <v>738</v>
      </c>
      <c r="Q982" t="s">
        <v>1327</v>
      </c>
      <c r="R982" s="1">
        <v>46211</v>
      </c>
      <c r="S982" t="s">
        <v>739</v>
      </c>
      <c r="T982" t="s">
        <v>740</v>
      </c>
      <c r="U982" t="s">
        <v>718</v>
      </c>
      <c r="V982" t="s">
        <v>66</v>
      </c>
      <c r="W982" t="s">
        <v>66</v>
      </c>
      <c r="X982">
        <v>245196</v>
      </c>
      <c r="Y982">
        <v>26971.56</v>
      </c>
      <c r="Z982">
        <v>29694</v>
      </c>
      <c r="AA982">
        <v>3266.34</v>
      </c>
      <c r="AB982">
        <v>272167.56</v>
      </c>
      <c r="AC982">
        <v>3</v>
      </c>
      <c r="AD982" t="s">
        <v>82</v>
      </c>
      <c r="AE982">
        <v>3</v>
      </c>
      <c r="AF982" t="s">
        <v>746</v>
      </c>
      <c r="AG982">
        <f>IFERROR(VLOOKUP(AF982,[1]STOK!J:O,6,0),"")</f>
        <v>24</v>
      </c>
      <c r="AH982" s="2">
        <f t="shared" si="30"/>
        <v>0.125</v>
      </c>
      <c r="AI982" t="s">
        <v>746</v>
      </c>
      <c r="AJ982" t="s">
        <v>747</v>
      </c>
      <c r="AK982" t="s">
        <v>748</v>
      </c>
      <c r="AL982" t="s">
        <v>86</v>
      </c>
      <c r="AM982">
        <v>11211</v>
      </c>
      <c r="AN982">
        <f t="shared" si="31"/>
        <v>10986.779999999999</v>
      </c>
      <c r="AO982" t="s">
        <v>66</v>
      </c>
      <c r="AP982">
        <v>2</v>
      </c>
      <c r="AQ982" t="s">
        <v>66</v>
      </c>
      <c r="AR982">
        <v>0</v>
      </c>
      <c r="AS982" t="s">
        <v>66</v>
      </c>
      <c r="AT982">
        <v>0</v>
      </c>
      <c r="AU982" t="s">
        <v>66</v>
      </c>
      <c r="AV982">
        <v>0</v>
      </c>
      <c r="AW982" t="s">
        <v>66</v>
      </c>
      <c r="AX982">
        <v>0</v>
      </c>
      <c r="AY982" t="s">
        <v>66</v>
      </c>
      <c r="AZ982">
        <v>0</v>
      </c>
      <c r="BA982" t="s">
        <v>66</v>
      </c>
      <c r="BB982">
        <v>0</v>
      </c>
      <c r="BC982">
        <v>0</v>
      </c>
      <c r="BD982">
        <v>32960.339999999997</v>
      </c>
      <c r="BE982">
        <v>9068.06</v>
      </c>
      <c r="BF982">
        <v>0</v>
      </c>
      <c r="BG982" t="s">
        <v>87</v>
      </c>
      <c r="BH982" t="s">
        <v>66</v>
      </c>
      <c r="BI982">
        <v>0</v>
      </c>
      <c r="BJ982" t="s">
        <v>66</v>
      </c>
      <c r="BK982" t="s">
        <v>88</v>
      </c>
      <c r="BL982" t="s">
        <v>742</v>
      </c>
      <c r="BM982" t="s">
        <v>159</v>
      </c>
    </row>
    <row r="983" spans="1:65" x14ac:dyDescent="0.25">
      <c r="A983">
        <v>981</v>
      </c>
      <c r="B983" t="s">
        <v>1323</v>
      </c>
      <c r="C983" t="s">
        <v>1324</v>
      </c>
      <c r="D983" s="1">
        <v>46216</v>
      </c>
      <c r="E983" t="s">
        <v>1325</v>
      </c>
      <c r="F983" t="s">
        <v>1326</v>
      </c>
      <c r="G983" t="s">
        <v>295</v>
      </c>
      <c r="H983" t="s">
        <v>296</v>
      </c>
      <c r="I983" t="s">
        <v>71</v>
      </c>
      <c r="J983" t="s">
        <v>72</v>
      </c>
      <c r="K983" t="s">
        <v>73</v>
      </c>
      <c r="L983" t="s">
        <v>74</v>
      </c>
      <c r="M983" t="s">
        <v>736</v>
      </c>
      <c r="N983" t="s">
        <v>76</v>
      </c>
      <c r="O983" t="s">
        <v>737</v>
      </c>
      <c r="P983" t="s">
        <v>738</v>
      </c>
      <c r="Q983" t="s">
        <v>1327</v>
      </c>
      <c r="R983" s="1">
        <v>46211</v>
      </c>
      <c r="S983" t="s">
        <v>739</v>
      </c>
      <c r="T983" t="s">
        <v>740</v>
      </c>
      <c r="U983" t="s">
        <v>718</v>
      </c>
      <c r="V983" t="s">
        <v>66</v>
      </c>
      <c r="W983" t="s">
        <v>66</v>
      </c>
      <c r="X983">
        <v>245196</v>
      </c>
      <c r="Y983">
        <v>26971.56</v>
      </c>
      <c r="Z983">
        <v>23226</v>
      </c>
      <c r="AA983">
        <v>2554.86</v>
      </c>
      <c r="AB983">
        <v>272167.56</v>
      </c>
      <c r="AC983">
        <v>3</v>
      </c>
      <c r="AD983" t="s">
        <v>82</v>
      </c>
      <c r="AE983">
        <v>3</v>
      </c>
      <c r="AF983" t="s">
        <v>199</v>
      </c>
      <c r="AG983">
        <f>IFERROR(VLOOKUP(AF983,[1]STOK!J:O,6,0),"")</f>
        <v>24</v>
      </c>
      <c r="AH983" s="2">
        <f t="shared" si="30"/>
        <v>0.125</v>
      </c>
      <c r="AI983" t="s">
        <v>199</v>
      </c>
      <c r="AJ983" t="s">
        <v>200</v>
      </c>
      <c r="AK983" t="s">
        <v>201</v>
      </c>
      <c r="AL983" t="s">
        <v>86</v>
      </c>
      <c r="AM983">
        <v>8769</v>
      </c>
      <c r="AN983">
        <f t="shared" si="31"/>
        <v>8593.6200000000008</v>
      </c>
      <c r="AO983" t="s">
        <v>66</v>
      </c>
      <c r="AP983">
        <v>2</v>
      </c>
      <c r="AQ983" t="s">
        <v>66</v>
      </c>
      <c r="AR983">
        <v>0</v>
      </c>
      <c r="AS983" t="s">
        <v>66</v>
      </c>
      <c r="AT983">
        <v>0</v>
      </c>
      <c r="AU983" t="s">
        <v>66</v>
      </c>
      <c r="AV983">
        <v>0</v>
      </c>
      <c r="AW983" t="s">
        <v>66</v>
      </c>
      <c r="AX983">
        <v>0</v>
      </c>
      <c r="AY983" t="s">
        <v>66</v>
      </c>
      <c r="AZ983">
        <v>0</v>
      </c>
      <c r="BA983" t="s">
        <v>66</v>
      </c>
      <c r="BB983">
        <v>0</v>
      </c>
      <c r="BC983">
        <v>0</v>
      </c>
      <c r="BD983">
        <v>25780.86</v>
      </c>
      <c r="BE983">
        <v>7146.59</v>
      </c>
      <c r="BF983">
        <v>0</v>
      </c>
      <c r="BG983" t="s">
        <v>87</v>
      </c>
      <c r="BH983" t="s">
        <v>66</v>
      </c>
      <c r="BI983">
        <v>0</v>
      </c>
      <c r="BJ983" t="s">
        <v>66</v>
      </c>
      <c r="BK983" t="s">
        <v>88</v>
      </c>
      <c r="BL983" t="s">
        <v>742</v>
      </c>
      <c r="BM983" t="s">
        <v>159</v>
      </c>
    </row>
    <row r="984" spans="1:65" x14ac:dyDescent="0.25">
      <c r="A984">
        <v>982</v>
      </c>
      <c r="B984" t="s">
        <v>1328</v>
      </c>
      <c r="C984" t="s">
        <v>68</v>
      </c>
      <c r="D984" s="1">
        <v>46216</v>
      </c>
      <c r="E984" t="s">
        <v>1329</v>
      </c>
      <c r="F984" t="s">
        <v>68</v>
      </c>
      <c r="G984" t="s">
        <v>295</v>
      </c>
      <c r="H984" t="s">
        <v>296</v>
      </c>
      <c r="I984" t="s">
        <v>71</v>
      </c>
      <c r="J984" t="s">
        <v>72</v>
      </c>
      <c r="K984" t="s">
        <v>73</v>
      </c>
      <c r="L984" t="s">
        <v>74</v>
      </c>
      <c r="M984" t="s">
        <v>1330</v>
      </c>
      <c r="N984" t="s">
        <v>76</v>
      </c>
      <c r="O984" t="s">
        <v>1331</v>
      </c>
      <c r="P984" t="s">
        <v>1332</v>
      </c>
      <c r="Q984" t="s">
        <v>1333</v>
      </c>
      <c r="R984" s="1">
        <v>46218</v>
      </c>
      <c r="S984" t="s">
        <v>1218</v>
      </c>
      <c r="T984" t="s">
        <v>1219</v>
      </c>
      <c r="U984" t="s">
        <v>1220</v>
      </c>
      <c r="V984" t="s">
        <v>66</v>
      </c>
      <c r="W984" t="s">
        <v>66</v>
      </c>
      <c r="X984">
        <v>2273535</v>
      </c>
      <c r="Y984">
        <v>250088.85</v>
      </c>
      <c r="Z984">
        <v>107217</v>
      </c>
      <c r="AA984">
        <v>11793.87</v>
      </c>
      <c r="AB984">
        <v>2523623.85</v>
      </c>
      <c r="AC984">
        <v>3</v>
      </c>
      <c r="AD984" t="s">
        <v>82</v>
      </c>
      <c r="AE984">
        <v>3</v>
      </c>
      <c r="AF984" t="s">
        <v>1221</v>
      </c>
      <c r="AG984">
        <f>IFERROR(VLOOKUP(AF984,[1]STOK!J:O,6,0),"")</f>
        <v>12</v>
      </c>
      <c r="AH984" s="2">
        <f t="shared" si="30"/>
        <v>0.25</v>
      </c>
      <c r="AI984" t="s">
        <v>1221</v>
      </c>
      <c r="AJ984" t="s">
        <v>1222</v>
      </c>
      <c r="AK984" t="s">
        <v>1223</v>
      </c>
      <c r="AL984" t="s">
        <v>86</v>
      </c>
      <c r="AM984">
        <v>40071</v>
      </c>
      <c r="AN984">
        <f t="shared" si="31"/>
        <v>39670.29</v>
      </c>
      <c r="AO984" t="s">
        <v>66</v>
      </c>
      <c r="AP984">
        <v>1</v>
      </c>
      <c r="AQ984" t="s">
        <v>66</v>
      </c>
      <c r="AR984">
        <v>0</v>
      </c>
      <c r="AS984" t="s">
        <v>66</v>
      </c>
      <c r="AT984">
        <v>0</v>
      </c>
      <c r="AU984" t="s">
        <v>66</v>
      </c>
      <c r="AV984">
        <v>0</v>
      </c>
      <c r="AW984" t="s">
        <v>66</v>
      </c>
      <c r="AX984">
        <v>0</v>
      </c>
      <c r="AY984" t="s">
        <v>66</v>
      </c>
      <c r="AZ984">
        <v>0</v>
      </c>
      <c r="BA984" t="s">
        <v>66</v>
      </c>
      <c r="BB984">
        <v>0</v>
      </c>
      <c r="BC984">
        <v>0</v>
      </c>
      <c r="BD984">
        <v>119010.87</v>
      </c>
      <c r="BE984">
        <v>32671.61</v>
      </c>
      <c r="BF984">
        <v>0</v>
      </c>
      <c r="BG984" t="s">
        <v>87</v>
      </c>
      <c r="BH984" t="s">
        <v>66</v>
      </c>
      <c r="BI984">
        <v>0</v>
      </c>
      <c r="BJ984" t="s">
        <v>66</v>
      </c>
      <c r="BK984" t="s">
        <v>88</v>
      </c>
      <c r="BL984" t="s">
        <v>1334</v>
      </c>
      <c r="BM984" t="s">
        <v>159</v>
      </c>
    </row>
    <row r="985" spans="1:65" x14ac:dyDescent="0.25">
      <c r="A985">
        <v>983</v>
      </c>
      <c r="B985" t="s">
        <v>1328</v>
      </c>
      <c r="C985" t="s">
        <v>68</v>
      </c>
      <c r="D985" s="1">
        <v>46216</v>
      </c>
      <c r="E985" t="s">
        <v>1329</v>
      </c>
      <c r="F985" t="s">
        <v>68</v>
      </c>
      <c r="G985" t="s">
        <v>295</v>
      </c>
      <c r="H985" t="s">
        <v>296</v>
      </c>
      <c r="I985" t="s">
        <v>71</v>
      </c>
      <c r="J985" t="s">
        <v>72</v>
      </c>
      <c r="K985" t="s">
        <v>73</v>
      </c>
      <c r="L985" t="s">
        <v>74</v>
      </c>
      <c r="M985" t="s">
        <v>1330</v>
      </c>
      <c r="N985" t="s">
        <v>76</v>
      </c>
      <c r="O985" t="s">
        <v>1331</v>
      </c>
      <c r="P985" t="s">
        <v>1332</v>
      </c>
      <c r="Q985" t="s">
        <v>1333</v>
      </c>
      <c r="R985" s="1">
        <v>46218</v>
      </c>
      <c r="S985" t="s">
        <v>1218</v>
      </c>
      <c r="T985" t="s">
        <v>1219</v>
      </c>
      <c r="U985" t="s">
        <v>1220</v>
      </c>
      <c r="V985" t="s">
        <v>66</v>
      </c>
      <c r="W985" t="s">
        <v>66</v>
      </c>
      <c r="X985">
        <v>2273535</v>
      </c>
      <c r="Y985">
        <v>250088.85</v>
      </c>
      <c r="Z985">
        <v>107217</v>
      </c>
      <c r="AA985">
        <v>11793.87</v>
      </c>
      <c r="AB985">
        <v>2523623.85</v>
      </c>
      <c r="AC985">
        <v>3</v>
      </c>
      <c r="AD985" t="s">
        <v>82</v>
      </c>
      <c r="AE985">
        <v>3</v>
      </c>
      <c r="AF985" t="s">
        <v>432</v>
      </c>
      <c r="AG985">
        <f>IFERROR(VLOOKUP(AF985,[1]STOK!J:O,6,0),"")</f>
        <v>12</v>
      </c>
      <c r="AH985" s="2">
        <f t="shared" si="30"/>
        <v>0.25</v>
      </c>
      <c r="AI985" t="s">
        <v>432</v>
      </c>
      <c r="AJ985" t="s">
        <v>433</v>
      </c>
      <c r="AK985" t="s">
        <v>434</v>
      </c>
      <c r="AL985" t="s">
        <v>86</v>
      </c>
      <c r="AM985">
        <v>40071</v>
      </c>
      <c r="AN985">
        <f t="shared" si="31"/>
        <v>39670.29</v>
      </c>
      <c r="AO985" t="s">
        <v>66</v>
      </c>
      <c r="AP985">
        <v>1</v>
      </c>
      <c r="AQ985" t="s">
        <v>66</v>
      </c>
      <c r="AR985">
        <v>0</v>
      </c>
      <c r="AS985" t="s">
        <v>66</v>
      </c>
      <c r="AT985">
        <v>0</v>
      </c>
      <c r="AU985" t="s">
        <v>66</v>
      </c>
      <c r="AV985">
        <v>0</v>
      </c>
      <c r="AW985" t="s">
        <v>66</v>
      </c>
      <c r="AX985">
        <v>0</v>
      </c>
      <c r="AY985" t="s">
        <v>66</v>
      </c>
      <c r="AZ985">
        <v>0</v>
      </c>
      <c r="BA985" t="s">
        <v>66</v>
      </c>
      <c r="BB985">
        <v>0</v>
      </c>
      <c r="BC985">
        <v>0</v>
      </c>
      <c r="BD985">
        <v>119010.87</v>
      </c>
      <c r="BE985">
        <v>32671.759999999998</v>
      </c>
      <c r="BF985">
        <v>0</v>
      </c>
      <c r="BG985" t="s">
        <v>87</v>
      </c>
      <c r="BH985" t="s">
        <v>66</v>
      </c>
      <c r="BI985">
        <v>0</v>
      </c>
      <c r="BJ985" t="s">
        <v>66</v>
      </c>
      <c r="BK985" t="s">
        <v>88</v>
      </c>
      <c r="BL985" t="s">
        <v>1334</v>
      </c>
      <c r="BM985" t="s">
        <v>159</v>
      </c>
    </row>
    <row r="986" spans="1:65" x14ac:dyDescent="0.25">
      <c r="A986">
        <v>984</v>
      </c>
      <c r="B986" t="s">
        <v>1328</v>
      </c>
      <c r="C986" t="s">
        <v>68</v>
      </c>
      <c r="D986" s="1">
        <v>46216</v>
      </c>
      <c r="E986" t="s">
        <v>1329</v>
      </c>
      <c r="F986" t="s">
        <v>68</v>
      </c>
      <c r="G986" t="s">
        <v>295</v>
      </c>
      <c r="H986" t="s">
        <v>296</v>
      </c>
      <c r="I986" t="s">
        <v>71</v>
      </c>
      <c r="J986" t="s">
        <v>72</v>
      </c>
      <c r="K986" t="s">
        <v>73</v>
      </c>
      <c r="L986" t="s">
        <v>74</v>
      </c>
      <c r="M986" t="s">
        <v>1330</v>
      </c>
      <c r="N986" t="s">
        <v>76</v>
      </c>
      <c r="O986" t="s">
        <v>1331</v>
      </c>
      <c r="P986" t="s">
        <v>1332</v>
      </c>
      <c r="Q986" t="s">
        <v>1333</v>
      </c>
      <c r="R986" s="1">
        <v>46218</v>
      </c>
      <c r="S986" t="s">
        <v>1218</v>
      </c>
      <c r="T986" t="s">
        <v>1219</v>
      </c>
      <c r="U986" t="s">
        <v>1220</v>
      </c>
      <c r="V986" t="s">
        <v>66</v>
      </c>
      <c r="W986" t="s">
        <v>66</v>
      </c>
      <c r="X986">
        <v>2273535</v>
      </c>
      <c r="Y986">
        <v>250088.85</v>
      </c>
      <c r="Z986">
        <v>109296</v>
      </c>
      <c r="AA986">
        <v>12022.56</v>
      </c>
      <c r="AB986">
        <v>2523623.85</v>
      </c>
      <c r="AC986">
        <v>6</v>
      </c>
      <c r="AD986" t="s">
        <v>82</v>
      </c>
      <c r="AE986">
        <v>6</v>
      </c>
      <c r="AF986" t="s">
        <v>720</v>
      </c>
      <c r="AG986">
        <f>IFERROR(VLOOKUP(AF986,[1]STOK!J:O,6,0),"")</f>
        <v>12</v>
      </c>
      <c r="AH986" s="2">
        <f t="shared" si="30"/>
        <v>0.5</v>
      </c>
      <c r="AI986" t="s">
        <v>720</v>
      </c>
      <c r="AJ986" t="s">
        <v>721</v>
      </c>
      <c r="AK986" t="s">
        <v>722</v>
      </c>
      <c r="AL986" t="s">
        <v>86</v>
      </c>
      <c r="AM986">
        <v>20424</v>
      </c>
      <c r="AN986">
        <f t="shared" si="31"/>
        <v>20219.759999999998</v>
      </c>
      <c r="AO986" t="s">
        <v>66</v>
      </c>
      <c r="AP986">
        <v>1</v>
      </c>
      <c r="AQ986" t="s">
        <v>66</v>
      </c>
      <c r="AR986">
        <v>0</v>
      </c>
      <c r="AS986" t="s">
        <v>66</v>
      </c>
      <c r="AT986">
        <v>0</v>
      </c>
      <c r="AU986" t="s">
        <v>66</v>
      </c>
      <c r="AV986">
        <v>0</v>
      </c>
      <c r="AW986" t="s">
        <v>66</v>
      </c>
      <c r="AX986">
        <v>0</v>
      </c>
      <c r="AY986" t="s">
        <v>66</v>
      </c>
      <c r="AZ986">
        <v>0</v>
      </c>
      <c r="BA986" t="s">
        <v>66</v>
      </c>
      <c r="BB986">
        <v>0</v>
      </c>
      <c r="BC986">
        <v>0</v>
      </c>
      <c r="BD986">
        <v>121318.56</v>
      </c>
      <c r="BE986">
        <v>16647.18</v>
      </c>
      <c r="BF986">
        <v>0</v>
      </c>
      <c r="BG986" t="s">
        <v>87</v>
      </c>
      <c r="BH986" t="s">
        <v>66</v>
      </c>
      <c r="BI986">
        <v>0</v>
      </c>
      <c r="BJ986" t="s">
        <v>66</v>
      </c>
      <c r="BK986" t="s">
        <v>88</v>
      </c>
      <c r="BL986" t="s">
        <v>1334</v>
      </c>
      <c r="BM986" t="s">
        <v>159</v>
      </c>
    </row>
    <row r="987" spans="1:65" x14ac:dyDescent="0.25">
      <c r="A987">
        <v>985</v>
      </c>
      <c r="B987" t="s">
        <v>1328</v>
      </c>
      <c r="C987" t="s">
        <v>68</v>
      </c>
      <c r="D987" s="1">
        <v>46216</v>
      </c>
      <c r="E987" t="s">
        <v>1329</v>
      </c>
      <c r="F987" t="s">
        <v>68</v>
      </c>
      <c r="G987" t="s">
        <v>295</v>
      </c>
      <c r="H987" t="s">
        <v>296</v>
      </c>
      <c r="I987" t="s">
        <v>71</v>
      </c>
      <c r="J987" t="s">
        <v>72</v>
      </c>
      <c r="K987" t="s">
        <v>73</v>
      </c>
      <c r="L987" t="s">
        <v>74</v>
      </c>
      <c r="M987" t="s">
        <v>1330</v>
      </c>
      <c r="N987" t="s">
        <v>76</v>
      </c>
      <c r="O987" t="s">
        <v>1331</v>
      </c>
      <c r="P987" t="s">
        <v>1332</v>
      </c>
      <c r="Q987" t="s">
        <v>1333</v>
      </c>
      <c r="R987" s="1">
        <v>46218</v>
      </c>
      <c r="S987" t="s">
        <v>1218</v>
      </c>
      <c r="T987" t="s">
        <v>1219</v>
      </c>
      <c r="U987" t="s">
        <v>1220</v>
      </c>
      <c r="V987" t="s">
        <v>66</v>
      </c>
      <c r="W987" t="s">
        <v>66</v>
      </c>
      <c r="X987">
        <v>2273535</v>
      </c>
      <c r="Y987">
        <v>250088.85</v>
      </c>
      <c r="Z987">
        <v>218592</v>
      </c>
      <c r="AA987">
        <v>24045.119999999999</v>
      </c>
      <c r="AB987">
        <v>2523623.85</v>
      </c>
      <c r="AC987">
        <v>12</v>
      </c>
      <c r="AD987" t="s">
        <v>82</v>
      </c>
      <c r="AE987">
        <v>12</v>
      </c>
      <c r="AF987" t="s">
        <v>160</v>
      </c>
      <c r="AG987">
        <f>IFERROR(VLOOKUP(AF987,[1]STOK!J:O,6,0),"")</f>
        <v>12</v>
      </c>
      <c r="AH987" s="2">
        <f t="shared" si="30"/>
        <v>1</v>
      </c>
      <c r="AI987" t="s">
        <v>160</v>
      </c>
      <c r="AJ987" t="s">
        <v>161</v>
      </c>
      <c r="AK987" t="s">
        <v>162</v>
      </c>
      <c r="AL987" t="s">
        <v>86</v>
      </c>
      <c r="AM987">
        <v>20424</v>
      </c>
      <c r="AN987">
        <f t="shared" si="31"/>
        <v>20219.759999999998</v>
      </c>
      <c r="AO987" t="s">
        <v>66</v>
      </c>
      <c r="AP987">
        <v>1</v>
      </c>
      <c r="AQ987" t="s">
        <v>66</v>
      </c>
      <c r="AR987">
        <v>0</v>
      </c>
      <c r="AS987" t="s">
        <v>66</v>
      </c>
      <c r="AT987">
        <v>0</v>
      </c>
      <c r="AU987" t="s">
        <v>66</v>
      </c>
      <c r="AV987">
        <v>0</v>
      </c>
      <c r="AW987" t="s">
        <v>66</v>
      </c>
      <c r="AX987">
        <v>0</v>
      </c>
      <c r="AY987" t="s">
        <v>66</v>
      </c>
      <c r="AZ987">
        <v>0</v>
      </c>
      <c r="BA987" t="s">
        <v>66</v>
      </c>
      <c r="BB987">
        <v>0</v>
      </c>
      <c r="BC987">
        <v>0</v>
      </c>
      <c r="BD987">
        <v>242637.12</v>
      </c>
      <c r="BE987">
        <v>16652.16</v>
      </c>
      <c r="BF987">
        <v>0</v>
      </c>
      <c r="BG987" t="s">
        <v>87</v>
      </c>
      <c r="BH987" t="s">
        <v>66</v>
      </c>
      <c r="BI987">
        <v>0</v>
      </c>
      <c r="BJ987" t="s">
        <v>66</v>
      </c>
      <c r="BK987" t="s">
        <v>88</v>
      </c>
      <c r="BL987" t="s">
        <v>1334</v>
      </c>
      <c r="BM987" t="s">
        <v>159</v>
      </c>
    </row>
    <row r="988" spans="1:65" x14ac:dyDescent="0.25">
      <c r="A988">
        <v>986</v>
      </c>
      <c r="B988" t="s">
        <v>1328</v>
      </c>
      <c r="C988" t="s">
        <v>68</v>
      </c>
      <c r="D988" s="1">
        <v>46216</v>
      </c>
      <c r="E988" t="s">
        <v>1329</v>
      </c>
      <c r="F988" t="s">
        <v>68</v>
      </c>
      <c r="G988" t="s">
        <v>295</v>
      </c>
      <c r="H988" t="s">
        <v>296</v>
      </c>
      <c r="I988" t="s">
        <v>71</v>
      </c>
      <c r="J988" t="s">
        <v>72</v>
      </c>
      <c r="K988" t="s">
        <v>73</v>
      </c>
      <c r="L988" t="s">
        <v>74</v>
      </c>
      <c r="M988" t="s">
        <v>1330</v>
      </c>
      <c r="N988" t="s">
        <v>76</v>
      </c>
      <c r="O988" t="s">
        <v>1331</v>
      </c>
      <c r="P988" t="s">
        <v>1332</v>
      </c>
      <c r="Q988" t="s">
        <v>1333</v>
      </c>
      <c r="R988" s="1">
        <v>46218</v>
      </c>
      <c r="S988" t="s">
        <v>1218</v>
      </c>
      <c r="T988" t="s">
        <v>1219</v>
      </c>
      <c r="U988" t="s">
        <v>1220</v>
      </c>
      <c r="V988" t="s">
        <v>66</v>
      </c>
      <c r="W988" t="s">
        <v>66</v>
      </c>
      <c r="X988">
        <v>2273535</v>
      </c>
      <c r="Y988">
        <v>250088.85</v>
      </c>
      <c r="Z988">
        <v>109296</v>
      </c>
      <c r="AA988">
        <v>12022.56</v>
      </c>
      <c r="AB988">
        <v>2523623.85</v>
      </c>
      <c r="AC988">
        <v>6</v>
      </c>
      <c r="AD988" t="s">
        <v>82</v>
      </c>
      <c r="AE988">
        <v>6</v>
      </c>
      <c r="AF988" t="s">
        <v>116</v>
      </c>
      <c r="AG988">
        <f>IFERROR(VLOOKUP(AF988,[1]STOK!J:O,6,0),"")</f>
        <v>12</v>
      </c>
      <c r="AH988" s="2">
        <f t="shared" si="30"/>
        <v>0.5</v>
      </c>
      <c r="AI988" t="s">
        <v>116</v>
      </c>
      <c r="AJ988" t="s">
        <v>117</v>
      </c>
      <c r="AK988" t="s">
        <v>118</v>
      </c>
      <c r="AL988" t="s">
        <v>86</v>
      </c>
      <c r="AM988">
        <v>20424</v>
      </c>
      <c r="AN988">
        <f t="shared" si="31"/>
        <v>20219.759999999998</v>
      </c>
      <c r="AO988" t="s">
        <v>66</v>
      </c>
      <c r="AP988">
        <v>1</v>
      </c>
      <c r="AQ988" t="s">
        <v>66</v>
      </c>
      <c r="AR988">
        <v>0</v>
      </c>
      <c r="AS988" t="s">
        <v>66</v>
      </c>
      <c r="AT988">
        <v>0</v>
      </c>
      <c r="AU988" t="s">
        <v>66</v>
      </c>
      <c r="AV988">
        <v>0</v>
      </c>
      <c r="AW988" t="s">
        <v>66</v>
      </c>
      <c r="AX988">
        <v>0</v>
      </c>
      <c r="AY988" t="s">
        <v>66</v>
      </c>
      <c r="AZ988">
        <v>0</v>
      </c>
      <c r="BA988" t="s">
        <v>66</v>
      </c>
      <c r="BB988">
        <v>0</v>
      </c>
      <c r="BC988">
        <v>0</v>
      </c>
      <c r="BD988">
        <v>121318.56</v>
      </c>
      <c r="BE988">
        <v>16645.46</v>
      </c>
      <c r="BF988">
        <v>0</v>
      </c>
      <c r="BG988" t="s">
        <v>87</v>
      </c>
      <c r="BH988" t="s">
        <v>66</v>
      </c>
      <c r="BI988">
        <v>0</v>
      </c>
      <c r="BJ988" t="s">
        <v>66</v>
      </c>
      <c r="BK988" t="s">
        <v>88</v>
      </c>
      <c r="BL988" t="s">
        <v>1334</v>
      </c>
      <c r="BM988" t="s">
        <v>159</v>
      </c>
    </row>
    <row r="989" spans="1:65" x14ac:dyDescent="0.25">
      <c r="A989">
        <v>987</v>
      </c>
      <c r="B989" t="s">
        <v>1328</v>
      </c>
      <c r="C989" t="s">
        <v>68</v>
      </c>
      <c r="D989" s="1">
        <v>46216</v>
      </c>
      <c r="E989" t="s">
        <v>1329</v>
      </c>
      <c r="F989" t="s">
        <v>68</v>
      </c>
      <c r="G989" t="s">
        <v>295</v>
      </c>
      <c r="H989" t="s">
        <v>296</v>
      </c>
      <c r="I989" t="s">
        <v>71</v>
      </c>
      <c r="J989" t="s">
        <v>72</v>
      </c>
      <c r="K989" t="s">
        <v>73</v>
      </c>
      <c r="L989" t="s">
        <v>74</v>
      </c>
      <c r="M989" t="s">
        <v>1330</v>
      </c>
      <c r="N989" t="s">
        <v>76</v>
      </c>
      <c r="O989" t="s">
        <v>1331</v>
      </c>
      <c r="P989" t="s">
        <v>1332</v>
      </c>
      <c r="Q989" t="s">
        <v>1333</v>
      </c>
      <c r="R989" s="1">
        <v>46218</v>
      </c>
      <c r="S989" t="s">
        <v>1218</v>
      </c>
      <c r="T989" t="s">
        <v>1219</v>
      </c>
      <c r="U989" t="s">
        <v>1220</v>
      </c>
      <c r="V989" t="s">
        <v>66</v>
      </c>
      <c r="W989" t="s">
        <v>66</v>
      </c>
      <c r="X989">
        <v>2273535</v>
      </c>
      <c r="Y989">
        <v>250088.85</v>
      </c>
      <c r="Z989">
        <v>29997</v>
      </c>
      <c r="AA989">
        <v>3299.67</v>
      </c>
      <c r="AB989">
        <v>2523623.85</v>
      </c>
      <c r="AC989">
        <v>3</v>
      </c>
      <c r="AD989" t="s">
        <v>82</v>
      </c>
      <c r="AE989">
        <v>3</v>
      </c>
      <c r="AF989" t="s">
        <v>857</v>
      </c>
      <c r="AG989">
        <f>IFERROR(VLOOKUP(AF989,[1]STOK!J:O,6,0),"")</f>
        <v>24</v>
      </c>
      <c r="AH989" s="2">
        <f t="shared" si="30"/>
        <v>0.125</v>
      </c>
      <c r="AI989" t="s">
        <v>857</v>
      </c>
      <c r="AJ989" t="s">
        <v>858</v>
      </c>
      <c r="AK989" t="s">
        <v>859</v>
      </c>
      <c r="AL989" t="s">
        <v>86</v>
      </c>
      <c r="AM989">
        <v>11211</v>
      </c>
      <c r="AN989">
        <f t="shared" si="31"/>
        <v>11098.89</v>
      </c>
      <c r="AO989" t="s">
        <v>66</v>
      </c>
      <c r="AP989">
        <v>1</v>
      </c>
      <c r="AQ989" t="s">
        <v>66</v>
      </c>
      <c r="AR989">
        <v>0</v>
      </c>
      <c r="AS989" t="s">
        <v>66</v>
      </c>
      <c r="AT989">
        <v>0</v>
      </c>
      <c r="AU989" t="s">
        <v>66</v>
      </c>
      <c r="AV989">
        <v>0</v>
      </c>
      <c r="AW989" t="s">
        <v>66</v>
      </c>
      <c r="AX989">
        <v>0</v>
      </c>
      <c r="AY989" t="s">
        <v>66</v>
      </c>
      <c r="AZ989">
        <v>0</v>
      </c>
      <c r="BA989" t="s">
        <v>66</v>
      </c>
      <c r="BB989">
        <v>0</v>
      </c>
      <c r="BC989">
        <v>0</v>
      </c>
      <c r="BD989">
        <v>33296.67</v>
      </c>
      <c r="BE989">
        <v>9046.9</v>
      </c>
      <c r="BF989">
        <v>0</v>
      </c>
      <c r="BG989" t="s">
        <v>87</v>
      </c>
      <c r="BH989" t="s">
        <v>66</v>
      </c>
      <c r="BI989">
        <v>0</v>
      </c>
      <c r="BJ989" t="s">
        <v>66</v>
      </c>
      <c r="BK989" t="s">
        <v>88</v>
      </c>
      <c r="BL989" t="s">
        <v>1334</v>
      </c>
      <c r="BM989" t="s">
        <v>159</v>
      </c>
    </row>
    <row r="990" spans="1:65" x14ac:dyDescent="0.25">
      <c r="A990">
        <v>988</v>
      </c>
      <c r="B990" t="s">
        <v>1328</v>
      </c>
      <c r="C990" t="s">
        <v>68</v>
      </c>
      <c r="D990" s="1">
        <v>46216</v>
      </c>
      <c r="E990" t="s">
        <v>1329</v>
      </c>
      <c r="F990" t="s">
        <v>68</v>
      </c>
      <c r="G990" t="s">
        <v>295</v>
      </c>
      <c r="H990" t="s">
        <v>296</v>
      </c>
      <c r="I990" t="s">
        <v>71</v>
      </c>
      <c r="J990" t="s">
        <v>72</v>
      </c>
      <c r="K990" t="s">
        <v>73</v>
      </c>
      <c r="L990" t="s">
        <v>74</v>
      </c>
      <c r="M990" t="s">
        <v>1330</v>
      </c>
      <c r="N990" t="s">
        <v>76</v>
      </c>
      <c r="O990" t="s">
        <v>1331</v>
      </c>
      <c r="P990" t="s">
        <v>1332</v>
      </c>
      <c r="Q990" t="s">
        <v>1333</v>
      </c>
      <c r="R990" s="1">
        <v>46218</v>
      </c>
      <c r="S990" t="s">
        <v>1218</v>
      </c>
      <c r="T990" t="s">
        <v>1219</v>
      </c>
      <c r="U990" t="s">
        <v>1220</v>
      </c>
      <c r="V990" t="s">
        <v>66</v>
      </c>
      <c r="W990" t="s">
        <v>66</v>
      </c>
      <c r="X990">
        <v>2273535</v>
      </c>
      <c r="Y990">
        <v>250088.85</v>
      </c>
      <c r="Z990">
        <v>196020</v>
      </c>
      <c r="AA990">
        <v>21562.2</v>
      </c>
      <c r="AB990">
        <v>2523623.85</v>
      </c>
      <c r="AC990">
        <v>12</v>
      </c>
      <c r="AD990" t="s">
        <v>82</v>
      </c>
      <c r="AE990">
        <v>12</v>
      </c>
      <c r="AF990" t="s">
        <v>99</v>
      </c>
      <c r="AG990">
        <f>IFERROR(VLOOKUP(AF990,[1]STOK!J:O,6,0),"")</f>
        <v>24</v>
      </c>
      <c r="AH990" s="2">
        <f t="shared" si="30"/>
        <v>0.5</v>
      </c>
      <c r="AI990" t="s">
        <v>99</v>
      </c>
      <c r="AJ990" t="s">
        <v>100</v>
      </c>
      <c r="AK990" t="s">
        <v>101</v>
      </c>
      <c r="AL990" t="s">
        <v>86</v>
      </c>
      <c r="AM990">
        <v>18315</v>
      </c>
      <c r="AN990">
        <f t="shared" si="31"/>
        <v>18131.850000000002</v>
      </c>
      <c r="AO990" t="s">
        <v>66</v>
      </c>
      <c r="AP990">
        <v>1</v>
      </c>
      <c r="AQ990" t="s">
        <v>66</v>
      </c>
      <c r="AR990">
        <v>0</v>
      </c>
      <c r="AS990" t="s">
        <v>66</v>
      </c>
      <c r="AT990">
        <v>0</v>
      </c>
      <c r="AU990" t="s">
        <v>66</v>
      </c>
      <c r="AV990">
        <v>0</v>
      </c>
      <c r="AW990" t="s">
        <v>66</v>
      </c>
      <c r="AX990">
        <v>0</v>
      </c>
      <c r="AY990" t="s">
        <v>66</v>
      </c>
      <c r="AZ990">
        <v>0</v>
      </c>
      <c r="BA990" t="s">
        <v>66</v>
      </c>
      <c r="BB990">
        <v>0</v>
      </c>
      <c r="BC990">
        <v>0</v>
      </c>
      <c r="BD990">
        <v>217582.2</v>
      </c>
      <c r="BE990">
        <v>14921.25</v>
      </c>
      <c r="BF990">
        <v>0</v>
      </c>
      <c r="BG990" t="s">
        <v>87</v>
      </c>
      <c r="BH990" t="s">
        <v>66</v>
      </c>
      <c r="BI990">
        <v>0</v>
      </c>
      <c r="BJ990" t="s">
        <v>66</v>
      </c>
      <c r="BK990" t="s">
        <v>88</v>
      </c>
      <c r="BL990" t="s">
        <v>1334</v>
      </c>
      <c r="BM990" t="s">
        <v>159</v>
      </c>
    </row>
    <row r="991" spans="1:65" x14ac:dyDescent="0.25">
      <c r="A991">
        <v>989</v>
      </c>
      <c r="B991" t="s">
        <v>1328</v>
      </c>
      <c r="C991" t="s">
        <v>68</v>
      </c>
      <c r="D991" s="1">
        <v>46216</v>
      </c>
      <c r="E991" t="s">
        <v>1329</v>
      </c>
      <c r="F991" t="s">
        <v>68</v>
      </c>
      <c r="G991" t="s">
        <v>295</v>
      </c>
      <c r="H991" t="s">
        <v>296</v>
      </c>
      <c r="I991" t="s">
        <v>71</v>
      </c>
      <c r="J991" t="s">
        <v>72</v>
      </c>
      <c r="K991" t="s">
        <v>73</v>
      </c>
      <c r="L991" t="s">
        <v>74</v>
      </c>
      <c r="M991" t="s">
        <v>1330</v>
      </c>
      <c r="N991" t="s">
        <v>76</v>
      </c>
      <c r="O991" t="s">
        <v>1331</v>
      </c>
      <c r="P991" t="s">
        <v>1332</v>
      </c>
      <c r="Q991" t="s">
        <v>1333</v>
      </c>
      <c r="R991" s="1">
        <v>46218</v>
      </c>
      <c r="S991" t="s">
        <v>1218</v>
      </c>
      <c r="T991" t="s">
        <v>1219</v>
      </c>
      <c r="U991" t="s">
        <v>1220</v>
      </c>
      <c r="V991" t="s">
        <v>66</v>
      </c>
      <c r="W991" t="s">
        <v>66</v>
      </c>
      <c r="X991">
        <v>2273535</v>
      </c>
      <c r="Y991">
        <v>250088.85</v>
      </c>
      <c r="Z991">
        <v>648648</v>
      </c>
      <c r="AA991">
        <v>71351.28</v>
      </c>
      <c r="AB991">
        <v>2523623.85</v>
      </c>
      <c r="AC991">
        <v>24</v>
      </c>
      <c r="AD991" t="s">
        <v>82</v>
      </c>
      <c r="AE991">
        <v>24</v>
      </c>
      <c r="AF991" t="s">
        <v>563</v>
      </c>
      <c r="AG991">
        <f>IFERROR(VLOOKUP(AF991,[1]STOK!J:O,6,0),"")</f>
        <v>12</v>
      </c>
      <c r="AH991" s="2">
        <f t="shared" si="30"/>
        <v>2</v>
      </c>
      <c r="AI991" t="s">
        <v>563</v>
      </c>
      <c r="AJ991" t="s">
        <v>564</v>
      </c>
      <c r="AK991" t="s">
        <v>565</v>
      </c>
      <c r="AL991" t="s">
        <v>86</v>
      </c>
      <c r="AM991">
        <v>30303</v>
      </c>
      <c r="AN991">
        <f t="shared" si="31"/>
        <v>29999.97</v>
      </c>
      <c r="AO991" t="s">
        <v>66</v>
      </c>
      <c r="AP991">
        <v>1</v>
      </c>
      <c r="AQ991" t="s">
        <v>66</v>
      </c>
      <c r="AR991">
        <v>0</v>
      </c>
      <c r="AS991" t="s">
        <v>66</v>
      </c>
      <c r="AT991">
        <v>0</v>
      </c>
      <c r="AU991" t="s">
        <v>66</v>
      </c>
      <c r="AV991">
        <v>0</v>
      </c>
      <c r="AW991" t="s">
        <v>66</v>
      </c>
      <c r="AX991">
        <v>0</v>
      </c>
      <c r="AY991" t="s">
        <v>66</v>
      </c>
      <c r="AZ991">
        <v>0</v>
      </c>
      <c r="BA991" t="s">
        <v>66</v>
      </c>
      <c r="BB991">
        <v>0</v>
      </c>
      <c r="BC991">
        <v>0</v>
      </c>
      <c r="BD991">
        <v>719999.28</v>
      </c>
      <c r="BE991">
        <v>24691.81</v>
      </c>
      <c r="BF991">
        <v>0</v>
      </c>
      <c r="BG991" t="s">
        <v>87</v>
      </c>
      <c r="BH991" t="s">
        <v>66</v>
      </c>
      <c r="BI991">
        <v>0</v>
      </c>
      <c r="BJ991" t="s">
        <v>66</v>
      </c>
      <c r="BK991" t="s">
        <v>88</v>
      </c>
      <c r="BL991" t="s">
        <v>1334</v>
      </c>
      <c r="BM991" t="s">
        <v>159</v>
      </c>
    </row>
    <row r="992" spans="1:65" x14ac:dyDescent="0.25">
      <c r="A992">
        <v>990</v>
      </c>
      <c r="B992" t="s">
        <v>1328</v>
      </c>
      <c r="C992" t="s">
        <v>68</v>
      </c>
      <c r="D992" s="1">
        <v>46216</v>
      </c>
      <c r="E992" t="s">
        <v>1329</v>
      </c>
      <c r="F992" t="s">
        <v>68</v>
      </c>
      <c r="G992" t="s">
        <v>295</v>
      </c>
      <c r="H992" t="s">
        <v>296</v>
      </c>
      <c r="I992" t="s">
        <v>71</v>
      </c>
      <c r="J992" t="s">
        <v>72</v>
      </c>
      <c r="K992" t="s">
        <v>73</v>
      </c>
      <c r="L992" t="s">
        <v>74</v>
      </c>
      <c r="M992" t="s">
        <v>1330</v>
      </c>
      <c r="N992" t="s">
        <v>76</v>
      </c>
      <c r="O992" t="s">
        <v>1331</v>
      </c>
      <c r="P992" t="s">
        <v>1332</v>
      </c>
      <c r="Q992" t="s">
        <v>1333</v>
      </c>
      <c r="R992" s="1">
        <v>46218</v>
      </c>
      <c r="S992" t="s">
        <v>1218</v>
      </c>
      <c r="T992" t="s">
        <v>1219</v>
      </c>
      <c r="U992" t="s">
        <v>1220</v>
      </c>
      <c r="V992" t="s">
        <v>66</v>
      </c>
      <c r="W992" t="s">
        <v>66</v>
      </c>
      <c r="X992">
        <v>2273535</v>
      </c>
      <c r="Y992">
        <v>250088.85</v>
      </c>
      <c r="Z992">
        <v>87318</v>
      </c>
      <c r="AA992">
        <v>9604.98</v>
      </c>
      <c r="AB992">
        <v>2523623.85</v>
      </c>
      <c r="AC992">
        <v>6</v>
      </c>
      <c r="AD992" t="s">
        <v>82</v>
      </c>
      <c r="AE992">
        <v>6</v>
      </c>
      <c r="AF992" t="s">
        <v>1263</v>
      </c>
      <c r="AG992">
        <f>IFERROR(VLOOKUP(AF992,[1]STOK!J:O,6,0),"")</f>
        <v>12</v>
      </c>
      <c r="AH992" s="2">
        <f t="shared" si="30"/>
        <v>0.5</v>
      </c>
      <c r="AI992" t="s">
        <v>1263</v>
      </c>
      <c r="AJ992" t="s">
        <v>1264</v>
      </c>
      <c r="AK992" t="s">
        <v>1265</v>
      </c>
      <c r="AL992" t="s">
        <v>86</v>
      </c>
      <c r="AM992">
        <v>16317</v>
      </c>
      <c r="AN992">
        <f t="shared" si="31"/>
        <v>16153.83</v>
      </c>
      <c r="AO992" t="s">
        <v>66</v>
      </c>
      <c r="AP992">
        <v>1</v>
      </c>
      <c r="AQ992" t="s">
        <v>66</v>
      </c>
      <c r="AR992">
        <v>0</v>
      </c>
      <c r="AS992" t="s">
        <v>66</v>
      </c>
      <c r="AT992">
        <v>0</v>
      </c>
      <c r="AU992" t="s">
        <v>66</v>
      </c>
      <c r="AV992">
        <v>0</v>
      </c>
      <c r="AW992" t="s">
        <v>66</v>
      </c>
      <c r="AX992">
        <v>0</v>
      </c>
      <c r="AY992" t="s">
        <v>66</v>
      </c>
      <c r="AZ992">
        <v>0</v>
      </c>
      <c r="BA992" t="s">
        <v>66</v>
      </c>
      <c r="BB992">
        <v>0</v>
      </c>
      <c r="BC992">
        <v>0</v>
      </c>
      <c r="BD992">
        <v>96922.98</v>
      </c>
      <c r="BE992">
        <v>13286.06</v>
      </c>
      <c r="BF992">
        <v>0</v>
      </c>
      <c r="BG992" t="s">
        <v>87</v>
      </c>
      <c r="BH992" t="s">
        <v>66</v>
      </c>
      <c r="BI992">
        <v>0</v>
      </c>
      <c r="BJ992" t="s">
        <v>66</v>
      </c>
      <c r="BK992" t="s">
        <v>88</v>
      </c>
      <c r="BL992" t="s">
        <v>1334</v>
      </c>
      <c r="BM992" t="s">
        <v>159</v>
      </c>
    </row>
    <row r="993" spans="1:65" x14ac:dyDescent="0.25">
      <c r="A993">
        <v>991</v>
      </c>
      <c r="B993" t="s">
        <v>1328</v>
      </c>
      <c r="C993" t="s">
        <v>68</v>
      </c>
      <c r="D993" s="1">
        <v>46216</v>
      </c>
      <c r="E993" t="s">
        <v>1329</v>
      </c>
      <c r="F993" t="s">
        <v>68</v>
      </c>
      <c r="G993" t="s">
        <v>295</v>
      </c>
      <c r="H993" t="s">
        <v>296</v>
      </c>
      <c r="I993" t="s">
        <v>71</v>
      </c>
      <c r="J993" t="s">
        <v>72</v>
      </c>
      <c r="K993" t="s">
        <v>73</v>
      </c>
      <c r="L993" t="s">
        <v>74</v>
      </c>
      <c r="M993" t="s">
        <v>1330</v>
      </c>
      <c r="N993" t="s">
        <v>76</v>
      </c>
      <c r="O993" t="s">
        <v>1331</v>
      </c>
      <c r="P993" t="s">
        <v>1332</v>
      </c>
      <c r="Q993" t="s">
        <v>1333</v>
      </c>
      <c r="R993" s="1">
        <v>46218</v>
      </c>
      <c r="S993" t="s">
        <v>1218</v>
      </c>
      <c r="T993" t="s">
        <v>1219</v>
      </c>
      <c r="U993" t="s">
        <v>1220</v>
      </c>
      <c r="V993" t="s">
        <v>66</v>
      </c>
      <c r="W993" t="s">
        <v>66</v>
      </c>
      <c r="X993">
        <v>2273535</v>
      </c>
      <c r="Y993">
        <v>250088.85</v>
      </c>
      <c r="Z993">
        <v>15741</v>
      </c>
      <c r="AA993">
        <v>1731.51</v>
      </c>
      <c r="AB993">
        <v>2523623.85</v>
      </c>
      <c r="AC993">
        <v>3</v>
      </c>
      <c r="AD993" t="s">
        <v>82</v>
      </c>
      <c r="AE993">
        <v>3</v>
      </c>
      <c r="AF993" t="s">
        <v>633</v>
      </c>
      <c r="AG993">
        <f>IFERROR(VLOOKUP(AF993,[1]STOK!J:O,6,0),"")</f>
        <v>24</v>
      </c>
      <c r="AH993" s="2">
        <f t="shared" si="30"/>
        <v>0.125</v>
      </c>
      <c r="AI993" t="s">
        <v>633</v>
      </c>
      <c r="AJ993" t="s">
        <v>634</v>
      </c>
      <c r="AK993" t="s">
        <v>635</v>
      </c>
      <c r="AL993" t="s">
        <v>86</v>
      </c>
      <c r="AM993">
        <v>5883</v>
      </c>
      <c r="AN993">
        <f t="shared" si="31"/>
        <v>5824.1699999999992</v>
      </c>
      <c r="AO993" t="s">
        <v>66</v>
      </c>
      <c r="AP993">
        <v>1</v>
      </c>
      <c r="AQ993" t="s">
        <v>66</v>
      </c>
      <c r="AR993">
        <v>0</v>
      </c>
      <c r="AS993" t="s">
        <v>66</v>
      </c>
      <c r="AT993">
        <v>0</v>
      </c>
      <c r="AU993" t="s">
        <v>66</v>
      </c>
      <c r="AV993">
        <v>0</v>
      </c>
      <c r="AW993" t="s">
        <v>66</v>
      </c>
      <c r="AX993">
        <v>0</v>
      </c>
      <c r="AY993" t="s">
        <v>66</v>
      </c>
      <c r="AZ993">
        <v>0</v>
      </c>
      <c r="BA993" t="s">
        <v>66</v>
      </c>
      <c r="BB993">
        <v>0</v>
      </c>
      <c r="BC993">
        <v>0</v>
      </c>
      <c r="BD993">
        <v>17472.509999999998</v>
      </c>
      <c r="BE993">
        <v>4779.55</v>
      </c>
      <c r="BF993">
        <v>0</v>
      </c>
      <c r="BG993" t="s">
        <v>87</v>
      </c>
      <c r="BH993" t="s">
        <v>66</v>
      </c>
      <c r="BI993">
        <v>0</v>
      </c>
      <c r="BJ993" t="s">
        <v>66</v>
      </c>
      <c r="BK993" t="s">
        <v>88</v>
      </c>
      <c r="BL993" t="s">
        <v>1334</v>
      </c>
      <c r="BM993" t="s">
        <v>159</v>
      </c>
    </row>
    <row r="994" spans="1:65" x14ac:dyDescent="0.25">
      <c r="A994">
        <v>992</v>
      </c>
      <c r="B994" t="s">
        <v>1328</v>
      </c>
      <c r="C994" t="s">
        <v>68</v>
      </c>
      <c r="D994" s="1">
        <v>46216</v>
      </c>
      <c r="E994" t="s">
        <v>1329</v>
      </c>
      <c r="F994" t="s">
        <v>68</v>
      </c>
      <c r="G994" t="s">
        <v>295</v>
      </c>
      <c r="H994" t="s">
        <v>296</v>
      </c>
      <c r="I994" t="s">
        <v>71</v>
      </c>
      <c r="J994" t="s">
        <v>72</v>
      </c>
      <c r="K994" t="s">
        <v>73</v>
      </c>
      <c r="L994" t="s">
        <v>74</v>
      </c>
      <c r="M994" t="s">
        <v>1330</v>
      </c>
      <c r="N994" t="s">
        <v>76</v>
      </c>
      <c r="O994" t="s">
        <v>1331</v>
      </c>
      <c r="P994" t="s">
        <v>1332</v>
      </c>
      <c r="Q994" t="s">
        <v>1333</v>
      </c>
      <c r="R994" s="1">
        <v>46218</v>
      </c>
      <c r="S994" t="s">
        <v>1218</v>
      </c>
      <c r="T994" t="s">
        <v>1219</v>
      </c>
      <c r="U994" t="s">
        <v>1220</v>
      </c>
      <c r="V994" t="s">
        <v>66</v>
      </c>
      <c r="W994" t="s">
        <v>66</v>
      </c>
      <c r="X994">
        <v>2273535</v>
      </c>
      <c r="Y994">
        <v>250088.85</v>
      </c>
      <c r="Z994">
        <v>15741</v>
      </c>
      <c r="AA994">
        <v>1731.51</v>
      </c>
      <c r="AB994">
        <v>2523623.85</v>
      </c>
      <c r="AC994">
        <v>3</v>
      </c>
      <c r="AD994" t="s">
        <v>82</v>
      </c>
      <c r="AE994">
        <v>3</v>
      </c>
      <c r="AF994" t="s">
        <v>353</v>
      </c>
      <c r="AG994">
        <f>IFERROR(VLOOKUP(AF994,[1]STOK!J:O,6,0),"")</f>
        <v>24</v>
      </c>
      <c r="AH994" s="2">
        <f t="shared" si="30"/>
        <v>0.125</v>
      </c>
      <c r="AI994" t="s">
        <v>353</v>
      </c>
      <c r="AJ994" t="s">
        <v>354</v>
      </c>
      <c r="AK994" t="s">
        <v>355</v>
      </c>
      <c r="AL994" t="s">
        <v>86</v>
      </c>
      <c r="AM994">
        <v>5883</v>
      </c>
      <c r="AN994">
        <f t="shared" si="31"/>
        <v>5824.1699999999992</v>
      </c>
      <c r="AO994" t="s">
        <v>66</v>
      </c>
      <c r="AP994">
        <v>1</v>
      </c>
      <c r="AQ994" t="s">
        <v>66</v>
      </c>
      <c r="AR994">
        <v>0</v>
      </c>
      <c r="AS994" t="s">
        <v>66</v>
      </c>
      <c r="AT994">
        <v>0</v>
      </c>
      <c r="AU994" t="s">
        <v>66</v>
      </c>
      <c r="AV994">
        <v>0</v>
      </c>
      <c r="AW994" t="s">
        <v>66</v>
      </c>
      <c r="AX994">
        <v>0</v>
      </c>
      <c r="AY994" t="s">
        <v>66</v>
      </c>
      <c r="AZ994">
        <v>0</v>
      </c>
      <c r="BA994" t="s">
        <v>66</v>
      </c>
      <c r="BB994">
        <v>0</v>
      </c>
      <c r="BC994">
        <v>0</v>
      </c>
      <c r="BD994">
        <v>17472.509999999998</v>
      </c>
      <c r="BE994">
        <v>4790.82</v>
      </c>
      <c r="BF994">
        <v>0</v>
      </c>
      <c r="BG994" t="s">
        <v>87</v>
      </c>
      <c r="BH994" t="s">
        <v>66</v>
      </c>
      <c r="BI994">
        <v>0</v>
      </c>
      <c r="BJ994" t="s">
        <v>66</v>
      </c>
      <c r="BK994" t="s">
        <v>88</v>
      </c>
      <c r="BL994" t="s">
        <v>1334</v>
      </c>
      <c r="BM994" t="s">
        <v>159</v>
      </c>
    </row>
    <row r="995" spans="1:65" x14ac:dyDescent="0.25">
      <c r="A995">
        <v>993</v>
      </c>
      <c r="B995" t="s">
        <v>1328</v>
      </c>
      <c r="C995" t="s">
        <v>68</v>
      </c>
      <c r="D995" s="1">
        <v>46216</v>
      </c>
      <c r="E995" t="s">
        <v>1329</v>
      </c>
      <c r="F995" t="s">
        <v>68</v>
      </c>
      <c r="G995" t="s">
        <v>295</v>
      </c>
      <c r="H995" t="s">
        <v>296</v>
      </c>
      <c r="I995" t="s">
        <v>71</v>
      </c>
      <c r="J995" t="s">
        <v>72</v>
      </c>
      <c r="K995" t="s">
        <v>73</v>
      </c>
      <c r="L995" t="s">
        <v>74</v>
      </c>
      <c r="M995" t="s">
        <v>1330</v>
      </c>
      <c r="N995" t="s">
        <v>76</v>
      </c>
      <c r="O995" t="s">
        <v>1331</v>
      </c>
      <c r="P995" t="s">
        <v>1332</v>
      </c>
      <c r="Q995" t="s">
        <v>1333</v>
      </c>
      <c r="R995" s="1">
        <v>46218</v>
      </c>
      <c r="S995" t="s">
        <v>1218</v>
      </c>
      <c r="T995" t="s">
        <v>1219</v>
      </c>
      <c r="U995" t="s">
        <v>1220</v>
      </c>
      <c r="V995" t="s">
        <v>66</v>
      </c>
      <c r="W995" t="s">
        <v>66</v>
      </c>
      <c r="X995">
        <v>2273535</v>
      </c>
      <c r="Y995">
        <v>250088.85</v>
      </c>
      <c r="Z995">
        <v>80784</v>
      </c>
      <c r="AA995">
        <v>8886.24</v>
      </c>
      <c r="AB995">
        <v>2523623.85</v>
      </c>
      <c r="AC995">
        <v>3</v>
      </c>
      <c r="AD995" t="s">
        <v>82</v>
      </c>
      <c r="AE995">
        <v>3</v>
      </c>
      <c r="AF995" t="s">
        <v>445</v>
      </c>
      <c r="AG995">
        <f>IFERROR(VLOOKUP(AF995,[1]STOK!J:O,6,0),"")</f>
        <v>12</v>
      </c>
      <c r="AH995" s="2">
        <f t="shared" si="30"/>
        <v>0.25</v>
      </c>
      <c r="AI995" t="s">
        <v>445</v>
      </c>
      <c r="AJ995" t="s">
        <v>446</v>
      </c>
      <c r="AK995" t="s">
        <v>447</v>
      </c>
      <c r="AL995" t="s">
        <v>86</v>
      </c>
      <c r="AM995">
        <v>30192</v>
      </c>
      <c r="AN995">
        <f t="shared" si="31"/>
        <v>29890.080000000002</v>
      </c>
      <c r="AO995" t="s">
        <v>66</v>
      </c>
      <c r="AP995">
        <v>1</v>
      </c>
      <c r="AQ995" t="s">
        <v>66</v>
      </c>
      <c r="AR995">
        <v>0</v>
      </c>
      <c r="AS995" t="s">
        <v>66</v>
      </c>
      <c r="AT995">
        <v>0</v>
      </c>
      <c r="AU995" t="s">
        <v>66</v>
      </c>
      <c r="AV995">
        <v>0</v>
      </c>
      <c r="AW995" t="s">
        <v>66</v>
      </c>
      <c r="AX995">
        <v>0</v>
      </c>
      <c r="AY995" t="s">
        <v>66</v>
      </c>
      <c r="AZ995">
        <v>0</v>
      </c>
      <c r="BA995" t="s">
        <v>66</v>
      </c>
      <c r="BB995">
        <v>0</v>
      </c>
      <c r="BC995">
        <v>0</v>
      </c>
      <c r="BD995">
        <v>89670.24</v>
      </c>
      <c r="BE995">
        <v>24543.599999999999</v>
      </c>
      <c r="BF995">
        <v>0</v>
      </c>
      <c r="BG995" t="s">
        <v>87</v>
      </c>
      <c r="BH995" t="s">
        <v>1335</v>
      </c>
      <c r="BI995">
        <v>3</v>
      </c>
      <c r="BJ995" t="s">
        <v>209</v>
      </c>
      <c r="BK995" t="s">
        <v>88</v>
      </c>
      <c r="BL995" t="s">
        <v>1334</v>
      </c>
      <c r="BM995" t="s">
        <v>159</v>
      </c>
    </row>
    <row r="996" spans="1:65" x14ac:dyDescent="0.25">
      <c r="A996">
        <v>994</v>
      </c>
      <c r="B996" t="s">
        <v>1328</v>
      </c>
      <c r="C996" t="s">
        <v>68</v>
      </c>
      <c r="D996" s="1">
        <v>46216</v>
      </c>
      <c r="E996" t="s">
        <v>1329</v>
      </c>
      <c r="F996" t="s">
        <v>68</v>
      </c>
      <c r="G996" t="s">
        <v>295</v>
      </c>
      <c r="H996" t="s">
        <v>296</v>
      </c>
      <c r="I996" t="s">
        <v>71</v>
      </c>
      <c r="J996" t="s">
        <v>72</v>
      </c>
      <c r="K996" t="s">
        <v>73</v>
      </c>
      <c r="L996" t="s">
        <v>74</v>
      </c>
      <c r="M996" t="s">
        <v>1330</v>
      </c>
      <c r="N996" t="s">
        <v>76</v>
      </c>
      <c r="O996" t="s">
        <v>1331</v>
      </c>
      <c r="P996" t="s">
        <v>1332</v>
      </c>
      <c r="Q996" t="s">
        <v>1333</v>
      </c>
      <c r="R996" s="1">
        <v>46218</v>
      </c>
      <c r="S996" t="s">
        <v>1218</v>
      </c>
      <c r="T996" t="s">
        <v>1219</v>
      </c>
      <c r="U996" t="s">
        <v>1220</v>
      </c>
      <c r="V996" t="s">
        <v>66</v>
      </c>
      <c r="W996" t="s">
        <v>66</v>
      </c>
      <c r="X996">
        <v>2273535</v>
      </c>
      <c r="Y996">
        <v>250088.85</v>
      </c>
      <c r="Z996">
        <v>205524</v>
      </c>
      <c r="AA996">
        <v>22607.64</v>
      </c>
      <c r="AB996">
        <v>2523623.85</v>
      </c>
      <c r="AC996">
        <v>12</v>
      </c>
      <c r="AD996" t="s">
        <v>82</v>
      </c>
      <c r="AE996">
        <v>12</v>
      </c>
      <c r="AF996" t="s">
        <v>359</v>
      </c>
      <c r="AG996">
        <f>IFERROR(VLOOKUP(AF996,[1]STOK!J:O,6,0),"")</f>
        <v>12</v>
      </c>
      <c r="AH996" s="2">
        <f t="shared" si="30"/>
        <v>1</v>
      </c>
      <c r="AI996" t="s">
        <v>359</v>
      </c>
      <c r="AJ996" t="s">
        <v>360</v>
      </c>
      <c r="AK996" t="s">
        <v>361</v>
      </c>
      <c r="AL996" t="s">
        <v>86</v>
      </c>
      <c r="AM996">
        <v>19203</v>
      </c>
      <c r="AN996">
        <f t="shared" si="31"/>
        <v>19010.97</v>
      </c>
      <c r="AO996" t="s">
        <v>66</v>
      </c>
      <c r="AP996">
        <v>1</v>
      </c>
      <c r="AQ996" t="s">
        <v>66</v>
      </c>
      <c r="AR996">
        <v>0</v>
      </c>
      <c r="AS996" t="s">
        <v>66</v>
      </c>
      <c r="AT996">
        <v>0</v>
      </c>
      <c r="AU996" t="s">
        <v>66</v>
      </c>
      <c r="AV996">
        <v>0</v>
      </c>
      <c r="AW996" t="s">
        <v>66</v>
      </c>
      <c r="AX996">
        <v>0</v>
      </c>
      <c r="AY996" t="s">
        <v>66</v>
      </c>
      <c r="AZ996">
        <v>0</v>
      </c>
      <c r="BA996" t="s">
        <v>66</v>
      </c>
      <c r="BB996">
        <v>0</v>
      </c>
      <c r="BC996">
        <v>0</v>
      </c>
      <c r="BD996">
        <v>228131.64</v>
      </c>
      <c r="BE996">
        <v>15641.37</v>
      </c>
      <c r="BF996">
        <v>0</v>
      </c>
      <c r="BG996" t="s">
        <v>87</v>
      </c>
      <c r="BH996" t="s">
        <v>66</v>
      </c>
      <c r="BI996">
        <v>0</v>
      </c>
      <c r="BJ996" t="s">
        <v>66</v>
      </c>
      <c r="BK996" t="s">
        <v>88</v>
      </c>
      <c r="BL996" t="s">
        <v>1334</v>
      </c>
      <c r="BM996" t="s">
        <v>159</v>
      </c>
    </row>
    <row r="997" spans="1:65" x14ac:dyDescent="0.25">
      <c r="A997">
        <v>995</v>
      </c>
      <c r="B997" t="s">
        <v>1328</v>
      </c>
      <c r="C997" t="s">
        <v>68</v>
      </c>
      <c r="D997" s="1">
        <v>46216</v>
      </c>
      <c r="E997" t="s">
        <v>1329</v>
      </c>
      <c r="F997" t="s">
        <v>68</v>
      </c>
      <c r="G997" t="s">
        <v>295</v>
      </c>
      <c r="H997" t="s">
        <v>296</v>
      </c>
      <c r="I997" t="s">
        <v>71</v>
      </c>
      <c r="J997" t="s">
        <v>72</v>
      </c>
      <c r="K997" t="s">
        <v>73</v>
      </c>
      <c r="L997" t="s">
        <v>74</v>
      </c>
      <c r="M997" t="s">
        <v>1330</v>
      </c>
      <c r="N997" t="s">
        <v>76</v>
      </c>
      <c r="O997" t="s">
        <v>1331</v>
      </c>
      <c r="P997" t="s">
        <v>1332</v>
      </c>
      <c r="Q997" t="s">
        <v>1333</v>
      </c>
      <c r="R997" s="1">
        <v>46218</v>
      </c>
      <c r="S997" t="s">
        <v>1218</v>
      </c>
      <c r="T997" t="s">
        <v>1219</v>
      </c>
      <c r="U997" t="s">
        <v>1220</v>
      </c>
      <c r="V997" t="s">
        <v>66</v>
      </c>
      <c r="W997" t="s">
        <v>66</v>
      </c>
      <c r="X997">
        <v>2273535</v>
      </c>
      <c r="Y997">
        <v>250088.85</v>
      </c>
      <c r="Z997">
        <v>171072</v>
      </c>
      <c r="AA997">
        <v>18817.919999999998</v>
      </c>
      <c r="AB997">
        <v>2523623.85</v>
      </c>
      <c r="AC997">
        <v>12</v>
      </c>
      <c r="AD997" t="s">
        <v>82</v>
      </c>
      <c r="AE997">
        <v>12</v>
      </c>
      <c r="AF997" t="s">
        <v>141</v>
      </c>
      <c r="AG997">
        <f>IFERROR(VLOOKUP(AF997,[1]STOK!J:O,6,0),"")</f>
        <v>12</v>
      </c>
      <c r="AH997" s="2">
        <f t="shared" si="30"/>
        <v>1</v>
      </c>
      <c r="AI997" t="s">
        <v>141</v>
      </c>
      <c r="AJ997" t="s">
        <v>142</v>
      </c>
      <c r="AK997" t="s">
        <v>143</v>
      </c>
      <c r="AL997" t="s">
        <v>86</v>
      </c>
      <c r="AM997">
        <v>15984</v>
      </c>
      <c r="AN997">
        <f t="shared" si="31"/>
        <v>15824.160000000002</v>
      </c>
      <c r="AO997" t="s">
        <v>66</v>
      </c>
      <c r="AP997">
        <v>1</v>
      </c>
      <c r="AQ997" t="s">
        <v>66</v>
      </c>
      <c r="AR997">
        <v>0</v>
      </c>
      <c r="AS997" t="s">
        <v>66</v>
      </c>
      <c r="AT997">
        <v>0</v>
      </c>
      <c r="AU997" t="s">
        <v>66</v>
      </c>
      <c r="AV997">
        <v>0</v>
      </c>
      <c r="AW997" t="s">
        <v>66</v>
      </c>
      <c r="AX997">
        <v>0</v>
      </c>
      <c r="AY997" t="s">
        <v>66</v>
      </c>
      <c r="AZ997">
        <v>0</v>
      </c>
      <c r="BA997" t="s">
        <v>66</v>
      </c>
      <c r="BB997">
        <v>0</v>
      </c>
      <c r="BC997">
        <v>0</v>
      </c>
      <c r="BD997">
        <v>189889.92000000001</v>
      </c>
      <c r="BE997">
        <v>13031.69</v>
      </c>
      <c r="BF997">
        <v>0</v>
      </c>
      <c r="BG997" t="s">
        <v>87</v>
      </c>
      <c r="BH997" t="s">
        <v>66</v>
      </c>
      <c r="BI997">
        <v>0</v>
      </c>
      <c r="BJ997" t="s">
        <v>66</v>
      </c>
      <c r="BK997" t="s">
        <v>88</v>
      </c>
      <c r="BL997" t="s">
        <v>1334</v>
      </c>
      <c r="BM997" t="s">
        <v>159</v>
      </c>
    </row>
    <row r="998" spans="1:65" x14ac:dyDescent="0.25">
      <c r="A998">
        <v>996</v>
      </c>
      <c r="B998" t="s">
        <v>1328</v>
      </c>
      <c r="C998" t="s">
        <v>68</v>
      </c>
      <c r="D998" s="1">
        <v>46216</v>
      </c>
      <c r="E998" t="s">
        <v>1329</v>
      </c>
      <c r="F998" t="s">
        <v>68</v>
      </c>
      <c r="G998" t="s">
        <v>295</v>
      </c>
      <c r="H998" t="s">
        <v>296</v>
      </c>
      <c r="I998" t="s">
        <v>71</v>
      </c>
      <c r="J998" t="s">
        <v>72</v>
      </c>
      <c r="K998" t="s">
        <v>73</v>
      </c>
      <c r="L998" t="s">
        <v>74</v>
      </c>
      <c r="M998" t="s">
        <v>1330</v>
      </c>
      <c r="N998" t="s">
        <v>76</v>
      </c>
      <c r="O998" t="s">
        <v>1331</v>
      </c>
      <c r="P998" t="s">
        <v>1332</v>
      </c>
      <c r="Q998" t="s">
        <v>1333</v>
      </c>
      <c r="R998" s="1">
        <v>46218</v>
      </c>
      <c r="S998" t="s">
        <v>1218</v>
      </c>
      <c r="T998" t="s">
        <v>1219</v>
      </c>
      <c r="U998" t="s">
        <v>1220</v>
      </c>
      <c r="V998" t="s">
        <v>66</v>
      </c>
      <c r="W998" t="s">
        <v>66</v>
      </c>
      <c r="X998">
        <v>2273535</v>
      </c>
      <c r="Y998">
        <v>250088.85</v>
      </c>
      <c r="Z998">
        <v>171072</v>
      </c>
      <c r="AA998">
        <v>18817.919999999998</v>
      </c>
      <c r="AB998">
        <v>2523623.85</v>
      </c>
      <c r="AC998">
        <v>12</v>
      </c>
      <c r="AD998" t="s">
        <v>82</v>
      </c>
      <c r="AE998">
        <v>12</v>
      </c>
      <c r="AF998" t="s">
        <v>213</v>
      </c>
      <c r="AG998">
        <f>IFERROR(VLOOKUP(AF998,[1]STOK!J:O,6,0),"")</f>
        <v>12</v>
      </c>
      <c r="AH998" s="2">
        <f t="shared" si="30"/>
        <v>1</v>
      </c>
      <c r="AI998" t="s">
        <v>213</v>
      </c>
      <c r="AJ998" t="s">
        <v>214</v>
      </c>
      <c r="AK998" t="s">
        <v>215</v>
      </c>
      <c r="AL998" t="s">
        <v>86</v>
      </c>
      <c r="AM998">
        <v>15984</v>
      </c>
      <c r="AN998">
        <f t="shared" si="31"/>
        <v>15824.160000000002</v>
      </c>
      <c r="AO998" t="s">
        <v>66</v>
      </c>
      <c r="AP998">
        <v>1</v>
      </c>
      <c r="AQ998" t="s">
        <v>66</v>
      </c>
      <c r="AR998">
        <v>0</v>
      </c>
      <c r="AS998" t="s">
        <v>66</v>
      </c>
      <c r="AT998">
        <v>0</v>
      </c>
      <c r="AU998" t="s">
        <v>66</v>
      </c>
      <c r="AV998">
        <v>0</v>
      </c>
      <c r="AW998" t="s">
        <v>66</v>
      </c>
      <c r="AX998">
        <v>0</v>
      </c>
      <c r="AY998" t="s">
        <v>66</v>
      </c>
      <c r="AZ998">
        <v>0</v>
      </c>
      <c r="BA998" t="s">
        <v>66</v>
      </c>
      <c r="BB998">
        <v>0</v>
      </c>
      <c r="BC998">
        <v>0</v>
      </c>
      <c r="BD998">
        <v>189889.92000000001</v>
      </c>
      <c r="BE998">
        <v>13008.41</v>
      </c>
      <c r="BF998">
        <v>0</v>
      </c>
      <c r="BG998" t="s">
        <v>87</v>
      </c>
      <c r="BH998" t="s">
        <v>66</v>
      </c>
      <c r="BI998">
        <v>0</v>
      </c>
      <c r="BJ998" t="s">
        <v>66</v>
      </c>
      <c r="BK998" t="s">
        <v>88</v>
      </c>
      <c r="BL998" t="s">
        <v>1334</v>
      </c>
      <c r="BM998" t="s">
        <v>159</v>
      </c>
    </row>
    <row r="999" spans="1:65" x14ac:dyDescent="0.25">
      <c r="A999">
        <v>997</v>
      </c>
      <c r="B999" t="s">
        <v>1336</v>
      </c>
      <c r="C999" t="s">
        <v>68</v>
      </c>
      <c r="D999" s="1">
        <v>46216</v>
      </c>
      <c r="E999" t="s">
        <v>1337</v>
      </c>
      <c r="F999" t="s">
        <v>68</v>
      </c>
      <c r="G999" t="s">
        <v>295</v>
      </c>
      <c r="H999" t="s">
        <v>296</v>
      </c>
      <c r="I999" t="s">
        <v>71</v>
      </c>
      <c r="J999" t="s">
        <v>72</v>
      </c>
      <c r="K999" t="s">
        <v>73</v>
      </c>
      <c r="L999" t="s">
        <v>74</v>
      </c>
      <c r="M999" t="s">
        <v>1338</v>
      </c>
      <c r="N999" t="s">
        <v>76</v>
      </c>
      <c r="O999" t="s">
        <v>1339</v>
      </c>
      <c r="P999" t="s">
        <v>1340</v>
      </c>
      <c r="Q999" t="s">
        <v>1341</v>
      </c>
      <c r="R999" s="1">
        <v>46216</v>
      </c>
      <c r="S999" t="s">
        <v>1230</v>
      </c>
      <c r="T999" t="s">
        <v>1231</v>
      </c>
      <c r="U999" t="s">
        <v>1232</v>
      </c>
      <c r="V999" t="s">
        <v>66</v>
      </c>
      <c r="W999" t="s">
        <v>66</v>
      </c>
      <c r="X999">
        <v>3097413</v>
      </c>
      <c r="Y999">
        <v>340715.43</v>
      </c>
      <c r="Z999">
        <v>107217</v>
      </c>
      <c r="AA999">
        <v>11793.87</v>
      </c>
      <c r="AB999">
        <v>3438128.43</v>
      </c>
      <c r="AC999">
        <v>3</v>
      </c>
      <c r="AD999" t="s">
        <v>82</v>
      </c>
      <c r="AE999">
        <v>3</v>
      </c>
      <c r="AF999" t="s">
        <v>1221</v>
      </c>
      <c r="AG999">
        <f>IFERROR(VLOOKUP(AF999,[1]STOK!J:O,6,0),"")</f>
        <v>12</v>
      </c>
      <c r="AH999" s="2">
        <f t="shared" si="30"/>
        <v>0.25</v>
      </c>
      <c r="AI999" t="s">
        <v>1221</v>
      </c>
      <c r="AJ999" t="s">
        <v>1222</v>
      </c>
      <c r="AK999" t="s">
        <v>1223</v>
      </c>
      <c r="AL999" t="s">
        <v>86</v>
      </c>
      <c r="AM999">
        <v>40071</v>
      </c>
      <c r="AN999">
        <f t="shared" si="31"/>
        <v>39670.29</v>
      </c>
      <c r="AO999" t="s">
        <v>66</v>
      </c>
      <c r="AP999">
        <v>1</v>
      </c>
      <c r="AQ999" t="s">
        <v>66</v>
      </c>
      <c r="AR999">
        <v>0</v>
      </c>
      <c r="AS999" t="s">
        <v>66</v>
      </c>
      <c r="AT999">
        <v>0</v>
      </c>
      <c r="AU999" t="s">
        <v>66</v>
      </c>
      <c r="AV999">
        <v>0</v>
      </c>
      <c r="AW999" t="s">
        <v>66</v>
      </c>
      <c r="AX999">
        <v>0</v>
      </c>
      <c r="AY999" t="s">
        <v>66</v>
      </c>
      <c r="AZ999">
        <v>0</v>
      </c>
      <c r="BA999" t="s">
        <v>66</v>
      </c>
      <c r="BB999">
        <v>0</v>
      </c>
      <c r="BC999">
        <v>0</v>
      </c>
      <c r="BD999">
        <v>119010.87</v>
      </c>
      <c r="BE999">
        <v>32671.61</v>
      </c>
      <c r="BF999">
        <v>0</v>
      </c>
      <c r="BG999" t="s">
        <v>87</v>
      </c>
      <c r="BH999" t="s">
        <v>66</v>
      </c>
      <c r="BI999">
        <v>0</v>
      </c>
      <c r="BJ999" t="s">
        <v>66</v>
      </c>
      <c r="BK999" t="s">
        <v>88</v>
      </c>
      <c r="BL999" t="s">
        <v>66</v>
      </c>
      <c r="BM999" t="s">
        <v>159</v>
      </c>
    </row>
    <row r="1000" spans="1:65" x14ac:dyDescent="0.25">
      <c r="A1000">
        <v>998</v>
      </c>
      <c r="B1000" t="s">
        <v>1336</v>
      </c>
      <c r="C1000" t="s">
        <v>68</v>
      </c>
      <c r="D1000" s="1">
        <v>46216</v>
      </c>
      <c r="E1000" t="s">
        <v>1337</v>
      </c>
      <c r="F1000" t="s">
        <v>68</v>
      </c>
      <c r="G1000" t="s">
        <v>295</v>
      </c>
      <c r="H1000" t="s">
        <v>296</v>
      </c>
      <c r="I1000" t="s">
        <v>71</v>
      </c>
      <c r="J1000" t="s">
        <v>72</v>
      </c>
      <c r="K1000" t="s">
        <v>73</v>
      </c>
      <c r="L1000" t="s">
        <v>74</v>
      </c>
      <c r="M1000" t="s">
        <v>1338</v>
      </c>
      <c r="N1000" t="s">
        <v>76</v>
      </c>
      <c r="O1000" t="s">
        <v>1339</v>
      </c>
      <c r="P1000" t="s">
        <v>1340</v>
      </c>
      <c r="Q1000" t="s">
        <v>1341</v>
      </c>
      <c r="R1000" s="1">
        <v>46216</v>
      </c>
      <c r="S1000" t="s">
        <v>1230</v>
      </c>
      <c r="T1000" t="s">
        <v>1231</v>
      </c>
      <c r="U1000" t="s">
        <v>1232</v>
      </c>
      <c r="V1000" t="s">
        <v>66</v>
      </c>
      <c r="W1000" t="s">
        <v>66</v>
      </c>
      <c r="X1000">
        <v>3097413</v>
      </c>
      <c r="Y1000">
        <v>340715.43</v>
      </c>
      <c r="Z1000">
        <v>107217</v>
      </c>
      <c r="AA1000">
        <v>11793.87</v>
      </c>
      <c r="AB1000">
        <v>3438128.43</v>
      </c>
      <c r="AC1000">
        <v>3</v>
      </c>
      <c r="AD1000" t="s">
        <v>82</v>
      </c>
      <c r="AE1000">
        <v>3</v>
      </c>
      <c r="AF1000" t="s">
        <v>432</v>
      </c>
      <c r="AG1000">
        <f>IFERROR(VLOOKUP(AF1000,[1]STOK!J:O,6,0),"")</f>
        <v>12</v>
      </c>
      <c r="AH1000" s="2">
        <f t="shared" si="30"/>
        <v>0.25</v>
      </c>
      <c r="AI1000" t="s">
        <v>432</v>
      </c>
      <c r="AJ1000" t="s">
        <v>433</v>
      </c>
      <c r="AK1000" t="s">
        <v>434</v>
      </c>
      <c r="AL1000" t="s">
        <v>86</v>
      </c>
      <c r="AM1000">
        <v>40071</v>
      </c>
      <c r="AN1000">
        <f t="shared" si="31"/>
        <v>39670.29</v>
      </c>
      <c r="AO1000" t="s">
        <v>66</v>
      </c>
      <c r="AP1000">
        <v>1</v>
      </c>
      <c r="AQ1000" t="s">
        <v>66</v>
      </c>
      <c r="AR1000">
        <v>0</v>
      </c>
      <c r="AS1000" t="s">
        <v>66</v>
      </c>
      <c r="AT1000">
        <v>0</v>
      </c>
      <c r="AU1000" t="s">
        <v>66</v>
      </c>
      <c r="AV1000">
        <v>0</v>
      </c>
      <c r="AW1000" t="s">
        <v>66</v>
      </c>
      <c r="AX1000">
        <v>0</v>
      </c>
      <c r="AY1000" t="s">
        <v>66</v>
      </c>
      <c r="AZ1000">
        <v>0</v>
      </c>
      <c r="BA1000" t="s">
        <v>66</v>
      </c>
      <c r="BB1000">
        <v>0</v>
      </c>
      <c r="BC1000">
        <v>0</v>
      </c>
      <c r="BD1000">
        <v>119010.87</v>
      </c>
      <c r="BE1000">
        <v>32671.759999999998</v>
      </c>
      <c r="BF1000">
        <v>0</v>
      </c>
      <c r="BG1000" t="s">
        <v>87</v>
      </c>
      <c r="BH1000" t="s">
        <v>66</v>
      </c>
      <c r="BI1000">
        <v>0</v>
      </c>
      <c r="BJ1000" t="s">
        <v>66</v>
      </c>
      <c r="BK1000" t="s">
        <v>88</v>
      </c>
      <c r="BL1000" t="s">
        <v>66</v>
      </c>
      <c r="BM1000" t="s">
        <v>159</v>
      </c>
    </row>
    <row r="1001" spans="1:65" x14ac:dyDescent="0.25">
      <c r="A1001">
        <v>999</v>
      </c>
      <c r="B1001" t="s">
        <v>1336</v>
      </c>
      <c r="C1001" t="s">
        <v>68</v>
      </c>
      <c r="D1001" s="1">
        <v>46216</v>
      </c>
      <c r="E1001" t="s">
        <v>1337</v>
      </c>
      <c r="F1001" t="s">
        <v>68</v>
      </c>
      <c r="G1001" t="s">
        <v>295</v>
      </c>
      <c r="H1001" t="s">
        <v>296</v>
      </c>
      <c r="I1001" t="s">
        <v>71</v>
      </c>
      <c r="J1001" t="s">
        <v>72</v>
      </c>
      <c r="K1001" t="s">
        <v>73</v>
      </c>
      <c r="L1001" t="s">
        <v>74</v>
      </c>
      <c r="M1001" t="s">
        <v>1338</v>
      </c>
      <c r="N1001" t="s">
        <v>76</v>
      </c>
      <c r="O1001" t="s">
        <v>1339</v>
      </c>
      <c r="P1001" t="s">
        <v>1340</v>
      </c>
      <c r="Q1001" t="s">
        <v>1341</v>
      </c>
      <c r="R1001" s="1">
        <v>46216</v>
      </c>
      <c r="S1001" t="s">
        <v>1230</v>
      </c>
      <c r="T1001" t="s">
        <v>1231</v>
      </c>
      <c r="U1001" t="s">
        <v>1232</v>
      </c>
      <c r="V1001" t="s">
        <v>66</v>
      </c>
      <c r="W1001" t="s">
        <v>66</v>
      </c>
      <c r="X1001">
        <v>3097413</v>
      </c>
      <c r="Y1001">
        <v>340715.43</v>
      </c>
      <c r="Z1001">
        <v>109296</v>
      </c>
      <c r="AA1001">
        <v>12022.56</v>
      </c>
      <c r="AB1001">
        <v>3438128.43</v>
      </c>
      <c r="AC1001">
        <v>6</v>
      </c>
      <c r="AD1001" t="s">
        <v>82</v>
      </c>
      <c r="AE1001">
        <v>6</v>
      </c>
      <c r="AF1001" t="s">
        <v>720</v>
      </c>
      <c r="AG1001">
        <f>IFERROR(VLOOKUP(AF1001,[1]STOK!J:O,6,0),"")</f>
        <v>12</v>
      </c>
      <c r="AH1001" s="2">
        <f t="shared" si="30"/>
        <v>0.5</v>
      </c>
      <c r="AI1001" t="s">
        <v>720</v>
      </c>
      <c r="AJ1001" t="s">
        <v>721</v>
      </c>
      <c r="AK1001" t="s">
        <v>722</v>
      </c>
      <c r="AL1001" t="s">
        <v>86</v>
      </c>
      <c r="AM1001">
        <v>20424</v>
      </c>
      <c r="AN1001">
        <f t="shared" si="31"/>
        <v>20219.759999999998</v>
      </c>
      <c r="AO1001" t="s">
        <v>66</v>
      </c>
      <c r="AP1001">
        <v>1</v>
      </c>
      <c r="AQ1001" t="s">
        <v>66</v>
      </c>
      <c r="AR1001">
        <v>0</v>
      </c>
      <c r="AS1001" t="s">
        <v>66</v>
      </c>
      <c r="AT1001">
        <v>0</v>
      </c>
      <c r="AU1001" t="s">
        <v>66</v>
      </c>
      <c r="AV1001">
        <v>0</v>
      </c>
      <c r="AW1001" t="s">
        <v>66</v>
      </c>
      <c r="AX1001">
        <v>0</v>
      </c>
      <c r="AY1001" t="s">
        <v>66</v>
      </c>
      <c r="AZ1001">
        <v>0</v>
      </c>
      <c r="BA1001" t="s">
        <v>66</v>
      </c>
      <c r="BB1001">
        <v>0</v>
      </c>
      <c r="BC1001">
        <v>0</v>
      </c>
      <c r="BD1001">
        <v>121318.56</v>
      </c>
      <c r="BE1001">
        <v>16647.18</v>
      </c>
      <c r="BF1001">
        <v>0</v>
      </c>
      <c r="BG1001" t="s">
        <v>87</v>
      </c>
      <c r="BH1001" t="s">
        <v>66</v>
      </c>
      <c r="BI1001">
        <v>0</v>
      </c>
      <c r="BJ1001" t="s">
        <v>66</v>
      </c>
      <c r="BK1001" t="s">
        <v>88</v>
      </c>
      <c r="BL1001" t="s">
        <v>66</v>
      </c>
      <c r="BM1001" t="s">
        <v>159</v>
      </c>
    </row>
    <row r="1002" spans="1:65" x14ac:dyDescent="0.25">
      <c r="A1002">
        <v>1000</v>
      </c>
      <c r="B1002" t="s">
        <v>1336</v>
      </c>
      <c r="C1002" t="s">
        <v>68</v>
      </c>
      <c r="D1002" s="1">
        <v>46216</v>
      </c>
      <c r="E1002" t="s">
        <v>1337</v>
      </c>
      <c r="F1002" t="s">
        <v>68</v>
      </c>
      <c r="G1002" t="s">
        <v>295</v>
      </c>
      <c r="H1002" t="s">
        <v>296</v>
      </c>
      <c r="I1002" t="s">
        <v>71</v>
      </c>
      <c r="J1002" t="s">
        <v>72</v>
      </c>
      <c r="K1002" t="s">
        <v>73</v>
      </c>
      <c r="L1002" t="s">
        <v>74</v>
      </c>
      <c r="M1002" t="s">
        <v>1338</v>
      </c>
      <c r="N1002" t="s">
        <v>76</v>
      </c>
      <c r="O1002" t="s">
        <v>1339</v>
      </c>
      <c r="P1002" t="s">
        <v>1340</v>
      </c>
      <c r="Q1002" t="s">
        <v>1341</v>
      </c>
      <c r="R1002" s="1">
        <v>46216</v>
      </c>
      <c r="S1002" t="s">
        <v>1230</v>
      </c>
      <c r="T1002" t="s">
        <v>1231</v>
      </c>
      <c r="U1002" t="s">
        <v>1232</v>
      </c>
      <c r="V1002" t="s">
        <v>66</v>
      </c>
      <c r="W1002" t="s">
        <v>66</v>
      </c>
      <c r="X1002">
        <v>3097413</v>
      </c>
      <c r="Y1002">
        <v>340715.43</v>
      </c>
      <c r="Z1002">
        <v>109296</v>
      </c>
      <c r="AA1002">
        <v>12022.56</v>
      </c>
      <c r="AB1002">
        <v>3438128.43</v>
      </c>
      <c r="AC1002">
        <v>6</v>
      </c>
      <c r="AD1002" t="s">
        <v>82</v>
      </c>
      <c r="AE1002">
        <v>6</v>
      </c>
      <c r="AF1002" t="s">
        <v>116</v>
      </c>
      <c r="AG1002">
        <f>IFERROR(VLOOKUP(AF1002,[1]STOK!J:O,6,0),"")</f>
        <v>12</v>
      </c>
      <c r="AH1002" s="2">
        <f t="shared" si="30"/>
        <v>0.5</v>
      </c>
      <c r="AI1002" t="s">
        <v>116</v>
      </c>
      <c r="AJ1002" t="s">
        <v>117</v>
      </c>
      <c r="AK1002" t="s">
        <v>118</v>
      </c>
      <c r="AL1002" t="s">
        <v>86</v>
      </c>
      <c r="AM1002">
        <v>20424</v>
      </c>
      <c r="AN1002">
        <f t="shared" si="31"/>
        <v>20219.759999999998</v>
      </c>
      <c r="AO1002" t="s">
        <v>66</v>
      </c>
      <c r="AP1002">
        <v>1</v>
      </c>
      <c r="AQ1002" t="s">
        <v>66</v>
      </c>
      <c r="AR1002">
        <v>0</v>
      </c>
      <c r="AS1002" t="s">
        <v>66</v>
      </c>
      <c r="AT1002">
        <v>0</v>
      </c>
      <c r="AU1002" t="s">
        <v>66</v>
      </c>
      <c r="AV1002">
        <v>0</v>
      </c>
      <c r="AW1002" t="s">
        <v>66</v>
      </c>
      <c r="AX1002">
        <v>0</v>
      </c>
      <c r="AY1002" t="s">
        <v>66</v>
      </c>
      <c r="AZ1002">
        <v>0</v>
      </c>
      <c r="BA1002" t="s">
        <v>66</v>
      </c>
      <c r="BB1002">
        <v>0</v>
      </c>
      <c r="BC1002">
        <v>0</v>
      </c>
      <c r="BD1002">
        <v>121318.56</v>
      </c>
      <c r="BE1002">
        <v>16645.46</v>
      </c>
      <c r="BF1002">
        <v>0</v>
      </c>
      <c r="BG1002" t="s">
        <v>87</v>
      </c>
      <c r="BH1002" t="s">
        <v>66</v>
      </c>
      <c r="BI1002">
        <v>0</v>
      </c>
      <c r="BJ1002" t="s">
        <v>66</v>
      </c>
      <c r="BK1002" t="s">
        <v>88</v>
      </c>
      <c r="BL1002" t="s">
        <v>66</v>
      </c>
      <c r="BM1002" t="s">
        <v>159</v>
      </c>
    </row>
    <row r="1003" spans="1:65" x14ac:dyDescent="0.25">
      <c r="A1003">
        <v>1001</v>
      </c>
      <c r="B1003" t="s">
        <v>1336</v>
      </c>
      <c r="C1003" t="s">
        <v>68</v>
      </c>
      <c r="D1003" s="1">
        <v>46216</v>
      </c>
      <c r="E1003" t="s">
        <v>1337</v>
      </c>
      <c r="F1003" t="s">
        <v>68</v>
      </c>
      <c r="G1003" t="s">
        <v>295</v>
      </c>
      <c r="H1003" t="s">
        <v>296</v>
      </c>
      <c r="I1003" t="s">
        <v>71</v>
      </c>
      <c r="J1003" t="s">
        <v>72</v>
      </c>
      <c r="K1003" t="s">
        <v>73</v>
      </c>
      <c r="L1003" t="s">
        <v>74</v>
      </c>
      <c r="M1003" t="s">
        <v>1338</v>
      </c>
      <c r="N1003" t="s">
        <v>76</v>
      </c>
      <c r="O1003" t="s">
        <v>1339</v>
      </c>
      <c r="P1003" t="s">
        <v>1340</v>
      </c>
      <c r="Q1003" t="s">
        <v>1341</v>
      </c>
      <c r="R1003" s="1">
        <v>46216</v>
      </c>
      <c r="S1003" t="s">
        <v>1230</v>
      </c>
      <c r="T1003" t="s">
        <v>1231</v>
      </c>
      <c r="U1003" t="s">
        <v>1232</v>
      </c>
      <c r="V1003" t="s">
        <v>66</v>
      </c>
      <c r="W1003" t="s">
        <v>66</v>
      </c>
      <c r="X1003">
        <v>3097413</v>
      </c>
      <c r="Y1003">
        <v>340715.43</v>
      </c>
      <c r="Z1003">
        <v>29997</v>
      </c>
      <c r="AA1003">
        <v>3299.67</v>
      </c>
      <c r="AB1003">
        <v>3438128.43</v>
      </c>
      <c r="AC1003">
        <v>3</v>
      </c>
      <c r="AD1003" t="s">
        <v>82</v>
      </c>
      <c r="AE1003">
        <v>3</v>
      </c>
      <c r="AF1003" t="s">
        <v>723</v>
      </c>
      <c r="AG1003">
        <f>IFERROR(VLOOKUP(AF1003,[1]STOK!J:O,6,0),"")</f>
        <v>24</v>
      </c>
      <c r="AH1003" s="2">
        <f t="shared" si="30"/>
        <v>0.125</v>
      </c>
      <c r="AI1003" t="s">
        <v>723</v>
      </c>
      <c r="AJ1003" t="s">
        <v>724</v>
      </c>
      <c r="AK1003" t="s">
        <v>725</v>
      </c>
      <c r="AL1003" t="s">
        <v>86</v>
      </c>
      <c r="AM1003">
        <v>11211</v>
      </c>
      <c r="AN1003">
        <f t="shared" si="31"/>
        <v>11098.89</v>
      </c>
      <c r="AO1003" t="s">
        <v>66</v>
      </c>
      <c r="AP1003">
        <v>1</v>
      </c>
      <c r="AQ1003" t="s">
        <v>66</v>
      </c>
      <c r="AR1003">
        <v>0</v>
      </c>
      <c r="AS1003" t="s">
        <v>66</v>
      </c>
      <c r="AT1003">
        <v>0</v>
      </c>
      <c r="AU1003" t="s">
        <v>66</v>
      </c>
      <c r="AV1003">
        <v>0</v>
      </c>
      <c r="AW1003" t="s">
        <v>66</v>
      </c>
      <c r="AX1003">
        <v>0</v>
      </c>
      <c r="AY1003" t="s">
        <v>66</v>
      </c>
      <c r="AZ1003">
        <v>0</v>
      </c>
      <c r="BA1003" t="s">
        <v>66</v>
      </c>
      <c r="BB1003">
        <v>0</v>
      </c>
      <c r="BC1003">
        <v>0</v>
      </c>
      <c r="BD1003">
        <v>33296.67</v>
      </c>
      <c r="BE1003">
        <v>9091.2900000000009</v>
      </c>
      <c r="BF1003">
        <v>0</v>
      </c>
      <c r="BG1003" t="s">
        <v>87</v>
      </c>
      <c r="BH1003" t="s">
        <v>66</v>
      </c>
      <c r="BI1003">
        <v>0</v>
      </c>
      <c r="BJ1003" t="s">
        <v>66</v>
      </c>
      <c r="BK1003" t="s">
        <v>88</v>
      </c>
      <c r="BL1003" t="s">
        <v>66</v>
      </c>
      <c r="BM1003" t="s">
        <v>159</v>
      </c>
    </row>
    <row r="1004" spans="1:65" x14ac:dyDescent="0.25">
      <c r="A1004">
        <v>1002</v>
      </c>
      <c r="B1004" t="s">
        <v>1336</v>
      </c>
      <c r="C1004" t="s">
        <v>68</v>
      </c>
      <c r="D1004" s="1">
        <v>46216</v>
      </c>
      <c r="E1004" t="s">
        <v>1337</v>
      </c>
      <c r="F1004" t="s">
        <v>68</v>
      </c>
      <c r="G1004" t="s">
        <v>295</v>
      </c>
      <c r="H1004" t="s">
        <v>296</v>
      </c>
      <c r="I1004" t="s">
        <v>71</v>
      </c>
      <c r="J1004" t="s">
        <v>72</v>
      </c>
      <c r="K1004" t="s">
        <v>73</v>
      </c>
      <c r="L1004" t="s">
        <v>74</v>
      </c>
      <c r="M1004" t="s">
        <v>1338</v>
      </c>
      <c r="N1004" t="s">
        <v>76</v>
      </c>
      <c r="O1004" t="s">
        <v>1339</v>
      </c>
      <c r="P1004" t="s">
        <v>1340</v>
      </c>
      <c r="Q1004" t="s">
        <v>1341</v>
      </c>
      <c r="R1004" s="1">
        <v>46216</v>
      </c>
      <c r="S1004" t="s">
        <v>1230</v>
      </c>
      <c r="T1004" t="s">
        <v>1231</v>
      </c>
      <c r="U1004" t="s">
        <v>1232</v>
      </c>
      <c r="V1004" t="s">
        <v>66</v>
      </c>
      <c r="W1004" t="s">
        <v>66</v>
      </c>
      <c r="X1004">
        <v>3097413</v>
      </c>
      <c r="Y1004">
        <v>340715.43</v>
      </c>
      <c r="Z1004">
        <v>29997</v>
      </c>
      <c r="AA1004">
        <v>3299.67</v>
      </c>
      <c r="AB1004">
        <v>3438128.43</v>
      </c>
      <c r="AC1004">
        <v>3</v>
      </c>
      <c r="AD1004" t="s">
        <v>82</v>
      </c>
      <c r="AE1004">
        <v>3</v>
      </c>
      <c r="AF1004" t="s">
        <v>746</v>
      </c>
      <c r="AG1004">
        <f>IFERROR(VLOOKUP(AF1004,[1]STOK!J:O,6,0),"")</f>
        <v>24</v>
      </c>
      <c r="AH1004" s="2">
        <f t="shared" si="30"/>
        <v>0.125</v>
      </c>
      <c r="AI1004" t="s">
        <v>746</v>
      </c>
      <c r="AJ1004" t="s">
        <v>747</v>
      </c>
      <c r="AK1004" t="s">
        <v>748</v>
      </c>
      <c r="AL1004" t="s">
        <v>86</v>
      </c>
      <c r="AM1004">
        <v>11211</v>
      </c>
      <c r="AN1004">
        <f t="shared" si="31"/>
        <v>11098.89</v>
      </c>
      <c r="AO1004" t="s">
        <v>66</v>
      </c>
      <c r="AP1004">
        <v>1</v>
      </c>
      <c r="AQ1004" t="s">
        <v>66</v>
      </c>
      <c r="AR1004">
        <v>0</v>
      </c>
      <c r="AS1004" t="s">
        <v>66</v>
      </c>
      <c r="AT1004">
        <v>0</v>
      </c>
      <c r="AU1004" t="s">
        <v>66</v>
      </c>
      <c r="AV1004">
        <v>0</v>
      </c>
      <c r="AW1004" t="s">
        <v>66</v>
      </c>
      <c r="AX1004">
        <v>0</v>
      </c>
      <c r="AY1004" t="s">
        <v>66</v>
      </c>
      <c r="AZ1004">
        <v>0</v>
      </c>
      <c r="BA1004" t="s">
        <v>66</v>
      </c>
      <c r="BB1004">
        <v>0</v>
      </c>
      <c r="BC1004">
        <v>0</v>
      </c>
      <c r="BD1004">
        <v>33296.67</v>
      </c>
      <c r="BE1004">
        <v>9068.06</v>
      </c>
      <c r="BF1004">
        <v>0</v>
      </c>
      <c r="BG1004" t="s">
        <v>87</v>
      </c>
      <c r="BH1004" t="s">
        <v>66</v>
      </c>
      <c r="BI1004">
        <v>0</v>
      </c>
      <c r="BJ1004" t="s">
        <v>66</v>
      </c>
      <c r="BK1004" t="s">
        <v>88</v>
      </c>
      <c r="BL1004" t="s">
        <v>66</v>
      </c>
      <c r="BM1004" t="s">
        <v>159</v>
      </c>
    </row>
    <row r="1005" spans="1:65" x14ac:dyDescent="0.25">
      <c r="A1005">
        <v>1003</v>
      </c>
      <c r="B1005" t="s">
        <v>1336</v>
      </c>
      <c r="C1005" t="s">
        <v>68</v>
      </c>
      <c r="D1005" s="1">
        <v>46216</v>
      </c>
      <c r="E1005" t="s">
        <v>1337</v>
      </c>
      <c r="F1005" t="s">
        <v>68</v>
      </c>
      <c r="G1005" t="s">
        <v>295</v>
      </c>
      <c r="H1005" t="s">
        <v>296</v>
      </c>
      <c r="I1005" t="s">
        <v>71</v>
      </c>
      <c r="J1005" t="s">
        <v>72</v>
      </c>
      <c r="K1005" t="s">
        <v>73</v>
      </c>
      <c r="L1005" t="s">
        <v>74</v>
      </c>
      <c r="M1005" t="s">
        <v>1338</v>
      </c>
      <c r="N1005" t="s">
        <v>76</v>
      </c>
      <c r="O1005" t="s">
        <v>1339</v>
      </c>
      <c r="P1005" t="s">
        <v>1340</v>
      </c>
      <c r="Q1005" t="s">
        <v>1341</v>
      </c>
      <c r="R1005" s="1">
        <v>46216</v>
      </c>
      <c r="S1005" t="s">
        <v>1230</v>
      </c>
      <c r="T1005" t="s">
        <v>1231</v>
      </c>
      <c r="U1005" t="s">
        <v>1232</v>
      </c>
      <c r="V1005" t="s">
        <v>66</v>
      </c>
      <c r="W1005" t="s">
        <v>66</v>
      </c>
      <c r="X1005">
        <v>3097413</v>
      </c>
      <c r="Y1005">
        <v>340715.43</v>
      </c>
      <c r="Z1005">
        <v>23463</v>
      </c>
      <c r="AA1005">
        <v>2580.9299999999998</v>
      </c>
      <c r="AB1005">
        <v>3438128.43</v>
      </c>
      <c r="AC1005">
        <v>3</v>
      </c>
      <c r="AD1005" t="s">
        <v>82</v>
      </c>
      <c r="AE1005">
        <v>3</v>
      </c>
      <c r="AF1005" t="s">
        <v>248</v>
      </c>
      <c r="AG1005">
        <f>IFERROR(VLOOKUP(AF1005,[1]STOK!J:O,6,0),"")</f>
        <v>24</v>
      </c>
      <c r="AH1005" s="2">
        <f t="shared" si="30"/>
        <v>0.125</v>
      </c>
      <c r="AI1005" t="s">
        <v>248</v>
      </c>
      <c r="AJ1005" t="s">
        <v>249</v>
      </c>
      <c r="AK1005" t="s">
        <v>250</v>
      </c>
      <c r="AL1005" t="s">
        <v>86</v>
      </c>
      <c r="AM1005">
        <v>8769</v>
      </c>
      <c r="AN1005">
        <f t="shared" si="31"/>
        <v>8681.31</v>
      </c>
      <c r="AO1005" t="s">
        <v>66</v>
      </c>
      <c r="AP1005">
        <v>1</v>
      </c>
      <c r="AQ1005" t="s">
        <v>66</v>
      </c>
      <c r="AR1005">
        <v>0</v>
      </c>
      <c r="AS1005" t="s">
        <v>66</v>
      </c>
      <c r="AT1005">
        <v>0</v>
      </c>
      <c r="AU1005" t="s">
        <v>66</v>
      </c>
      <c r="AV1005">
        <v>0</v>
      </c>
      <c r="AW1005" t="s">
        <v>66</v>
      </c>
      <c r="AX1005">
        <v>0</v>
      </c>
      <c r="AY1005" t="s">
        <v>66</v>
      </c>
      <c r="AZ1005">
        <v>0</v>
      </c>
      <c r="BA1005" t="s">
        <v>66</v>
      </c>
      <c r="BB1005">
        <v>0</v>
      </c>
      <c r="BC1005">
        <v>0</v>
      </c>
      <c r="BD1005">
        <v>26043.93</v>
      </c>
      <c r="BE1005">
        <v>7146.6</v>
      </c>
      <c r="BF1005">
        <v>0</v>
      </c>
      <c r="BG1005" t="s">
        <v>87</v>
      </c>
      <c r="BH1005" t="s">
        <v>66</v>
      </c>
      <c r="BI1005">
        <v>0</v>
      </c>
      <c r="BJ1005" t="s">
        <v>66</v>
      </c>
      <c r="BK1005" t="s">
        <v>88</v>
      </c>
      <c r="BL1005" t="s">
        <v>66</v>
      </c>
      <c r="BM1005" t="s">
        <v>159</v>
      </c>
    </row>
    <row r="1006" spans="1:65" x14ac:dyDescent="0.25">
      <c r="A1006">
        <v>1004</v>
      </c>
      <c r="B1006" t="s">
        <v>1336</v>
      </c>
      <c r="C1006" t="s">
        <v>68</v>
      </c>
      <c r="D1006" s="1">
        <v>46216</v>
      </c>
      <c r="E1006" t="s">
        <v>1337</v>
      </c>
      <c r="F1006" t="s">
        <v>68</v>
      </c>
      <c r="G1006" t="s">
        <v>295</v>
      </c>
      <c r="H1006" t="s">
        <v>296</v>
      </c>
      <c r="I1006" t="s">
        <v>71</v>
      </c>
      <c r="J1006" t="s">
        <v>72</v>
      </c>
      <c r="K1006" t="s">
        <v>73</v>
      </c>
      <c r="L1006" t="s">
        <v>74</v>
      </c>
      <c r="M1006" t="s">
        <v>1338</v>
      </c>
      <c r="N1006" t="s">
        <v>76</v>
      </c>
      <c r="O1006" t="s">
        <v>1339</v>
      </c>
      <c r="P1006" t="s">
        <v>1340</v>
      </c>
      <c r="Q1006" t="s">
        <v>1341</v>
      </c>
      <c r="R1006" s="1">
        <v>46216</v>
      </c>
      <c r="S1006" t="s">
        <v>1230</v>
      </c>
      <c r="T1006" t="s">
        <v>1231</v>
      </c>
      <c r="U1006" t="s">
        <v>1232</v>
      </c>
      <c r="V1006" t="s">
        <v>66</v>
      </c>
      <c r="W1006" t="s">
        <v>66</v>
      </c>
      <c r="X1006">
        <v>3097413</v>
      </c>
      <c r="Y1006">
        <v>340715.43</v>
      </c>
      <c r="Z1006">
        <v>46926</v>
      </c>
      <c r="AA1006">
        <v>5161.8599999999997</v>
      </c>
      <c r="AB1006">
        <v>3438128.43</v>
      </c>
      <c r="AC1006">
        <v>6</v>
      </c>
      <c r="AD1006" t="s">
        <v>82</v>
      </c>
      <c r="AE1006">
        <v>6</v>
      </c>
      <c r="AF1006" t="s">
        <v>199</v>
      </c>
      <c r="AG1006">
        <f>IFERROR(VLOOKUP(AF1006,[1]STOK!J:O,6,0),"")</f>
        <v>24</v>
      </c>
      <c r="AH1006" s="2">
        <f t="shared" si="30"/>
        <v>0.25</v>
      </c>
      <c r="AI1006" t="s">
        <v>199</v>
      </c>
      <c r="AJ1006" t="s">
        <v>200</v>
      </c>
      <c r="AK1006" t="s">
        <v>201</v>
      </c>
      <c r="AL1006" t="s">
        <v>86</v>
      </c>
      <c r="AM1006">
        <v>8769</v>
      </c>
      <c r="AN1006">
        <f t="shared" si="31"/>
        <v>8681.31</v>
      </c>
      <c r="AO1006" t="s">
        <v>66</v>
      </c>
      <c r="AP1006">
        <v>1</v>
      </c>
      <c r="AQ1006" t="s">
        <v>66</v>
      </c>
      <c r="AR1006">
        <v>0</v>
      </c>
      <c r="AS1006" t="s">
        <v>66</v>
      </c>
      <c r="AT1006">
        <v>0</v>
      </c>
      <c r="AU1006" t="s">
        <v>66</v>
      </c>
      <c r="AV1006">
        <v>0</v>
      </c>
      <c r="AW1006" t="s">
        <v>66</v>
      </c>
      <c r="AX1006">
        <v>0</v>
      </c>
      <c r="AY1006" t="s">
        <v>66</v>
      </c>
      <c r="AZ1006">
        <v>0</v>
      </c>
      <c r="BA1006" t="s">
        <v>66</v>
      </c>
      <c r="BB1006">
        <v>0</v>
      </c>
      <c r="BC1006">
        <v>0</v>
      </c>
      <c r="BD1006">
        <v>52087.86</v>
      </c>
      <c r="BE1006">
        <v>7146.59</v>
      </c>
      <c r="BF1006">
        <v>0</v>
      </c>
      <c r="BG1006" t="s">
        <v>87</v>
      </c>
      <c r="BH1006" t="s">
        <v>66</v>
      </c>
      <c r="BI1006">
        <v>0</v>
      </c>
      <c r="BJ1006" t="s">
        <v>66</v>
      </c>
      <c r="BK1006" t="s">
        <v>88</v>
      </c>
      <c r="BL1006" t="s">
        <v>66</v>
      </c>
      <c r="BM1006" t="s">
        <v>159</v>
      </c>
    </row>
    <row r="1007" spans="1:65" x14ac:dyDescent="0.25">
      <c r="A1007">
        <v>1005</v>
      </c>
      <c r="B1007" t="s">
        <v>1336</v>
      </c>
      <c r="C1007" t="s">
        <v>68</v>
      </c>
      <c r="D1007" s="1">
        <v>46216</v>
      </c>
      <c r="E1007" t="s">
        <v>1337</v>
      </c>
      <c r="F1007" t="s">
        <v>68</v>
      </c>
      <c r="G1007" t="s">
        <v>295</v>
      </c>
      <c r="H1007" t="s">
        <v>296</v>
      </c>
      <c r="I1007" t="s">
        <v>71</v>
      </c>
      <c r="J1007" t="s">
        <v>72</v>
      </c>
      <c r="K1007" t="s">
        <v>73</v>
      </c>
      <c r="L1007" t="s">
        <v>74</v>
      </c>
      <c r="M1007" t="s">
        <v>1338</v>
      </c>
      <c r="N1007" t="s">
        <v>76</v>
      </c>
      <c r="O1007" t="s">
        <v>1339</v>
      </c>
      <c r="P1007" t="s">
        <v>1340</v>
      </c>
      <c r="Q1007" t="s">
        <v>1341</v>
      </c>
      <c r="R1007" s="1">
        <v>46216</v>
      </c>
      <c r="S1007" t="s">
        <v>1230</v>
      </c>
      <c r="T1007" t="s">
        <v>1231</v>
      </c>
      <c r="U1007" t="s">
        <v>1232</v>
      </c>
      <c r="V1007" t="s">
        <v>66</v>
      </c>
      <c r="W1007" t="s">
        <v>66</v>
      </c>
      <c r="X1007">
        <v>3097413</v>
      </c>
      <c r="Y1007">
        <v>340715.43</v>
      </c>
      <c r="Z1007">
        <v>30294</v>
      </c>
      <c r="AA1007">
        <v>3332.34</v>
      </c>
      <c r="AB1007">
        <v>3438128.43</v>
      </c>
      <c r="AC1007">
        <v>3</v>
      </c>
      <c r="AD1007" t="s">
        <v>82</v>
      </c>
      <c r="AE1007">
        <v>3</v>
      </c>
      <c r="AF1007" t="s">
        <v>860</v>
      </c>
      <c r="AG1007">
        <f>IFERROR(VLOOKUP(AF1007,[1]STOK!J:O,6,0),"")</f>
        <v>24</v>
      </c>
      <c r="AH1007" s="2">
        <f t="shared" si="30"/>
        <v>0.125</v>
      </c>
      <c r="AI1007" t="s">
        <v>860</v>
      </c>
      <c r="AJ1007" t="s">
        <v>861</v>
      </c>
      <c r="AK1007" t="s">
        <v>862</v>
      </c>
      <c r="AL1007" t="s">
        <v>86</v>
      </c>
      <c r="AM1007">
        <v>11322</v>
      </c>
      <c r="AN1007">
        <f t="shared" si="31"/>
        <v>11208.779999999999</v>
      </c>
      <c r="AO1007" t="s">
        <v>66</v>
      </c>
      <c r="AP1007">
        <v>1</v>
      </c>
      <c r="AQ1007" t="s">
        <v>66</v>
      </c>
      <c r="AR1007">
        <v>0</v>
      </c>
      <c r="AS1007" t="s">
        <v>66</v>
      </c>
      <c r="AT1007">
        <v>0</v>
      </c>
      <c r="AU1007" t="s">
        <v>66</v>
      </c>
      <c r="AV1007">
        <v>0</v>
      </c>
      <c r="AW1007" t="s">
        <v>66</v>
      </c>
      <c r="AX1007">
        <v>0</v>
      </c>
      <c r="AY1007" t="s">
        <v>66</v>
      </c>
      <c r="AZ1007">
        <v>0</v>
      </c>
      <c r="BA1007" t="s">
        <v>66</v>
      </c>
      <c r="BB1007">
        <v>0</v>
      </c>
      <c r="BC1007">
        <v>0</v>
      </c>
      <c r="BD1007">
        <v>33626.339999999997</v>
      </c>
      <c r="BE1007">
        <v>9175.68</v>
      </c>
      <c r="BF1007">
        <v>0</v>
      </c>
      <c r="BG1007" t="s">
        <v>87</v>
      </c>
      <c r="BH1007" t="s">
        <v>66</v>
      </c>
      <c r="BI1007">
        <v>0</v>
      </c>
      <c r="BJ1007" t="s">
        <v>66</v>
      </c>
      <c r="BK1007" t="s">
        <v>88</v>
      </c>
      <c r="BL1007" t="s">
        <v>66</v>
      </c>
      <c r="BM1007" t="s">
        <v>159</v>
      </c>
    </row>
    <row r="1008" spans="1:65" x14ac:dyDescent="0.25">
      <c r="A1008">
        <v>1006</v>
      </c>
      <c r="B1008" t="s">
        <v>1336</v>
      </c>
      <c r="C1008" t="s">
        <v>68</v>
      </c>
      <c r="D1008" s="1">
        <v>46216</v>
      </c>
      <c r="E1008" t="s">
        <v>1337</v>
      </c>
      <c r="F1008" t="s">
        <v>68</v>
      </c>
      <c r="G1008" t="s">
        <v>295</v>
      </c>
      <c r="H1008" t="s">
        <v>296</v>
      </c>
      <c r="I1008" t="s">
        <v>71</v>
      </c>
      <c r="J1008" t="s">
        <v>72</v>
      </c>
      <c r="K1008" t="s">
        <v>73</v>
      </c>
      <c r="L1008" t="s">
        <v>74</v>
      </c>
      <c r="M1008" t="s">
        <v>1338</v>
      </c>
      <c r="N1008" t="s">
        <v>76</v>
      </c>
      <c r="O1008" t="s">
        <v>1339</v>
      </c>
      <c r="P1008" t="s">
        <v>1340</v>
      </c>
      <c r="Q1008" t="s">
        <v>1341</v>
      </c>
      <c r="R1008" s="1">
        <v>46216</v>
      </c>
      <c r="S1008" t="s">
        <v>1230</v>
      </c>
      <c r="T1008" t="s">
        <v>1231</v>
      </c>
      <c r="U1008" t="s">
        <v>1232</v>
      </c>
      <c r="V1008" t="s">
        <v>66</v>
      </c>
      <c r="W1008" t="s">
        <v>66</v>
      </c>
      <c r="X1008">
        <v>3097413</v>
      </c>
      <c r="Y1008">
        <v>340715.43</v>
      </c>
      <c r="Z1008">
        <v>16929</v>
      </c>
      <c r="AA1008">
        <v>1862.19</v>
      </c>
      <c r="AB1008">
        <v>3438128.43</v>
      </c>
      <c r="AC1008">
        <v>3</v>
      </c>
      <c r="AD1008" t="s">
        <v>82</v>
      </c>
      <c r="AE1008">
        <v>3</v>
      </c>
      <c r="AF1008" t="s">
        <v>202</v>
      </c>
      <c r="AG1008">
        <f>IFERROR(VLOOKUP(AF1008,[1]STOK!J:O,6,0),"")</f>
        <v>48</v>
      </c>
      <c r="AH1008" s="2">
        <f t="shared" si="30"/>
        <v>6.25E-2</v>
      </c>
      <c r="AI1008" t="s">
        <v>202</v>
      </c>
      <c r="AJ1008" t="s">
        <v>203</v>
      </c>
      <c r="AK1008" t="s">
        <v>204</v>
      </c>
      <c r="AL1008" t="s">
        <v>86</v>
      </c>
      <c r="AM1008">
        <v>6327</v>
      </c>
      <c r="AN1008">
        <f t="shared" si="31"/>
        <v>6263.73</v>
      </c>
      <c r="AO1008" t="s">
        <v>66</v>
      </c>
      <c r="AP1008">
        <v>1</v>
      </c>
      <c r="AQ1008" t="s">
        <v>66</v>
      </c>
      <c r="AR1008">
        <v>0</v>
      </c>
      <c r="AS1008" t="s">
        <v>66</v>
      </c>
      <c r="AT1008">
        <v>0</v>
      </c>
      <c r="AU1008" t="s">
        <v>66</v>
      </c>
      <c r="AV1008">
        <v>0</v>
      </c>
      <c r="AW1008" t="s">
        <v>66</v>
      </c>
      <c r="AX1008">
        <v>0</v>
      </c>
      <c r="AY1008" t="s">
        <v>66</v>
      </c>
      <c r="AZ1008">
        <v>0</v>
      </c>
      <c r="BA1008" t="s">
        <v>66</v>
      </c>
      <c r="BB1008">
        <v>0</v>
      </c>
      <c r="BC1008">
        <v>0</v>
      </c>
      <c r="BD1008">
        <v>18791.189999999999</v>
      </c>
      <c r="BE1008">
        <v>5141.57</v>
      </c>
      <c r="BF1008">
        <v>0</v>
      </c>
      <c r="BG1008" t="s">
        <v>87</v>
      </c>
      <c r="BH1008" t="s">
        <v>66</v>
      </c>
      <c r="BI1008">
        <v>0</v>
      </c>
      <c r="BJ1008" t="s">
        <v>66</v>
      </c>
      <c r="BK1008" t="s">
        <v>88</v>
      </c>
      <c r="BL1008" t="s">
        <v>66</v>
      </c>
      <c r="BM1008" t="s">
        <v>159</v>
      </c>
    </row>
    <row r="1009" spans="1:65" x14ac:dyDescent="0.25">
      <c r="A1009">
        <v>1007</v>
      </c>
      <c r="B1009" t="s">
        <v>1336</v>
      </c>
      <c r="C1009" t="s">
        <v>68</v>
      </c>
      <c r="D1009" s="1">
        <v>46216</v>
      </c>
      <c r="E1009" t="s">
        <v>1337</v>
      </c>
      <c r="F1009" t="s">
        <v>68</v>
      </c>
      <c r="G1009" t="s">
        <v>295</v>
      </c>
      <c r="H1009" t="s">
        <v>296</v>
      </c>
      <c r="I1009" t="s">
        <v>71</v>
      </c>
      <c r="J1009" t="s">
        <v>72</v>
      </c>
      <c r="K1009" t="s">
        <v>73</v>
      </c>
      <c r="L1009" t="s">
        <v>74</v>
      </c>
      <c r="M1009" t="s">
        <v>1338</v>
      </c>
      <c r="N1009" t="s">
        <v>76</v>
      </c>
      <c r="O1009" t="s">
        <v>1339</v>
      </c>
      <c r="P1009" t="s">
        <v>1340</v>
      </c>
      <c r="Q1009" t="s">
        <v>1341</v>
      </c>
      <c r="R1009" s="1">
        <v>46216</v>
      </c>
      <c r="S1009" t="s">
        <v>1230</v>
      </c>
      <c r="T1009" t="s">
        <v>1231</v>
      </c>
      <c r="U1009" t="s">
        <v>1232</v>
      </c>
      <c r="V1009" t="s">
        <v>66</v>
      </c>
      <c r="W1009" t="s">
        <v>66</v>
      </c>
      <c r="X1009">
        <v>3097413</v>
      </c>
      <c r="Y1009">
        <v>340715.43</v>
      </c>
      <c r="Z1009">
        <v>196020</v>
      </c>
      <c r="AA1009">
        <v>21562.2</v>
      </c>
      <c r="AB1009">
        <v>3438128.43</v>
      </c>
      <c r="AC1009">
        <v>12</v>
      </c>
      <c r="AD1009" t="s">
        <v>82</v>
      </c>
      <c r="AE1009">
        <v>12</v>
      </c>
      <c r="AF1009" t="s">
        <v>128</v>
      </c>
      <c r="AG1009">
        <f>IFERROR(VLOOKUP(AF1009,[1]STOK!J:O,6,0),"")</f>
        <v>24</v>
      </c>
      <c r="AH1009" s="2">
        <f t="shared" si="30"/>
        <v>0.5</v>
      </c>
      <c r="AI1009" t="s">
        <v>128</v>
      </c>
      <c r="AJ1009" t="s">
        <v>129</v>
      </c>
      <c r="AK1009" t="s">
        <v>130</v>
      </c>
      <c r="AL1009" t="s">
        <v>86</v>
      </c>
      <c r="AM1009">
        <v>18315</v>
      </c>
      <c r="AN1009">
        <f t="shared" si="31"/>
        <v>18131.850000000002</v>
      </c>
      <c r="AO1009" t="s">
        <v>66</v>
      </c>
      <c r="AP1009">
        <v>1</v>
      </c>
      <c r="AQ1009" t="s">
        <v>66</v>
      </c>
      <c r="AR1009">
        <v>0</v>
      </c>
      <c r="AS1009" t="s">
        <v>66</v>
      </c>
      <c r="AT1009">
        <v>0</v>
      </c>
      <c r="AU1009" t="s">
        <v>66</v>
      </c>
      <c r="AV1009">
        <v>0</v>
      </c>
      <c r="AW1009" t="s">
        <v>66</v>
      </c>
      <c r="AX1009">
        <v>0</v>
      </c>
      <c r="AY1009" t="s">
        <v>66</v>
      </c>
      <c r="AZ1009">
        <v>0</v>
      </c>
      <c r="BA1009" t="s">
        <v>66</v>
      </c>
      <c r="BB1009">
        <v>0</v>
      </c>
      <c r="BC1009">
        <v>0</v>
      </c>
      <c r="BD1009">
        <v>217582.2</v>
      </c>
      <c r="BE1009">
        <v>14920.07</v>
      </c>
      <c r="BF1009">
        <v>0</v>
      </c>
      <c r="BG1009" t="s">
        <v>87</v>
      </c>
      <c r="BH1009" t="s">
        <v>66</v>
      </c>
      <c r="BI1009">
        <v>0</v>
      </c>
      <c r="BJ1009" t="s">
        <v>66</v>
      </c>
      <c r="BK1009" t="s">
        <v>88</v>
      </c>
      <c r="BL1009" t="s">
        <v>66</v>
      </c>
      <c r="BM1009" t="s">
        <v>159</v>
      </c>
    </row>
    <row r="1010" spans="1:65" x14ac:dyDescent="0.25">
      <c r="A1010">
        <v>1008</v>
      </c>
      <c r="B1010" t="s">
        <v>1336</v>
      </c>
      <c r="C1010" t="s">
        <v>68</v>
      </c>
      <c r="D1010" s="1">
        <v>46216</v>
      </c>
      <c r="E1010" t="s">
        <v>1337</v>
      </c>
      <c r="F1010" t="s">
        <v>68</v>
      </c>
      <c r="G1010" t="s">
        <v>295</v>
      </c>
      <c r="H1010" t="s">
        <v>296</v>
      </c>
      <c r="I1010" t="s">
        <v>71</v>
      </c>
      <c r="J1010" t="s">
        <v>72</v>
      </c>
      <c r="K1010" t="s">
        <v>73</v>
      </c>
      <c r="L1010" t="s">
        <v>74</v>
      </c>
      <c r="M1010" t="s">
        <v>1338</v>
      </c>
      <c r="N1010" t="s">
        <v>76</v>
      </c>
      <c r="O1010" t="s">
        <v>1339</v>
      </c>
      <c r="P1010" t="s">
        <v>1340</v>
      </c>
      <c r="Q1010" t="s">
        <v>1341</v>
      </c>
      <c r="R1010" s="1">
        <v>46216</v>
      </c>
      <c r="S1010" t="s">
        <v>1230</v>
      </c>
      <c r="T1010" t="s">
        <v>1231</v>
      </c>
      <c r="U1010" t="s">
        <v>1232</v>
      </c>
      <c r="V1010" t="s">
        <v>66</v>
      </c>
      <c r="W1010" t="s">
        <v>66</v>
      </c>
      <c r="X1010">
        <v>3097413</v>
      </c>
      <c r="Y1010">
        <v>340715.43</v>
      </c>
      <c r="Z1010">
        <v>49005</v>
      </c>
      <c r="AA1010">
        <v>5390.55</v>
      </c>
      <c r="AB1010">
        <v>3438128.43</v>
      </c>
      <c r="AC1010">
        <v>3</v>
      </c>
      <c r="AD1010" t="s">
        <v>82</v>
      </c>
      <c r="AE1010">
        <v>3</v>
      </c>
      <c r="AF1010" t="s">
        <v>205</v>
      </c>
      <c r="AG1010">
        <f>IFERROR(VLOOKUP(AF1010,[1]STOK!J:O,6,0),"")</f>
        <v>24</v>
      </c>
      <c r="AH1010" s="2">
        <f t="shared" si="30"/>
        <v>0.125</v>
      </c>
      <c r="AI1010" t="s">
        <v>205</v>
      </c>
      <c r="AJ1010" t="s">
        <v>206</v>
      </c>
      <c r="AK1010" t="s">
        <v>207</v>
      </c>
      <c r="AL1010" t="s">
        <v>86</v>
      </c>
      <c r="AM1010">
        <v>18315</v>
      </c>
      <c r="AN1010">
        <f t="shared" si="31"/>
        <v>18131.850000000002</v>
      </c>
      <c r="AO1010" t="s">
        <v>66</v>
      </c>
      <c r="AP1010">
        <v>1</v>
      </c>
      <c r="AQ1010" t="s">
        <v>66</v>
      </c>
      <c r="AR1010">
        <v>0</v>
      </c>
      <c r="AS1010" t="s">
        <v>66</v>
      </c>
      <c r="AT1010">
        <v>0</v>
      </c>
      <c r="AU1010" t="s">
        <v>66</v>
      </c>
      <c r="AV1010">
        <v>0</v>
      </c>
      <c r="AW1010" t="s">
        <v>66</v>
      </c>
      <c r="AX1010">
        <v>0</v>
      </c>
      <c r="AY1010" t="s">
        <v>66</v>
      </c>
      <c r="AZ1010">
        <v>0</v>
      </c>
      <c r="BA1010" t="s">
        <v>66</v>
      </c>
      <c r="BB1010">
        <v>0</v>
      </c>
      <c r="BC1010">
        <v>0</v>
      </c>
      <c r="BD1010">
        <v>54395.55</v>
      </c>
      <c r="BE1010">
        <v>14914.56</v>
      </c>
      <c r="BF1010">
        <v>0</v>
      </c>
      <c r="BG1010" t="s">
        <v>87</v>
      </c>
      <c r="BH1010" t="s">
        <v>66</v>
      </c>
      <c r="BI1010">
        <v>0</v>
      </c>
      <c r="BJ1010" t="s">
        <v>66</v>
      </c>
      <c r="BK1010" t="s">
        <v>88</v>
      </c>
      <c r="BL1010" t="s">
        <v>66</v>
      </c>
      <c r="BM1010" t="s">
        <v>159</v>
      </c>
    </row>
    <row r="1011" spans="1:65" x14ac:dyDescent="0.25">
      <c r="A1011">
        <v>1009</v>
      </c>
      <c r="B1011" t="s">
        <v>1336</v>
      </c>
      <c r="C1011" t="s">
        <v>68</v>
      </c>
      <c r="D1011" s="1">
        <v>46216</v>
      </c>
      <c r="E1011" t="s">
        <v>1337</v>
      </c>
      <c r="F1011" t="s">
        <v>68</v>
      </c>
      <c r="G1011" t="s">
        <v>295</v>
      </c>
      <c r="H1011" t="s">
        <v>296</v>
      </c>
      <c r="I1011" t="s">
        <v>71</v>
      </c>
      <c r="J1011" t="s">
        <v>72</v>
      </c>
      <c r="K1011" t="s">
        <v>73</v>
      </c>
      <c r="L1011" t="s">
        <v>74</v>
      </c>
      <c r="M1011" t="s">
        <v>1338</v>
      </c>
      <c r="N1011" t="s">
        <v>76</v>
      </c>
      <c r="O1011" t="s">
        <v>1339</v>
      </c>
      <c r="P1011" t="s">
        <v>1340</v>
      </c>
      <c r="Q1011" t="s">
        <v>1341</v>
      </c>
      <c r="R1011" s="1">
        <v>46216</v>
      </c>
      <c r="S1011" t="s">
        <v>1230</v>
      </c>
      <c r="T1011" t="s">
        <v>1231</v>
      </c>
      <c r="U1011" t="s">
        <v>1232</v>
      </c>
      <c r="V1011" t="s">
        <v>66</v>
      </c>
      <c r="W1011" t="s">
        <v>66</v>
      </c>
      <c r="X1011">
        <v>3097413</v>
      </c>
      <c r="Y1011">
        <v>340715.43</v>
      </c>
      <c r="Z1011">
        <v>49005</v>
      </c>
      <c r="AA1011">
        <v>5390.55</v>
      </c>
      <c r="AB1011">
        <v>3438128.43</v>
      </c>
      <c r="AC1011">
        <v>3</v>
      </c>
      <c r="AD1011" t="s">
        <v>82</v>
      </c>
      <c r="AE1011">
        <v>3</v>
      </c>
      <c r="AF1011" t="s">
        <v>96</v>
      </c>
      <c r="AG1011">
        <f>IFERROR(VLOOKUP(AF1011,[1]STOK!J:O,6,0),"")</f>
        <v>24</v>
      </c>
      <c r="AH1011" s="2">
        <f t="shared" si="30"/>
        <v>0.125</v>
      </c>
      <c r="AI1011" t="s">
        <v>96</v>
      </c>
      <c r="AJ1011" t="s">
        <v>97</v>
      </c>
      <c r="AK1011" t="s">
        <v>98</v>
      </c>
      <c r="AL1011" t="s">
        <v>86</v>
      </c>
      <c r="AM1011">
        <v>18315</v>
      </c>
      <c r="AN1011">
        <f t="shared" si="31"/>
        <v>18131.850000000002</v>
      </c>
      <c r="AO1011" t="s">
        <v>66</v>
      </c>
      <c r="AP1011">
        <v>1</v>
      </c>
      <c r="AQ1011" t="s">
        <v>66</v>
      </c>
      <c r="AR1011">
        <v>0</v>
      </c>
      <c r="AS1011" t="s">
        <v>66</v>
      </c>
      <c r="AT1011">
        <v>0</v>
      </c>
      <c r="AU1011" t="s">
        <v>66</v>
      </c>
      <c r="AV1011">
        <v>0</v>
      </c>
      <c r="AW1011" t="s">
        <v>66</v>
      </c>
      <c r="AX1011">
        <v>0</v>
      </c>
      <c r="AY1011" t="s">
        <v>66</v>
      </c>
      <c r="AZ1011">
        <v>0</v>
      </c>
      <c r="BA1011" t="s">
        <v>66</v>
      </c>
      <c r="BB1011">
        <v>0</v>
      </c>
      <c r="BC1011">
        <v>0</v>
      </c>
      <c r="BD1011">
        <v>54395.55</v>
      </c>
      <c r="BE1011">
        <v>14932.9</v>
      </c>
      <c r="BF1011">
        <v>0</v>
      </c>
      <c r="BG1011" t="s">
        <v>87</v>
      </c>
      <c r="BH1011" t="s">
        <v>66</v>
      </c>
      <c r="BI1011">
        <v>0</v>
      </c>
      <c r="BJ1011" t="s">
        <v>66</v>
      </c>
      <c r="BK1011" t="s">
        <v>88</v>
      </c>
      <c r="BL1011" t="s">
        <v>66</v>
      </c>
      <c r="BM1011" t="s">
        <v>159</v>
      </c>
    </row>
    <row r="1012" spans="1:65" x14ac:dyDescent="0.25">
      <c r="A1012">
        <v>1010</v>
      </c>
      <c r="B1012" t="s">
        <v>1336</v>
      </c>
      <c r="C1012" t="s">
        <v>68</v>
      </c>
      <c r="D1012" s="1">
        <v>46216</v>
      </c>
      <c r="E1012" t="s">
        <v>1337</v>
      </c>
      <c r="F1012" t="s">
        <v>68</v>
      </c>
      <c r="G1012" t="s">
        <v>295</v>
      </c>
      <c r="H1012" t="s">
        <v>296</v>
      </c>
      <c r="I1012" t="s">
        <v>71</v>
      </c>
      <c r="J1012" t="s">
        <v>72</v>
      </c>
      <c r="K1012" t="s">
        <v>73</v>
      </c>
      <c r="L1012" t="s">
        <v>74</v>
      </c>
      <c r="M1012" t="s">
        <v>1338</v>
      </c>
      <c r="N1012" t="s">
        <v>76</v>
      </c>
      <c r="O1012" t="s">
        <v>1339</v>
      </c>
      <c r="P1012" t="s">
        <v>1340</v>
      </c>
      <c r="Q1012" t="s">
        <v>1341</v>
      </c>
      <c r="R1012" s="1">
        <v>46216</v>
      </c>
      <c r="S1012" t="s">
        <v>1230</v>
      </c>
      <c r="T1012" t="s">
        <v>1231</v>
      </c>
      <c r="U1012" t="s">
        <v>1232</v>
      </c>
      <c r="V1012" t="s">
        <v>66</v>
      </c>
      <c r="W1012" t="s">
        <v>66</v>
      </c>
      <c r="X1012">
        <v>3097413</v>
      </c>
      <c r="Y1012">
        <v>340715.43</v>
      </c>
      <c r="Z1012">
        <v>384318</v>
      </c>
      <c r="AA1012">
        <v>42274.98</v>
      </c>
      <c r="AB1012">
        <v>3438128.43</v>
      </c>
      <c r="AC1012">
        <v>3</v>
      </c>
      <c r="AD1012" t="s">
        <v>82</v>
      </c>
      <c r="AE1012">
        <v>3</v>
      </c>
      <c r="AF1012" t="s">
        <v>522</v>
      </c>
      <c r="AG1012">
        <f>IFERROR(VLOOKUP(AF1012,[1]STOK!J:O,6,0),"")</f>
        <v>4</v>
      </c>
      <c r="AH1012" s="2">
        <f t="shared" si="30"/>
        <v>0.75</v>
      </c>
      <c r="AI1012" t="s">
        <v>522</v>
      </c>
      <c r="AJ1012" t="s">
        <v>523</v>
      </c>
      <c r="AK1012" t="s">
        <v>524</v>
      </c>
      <c r="AL1012" t="s">
        <v>86</v>
      </c>
      <c r="AM1012">
        <v>143634</v>
      </c>
      <c r="AN1012">
        <f t="shared" si="31"/>
        <v>142197.66</v>
      </c>
      <c r="AO1012" t="s">
        <v>66</v>
      </c>
      <c r="AP1012">
        <v>1</v>
      </c>
      <c r="AQ1012" t="s">
        <v>66</v>
      </c>
      <c r="AR1012">
        <v>0</v>
      </c>
      <c r="AS1012" t="s">
        <v>66</v>
      </c>
      <c r="AT1012">
        <v>0</v>
      </c>
      <c r="AU1012" t="s">
        <v>66</v>
      </c>
      <c r="AV1012">
        <v>0</v>
      </c>
      <c r="AW1012" t="s">
        <v>66</v>
      </c>
      <c r="AX1012">
        <v>0</v>
      </c>
      <c r="AY1012" t="s">
        <v>66</v>
      </c>
      <c r="AZ1012">
        <v>0</v>
      </c>
      <c r="BA1012" t="s">
        <v>66</v>
      </c>
      <c r="BB1012">
        <v>0</v>
      </c>
      <c r="BC1012">
        <v>0</v>
      </c>
      <c r="BD1012">
        <v>426592.98</v>
      </c>
      <c r="BE1012">
        <v>115210.12</v>
      </c>
      <c r="BF1012">
        <v>0</v>
      </c>
      <c r="BG1012" t="s">
        <v>87</v>
      </c>
      <c r="BH1012" t="s">
        <v>66</v>
      </c>
      <c r="BI1012">
        <v>0</v>
      </c>
      <c r="BJ1012" t="s">
        <v>66</v>
      </c>
      <c r="BK1012" t="s">
        <v>88</v>
      </c>
      <c r="BL1012" t="s">
        <v>66</v>
      </c>
      <c r="BM1012" t="s">
        <v>159</v>
      </c>
    </row>
    <row r="1013" spans="1:65" x14ac:dyDescent="0.25">
      <c r="A1013">
        <v>1011</v>
      </c>
      <c r="B1013" t="s">
        <v>1336</v>
      </c>
      <c r="C1013" t="s">
        <v>68</v>
      </c>
      <c r="D1013" s="1">
        <v>46216</v>
      </c>
      <c r="E1013" t="s">
        <v>1337</v>
      </c>
      <c r="F1013" t="s">
        <v>68</v>
      </c>
      <c r="G1013" t="s">
        <v>295</v>
      </c>
      <c r="H1013" t="s">
        <v>296</v>
      </c>
      <c r="I1013" t="s">
        <v>71</v>
      </c>
      <c r="J1013" t="s">
        <v>72</v>
      </c>
      <c r="K1013" t="s">
        <v>73</v>
      </c>
      <c r="L1013" t="s">
        <v>74</v>
      </c>
      <c r="M1013" t="s">
        <v>1338</v>
      </c>
      <c r="N1013" t="s">
        <v>76</v>
      </c>
      <c r="O1013" t="s">
        <v>1339</v>
      </c>
      <c r="P1013" t="s">
        <v>1340</v>
      </c>
      <c r="Q1013" t="s">
        <v>1341</v>
      </c>
      <c r="R1013" s="1">
        <v>46216</v>
      </c>
      <c r="S1013" t="s">
        <v>1230</v>
      </c>
      <c r="T1013" t="s">
        <v>1231</v>
      </c>
      <c r="U1013" t="s">
        <v>1232</v>
      </c>
      <c r="V1013" t="s">
        <v>66</v>
      </c>
      <c r="W1013" t="s">
        <v>66</v>
      </c>
      <c r="X1013">
        <v>3097413</v>
      </c>
      <c r="Y1013">
        <v>340715.43</v>
      </c>
      <c r="Z1013">
        <v>230472</v>
      </c>
      <c r="AA1013">
        <v>25351.919999999998</v>
      </c>
      <c r="AB1013">
        <v>3438128.43</v>
      </c>
      <c r="AC1013">
        <v>12</v>
      </c>
      <c r="AD1013" t="s">
        <v>82</v>
      </c>
      <c r="AE1013">
        <v>12</v>
      </c>
      <c r="AF1013" t="s">
        <v>470</v>
      </c>
      <c r="AG1013">
        <f>IFERROR(VLOOKUP(AF1013,[1]STOK!J:O,6,0),"")</f>
        <v>24</v>
      </c>
      <c r="AH1013" s="2">
        <f t="shared" si="30"/>
        <v>0.5</v>
      </c>
      <c r="AI1013" t="s">
        <v>470</v>
      </c>
      <c r="AJ1013" t="s">
        <v>471</v>
      </c>
      <c r="AK1013" t="s">
        <v>472</v>
      </c>
      <c r="AL1013" t="s">
        <v>86</v>
      </c>
      <c r="AM1013">
        <v>21534</v>
      </c>
      <c r="AN1013">
        <f t="shared" si="31"/>
        <v>21318.66</v>
      </c>
      <c r="AO1013" t="s">
        <v>66</v>
      </c>
      <c r="AP1013">
        <v>1</v>
      </c>
      <c r="AQ1013" t="s">
        <v>66</v>
      </c>
      <c r="AR1013">
        <v>0</v>
      </c>
      <c r="AS1013" t="s">
        <v>66</v>
      </c>
      <c r="AT1013">
        <v>0</v>
      </c>
      <c r="AU1013" t="s">
        <v>66</v>
      </c>
      <c r="AV1013">
        <v>0</v>
      </c>
      <c r="AW1013" t="s">
        <v>66</v>
      </c>
      <c r="AX1013">
        <v>0</v>
      </c>
      <c r="AY1013" t="s">
        <v>66</v>
      </c>
      <c r="AZ1013">
        <v>0</v>
      </c>
      <c r="BA1013" t="s">
        <v>66</v>
      </c>
      <c r="BB1013">
        <v>0</v>
      </c>
      <c r="BC1013">
        <v>0</v>
      </c>
      <c r="BD1013">
        <v>255823.92</v>
      </c>
      <c r="BE1013">
        <v>17503.57</v>
      </c>
      <c r="BF1013">
        <v>0</v>
      </c>
      <c r="BG1013" t="s">
        <v>87</v>
      </c>
      <c r="BH1013" t="s">
        <v>66</v>
      </c>
      <c r="BI1013">
        <v>0</v>
      </c>
      <c r="BJ1013" t="s">
        <v>66</v>
      </c>
      <c r="BK1013" t="s">
        <v>88</v>
      </c>
      <c r="BL1013" t="s">
        <v>66</v>
      </c>
      <c r="BM1013" t="s">
        <v>159</v>
      </c>
    </row>
    <row r="1014" spans="1:65" x14ac:dyDescent="0.25">
      <c r="A1014">
        <v>1012</v>
      </c>
      <c r="B1014" t="s">
        <v>1336</v>
      </c>
      <c r="C1014" t="s">
        <v>68</v>
      </c>
      <c r="D1014" s="1">
        <v>46216</v>
      </c>
      <c r="E1014" t="s">
        <v>1337</v>
      </c>
      <c r="F1014" t="s">
        <v>68</v>
      </c>
      <c r="G1014" t="s">
        <v>295</v>
      </c>
      <c r="H1014" t="s">
        <v>296</v>
      </c>
      <c r="I1014" t="s">
        <v>71</v>
      </c>
      <c r="J1014" t="s">
        <v>72</v>
      </c>
      <c r="K1014" t="s">
        <v>73</v>
      </c>
      <c r="L1014" t="s">
        <v>74</v>
      </c>
      <c r="M1014" t="s">
        <v>1338</v>
      </c>
      <c r="N1014" t="s">
        <v>76</v>
      </c>
      <c r="O1014" t="s">
        <v>1339</v>
      </c>
      <c r="P1014" t="s">
        <v>1340</v>
      </c>
      <c r="Q1014" t="s">
        <v>1341</v>
      </c>
      <c r="R1014" s="1">
        <v>46216</v>
      </c>
      <c r="S1014" t="s">
        <v>1230</v>
      </c>
      <c r="T1014" t="s">
        <v>1231</v>
      </c>
      <c r="U1014" t="s">
        <v>1232</v>
      </c>
      <c r="V1014" t="s">
        <v>66</v>
      </c>
      <c r="W1014" t="s">
        <v>66</v>
      </c>
      <c r="X1014">
        <v>3097413</v>
      </c>
      <c r="Y1014">
        <v>340715.43</v>
      </c>
      <c r="Z1014">
        <v>20493</v>
      </c>
      <c r="AA1014">
        <v>2254.23</v>
      </c>
      <c r="AB1014">
        <v>3438128.43</v>
      </c>
      <c r="AC1014">
        <v>3</v>
      </c>
      <c r="AD1014" t="s">
        <v>82</v>
      </c>
      <c r="AE1014">
        <v>3</v>
      </c>
      <c r="AF1014" t="s">
        <v>1141</v>
      </c>
      <c r="AG1014">
        <f>IFERROR(VLOOKUP(AF1014,[1]STOK!J:O,6,0),"")</f>
        <v>24</v>
      </c>
      <c r="AH1014" s="2">
        <f t="shared" si="30"/>
        <v>0.125</v>
      </c>
      <c r="AI1014" t="s">
        <v>1141</v>
      </c>
      <c r="AJ1014" t="s">
        <v>1142</v>
      </c>
      <c r="AK1014" t="s">
        <v>1143</v>
      </c>
      <c r="AL1014" t="s">
        <v>86</v>
      </c>
      <c r="AM1014">
        <v>7659</v>
      </c>
      <c r="AN1014">
        <f t="shared" si="31"/>
        <v>7582.41</v>
      </c>
      <c r="AO1014" t="s">
        <v>66</v>
      </c>
      <c r="AP1014">
        <v>1</v>
      </c>
      <c r="AQ1014" t="s">
        <v>66</v>
      </c>
      <c r="AR1014">
        <v>0</v>
      </c>
      <c r="AS1014" t="s">
        <v>66</v>
      </c>
      <c r="AT1014">
        <v>0</v>
      </c>
      <c r="AU1014" t="s">
        <v>66</v>
      </c>
      <c r="AV1014">
        <v>0</v>
      </c>
      <c r="AW1014" t="s">
        <v>66</v>
      </c>
      <c r="AX1014">
        <v>0</v>
      </c>
      <c r="AY1014" t="s">
        <v>66</v>
      </c>
      <c r="AZ1014">
        <v>0</v>
      </c>
      <c r="BA1014" t="s">
        <v>66</v>
      </c>
      <c r="BB1014">
        <v>0</v>
      </c>
      <c r="BC1014">
        <v>0</v>
      </c>
      <c r="BD1014">
        <v>22747.23</v>
      </c>
      <c r="BE1014">
        <v>6228.65</v>
      </c>
      <c r="BF1014">
        <v>0</v>
      </c>
      <c r="BG1014" t="s">
        <v>87</v>
      </c>
      <c r="BH1014" t="s">
        <v>66</v>
      </c>
      <c r="BI1014">
        <v>0</v>
      </c>
      <c r="BJ1014" t="s">
        <v>66</v>
      </c>
      <c r="BK1014" t="s">
        <v>88</v>
      </c>
      <c r="BL1014" t="s">
        <v>66</v>
      </c>
      <c r="BM1014" t="s">
        <v>159</v>
      </c>
    </row>
    <row r="1015" spans="1:65" x14ac:dyDescent="0.25">
      <c r="A1015">
        <v>1013</v>
      </c>
      <c r="B1015" t="s">
        <v>1336</v>
      </c>
      <c r="C1015" t="s">
        <v>68</v>
      </c>
      <c r="D1015" s="1">
        <v>46216</v>
      </c>
      <c r="E1015" t="s">
        <v>1337</v>
      </c>
      <c r="F1015" t="s">
        <v>68</v>
      </c>
      <c r="G1015" t="s">
        <v>295</v>
      </c>
      <c r="H1015" t="s">
        <v>296</v>
      </c>
      <c r="I1015" t="s">
        <v>71</v>
      </c>
      <c r="J1015" t="s">
        <v>72</v>
      </c>
      <c r="K1015" t="s">
        <v>73</v>
      </c>
      <c r="L1015" t="s">
        <v>74</v>
      </c>
      <c r="M1015" t="s">
        <v>1338</v>
      </c>
      <c r="N1015" t="s">
        <v>76</v>
      </c>
      <c r="O1015" t="s">
        <v>1339</v>
      </c>
      <c r="P1015" t="s">
        <v>1340</v>
      </c>
      <c r="Q1015" t="s">
        <v>1341</v>
      </c>
      <c r="R1015" s="1">
        <v>46216</v>
      </c>
      <c r="S1015" t="s">
        <v>1230</v>
      </c>
      <c r="T1015" t="s">
        <v>1231</v>
      </c>
      <c r="U1015" t="s">
        <v>1232</v>
      </c>
      <c r="V1015" t="s">
        <v>66</v>
      </c>
      <c r="W1015" t="s">
        <v>66</v>
      </c>
      <c r="X1015">
        <v>3097413</v>
      </c>
      <c r="Y1015">
        <v>340715.43</v>
      </c>
      <c r="Z1015">
        <v>15741</v>
      </c>
      <c r="AA1015">
        <v>1731.51</v>
      </c>
      <c r="AB1015">
        <v>3438128.43</v>
      </c>
      <c r="AC1015">
        <v>3</v>
      </c>
      <c r="AD1015" t="s">
        <v>82</v>
      </c>
      <c r="AE1015">
        <v>3</v>
      </c>
      <c r="AF1015" t="s">
        <v>633</v>
      </c>
      <c r="AG1015">
        <f>IFERROR(VLOOKUP(AF1015,[1]STOK!J:O,6,0),"")</f>
        <v>24</v>
      </c>
      <c r="AH1015" s="2">
        <f t="shared" si="30"/>
        <v>0.125</v>
      </c>
      <c r="AI1015" t="s">
        <v>633</v>
      </c>
      <c r="AJ1015" t="s">
        <v>634</v>
      </c>
      <c r="AK1015" t="s">
        <v>635</v>
      </c>
      <c r="AL1015" t="s">
        <v>86</v>
      </c>
      <c r="AM1015">
        <v>5883</v>
      </c>
      <c r="AN1015">
        <f t="shared" si="31"/>
        <v>5824.1699999999992</v>
      </c>
      <c r="AO1015" t="s">
        <v>66</v>
      </c>
      <c r="AP1015">
        <v>1</v>
      </c>
      <c r="AQ1015" t="s">
        <v>66</v>
      </c>
      <c r="AR1015">
        <v>0</v>
      </c>
      <c r="AS1015" t="s">
        <v>66</v>
      </c>
      <c r="AT1015">
        <v>0</v>
      </c>
      <c r="AU1015" t="s">
        <v>66</v>
      </c>
      <c r="AV1015">
        <v>0</v>
      </c>
      <c r="AW1015" t="s">
        <v>66</v>
      </c>
      <c r="AX1015">
        <v>0</v>
      </c>
      <c r="AY1015" t="s">
        <v>66</v>
      </c>
      <c r="AZ1015">
        <v>0</v>
      </c>
      <c r="BA1015" t="s">
        <v>66</v>
      </c>
      <c r="BB1015">
        <v>0</v>
      </c>
      <c r="BC1015">
        <v>0</v>
      </c>
      <c r="BD1015">
        <v>17472.509999999998</v>
      </c>
      <c r="BE1015">
        <v>4779.55</v>
      </c>
      <c r="BF1015">
        <v>0</v>
      </c>
      <c r="BG1015" t="s">
        <v>87</v>
      </c>
      <c r="BH1015" t="s">
        <v>66</v>
      </c>
      <c r="BI1015">
        <v>0</v>
      </c>
      <c r="BJ1015" t="s">
        <v>66</v>
      </c>
      <c r="BK1015" t="s">
        <v>88</v>
      </c>
      <c r="BL1015" t="s">
        <v>66</v>
      </c>
      <c r="BM1015" t="s">
        <v>159</v>
      </c>
    </row>
    <row r="1016" spans="1:65" x14ac:dyDescent="0.25">
      <c r="A1016">
        <v>1014</v>
      </c>
      <c r="B1016" t="s">
        <v>1336</v>
      </c>
      <c r="C1016" t="s">
        <v>68</v>
      </c>
      <c r="D1016" s="1">
        <v>46216</v>
      </c>
      <c r="E1016" t="s">
        <v>1337</v>
      </c>
      <c r="F1016" t="s">
        <v>68</v>
      </c>
      <c r="G1016" t="s">
        <v>295</v>
      </c>
      <c r="H1016" t="s">
        <v>296</v>
      </c>
      <c r="I1016" t="s">
        <v>71</v>
      </c>
      <c r="J1016" t="s">
        <v>72</v>
      </c>
      <c r="K1016" t="s">
        <v>73</v>
      </c>
      <c r="L1016" t="s">
        <v>74</v>
      </c>
      <c r="M1016" t="s">
        <v>1338</v>
      </c>
      <c r="N1016" t="s">
        <v>76</v>
      </c>
      <c r="O1016" t="s">
        <v>1339</v>
      </c>
      <c r="P1016" t="s">
        <v>1340</v>
      </c>
      <c r="Q1016" t="s">
        <v>1341</v>
      </c>
      <c r="R1016" s="1">
        <v>46216</v>
      </c>
      <c r="S1016" t="s">
        <v>1230</v>
      </c>
      <c r="T1016" t="s">
        <v>1231</v>
      </c>
      <c r="U1016" t="s">
        <v>1232</v>
      </c>
      <c r="V1016" t="s">
        <v>66</v>
      </c>
      <c r="W1016" t="s">
        <v>66</v>
      </c>
      <c r="X1016">
        <v>3097413</v>
      </c>
      <c r="Y1016">
        <v>340715.43</v>
      </c>
      <c r="Z1016">
        <v>15741</v>
      </c>
      <c r="AA1016">
        <v>1731.51</v>
      </c>
      <c r="AB1016">
        <v>3438128.43</v>
      </c>
      <c r="AC1016">
        <v>3</v>
      </c>
      <c r="AD1016" t="s">
        <v>82</v>
      </c>
      <c r="AE1016">
        <v>3</v>
      </c>
      <c r="AF1016" t="s">
        <v>353</v>
      </c>
      <c r="AG1016">
        <f>IFERROR(VLOOKUP(AF1016,[1]STOK!J:O,6,0),"")</f>
        <v>24</v>
      </c>
      <c r="AH1016" s="2">
        <f t="shared" si="30"/>
        <v>0.125</v>
      </c>
      <c r="AI1016" t="s">
        <v>353</v>
      </c>
      <c r="AJ1016" t="s">
        <v>354</v>
      </c>
      <c r="AK1016" t="s">
        <v>355</v>
      </c>
      <c r="AL1016" t="s">
        <v>86</v>
      </c>
      <c r="AM1016">
        <v>5883</v>
      </c>
      <c r="AN1016">
        <f t="shared" si="31"/>
        <v>5824.1699999999992</v>
      </c>
      <c r="AO1016" t="s">
        <v>66</v>
      </c>
      <c r="AP1016">
        <v>1</v>
      </c>
      <c r="AQ1016" t="s">
        <v>66</v>
      </c>
      <c r="AR1016">
        <v>0</v>
      </c>
      <c r="AS1016" t="s">
        <v>66</v>
      </c>
      <c r="AT1016">
        <v>0</v>
      </c>
      <c r="AU1016" t="s">
        <v>66</v>
      </c>
      <c r="AV1016">
        <v>0</v>
      </c>
      <c r="AW1016" t="s">
        <v>66</v>
      </c>
      <c r="AX1016">
        <v>0</v>
      </c>
      <c r="AY1016" t="s">
        <v>66</v>
      </c>
      <c r="AZ1016">
        <v>0</v>
      </c>
      <c r="BA1016" t="s">
        <v>66</v>
      </c>
      <c r="BB1016">
        <v>0</v>
      </c>
      <c r="BC1016">
        <v>0</v>
      </c>
      <c r="BD1016">
        <v>17472.509999999998</v>
      </c>
      <c r="BE1016">
        <v>4790.82</v>
      </c>
      <c r="BF1016">
        <v>0</v>
      </c>
      <c r="BG1016" t="s">
        <v>87</v>
      </c>
      <c r="BH1016" t="s">
        <v>66</v>
      </c>
      <c r="BI1016">
        <v>0</v>
      </c>
      <c r="BJ1016" t="s">
        <v>66</v>
      </c>
      <c r="BK1016" t="s">
        <v>88</v>
      </c>
      <c r="BL1016" t="s">
        <v>66</v>
      </c>
      <c r="BM1016" t="s">
        <v>159</v>
      </c>
    </row>
    <row r="1017" spans="1:65" x14ac:dyDescent="0.25">
      <c r="A1017">
        <v>1015</v>
      </c>
      <c r="B1017" t="s">
        <v>1336</v>
      </c>
      <c r="C1017" t="s">
        <v>68</v>
      </c>
      <c r="D1017" s="1">
        <v>46216</v>
      </c>
      <c r="E1017" t="s">
        <v>1337</v>
      </c>
      <c r="F1017" t="s">
        <v>68</v>
      </c>
      <c r="G1017" t="s">
        <v>295</v>
      </c>
      <c r="H1017" t="s">
        <v>296</v>
      </c>
      <c r="I1017" t="s">
        <v>71</v>
      </c>
      <c r="J1017" t="s">
        <v>72</v>
      </c>
      <c r="K1017" t="s">
        <v>73</v>
      </c>
      <c r="L1017" t="s">
        <v>74</v>
      </c>
      <c r="M1017" t="s">
        <v>1338</v>
      </c>
      <c r="N1017" t="s">
        <v>76</v>
      </c>
      <c r="O1017" t="s">
        <v>1339</v>
      </c>
      <c r="P1017" t="s">
        <v>1340</v>
      </c>
      <c r="Q1017" t="s">
        <v>1341</v>
      </c>
      <c r="R1017" s="1">
        <v>46216</v>
      </c>
      <c r="S1017" t="s">
        <v>1230</v>
      </c>
      <c r="T1017" t="s">
        <v>1231</v>
      </c>
      <c r="U1017" t="s">
        <v>1232</v>
      </c>
      <c r="V1017" t="s">
        <v>66</v>
      </c>
      <c r="W1017" t="s">
        <v>66</v>
      </c>
      <c r="X1017">
        <v>3097413</v>
      </c>
      <c r="Y1017">
        <v>340715.43</v>
      </c>
      <c r="Z1017">
        <v>31779</v>
      </c>
      <c r="AA1017">
        <v>3495.69</v>
      </c>
      <c r="AB1017">
        <v>3438128.43</v>
      </c>
      <c r="AC1017">
        <v>3</v>
      </c>
      <c r="AD1017" t="s">
        <v>82</v>
      </c>
      <c r="AE1017">
        <v>3</v>
      </c>
      <c r="AF1017" t="s">
        <v>1049</v>
      </c>
      <c r="AG1017">
        <f>IFERROR(VLOOKUP(AF1017,[1]STOK!J:O,6,0),"")</f>
        <v>12</v>
      </c>
      <c r="AH1017" s="2">
        <f t="shared" si="30"/>
        <v>0.25</v>
      </c>
      <c r="AI1017" t="s">
        <v>1049</v>
      </c>
      <c r="AJ1017" t="s">
        <v>1050</v>
      </c>
      <c r="AK1017" t="s">
        <v>1051</v>
      </c>
      <c r="AL1017" t="s">
        <v>86</v>
      </c>
      <c r="AM1017">
        <v>11877</v>
      </c>
      <c r="AN1017">
        <f t="shared" si="31"/>
        <v>11758.230000000001</v>
      </c>
      <c r="AO1017" t="s">
        <v>66</v>
      </c>
      <c r="AP1017">
        <v>1</v>
      </c>
      <c r="AQ1017" t="s">
        <v>66</v>
      </c>
      <c r="AR1017">
        <v>0</v>
      </c>
      <c r="AS1017" t="s">
        <v>66</v>
      </c>
      <c r="AT1017">
        <v>0</v>
      </c>
      <c r="AU1017" t="s">
        <v>66</v>
      </c>
      <c r="AV1017">
        <v>0</v>
      </c>
      <c r="AW1017" t="s">
        <v>66</v>
      </c>
      <c r="AX1017">
        <v>0</v>
      </c>
      <c r="AY1017" t="s">
        <v>66</v>
      </c>
      <c r="AZ1017">
        <v>0</v>
      </c>
      <c r="BA1017" t="s">
        <v>66</v>
      </c>
      <c r="BB1017">
        <v>0</v>
      </c>
      <c r="BC1017">
        <v>0</v>
      </c>
      <c r="BD1017">
        <v>35274.69</v>
      </c>
      <c r="BE1017">
        <v>9545.4</v>
      </c>
      <c r="BF1017">
        <v>0</v>
      </c>
      <c r="BG1017" t="s">
        <v>87</v>
      </c>
      <c r="BH1017" t="s">
        <v>66</v>
      </c>
      <c r="BI1017">
        <v>0</v>
      </c>
      <c r="BJ1017" t="s">
        <v>66</v>
      </c>
      <c r="BK1017" t="s">
        <v>88</v>
      </c>
      <c r="BL1017" t="s">
        <v>66</v>
      </c>
      <c r="BM1017" t="s">
        <v>159</v>
      </c>
    </row>
    <row r="1018" spans="1:65" x14ac:dyDescent="0.25">
      <c r="A1018">
        <v>1016</v>
      </c>
      <c r="B1018" t="s">
        <v>1336</v>
      </c>
      <c r="C1018" t="s">
        <v>68</v>
      </c>
      <c r="D1018" s="1">
        <v>46216</v>
      </c>
      <c r="E1018" t="s">
        <v>1337</v>
      </c>
      <c r="F1018" t="s">
        <v>68</v>
      </c>
      <c r="G1018" t="s">
        <v>295</v>
      </c>
      <c r="H1018" t="s">
        <v>296</v>
      </c>
      <c r="I1018" t="s">
        <v>71</v>
      </c>
      <c r="J1018" t="s">
        <v>72</v>
      </c>
      <c r="K1018" t="s">
        <v>73</v>
      </c>
      <c r="L1018" t="s">
        <v>74</v>
      </c>
      <c r="M1018" t="s">
        <v>1338</v>
      </c>
      <c r="N1018" t="s">
        <v>76</v>
      </c>
      <c r="O1018" t="s">
        <v>1339</v>
      </c>
      <c r="P1018" t="s">
        <v>1340</v>
      </c>
      <c r="Q1018" t="s">
        <v>1341</v>
      </c>
      <c r="R1018" s="1">
        <v>46216</v>
      </c>
      <c r="S1018" t="s">
        <v>1230</v>
      </c>
      <c r="T1018" t="s">
        <v>1231</v>
      </c>
      <c r="U1018" t="s">
        <v>1232</v>
      </c>
      <c r="V1018" t="s">
        <v>66</v>
      </c>
      <c r="W1018" t="s">
        <v>66</v>
      </c>
      <c r="X1018">
        <v>3097413</v>
      </c>
      <c r="Y1018">
        <v>340715.43</v>
      </c>
      <c r="Z1018">
        <v>31779</v>
      </c>
      <c r="AA1018">
        <v>3495.69</v>
      </c>
      <c r="AB1018">
        <v>3438128.43</v>
      </c>
      <c r="AC1018">
        <v>3</v>
      </c>
      <c r="AD1018" t="s">
        <v>82</v>
      </c>
      <c r="AE1018">
        <v>3</v>
      </c>
      <c r="AF1018" t="s">
        <v>578</v>
      </c>
      <c r="AG1018">
        <f>IFERROR(VLOOKUP(AF1018,[1]STOK!J:O,6,0),"")</f>
        <v>12</v>
      </c>
      <c r="AH1018" s="2">
        <f t="shared" si="30"/>
        <v>0.25</v>
      </c>
      <c r="AI1018" t="s">
        <v>578</v>
      </c>
      <c r="AJ1018" t="s">
        <v>579</v>
      </c>
      <c r="AK1018" t="s">
        <v>580</v>
      </c>
      <c r="AL1018" t="s">
        <v>86</v>
      </c>
      <c r="AM1018">
        <v>11877</v>
      </c>
      <c r="AN1018">
        <f t="shared" si="31"/>
        <v>11758.230000000001</v>
      </c>
      <c r="AO1018" t="s">
        <v>66</v>
      </c>
      <c r="AP1018">
        <v>1</v>
      </c>
      <c r="AQ1018" t="s">
        <v>66</v>
      </c>
      <c r="AR1018">
        <v>0</v>
      </c>
      <c r="AS1018" t="s">
        <v>66</v>
      </c>
      <c r="AT1018">
        <v>0</v>
      </c>
      <c r="AU1018" t="s">
        <v>66</v>
      </c>
      <c r="AV1018">
        <v>0</v>
      </c>
      <c r="AW1018" t="s">
        <v>66</v>
      </c>
      <c r="AX1018">
        <v>0</v>
      </c>
      <c r="AY1018" t="s">
        <v>66</v>
      </c>
      <c r="AZ1018">
        <v>0</v>
      </c>
      <c r="BA1018" t="s">
        <v>66</v>
      </c>
      <c r="BB1018">
        <v>0</v>
      </c>
      <c r="BC1018">
        <v>0</v>
      </c>
      <c r="BD1018">
        <v>35274.69</v>
      </c>
      <c r="BE1018">
        <v>9646.18</v>
      </c>
      <c r="BF1018">
        <v>0</v>
      </c>
      <c r="BG1018" t="s">
        <v>87</v>
      </c>
      <c r="BH1018" t="s">
        <v>66</v>
      </c>
      <c r="BI1018">
        <v>0</v>
      </c>
      <c r="BJ1018" t="s">
        <v>66</v>
      </c>
      <c r="BK1018" t="s">
        <v>88</v>
      </c>
      <c r="BL1018" t="s">
        <v>66</v>
      </c>
      <c r="BM1018" t="s">
        <v>159</v>
      </c>
    </row>
    <row r="1019" spans="1:65" x14ac:dyDescent="0.25">
      <c r="A1019">
        <v>1017</v>
      </c>
      <c r="B1019" t="s">
        <v>1336</v>
      </c>
      <c r="C1019" t="s">
        <v>68</v>
      </c>
      <c r="D1019" s="1">
        <v>46216</v>
      </c>
      <c r="E1019" t="s">
        <v>1337</v>
      </c>
      <c r="F1019" t="s">
        <v>68</v>
      </c>
      <c r="G1019" t="s">
        <v>295</v>
      </c>
      <c r="H1019" t="s">
        <v>296</v>
      </c>
      <c r="I1019" t="s">
        <v>71</v>
      </c>
      <c r="J1019" t="s">
        <v>72</v>
      </c>
      <c r="K1019" t="s">
        <v>73</v>
      </c>
      <c r="L1019" t="s">
        <v>74</v>
      </c>
      <c r="M1019" t="s">
        <v>1338</v>
      </c>
      <c r="N1019" t="s">
        <v>76</v>
      </c>
      <c r="O1019" t="s">
        <v>1339</v>
      </c>
      <c r="P1019" t="s">
        <v>1340</v>
      </c>
      <c r="Q1019" t="s">
        <v>1341</v>
      </c>
      <c r="R1019" s="1">
        <v>46216</v>
      </c>
      <c r="S1019" t="s">
        <v>1230</v>
      </c>
      <c r="T1019" t="s">
        <v>1231</v>
      </c>
      <c r="U1019" t="s">
        <v>1232</v>
      </c>
      <c r="V1019" t="s">
        <v>66</v>
      </c>
      <c r="W1019" t="s">
        <v>66</v>
      </c>
      <c r="X1019">
        <v>3097413</v>
      </c>
      <c r="Y1019">
        <v>340715.43</v>
      </c>
      <c r="Z1019">
        <v>205524</v>
      </c>
      <c r="AA1019">
        <v>22607.64</v>
      </c>
      <c r="AB1019">
        <v>3438128.43</v>
      </c>
      <c r="AC1019">
        <v>12</v>
      </c>
      <c r="AD1019" t="s">
        <v>82</v>
      </c>
      <c r="AE1019">
        <v>12</v>
      </c>
      <c r="AF1019" t="s">
        <v>359</v>
      </c>
      <c r="AG1019">
        <f>IFERROR(VLOOKUP(AF1019,[1]STOK!J:O,6,0),"")</f>
        <v>12</v>
      </c>
      <c r="AH1019" s="2">
        <f t="shared" si="30"/>
        <v>1</v>
      </c>
      <c r="AI1019" t="s">
        <v>359</v>
      </c>
      <c r="AJ1019" t="s">
        <v>360</v>
      </c>
      <c r="AK1019" t="s">
        <v>361</v>
      </c>
      <c r="AL1019" t="s">
        <v>86</v>
      </c>
      <c r="AM1019">
        <v>19203</v>
      </c>
      <c r="AN1019">
        <f t="shared" si="31"/>
        <v>19010.97</v>
      </c>
      <c r="AO1019" t="s">
        <v>66</v>
      </c>
      <c r="AP1019">
        <v>1</v>
      </c>
      <c r="AQ1019" t="s">
        <v>66</v>
      </c>
      <c r="AR1019">
        <v>0</v>
      </c>
      <c r="AS1019" t="s">
        <v>66</v>
      </c>
      <c r="AT1019">
        <v>0</v>
      </c>
      <c r="AU1019" t="s">
        <v>66</v>
      </c>
      <c r="AV1019">
        <v>0</v>
      </c>
      <c r="AW1019" t="s">
        <v>66</v>
      </c>
      <c r="AX1019">
        <v>0</v>
      </c>
      <c r="AY1019" t="s">
        <v>66</v>
      </c>
      <c r="AZ1019">
        <v>0</v>
      </c>
      <c r="BA1019" t="s">
        <v>66</v>
      </c>
      <c r="BB1019">
        <v>0</v>
      </c>
      <c r="BC1019">
        <v>0</v>
      </c>
      <c r="BD1019">
        <v>228131.64</v>
      </c>
      <c r="BE1019">
        <v>15641.37</v>
      </c>
      <c r="BF1019">
        <v>0</v>
      </c>
      <c r="BG1019" t="s">
        <v>87</v>
      </c>
      <c r="BH1019" t="s">
        <v>66</v>
      </c>
      <c r="BI1019">
        <v>0</v>
      </c>
      <c r="BJ1019" t="s">
        <v>66</v>
      </c>
      <c r="BK1019" t="s">
        <v>88</v>
      </c>
      <c r="BL1019" t="s">
        <v>66</v>
      </c>
      <c r="BM1019" t="s">
        <v>159</v>
      </c>
    </row>
    <row r="1020" spans="1:65" x14ac:dyDescent="0.25">
      <c r="A1020">
        <v>1018</v>
      </c>
      <c r="B1020" t="s">
        <v>1336</v>
      </c>
      <c r="C1020" t="s">
        <v>68</v>
      </c>
      <c r="D1020" s="1">
        <v>46216</v>
      </c>
      <c r="E1020" t="s">
        <v>1337</v>
      </c>
      <c r="F1020" t="s">
        <v>68</v>
      </c>
      <c r="G1020" t="s">
        <v>295</v>
      </c>
      <c r="H1020" t="s">
        <v>296</v>
      </c>
      <c r="I1020" t="s">
        <v>71</v>
      </c>
      <c r="J1020" t="s">
        <v>72</v>
      </c>
      <c r="K1020" t="s">
        <v>73</v>
      </c>
      <c r="L1020" t="s">
        <v>74</v>
      </c>
      <c r="M1020" t="s">
        <v>1338</v>
      </c>
      <c r="N1020" t="s">
        <v>76</v>
      </c>
      <c r="O1020" t="s">
        <v>1339</v>
      </c>
      <c r="P1020" t="s">
        <v>1340</v>
      </c>
      <c r="Q1020" t="s">
        <v>1341</v>
      </c>
      <c r="R1020" s="1">
        <v>46216</v>
      </c>
      <c r="S1020" t="s">
        <v>1230</v>
      </c>
      <c r="T1020" t="s">
        <v>1231</v>
      </c>
      <c r="U1020" t="s">
        <v>1232</v>
      </c>
      <c r="V1020" t="s">
        <v>66</v>
      </c>
      <c r="W1020" t="s">
        <v>66</v>
      </c>
      <c r="X1020">
        <v>3097413</v>
      </c>
      <c r="Y1020">
        <v>340715.43</v>
      </c>
      <c r="Z1020">
        <v>455004</v>
      </c>
      <c r="AA1020">
        <v>50050.44</v>
      </c>
      <c r="AB1020">
        <v>3438128.43</v>
      </c>
      <c r="AC1020">
        <v>12</v>
      </c>
      <c r="AD1020" t="s">
        <v>82</v>
      </c>
      <c r="AE1020">
        <v>12</v>
      </c>
      <c r="AF1020" t="s">
        <v>138</v>
      </c>
      <c r="AG1020">
        <f>IFERROR(VLOOKUP(AF1020,[1]STOK!J:O,6,0),"")</f>
        <v>6</v>
      </c>
      <c r="AH1020" s="2">
        <f t="shared" si="30"/>
        <v>2</v>
      </c>
      <c r="AI1020" t="s">
        <v>138</v>
      </c>
      <c r="AJ1020" t="s">
        <v>139</v>
      </c>
      <c r="AK1020" t="s">
        <v>140</v>
      </c>
      <c r="AL1020" t="s">
        <v>86</v>
      </c>
      <c r="AM1020">
        <v>42513</v>
      </c>
      <c r="AN1020">
        <f t="shared" si="31"/>
        <v>42087.87</v>
      </c>
      <c r="AO1020" t="s">
        <v>66</v>
      </c>
      <c r="AP1020">
        <v>1</v>
      </c>
      <c r="AQ1020" t="s">
        <v>66</v>
      </c>
      <c r="AR1020">
        <v>0</v>
      </c>
      <c r="AS1020" t="s">
        <v>66</v>
      </c>
      <c r="AT1020">
        <v>0</v>
      </c>
      <c r="AU1020" t="s">
        <v>66</v>
      </c>
      <c r="AV1020">
        <v>0</v>
      </c>
      <c r="AW1020" t="s">
        <v>66</v>
      </c>
      <c r="AX1020">
        <v>0</v>
      </c>
      <c r="AY1020" t="s">
        <v>66</v>
      </c>
      <c r="AZ1020">
        <v>0</v>
      </c>
      <c r="BA1020" t="s">
        <v>66</v>
      </c>
      <c r="BB1020">
        <v>0</v>
      </c>
      <c r="BC1020">
        <v>0</v>
      </c>
      <c r="BD1020">
        <v>505054.44</v>
      </c>
      <c r="BE1020">
        <v>34661.269999999997</v>
      </c>
      <c r="BF1020">
        <v>0</v>
      </c>
      <c r="BG1020" t="s">
        <v>87</v>
      </c>
      <c r="BH1020" t="s">
        <v>66</v>
      </c>
      <c r="BI1020">
        <v>0</v>
      </c>
      <c r="BJ1020" t="s">
        <v>66</v>
      </c>
      <c r="BK1020" t="s">
        <v>88</v>
      </c>
      <c r="BL1020" t="s">
        <v>66</v>
      </c>
      <c r="BM1020" t="s">
        <v>159</v>
      </c>
    </row>
    <row r="1021" spans="1:65" x14ac:dyDescent="0.25">
      <c r="A1021">
        <v>1019</v>
      </c>
      <c r="B1021" t="s">
        <v>1336</v>
      </c>
      <c r="C1021" t="s">
        <v>68</v>
      </c>
      <c r="D1021" s="1">
        <v>46216</v>
      </c>
      <c r="E1021" t="s">
        <v>1337</v>
      </c>
      <c r="F1021" t="s">
        <v>68</v>
      </c>
      <c r="G1021" t="s">
        <v>295</v>
      </c>
      <c r="H1021" t="s">
        <v>296</v>
      </c>
      <c r="I1021" t="s">
        <v>71</v>
      </c>
      <c r="J1021" t="s">
        <v>72</v>
      </c>
      <c r="K1021" t="s">
        <v>73</v>
      </c>
      <c r="L1021" t="s">
        <v>74</v>
      </c>
      <c r="M1021" t="s">
        <v>1338</v>
      </c>
      <c r="N1021" t="s">
        <v>76</v>
      </c>
      <c r="O1021" t="s">
        <v>1339</v>
      </c>
      <c r="P1021" t="s">
        <v>1340</v>
      </c>
      <c r="Q1021" t="s">
        <v>1341</v>
      </c>
      <c r="R1021" s="1">
        <v>46216</v>
      </c>
      <c r="S1021" t="s">
        <v>1230</v>
      </c>
      <c r="T1021" t="s">
        <v>1231</v>
      </c>
      <c r="U1021" t="s">
        <v>1232</v>
      </c>
      <c r="V1021" t="s">
        <v>66</v>
      </c>
      <c r="W1021" t="s">
        <v>66</v>
      </c>
      <c r="X1021">
        <v>3097413</v>
      </c>
      <c r="Y1021">
        <v>340715.43</v>
      </c>
      <c r="Z1021">
        <v>400950</v>
      </c>
      <c r="AA1021">
        <v>44104.5</v>
      </c>
      <c r="AB1021">
        <v>3438128.43</v>
      </c>
      <c r="AC1021">
        <v>6</v>
      </c>
      <c r="AD1021" t="s">
        <v>82</v>
      </c>
      <c r="AE1021">
        <v>6</v>
      </c>
      <c r="AF1021" t="s">
        <v>312</v>
      </c>
      <c r="AG1021">
        <f>IFERROR(VLOOKUP(AF1021,[1]STOK!J:O,6,0),"")</f>
        <v>4</v>
      </c>
      <c r="AH1021" s="2">
        <f t="shared" si="30"/>
        <v>1.5</v>
      </c>
      <c r="AI1021" t="s">
        <v>312</v>
      </c>
      <c r="AJ1021" t="s">
        <v>313</v>
      </c>
      <c r="AK1021" t="s">
        <v>314</v>
      </c>
      <c r="AL1021" t="s">
        <v>86</v>
      </c>
      <c r="AM1021">
        <v>74925</v>
      </c>
      <c r="AN1021">
        <f t="shared" si="31"/>
        <v>74175.75</v>
      </c>
      <c r="AO1021" t="s">
        <v>66</v>
      </c>
      <c r="AP1021">
        <v>1</v>
      </c>
      <c r="AQ1021" t="s">
        <v>66</v>
      </c>
      <c r="AR1021">
        <v>0</v>
      </c>
      <c r="AS1021" t="s">
        <v>66</v>
      </c>
      <c r="AT1021">
        <v>0</v>
      </c>
      <c r="AU1021" t="s">
        <v>66</v>
      </c>
      <c r="AV1021">
        <v>0</v>
      </c>
      <c r="AW1021" t="s">
        <v>66</v>
      </c>
      <c r="AX1021">
        <v>0</v>
      </c>
      <c r="AY1021" t="s">
        <v>66</v>
      </c>
      <c r="AZ1021">
        <v>0</v>
      </c>
      <c r="BA1021" t="s">
        <v>66</v>
      </c>
      <c r="BB1021">
        <v>0</v>
      </c>
      <c r="BC1021">
        <v>0</v>
      </c>
      <c r="BD1021">
        <v>445054.5</v>
      </c>
      <c r="BE1021">
        <v>60390.38</v>
      </c>
      <c r="BF1021">
        <v>0</v>
      </c>
      <c r="BG1021" t="s">
        <v>87</v>
      </c>
      <c r="BH1021" t="s">
        <v>66</v>
      </c>
      <c r="BI1021">
        <v>0</v>
      </c>
      <c r="BJ1021" t="s">
        <v>66</v>
      </c>
      <c r="BK1021" t="s">
        <v>88</v>
      </c>
      <c r="BL1021" t="s">
        <v>66</v>
      </c>
      <c r="BM1021" t="s">
        <v>159</v>
      </c>
    </row>
    <row r="1022" spans="1:65" x14ac:dyDescent="0.25">
      <c r="A1022">
        <v>1020</v>
      </c>
      <c r="B1022" t="s">
        <v>1336</v>
      </c>
      <c r="C1022" t="s">
        <v>68</v>
      </c>
      <c r="D1022" s="1">
        <v>46216</v>
      </c>
      <c r="E1022" t="s">
        <v>1337</v>
      </c>
      <c r="F1022" t="s">
        <v>68</v>
      </c>
      <c r="G1022" t="s">
        <v>295</v>
      </c>
      <c r="H1022" t="s">
        <v>296</v>
      </c>
      <c r="I1022" t="s">
        <v>71</v>
      </c>
      <c r="J1022" t="s">
        <v>72</v>
      </c>
      <c r="K1022" t="s">
        <v>73</v>
      </c>
      <c r="L1022" t="s">
        <v>74</v>
      </c>
      <c r="M1022" t="s">
        <v>1338</v>
      </c>
      <c r="N1022" t="s">
        <v>76</v>
      </c>
      <c r="O1022" t="s">
        <v>1339</v>
      </c>
      <c r="P1022" t="s">
        <v>1340</v>
      </c>
      <c r="Q1022" t="s">
        <v>1341</v>
      </c>
      <c r="R1022" s="1">
        <v>46216</v>
      </c>
      <c r="S1022" t="s">
        <v>1230</v>
      </c>
      <c r="T1022" t="s">
        <v>1231</v>
      </c>
      <c r="U1022" t="s">
        <v>1232</v>
      </c>
      <c r="V1022" t="s">
        <v>66</v>
      </c>
      <c r="W1022" t="s">
        <v>66</v>
      </c>
      <c r="X1022">
        <v>3097413</v>
      </c>
      <c r="Y1022">
        <v>340715.43</v>
      </c>
      <c r="Z1022">
        <v>400950</v>
      </c>
      <c r="AA1022">
        <v>44104.5</v>
      </c>
      <c r="AB1022">
        <v>3438128.43</v>
      </c>
      <c r="AC1022">
        <v>6</v>
      </c>
      <c r="AD1022" t="s">
        <v>82</v>
      </c>
      <c r="AE1022">
        <v>6</v>
      </c>
      <c r="AF1022" t="s">
        <v>476</v>
      </c>
      <c r="AG1022">
        <f>IFERROR(VLOOKUP(AF1022,[1]STOK!J:O,6,0),"")</f>
        <v>4</v>
      </c>
      <c r="AH1022" s="2">
        <f t="shared" si="30"/>
        <v>1.5</v>
      </c>
      <c r="AI1022" t="s">
        <v>476</v>
      </c>
      <c r="AJ1022" t="s">
        <v>477</v>
      </c>
      <c r="AK1022" t="s">
        <v>478</v>
      </c>
      <c r="AL1022" t="s">
        <v>86</v>
      </c>
      <c r="AM1022">
        <v>74925</v>
      </c>
      <c r="AN1022">
        <f t="shared" si="31"/>
        <v>74175.75</v>
      </c>
      <c r="AO1022" t="s">
        <v>66</v>
      </c>
      <c r="AP1022">
        <v>1</v>
      </c>
      <c r="AQ1022" t="s">
        <v>66</v>
      </c>
      <c r="AR1022">
        <v>0</v>
      </c>
      <c r="AS1022" t="s">
        <v>66</v>
      </c>
      <c r="AT1022">
        <v>0</v>
      </c>
      <c r="AU1022" t="s">
        <v>66</v>
      </c>
      <c r="AV1022">
        <v>0</v>
      </c>
      <c r="AW1022" t="s">
        <v>66</v>
      </c>
      <c r="AX1022">
        <v>0</v>
      </c>
      <c r="AY1022" t="s">
        <v>66</v>
      </c>
      <c r="AZ1022">
        <v>0</v>
      </c>
      <c r="BA1022" t="s">
        <v>66</v>
      </c>
      <c r="BB1022">
        <v>0</v>
      </c>
      <c r="BC1022">
        <v>0</v>
      </c>
      <c r="BD1022">
        <v>445054.5</v>
      </c>
      <c r="BE1022">
        <v>60248.82</v>
      </c>
      <c r="BF1022">
        <v>0</v>
      </c>
      <c r="BG1022" t="s">
        <v>87</v>
      </c>
      <c r="BH1022" t="s">
        <v>66</v>
      </c>
      <c r="BI1022">
        <v>0</v>
      </c>
      <c r="BJ1022" t="s">
        <v>66</v>
      </c>
      <c r="BK1022" t="s">
        <v>88</v>
      </c>
      <c r="BL1022" t="s">
        <v>66</v>
      </c>
      <c r="BM1022" t="s">
        <v>159</v>
      </c>
    </row>
    <row r="1023" spans="1:65" x14ac:dyDescent="0.25">
      <c r="A1023">
        <v>1021</v>
      </c>
      <c r="B1023" t="s">
        <v>1342</v>
      </c>
      <c r="C1023" t="s">
        <v>68</v>
      </c>
      <c r="D1023" s="1">
        <v>46216</v>
      </c>
      <c r="E1023" t="s">
        <v>1343</v>
      </c>
      <c r="F1023" t="s">
        <v>68</v>
      </c>
      <c r="G1023" t="s">
        <v>295</v>
      </c>
      <c r="H1023" t="s">
        <v>296</v>
      </c>
      <c r="I1023" t="s">
        <v>71</v>
      </c>
      <c r="J1023" t="s">
        <v>72</v>
      </c>
      <c r="K1023" t="s">
        <v>73</v>
      </c>
      <c r="L1023" t="s">
        <v>74</v>
      </c>
      <c r="M1023" t="s">
        <v>1344</v>
      </c>
      <c r="N1023" t="s">
        <v>76</v>
      </c>
      <c r="O1023" t="s">
        <v>1345</v>
      </c>
      <c r="P1023" t="s">
        <v>1346</v>
      </c>
      <c r="Q1023" t="s">
        <v>66</v>
      </c>
      <c r="R1023" s="1">
        <v>46216</v>
      </c>
      <c r="S1023" t="s">
        <v>841</v>
      </c>
      <c r="T1023" t="s">
        <v>842</v>
      </c>
      <c r="U1023" t="s">
        <v>843</v>
      </c>
      <c r="V1023" t="s">
        <v>66</v>
      </c>
      <c r="W1023" t="s">
        <v>66</v>
      </c>
      <c r="X1023">
        <v>2658195.12</v>
      </c>
      <c r="Y1023">
        <v>292401.46000000002</v>
      </c>
      <c r="Z1023">
        <v>106028.16</v>
      </c>
      <c r="AA1023">
        <v>11663.1</v>
      </c>
      <c r="AB1023">
        <v>2950596.58</v>
      </c>
      <c r="AC1023">
        <v>6</v>
      </c>
      <c r="AD1023" t="s">
        <v>82</v>
      </c>
      <c r="AE1023">
        <v>6</v>
      </c>
      <c r="AF1023" t="s">
        <v>720</v>
      </c>
      <c r="AG1023">
        <f>IFERROR(VLOOKUP(AF1023,[1]STOK!J:O,6,0),"")</f>
        <v>12</v>
      </c>
      <c r="AH1023" s="2">
        <f t="shared" si="30"/>
        <v>0.5</v>
      </c>
      <c r="AI1023" t="s">
        <v>720</v>
      </c>
      <c r="AJ1023" t="s">
        <v>721</v>
      </c>
      <c r="AK1023" t="s">
        <v>722</v>
      </c>
      <c r="AL1023" t="s">
        <v>86</v>
      </c>
      <c r="AM1023">
        <v>20424</v>
      </c>
      <c r="AN1023">
        <f t="shared" si="31"/>
        <v>19615.21</v>
      </c>
      <c r="AO1023" t="s">
        <v>66</v>
      </c>
      <c r="AP1023">
        <v>2</v>
      </c>
      <c r="AQ1023" t="s">
        <v>66</v>
      </c>
      <c r="AR1023">
        <v>0</v>
      </c>
      <c r="AS1023" t="s">
        <v>66</v>
      </c>
      <c r="AT1023">
        <v>0</v>
      </c>
      <c r="AU1023" t="s">
        <v>66</v>
      </c>
      <c r="AV1023">
        <v>2</v>
      </c>
      <c r="AW1023" t="s">
        <v>66</v>
      </c>
      <c r="AX1023">
        <v>0</v>
      </c>
      <c r="AY1023" t="s">
        <v>66</v>
      </c>
      <c r="AZ1023">
        <v>0</v>
      </c>
      <c r="BA1023" t="s">
        <v>66</v>
      </c>
      <c r="BB1023">
        <v>0</v>
      </c>
      <c r="BC1023">
        <v>0</v>
      </c>
      <c r="BD1023">
        <v>117691.26</v>
      </c>
      <c r="BE1023">
        <v>16647.18</v>
      </c>
      <c r="BF1023">
        <v>0</v>
      </c>
      <c r="BG1023" t="s">
        <v>87</v>
      </c>
      <c r="BH1023" t="s">
        <v>1347</v>
      </c>
      <c r="BI1023">
        <v>6</v>
      </c>
      <c r="BJ1023" t="s">
        <v>158</v>
      </c>
      <c r="BK1023" t="s">
        <v>88</v>
      </c>
      <c r="BL1023" t="s">
        <v>742</v>
      </c>
      <c r="BM1023" t="s">
        <v>159</v>
      </c>
    </row>
    <row r="1024" spans="1:65" x14ac:dyDescent="0.25">
      <c r="A1024">
        <v>1022</v>
      </c>
      <c r="B1024" t="s">
        <v>1342</v>
      </c>
      <c r="C1024" t="s">
        <v>68</v>
      </c>
      <c r="D1024" s="1">
        <v>46216</v>
      </c>
      <c r="E1024" t="s">
        <v>1343</v>
      </c>
      <c r="F1024" t="s">
        <v>68</v>
      </c>
      <c r="G1024" t="s">
        <v>295</v>
      </c>
      <c r="H1024" t="s">
        <v>296</v>
      </c>
      <c r="I1024" t="s">
        <v>71</v>
      </c>
      <c r="J1024" t="s">
        <v>72</v>
      </c>
      <c r="K1024" t="s">
        <v>73</v>
      </c>
      <c r="L1024" t="s">
        <v>74</v>
      </c>
      <c r="M1024" t="s">
        <v>1344</v>
      </c>
      <c r="N1024" t="s">
        <v>76</v>
      </c>
      <c r="O1024" t="s">
        <v>1345</v>
      </c>
      <c r="P1024" t="s">
        <v>1346</v>
      </c>
      <c r="Q1024" t="s">
        <v>66</v>
      </c>
      <c r="R1024" s="1">
        <v>46216</v>
      </c>
      <c r="S1024" t="s">
        <v>841</v>
      </c>
      <c r="T1024" t="s">
        <v>842</v>
      </c>
      <c r="U1024" t="s">
        <v>843</v>
      </c>
      <c r="V1024" t="s">
        <v>66</v>
      </c>
      <c r="W1024" t="s">
        <v>66</v>
      </c>
      <c r="X1024">
        <v>2658195.12</v>
      </c>
      <c r="Y1024">
        <v>292401.46000000002</v>
      </c>
      <c r="Z1024">
        <v>106028.16</v>
      </c>
      <c r="AA1024">
        <v>11663.1</v>
      </c>
      <c r="AB1024">
        <v>2950596.58</v>
      </c>
      <c r="AC1024">
        <v>6</v>
      </c>
      <c r="AD1024" t="s">
        <v>82</v>
      </c>
      <c r="AE1024">
        <v>6</v>
      </c>
      <c r="AF1024" t="s">
        <v>160</v>
      </c>
      <c r="AG1024">
        <f>IFERROR(VLOOKUP(AF1024,[1]STOK!J:O,6,0),"")</f>
        <v>12</v>
      </c>
      <c r="AH1024" s="2">
        <f t="shared" si="30"/>
        <v>0.5</v>
      </c>
      <c r="AI1024" t="s">
        <v>160</v>
      </c>
      <c r="AJ1024" t="s">
        <v>161</v>
      </c>
      <c r="AK1024" t="s">
        <v>162</v>
      </c>
      <c r="AL1024" t="s">
        <v>86</v>
      </c>
      <c r="AM1024">
        <v>20424</v>
      </c>
      <c r="AN1024">
        <f t="shared" si="31"/>
        <v>19615.21</v>
      </c>
      <c r="AO1024" t="s">
        <v>66</v>
      </c>
      <c r="AP1024">
        <v>2</v>
      </c>
      <c r="AQ1024" t="s">
        <v>66</v>
      </c>
      <c r="AR1024">
        <v>0</v>
      </c>
      <c r="AS1024" t="s">
        <v>66</v>
      </c>
      <c r="AT1024">
        <v>0</v>
      </c>
      <c r="AU1024" t="s">
        <v>66</v>
      </c>
      <c r="AV1024">
        <v>2</v>
      </c>
      <c r="AW1024" t="s">
        <v>66</v>
      </c>
      <c r="AX1024">
        <v>0</v>
      </c>
      <c r="AY1024" t="s">
        <v>66</v>
      </c>
      <c r="AZ1024">
        <v>0</v>
      </c>
      <c r="BA1024" t="s">
        <v>66</v>
      </c>
      <c r="BB1024">
        <v>0</v>
      </c>
      <c r="BC1024">
        <v>0</v>
      </c>
      <c r="BD1024">
        <v>117691.26</v>
      </c>
      <c r="BE1024">
        <v>16652.16</v>
      </c>
      <c r="BF1024">
        <v>0</v>
      </c>
      <c r="BG1024" t="s">
        <v>87</v>
      </c>
      <c r="BH1024" t="s">
        <v>1347</v>
      </c>
      <c r="BI1024">
        <v>6</v>
      </c>
      <c r="BJ1024" t="s">
        <v>158</v>
      </c>
      <c r="BK1024" t="s">
        <v>88</v>
      </c>
      <c r="BL1024" t="s">
        <v>742</v>
      </c>
      <c r="BM1024" t="s">
        <v>159</v>
      </c>
    </row>
    <row r="1025" spans="1:65" x14ac:dyDescent="0.25">
      <c r="A1025">
        <v>1023</v>
      </c>
      <c r="B1025" t="s">
        <v>1342</v>
      </c>
      <c r="C1025" t="s">
        <v>68</v>
      </c>
      <c r="D1025" s="1">
        <v>46216</v>
      </c>
      <c r="E1025" t="s">
        <v>1343</v>
      </c>
      <c r="F1025" t="s">
        <v>68</v>
      </c>
      <c r="G1025" t="s">
        <v>295</v>
      </c>
      <c r="H1025" t="s">
        <v>296</v>
      </c>
      <c r="I1025" t="s">
        <v>71</v>
      </c>
      <c r="J1025" t="s">
        <v>72</v>
      </c>
      <c r="K1025" t="s">
        <v>73</v>
      </c>
      <c r="L1025" t="s">
        <v>74</v>
      </c>
      <c r="M1025" t="s">
        <v>1344</v>
      </c>
      <c r="N1025" t="s">
        <v>76</v>
      </c>
      <c r="O1025" t="s">
        <v>1345</v>
      </c>
      <c r="P1025" t="s">
        <v>1346</v>
      </c>
      <c r="Q1025" t="s">
        <v>66</v>
      </c>
      <c r="R1025" s="1">
        <v>46216</v>
      </c>
      <c r="S1025" t="s">
        <v>841</v>
      </c>
      <c r="T1025" t="s">
        <v>842</v>
      </c>
      <c r="U1025" t="s">
        <v>843</v>
      </c>
      <c r="V1025" t="s">
        <v>66</v>
      </c>
      <c r="W1025" t="s">
        <v>66</v>
      </c>
      <c r="X1025">
        <v>2658195.12</v>
      </c>
      <c r="Y1025">
        <v>292401.46000000002</v>
      </c>
      <c r="Z1025">
        <v>106028.16</v>
      </c>
      <c r="AA1025">
        <v>11663.1</v>
      </c>
      <c r="AB1025">
        <v>2950596.58</v>
      </c>
      <c r="AC1025">
        <v>6</v>
      </c>
      <c r="AD1025" t="s">
        <v>82</v>
      </c>
      <c r="AE1025">
        <v>6</v>
      </c>
      <c r="AF1025" t="s">
        <v>116</v>
      </c>
      <c r="AG1025">
        <f>IFERROR(VLOOKUP(AF1025,[1]STOK!J:O,6,0),"")</f>
        <v>12</v>
      </c>
      <c r="AH1025" s="2">
        <f t="shared" si="30"/>
        <v>0.5</v>
      </c>
      <c r="AI1025" t="s">
        <v>116</v>
      </c>
      <c r="AJ1025" t="s">
        <v>117</v>
      </c>
      <c r="AK1025" t="s">
        <v>118</v>
      </c>
      <c r="AL1025" t="s">
        <v>86</v>
      </c>
      <c r="AM1025">
        <v>20424</v>
      </c>
      <c r="AN1025">
        <f t="shared" si="31"/>
        <v>19615.21</v>
      </c>
      <c r="AO1025" t="s">
        <v>66</v>
      </c>
      <c r="AP1025">
        <v>2</v>
      </c>
      <c r="AQ1025" t="s">
        <v>66</v>
      </c>
      <c r="AR1025">
        <v>0</v>
      </c>
      <c r="AS1025" t="s">
        <v>66</v>
      </c>
      <c r="AT1025">
        <v>0</v>
      </c>
      <c r="AU1025" t="s">
        <v>66</v>
      </c>
      <c r="AV1025">
        <v>2</v>
      </c>
      <c r="AW1025" t="s">
        <v>66</v>
      </c>
      <c r="AX1025">
        <v>0</v>
      </c>
      <c r="AY1025" t="s">
        <v>66</v>
      </c>
      <c r="AZ1025">
        <v>0</v>
      </c>
      <c r="BA1025" t="s">
        <v>66</v>
      </c>
      <c r="BB1025">
        <v>0</v>
      </c>
      <c r="BC1025">
        <v>0</v>
      </c>
      <c r="BD1025">
        <v>117691.26</v>
      </c>
      <c r="BE1025">
        <v>16645.46</v>
      </c>
      <c r="BF1025">
        <v>0</v>
      </c>
      <c r="BG1025" t="s">
        <v>87</v>
      </c>
      <c r="BH1025" t="s">
        <v>1347</v>
      </c>
      <c r="BI1025">
        <v>6</v>
      </c>
      <c r="BJ1025" t="s">
        <v>158</v>
      </c>
      <c r="BK1025" t="s">
        <v>88</v>
      </c>
      <c r="BL1025" t="s">
        <v>742</v>
      </c>
      <c r="BM1025" t="s">
        <v>159</v>
      </c>
    </row>
    <row r="1026" spans="1:65" x14ac:dyDescent="0.25">
      <c r="A1026">
        <v>1024</v>
      </c>
      <c r="B1026" t="s">
        <v>1342</v>
      </c>
      <c r="C1026" t="s">
        <v>68</v>
      </c>
      <c r="D1026" s="1">
        <v>46216</v>
      </c>
      <c r="E1026" t="s">
        <v>1343</v>
      </c>
      <c r="F1026" t="s">
        <v>68</v>
      </c>
      <c r="G1026" t="s">
        <v>295</v>
      </c>
      <c r="H1026" t="s">
        <v>296</v>
      </c>
      <c r="I1026" t="s">
        <v>71</v>
      </c>
      <c r="J1026" t="s">
        <v>72</v>
      </c>
      <c r="K1026" t="s">
        <v>73</v>
      </c>
      <c r="L1026" t="s">
        <v>74</v>
      </c>
      <c r="M1026" t="s">
        <v>1344</v>
      </c>
      <c r="N1026" t="s">
        <v>76</v>
      </c>
      <c r="O1026" t="s">
        <v>1345</v>
      </c>
      <c r="P1026" t="s">
        <v>1346</v>
      </c>
      <c r="Q1026" t="s">
        <v>66</v>
      </c>
      <c r="R1026" s="1">
        <v>46216</v>
      </c>
      <c r="S1026" t="s">
        <v>841</v>
      </c>
      <c r="T1026" t="s">
        <v>842</v>
      </c>
      <c r="U1026" t="s">
        <v>843</v>
      </c>
      <c r="V1026" t="s">
        <v>66</v>
      </c>
      <c r="W1026" t="s">
        <v>66</v>
      </c>
      <c r="X1026">
        <v>2658195.12</v>
      </c>
      <c r="Y1026">
        <v>292401.46000000002</v>
      </c>
      <c r="Z1026">
        <v>42641.760000000002</v>
      </c>
      <c r="AA1026">
        <v>4690.59</v>
      </c>
      <c r="AB1026">
        <v>2950596.58</v>
      </c>
      <c r="AC1026">
        <v>6</v>
      </c>
      <c r="AD1026" t="s">
        <v>82</v>
      </c>
      <c r="AE1026">
        <v>6</v>
      </c>
      <c r="AF1026" t="s">
        <v>262</v>
      </c>
      <c r="AG1026">
        <f>IFERROR(VLOOKUP(AF1026,[1]STOK!J:O,6,0),"")</f>
        <v>24</v>
      </c>
      <c r="AH1026" s="2">
        <f t="shared" si="30"/>
        <v>0.25</v>
      </c>
      <c r="AI1026" t="s">
        <v>262</v>
      </c>
      <c r="AJ1026" t="s">
        <v>263</v>
      </c>
      <c r="AK1026" t="s">
        <v>264</v>
      </c>
      <c r="AL1026" t="s">
        <v>86</v>
      </c>
      <c r="AM1026">
        <v>8214</v>
      </c>
      <c r="AN1026">
        <f t="shared" si="31"/>
        <v>7888.7249999999995</v>
      </c>
      <c r="AO1026" t="s">
        <v>66</v>
      </c>
      <c r="AP1026">
        <v>2</v>
      </c>
      <c r="AQ1026" t="s">
        <v>66</v>
      </c>
      <c r="AR1026">
        <v>0</v>
      </c>
      <c r="AS1026" t="s">
        <v>66</v>
      </c>
      <c r="AT1026">
        <v>0</v>
      </c>
      <c r="AU1026" t="s">
        <v>66</v>
      </c>
      <c r="AV1026">
        <v>2</v>
      </c>
      <c r="AW1026" t="s">
        <v>66</v>
      </c>
      <c r="AX1026">
        <v>0</v>
      </c>
      <c r="AY1026" t="s">
        <v>66</v>
      </c>
      <c r="AZ1026">
        <v>0</v>
      </c>
      <c r="BA1026" t="s">
        <v>66</v>
      </c>
      <c r="BB1026">
        <v>0</v>
      </c>
      <c r="BC1026">
        <v>0</v>
      </c>
      <c r="BD1026">
        <v>47332.35</v>
      </c>
      <c r="BE1026">
        <v>6696.26</v>
      </c>
      <c r="BF1026">
        <v>0</v>
      </c>
      <c r="BG1026" t="s">
        <v>87</v>
      </c>
      <c r="BH1026" t="s">
        <v>1347</v>
      </c>
      <c r="BI1026">
        <v>6</v>
      </c>
      <c r="BJ1026" t="s">
        <v>158</v>
      </c>
      <c r="BK1026" t="s">
        <v>88</v>
      </c>
      <c r="BL1026" t="s">
        <v>742</v>
      </c>
      <c r="BM1026" t="s">
        <v>159</v>
      </c>
    </row>
    <row r="1027" spans="1:65" x14ac:dyDescent="0.25">
      <c r="A1027">
        <v>1025</v>
      </c>
      <c r="B1027" t="s">
        <v>1342</v>
      </c>
      <c r="C1027" t="s">
        <v>68</v>
      </c>
      <c r="D1027" s="1">
        <v>46216</v>
      </c>
      <c r="E1027" t="s">
        <v>1343</v>
      </c>
      <c r="F1027" t="s">
        <v>68</v>
      </c>
      <c r="G1027" t="s">
        <v>295</v>
      </c>
      <c r="H1027" t="s">
        <v>296</v>
      </c>
      <c r="I1027" t="s">
        <v>71</v>
      </c>
      <c r="J1027" t="s">
        <v>72</v>
      </c>
      <c r="K1027" t="s">
        <v>73</v>
      </c>
      <c r="L1027" t="s">
        <v>74</v>
      </c>
      <c r="M1027" t="s">
        <v>1344</v>
      </c>
      <c r="N1027" t="s">
        <v>76</v>
      </c>
      <c r="O1027" t="s">
        <v>1345</v>
      </c>
      <c r="P1027" t="s">
        <v>1346</v>
      </c>
      <c r="Q1027" t="s">
        <v>66</v>
      </c>
      <c r="R1027" s="1">
        <v>46216</v>
      </c>
      <c r="S1027" t="s">
        <v>841</v>
      </c>
      <c r="T1027" t="s">
        <v>842</v>
      </c>
      <c r="U1027" t="s">
        <v>843</v>
      </c>
      <c r="V1027" t="s">
        <v>66</v>
      </c>
      <c r="W1027" t="s">
        <v>66</v>
      </c>
      <c r="X1027">
        <v>2658195.12</v>
      </c>
      <c r="Y1027">
        <v>292401.46000000002</v>
      </c>
      <c r="Z1027">
        <v>42641.760000000002</v>
      </c>
      <c r="AA1027">
        <v>4690.59</v>
      </c>
      <c r="AB1027">
        <v>2950596.58</v>
      </c>
      <c r="AC1027">
        <v>6</v>
      </c>
      <c r="AD1027" t="s">
        <v>82</v>
      </c>
      <c r="AE1027">
        <v>6</v>
      </c>
      <c r="AF1027" t="s">
        <v>265</v>
      </c>
      <c r="AG1027">
        <f>IFERROR(VLOOKUP(AF1027,[1]STOK!J:O,6,0),"")</f>
        <v>24</v>
      </c>
      <c r="AH1027" s="2">
        <f t="shared" si="30"/>
        <v>0.25</v>
      </c>
      <c r="AI1027" t="s">
        <v>265</v>
      </c>
      <c r="AJ1027" t="s">
        <v>266</v>
      </c>
      <c r="AK1027" t="s">
        <v>267</v>
      </c>
      <c r="AL1027" t="s">
        <v>86</v>
      </c>
      <c r="AM1027">
        <v>8214</v>
      </c>
      <c r="AN1027">
        <f t="shared" si="31"/>
        <v>7888.7249999999995</v>
      </c>
      <c r="AO1027" t="s">
        <v>66</v>
      </c>
      <c r="AP1027">
        <v>2</v>
      </c>
      <c r="AQ1027" t="s">
        <v>66</v>
      </c>
      <c r="AR1027">
        <v>0</v>
      </c>
      <c r="AS1027" t="s">
        <v>66</v>
      </c>
      <c r="AT1027">
        <v>0</v>
      </c>
      <c r="AU1027" t="s">
        <v>66</v>
      </c>
      <c r="AV1027">
        <v>2</v>
      </c>
      <c r="AW1027" t="s">
        <v>66</v>
      </c>
      <c r="AX1027">
        <v>0</v>
      </c>
      <c r="AY1027" t="s">
        <v>66</v>
      </c>
      <c r="AZ1027">
        <v>0</v>
      </c>
      <c r="BA1027" t="s">
        <v>66</v>
      </c>
      <c r="BB1027">
        <v>0</v>
      </c>
      <c r="BC1027">
        <v>0</v>
      </c>
      <c r="BD1027">
        <v>47332.35</v>
      </c>
      <c r="BE1027">
        <v>6679.36</v>
      </c>
      <c r="BF1027">
        <v>0</v>
      </c>
      <c r="BG1027" t="s">
        <v>87</v>
      </c>
      <c r="BH1027" t="s">
        <v>1347</v>
      </c>
      <c r="BI1027">
        <v>6</v>
      </c>
      <c r="BJ1027" t="s">
        <v>158</v>
      </c>
      <c r="BK1027" t="s">
        <v>88</v>
      </c>
      <c r="BL1027" t="s">
        <v>742</v>
      </c>
      <c r="BM1027" t="s">
        <v>159</v>
      </c>
    </row>
    <row r="1028" spans="1:65" x14ac:dyDescent="0.25">
      <c r="A1028">
        <v>1026</v>
      </c>
      <c r="B1028" t="s">
        <v>1342</v>
      </c>
      <c r="C1028" t="s">
        <v>68</v>
      </c>
      <c r="D1028" s="1">
        <v>46216</v>
      </c>
      <c r="E1028" t="s">
        <v>1343</v>
      </c>
      <c r="F1028" t="s">
        <v>68</v>
      </c>
      <c r="G1028" t="s">
        <v>295</v>
      </c>
      <c r="H1028" t="s">
        <v>296</v>
      </c>
      <c r="I1028" t="s">
        <v>71</v>
      </c>
      <c r="J1028" t="s">
        <v>72</v>
      </c>
      <c r="K1028" t="s">
        <v>73</v>
      </c>
      <c r="L1028" t="s">
        <v>74</v>
      </c>
      <c r="M1028" t="s">
        <v>1344</v>
      </c>
      <c r="N1028" t="s">
        <v>76</v>
      </c>
      <c r="O1028" t="s">
        <v>1345</v>
      </c>
      <c r="P1028" t="s">
        <v>1346</v>
      </c>
      <c r="Q1028" t="s">
        <v>66</v>
      </c>
      <c r="R1028" s="1">
        <v>46216</v>
      </c>
      <c r="S1028" t="s">
        <v>841</v>
      </c>
      <c r="T1028" t="s">
        <v>842</v>
      </c>
      <c r="U1028" t="s">
        <v>843</v>
      </c>
      <c r="V1028" t="s">
        <v>66</v>
      </c>
      <c r="W1028" t="s">
        <v>66</v>
      </c>
      <c r="X1028">
        <v>2658195.12</v>
      </c>
      <c r="Y1028">
        <v>292401.46000000002</v>
      </c>
      <c r="Z1028">
        <v>42641.760000000002</v>
      </c>
      <c r="AA1028">
        <v>4690.59</v>
      </c>
      <c r="AB1028">
        <v>2950596.58</v>
      </c>
      <c r="AC1028">
        <v>6</v>
      </c>
      <c r="AD1028" t="s">
        <v>82</v>
      </c>
      <c r="AE1028">
        <v>6</v>
      </c>
      <c r="AF1028" t="s">
        <v>83</v>
      </c>
      <c r="AG1028">
        <f>IFERROR(VLOOKUP(AF1028,[1]STOK!J:O,6,0),"")</f>
        <v>24</v>
      </c>
      <c r="AH1028" s="2">
        <f t="shared" ref="AH1028:AH1091" si="32">AE1028/AG1028</f>
        <v>0.25</v>
      </c>
      <c r="AI1028" t="s">
        <v>83</v>
      </c>
      <c r="AJ1028" t="s">
        <v>84</v>
      </c>
      <c r="AK1028" t="s">
        <v>85</v>
      </c>
      <c r="AL1028" t="s">
        <v>86</v>
      </c>
      <c r="AM1028">
        <v>8214</v>
      </c>
      <c r="AN1028">
        <f t="shared" ref="AN1028:AN1091" si="33">BD1028/AC1028</f>
        <v>7888.7249999999995</v>
      </c>
      <c r="AO1028" t="s">
        <v>66</v>
      </c>
      <c r="AP1028">
        <v>2</v>
      </c>
      <c r="AQ1028" t="s">
        <v>66</v>
      </c>
      <c r="AR1028">
        <v>0</v>
      </c>
      <c r="AS1028" t="s">
        <v>66</v>
      </c>
      <c r="AT1028">
        <v>0</v>
      </c>
      <c r="AU1028" t="s">
        <v>66</v>
      </c>
      <c r="AV1028">
        <v>2</v>
      </c>
      <c r="AW1028" t="s">
        <v>66</v>
      </c>
      <c r="AX1028">
        <v>0</v>
      </c>
      <c r="AY1028" t="s">
        <v>66</v>
      </c>
      <c r="AZ1028">
        <v>0</v>
      </c>
      <c r="BA1028" t="s">
        <v>66</v>
      </c>
      <c r="BB1028">
        <v>0</v>
      </c>
      <c r="BC1028">
        <v>0</v>
      </c>
      <c r="BD1028">
        <v>47332.35</v>
      </c>
      <c r="BE1028">
        <v>6700.17</v>
      </c>
      <c r="BF1028">
        <v>0</v>
      </c>
      <c r="BG1028" t="s">
        <v>87</v>
      </c>
      <c r="BH1028" t="s">
        <v>1347</v>
      </c>
      <c r="BI1028">
        <v>6</v>
      </c>
      <c r="BJ1028" t="s">
        <v>158</v>
      </c>
      <c r="BK1028" t="s">
        <v>88</v>
      </c>
      <c r="BL1028" t="s">
        <v>742</v>
      </c>
      <c r="BM1028" t="s">
        <v>159</v>
      </c>
    </row>
    <row r="1029" spans="1:65" x14ac:dyDescent="0.25">
      <c r="A1029">
        <v>1027</v>
      </c>
      <c r="B1029" t="s">
        <v>1342</v>
      </c>
      <c r="C1029" t="s">
        <v>68</v>
      </c>
      <c r="D1029" s="1">
        <v>46216</v>
      </c>
      <c r="E1029" t="s">
        <v>1343</v>
      </c>
      <c r="F1029" t="s">
        <v>68</v>
      </c>
      <c r="G1029" t="s">
        <v>295</v>
      </c>
      <c r="H1029" t="s">
        <v>296</v>
      </c>
      <c r="I1029" t="s">
        <v>71</v>
      </c>
      <c r="J1029" t="s">
        <v>72</v>
      </c>
      <c r="K1029" t="s">
        <v>73</v>
      </c>
      <c r="L1029" t="s">
        <v>74</v>
      </c>
      <c r="M1029" t="s">
        <v>1344</v>
      </c>
      <c r="N1029" t="s">
        <v>76</v>
      </c>
      <c r="O1029" t="s">
        <v>1345</v>
      </c>
      <c r="P1029" t="s">
        <v>1346</v>
      </c>
      <c r="Q1029" t="s">
        <v>66</v>
      </c>
      <c r="R1029" s="1">
        <v>46216</v>
      </c>
      <c r="S1029" t="s">
        <v>841</v>
      </c>
      <c r="T1029" t="s">
        <v>842</v>
      </c>
      <c r="U1029" t="s">
        <v>843</v>
      </c>
      <c r="V1029" t="s">
        <v>66</v>
      </c>
      <c r="W1029" t="s">
        <v>66</v>
      </c>
      <c r="X1029">
        <v>2658195.12</v>
      </c>
      <c r="Y1029">
        <v>292401.46000000002</v>
      </c>
      <c r="Z1029">
        <v>114095.52</v>
      </c>
      <c r="AA1029">
        <v>12550.51</v>
      </c>
      <c r="AB1029">
        <v>2950596.58</v>
      </c>
      <c r="AC1029">
        <v>6</v>
      </c>
      <c r="AD1029" t="s">
        <v>82</v>
      </c>
      <c r="AE1029">
        <v>6</v>
      </c>
      <c r="AF1029" t="s">
        <v>370</v>
      </c>
      <c r="AG1029">
        <f>IFERROR(VLOOKUP(AF1029,[1]STOK!J:O,6,0),"")</f>
        <v>12</v>
      </c>
      <c r="AH1029" s="2">
        <f t="shared" si="32"/>
        <v>0.5</v>
      </c>
      <c r="AI1029" t="s">
        <v>370</v>
      </c>
      <c r="AJ1029" t="s">
        <v>371</v>
      </c>
      <c r="AK1029" t="s">
        <v>372</v>
      </c>
      <c r="AL1029" t="s">
        <v>86</v>
      </c>
      <c r="AM1029">
        <v>21978</v>
      </c>
      <c r="AN1029">
        <f t="shared" si="33"/>
        <v>21107.671666666665</v>
      </c>
      <c r="AO1029" t="s">
        <v>66</v>
      </c>
      <c r="AP1029">
        <v>2</v>
      </c>
      <c r="AQ1029" t="s">
        <v>66</v>
      </c>
      <c r="AR1029">
        <v>0</v>
      </c>
      <c r="AS1029" t="s">
        <v>66</v>
      </c>
      <c r="AT1029">
        <v>0</v>
      </c>
      <c r="AU1029" t="s">
        <v>66</v>
      </c>
      <c r="AV1029">
        <v>2</v>
      </c>
      <c r="AW1029" t="s">
        <v>66</v>
      </c>
      <c r="AX1029">
        <v>0</v>
      </c>
      <c r="AY1029" t="s">
        <v>66</v>
      </c>
      <c r="AZ1029">
        <v>0</v>
      </c>
      <c r="BA1029" t="s">
        <v>66</v>
      </c>
      <c r="BB1029">
        <v>0</v>
      </c>
      <c r="BC1029">
        <v>0</v>
      </c>
      <c r="BD1029">
        <v>126646.03</v>
      </c>
      <c r="BE1029">
        <v>17693.96</v>
      </c>
      <c r="BF1029">
        <v>0</v>
      </c>
      <c r="BG1029" t="s">
        <v>87</v>
      </c>
      <c r="BH1029" t="s">
        <v>1347</v>
      </c>
      <c r="BI1029">
        <v>6</v>
      </c>
      <c r="BJ1029" t="s">
        <v>158</v>
      </c>
      <c r="BK1029" t="s">
        <v>88</v>
      </c>
      <c r="BL1029" t="s">
        <v>742</v>
      </c>
      <c r="BM1029" t="s">
        <v>159</v>
      </c>
    </row>
    <row r="1030" spans="1:65" x14ac:dyDescent="0.25">
      <c r="A1030">
        <v>1028</v>
      </c>
      <c r="B1030" t="s">
        <v>1342</v>
      </c>
      <c r="C1030" t="s">
        <v>68</v>
      </c>
      <c r="D1030" s="1">
        <v>46216</v>
      </c>
      <c r="E1030" t="s">
        <v>1343</v>
      </c>
      <c r="F1030" t="s">
        <v>68</v>
      </c>
      <c r="G1030" t="s">
        <v>295</v>
      </c>
      <c r="H1030" t="s">
        <v>296</v>
      </c>
      <c r="I1030" t="s">
        <v>71</v>
      </c>
      <c r="J1030" t="s">
        <v>72</v>
      </c>
      <c r="K1030" t="s">
        <v>73</v>
      </c>
      <c r="L1030" t="s">
        <v>74</v>
      </c>
      <c r="M1030" t="s">
        <v>1344</v>
      </c>
      <c r="N1030" t="s">
        <v>76</v>
      </c>
      <c r="O1030" t="s">
        <v>1345</v>
      </c>
      <c r="P1030" t="s">
        <v>1346</v>
      </c>
      <c r="Q1030" t="s">
        <v>66</v>
      </c>
      <c r="R1030" s="1">
        <v>46216</v>
      </c>
      <c r="S1030" t="s">
        <v>841</v>
      </c>
      <c r="T1030" t="s">
        <v>842</v>
      </c>
      <c r="U1030" t="s">
        <v>843</v>
      </c>
      <c r="V1030" t="s">
        <v>66</v>
      </c>
      <c r="W1030" t="s">
        <v>66</v>
      </c>
      <c r="X1030">
        <v>2658195.12</v>
      </c>
      <c r="Y1030">
        <v>292401.46000000002</v>
      </c>
      <c r="Z1030">
        <v>57047.76</v>
      </c>
      <c r="AA1030">
        <v>6275.25</v>
      </c>
      <c r="AB1030">
        <v>2950596.58</v>
      </c>
      <c r="AC1030">
        <v>3</v>
      </c>
      <c r="AD1030" t="s">
        <v>82</v>
      </c>
      <c r="AE1030">
        <v>3</v>
      </c>
      <c r="AF1030" t="s">
        <v>743</v>
      </c>
      <c r="AG1030">
        <f>IFERROR(VLOOKUP(AF1030,[1]STOK!J:O,6,0),"")</f>
        <v>12</v>
      </c>
      <c r="AH1030" s="2">
        <f t="shared" si="32"/>
        <v>0.25</v>
      </c>
      <c r="AI1030" t="s">
        <v>743</v>
      </c>
      <c r="AJ1030" t="s">
        <v>744</v>
      </c>
      <c r="AK1030" t="s">
        <v>745</v>
      </c>
      <c r="AL1030" t="s">
        <v>86</v>
      </c>
      <c r="AM1030">
        <v>21978</v>
      </c>
      <c r="AN1030">
        <f t="shared" si="33"/>
        <v>21107.670000000002</v>
      </c>
      <c r="AO1030" t="s">
        <v>66</v>
      </c>
      <c r="AP1030">
        <v>2</v>
      </c>
      <c r="AQ1030" t="s">
        <v>66</v>
      </c>
      <c r="AR1030">
        <v>0</v>
      </c>
      <c r="AS1030" t="s">
        <v>66</v>
      </c>
      <c r="AT1030">
        <v>0</v>
      </c>
      <c r="AU1030" t="s">
        <v>66</v>
      </c>
      <c r="AV1030">
        <v>2</v>
      </c>
      <c r="AW1030" t="s">
        <v>66</v>
      </c>
      <c r="AX1030">
        <v>0</v>
      </c>
      <c r="AY1030" t="s">
        <v>66</v>
      </c>
      <c r="AZ1030">
        <v>0</v>
      </c>
      <c r="BA1030" t="s">
        <v>66</v>
      </c>
      <c r="BB1030">
        <v>0</v>
      </c>
      <c r="BC1030">
        <v>0</v>
      </c>
      <c r="BD1030">
        <v>63323.01</v>
      </c>
      <c r="BE1030">
        <v>17754.919999999998</v>
      </c>
      <c r="BF1030">
        <v>0</v>
      </c>
      <c r="BG1030" t="s">
        <v>87</v>
      </c>
      <c r="BH1030" t="s">
        <v>1347</v>
      </c>
      <c r="BI1030">
        <v>3</v>
      </c>
      <c r="BJ1030" t="s">
        <v>158</v>
      </c>
      <c r="BK1030" t="s">
        <v>88</v>
      </c>
      <c r="BL1030" t="s">
        <v>742</v>
      </c>
      <c r="BM1030" t="s">
        <v>159</v>
      </c>
    </row>
    <row r="1031" spans="1:65" x14ac:dyDescent="0.25">
      <c r="A1031">
        <v>1029</v>
      </c>
      <c r="B1031" t="s">
        <v>1342</v>
      </c>
      <c r="C1031" t="s">
        <v>68</v>
      </c>
      <c r="D1031" s="1">
        <v>46216</v>
      </c>
      <c r="E1031" t="s">
        <v>1343</v>
      </c>
      <c r="F1031" t="s">
        <v>68</v>
      </c>
      <c r="G1031" t="s">
        <v>295</v>
      </c>
      <c r="H1031" t="s">
        <v>296</v>
      </c>
      <c r="I1031" t="s">
        <v>71</v>
      </c>
      <c r="J1031" t="s">
        <v>72</v>
      </c>
      <c r="K1031" t="s">
        <v>73</v>
      </c>
      <c r="L1031" t="s">
        <v>74</v>
      </c>
      <c r="M1031" t="s">
        <v>1344</v>
      </c>
      <c r="N1031" t="s">
        <v>76</v>
      </c>
      <c r="O1031" t="s">
        <v>1345</v>
      </c>
      <c r="P1031" t="s">
        <v>1346</v>
      </c>
      <c r="Q1031" t="s">
        <v>66</v>
      </c>
      <c r="R1031" s="1">
        <v>46216</v>
      </c>
      <c r="S1031" t="s">
        <v>841</v>
      </c>
      <c r="T1031" t="s">
        <v>842</v>
      </c>
      <c r="U1031" t="s">
        <v>843</v>
      </c>
      <c r="V1031" t="s">
        <v>66</v>
      </c>
      <c r="W1031" t="s">
        <v>66</v>
      </c>
      <c r="X1031">
        <v>2658195.12</v>
      </c>
      <c r="Y1031">
        <v>292401.46000000002</v>
      </c>
      <c r="Z1031">
        <v>85283.520000000004</v>
      </c>
      <c r="AA1031">
        <v>9381.19</v>
      </c>
      <c r="AB1031">
        <v>2950596.58</v>
      </c>
      <c r="AC1031">
        <v>6</v>
      </c>
      <c r="AD1031" t="s">
        <v>82</v>
      </c>
      <c r="AE1031">
        <v>6</v>
      </c>
      <c r="AF1031" t="s">
        <v>845</v>
      </c>
      <c r="AG1031">
        <f>IFERROR(VLOOKUP(AF1031,[1]STOK!J:O,6,0),"")</f>
        <v>12</v>
      </c>
      <c r="AH1031" s="2">
        <f t="shared" si="32"/>
        <v>0.5</v>
      </c>
      <c r="AI1031" t="s">
        <v>845</v>
      </c>
      <c r="AJ1031" t="s">
        <v>846</v>
      </c>
      <c r="AK1031" t="s">
        <v>847</v>
      </c>
      <c r="AL1031" t="s">
        <v>86</v>
      </c>
      <c r="AM1031">
        <v>16428</v>
      </c>
      <c r="AN1031">
        <f t="shared" si="33"/>
        <v>15777.451666666668</v>
      </c>
      <c r="AO1031" t="s">
        <v>66</v>
      </c>
      <c r="AP1031">
        <v>2</v>
      </c>
      <c r="AQ1031" t="s">
        <v>66</v>
      </c>
      <c r="AR1031">
        <v>0</v>
      </c>
      <c r="AS1031" t="s">
        <v>66</v>
      </c>
      <c r="AT1031">
        <v>0</v>
      </c>
      <c r="AU1031" t="s">
        <v>66</v>
      </c>
      <c r="AV1031">
        <v>2</v>
      </c>
      <c r="AW1031" t="s">
        <v>66</v>
      </c>
      <c r="AX1031">
        <v>0</v>
      </c>
      <c r="AY1031" t="s">
        <v>66</v>
      </c>
      <c r="AZ1031">
        <v>0</v>
      </c>
      <c r="BA1031" t="s">
        <v>66</v>
      </c>
      <c r="BB1031">
        <v>0</v>
      </c>
      <c r="BC1031">
        <v>0</v>
      </c>
      <c r="BD1031">
        <v>94664.71</v>
      </c>
      <c r="BE1031">
        <v>13390.11</v>
      </c>
      <c r="BF1031">
        <v>0</v>
      </c>
      <c r="BG1031" t="s">
        <v>87</v>
      </c>
      <c r="BH1031" t="s">
        <v>1347</v>
      </c>
      <c r="BI1031">
        <v>6</v>
      </c>
      <c r="BJ1031" t="s">
        <v>158</v>
      </c>
      <c r="BK1031" t="s">
        <v>88</v>
      </c>
      <c r="BL1031" t="s">
        <v>742</v>
      </c>
      <c r="BM1031" t="s">
        <v>159</v>
      </c>
    </row>
    <row r="1032" spans="1:65" x14ac:dyDescent="0.25">
      <c r="A1032">
        <v>1030</v>
      </c>
      <c r="B1032" t="s">
        <v>1342</v>
      </c>
      <c r="C1032" t="s">
        <v>68</v>
      </c>
      <c r="D1032" s="1">
        <v>46216</v>
      </c>
      <c r="E1032" t="s">
        <v>1343</v>
      </c>
      <c r="F1032" t="s">
        <v>68</v>
      </c>
      <c r="G1032" t="s">
        <v>295</v>
      </c>
      <c r="H1032" t="s">
        <v>296</v>
      </c>
      <c r="I1032" t="s">
        <v>71</v>
      </c>
      <c r="J1032" t="s">
        <v>72</v>
      </c>
      <c r="K1032" t="s">
        <v>73</v>
      </c>
      <c r="L1032" t="s">
        <v>74</v>
      </c>
      <c r="M1032" t="s">
        <v>1344</v>
      </c>
      <c r="N1032" t="s">
        <v>76</v>
      </c>
      <c r="O1032" t="s">
        <v>1345</v>
      </c>
      <c r="P1032" t="s">
        <v>1346</v>
      </c>
      <c r="Q1032" t="s">
        <v>66</v>
      </c>
      <c r="R1032" s="1">
        <v>46216</v>
      </c>
      <c r="S1032" t="s">
        <v>841</v>
      </c>
      <c r="T1032" t="s">
        <v>842</v>
      </c>
      <c r="U1032" t="s">
        <v>843</v>
      </c>
      <c r="V1032" t="s">
        <v>66</v>
      </c>
      <c r="W1032" t="s">
        <v>66</v>
      </c>
      <c r="X1032">
        <v>2658195.12</v>
      </c>
      <c r="Y1032">
        <v>292401.46000000002</v>
      </c>
      <c r="Z1032">
        <v>85283.520000000004</v>
      </c>
      <c r="AA1032">
        <v>9381.19</v>
      </c>
      <c r="AB1032">
        <v>2950596.58</v>
      </c>
      <c r="AC1032">
        <v>6</v>
      </c>
      <c r="AD1032" t="s">
        <v>82</v>
      </c>
      <c r="AE1032">
        <v>6</v>
      </c>
      <c r="AF1032" t="s">
        <v>548</v>
      </c>
      <c r="AG1032">
        <f>IFERROR(VLOOKUP(AF1032,[1]STOK!J:O,6,0),"")</f>
        <v>12</v>
      </c>
      <c r="AH1032" s="2">
        <f t="shared" si="32"/>
        <v>0.5</v>
      </c>
      <c r="AI1032" t="s">
        <v>548</v>
      </c>
      <c r="AJ1032" t="s">
        <v>549</v>
      </c>
      <c r="AK1032" t="s">
        <v>550</v>
      </c>
      <c r="AL1032" t="s">
        <v>86</v>
      </c>
      <c r="AM1032">
        <v>16428</v>
      </c>
      <c r="AN1032">
        <f t="shared" si="33"/>
        <v>15777.451666666668</v>
      </c>
      <c r="AO1032" t="s">
        <v>66</v>
      </c>
      <c r="AP1032">
        <v>2</v>
      </c>
      <c r="AQ1032" t="s">
        <v>66</v>
      </c>
      <c r="AR1032">
        <v>0</v>
      </c>
      <c r="AS1032" t="s">
        <v>66</v>
      </c>
      <c r="AT1032">
        <v>0</v>
      </c>
      <c r="AU1032" t="s">
        <v>66</v>
      </c>
      <c r="AV1032">
        <v>2</v>
      </c>
      <c r="AW1032" t="s">
        <v>66</v>
      </c>
      <c r="AX1032">
        <v>0</v>
      </c>
      <c r="AY1032" t="s">
        <v>66</v>
      </c>
      <c r="AZ1032">
        <v>0</v>
      </c>
      <c r="BA1032" t="s">
        <v>66</v>
      </c>
      <c r="BB1032">
        <v>0</v>
      </c>
      <c r="BC1032">
        <v>0</v>
      </c>
      <c r="BD1032">
        <v>94664.71</v>
      </c>
      <c r="BE1032">
        <v>12746.03</v>
      </c>
      <c r="BF1032">
        <v>0</v>
      </c>
      <c r="BG1032" t="s">
        <v>87</v>
      </c>
      <c r="BH1032" t="s">
        <v>1347</v>
      </c>
      <c r="BI1032">
        <v>6</v>
      </c>
      <c r="BJ1032" t="s">
        <v>158</v>
      </c>
      <c r="BK1032" t="s">
        <v>88</v>
      </c>
      <c r="BL1032" t="s">
        <v>742</v>
      </c>
      <c r="BM1032" t="s">
        <v>159</v>
      </c>
    </row>
    <row r="1033" spans="1:65" x14ac:dyDescent="0.25">
      <c r="A1033">
        <v>1031</v>
      </c>
      <c r="B1033" t="s">
        <v>1342</v>
      </c>
      <c r="C1033" t="s">
        <v>68</v>
      </c>
      <c r="D1033" s="1">
        <v>46216</v>
      </c>
      <c r="E1033" t="s">
        <v>1343</v>
      </c>
      <c r="F1033" t="s">
        <v>68</v>
      </c>
      <c r="G1033" t="s">
        <v>295</v>
      </c>
      <c r="H1033" t="s">
        <v>296</v>
      </c>
      <c r="I1033" t="s">
        <v>71</v>
      </c>
      <c r="J1033" t="s">
        <v>72</v>
      </c>
      <c r="K1033" t="s">
        <v>73</v>
      </c>
      <c r="L1033" t="s">
        <v>74</v>
      </c>
      <c r="M1033" t="s">
        <v>1344</v>
      </c>
      <c r="N1033" t="s">
        <v>76</v>
      </c>
      <c r="O1033" t="s">
        <v>1345</v>
      </c>
      <c r="P1033" t="s">
        <v>1346</v>
      </c>
      <c r="Q1033" t="s">
        <v>66</v>
      </c>
      <c r="R1033" s="1">
        <v>46216</v>
      </c>
      <c r="S1033" t="s">
        <v>841</v>
      </c>
      <c r="T1033" t="s">
        <v>842</v>
      </c>
      <c r="U1033" t="s">
        <v>843</v>
      </c>
      <c r="V1033" t="s">
        <v>66</v>
      </c>
      <c r="W1033" t="s">
        <v>66</v>
      </c>
      <c r="X1033">
        <v>2658195.12</v>
      </c>
      <c r="Y1033">
        <v>292401.46000000002</v>
      </c>
      <c r="Z1033">
        <v>85283.520000000004</v>
      </c>
      <c r="AA1033">
        <v>9381.19</v>
      </c>
      <c r="AB1033">
        <v>2950596.58</v>
      </c>
      <c r="AC1033">
        <v>6</v>
      </c>
      <c r="AD1033" t="s">
        <v>82</v>
      </c>
      <c r="AE1033">
        <v>6</v>
      </c>
      <c r="AF1033" t="s">
        <v>119</v>
      </c>
      <c r="AG1033">
        <f>IFERROR(VLOOKUP(AF1033,[1]STOK!J:O,6,0),"")</f>
        <v>12</v>
      </c>
      <c r="AH1033" s="2">
        <f t="shared" si="32"/>
        <v>0.5</v>
      </c>
      <c r="AI1033" t="s">
        <v>119</v>
      </c>
      <c r="AJ1033" t="s">
        <v>120</v>
      </c>
      <c r="AK1033" t="s">
        <v>121</v>
      </c>
      <c r="AL1033" t="s">
        <v>86</v>
      </c>
      <c r="AM1033">
        <v>16428</v>
      </c>
      <c r="AN1033">
        <f t="shared" si="33"/>
        <v>15777.451666666668</v>
      </c>
      <c r="AO1033" t="s">
        <v>66</v>
      </c>
      <c r="AP1033">
        <v>2</v>
      </c>
      <c r="AQ1033" t="s">
        <v>66</v>
      </c>
      <c r="AR1033">
        <v>0</v>
      </c>
      <c r="AS1033" t="s">
        <v>66</v>
      </c>
      <c r="AT1033">
        <v>0</v>
      </c>
      <c r="AU1033" t="s">
        <v>66</v>
      </c>
      <c r="AV1033">
        <v>2</v>
      </c>
      <c r="AW1033" t="s">
        <v>66</v>
      </c>
      <c r="AX1033">
        <v>0</v>
      </c>
      <c r="AY1033" t="s">
        <v>66</v>
      </c>
      <c r="AZ1033">
        <v>0</v>
      </c>
      <c r="BA1033" t="s">
        <v>66</v>
      </c>
      <c r="BB1033">
        <v>0</v>
      </c>
      <c r="BC1033">
        <v>0</v>
      </c>
      <c r="BD1033">
        <v>94664.71</v>
      </c>
      <c r="BE1033">
        <v>13334.42</v>
      </c>
      <c r="BF1033">
        <v>0</v>
      </c>
      <c r="BG1033" t="s">
        <v>87</v>
      </c>
      <c r="BH1033" t="s">
        <v>1347</v>
      </c>
      <c r="BI1033">
        <v>6</v>
      </c>
      <c r="BJ1033" t="s">
        <v>158</v>
      </c>
      <c r="BK1033" t="s">
        <v>88</v>
      </c>
      <c r="BL1033" t="s">
        <v>742</v>
      </c>
      <c r="BM1033" t="s">
        <v>159</v>
      </c>
    </row>
    <row r="1034" spans="1:65" x14ac:dyDescent="0.25">
      <c r="A1034">
        <v>1032</v>
      </c>
      <c r="B1034" t="s">
        <v>1342</v>
      </c>
      <c r="C1034" t="s">
        <v>68</v>
      </c>
      <c r="D1034" s="1">
        <v>46216</v>
      </c>
      <c r="E1034" t="s">
        <v>1343</v>
      </c>
      <c r="F1034" t="s">
        <v>68</v>
      </c>
      <c r="G1034" t="s">
        <v>295</v>
      </c>
      <c r="H1034" t="s">
        <v>296</v>
      </c>
      <c r="I1034" t="s">
        <v>71</v>
      </c>
      <c r="J1034" t="s">
        <v>72</v>
      </c>
      <c r="K1034" t="s">
        <v>73</v>
      </c>
      <c r="L1034" t="s">
        <v>74</v>
      </c>
      <c r="M1034" t="s">
        <v>1344</v>
      </c>
      <c r="N1034" t="s">
        <v>76</v>
      </c>
      <c r="O1034" t="s">
        <v>1345</v>
      </c>
      <c r="P1034" t="s">
        <v>1346</v>
      </c>
      <c r="Q1034" t="s">
        <v>66</v>
      </c>
      <c r="R1034" s="1">
        <v>46216</v>
      </c>
      <c r="S1034" t="s">
        <v>841</v>
      </c>
      <c r="T1034" t="s">
        <v>842</v>
      </c>
      <c r="U1034" t="s">
        <v>843</v>
      </c>
      <c r="V1034" t="s">
        <v>66</v>
      </c>
      <c r="W1034" t="s">
        <v>66</v>
      </c>
      <c r="X1034">
        <v>2658195.12</v>
      </c>
      <c r="Y1034">
        <v>292401.46000000002</v>
      </c>
      <c r="Z1034">
        <v>58200.24</v>
      </c>
      <c r="AA1034">
        <v>6402.03</v>
      </c>
      <c r="AB1034">
        <v>2950596.58</v>
      </c>
      <c r="AC1034">
        <v>6</v>
      </c>
      <c r="AD1034" t="s">
        <v>82</v>
      </c>
      <c r="AE1034">
        <v>6</v>
      </c>
      <c r="AF1034" t="s">
        <v>723</v>
      </c>
      <c r="AG1034">
        <f>IFERROR(VLOOKUP(AF1034,[1]STOK!J:O,6,0),"")</f>
        <v>24</v>
      </c>
      <c r="AH1034" s="2">
        <f t="shared" si="32"/>
        <v>0.25</v>
      </c>
      <c r="AI1034" t="s">
        <v>723</v>
      </c>
      <c r="AJ1034" t="s">
        <v>724</v>
      </c>
      <c r="AK1034" t="s">
        <v>725</v>
      </c>
      <c r="AL1034" t="s">
        <v>86</v>
      </c>
      <c r="AM1034">
        <v>11211</v>
      </c>
      <c r="AN1034">
        <f t="shared" si="33"/>
        <v>10767.045</v>
      </c>
      <c r="AO1034" t="s">
        <v>66</v>
      </c>
      <c r="AP1034">
        <v>2</v>
      </c>
      <c r="AQ1034" t="s">
        <v>66</v>
      </c>
      <c r="AR1034">
        <v>0</v>
      </c>
      <c r="AS1034" t="s">
        <v>66</v>
      </c>
      <c r="AT1034">
        <v>0</v>
      </c>
      <c r="AU1034" t="s">
        <v>66</v>
      </c>
      <c r="AV1034">
        <v>2</v>
      </c>
      <c r="AW1034" t="s">
        <v>66</v>
      </c>
      <c r="AX1034">
        <v>0</v>
      </c>
      <c r="AY1034" t="s">
        <v>66</v>
      </c>
      <c r="AZ1034">
        <v>0</v>
      </c>
      <c r="BA1034" t="s">
        <v>66</v>
      </c>
      <c r="BB1034">
        <v>0</v>
      </c>
      <c r="BC1034">
        <v>0</v>
      </c>
      <c r="BD1034">
        <v>64602.27</v>
      </c>
      <c r="BE1034">
        <v>9091.2900000000009</v>
      </c>
      <c r="BF1034">
        <v>0</v>
      </c>
      <c r="BG1034" t="s">
        <v>87</v>
      </c>
      <c r="BH1034" t="s">
        <v>1347</v>
      </c>
      <c r="BI1034">
        <v>6</v>
      </c>
      <c r="BJ1034" t="s">
        <v>158</v>
      </c>
      <c r="BK1034" t="s">
        <v>88</v>
      </c>
      <c r="BL1034" t="s">
        <v>742</v>
      </c>
      <c r="BM1034" t="s">
        <v>159</v>
      </c>
    </row>
    <row r="1035" spans="1:65" x14ac:dyDescent="0.25">
      <c r="A1035">
        <v>1033</v>
      </c>
      <c r="B1035" t="s">
        <v>1342</v>
      </c>
      <c r="C1035" t="s">
        <v>68</v>
      </c>
      <c r="D1035" s="1">
        <v>46216</v>
      </c>
      <c r="E1035" t="s">
        <v>1343</v>
      </c>
      <c r="F1035" t="s">
        <v>68</v>
      </c>
      <c r="G1035" t="s">
        <v>295</v>
      </c>
      <c r="H1035" t="s">
        <v>296</v>
      </c>
      <c r="I1035" t="s">
        <v>71</v>
      </c>
      <c r="J1035" t="s">
        <v>72</v>
      </c>
      <c r="K1035" t="s">
        <v>73</v>
      </c>
      <c r="L1035" t="s">
        <v>74</v>
      </c>
      <c r="M1035" t="s">
        <v>1344</v>
      </c>
      <c r="N1035" t="s">
        <v>76</v>
      </c>
      <c r="O1035" t="s">
        <v>1345</v>
      </c>
      <c r="P1035" t="s">
        <v>1346</v>
      </c>
      <c r="Q1035" t="s">
        <v>66</v>
      </c>
      <c r="R1035" s="1">
        <v>46216</v>
      </c>
      <c r="S1035" t="s">
        <v>841</v>
      </c>
      <c r="T1035" t="s">
        <v>842</v>
      </c>
      <c r="U1035" t="s">
        <v>843</v>
      </c>
      <c r="V1035" t="s">
        <v>66</v>
      </c>
      <c r="W1035" t="s">
        <v>66</v>
      </c>
      <c r="X1035">
        <v>2658195.12</v>
      </c>
      <c r="Y1035">
        <v>292401.46000000002</v>
      </c>
      <c r="Z1035">
        <v>58200.24</v>
      </c>
      <c r="AA1035">
        <v>6402.03</v>
      </c>
      <c r="AB1035">
        <v>2950596.58</v>
      </c>
      <c r="AC1035">
        <v>6</v>
      </c>
      <c r="AD1035" t="s">
        <v>82</v>
      </c>
      <c r="AE1035">
        <v>6</v>
      </c>
      <c r="AF1035" t="s">
        <v>848</v>
      </c>
      <c r="AG1035">
        <f>IFERROR(VLOOKUP(AF1035,[1]STOK!J:O,6,0),"")</f>
        <v>24</v>
      </c>
      <c r="AH1035" s="2">
        <f t="shared" si="32"/>
        <v>0.25</v>
      </c>
      <c r="AI1035" t="s">
        <v>848</v>
      </c>
      <c r="AJ1035" t="s">
        <v>849</v>
      </c>
      <c r="AK1035" t="s">
        <v>850</v>
      </c>
      <c r="AL1035" t="s">
        <v>86</v>
      </c>
      <c r="AM1035">
        <v>11211</v>
      </c>
      <c r="AN1035">
        <f t="shared" si="33"/>
        <v>10767.045</v>
      </c>
      <c r="AO1035" t="s">
        <v>66</v>
      </c>
      <c r="AP1035">
        <v>2</v>
      </c>
      <c r="AQ1035" t="s">
        <v>66</v>
      </c>
      <c r="AR1035">
        <v>0</v>
      </c>
      <c r="AS1035" t="s">
        <v>66</v>
      </c>
      <c r="AT1035">
        <v>0</v>
      </c>
      <c r="AU1035" t="s">
        <v>66</v>
      </c>
      <c r="AV1035">
        <v>2</v>
      </c>
      <c r="AW1035" t="s">
        <v>66</v>
      </c>
      <c r="AX1035">
        <v>0</v>
      </c>
      <c r="AY1035" t="s">
        <v>66</v>
      </c>
      <c r="AZ1035">
        <v>0</v>
      </c>
      <c r="BA1035" t="s">
        <v>66</v>
      </c>
      <c r="BB1035">
        <v>0</v>
      </c>
      <c r="BC1035">
        <v>0</v>
      </c>
      <c r="BD1035">
        <v>64602.27</v>
      </c>
      <c r="BE1035">
        <v>9091.26</v>
      </c>
      <c r="BF1035">
        <v>0</v>
      </c>
      <c r="BG1035" t="s">
        <v>87</v>
      </c>
      <c r="BH1035" t="s">
        <v>1347</v>
      </c>
      <c r="BI1035">
        <v>6</v>
      </c>
      <c r="BJ1035" t="s">
        <v>158</v>
      </c>
      <c r="BK1035" t="s">
        <v>88</v>
      </c>
      <c r="BL1035" t="s">
        <v>742</v>
      </c>
      <c r="BM1035" t="s">
        <v>159</v>
      </c>
    </row>
    <row r="1036" spans="1:65" x14ac:dyDescent="0.25">
      <c r="A1036">
        <v>1034</v>
      </c>
      <c r="B1036" t="s">
        <v>1342</v>
      </c>
      <c r="C1036" t="s">
        <v>68</v>
      </c>
      <c r="D1036" s="1">
        <v>46216</v>
      </c>
      <c r="E1036" t="s">
        <v>1343</v>
      </c>
      <c r="F1036" t="s">
        <v>68</v>
      </c>
      <c r="G1036" t="s">
        <v>295</v>
      </c>
      <c r="H1036" t="s">
        <v>296</v>
      </c>
      <c r="I1036" t="s">
        <v>71</v>
      </c>
      <c r="J1036" t="s">
        <v>72</v>
      </c>
      <c r="K1036" t="s">
        <v>73</v>
      </c>
      <c r="L1036" t="s">
        <v>74</v>
      </c>
      <c r="M1036" t="s">
        <v>1344</v>
      </c>
      <c r="N1036" t="s">
        <v>76</v>
      </c>
      <c r="O1036" t="s">
        <v>1345</v>
      </c>
      <c r="P1036" t="s">
        <v>1346</v>
      </c>
      <c r="Q1036" t="s">
        <v>66</v>
      </c>
      <c r="R1036" s="1">
        <v>46216</v>
      </c>
      <c r="S1036" t="s">
        <v>841</v>
      </c>
      <c r="T1036" t="s">
        <v>842</v>
      </c>
      <c r="U1036" t="s">
        <v>843</v>
      </c>
      <c r="V1036" t="s">
        <v>66</v>
      </c>
      <c r="W1036" t="s">
        <v>66</v>
      </c>
      <c r="X1036">
        <v>2658195.12</v>
      </c>
      <c r="Y1036">
        <v>292401.46000000002</v>
      </c>
      <c r="Z1036">
        <v>58200.24</v>
      </c>
      <c r="AA1036">
        <v>6402.03</v>
      </c>
      <c r="AB1036">
        <v>2950596.58</v>
      </c>
      <c r="AC1036">
        <v>6</v>
      </c>
      <c r="AD1036" t="s">
        <v>82</v>
      </c>
      <c r="AE1036">
        <v>6</v>
      </c>
      <c r="AF1036" t="s">
        <v>746</v>
      </c>
      <c r="AG1036">
        <f>IFERROR(VLOOKUP(AF1036,[1]STOK!J:O,6,0),"")</f>
        <v>24</v>
      </c>
      <c r="AH1036" s="2">
        <f t="shared" si="32"/>
        <v>0.25</v>
      </c>
      <c r="AI1036" t="s">
        <v>746</v>
      </c>
      <c r="AJ1036" t="s">
        <v>747</v>
      </c>
      <c r="AK1036" t="s">
        <v>748</v>
      </c>
      <c r="AL1036" t="s">
        <v>86</v>
      </c>
      <c r="AM1036">
        <v>11211</v>
      </c>
      <c r="AN1036">
        <f t="shared" si="33"/>
        <v>10767.045</v>
      </c>
      <c r="AO1036" t="s">
        <v>66</v>
      </c>
      <c r="AP1036">
        <v>2</v>
      </c>
      <c r="AQ1036" t="s">
        <v>66</v>
      </c>
      <c r="AR1036">
        <v>0</v>
      </c>
      <c r="AS1036" t="s">
        <v>66</v>
      </c>
      <c r="AT1036">
        <v>0</v>
      </c>
      <c r="AU1036" t="s">
        <v>66</v>
      </c>
      <c r="AV1036">
        <v>2</v>
      </c>
      <c r="AW1036" t="s">
        <v>66</v>
      </c>
      <c r="AX1036">
        <v>0</v>
      </c>
      <c r="AY1036" t="s">
        <v>66</v>
      </c>
      <c r="AZ1036">
        <v>0</v>
      </c>
      <c r="BA1036" t="s">
        <v>66</v>
      </c>
      <c r="BB1036">
        <v>0</v>
      </c>
      <c r="BC1036">
        <v>0</v>
      </c>
      <c r="BD1036">
        <v>64602.27</v>
      </c>
      <c r="BE1036">
        <v>9068.06</v>
      </c>
      <c r="BF1036">
        <v>0</v>
      </c>
      <c r="BG1036" t="s">
        <v>87</v>
      </c>
      <c r="BH1036" t="s">
        <v>1347</v>
      </c>
      <c r="BI1036">
        <v>6</v>
      </c>
      <c r="BJ1036" t="s">
        <v>158</v>
      </c>
      <c r="BK1036" t="s">
        <v>88</v>
      </c>
      <c r="BL1036" t="s">
        <v>742</v>
      </c>
      <c r="BM1036" t="s">
        <v>159</v>
      </c>
    </row>
    <row r="1037" spans="1:65" x14ac:dyDescent="0.25">
      <c r="A1037">
        <v>1035</v>
      </c>
      <c r="B1037" t="s">
        <v>1342</v>
      </c>
      <c r="C1037" t="s">
        <v>68</v>
      </c>
      <c r="D1037" s="1">
        <v>46216</v>
      </c>
      <c r="E1037" t="s">
        <v>1343</v>
      </c>
      <c r="F1037" t="s">
        <v>68</v>
      </c>
      <c r="G1037" t="s">
        <v>295</v>
      </c>
      <c r="H1037" t="s">
        <v>296</v>
      </c>
      <c r="I1037" t="s">
        <v>71</v>
      </c>
      <c r="J1037" t="s">
        <v>72</v>
      </c>
      <c r="K1037" t="s">
        <v>73</v>
      </c>
      <c r="L1037" t="s">
        <v>74</v>
      </c>
      <c r="M1037" t="s">
        <v>1344</v>
      </c>
      <c r="N1037" t="s">
        <v>76</v>
      </c>
      <c r="O1037" t="s">
        <v>1345</v>
      </c>
      <c r="P1037" t="s">
        <v>1346</v>
      </c>
      <c r="Q1037" t="s">
        <v>66</v>
      </c>
      <c r="R1037" s="1">
        <v>46216</v>
      </c>
      <c r="S1037" t="s">
        <v>841</v>
      </c>
      <c r="T1037" t="s">
        <v>842</v>
      </c>
      <c r="U1037" t="s">
        <v>843</v>
      </c>
      <c r="V1037" t="s">
        <v>66</v>
      </c>
      <c r="W1037" t="s">
        <v>66</v>
      </c>
      <c r="X1037">
        <v>2658195.12</v>
      </c>
      <c r="Y1037">
        <v>292401.46000000002</v>
      </c>
      <c r="Z1037">
        <v>45522.96</v>
      </c>
      <c r="AA1037">
        <v>5007.53</v>
      </c>
      <c r="AB1037">
        <v>2950596.58</v>
      </c>
      <c r="AC1037">
        <v>6</v>
      </c>
      <c r="AD1037" t="s">
        <v>82</v>
      </c>
      <c r="AE1037">
        <v>6</v>
      </c>
      <c r="AF1037" t="s">
        <v>248</v>
      </c>
      <c r="AG1037">
        <f>IFERROR(VLOOKUP(AF1037,[1]STOK!J:O,6,0),"")</f>
        <v>24</v>
      </c>
      <c r="AH1037" s="2">
        <f t="shared" si="32"/>
        <v>0.25</v>
      </c>
      <c r="AI1037" t="s">
        <v>248</v>
      </c>
      <c r="AJ1037" t="s">
        <v>249</v>
      </c>
      <c r="AK1037" t="s">
        <v>250</v>
      </c>
      <c r="AL1037" t="s">
        <v>86</v>
      </c>
      <c r="AM1037">
        <v>8769</v>
      </c>
      <c r="AN1037">
        <f t="shared" si="33"/>
        <v>8421.748333333333</v>
      </c>
      <c r="AO1037" t="s">
        <v>66</v>
      </c>
      <c r="AP1037">
        <v>2</v>
      </c>
      <c r="AQ1037" t="s">
        <v>66</v>
      </c>
      <c r="AR1037">
        <v>0</v>
      </c>
      <c r="AS1037" t="s">
        <v>66</v>
      </c>
      <c r="AT1037">
        <v>0</v>
      </c>
      <c r="AU1037" t="s">
        <v>66</v>
      </c>
      <c r="AV1037">
        <v>2</v>
      </c>
      <c r="AW1037" t="s">
        <v>66</v>
      </c>
      <c r="AX1037">
        <v>0</v>
      </c>
      <c r="AY1037" t="s">
        <v>66</v>
      </c>
      <c r="AZ1037">
        <v>0</v>
      </c>
      <c r="BA1037" t="s">
        <v>66</v>
      </c>
      <c r="BB1037">
        <v>0</v>
      </c>
      <c r="BC1037">
        <v>0</v>
      </c>
      <c r="BD1037">
        <v>50530.49</v>
      </c>
      <c r="BE1037">
        <v>7146.6</v>
      </c>
      <c r="BF1037">
        <v>0</v>
      </c>
      <c r="BG1037" t="s">
        <v>87</v>
      </c>
      <c r="BH1037" t="s">
        <v>1347</v>
      </c>
      <c r="BI1037">
        <v>6</v>
      </c>
      <c r="BJ1037" t="s">
        <v>158</v>
      </c>
      <c r="BK1037" t="s">
        <v>88</v>
      </c>
      <c r="BL1037" t="s">
        <v>742</v>
      </c>
      <c r="BM1037" t="s">
        <v>159</v>
      </c>
    </row>
    <row r="1038" spans="1:65" x14ac:dyDescent="0.25">
      <c r="A1038">
        <v>1036</v>
      </c>
      <c r="B1038" t="s">
        <v>1342</v>
      </c>
      <c r="C1038" t="s">
        <v>68</v>
      </c>
      <c r="D1038" s="1">
        <v>46216</v>
      </c>
      <c r="E1038" t="s">
        <v>1343</v>
      </c>
      <c r="F1038" t="s">
        <v>68</v>
      </c>
      <c r="G1038" t="s">
        <v>295</v>
      </c>
      <c r="H1038" t="s">
        <v>296</v>
      </c>
      <c r="I1038" t="s">
        <v>71</v>
      </c>
      <c r="J1038" t="s">
        <v>72</v>
      </c>
      <c r="K1038" t="s">
        <v>73</v>
      </c>
      <c r="L1038" t="s">
        <v>74</v>
      </c>
      <c r="M1038" t="s">
        <v>1344</v>
      </c>
      <c r="N1038" t="s">
        <v>76</v>
      </c>
      <c r="O1038" t="s">
        <v>1345</v>
      </c>
      <c r="P1038" t="s">
        <v>1346</v>
      </c>
      <c r="Q1038" t="s">
        <v>66</v>
      </c>
      <c r="R1038" s="1">
        <v>46216</v>
      </c>
      <c r="S1038" t="s">
        <v>841</v>
      </c>
      <c r="T1038" t="s">
        <v>842</v>
      </c>
      <c r="U1038" t="s">
        <v>843</v>
      </c>
      <c r="V1038" t="s">
        <v>66</v>
      </c>
      <c r="W1038" t="s">
        <v>66</v>
      </c>
      <c r="X1038">
        <v>2658195.12</v>
      </c>
      <c r="Y1038">
        <v>292401.46000000002</v>
      </c>
      <c r="Z1038">
        <v>45522.96</v>
      </c>
      <c r="AA1038">
        <v>5007.53</v>
      </c>
      <c r="AB1038">
        <v>2950596.58</v>
      </c>
      <c r="AC1038">
        <v>6</v>
      </c>
      <c r="AD1038" t="s">
        <v>82</v>
      </c>
      <c r="AE1038">
        <v>6</v>
      </c>
      <c r="AF1038" t="s">
        <v>199</v>
      </c>
      <c r="AG1038">
        <f>IFERROR(VLOOKUP(AF1038,[1]STOK!J:O,6,0),"")</f>
        <v>24</v>
      </c>
      <c r="AH1038" s="2">
        <f t="shared" si="32"/>
        <v>0.25</v>
      </c>
      <c r="AI1038" t="s">
        <v>199</v>
      </c>
      <c r="AJ1038" t="s">
        <v>200</v>
      </c>
      <c r="AK1038" t="s">
        <v>201</v>
      </c>
      <c r="AL1038" t="s">
        <v>86</v>
      </c>
      <c r="AM1038">
        <v>8769</v>
      </c>
      <c r="AN1038">
        <f t="shared" si="33"/>
        <v>8421.748333333333</v>
      </c>
      <c r="AO1038" t="s">
        <v>66</v>
      </c>
      <c r="AP1038">
        <v>2</v>
      </c>
      <c r="AQ1038" t="s">
        <v>66</v>
      </c>
      <c r="AR1038">
        <v>0</v>
      </c>
      <c r="AS1038" t="s">
        <v>66</v>
      </c>
      <c r="AT1038">
        <v>0</v>
      </c>
      <c r="AU1038" t="s">
        <v>66</v>
      </c>
      <c r="AV1038">
        <v>2</v>
      </c>
      <c r="AW1038" t="s">
        <v>66</v>
      </c>
      <c r="AX1038">
        <v>0</v>
      </c>
      <c r="AY1038" t="s">
        <v>66</v>
      </c>
      <c r="AZ1038">
        <v>0</v>
      </c>
      <c r="BA1038" t="s">
        <v>66</v>
      </c>
      <c r="BB1038">
        <v>0</v>
      </c>
      <c r="BC1038">
        <v>0</v>
      </c>
      <c r="BD1038">
        <v>50530.49</v>
      </c>
      <c r="BE1038">
        <v>7146.59</v>
      </c>
      <c r="BF1038">
        <v>0</v>
      </c>
      <c r="BG1038" t="s">
        <v>87</v>
      </c>
      <c r="BH1038" t="s">
        <v>1347</v>
      </c>
      <c r="BI1038">
        <v>6</v>
      </c>
      <c r="BJ1038" t="s">
        <v>158</v>
      </c>
      <c r="BK1038" t="s">
        <v>88</v>
      </c>
      <c r="BL1038" t="s">
        <v>742</v>
      </c>
      <c r="BM1038" t="s">
        <v>159</v>
      </c>
    </row>
    <row r="1039" spans="1:65" x14ac:dyDescent="0.25">
      <c r="A1039">
        <v>1037</v>
      </c>
      <c r="B1039" t="s">
        <v>1342</v>
      </c>
      <c r="C1039" t="s">
        <v>68</v>
      </c>
      <c r="D1039" s="1">
        <v>46216</v>
      </c>
      <c r="E1039" t="s">
        <v>1343</v>
      </c>
      <c r="F1039" t="s">
        <v>68</v>
      </c>
      <c r="G1039" t="s">
        <v>295</v>
      </c>
      <c r="H1039" t="s">
        <v>296</v>
      </c>
      <c r="I1039" t="s">
        <v>71</v>
      </c>
      <c r="J1039" t="s">
        <v>72</v>
      </c>
      <c r="K1039" t="s">
        <v>73</v>
      </c>
      <c r="L1039" t="s">
        <v>74</v>
      </c>
      <c r="M1039" t="s">
        <v>1344</v>
      </c>
      <c r="N1039" t="s">
        <v>76</v>
      </c>
      <c r="O1039" t="s">
        <v>1345</v>
      </c>
      <c r="P1039" t="s">
        <v>1346</v>
      </c>
      <c r="Q1039" t="s">
        <v>66</v>
      </c>
      <c r="R1039" s="1">
        <v>46216</v>
      </c>
      <c r="S1039" t="s">
        <v>841</v>
      </c>
      <c r="T1039" t="s">
        <v>842</v>
      </c>
      <c r="U1039" t="s">
        <v>843</v>
      </c>
      <c r="V1039" t="s">
        <v>66</v>
      </c>
      <c r="W1039" t="s">
        <v>66</v>
      </c>
      <c r="X1039">
        <v>2658195.12</v>
      </c>
      <c r="Y1039">
        <v>292401.46000000002</v>
      </c>
      <c r="Z1039">
        <v>45522.96</v>
      </c>
      <c r="AA1039">
        <v>5007.53</v>
      </c>
      <c r="AB1039">
        <v>2950596.58</v>
      </c>
      <c r="AC1039">
        <v>6</v>
      </c>
      <c r="AD1039" t="s">
        <v>82</v>
      </c>
      <c r="AE1039">
        <v>6</v>
      </c>
      <c r="AF1039" t="s">
        <v>344</v>
      </c>
      <c r="AG1039">
        <f>IFERROR(VLOOKUP(AF1039,[1]STOK!J:O,6,0),"")</f>
        <v>24</v>
      </c>
      <c r="AH1039" s="2">
        <f t="shared" si="32"/>
        <v>0.25</v>
      </c>
      <c r="AI1039" t="s">
        <v>344</v>
      </c>
      <c r="AJ1039" t="s">
        <v>345</v>
      </c>
      <c r="AK1039" t="s">
        <v>346</v>
      </c>
      <c r="AL1039" t="s">
        <v>86</v>
      </c>
      <c r="AM1039">
        <v>8769</v>
      </c>
      <c r="AN1039">
        <f t="shared" si="33"/>
        <v>8421.748333333333</v>
      </c>
      <c r="AO1039" t="s">
        <v>66</v>
      </c>
      <c r="AP1039">
        <v>2</v>
      </c>
      <c r="AQ1039" t="s">
        <v>66</v>
      </c>
      <c r="AR1039">
        <v>0</v>
      </c>
      <c r="AS1039" t="s">
        <v>66</v>
      </c>
      <c r="AT1039">
        <v>0</v>
      </c>
      <c r="AU1039" t="s">
        <v>66</v>
      </c>
      <c r="AV1039">
        <v>2</v>
      </c>
      <c r="AW1039" t="s">
        <v>66</v>
      </c>
      <c r="AX1039">
        <v>0</v>
      </c>
      <c r="AY1039" t="s">
        <v>66</v>
      </c>
      <c r="AZ1039">
        <v>0</v>
      </c>
      <c r="BA1039" t="s">
        <v>66</v>
      </c>
      <c r="BB1039">
        <v>0</v>
      </c>
      <c r="BC1039">
        <v>0</v>
      </c>
      <c r="BD1039">
        <v>50530.49</v>
      </c>
      <c r="BE1039">
        <v>7028.61</v>
      </c>
      <c r="BF1039">
        <v>0</v>
      </c>
      <c r="BG1039" t="s">
        <v>87</v>
      </c>
      <c r="BH1039" t="s">
        <v>1347</v>
      </c>
      <c r="BI1039">
        <v>6</v>
      </c>
      <c r="BJ1039" t="s">
        <v>158</v>
      </c>
      <c r="BK1039" t="s">
        <v>88</v>
      </c>
      <c r="BL1039" t="s">
        <v>742</v>
      </c>
      <c r="BM1039" t="s">
        <v>159</v>
      </c>
    </row>
    <row r="1040" spans="1:65" x14ac:dyDescent="0.25">
      <c r="A1040">
        <v>1038</v>
      </c>
      <c r="B1040" t="s">
        <v>1342</v>
      </c>
      <c r="C1040" t="s">
        <v>68</v>
      </c>
      <c r="D1040" s="1">
        <v>46216</v>
      </c>
      <c r="E1040" t="s">
        <v>1343</v>
      </c>
      <c r="F1040" t="s">
        <v>68</v>
      </c>
      <c r="G1040" t="s">
        <v>295</v>
      </c>
      <c r="H1040" t="s">
        <v>296</v>
      </c>
      <c r="I1040" t="s">
        <v>71</v>
      </c>
      <c r="J1040" t="s">
        <v>72</v>
      </c>
      <c r="K1040" t="s">
        <v>73</v>
      </c>
      <c r="L1040" t="s">
        <v>74</v>
      </c>
      <c r="M1040" t="s">
        <v>1344</v>
      </c>
      <c r="N1040" t="s">
        <v>76</v>
      </c>
      <c r="O1040" t="s">
        <v>1345</v>
      </c>
      <c r="P1040" t="s">
        <v>1346</v>
      </c>
      <c r="Q1040" t="s">
        <v>66</v>
      </c>
      <c r="R1040" s="1">
        <v>46216</v>
      </c>
      <c r="S1040" t="s">
        <v>841</v>
      </c>
      <c r="T1040" t="s">
        <v>842</v>
      </c>
      <c r="U1040" t="s">
        <v>843</v>
      </c>
      <c r="V1040" t="s">
        <v>66</v>
      </c>
      <c r="W1040" t="s">
        <v>66</v>
      </c>
      <c r="X1040">
        <v>2658195.12</v>
      </c>
      <c r="Y1040">
        <v>292401.46000000002</v>
      </c>
      <c r="Z1040">
        <v>65115.12</v>
      </c>
      <c r="AA1040">
        <v>7162.66</v>
      </c>
      <c r="AB1040">
        <v>2950596.58</v>
      </c>
      <c r="AC1040">
        <v>6</v>
      </c>
      <c r="AD1040" t="s">
        <v>82</v>
      </c>
      <c r="AE1040">
        <v>6</v>
      </c>
      <c r="AF1040" t="s">
        <v>122</v>
      </c>
      <c r="AG1040">
        <f>IFERROR(VLOOKUP(AF1040,[1]STOK!J:O,6,0),"")</f>
        <v>24</v>
      </c>
      <c r="AH1040" s="2">
        <f t="shared" si="32"/>
        <v>0.25</v>
      </c>
      <c r="AI1040" t="s">
        <v>122</v>
      </c>
      <c r="AJ1040" t="s">
        <v>123</v>
      </c>
      <c r="AK1040" t="s">
        <v>124</v>
      </c>
      <c r="AL1040" t="s">
        <v>86</v>
      </c>
      <c r="AM1040">
        <v>12543</v>
      </c>
      <c r="AN1040">
        <f t="shared" si="33"/>
        <v>12046.296666666667</v>
      </c>
      <c r="AO1040" t="s">
        <v>66</v>
      </c>
      <c r="AP1040">
        <v>2</v>
      </c>
      <c r="AQ1040" t="s">
        <v>66</v>
      </c>
      <c r="AR1040">
        <v>0</v>
      </c>
      <c r="AS1040" t="s">
        <v>66</v>
      </c>
      <c r="AT1040">
        <v>0</v>
      </c>
      <c r="AU1040" t="s">
        <v>66</v>
      </c>
      <c r="AV1040">
        <v>2</v>
      </c>
      <c r="AW1040" t="s">
        <v>66</v>
      </c>
      <c r="AX1040">
        <v>0</v>
      </c>
      <c r="AY1040" t="s">
        <v>66</v>
      </c>
      <c r="AZ1040">
        <v>0</v>
      </c>
      <c r="BA1040" t="s">
        <v>66</v>
      </c>
      <c r="BB1040">
        <v>0</v>
      </c>
      <c r="BC1040">
        <v>0</v>
      </c>
      <c r="BD1040">
        <v>72277.78</v>
      </c>
      <c r="BE1040">
        <v>10200.57</v>
      </c>
      <c r="BF1040">
        <v>0</v>
      </c>
      <c r="BG1040" t="s">
        <v>87</v>
      </c>
      <c r="BH1040" t="s">
        <v>1347</v>
      </c>
      <c r="BI1040">
        <v>6</v>
      </c>
      <c r="BJ1040" t="s">
        <v>158</v>
      </c>
      <c r="BK1040" t="s">
        <v>88</v>
      </c>
      <c r="BL1040" t="s">
        <v>742</v>
      </c>
      <c r="BM1040" t="s">
        <v>159</v>
      </c>
    </row>
    <row r="1041" spans="1:65" x14ac:dyDescent="0.25">
      <c r="A1041">
        <v>1039</v>
      </c>
      <c r="B1041" t="s">
        <v>1342</v>
      </c>
      <c r="C1041" t="s">
        <v>68</v>
      </c>
      <c r="D1041" s="1">
        <v>46216</v>
      </c>
      <c r="E1041" t="s">
        <v>1343</v>
      </c>
      <c r="F1041" t="s">
        <v>68</v>
      </c>
      <c r="G1041" t="s">
        <v>295</v>
      </c>
      <c r="H1041" t="s">
        <v>296</v>
      </c>
      <c r="I1041" t="s">
        <v>71</v>
      </c>
      <c r="J1041" t="s">
        <v>72</v>
      </c>
      <c r="K1041" t="s">
        <v>73</v>
      </c>
      <c r="L1041" t="s">
        <v>74</v>
      </c>
      <c r="M1041" t="s">
        <v>1344</v>
      </c>
      <c r="N1041" t="s">
        <v>76</v>
      </c>
      <c r="O1041" t="s">
        <v>1345</v>
      </c>
      <c r="P1041" t="s">
        <v>1346</v>
      </c>
      <c r="Q1041" t="s">
        <v>66</v>
      </c>
      <c r="R1041" s="1">
        <v>46216</v>
      </c>
      <c r="S1041" t="s">
        <v>841</v>
      </c>
      <c r="T1041" t="s">
        <v>842</v>
      </c>
      <c r="U1041" t="s">
        <v>843</v>
      </c>
      <c r="V1041" t="s">
        <v>66</v>
      </c>
      <c r="W1041" t="s">
        <v>66</v>
      </c>
      <c r="X1041">
        <v>2658195.12</v>
      </c>
      <c r="Y1041">
        <v>292401.46000000002</v>
      </c>
      <c r="Z1041">
        <v>58776.480000000003</v>
      </c>
      <c r="AA1041">
        <v>6465.41</v>
      </c>
      <c r="AB1041">
        <v>2950596.58</v>
      </c>
      <c r="AC1041">
        <v>6</v>
      </c>
      <c r="AD1041" t="s">
        <v>82</v>
      </c>
      <c r="AE1041">
        <v>6</v>
      </c>
      <c r="AF1041" t="s">
        <v>726</v>
      </c>
      <c r="AG1041">
        <f>IFERROR(VLOOKUP(AF1041,[1]STOK!J:O,6,0),"")</f>
        <v>24</v>
      </c>
      <c r="AH1041" s="2">
        <f t="shared" si="32"/>
        <v>0.25</v>
      </c>
      <c r="AI1041" t="s">
        <v>726</v>
      </c>
      <c r="AJ1041" t="s">
        <v>727</v>
      </c>
      <c r="AK1041" t="s">
        <v>728</v>
      </c>
      <c r="AL1041" t="s">
        <v>86</v>
      </c>
      <c r="AM1041">
        <v>11322</v>
      </c>
      <c r="AN1041">
        <f t="shared" si="33"/>
        <v>10873.648333333333</v>
      </c>
      <c r="AO1041" t="s">
        <v>66</v>
      </c>
      <c r="AP1041">
        <v>2</v>
      </c>
      <c r="AQ1041" t="s">
        <v>66</v>
      </c>
      <c r="AR1041">
        <v>0</v>
      </c>
      <c r="AS1041" t="s">
        <v>66</v>
      </c>
      <c r="AT1041">
        <v>0</v>
      </c>
      <c r="AU1041" t="s">
        <v>66</v>
      </c>
      <c r="AV1041">
        <v>2</v>
      </c>
      <c r="AW1041" t="s">
        <v>66</v>
      </c>
      <c r="AX1041">
        <v>0</v>
      </c>
      <c r="AY1041" t="s">
        <v>66</v>
      </c>
      <c r="AZ1041">
        <v>0</v>
      </c>
      <c r="BA1041" t="s">
        <v>66</v>
      </c>
      <c r="BB1041">
        <v>0</v>
      </c>
      <c r="BC1041">
        <v>0</v>
      </c>
      <c r="BD1041">
        <v>65241.89</v>
      </c>
      <c r="BE1041">
        <v>8902.5499999999993</v>
      </c>
      <c r="BF1041">
        <v>0</v>
      </c>
      <c r="BG1041" t="s">
        <v>87</v>
      </c>
      <c r="BH1041" t="s">
        <v>1347</v>
      </c>
      <c r="BI1041">
        <v>6</v>
      </c>
      <c r="BJ1041" t="s">
        <v>158</v>
      </c>
      <c r="BK1041" t="s">
        <v>88</v>
      </c>
      <c r="BL1041" t="s">
        <v>742</v>
      </c>
      <c r="BM1041" t="s">
        <v>159</v>
      </c>
    </row>
    <row r="1042" spans="1:65" x14ac:dyDescent="0.25">
      <c r="A1042">
        <v>1040</v>
      </c>
      <c r="B1042" t="s">
        <v>1342</v>
      </c>
      <c r="C1042" t="s">
        <v>68</v>
      </c>
      <c r="D1042" s="1">
        <v>46216</v>
      </c>
      <c r="E1042" t="s">
        <v>1343</v>
      </c>
      <c r="F1042" t="s">
        <v>68</v>
      </c>
      <c r="G1042" t="s">
        <v>295</v>
      </c>
      <c r="H1042" t="s">
        <v>296</v>
      </c>
      <c r="I1042" t="s">
        <v>71</v>
      </c>
      <c r="J1042" t="s">
        <v>72</v>
      </c>
      <c r="K1042" t="s">
        <v>73</v>
      </c>
      <c r="L1042" t="s">
        <v>74</v>
      </c>
      <c r="M1042" t="s">
        <v>1344</v>
      </c>
      <c r="N1042" t="s">
        <v>76</v>
      </c>
      <c r="O1042" t="s">
        <v>1345</v>
      </c>
      <c r="P1042" t="s">
        <v>1346</v>
      </c>
      <c r="Q1042" t="s">
        <v>66</v>
      </c>
      <c r="R1042" s="1">
        <v>46216</v>
      </c>
      <c r="S1042" t="s">
        <v>841</v>
      </c>
      <c r="T1042" t="s">
        <v>842</v>
      </c>
      <c r="U1042" t="s">
        <v>843</v>
      </c>
      <c r="V1042" t="s">
        <v>66</v>
      </c>
      <c r="W1042" t="s">
        <v>66</v>
      </c>
      <c r="X1042">
        <v>2658195.12</v>
      </c>
      <c r="Y1042">
        <v>292401.46000000002</v>
      </c>
      <c r="Z1042">
        <v>58776.480000000003</v>
      </c>
      <c r="AA1042">
        <v>6465.41</v>
      </c>
      <c r="AB1042">
        <v>2950596.58</v>
      </c>
      <c r="AC1042">
        <v>6</v>
      </c>
      <c r="AD1042" t="s">
        <v>82</v>
      </c>
      <c r="AE1042">
        <v>6</v>
      </c>
      <c r="AF1042" t="s">
        <v>667</v>
      </c>
      <c r="AG1042">
        <f>IFERROR(VLOOKUP(AF1042,[1]STOK!J:O,6,0),"")</f>
        <v>24</v>
      </c>
      <c r="AH1042" s="2">
        <f t="shared" si="32"/>
        <v>0.25</v>
      </c>
      <c r="AI1042" t="s">
        <v>667</v>
      </c>
      <c r="AJ1042" t="s">
        <v>668</v>
      </c>
      <c r="AK1042" t="s">
        <v>669</v>
      </c>
      <c r="AL1042" t="s">
        <v>86</v>
      </c>
      <c r="AM1042">
        <v>11322</v>
      </c>
      <c r="AN1042">
        <f t="shared" si="33"/>
        <v>10873.648333333333</v>
      </c>
      <c r="AO1042" t="s">
        <v>66</v>
      </c>
      <c r="AP1042">
        <v>2</v>
      </c>
      <c r="AQ1042" t="s">
        <v>66</v>
      </c>
      <c r="AR1042">
        <v>0</v>
      </c>
      <c r="AS1042" t="s">
        <v>66</v>
      </c>
      <c r="AT1042">
        <v>0</v>
      </c>
      <c r="AU1042" t="s">
        <v>66</v>
      </c>
      <c r="AV1042">
        <v>2</v>
      </c>
      <c r="AW1042" t="s">
        <v>66</v>
      </c>
      <c r="AX1042">
        <v>0</v>
      </c>
      <c r="AY1042" t="s">
        <v>66</v>
      </c>
      <c r="AZ1042">
        <v>0</v>
      </c>
      <c r="BA1042" t="s">
        <v>66</v>
      </c>
      <c r="BB1042">
        <v>0</v>
      </c>
      <c r="BC1042">
        <v>0</v>
      </c>
      <c r="BD1042">
        <v>65241.89</v>
      </c>
      <c r="BE1042">
        <v>9046.9599999999991</v>
      </c>
      <c r="BF1042">
        <v>0</v>
      </c>
      <c r="BG1042" t="s">
        <v>87</v>
      </c>
      <c r="BH1042" t="s">
        <v>1347</v>
      </c>
      <c r="BI1042">
        <v>6</v>
      </c>
      <c r="BJ1042" t="s">
        <v>158</v>
      </c>
      <c r="BK1042" t="s">
        <v>88</v>
      </c>
      <c r="BL1042" t="s">
        <v>742</v>
      </c>
      <c r="BM1042" t="s">
        <v>159</v>
      </c>
    </row>
    <row r="1043" spans="1:65" x14ac:dyDescent="0.25">
      <c r="A1043">
        <v>1041</v>
      </c>
      <c r="B1043" t="s">
        <v>1342</v>
      </c>
      <c r="C1043" t="s">
        <v>68</v>
      </c>
      <c r="D1043" s="1">
        <v>46216</v>
      </c>
      <c r="E1043" t="s">
        <v>1343</v>
      </c>
      <c r="F1043" t="s">
        <v>68</v>
      </c>
      <c r="G1043" t="s">
        <v>295</v>
      </c>
      <c r="H1043" t="s">
        <v>296</v>
      </c>
      <c r="I1043" t="s">
        <v>71</v>
      </c>
      <c r="J1043" t="s">
        <v>72</v>
      </c>
      <c r="K1043" t="s">
        <v>73</v>
      </c>
      <c r="L1043" t="s">
        <v>74</v>
      </c>
      <c r="M1043" t="s">
        <v>1344</v>
      </c>
      <c r="N1043" t="s">
        <v>76</v>
      </c>
      <c r="O1043" t="s">
        <v>1345</v>
      </c>
      <c r="P1043" t="s">
        <v>1346</v>
      </c>
      <c r="Q1043" t="s">
        <v>66</v>
      </c>
      <c r="R1043" s="1">
        <v>46216</v>
      </c>
      <c r="S1043" t="s">
        <v>841</v>
      </c>
      <c r="T1043" t="s">
        <v>842</v>
      </c>
      <c r="U1043" t="s">
        <v>843</v>
      </c>
      <c r="V1043" t="s">
        <v>66</v>
      </c>
      <c r="W1043" t="s">
        <v>66</v>
      </c>
      <c r="X1043">
        <v>2658195.12</v>
      </c>
      <c r="Y1043">
        <v>292401.46000000002</v>
      </c>
      <c r="Z1043">
        <v>58776.480000000003</v>
      </c>
      <c r="AA1043">
        <v>6465.41</v>
      </c>
      <c r="AB1043">
        <v>2950596.58</v>
      </c>
      <c r="AC1043">
        <v>6</v>
      </c>
      <c r="AD1043" t="s">
        <v>82</v>
      </c>
      <c r="AE1043">
        <v>6</v>
      </c>
      <c r="AF1043" t="s">
        <v>860</v>
      </c>
      <c r="AG1043">
        <f>IFERROR(VLOOKUP(AF1043,[1]STOK!J:O,6,0),"")</f>
        <v>24</v>
      </c>
      <c r="AH1043" s="2">
        <f t="shared" si="32"/>
        <v>0.25</v>
      </c>
      <c r="AI1043" t="s">
        <v>860</v>
      </c>
      <c r="AJ1043" t="s">
        <v>861</v>
      </c>
      <c r="AK1043" t="s">
        <v>862</v>
      </c>
      <c r="AL1043" t="s">
        <v>86</v>
      </c>
      <c r="AM1043">
        <v>11322</v>
      </c>
      <c r="AN1043">
        <f t="shared" si="33"/>
        <v>10873.648333333333</v>
      </c>
      <c r="AO1043" t="s">
        <v>66</v>
      </c>
      <c r="AP1043">
        <v>2</v>
      </c>
      <c r="AQ1043" t="s">
        <v>66</v>
      </c>
      <c r="AR1043">
        <v>0</v>
      </c>
      <c r="AS1043" t="s">
        <v>66</v>
      </c>
      <c r="AT1043">
        <v>0</v>
      </c>
      <c r="AU1043" t="s">
        <v>66</v>
      </c>
      <c r="AV1043">
        <v>2</v>
      </c>
      <c r="AW1043" t="s">
        <v>66</v>
      </c>
      <c r="AX1043">
        <v>0</v>
      </c>
      <c r="AY1043" t="s">
        <v>66</v>
      </c>
      <c r="AZ1043">
        <v>0</v>
      </c>
      <c r="BA1043" t="s">
        <v>66</v>
      </c>
      <c r="BB1043">
        <v>0</v>
      </c>
      <c r="BC1043">
        <v>0</v>
      </c>
      <c r="BD1043">
        <v>65241.89</v>
      </c>
      <c r="BE1043">
        <v>9175.68</v>
      </c>
      <c r="BF1043">
        <v>0</v>
      </c>
      <c r="BG1043" t="s">
        <v>87</v>
      </c>
      <c r="BH1043" t="s">
        <v>1347</v>
      </c>
      <c r="BI1043">
        <v>6</v>
      </c>
      <c r="BJ1043" t="s">
        <v>158</v>
      </c>
      <c r="BK1043" t="s">
        <v>88</v>
      </c>
      <c r="BL1043" t="s">
        <v>742</v>
      </c>
      <c r="BM1043" t="s">
        <v>159</v>
      </c>
    </row>
    <row r="1044" spans="1:65" x14ac:dyDescent="0.25">
      <c r="A1044">
        <v>1042</v>
      </c>
      <c r="B1044" t="s">
        <v>1342</v>
      </c>
      <c r="C1044" t="s">
        <v>68</v>
      </c>
      <c r="D1044" s="1">
        <v>46216</v>
      </c>
      <c r="E1044" t="s">
        <v>1343</v>
      </c>
      <c r="F1044" t="s">
        <v>68</v>
      </c>
      <c r="G1044" t="s">
        <v>295</v>
      </c>
      <c r="H1044" t="s">
        <v>296</v>
      </c>
      <c r="I1044" t="s">
        <v>71</v>
      </c>
      <c r="J1044" t="s">
        <v>72</v>
      </c>
      <c r="K1044" t="s">
        <v>73</v>
      </c>
      <c r="L1044" t="s">
        <v>74</v>
      </c>
      <c r="M1044" t="s">
        <v>1344</v>
      </c>
      <c r="N1044" t="s">
        <v>76</v>
      </c>
      <c r="O1044" t="s">
        <v>1345</v>
      </c>
      <c r="P1044" t="s">
        <v>1346</v>
      </c>
      <c r="Q1044" t="s">
        <v>66</v>
      </c>
      <c r="R1044" s="1">
        <v>46216</v>
      </c>
      <c r="S1044" t="s">
        <v>841</v>
      </c>
      <c r="T1044" t="s">
        <v>842</v>
      </c>
      <c r="U1044" t="s">
        <v>843</v>
      </c>
      <c r="V1044" t="s">
        <v>66</v>
      </c>
      <c r="W1044" t="s">
        <v>66</v>
      </c>
      <c r="X1044">
        <v>2658195.12</v>
      </c>
      <c r="Y1044">
        <v>292401.46000000002</v>
      </c>
      <c r="Z1044">
        <v>58776.480000000003</v>
      </c>
      <c r="AA1044">
        <v>6465.41</v>
      </c>
      <c r="AB1044">
        <v>2950596.58</v>
      </c>
      <c r="AC1044">
        <v>6</v>
      </c>
      <c r="AD1044" t="s">
        <v>82</v>
      </c>
      <c r="AE1044">
        <v>6</v>
      </c>
      <c r="AF1044" t="s">
        <v>670</v>
      </c>
      <c r="AG1044">
        <f>IFERROR(VLOOKUP(AF1044,[1]STOK!J:O,6,0),"")</f>
        <v>24</v>
      </c>
      <c r="AH1044" s="2">
        <f t="shared" si="32"/>
        <v>0.25</v>
      </c>
      <c r="AI1044" t="s">
        <v>670</v>
      </c>
      <c r="AJ1044" t="s">
        <v>671</v>
      </c>
      <c r="AK1044" t="s">
        <v>672</v>
      </c>
      <c r="AL1044" t="s">
        <v>86</v>
      </c>
      <c r="AM1044">
        <v>11322</v>
      </c>
      <c r="AN1044">
        <f t="shared" si="33"/>
        <v>10873.648333333333</v>
      </c>
      <c r="AO1044" t="s">
        <v>66</v>
      </c>
      <c r="AP1044">
        <v>2</v>
      </c>
      <c r="AQ1044" t="s">
        <v>66</v>
      </c>
      <c r="AR1044">
        <v>0</v>
      </c>
      <c r="AS1044" t="s">
        <v>66</v>
      </c>
      <c r="AT1044">
        <v>0</v>
      </c>
      <c r="AU1044" t="s">
        <v>66</v>
      </c>
      <c r="AV1044">
        <v>2</v>
      </c>
      <c r="AW1044" t="s">
        <v>66</v>
      </c>
      <c r="AX1044">
        <v>0</v>
      </c>
      <c r="AY1044" t="s">
        <v>66</v>
      </c>
      <c r="AZ1044">
        <v>0</v>
      </c>
      <c r="BA1044" t="s">
        <v>66</v>
      </c>
      <c r="BB1044">
        <v>0</v>
      </c>
      <c r="BC1044">
        <v>0</v>
      </c>
      <c r="BD1044">
        <v>65241.89</v>
      </c>
      <c r="BE1044">
        <v>9214.48</v>
      </c>
      <c r="BF1044">
        <v>0</v>
      </c>
      <c r="BG1044" t="s">
        <v>87</v>
      </c>
      <c r="BH1044" t="s">
        <v>1347</v>
      </c>
      <c r="BI1044">
        <v>6</v>
      </c>
      <c r="BJ1044" t="s">
        <v>158</v>
      </c>
      <c r="BK1044" t="s">
        <v>88</v>
      </c>
      <c r="BL1044" t="s">
        <v>742</v>
      </c>
      <c r="BM1044" t="s">
        <v>159</v>
      </c>
    </row>
    <row r="1045" spans="1:65" x14ac:dyDescent="0.25">
      <c r="A1045">
        <v>1043</v>
      </c>
      <c r="B1045" t="s">
        <v>1342</v>
      </c>
      <c r="C1045" t="s">
        <v>68</v>
      </c>
      <c r="D1045" s="1">
        <v>46216</v>
      </c>
      <c r="E1045" t="s">
        <v>1343</v>
      </c>
      <c r="F1045" t="s">
        <v>68</v>
      </c>
      <c r="G1045" t="s">
        <v>295</v>
      </c>
      <c r="H1045" t="s">
        <v>296</v>
      </c>
      <c r="I1045" t="s">
        <v>71</v>
      </c>
      <c r="J1045" t="s">
        <v>72</v>
      </c>
      <c r="K1045" t="s">
        <v>73</v>
      </c>
      <c r="L1045" t="s">
        <v>74</v>
      </c>
      <c r="M1045" t="s">
        <v>1344</v>
      </c>
      <c r="N1045" t="s">
        <v>76</v>
      </c>
      <c r="O1045" t="s">
        <v>1345</v>
      </c>
      <c r="P1045" t="s">
        <v>1346</v>
      </c>
      <c r="Q1045" t="s">
        <v>66</v>
      </c>
      <c r="R1045" s="1">
        <v>46216</v>
      </c>
      <c r="S1045" t="s">
        <v>841</v>
      </c>
      <c r="T1045" t="s">
        <v>842</v>
      </c>
      <c r="U1045" t="s">
        <v>843</v>
      </c>
      <c r="V1045" t="s">
        <v>66</v>
      </c>
      <c r="W1045" t="s">
        <v>66</v>
      </c>
      <c r="X1045">
        <v>2658195.12</v>
      </c>
      <c r="Y1045">
        <v>292401.46000000002</v>
      </c>
      <c r="Z1045">
        <v>32845.68</v>
      </c>
      <c r="AA1045">
        <v>3613.02</v>
      </c>
      <c r="AB1045">
        <v>2950596.58</v>
      </c>
      <c r="AC1045">
        <v>6</v>
      </c>
      <c r="AD1045" t="s">
        <v>82</v>
      </c>
      <c r="AE1045">
        <v>6</v>
      </c>
      <c r="AF1045" t="s">
        <v>90</v>
      </c>
      <c r="AG1045">
        <f>IFERROR(VLOOKUP(AF1045,[1]STOK!J:O,6,0),"")</f>
        <v>48</v>
      </c>
      <c r="AH1045" s="2">
        <f t="shared" si="32"/>
        <v>0.125</v>
      </c>
      <c r="AI1045" t="s">
        <v>90</v>
      </c>
      <c r="AJ1045" t="s">
        <v>91</v>
      </c>
      <c r="AK1045" t="s">
        <v>92</v>
      </c>
      <c r="AL1045" t="s">
        <v>86</v>
      </c>
      <c r="AM1045">
        <v>6327</v>
      </c>
      <c r="AN1045">
        <f t="shared" si="33"/>
        <v>6076.45</v>
      </c>
      <c r="AO1045" t="s">
        <v>66</v>
      </c>
      <c r="AP1045">
        <v>2</v>
      </c>
      <c r="AQ1045" t="s">
        <v>66</v>
      </c>
      <c r="AR1045">
        <v>0</v>
      </c>
      <c r="AS1045" t="s">
        <v>66</v>
      </c>
      <c r="AT1045">
        <v>0</v>
      </c>
      <c r="AU1045" t="s">
        <v>66</v>
      </c>
      <c r="AV1045">
        <v>2</v>
      </c>
      <c r="AW1045" t="s">
        <v>66</v>
      </c>
      <c r="AX1045">
        <v>0</v>
      </c>
      <c r="AY1045" t="s">
        <v>66</v>
      </c>
      <c r="AZ1045">
        <v>0</v>
      </c>
      <c r="BA1045" t="s">
        <v>66</v>
      </c>
      <c r="BB1045">
        <v>0</v>
      </c>
      <c r="BC1045">
        <v>0</v>
      </c>
      <c r="BD1045">
        <v>36458.699999999997</v>
      </c>
      <c r="BE1045">
        <v>5043.8999999999996</v>
      </c>
      <c r="BF1045">
        <v>0</v>
      </c>
      <c r="BG1045" t="s">
        <v>87</v>
      </c>
      <c r="BH1045" t="s">
        <v>1347</v>
      </c>
      <c r="BI1045">
        <v>6</v>
      </c>
      <c r="BJ1045" t="s">
        <v>158</v>
      </c>
      <c r="BK1045" t="s">
        <v>88</v>
      </c>
      <c r="BL1045" t="s">
        <v>742</v>
      </c>
      <c r="BM1045" t="s">
        <v>159</v>
      </c>
    </row>
    <row r="1046" spans="1:65" x14ac:dyDescent="0.25">
      <c r="A1046">
        <v>1044</v>
      </c>
      <c r="B1046" t="s">
        <v>1342</v>
      </c>
      <c r="C1046" t="s">
        <v>68</v>
      </c>
      <c r="D1046" s="1">
        <v>46216</v>
      </c>
      <c r="E1046" t="s">
        <v>1343</v>
      </c>
      <c r="F1046" t="s">
        <v>68</v>
      </c>
      <c r="G1046" t="s">
        <v>295</v>
      </c>
      <c r="H1046" t="s">
        <v>296</v>
      </c>
      <c r="I1046" t="s">
        <v>71</v>
      </c>
      <c r="J1046" t="s">
        <v>72</v>
      </c>
      <c r="K1046" t="s">
        <v>73</v>
      </c>
      <c r="L1046" t="s">
        <v>74</v>
      </c>
      <c r="M1046" t="s">
        <v>1344</v>
      </c>
      <c r="N1046" t="s">
        <v>76</v>
      </c>
      <c r="O1046" t="s">
        <v>1345</v>
      </c>
      <c r="P1046" t="s">
        <v>1346</v>
      </c>
      <c r="Q1046" t="s">
        <v>66</v>
      </c>
      <c r="R1046" s="1">
        <v>46216</v>
      </c>
      <c r="S1046" t="s">
        <v>841</v>
      </c>
      <c r="T1046" t="s">
        <v>842</v>
      </c>
      <c r="U1046" t="s">
        <v>843</v>
      </c>
      <c r="V1046" t="s">
        <v>66</v>
      </c>
      <c r="W1046" t="s">
        <v>66</v>
      </c>
      <c r="X1046">
        <v>2658195.12</v>
      </c>
      <c r="Y1046">
        <v>292401.46000000002</v>
      </c>
      <c r="Z1046">
        <v>32845.68</v>
      </c>
      <c r="AA1046">
        <v>3613.02</v>
      </c>
      <c r="AB1046">
        <v>2950596.58</v>
      </c>
      <c r="AC1046">
        <v>6</v>
      </c>
      <c r="AD1046" t="s">
        <v>82</v>
      </c>
      <c r="AE1046">
        <v>6</v>
      </c>
      <c r="AF1046" t="s">
        <v>350</v>
      </c>
      <c r="AG1046">
        <f>IFERROR(VLOOKUP(AF1046,[1]STOK!J:O,6,0),"")</f>
        <v>48</v>
      </c>
      <c r="AH1046" s="2">
        <f t="shared" si="32"/>
        <v>0.125</v>
      </c>
      <c r="AI1046" t="s">
        <v>350</v>
      </c>
      <c r="AJ1046" t="s">
        <v>351</v>
      </c>
      <c r="AK1046" t="s">
        <v>352</v>
      </c>
      <c r="AL1046" t="s">
        <v>86</v>
      </c>
      <c r="AM1046">
        <v>6327</v>
      </c>
      <c r="AN1046">
        <f t="shared" si="33"/>
        <v>6076.45</v>
      </c>
      <c r="AO1046" t="s">
        <v>66</v>
      </c>
      <c r="AP1046">
        <v>2</v>
      </c>
      <c r="AQ1046" t="s">
        <v>66</v>
      </c>
      <c r="AR1046">
        <v>0</v>
      </c>
      <c r="AS1046" t="s">
        <v>66</v>
      </c>
      <c r="AT1046">
        <v>0</v>
      </c>
      <c r="AU1046" t="s">
        <v>66</v>
      </c>
      <c r="AV1046">
        <v>2</v>
      </c>
      <c r="AW1046" t="s">
        <v>66</v>
      </c>
      <c r="AX1046">
        <v>0</v>
      </c>
      <c r="AY1046" t="s">
        <v>66</v>
      </c>
      <c r="AZ1046">
        <v>0</v>
      </c>
      <c r="BA1046" t="s">
        <v>66</v>
      </c>
      <c r="BB1046">
        <v>0</v>
      </c>
      <c r="BC1046">
        <v>0</v>
      </c>
      <c r="BD1046">
        <v>36458.699999999997</v>
      </c>
      <c r="BE1046">
        <v>5152.5600000000004</v>
      </c>
      <c r="BF1046">
        <v>0</v>
      </c>
      <c r="BG1046" t="s">
        <v>87</v>
      </c>
      <c r="BH1046" t="s">
        <v>1347</v>
      </c>
      <c r="BI1046">
        <v>6</v>
      </c>
      <c r="BJ1046" t="s">
        <v>158</v>
      </c>
      <c r="BK1046" t="s">
        <v>88</v>
      </c>
      <c r="BL1046" t="s">
        <v>742</v>
      </c>
      <c r="BM1046" t="s">
        <v>159</v>
      </c>
    </row>
    <row r="1047" spans="1:65" x14ac:dyDescent="0.25">
      <c r="A1047">
        <v>1045</v>
      </c>
      <c r="B1047" t="s">
        <v>1342</v>
      </c>
      <c r="C1047" t="s">
        <v>68</v>
      </c>
      <c r="D1047" s="1">
        <v>46216</v>
      </c>
      <c r="E1047" t="s">
        <v>1343</v>
      </c>
      <c r="F1047" t="s">
        <v>68</v>
      </c>
      <c r="G1047" t="s">
        <v>295</v>
      </c>
      <c r="H1047" t="s">
        <v>296</v>
      </c>
      <c r="I1047" t="s">
        <v>71</v>
      </c>
      <c r="J1047" t="s">
        <v>72</v>
      </c>
      <c r="K1047" t="s">
        <v>73</v>
      </c>
      <c r="L1047" t="s">
        <v>74</v>
      </c>
      <c r="M1047" t="s">
        <v>1344</v>
      </c>
      <c r="N1047" t="s">
        <v>76</v>
      </c>
      <c r="O1047" t="s">
        <v>1345</v>
      </c>
      <c r="P1047" t="s">
        <v>1346</v>
      </c>
      <c r="Q1047" t="s">
        <v>66</v>
      </c>
      <c r="R1047" s="1">
        <v>46216</v>
      </c>
      <c r="S1047" t="s">
        <v>841</v>
      </c>
      <c r="T1047" t="s">
        <v>842</v>
      </c>
      <c r="U1047" t="s">
        <v>843</v>
      </c>
      <c r="V1047" t="s">
        <v>66</v>
      </c>
      <c r="W1047" t="s">
        <v>66</v>
      </c>
      <c r="X1047">
        <v>2658195.12</v>
      </c>
      <c r="Y1047">
        <v>292401.46000000002</v>
      </c>
      <c r="Z1047">
        <v>32845.68</v>
      </c>
      <c r="AA1047">
        <v>3613.02</v>
      </c>
      <c r="AB1047">
        <v>2950596.58</v>
      </c>
      <c r="AC1047">
        <v>6</v>
      </c>
      <c r="AD1047" t="s">
        <v>82</v>
      </c>
      <c r="AE1047">
        <v>6</v>
      </c>
      <c r="AF1047" t="s">
        <v>202</v>
      </c>
      <c r="AG1047">
        <f>IFERROR(VLOOKUP(AF1047,[1]STOK!J:O,6,0),"")</f>
        <v>48</v>
      </c>
      <c r="AH1047" s="2">
        <f t="shared" si="32"/>
        <v>0.125</v>
      </c>
      <c r="AI1047" t="s">
        <v>202</v>
      </c>
      <c r="AJ1047" t="s">
        <v>203</v>
      </c>
      <c r="AK1047" t="s">
        <v>204</v>
      </c>
      <c r="AL1047" t="s">
        <v>86</v>
      </c>
      <c r="AM1047">
        <v>6327</v>
      </c>
      <c r="AN1047">
        <f t="shared" si="33"/>
        <v>6076.45</v>
      </c>
      <c r="AO1047" t="s">
        <v>66</v>
      </c>
      <c r="AP1047">
        <v>2</v>
      </c>
      <c r="AQ1047" t="s">
        <v>66</v>
      </c>
      <c r="AR1047">
        <v>0</v>
      </c>
      <c r="AS1047" t="s">
        <v>66</v>
      </c>
      <c r="AT1047">
        <v>0</v>
      </c>
      <c r="AU1047" t="s">
        <v>66</v>
      </c>
      <c r="AV1047">
        <v>2</v>
      </c>
      <c r="AW1047" t="s">
        <v>66</v>
      </c>
      <c r="AX1047">
        <v>0</v>
      </c>
      <c r="AY1047" t="s">
        <v>66</v>
      </c>
      <c r="AZ1047">
        <v>0</v>
      </c>
      <c r="BA1047" t="s">
        <v>66</v>
      </c>
      <c r="BB1047">
        <v>0</v>
      </c>
      <c r="BC1047">
        <v>0</v>
      </c>
      <c r="BD1047">
        <v>36458.699999999997</v>
      </c>
      <c r="BE1047">
        <v>5141.57</v>
      </c>
      <c r="BF1047">
        <v>0</v>
      </c>
      <c r="BG1047" t="s">
        <v>87</v>
      </c>
      <c r="BH1047" t="s">
        <v>1347</v>
      </c>
      <c r="BI1047">
        <v>6</v>
      </c>
      <c r="BJ1047" t="s">
        <v>158</v>
      </c>
      <c r="BK1047" t="s">
        <v>88</v>
      </c>
      <c r="BL1047" t="s">
        <v>742</v>
      </c>
      <c r="BM1047" t="s">
        <v>159</v>
      </c>
    </row>
    <row r="1048" spans="1:65" x14ac:dyDescent="0.25">
      <c r="A1048">
        <v>1046</v>
      </c>
      <c r="B1048" t="s">
        <v>1342</v>
      </c>
      <c r="C1048" t="s">
        <v>68</v>
      </c>
      <c r="D1048" s="1">
        <v>46216</v>
      </c>
      <c r="E1048" t="s">
        <v>1343</v>
      </c>
      <c r="F1048" t="s">
        <v>68</v>
      </c>
      <c r="G1048" t="s">
        <v>295</v>
      </c>
      <c r="H1048" t="s">
        <v>296</v>
      </c>
      <c r="I1048" t="s">
        <v>71</v>
      </c>
      <c r="J1048" t="s">
        <v>72</v>
      </c>
      <c r="K1048" t="s">
        <v>73</v>
      </c>
      <c r="L1048" t="s">
        <v>74</v>
      </c>
      <c r="M1048" t="s">
        <v>1344</v>
      </c>
      <c r="N1048" t="s">
        <v>76</v>
      </c>
      <c r="O1048" t="s">
        <v>1345</v>
      </c>
      <c r="P1048" t="s">
        <v>1346</v>
      </c>
      <c r="Q1048" t="s">
        <v>66</v>
      </c>
      <c r="R1048" s="1">
        <v>46216</v>
      </c>
      <c r="S1048" t="s">
        <v>841</v>
      </c>
      <c r="T1048" t="s">
        <v>842</v>
      </c>
      <c r="U1048" t="s">
        <v>843</v>
      </c>
      <c r="V1048" t="s">
        <v>66</v>
      </c>
      <c r="W1048" t="s">
        <v>66</v>
      </c>
      <c r="X1048">
        <v>2658195.12</v>
      </c>
      <c r="Y1048">
        <v>292401.46000000002</v>
      </c>
      <c r="Z1048">
        <v>95079.6</v>
      </c>
      <c r="AA1048">
        <v>10458.76</v>
      </c>
      <c r="AB1048">
        <v>2950596.58</v>
      </c>
      <c r="AC1048">
        <v>6</v>
      </c>
      <c r="AD1048" t="s">
        <v>82</v>
      </c>
      <c r="AE1048">
        <v>6</v>
      </c>
      <c r="AF1048" t="s">
        <v>128</v>
      </c>
      <c r="AG1048">
        <f>IFERROR(VLOOKUP(AF1048,[1]STOK!J:O,6,0),"")</f>
        <v>24</v>
      </c>
      <c r="AH1048" s="2">
        <f t="shared" si="32"/>
        <v>0.25</v>
      </c>
      <c r="AI1048" t="s">
        <v>128</v>
      </c>
      <c r="AJ1048" t="s">
        <v>129</v>
      </c>
      <c r="AK1048" t="s">
        <v>130</v>
      </c>
      <c r="AL1048" t="s">
        <v>86</v>
      </c>
      <c r="AM1048">
        <v>18315</v>
      </c>
      <c r="AN1048">
        <f t="shared" si="33"/>
        <v>17589.726666666666</v>
      </c>
      <c r="AO1048" t="s">
        <v>66</v>
      </c>
      <c r="AP1048">
        <v>2</v>
      </c>
      <c r="AQ1048" t="s">
        <v>66</v>
      </c>
      <c r="AR1048">
        <v>0</v>
      </c>
      <c r="AS1048" t="s">
        <v>66</v>
      </c>
      <c r="AT1048">
        <v>0</v>
      </c>
      <c r="AU1048" t="s">
        <v>66</v>
      </c>
      <c r="AV1048">
        <v>2</v>
      </c>
      <c r="AW1048" t="s">
        <v>66</v>
      </c>
      <c r="AX1048">
        <v>0</v>
      </c>
      <c r="AY1048" t="s">
        <v>66</v>
      </c>
      <c r="AZ1048">
        <v>0</v>
      </c>
      <c r="BA1048" t="s">
        <v>66</v>
      </c>
      <c r="BB1048">
        <v>0</v>
      </c>
      <c r="BC1048">
        <v>0</v>
      </c>
      <c r="BD1048">
        <v>105538.36</v>
      </c>
      <c r="BE1048">
        <v>14920.07</v>
      </c>
      <c r="BF1048">
        <v>0</v>
      </c>
      <c r="BG1048" t="s">
        <v>87</v>
      </c>
      <c r="BH1048" t="s">
        <v>1347</v>
      </c>
      <c r="BI1048">
        <v>6</v>
      </c>
      <c r="BJ1048" t="s">
        <v>158</v>
      </c>
      <c r="BK1048" t="s">
        <v>88</v>
      </c>
      <c r="BL1048" t="s">
        <v>742</v>
      </c>
      <c r="BM1048" t="s">
        <v>159</v>
      </c>
    </row>
    <row r="1049" spans="1:65" x14ac:dyDescent="0.25">
      <c r="A1049">
        <v>1047</v>
      </c>
      <c r="B1049" t="s">
        <v>1342</v>
      </c>
      <c r="C1049" t="s">
        <v>68</v>
      </c>
      <c r="D1049" s="1">
        <v>46216</v>
      </c>
      <c r="E1049" t="s">
        <v>1343</v>
      </c>
      <c r="F1049" t="s">
        <v>68</v>
      </c>
      <c r="G1049" t="s">
        <v>295</v>
      </c>
      <c r="H1049" t="s">
        <v>296</v>
      </c>
      <c r="I1049" t="s">
        <v>71</v>
      </c>
      <c r="J1049" t="s">
        <v>72</v>
      </c>
      <c r="K1049" t="s">
        <v>73</v>
      </c>
      <c r="L1049" t="s">
        <v>74</v>
      </c>
      <c r="M1049" t="s">
        <v>1344</v>
      </c>
      <c r="N1049" t="s">
        <v>76</v>
      </c>
      <c r="O1049" t="s">
        <v>1345</v>
      </c>
      <c r="P1049" t="s">
        <v>1346</v>
      </c>
      <c r="Q1049" t="s">
        <v>66</v>
      </c>
      <c r="R1049" s="1">
        <v>46216</v>
      </c>
      <c r="S1049" t="s">
        <v>841</v>
      </c>
      <c r="T1049" t="s">
        <v>842</v>
      </c>
      <c r="U1049" t="s">
        <v>843</v>
      </c>
      <c r="V1049" t="s">
        <v>66</v>
      </c>
      <c r="W1049" t="s">
        <v>66</v>
      </c>
      <c r="X1049">
        <v>2658195.12</v>
      </c>
      <c r="Y1049">
        <v>292401.46000000002</v>
      </c>
      <c r="Z1049">
        <v>95079.6</v>
      </c>
      <c r="AA1049">
        <v>10458.76</v>
      </c>
      <c r="AB1049">
        <v>2950596.58</v>
      </c>
      <c r="AC1049">
        <v>6</v>
      </c>
      <c r="AD1049" t="s">
        <v>82</v>
      </c>
      <c r="AE1049">
        <v>6</v>
      </c>
      <c r="AF1049" t="s">
        <v>93</v>
      </c>
      <c r="AG1049">
        <f>IFERROR(VLOOKUP(AF1049,[1]STOK!J:O,6,0),"")</f>
        <v>24</v>
      </c>
      <c r="AH1049" s="2">
        <f t="shared" si="32"/>
        <v>0.25</v>
      </c>
      <c r="AI1049" t="s">
        <v>93</v>
      </c>
      <c r="AJ1049" t="s">
        <v>94</v>
      </c>
      <c r="AK1049" t="s">
        <v>95</v>
      </c>
      <c r="AL1049" t="s">
        <v>86</v>
      </c>
      <c r="AM1049">
        <v>18315</v>
      </c>
      <c r="AN1049">
        <f t="shared" si="33"/>
        <v>17589.726666666666</v>
      </c>
      <c r="AO1049" t="s">
        <v>66</v>
      </c>
      <c r="AP1049">
        <v>2</v>
      </c>
      <c r="AQ1049" t="s">
        <v>66</v>
      </c>
      <c r="AR1049">
        <v>0</v>
      </c>
      <c r="AS1049" t="s">
        <v>66</v>
      </c>
      <c r="AT1049">
        <v>0</v>
      </c>
      <c r="AU1049" t="s">
        <v>66</v>
      </c>
      <c r="AV1049">
        <v>2</v>
      </c>
      <c r="AW1049" t="s">
        <v>66</v>
      </c>
      <c r="AX1049">
        <v>0</v>
      </c>
      <c r="AY1049" t="s">
        <v>66</v>
      </c>
      <c r="AZ1049">
        <v>0</v>
      </c>
      <c r="BA1049" t="s">
        <v>66</v>
      </c>
      <c r="BB1049">
        <v>0</v>
      </c>
      <c r="BC1049">
        <v>0</v>
      </c>
      <c r="BD1049">
        <v>105538.36</v>
      </c>
      <c r="BE1049">
        <v>14931.77</v>
      </c>
      <c r="BF1049">
        <v>0</v>
      </c>
      <c r="BG1049" t="s">
        <v>87</v>
      </c>
      <c r="BH1049" t="s">
        <v>1347</v>
      </c>
      <c r="BI1049">
        <v>6</v>
      </c>
      <c r="BJ1049" t="s">
        <v>158</v>
      </c>
      <c r="BK1049" t="s">
        <v>88</v>
      </c>
      <c r="BL1049" t="s">
        <v>742</v>
      </c>
      <c r="BM1049" t="s">
        <v>159</v>
      </c>
    </row>
    <row r="1050" spans="1:65" x14ac:dyDescent="0.25">
      <c r="A1050">
        <v>1048</v>
      </c>
      <c r="B1050" t="s">
        <v>1342</v>
      </c>
      <c r="C1050" t="s">
        <v>68</v>
      </c>
      <c r="D1050" s="1">
        <v>46216</v>
      </c>
      <c r="E1050" t="s">
        <v>1343</v>
      </c>
      <c r="F1050" t="s">
        <v>68</v>
      </c>
      <c r="G1050" t="s">
        <v>295</v>
      </c>
      <c r="H1050" t="s">
        <v>296</v>
      </c>
      <c r="I1050" t="s">
        <v>71</v>
      </c>
      <c r="J1050" t="s">
        <v>72</v>
      </c>
      <c r="K1050" t="s">
        <v>73</v>
      </c>
      <c r="L1050" t="s">
        <v>74</v>
      </c>
      <c r="M1050" t="s">
        <v>1344</v>
      </c>
      <c r="N1050" t="s">
        <v>76</v>
      </c>
      <c r="O1050" t="s">
        <v>1345</v>
      </c>
      <c r="P1050" t="s">
        <v>1346</v>
      </c>
      <c r="Q1050" t="s">
        <v>66</v>
      </c>
      <c r="R1050" s="1">
        <v>46216</v>
      </c>
      <c r="S1050" t="s">
        <v>841</v>
      </c>
      <c r="T1050" t="s">
        <v>842</v>
      </c>
      <c r="U1050" t="s">
        <v>843</v>
      </c>
      <c r="V1050" t="s">
        <v>66</v>
      </c>
      <c r="W1050" t="s">
        <v>66</v>
      </c>
      <c r="X1050">
        <v>2658195.12</v>
      </c>
      <c r="Y1050">
        <v>292401.46000000002</v>
      </c>
      <c r="Z1050">
        <v>95079.6</v>
      </c>
      <c r="AA1050">
        <v>10458.76</v>
      </c>
      <c r="AB1050">
        <v>2950596.58</v>
      </c>
      <c r="AC1050">
        <v>6</v>
      </c>
      <c r="AD1050" t="s">
        <v>82</v>
      </c>
      <c r="AE1050">
        <v>6</v>
      </c>
      <c r="AF1050" t="s">
        <v>205</v>
      </c>
      <c r="AG1050">
        <f>IFERROR(VLOOKUP(AF1050,[1]STOK!J:O,6,0),"")</f>
        <v>24</v>
      </c>
      <c r="AH1050" s="2">
        <f t="shared" si="32"/>
        <v>0.25</v>
      </c>
      <c r="AI1050" t="s">
        <v>205</v>
      </c>
      <c r="AJ1050" t="s">
        <v>206</v>
      </c>
      <c r="AK1050" t="s">
        <v>207</v>
      </c>
      <c r="AL1050" t="s">
        <v>86</v>
      </c>
      <c r="AM1050">
        <v>18315</v>
      </c>
      <c r="AN1050">
        <f t="shared" si="33"/>
        <v>17589.726666666666</v>
      </c>
      <c r="AO1050" t="s">
        <v>66</v>
      </c>
      <c r="AP1050">
        <v>2</v>
      </c>
      <c r="AQ1050" t="s">
        <v>66</v>
      </c>
      <c r="AR1050">
        <v>0</v>
      </c>
      <c r="AS1050" t="s">
        <v>66</v>
      </c>
      <c r="AT1050">
        <v>0</v>
      </c>
      <c r="AU1050" t="s">
        <v>66</v>
      </c>
      <c r="AV1050">
        <v>2</v>
      </c>
      <c r="AW1050" t="s">
        <v>66</v>
      </c>
      <c r="AX1050">
        <v>0</v>
      </c>
      <c r="AY1050" t="s">
        <v>66</v>
      </c>
      <c r="AZ1050">
        <v>0</v>
      </c>
      <c r="BA1050" t="s">
        <v>66</v>
      </c>
      <c r="BB1050">
        <v>0</v>
      </c>
      <c r="BC1050">
        <v>0</v>
      </c>
      <c r="BD1050">
        <v>105538.36</v>
      </c>
      <c r="BE1050">
        <v>14914.56</v>
      </c>
      <c r="BF1050">
        <v>0</v>
      </c>
      <c r="BG1050" t="s">
        <v>87</v>
      </c>
      <c r="BH1050" t="s">
        <v>1347</v>
      </c>
      <c r="BI1050">
        <v>6</v>
      </c>
      <c r="BJ1050" t="s">
        <v>158</v>
      </c>
      <c r="BK1050" t="s">
        <v>88</v>
      </c>
      <c r="BL1050" t="s">
        <v>742</v>
      </c>
      <c r="BM1050" t="s">
        <v>159</v>
      </c>
    </row>
    <row r="1051" spans="1:65" x14ac:dyDescent="0.25">
      <c r="A1051">
        <v>1049</v>
      </c>
      <c r="B1051" t="s">
        <v>1342</v>
      </c>
      <c r="C1051" t="s">
        <v>68</v>
      </c>
      <c r="D1051" s="1">
        <v>46216</v>
      </c>
      <c r="E1051" t="s">
        <v>1343</v>
      </c>
      <c r="F1051" t="s">
        <v>68</v>
      </c>
      <c r="G1051" t="s">
        <v>295</v>
      </c>
      <c r="H1051" t="s">
        <v>296</v>
      </c>
      <c r="I1051" t="s">
        <v>71</v>
      </c>
      <c r="J1051" t="s">
        <v>72</v>
      </c>
      <c r="K1051" t="s">
        <v>73</v>
      </c>
      <c r="L1051" t="s">
        <v>74</v>
      </c>
      <c r="M1051" t="s">
        <v>1344</v>
      </c>
      <c r="N1051" t="s">
        <v>76</v>
      </c>
      <c r="O1051" t="s">
        <v>1345</v>
      </c>
      <c r="P1051" t="s">
        <v>1346</v>
      </c>
      <c r="Q1051" t="s">
        <v>66</v>
      </c>
      <c r="R1051" s="1">
        <v>46216</v>
      </c>
      <c r="S1051" t="s">
        <v>841</v>
      </c>
      <c r="T1051" t="s">
        <v>842</v>
      </c>
      <c r="U1051" t="s">
        <v>843</v>
      </c>
      <c r="V1051" t="s">
        <v>66</v>
      </c>
      <c r="W1051" t="s">
        <v>66</v>
      </c>
      <c r="X1051">
        <v>2658195.12</v>
      </c>
      <c r="Y1051">
        <v>292401.46000000002</v>
      </c>
      <c r="Z1051">
        <v>95079.6</v>
      </c>
      <c r="AA1051">
        <v>10458.76</v>
      </c>
      <c r="AB1051">
        <v>2950596.58</v>
      </c>
      <c r="AC1051">
        <v>6</v>
      </c>
      <c r="AD1051" t="s">
        <v>82</v>
      </c>
      <c r="AE1051">
        <v>6</v>
      </c>
      <c r="AF1051" t="s">
        <v>99</v>
      </c>
      <c r="AG1051">
        <f>IFERROR(VLOOKUP(AF1051,[1]STOK!J:O,6,0),"")</f>
        <v>24</v>
      </c>
      <c r="AH1051" s="2">
        <f t="shared" si="32"/>
        <v>0.25</v>
      </c>
      <c r="AI1051" t="s">
        <v>99</v>
      </c>
      <c r="AJ1051" t="s">
        <v>100</v>
      </c>
      <c r="AK1051" t="s">
        <v>101</v>
      </c>
      <c r="AL1051" t="s">
        <v>86</v>
      </c>
      <c r="AM1051">
        <v>18315</v>
      </c>
      <c r="AN1051">
        <f t="shared" si="33"/>
        <v>17589.726666666666</v>
      </c>
      <c r="AO1051" t="s">
        <v>66</v>
      </c>
      <c r="AP1051">
        <v>2</v>
      </c>
      <c r="AQ1051" t="s">
        <v>66</v>
      </c>
      <c r="AR1051">
        <v>0</v>
      </c>
      <c r="AS1051" t="s">
        <v>66</v>
      </c>
      <c r="AT1051">
        <v>0</v>
      </c>
      <c r="AU1051" t="s">
        <v>66</v>
      </c>
      <c r="AV1051">
        <v>2</v>
      </c>
      <c r="AW1051" t="s">
        <v>66</v>
      </c>
      <c r="AX1051">
        <v>0</v>
      </c>
      <c r="AY1051" t="s">
        <v>66</v>
      </c>
      <c r="AZ1051">
        <v>0</v>
      </c>
      <c r="BA1051" t="s">
        <v>66</v>
      </c>
      <c r="BB1051">
        <v>0</v>
      </c>
      <c r="BC1051">
        <v>0</v>
      </c>
      <c r="BD1051">
        <v>105538.36</v>
      </c>
      <c r="BE1051">
        <v>14921.25</v>
      </c>
      <c r="BF1051">
        <v>0</v>
      </c>
      <c r="BG1051" t="s">
        <v>87</v>
      </c>
      <c r="BH1051" t="s">
        <v>1347</v>
      </c>
      <c r="BI1051">
        <v>6</v>
      </c>
      <c r="BJ1051" t="s">
        <v>158</v>
      </c>
      <c r="BK1051" t="s">
        <v>88</v>
      </c>
      <c r="BL1051" t="s">
        <v>742</v>
      </c>
      <c r="BM1051" t="s">
        <v>159</v>
      </c>
    </row>
    <row r="1052" spans="1:65" x14ac:dyDescent="0.25">
      <c r="A1052">
        <v>1050</v>
      </c>
      <c r="B1052" t="s">
        <v>1342</v>
      </c>
      <c r="C1052" t="s">
        <v>68</v>
      </c>
      <c r="D1052" s="1">
        <v>46216</v>
      </c>
      <c r="E1052" t="s">
        <v>1343</v>
      </c>
      <c r="F1052" t="s">
        <v>68</v>
      </c>
      <c r="G1052" t="s">
        <v>295</v>
      </c>
      <c r="H1052" t="s">
        <v>296</v>
      </c>
      <c r="I1052" t="s">
        <v>71</v>
      </c>
      <c r="J1052" t="s">
        <v>72</v>
      </c>
      <c r="K1052" t="s">
        <v>73</v>
      </c>
      <c r="L1052" t="s">
        <v>74</v>
      </c>
      <c r="M1052" t="s">
        <v>1344</v>
      </c>
      <c r="N1052" t="s">
        <v>76</v>
      </c>
      <c r="O1052" t="s">
        <v>1345</v>
      </c>
      <c r="P1052" t="s">
        <v>1346</v>
      </c>
      <c r="Q1052" t="s">
        <v>66</v>
      </c>
      <c r="R1052" s="1">
        <v>46216</v>
      </c>
      <c r="S1052" t="s">
        <v>841</v>
      </c>
      <c r="T1052" t="s">
        <v>842</v>
      </c>
      <c r="U1052" t="s">
        <v>843</v>
      </c>
      <c r="V1052" t="s">
        <v>66</v>
      </c>
      <c r="W1052" t="s">
        <v>66</v>
      </c>
      <c r="X1052">
        <v>2658195.12</v>
      </c>
      <c r="Y1052">
        <v>292401.46000000002</v>
      </c>
      <c r="Z1052">
        <v>157313.51999999999</v>
      </c>
      <c r="AA1052">
        <v>17304.490000000002</v>
      </c>
      <c r="AB1052">
        <v>2950596.58</v>
      </c>
      <c r="AC1052">
        <v>6</v>
      </c>
      <c r="AD1052" t="s">
        <v>82</v>
      </c>
      <c r="AE1052">
        <v>6</v>
      </c>
      <c r="AF1052" t="s">
        <v>563</v>
      </c>
      <c r="AG1052">
        <f>IFERROR(VLOOKUP(AF1052,[1]STOK!J:O,6,0),"")</f>
        <v>12</v>
      </c>
      <c r="AH1052" s="2">
        <f t="shared" si="32"/>
        <v>0.5</v>
      </c>
      <c r="AI1052" t="s">
        <v>563</v>
      </c>
      <c r="AJ1052" t="s">
        <v>564</v>
      </c>
      <c r="AK1052" t="s">
        <v>565</v>
      </c>
      <c r="AL1052" t="s">
        <v>86</v>
      </c>
      <c r="AM1052">
        <v>30303</v>
      </c>
      <c r="AN1052">
        <f t="shared" si="33"/>
        <v>29103.001666666667</v>
      </c>
      <c r="AO1052" t="s">
        <v>66</v>
      </c>
      <c r="AP1052">
        <v>2</v>
      </c>
      <c r="AQ1052" t="s">
        <v>66</v>
      </c>
      <c r="AR1052">
        <v>0</v>
      </c>
      <c r="AS1052" t="s">
        <v>66</v>
      </c>
      <c r="AT1052">
        <v>0</v>
      </c>
      <c r="AU1052" t="s">
        <v>66</v>
      </c>
      <c r="AV1052">
        <v>2</v>
      </c>
      <c r="AW1052" t="s">
        <v>66</v>
      </c>
      <c r="AX1052">
        <v>0</v>
      </c>
      <c r="AY1052" t="s">
        <v>66</v>
      </c>
      <c r="AZ1052">
        <v>0</v>
      </c>
      <c r="BA1052" t="s">
        <v>66</v>
      </c>
      <c r="BB1052">
        <v>0</v>
      </c>
      <c r="BC1052">
        <v>0</v>
      </c>
      <c r="BD1052">
        <v>174618.01</v>
      </c>
      <c r="BE1052">
        <v>24691.81</v>
      </c>
      <c r="BF1052">
        <v>0</v>
      </c>
      <c r="BG1052" t="s">
        <v>87</v>
      </c>
      <c r="BH1052" t="s">
        <v>1347</v>
      </c>
      <c r="BI1052">
        <v>6</v>
      </c>
      <c r="BJ1052" t="s">
        <v>158</v>
      </c>
      <c r="BK1052" t="s">
        <v>88</v>
      </c>
      <c r="BL1052" t="s">
        <v>742</v>
      </c>
      <c r="BM1052" t="s">
        <v>159</v>
      </c>
    </row>
    <row r="1053" spans="1:65" x14ac:dyDescent="0.25">
      <c r="A1053">
        <v>1051</v>
      </c>
      <c r="B1053" t="s">
        <v>1342</v>
      </c>
      <c r="C1053" t="s">
        <v>68</v>
      </c>
      <c r="D1053" s="1">
        <v>46216</v>
      </c>
      <c r="E1053" t="s">
        <v>1343</v>
      </c>
      <c r="F1053" t="s">
        <v>68</v>
      </c>
      <c r="G1053" t="s">
        <v>295</v>
      </c>
      <c r="H1053" t="s">
        <v>296</v>
      </c>
      <c r="I1053" t="s">
        <v>71</v>
      </c>
      <c r="J1053" t="s">
        <v>72</v>
      </c>
      <c r="K1053" t="s">
        <v>73</v>
      </c>
      <c r="L1053" t="s">
        <v>74</v>
      </c>
      <c r="M1053" t="s">
        <v>1344</v>
      </c>
      <c r="N1053" t="s">
        <v>76</v>
      </c>
      <c r="O1053" t="s">
        <v>1345</v>
      </c>
      <c r="P1053" t="s">
        <v>1346</v>
      </c>
      <c r="Q1053" t="s">
        <v>66</v>
      </c>
      <c r="R1053" s="1">
        <v>46216</v>
      </c>
      <c r="S1053" t="s">
        <v>841</v>
      </c>
      <c r="T1053" t="s">
        <v>842</v>
      </c>
      <c r="U1053" t="s">
        <v>843</v>
      </c>
      <c r="V1053" t="s">
        <v>66</v>
      </c>
      <c r="W1053" t="s">
        <v>66</v>
      </c>
      <c r="X1053">
        <v>2658195.12</v>
      </c>
      <c r="Y1053">
        <v>292401.46000000002</v>
      </c>
      <c r="Z1053">
        <v>111790.56</v>
      </c>
      <c r="AA1053">
        <v>12296.96</v>
      </c>
      <c r="AB1053">
        <v>2950596.58</v>
      </c>
      <c r="AC1053">
        <v>6</v>
      </c>
      <c r="AD1053" t="s">
        <v>82</v>
      </c>
      <c r="AE1053">
        <v>6</v>
      </c>
      <c r="AF1053" t="s">
        <v>470</v>
      </c>
      <c r="AG1053">
        <f>IFERROR(VLOOKUP(AF1053,[1]STOK!J:O,6,0),"")</f>
        <v>24</v>
      </c>
      <c r="AH1053" s="2">
        <f t="shared" si="32"/>
        <v>0.25</v>
      </c>
      <c r="AI1053" t="s">
        <v>470</v>
      </c>
      <c r="AJ1053" t="s">
        <v>471</v>
      </c>
      <c r="AK1053" t="s">
        <v>472</v>
      </c>
      <c r="AL1053" t="s">
        <v>86</v>
      </c>
      <c r="AM1053">
        <v>21534</v>
      </c>
      <c r="AN1053">
        <f t="shared" si="33"/>
        <v>20681.253333333334</v>
      </c>
      <c r="AO1053" t="s">
        <v>66</v>
      </c>
      <c r="AP1053">
        <v>2</v>
      </c>
      <c r="AQ1053" t="s">
        <v>66</v>
      </c>
      <c r="AR1053">
        <v>0</v>
      </c>
      <c r="AS1053" t="s">
        <v>66</v>
      </c>
      <c r="AT1053">
        <v>0</v>
      </c>
      <c r="AU1053" t="s">
        <v>66</v>
      </c>
      <c r="AV1053">
        <v>2</v>
      </c>
      <c r="AW1053" t="s">
        <v>66</v>
      </c>
      <c r="AX1053">
        <v>0</v>
      </c>
      <c r="AY1053" t="s">
        <v>66</v>
      </c>
      <c r="AZ1053">
        <v>0</v>
      </c>
      <c r="BA1053" t="s">
        <v>66</v>
      </c>
      <c r="BB1053">
        <v>0</v>
      </c>
      <c r="BC1053">
        <v>0</v>
      </c>
      <c r="BD1053">
        <v>124087.52</v>
      </c>
      <c r="BE1053">
        <v>17503.57</v>
      </c>
      <c r="BF1053">
        <v>0</v>
      </c>
      <c r="BG1053" t="s">
        <v>87</v>
      </c>
      <c r="BH1053" t="s">
        <v>1347</v>
      </c>
      <c r="BI1053">
        <v>6</v>
      </c>
      <c r="BJ1053" t="s">
        <v>158</v>
      </c>
      <c r="BK1053" t="s">
        <v>88</v>
      </c>
      <c r="BL1053" t="s">
        <v>742</v>
      </c>
      <c r="BM1053" t="s">
        <v>159</v>
      </c>
    </row>
    <row r="1054" spans="1:65" x14ac:dyDescent="0.25">
      <c r="A1054">
        <v>1052</v>
      </c>
      <c r="B1054" t="s">
        <v>1342</v>
      </c>
      <c r="C1054" t="s">
        <v>68</v>
      </c>
      <c r="D1054" s="1">
        <v>46216</v>
      </c>
      <c r="E1054" t="s">
        <v>1343</v>
      </c>
      <c r="F1054" t="s">
        <v>68</v>
      </c>
      <c r="G1054" t="s">
        <v>295</v>
      </c>
      <c r="H1054" t="s">
        <v>296</v>
      </c>
      <c r="I1054" t="s">
        <v>71</v>
      </c>
      <c r="J1054" t="s">
        <v>72</v>
      </c>
      <c r="K1054" t="s">
        <v>73</v>
      </c>
      <c r="L1054" t="s">
        <v>74</v>
      </c>
      <c r="M1054" t="s">
        <v>1344</v>
      </c>
      <c r="N1054" t="s">
        <v>76</v>
      </c>
      <c r="O1054" t="s">
        <v>1345</v>
      </c>
      <c r="P1054" t="s">
        <v>1346</v>
      </c>
      <c r="Q1054" t="s">
        <v>66</v>
      </c>
      <c r="R1054" s="1">
        <v>46216</v>
      </c>
      <c r="S1054" t="s">
        <v>841</v>
      </c>
      <c r="T1054" t="s">
        <v>842</v>
      </c>
      <c r="U1054" t="s">
        <v>843</v>
      </c>
      <c r="V1054" t="s">
        <v>66</v>
      </c>
      <c r="W1054" t="s">
        <v>66</v>
      </c>
      <c r="X1054">
        <v>2658195.12</v>
      </c>
      <c r="Y1054">
        <v>292401.46000000002</v>
      </c>
      <c r="Z1054">
        <v>76639.92</v>
      </c>
      <c r="AA1054">
        <v>8430.39</v>
      </c>
      <c r="AB1054">
        <v>2950596.58</v>
      </c>
      <c r="AC1054">
        <v>6</v>
      </c>
      <c r="AD1054" t="s">
        <v>82</v>
      </c>
      <c r="AE1054">
        <v>6</v>
      </c>
      <c r="AF1054" t="s">
        <v>135</v>
      </c>
      <c r="AG1054">
        <f>IFERROR(VLOOKUP(AF1054,[1]STOK!J:O,6,0),"")</f>
        <v>12</v>
      </c>
      <c r="AH1054" s="2">
        <f t="shared" si="32"/>
        <v>0.5</v>
      </c>
      <c r="AI1054" t="s">
        <v>135</v>
      </c>
      <c r="AJ1054" t="s">
        <v>136</v>
      </c>
      <c r="AK1054" t="s">
        <v>137</v>
      </c>
      <c r="AL1054" t="s">
        <v>86</v>
      </c>
      <c r="AM1054">
        <v>14763</v>
      </c>
      <c r="AN1054">
        <f t="shared" si="33"/>
        <v>14178.385</v>
      </c>
      <c r="AO1054" t="s">
        <v>66</v>
      </c>
      <c r="AP1054">
        <v>2</v>
      </c>
      <c r="AQ1054" t="s">
        <v>66</v>
      </c>
      <c r="AR1054">
        <v>0</v>
      </c>
      <c r="AS1054" t="s">
        <v>66</v>
      </c>
      <c r="AT1054">
        <v>0</v>
      </c>
      <c r="AU1054" t="s">
        <v>66</v>
      </c>
      <c r="AV1054">
        <v>2</v>
      </c>
      <c r="AW1054" t="s">
        <v>66</v>
      </c>
      <c r="AX1054">
        <v>0</v>
      </c>
      <c r="AY1054" t="s">
        <v>66</v>
      </c>
      <c r="AZ1054">
        <v>0</v>
      </c>
      <c r="BA1054" t="s">
        <v>66</v>
      </c>
      <c r="BB1054">
        <v>0</v>
      </c>
      <c r="BC1054">
        <v>0</v>
      </c>
      <c r="BD1054">
        <v>85070.31</v>
      </c>
      <c r="BE1054">
        <v>12036.57</v>
      </c>
      <c r="BF1054">
        <v>0</v>
      </c>
      <c r="BG1054" t="s">
        <v>87</v>
      </c>
      <c r="BH1054" t="s">
        <v>1347</v>
      </c>
      <c r="BI1054">
        <v>6</v>
      </c>
      <c r="BJ1054" t="s">
        <v>158</v>
      </c>
      <c r="BK1054" t="s">
        <v>88</v>
      </c>
      <c r="BL1054" t="s">
        <v>742</v>
      </c>
      <c r="BM1054" t="s">
        <v>159</v>
      </c>
    </row>
    <row r="1055" spans="1:65" x14ac:dyDescent="0.25">
      <c r="A1055">
        <v>1053</v>
      </c>
      <c r="B1055" t="s">
        <v>1342</v>
      </c>
      <c r="C1055" t="s">
        <v>68</v>
      </c>
      <c r="D1055" s="1">
        <v>46216</v>
      </c>
      <c r="E1055" t="s">
        <v>1343</v>
      </c>
      <c r="F1055" t="s">
        <v>68</v>
      </c>
      <c r="G1055" t="s">
        <v>295</v>
      </c>
      <c r="H1055" t="s">
        <v>296</v>
      </c>
      <c r="I1055" t="s">
        <v>71</v>
      </c>
      <c r="J1055" t="s">
        <v>72</v>
      </c>
      <c r="K1055" t="s">
        <v>73</v>
      </c>
      <c r="L1055" t="s">
        <v>74</v>
      </c>
      <c r="M1055" t="s">
        <v>1344</v>
      </c>
      <c r="N1055" t="s">
        <v>76</v>
      </c>
      <c r="O1055" t="s">
        <v>1345</v>
      </c>
      <c r="P1055" t="s">
        <v>1346</v>
      </c>
      <c r="Q1055" t="s">
        <v>66</v>
      </c>
      <c r="R1055" s="1">
        <v>46216</v>
      </c>
      <c r="S1055" t="s">
        <v>841</v>
      </c>
      <c r="T1055" t="s">
        <v>842</v>
      </c>
      <c r="U1055" t="s">
        <v>843</v>
      </c>
      <c r="V1055" t="s">
        <v>66</v>
      </c>
      <c r="W1055" t="s">
        <v>66</v>
      </c>
      <c r="X1055">
        <v>2658195.12</v>
      </c>
      <c r="Y1055">
        <v>292401.46000000002</v>
      </c>
      <c r="Z1055">
        <v>76639.92</v>
      </c>
      <c r="AA1055">
        <v>8430.39</v>
      </c>
      <c r="AB1055">
        <v>2950596.58</v>
      </c>
      <c r="AC1055">
        <v>6</v>
      </c>
      <c r="AD1055" t="s">
        <v>82</v>
      </c>
      <c r="AE1055">
        <v>6</v>
      </c>
      <c r="AF1055" t="s">
        <v>210</v>
      </c>
      <c r="AG1055">
        <f>IFERROR(VLOOKUP(AF1055,[1]STOK!J:O,6,0),"")</f>
        <v>12</v>
      </c>
      <c r="AH1055" s="2">
        <f t="shared" si="32"/>
        <v>0.5</v>
      </c>
      <c r="AI1055" t="s">
        <v>210</v>
      </c>
      <c r="AJ1055" t="s">
        <v>211</v>
      </c>
      <c r="AK1055" t="s">
        <v>212</v>
      </c>
      <c r="AL1055" t="s">
        <v>86</v>
      </c>
      <c r="AM1055">
        <v>14763</v>
      </c>
      <c r="AN1055">
        <f t="shared" si="33"/>
        <v>14178.385</v>
      </c>
      <c r="AO1055" t="s">
        <v>66</v>
      </c>
      <c r="AP1055">
        <v>2</v>
      </c>
      <c r="AQ1055" t="s">
        <v>66</v>
      </c>
      <c r="AR1055">
        <v>0</v>
      </c>
      <c r="AS1055" t="s">
        <v>66</v>
      </c>
      <c r="AT1055">
        <v>0</v>
      </c>
      <c r="AU1055" t="s">
        <v>66</v>
      </c>
      <c r="AV1055">
        <v>2</v>
      </c>
      <c r="AW1055" t="s">
        <v>66</v>
      </c>
      <c r="AX1055">
        <v>0</v>
      </c>
      <c r="AY1055" t="s">
        <v>66</v>
      </c>
      <c r="AZ1055">
        <v>0</v>
      </c>
      <c r="BA1055" t="s">
        <v>66</v>
      </c>
      <c r="BB1055">
        <v>0</v>
      </c>
      <c r="BC1055">
        <v>0</v>
      </c>
      <c r="BD1055">
        <v>85070.31</v>
      </c>
      <c r="BE1055">
        <v>12023.52</v>
      </c>
      <c r="BF1055">
        <v>0</v>
      </c>
      <c r="BG1055" t="s">
        <v>87</v>
      </c>
      <c r="BH1055" t="s">
        <v>1347</v>
      </c>
      <c r="BI1055">
        <v>6</v>
      </c>
      <c r="BJ1055" t="s">
        <v>158</v>
      </c>
      <c r="BK1055" t="s">
        <v>88</v>
      </c>
      <c r="BL1055" t="s">
        <v>742</v>
      </c>
      <c r="BM1055" t="s">
        <v>159</v>
      </c>
    </row>
    <row r="1056" spans="1:65" x14ac:dyDescent="0.25">
      <c r="A1056">
        <v>1054</v>
      </c>
      <c r="B1056" t="s">
        <v>1342</v>
      </c>
      <c r="C1056" t="s">
        <v>68</v>
      </c>
      <c r="D1056" s="1">
        <v>46216</v>
      </c>
      <c r="E1056" t="s">
        <v>1343</v>
      </c>
      <c r="F1056" t="s">
        <v>68</v>
      </c>
      <c r="G1056" t="s">
        <v>295</v>
      </c>
      <c r="H1056" t="s">
        <v>296</v>
      </c>
      <c r="I1056" t="s">
        <v>71</v>
      </c>
      <c r="J1056" t="s">
        <v>72</v>
      </c>
      <c r="K1056" t="s">
        <v>73</v>
      </c>
      <c r="L1056" t="s">
        <v>74</v>
      </c>
      <c r="M1056" t="s">
        <v>1344</v>
      </c>
      <c r="N1056" t="s">
        <v>76</v>
      </c>
      <c r="O1056" t="s">
        <v>1345</v>
      </c>
      <c r="P1056" t="s">
        <v>1346</v>
      </c>
      <c r="Q1056" t="s">
        <v>66</v>
      </c>
      <c r="R1056" s="1">
        <v>46216</v>
      </c>
      <c r="S1056" t="s">
        <v>841</v>
      </c>
      <c r="T1056" t="s">
        <v>842</v>
      </c>
      <c r="U1056" t="s">
        <v>843</v>
      </c>
      <c r="V1056" t="s">
        <v>66</v>
      </c>
      <c r="W1056" t="s">
        <v>66</v>
      </c>
      <c r="X1056">
        <v>2658195.12</v>
      </c>
      <c r="Y1056">
        <v>292401.46000000002</v>
      </c>
      <c r="Z1056">
        <v>99689.52</v>
      </c>
      <c r="AA1056">
        <v>10965.85</v>
      </c>
      <c r="AB1056">
        <v>2950596.58</v>
      </c>
      <c r="AC1056">
        <v>6</v>
      </c>
      <c r="AD1056" t="s">
        <v>82</v>
      </c>
      <c r="AE1056">
        <v>6</v>
      </c>
      <c r="AF1056" t="s">
        <v>359</v>
      </c>
      <c r="AG1056">
        <f>IFERROR(VLOOKUP(AF1056,[1]STOK!J:O,6,0),"")</f>
        <v>12</v>
      </c>
      <c r="AH1056" s="2">
        <f t="shared" si="32"/>
        <v>0.5</v>
      </c>
      <c r="AI1056" t="s">
        <v>359</v>
      </c>
      <c r="AJ1056" t="s">
        <v>360</v>
      </c>
      <c r="AK1056" t="s">
        <v>361</v>
      </c>
      <c r="AL1056" t="s">
        <v>86</v>
      </c>
      <c r="AM1056">
        <v>19203</v>
      </c>
      <c r="AN1056">
        <f t="shared" si="33"/>
        <v>18442.561666666665</v>
      </c>
      <c r="AO1056" t="s">
        <v>66</v>
      </c>
      <c r="AP1056">
        <v>2</v>
      </c>
      <c r="AQ1056" t="s">
        <v>66</v>
      </c>
      <c r="AR1056">
        <v>0</v>
      </c>
      <c r="AS1056" t="s">
        <v>66</v>
      </c>
      <c r="AT1056">
        <v>0</v>
      </c>
      <c r="AU1056" t="s">
        <v>66</v>
      </c>
      <c r="AV1056">
        <v>2</v>
      </c>
      <c r="AW1056" t="s">
        <v>66</v>
      </c>
      <c r="AX1056">
        <v>0</v>
      </c>
      <c r="AY1056" t="s">
        <v>66</v>
      </c>
      <c r="AZ1056">
        <v>0</v>
      </c>
      <c r="BA1056" t="s">
        <v>66</v>
      </c>
      <c r="BB1056">
        <v>0</v>
      </c>
      <c r="BC1056">
        <v>0</v>
      </c>
      <c r="BD1056">
        <v>110655.37</v>
      </c>
      <c r="BE1056">
        <v>15641.37</v>
      </c>
      <c r="BF1056">
        <v>0</v>
      </c>
      <c r="BG1056" t="s">
        <v>87</v>
      </c>
      <c r="BH1056" t="s">
        <v>1347</v>
      </c>
      <c r="BI1056">
        <v>6</v>
      </c>
      <c r="BJ1056" t="s">
        <v>158</v>
      </c>
      <c r="BK1056" t="s">
        <v>88</v>
      </c>
      <c r="BL1056" t="s">
        <v>742</v>
      </c>
      <c r="BM1056" t="s">
        <v>159</v>
      </c>
    </row>
    <row r="1057" spans="1:65" x14ac:dyDescent="0.25">
      <c r="A1057">
        <v>1055</v>
      </c>
      <c r="B1057" t="s">
        <v>1342</v>
      </c>
      <c r="C1057" t="s">
        <v>68</v>
      </c>
      <c r="D1057" s="1">
        <v>46216</v>
      </c>
      <c r="E1057" t="s">
        <v>1343</v>
      </c>
      <c r="F1057" t="s">
        <v>68</v>
      </c>
      <c r="G1057" t="s">
        <v>295</v>
      </c>
      <c r="H1057" t="s">
        <v>296</v>
      </c>
      <c r="I1057" t="s">
        <v>71</v>
      </c>
      <c r="J1057" t="s">
        <v>72</v>
      </c>
      <c r="K1057" t="s">
        <v>73</v>
      </c>
      <c r="L1057" t="s">
        <v>74</v>
      </c>
      <c r="M1057" t="s">
        <v>1344</v>
      </c>
      <c r="N1057" t="s">
        <v>76</v>
      </c>
      <c r="O1057" t="s">
        <v>1345</v>
      </c>
      <c r="P1057" t="s">
        <v>1346</v>
      </c>
      <c r="Q1057" t="s">
        <v>66</v>
      </c>
      <c r="R1057" s="1">
        <v>46216</v>
      </c>
      <c r="S1057" t="s">
        <v>841</v>
      </c>
      <c r="T1057" t="s">
        <v>842</v>
      </c>
      <c r="U1057" t="s">
        <v>843</v>
      </c>
      <c r="V1057" t="s">
        <v>66</v>
      </c>
      <c r="W1057" t="s">
        <v>66</v>
      </c>
      <c r="X1057">
        <v>2658195.12</v>
      </c>
      <c r="Y1057">
        <v>292401.46000000002</v>
      </c>
      <c r="Z1057">
        <v>57624</v>
      </c>
      <c r="AA1057">
        <v>6338.64</v>
      </c>
      <c r="AB1057">
        <v>2950596.58</v>
      </c>
      <c r="AC1057">
        <v>3</v>
      </c>
      <c r="AD1057" t="s">
        <v>82</v>
      </c>
      <c r="AE1057">
        <v>3</v>
      </c>
      <c r="AF1057" t="s">
        <v>290</v>
      </c>
      <c r="AG1057">
        <f>IFERROR(VLOOKUP(AF1057,[1]STOK!J:O,6,0),"")</f>
        <v>12</v>
      </c>
      <c r="AH1057" s="2">
        <f t="shared" si="32"/>
        <v>0.25</v>
      </c>
      <c r="AI1057" t="s">
        <v>290</v>
      </c>
      <c r="AJ1057" t="s">
        <v>291</v>
      </c>
      <c r="AK1057" t="s">
        <v>292</v>
      </c>
      <c r="AL1057" t="s">
        <v>86</v>
      </c>
      <c r="AM1057">
        <v>22200</v>
      </c>
      <c r="AN1057">
        <f t="shared" si="33"/>
        <v>21320.880000000001</v>
      </c>
      <c r="AO1057" t="s">
        <v>66</v>
      </c>
      <c r="AP1057">
        <v>2</v>
      </c>
      <c r="AQ1057" t="s">
        <v>66</v>
      </c>
      <c r="AR1057">
        <v>0</v>
      </c>
      <c r="AS1057" t="s">
        <v>66</v>
      </c>
      <c r="AT1057">
        <v>0</v>
      </c>
      <c r="AU1057" t="s">
        <v>66</v>
      </c>
      <c r="AV1057">
        <v>2</v>
      </c>
      <c r="AW1057" t="s">
        <v>66</v>
      </c>
      <c r="AX1057">
        <v>0</v>
      </c>
      <c r="AY1057" t="s">
        <v>66</v>
      </c>
      <c r="AZ1057">
        <v>0</v>
      </c>
      <c r="BA1057" t="s">
        <v>66</v>
      </c>
      <c r="BB1057">
        <v>0</v>
      </c>
      <c r="BC1057">
        <v>0</v>
      </c>
      <c r="BD1057">
        <v>63962.64</v>
      </c>
      <c r="BE1057">
        <v>18103.560000000001</v>
      </c>
      <c r="BF1057">
        <v>0</v>
      </c>
      <c r="BG1057" t="s">
        <v>87</v>
      </c>
      <c r="BH1057" t="s">
        <v>1347</v>
      </c>
      <c r="BI1057">
        <v>3</v>
      </c>
      <c r="BJ1057" t="s">
        <v>158</v>
      </c>
      <c r="BK1057" t="s">
        <v>88</v>
      </c>
      <c r="BL1057" t="s">
        <v>742</v>
      </c>
      <c r="BM1057" t="s">
        <v>159</v>
      </c>
    </row>
    <row r="1058" spans="1:65" x14ac:dyDescent="0.25">
      <c r="A1058">
        <v>1056</v>
      </c>
      <c r="B1058" t="s">
        <v>1342</v>
      </c>
      <c r="C1058" t="s">
        <v>68</v>
      </c>
      <c r="D1058" s="1">
        <v>46216</v>
      </c>
      <c r="E1058" t="s">
        <v>1343</v>
      </c>
      <c r="F1058" t="s">
        <v>68</v>
      </c>
      <c r="G1058" t="s">
        <v>295</v>
      </c>
      <c r="H1058" t="s">
        <v>296</v>
      </c>
      <c r="I1058" t="s">
        <v>71</v>
      </c>
      <c r="J1058" t="s">
        <v>72</v>
      </c>
      <c r="K1058" t="s">
        <v>73</v>
      </c>
      <c r="L1058" t="s">
        <v>74</v>
      </c>
      <c r="M1058" t="s">
        <v>1344</v>
      </c>
      <c r="N1058" t="s">
        <v>76</v>
      </c>
      <c r="O1058" t="s">
        <v>1345</v>
      </c>
      <c r="P1058" t="s">
        <v>1346</v>
      </c>
      <c r="Q1058" t="s">
        <v>66</v>
      </c>
      <c r="R1058" s="1">
        <v>46216</v>
      </c>
      <c r="S1058" t="s">
        <v>841</v>
      </c>
      <c r="T1058" t="s">
        <v>842</v>
      </c>
      <c r="U1058" t="s">
        <v>843</v>
      </c>
      <c r="V1058" t="s">
        <v>66</v>
      </c>
      <c r="W1058" t="s">
        <v>66</v>
      </c>
      <c r="X1058">
        <v>2658195.12</v>
      </c>
      <c r="Y1058">
        <v>292401.46000000002</v>
      </c>
      <c r="Z1058">
        <v>115248</v>
      </c>
      <c r="AA1058">
        <v>12677.28</v>
      </c>
      <c r="AB1058">
        <v>2950596.58</v>
      </c>
      <c r="AC1058">
        <v>6</v>
      </c>
      <c r="AD1058" t="s">
        <v>82</v>
      </c>
      <c r="AE1058">
        <v>6</v>
      </c>
      <c r="AF1058" t="s">
        <v>102</v>
      </c>
      <c r="AG1058">
        <f>IFERROR(VLOOKUP(AF1058,[1]STOK!J:O,6,0),"")</f>
        <v>12</v>
      </c>
      <c r="AH1058" s="2">
        <f t="shared" si="32"/>
        <v>0.5</v>
      </c>
      <c r="AI1058" t="s">
        <v>102</v>
      </c>
      <c r="AJ1058" t="s">
        <v>103</v>
      </c>
      <c r="AK1058" t="s">
        <v>104</v>
      </c>
      <c r="AL1058" t="s">
        <v>86</v>
      </c>
      <c r="AM1058">
        <v>22200</v>
      </c>
      <c r="AN1058">
        <f t="shared" si="33"/>
        <v>21320.880000000001</v>
      </c>
      <c r="AO1058" t="s">
        <v>66</v>
      </c>
      <c r="AP1058">
        <v>2</v>
      </c>
      <c r="AQ1058" t="s">
        <v>66</v>
      </c>
      <c r="AR1058">
        <v>0</v>
      </c>
      <c r="AS1058" t="s">
        <v>66</v>
      </c>
      <c r="AT1058">
        <v>0</v>
      </c>
      <c r="AU1058" t="s">
        <v>66</v>
      </c>
      <c r="AV1058">
        <v>2</v>
      </c>
      <c r="AW1058" t="s">
        <v>66</v>
      </c>
      <c r="AX1058">
        <v>0</v>
      </c>
      <c r="AY1058" t="s">
        <v>66</v>
      </c>
      <c r="AZ1058">
        <v>0</v>
      </c>
      <c r="BA1058" t="s">
        <v>66</v>
      </c>
      <c r="BB1058">
        <v>0</v>
      </c>
      <c r="BC1058">
        <v>0</v>
      </c>
      <c r="BD1058">
        <v>127925.28</v>
      </c>
      <c r="BE1058">
        <v>18090.18</v>
      </c>
      <c r="BF1058">
        <v>0</v>
      </c>
      <c r="BG1058" t="s">
        <v>87</v>
      </c>
      <c r="BH1058" t="s">
        <v>1347</v>
      </c>
      <c r="BI1058">
        <v>6</v>
      </c>
      <c r="BJ1058" t="s">
        <v>158</v>
      </c>
      <c r="BK1058" t="s">
        <v>88</v>
      </c>
      <c r="BL1058" t="s">
        <v>742</v>
      </c>
      <c r="BM1058" t="s">
        <v>159</v>
      </c>
    </row>
    <row r="1059" spans="1:65" x14ac:dyDescent="0.25">
      <c r="A1059">
        <v>1057</v>
      </c>
      <c r="B1059" t="s">
        <v>1348</v>
      </c>
      <c r="C1059" t="s">
        <v>1349</v>
      </c>
      <c r="D1059" s="1">
        <v>46216</v>
      </c>
      <c r="E1059" t="s">
        <v>1350</v>
      </c>
      <c r="F1059" t="s">
        <v>1351</v>
      </c>
      <c r="G1059" t="s">
        <v>295</v>
      </c>
      <c r="H1059" t="s">
        <v>296</v>
      </c>
      <c r="I1059" t="s">
        <v>71</v>
      </c>
      <c r="J1059" t="s">
        <v>72</v>
      </c>
      <c r="K1059" t="s">
        <v>73</v>
      </c>
      <c r="L1059" t="s">
        <v>74</v>
      </c>
      <c r="M1059" t="s">
        <v>1111</v>
      </c>
      <c r="N1059" t="s">
        <v>696</v>
      </c>
      <c r="O1059" t="s">
        <v>1112</v>
      </c>
      <c r="P1059" t="s">
        <v>1113</v>
      </c>
      <c r="Q1059" t="s">
        <v>1352</v>
      </c>
      <c r="R1059" s="1">
        <v>46217</v>
      </c>
      <c r="S1059" t="s">
        <v>1115</v>
      </c>
      <c r="T1059" t="s">
        <v>1116</v>
      </c>
      <c r="U1059" t="s">
        <v>1117</v>
      </c>
      <c r="V1059" t="s">
        <v>66</v>
      </c>
      <c r="W1059" t="s">
        <v>66</v>
      </c>
      <c r="X1059">
        <v>5761800</v>
      </c>
      <c r="Y1059">
        <v>633798</v>
      </c>
      <c r="Z1059">
        <v>5761800</v>
      </c>
      <c r="AA1059">
        <v>633798</v>
      </c>
      <c r="AB1059">
        <v>6395598</v>
      </c>
      <c r="AC1059">
        <v>15</v>
      </c>
      <c r="AD1059" t="s">
        <v>134</v>
      </c>
      <c r="AE1059">
        <v>360</v>
      </c>
      <c r="AF1059" t="s">
        <v>96</v>
      </c>
      <c r="AG1059">
        <f>IFERROR(VLOOKUP(AF1059,[1]STOK!J:O,6,0),"")</f>
        <v>24</v>
      </c>
      <c r="AH1059" s="2">
        <f t="shared" si="32"/>
        <v>15</v>
      </c>
      <c r="AI1059" t="s">
        <v>96</v>
      </c>
      <c r="AJ1059" t="s">
        <v>97</v>
      </c>
      <c r="AK1059" t="s">
        <v>98</v>
      </c>
      <c r="AL1059" t="s">
        <v>86</v>
      </c>
      <c r="AM1059">
        <v>439560</v>
      </c>
      <c r="AN1059">
        <f t="shared" si="33"/>
        <v>426373.2</v>
      </c>
      <c r="AO1059" t="s">
        <v>66</v>
      </c>
      <c r="AP1059">
        <v>3</v>
      </c>
      <c r="AQ1059" t="s">
        <v>66</v>
      </c>
      <c r="AR1059">
        <v>0</v>
      </c>
      <c r="AS1059" t="s">
        <v>66</v>
      </c>
      <c r="AT1059">
        <v>0</v>
      </c>
      <c r="AU1059" t="s">
        <v>66</v>
      </c>
      <c r="AV1059">
        <v>0</v>
      </c>
      <c r="AW1059" t="s">
        <v>66</v>
      </c>
      <c r="AX1059">
        <v>0</v>
      </c>
      <c r="AY1059" t="s">
        <v>66</v>
      </c>
      <c r="AZ1059">
        <v>0</v>
      </c>
      <c r="BA1059" t="s">
        <v>66</v>
      </c>
      <c r="BB1059">
        <v>0</v>
      </c>
      <c r="BC1059">
        <v>0</v>
      </c>
      <c r="BD1059">
        <v>6395598</v>
      </c>
      <c r="BE1059">
        <v>14932.91</v>
      </c>
      <c r="BF1059">
        <v>0</v>
      </c>
      <c r="BG1059" t="s">
        <v>87</v>
      </c>
      <c r="BH1059" t="s">
        <v>66</v>
      </c>
      <c r="BI1059">
        <v>0</v>
      </c>
      <c r="BJ1059" t="s">
        <v>66</v>
      </c>
      <c r="BK1059" t="s">
        <v>88</v>
      </c>
      <c r="BL1059" t="s">
        <v>66</v>
      </c>
      <c r="BM1059" t="s">
        <v>159</v>
      </c>
    </row>
    <row r="1060" spans="1:65" x14ac:dyDescent="0.25">
      <c r="A1060">
        <v>1058</v>
      </c>
      <c r="B1060" t="s">
        <v>1353</v>
      </c>
      <c r="C1060" t="s">
        <v>68</v>
      </c>
      <c r="D1060" s="1">
        <v>46216</v>
      </c>
      <c r="E1060" t="s">
        <v>1354</v>
      </c>
      <c r="F1060" t="s">
        <v>68</v>
      </c>
      <c r="G1060" t="s">
        <v>69</v>
      </c>
      <c r="H1060" t="s">
        <v>70</v>
      </c>
      <c r="I1060" t="s">
        <v>71</v>
      </c>
      <c r="J1060" t="s">
        <v>72</v>
      </c>
      <c r="K1060" t="s">
        <v>73</v>
      </c>
      <c r="L1060" t="s">
        <v>74</v>
      </c>
      <c r="M1060" t="s">
        <v>820</v>
      </c>
      <c r="N1060" t="s">
        <v>111</v>
      </c>
      <c r="O1060" t="s">
        <v>821</v>
      </c>
      <c r="P1060" t="s">
        <v>822</v>
      </c>
      <c r="Q1060" t="s">
        <v>1355</v>
      </c>
      <c r="R1060" s="1">
        <v>46218</v>
      </c>
      <c r="S1060" t="s">
        <v>824</v>
      </c>
      <c r="T1060" t="s">
        <v>825</v>
      </c>
      <c r="U1060" t="s">
        <v>826</v>
      </c>
      <c r="V1060" t="s">
        <v>66</v>
      </c>
      <c r="W1060" t="s">
        <v>66</v>
      </c>
      <c r="X1060">
        <v>3811896</v>
      </c>
      <c r="Y1060">
        <v>419308.56</v>
      </c>
      <c r="Z1060">
        <v>392040</v>
      </c>
      <c r="AA1060">
        <v>43124.4</v>
      </c>
      <c r="AB1060">
        <v>4231204.5599999996</v>
      </c>
      <c r="AC1060">
        <v>1</v>
      </c>
      <c r="AD1060" t="s">
        <v>134</v>
      </c>
      <c r="AE1060">
        <v>24</v>
      </c>
      <c r="AF1060" t="s">
        <v>99</v>
      </c>
      <c r="AG1060">
        <f>IFERROR(VLOOKUP(AF1060,[1]STOK!J:O,6,0),"")</f>
        <v>24</v>
      </c>
      <c r="AH1060" s="2">
        <f t="shared" si="32"/>
        <v>1</v>
      </c>
      <c r="AI1060" t="s">
        <v>99</v>
      </c>
      <c r="AJ1060" t="s">
        <v>100</v>
      </c>
      <c r="AK1060" t="s">
        <v>101</v>
      </c>
      <c r="AL1060" t="s">
        <v>86</v>
      </c>
      <c r="AM1060">
        <v>439560</v>
      </c>
      <c r="AN1060">
        <f t="shared" si="33"/>
        <v>435164.4</v>
      </c>
      <c r="AO1060" t="s">
        <v>66</v>
      </c>
      <c r="AP1060">
        <v>1</v>
      </c>
      <c r="AQ1060" t="s">
        <v>66</v>
      </c>
      <c r="AR1060">
        <v>0</v>
      </c>
      <c r="AS1060" t="s">
        <v>66</v>
      </c>
      <c r="AT1060">
        <v>0</v>
      </c>
      <c r="AU1060" t="s">
        <v>66</v>
      </c>
      <c r="AV1060">
        <v>0</v>
      </c>
      <c r="AW1060" t="s">
        <v>66</v>
      </c>
      <c r="AX1060">
        <v>0</v>
      </c>
      <c r="AY1060" t="s">
        <v>66</v>
      </c>
      <c r="AZ1060">
        <v>0</v>
      </c>
      <c r="BA1060" t="s">
        <v>66</v>
      </c>
      <c r="BB1060">
        <v>0</v>
      </c>
      <c r="BC1060">
        <v>0</v>
      </c>
      <c r="BD1060">
        <v>435164.4</v>
      </c>
      <c r="BE1060">
        <v>14924.12</v>
      </c>
      <c r="BF1060">
        <v>0</v>
      </c>
      <c r="BG1060" t="s">
        <v>87</v>
      </c>
      <c r="BH1060" t="s">
        <v>66</v>
      </c>
      <c r="BI1060">
        <v>0</v>
      </c>
      <c r="BJ1060" t="s">
        <v>66</v>
      </c>
      <c r="BK1060" t="s">
        <v>88</v>
      </c>
      <c r="BL1060" t="s">
        <v>66</v>
      </c>
      <c r="BM1060" t="s">
        <v>159</v>
      </c>
    </row>
    <row r="1061" spans="1:65" x14ac:dyDescent="0.25">
      <c r="A1061">
        <v>1059</v>
      </c>
      <c r="B1061" t="s">
        <v>1353</v>
      </c>
      <c r="C1061" t="s">
        <v>68</v>
      </c>
      <c r="D1061" s="1">
        <v>46216</v>
      </c>
      <c r="E1061" t="s">
        <v>1354</v>
      </c>
      <c r="F1061" t="s">
        <v>68</v>
      </c>
      <c r="G1061" t="s">
        <v>69</v>
      </c>
      <c r="H1061" t="s">
        <v>70</v>
      </c>
      <c r="I1061" t="s">
        <v>71</v>
      </c>
      <c r="J1061" t="s">
        <v>72</v>
      </c>
      <c r="K1061" t="s">
        <v>73</v>
      </c>
      <c r="L1061" t="s">
        <v>74</v>
      </c>
      <c r="M1061" t="s">
        <v>820</v>
      </c>
      <c r="N1061" t="s">
        <v>111</v>
      </c>
      <c r="O1061" t="s">
        <v>821</v>
      </c>
      <c r="P1061" t="s">
        <v>822</v>
      </c>
      <c r="Q1061" t="s">
        <v>1355</v>
      </c>
      <c r="R1061" s="1">
        <v>46218</v>
      </c>
      <c r="S1061" t="s">
        <v>824</v>
      </c>
      <c r="T1061" t="s">
        <v>825</v>
      </c>
      <c r="U1061" t="s">
        <v>826</v>
      </c>
      <c r="V1061" t="s">
        <v>66</v>
      </c>
      <c r="W1061" t="s">
        <v>66</v>
      </c>
      <c r="X1061">
        <v>3811896</v>
      </c>
      <c r="Y1061">
        <v>419308.56</v>
      </c>
      <c r="Z1061">
        <v>200772</v>
      </c>
      <c r="AA1061">
        <v>22084.92</v>
      </c>
      <c r="AB1061">
        <v>4231204.5599999996</v>
      </c>
      <c r="AC1061">
        <v>6</v>
      </c>
      <c r="AD1061" t="s">
        <v>82</v>
      </c>
      <c r="AE1061">
        <v>6</v>
      </c>
      <c r="AF1061" t="s">
        <v>1356</v>
      </c>
      <c r="AG1061">
        <f>IFERROR(VLOOKUP(AF1061,[1]STOK!J:O,6,0),"")</f>
        <v>12</v>
      </c>
      <c r="AH1061" s="2">
        <f t="shared" si="32"/>
        <v>0.5</v>
      </c>
      <c r="AI1061" t="s">
        <v>1356</v>
      </c>
      <c r="AJ1061" t="s">
        <v>1357</v>
      </c>
      <c r="AK1061" t="s">
        <v>1358</v>
      </c>
      <c r="AL1061" t="s">
        <v>86</v>
      </c>
      <c r="AM1061">
        <v>37518</v>
      </c>
      <c r="AN1061">
        <f t="shared" si="33"/>
        <v>37142.82</v>
      </c>
      <c r="AO1061" t="s">
        <v>66</v>
      </c>
      <c r="AP1061">
        <v>1</v>
      </c>
      <c r="AQ1061" t="s">
        <v>66</v>
      </c>
      <c r="AR1061">
        <v>0</v>
      </c>
      <c r="AS1061" t="s">
        <v>66</v>
      </c>
      <c r="AT1061">
        <v>0</v>
      </c>
      <c r="AU1061" t="s">
        <v>66</v>
      </c>
      <c r="AV1061">
        <v>0</v>
      </c>
      <c r="AW1061" t="s">
        <v>66</v>
      </c>
      <c r="AX1061">
        <v>0</v>
      </c>
      <c r="AY1061" t="s">
        <v>66</v>
      </c>
      <c r="AZ1061">
        <v>0</v>
      </c>
      <c r="BA1061" t="s">
        <v>66</v>
      </c>
      <c r="BB1061">
        <v>0</v>
      </c>
      <c r="BC1061">
        <v>0</v>
      </c>
      <c r="BD1061">
        <v>222856.92</v>
      </c>
      <c r="BE1061">
        <v>30476.1</v>
      </c>
      <c r="BF1061">
        <v>0</v>
      </c>
      <c r="BG1061" t="s">
        <v>87</v>
      </c>
      <c r="BH1061" t="s">
        <v>66</v>
      </c>
      <c r="BI1061">
        <v>0</v>
      </c>
      <c r="BJ1061" t="s">
        <v>66</v>
      </c>
      <c r="BK1061" t="s">
        <v>88</v>
      </c>
      <c r="BL1061" t="s">
        <v>66</v>
      </c>
      <c r="BM1061" t="s">
        <v>159</v>
      </c>
    </row>
    <row r="1062" spans="1:65" x14ac:dyDescent="0.25">
      <c r="A1062">
        <v>1060</v>
      </c>
      <c r="B1062" t="s">
        <v>1353</v>
      </c>
      <c r="C1062" t="s">
        <v>68</v>
      </c>
      <c r="D1062" s="1">
        <v>46216</v>
      </c>
      <c r="E1062" t="s">
        <v>1354</v>
      </c>
      <c r="F1062" t="s">
        <v>68</v>
      </c>
      <c r="G1062" t="s">
        <v>69</v>
      </c>
      <c r="H1062" t="s">
        <v>70</v>
      </c>
      <c r="I1062" t="s">
        <v>71</v>
      </c>
      <c r="J1062" t="s">
        <v>72</v>
      </c>
      <c r="K1062" t="s">
        <v>73</v>
      </c>
      <c r="L1062" t="s">
        <v>74</v>
      </c>
      <c r="M1062" t="s">
        <v>820</v>
      </c>
      <c r="N1062" t="s">
        <v>111</v>
      </c>
      <c r="O1062" t="s">
        <v>821</v>
      </c>
      <c r="P1062" t="s">
        <v>822</v>
      </c>
      <c r="Q1062" t="s">
        <v>1355</v>
      </c>
      <c r="R1062" s="1">
        <v>46218</v>
      </c>
      <c r="S1062" t="s">
        <v>824</v>
      </c>
      <c r="T1062" t="s">
        <v>825</v>
      </c>
      <c r="U1062" t="s">
        <v>826</v>
      </c>
      <c r="V1062" t="s">
        <v>66</v>
      </c>
      <c r="W1062" t="s">
        <v>66</v>
      </c>
      <c r="X1062">
        <v>3811896</v>
      </c>
      <c r="Y1062">
        <v>419308.56</v>
      </c>
      <c r="Z1062">
        <v>460944</v>
      </c>
      <c r="AA1062">
        <v>50703.839999999997</v>
      </c>
      <c r="AB1062">
        <v>4231204.5599999996</v>
      </c>
      <c r="AC1062">
        <v>2</v>
      </c>
      <c r="AD1062" t="s">
        <v>134</v>
      </c>
      <c r="AE1062">
        <v>24</v>
      </c>
      <c r="AF1062" t="s">
        <v>284</v>
      </c>
      <c r="AG1062">
        <f>IFERROR(VLOOKUP(AF1062,[1]STOK!J:O,6,0),"")</f>
        <v>12</v>
      </c>
      <c r="AH1062" s="2">
        <f t="shared" si="32"/>
        <v>2</v>
      </c>
      <c r="AI1062" t="s">
        <v>284</v>
      </c>
      <c r="AJ1062" t="s">
        <v>285</v>
      </c>
      <c r="AK1062" t="s">
        <v>286</v>
      </c>
      <c r="AL1062" t="s">
        <v>86</v>
      </c>
      <c r="AM1062">
        <v>258408</v>
      </c>
      <c r="AN1062">
        <f t="shared" si="33"/>
        <v>255823.92</v>
      </c>
      <c r="AO1062" t="s">
        <v>66</v>
      </c>
      <c r="AP1062">
        <v>1</v>
      </c>
      <c r="AQ1062" t="s">
        <v>66</v>
      </c>
      <c r="AR1062">
        <v>0</v>
      </c>
      <c r="AS1062" t="s">
        <v>66</v>
      </c>
      <c r="AT1062">
        <v>0</v>
      </c>
      <c r="AU1062" t="s">
        <v>66</v>
      </c>
      <c r="AV1062">
        <v>0</v>
      </c>
      <c r="AW1062" t="s">
        <v>66</v>
      </c>
      <c r="AX1062">
        <v>0</v>
      </c>
      <c r="AY1062" t="s">
        <v>66</v>
      </c>
      <c r="AZ1062">
        <v>0</v>
      </c>
      <c r="BA1062" t="s">
        <v>66</v>
      </c>
      <c r="BB1062">
        <v>0</v>
      </c>
      <c r="BC1062">
        <v>0</v>
      </c>
      <c r="BD1062">
        <v>511647.84</v>
      </c>
      <c r="BE1062">
        <v>17477.89</v>
      </c>
      <c r="BF1062">
        <v>0</v>
      </c>
      <c r="BG1062" t="s">
        <v>87</v>
      </c>
      <c r="BH1062" t="s">
        <v>66</v>
      </c>
      <c r="BI1062">
        <v>0</v>
      </c>
      <c r="BJ1062" t="s">
        <v>66</v>
      </c>
      <c r="BK1062" t="s">
        <v>88</v>
      </c>
      <c r="BL1062" t="s">
        <v>66</v>
      </c>
      <c r="BM1062" t="s">
        <v>159</v>
      </c>
    </row>
    <row r="1063" spans="1:65" x14ac:dyDescent="0.25">
      <c r="A1063">
        <v>1061</v>
      </c>
      <c r="B1063" t="s">
        <v>1353</v>
      </c>
      <c r="C1063" t="s">
        <v>68</v>
      </c>
      <c r="D1063" s="1">
        <v>46216</v>
      </c>
      <c r="E1063" t="s">
        <v>1354</v>
      </c>
      <c r="F1063" t="s">
        <v>68</v>
      </c>
      <c r="G1063" t="s">
        <v>69</v>
      </c>
      <c r="H1063" t="s">
        <v>70</v>
      </c>
      <c r="I1063" t="s">
        <v>71</v>
      </c>
      <c r="J1063" t="s">
        <v>72</v>
      </c>
      <c r="K1063" t="s">
        <v>73</v>
      </c>
      <c r="L1063" t="s">
        <v>74</v>
      </c>
      <c r="M1063" t="s">
        <v>820</v>
      </c>
      <c r="N1063" t="s">
        <v>111</v>
      </c>
      <c r="O1063" t="s">
        <v>821</v>
      </c>
      <c r="P1063" t="s">
        <v>822</v>
      </c>
      <c r="Q1063" t="s">
        <v>1355</v>
      </c>
      <c r="R1063" s="1">
        <v>46218</v>
      </c>
      <c r="S1063" t="s">
        <v>824</v>
      </c>
      <c r="T1063" t="s">
        <v>825</v>
      </c>
      <c r="U1063" t="s">
        <v>826</v>
      </c>
      <c r="V1063" t="s">
        <v>66</v>
      </c>
      <c r="W1063" t="s">
        <v>66</v>
      </c>
      <c r="X1063">
        <v>3811896</v>
      </c>
      <c r="Y1063">
        <v>419308.56</v>
      </c>
      <c r="Z1063">
        <v>460944</v>
      </c>
      <c r="AA1063">
        <v>50703.839999999997</v>
      </c>
      <c r="AB1063">
        <v>4231204.5599999996</v>
      </c>
      <c r="AC1063">
        <v>2</v>
      </c>
      <c r="AD1063" t="s">
        <v>134</v>
      </c>
      <c r="AE1063">
        <v>24</v>
      </c>
      <c r="AF1063" t="s">
        <v>287</v>
      </c>
      <c r="AG1063">
        <f>IFERROR(VLOOKUP(AF1063,[1]STOK!J:O,6,0),"")</f>
        <v>12</v>
      </c>
      <c r="AH1063" s="2">
        <f t="shared" si="32"/>
        <v>2</v>
      </c>
      <c r="AI1063" t="s">
        <v>287</v>
      </c>
      <c r="AJ1063" t="s">
        <v>288</v>
      </c>
      <c r="AK1063" t="s">
        <v>289</v>
      </c>
      <c r="AL1063" t="s">
        <v>86</v>
      </c>
      <c r="AM1063">
        <v>258408</v>
      </c>
      <c r="AN1063">
        <f t="shared" si="33"/>
        <v>255823.92</v>
      </c>
      <c r="AO1063" t="s">
        <v>66</v>
      </c>
      <c r="AP1063">
        <v>1</v>
      </c>
      <c r="AQ1063" t="s">
        <v>66</v>
      </c>
      <c r="AR1063">
        <v>0</v>
      </c>
      <c r="AS1063" t="s">
        <v>66</v>
      </c>
      <c r="AT1063">
        <v>0</v>
      </c>
      <c r="AU1063" t="s">
        <v>66</v>
      </c>
      <c r="AV1063">
        <v>0</v>
      </c>
      <c r="AW1063" t="s">
        <v>66</v>
      </c>
      <c r="AX1063">
        <v>0</v>
      </c>
      <c r="AY1063" t="s">
        <v>66</v>
      </c>
      <c r="AZ1063">
        <v>0</v>
      </c>
      <c r="BA1063" t="s">
        <v>66</v>
      </c>
      <c r="BB1063">
        <v>0</v>
      </c>
      <c r="BC1063">
        <v>0</v>
      </c>
      <c r="BD1063">
        <v>511647.84</v>
      </c>
      <c r="BE1063">
        <v>17453.490000000002</v>
      </c>
      <c r="BF1063">
        <v>0</v>
      </c>
      <c r="BG1063" t="s">
        <v>87</v>
      </c>
      <c r="BH1063" t="s">
        <v>66</v>
      </c>
      <c r="BI1063">
        <v>0</v>
      </c>
      <c r="BJ1063" t="s">
        <v>66</v>
      </c>
      <c r="BK1063" t="s">
        <v>88</v>
      </c>
      <c r="BL1063" t="s">
        <v>66</v>
      </c>
      <c r="BM1063" t="s">
        <v>159</v>
      </c>
    </row>
    <row r="1064" spans="1:65" x14ac:dyDescent="0.25">
      <c r="A1064">
        <v>1062</v>
      </c>
      <c r="B1064" t="s">
        <v>1353</v>
      </c>
      <c r="C1064" t="s">
        <v>68</v>
      </c>
      <c r="D1064" s="1">
        <v>46216</v>
      </c>
      <c r="E1064" t="s">
        <v>1354</v>
      </c>
      <c r="F1064" t="s">
        <v>68</v>
      </c>
      <c r="G1064" t="s">
        <v>69</v>
      </c>
      <c r="H1064" t="s">
        <v>70</v>
      </c>
      <c r="I1064" t="s">
        <v>71</v>
      </c>
      <c r="J1064" t="s">
        <v>72</v>
      </c>
      <c r="K1064" t="s">
        <v>73</v>
      </c>
      <c r="L1064" t="s">
        <v>74</v>
      </c>
      <c r="M1064" t="s">
        <v>820</v>
      </c>
      <c r="N1064" t="s">
        <v>111</v>
      </c>
      <c r="O1064" t="s">
        <v>821</v>
      </c>
      <c r="P1064" t="s">
        <v>822</v>
      </c>
      <c r="Q1064" t="s">
        <v>1355</v>
      </c>
      <c r="R1064" s="1">
        <v>46218</v>
      </c>
      <c r="S1064" t="s">
        <v>824</v>
      </c>
      <c r="T1064" t="s">
        <v>825</v>
      </c>
      <c r="U1064" t="s">
        <v>826</v>
      </c>
      <c r="V1064" t="s">
        <v>66</v>
      </c>
      <c r="W1064" t="s">
        <v>66</v>
      </c>
      <c r="X1064">
        <v>3811896</v>
      </c>
      <c r="Y1064">
        <v>419308.56</v>
      </c>
      <c r="Z1064">
        <v>265716</v>
      </c>
      <c r="AA1064">
        <v>29228.76</v>
      </c>
      <c r="AB1064">
        <v>4231204.5599999996</v>
      </c>
      <c r="AC1064">
        <v>1</v>
      </c>
      <c r="AD1064" t="s">
        <v>134</v>
      </c>
      <c r="AE1064">
        <v>4</v>
      </c>
      <c r="AF1064" t="s">
        <v>894</v>
      </c>
      <c r="AG1064">
        <f>IFERROR(VLOOKUP(AF1064,[1]STOK!J:O,6,0),"")</f>
        <v>4</v>
      </c>
      <c r="AH1064" s="2">
        <f t="shared" si="32"/>
        <v>1</v>
      </c>
      <c r="AI1064" t="s">
        <v>894</v>
      </c>
      <c r="AJ1064" t="s">
        <v>895</v>
      </c>
      <c r="AK1064" t="s">
        <v>896</v>
      </c>
      <c r="AL1064" t="s">
        <v>86</v>
      </c>
      <c r="AM1064">
        <v>297924</v>
      </c>
      <c r="AN1064">
        <f t="shared" si="33"/>
        <v>294944.76</v>
      </c>
      <c r="AO1064" t="s">
        <v>66</v>
      </c>
      <c r="AP1064">
        <v>1</v>
      </c>
      <c r="AQ1064" t="s">
        <v>66</v>
      </c>
      <c r="AR1064">
        <v>0</v>
      </c>
      <c r="AS1064" t="s">
        <v>66</v>
      </c>
      <c r="AT1064">
        <v>0</v>
      </c>
      <c r="AU1064" t="s">
        <v>66</v>
      </c>
      <c r="AV1064">
        <v>0</v>
      </c>
      <c r="AW1064" t="s">
        <v>66</v>
      </c>
      <c r="AX1064">
        <v>0</v>
      </c>
      <c r="AY1064" t="s">
        <v>66</v>
      </c>
      <c r="AZ1064">
        <v>0</v>
      </c>
      <c r="BA1064" t="s">
        <v>66</v>
      </c>
      <c r="BB1064">
        <v>0</v>
      </c>
      <c r="BC1064">
        <v>0</v>
      </c>
      <c r="BD1064">
        <v>294944.76</v>
      </c>
      <c r="BE1064">
        <v>60191.11</v>
      </c>
      <c r="BF1064">
        <v>0</v>
      </c>
      <c r="BG1064" t="s">
        <v>87</v>
      </c>
      <c r="BH1064" t="s">
        <v>66</v>
      </c>
      <c r="BI1064">
        <v>0</v>
      </c>
      <c r="BJ1064" t="s">
        <v>66</v>
      </c>
      <c r="BK1064" t="s">
        <v>88</v>
      </c>
      <c r="BL1064" t="s">
        <v>66</v>
      </c>
      <c r="BM1064" t="s">
        <v>159</v>
      </c>
    </row>
    <row r="1065" spans="1:65" x14ac:dyDescent="0.25">
      <c r="A1065">
        <v>1063</v>
      </c>
      <c r="B1065" t="s">
        <v>1353</v>
      </c>
      <c r="C1065" t="s">
        <v>68</v>
      </c>
      <c r="D1065" s="1">
        <v>46216</v>
      </c>
      <c r="E1065" t="s">
        <v>1354</v>
      </c>
      <c r="F1065" t="s">
        <v>68</v>
      </c>
      <c r="G1065" t="s">
        <v>69</v>
      </c>
      <c r="H1065" t="s">
        <v>70</v>
      </c>
      <c r="I1065" t="s">
        <v>71</v>
      </c>
      <c r="J1065" t="s">
        <v>72</v>
      </c>
      <c r="K1065" t="s">
        <v>73</v>
      </c>
      <c r="L1065" t="s">
        <v>74</v>
      </c>
      <c r="M1065" t="s">
        <v>820</v>
      </c>
      <c r="N1065" t="s">
        <v>111</v>
      </c>
      <c r="O1065" t="s">
        <v>821</v>
      </c>
      <c r="P1065" t="s">
        <v>822</v>
      </c>
      <c r="Q1065" t="s">
        <v>1355</v>
      </c>
      <c r="R1065" s="1">
        <v>46218</v>
      </c>
      <c r="S1065" t="s">
        <v>824</v>
      </c>
      <c r="T1065" t="s">
        <v>825</v>
      </c>
      <c r="U1065" t="s">
        <v>826</v>
      </c>
      <c r="V1065" t="s">
        <v>66</v>
      </c>
      <c r="W1065" t="s">
        <v>66</v>
      </c>
      <c r="X1065">
        <v>3811896</v>
      </c>
      <c r="Y1065">
        <v>419308.56</v>
      </c>
      <c r="Z1065">
        <v>146124</v>
      </c>
      <c r="AA1065">
        <v>16073.64</v>
      </c>
      <c r="AB1065">
        <v>4231204.5599999996</v>
      </c>
      <c r="AC1065">
        <v>6</v>
      </c>
      <c r="AD1065" t="s">
        <v>82</v>
      </c>
      <c r="AE1065">
        <v>6</v>
      </c>
      <c r="AF1065" t="s">
        <v>534</v>
      </c>
      <c r="AG1065">
        <f>IFERROR(VLOOKUP(AF1065,[1]STOK!J:O,6,0),"")</f>
        <v>12</v>
      </c>
      <c r="AH1065" s="2">
        <f t="shared" si="32"/>
        <v>0.5</v>
      </c>
      <c r="AI1065" t="s">
        <v>534</v>
      </c>
      <c r="AJ1065" t="s">
        <v>535</v>
      </c>
      <c r="AK1065" t="s">
        <v>536</v>
      </c>
      <c r="AL1065" t="s">
        <v>86</v>
      </c>
      <c r="AM1065">
        <v>27306</v>
      </c>
      <c r="AN1065">
        <f t="shared" si="33"/>
        <v>27032.940000000002</v>
      </c>
      <c r="AO1065" t="s">
        <v>66</v>
      </c>
      <c r="AP1065">
        <v>1</v>
      </c>
      <c r="AQ1065" t="s">
        <v>66</v>
      </c>
      <c r="AR1065">
        <v>0</v>
      </c>
      <c r="AS1065" t="s">
        <v>66</v>
      </c>
      <c r="AT1065">
        <v>0</v>
      </c>
      <c r="AU1065" t="s">
        <v>66</v>
      </c>
      <c r="AV1065">
        <v>0</v>
      </c>
      <c r="AW1065" t="s">
        <v>66</v>
      </c>
      <c r="AX1065">
        <v>0</v>
      </c>
      <c r="AY1065" t="s">
        <v>66</v>
      </c>
      <c r="AZ1065">
        <v>0</v>
      </c>
      <c r="BA1065" t="s">
        <v>66</v>
      </c>
      <c r="BB1065">
        <v>0</v>
      </c>
      <c r="BC1065">
        <v>0</v>
      </c>
      <c r="BD1065">
        <v>162197.64000000001</v>
      </c>
      <c r="BE1065">
        <v>22272.46</v>
      </c>
      <c r="BF1065">
        <v>0</v>
      </c>
      <c r="BG1065" t="s">
        <v>87</v>
      </c>
      <c r="BH1065" t="s">
        <v>66</v>
      </c>
      <c r="BI1065">
        <v>0</v>
      </c>
      <c r="BJ1065" t="s">
        <v>66</v>
      </c>
      <c r="BK1065" t="s">
        <v>88</v>
      </c>
      <c r="BL1065" t="s">
        <v>66</v>
      </c>
      <c r="BM1065" t="s">
        <v>159</v>
      </c>
    </row>
    <row r="1066" spans="1:65" x14ac:dyDescent="0.25">
      <c r="A1066">
        <v>1064</v>
      </c>
      <c r="B1066" t="s">
        <v>1353</v>
      </c>
      <c r="C1066" t="s">
        <v>68</v>
      </c>
      <c r="D1066" s="1">
        <v>46216</v>
      </c>
      <c r="E1066" t="s">
        <v>1354</v>
      </c>
      <c r="F1066" t="s">
        <v>68</v>
      </c>
      <c r="G1066" t="s">
        <v>69</v>
      </c>
      <c r="H1066" t="s">
        <v>70</v>
      </c>
      <c r="I1066" t="s">
        <v>71</v>
      </c>
      <c r="J1066" t="s">
        <v>72</v>
      </c>
      <c r="K1066" t="s">
        <v>73</v>
      </c>
      <c r="L1066" t="s">
        <v>74</v>
      </c>
      <c r="M1066" t="s">
        <v>820</v>
      </c>
      <c r="N1066" t="s">
        <v>111</v>
      </c>
      <c r="O1066" t="s">
        <v>821</v>
      </c>
      <c r="P1066" t="s">
        <v>822</v>
      </c>
      <c r="Q1066" t="s">
        <v>1355</v>
      </c>
      <c r="R1066" s="1">
        <v>46218</v>
      </c>
      <c r="S1066" t="s">
        <v>824</v>
      </c>
      <c r="T1066" t="s">
        <v>825</v>
      </c>
      <c r="U1066" t="s">
        <v>826</v>
      </c>
      <c r="V1066" t="s">
        <v>66</v>
      </c>
      <c r="W1066" t="s">
        <v>66</v>
      </c>
      <c r="X1066">
        <v>3811896</v>
      </c>
      <c r="Y1066">
        <v>419308.56</v>
      </c>
      <c r="Z1066">
        <v>358776</v>
      </c>
      <c r="AA1066">
        <v>39465.360000000001</v>
      </c>
      <c r="AB1066">
        <v>4231204.5599999996</v>
      </c>
      <c r="AC1066">
        <v>1</v>
      </c>
      <c r="AD1066" t="s">
        <v>134</v>
      </c>
      <c r="AE1066">
        <v>24</v>
      </c>
      <c r="AF1066" t="s">
        <v>1359</v>
      </c>
      <c r="AG1066">
        <f>IFERROR(VLOOKUP(AF1066,[1]STOK!J:O,6,0),"")</f>
        <v>24</v>
      </c>
      <c r="AH1066" s="2">
        <f t="shared" si="32"/>
        <v>1</v>
      </c>
      <c r="AI1066" t="s">
        <v>1359</v>
      </c>
      <c r="AJ1066" t="s">
        <v>1360</v>
      </c>
      <c r="AK1066" t="s">
        <v>1361</v>
      </c>
      <c r="AL1066" t="s">
        <v>86</v>
      </c>
      <c r="AM1066">
        <v>402264</v>
      </c>
      <c r="AN1066">
        <f t="shared" si="33"/>
        <v>398241.36</v>
      </c>
      <c r="AO1066" t="s">
        <v>66</v>
      </c>
      <c r="AP1066">
        <v>1</v>
      </c>
      <c r="AQ1066" t="s">
        <v>66</v>
      </c>
      <c r="AR1066">
        <v>0</v>
      </c>
      <c r="AS1066" t="s">
        <v>66</v>
      </c>
      <c r="AT1066">
        <v>0</v>
      </c>
      <c r="AU1066" t="s">
        <v>66</v>
      </c>
      <c r="AV1066">
        <v>0</v>
      </c>
      <c r="AW1066" t="s">
        <v>66</v>
      </c>
      <c r="AX1066">
        <v>0</v>
      </c>
      <c r="AY1066" t="s">
        <v>66</v>
      </c>
      <c r="AZ1066">
        <v>0</v>
      </c>
      <c r="BA1066" t="s">
        <v>66</v>
      </c>
      <c r="BB1066">
        <v>0</v>
      </c>
      <c r="BC1066">
        <v>0</v>
      </c>
      <c r="BD1066">
        <v>398241.36</v>
      </c>
      <c r="BE1066">
        <v>13876.93</v>
      </c>
      <c r="BF1066">
        <v>0</v>
      </c>
      <c r="BG1066" t="s">
        <v>87</v>
      </c>
      <c r="BH1066" t="s">
        <v>66</v>
      </c>
      <c r="BI1066">
        <v>0</v>
      </c>
      <c r="BJ1066" t="s">
        <v>66</v>
      </c>
      <c r="BK1066" t="s">
        <v>88</v>
      </c>
      <c r="BL1066" t="s">
        <v>66</v>
      </c>
      <c r="BM1066" t="s">
        <v>159</v>
      </c>
    </row>
    <row r="1067" spans="1:65" x14ac:dyDescent="0.25">
      <c r="A1067">
        <v>1065</v>
      </c>
      <c r="B1067" t="s">
        <v>1353</v>
      </c>
      <c r="C1067" t="s">
        <v>68</v>
      </c>
      <c r="D1067" s="1">
        <v>46216</v>
      </c>
      <c r="E1067" t="s">
        <v>1354</v>
      </c>
      <c r="F1067" t="s">
        <v>68</v>
      </c>
      <c r="G1067" t="s">
        <v>69</v>
      </c>
      <c r="H1067" t="s">
        <v>70</v>
      </c>
      <c r="I1067" t="s">
        <v>71</v>
      </c>
      <c r="J1067" t="s">
        <v>72</v>
      </c>
      <c r="K1067" t="s">
        <v>73</v>
      </c>
      <c r="L1067" t="s">
        <v>74</v>
      </c>
      <c r="M1067" t="s">
        <v>820</v>
      </c>
      <c r="N1067" t="s">
        <v>111</v>
      </c>
      <c r="O1067" t="s">
        <v>821</v>
      </c>
      <c r="P1067" t="s">
        <v>822</v>
      </c>
      <c r="Q1067" t="s">
        <v>1355</v>
      </c>
      <c r="R1067" s="1">
        <v>46218</v>
      </c>
      <c r="S1067" t="s">
        <v>824</v>
      </c>
      <c r="T1067" t="s">
        <v>825</v>
      </c>
      <c r="U1067" t="s">
        <v>826</v>
      </c>
      <c r="V1067" t="s">
        <v>66</v>
      </c>
      <c r="W1067" t="s">
        <v>66</v>
      </c>
      <c r="X1067">
        <v>3811896</v>
      </c>
      <c r="Y1067">
        <v>419308.56</v>
      </c>
      <c r="Z1067">
        <v>127116</v>
      </c>
      <c r="AA1067">
        <v>13982.76</v>
      </c>
      <c r="AB1067">
        <v>4231204.5599999996</v>
      </c>
      <c r="AC1067">
        <v>1</v>
      </c>
      <c r="AD1067" t="s">
        <v>134</v>
      </c>
      <c r="AE1067">
        <v>12</v>
      </c>
      <c r="AF1067" t="s">
        <v>421</v>
      </c>
      <c r="AG1067">
        <f>IFERROR(VLOOKUP(AF1067,[1]STOK!J:O,6,0),"")</f>
        <v>12</v>
      </c>
      <c r="AH1067" s="2">
        <f t="shared" si="32"/>
        <v>1</v>
      </c>
      <c r="AI1067" t="s">
        <v>421</v>
      </c>
      <c r="AJ1067" t="s">
        <v>422</v>
      </c>
      <c r="AK1067" t="s">
        <v>423</v>
      </c>
      <c r="AL1067" t="s">
        <v>86</v>
      </c>
      <c r="AM1067">
        <v>142524</v>
      </c>
      <c r="AN1067">
        <f t="shared" si="33"/>
        <v>141098.76</v>
      </c>
      <c r="AO1067" t="s">
        <v>66</v>
      </c>
      <c r="AP1067">
        <v>1</v>
      </c>
      <c r="AQ1067" t="s">
        <v>66</v>
      </c>
      <c r="AR1067">
        <v>0</v>
      </c>
      <c r="AS1067" t="s">
        <v>66</v>
      </c>
      <c r="AT1067">
        <v>0</v>
      </c>
      <c r="AU1067" t="s">
        <v>66</v>
      </c>
      <c r="AV1067">
        <v>0</v>
      </c>
      <c r="AW1067" t="s">
        <v>66</v>
      </c>
      <c r="AX1067">
        <v>0</v>
      </c>
      <c r="AY1067" t="s">
        <v>66</v>
      </c>
      <c r="AZ1067">
        <v>0</v>
      </c>
      <c r="BA1067" t="s">
        <v>66</v>
      </c>
      <c r="BB1067">
        <v>0</v>
      </c>
      <c r="BC1067">
        <v>0</v>
      </c>
      <c r="BD1067">
        <v>141098.76</v>
      </c>
      <c r="BE1067">
        <v>9164.5400000000009</v>
      </c>
      <c r="BF1067">
        <v>0</v>
      </c>
      <c r="BG1067" t="s">
        <v>87</v>
      </c>
      <c r="BH1067" t="s">
        <v>66</v>
      </c>
      <c r="BI1067">
        <v>0</v>
      </c>
      <c r="BJ1067" t="s">
        <v>66</v>
      </c>
      <c r="BK1067" t="s">
        <v>88</v>
      </c>
      <c r="BL1067" t="s">
        <v>66</v>
      </c>
      <c r="BM1067" t="s">
        <v>159</v>
      </c>
    </row>
    <row r="1068" spans="1:65" x14ac:dyDescent="0.25">
      <c r="A1068">
        <v>1066</v>
      </c>
      <c r="B1068" t="s">
        <v>1353</v>
      </c>
      <c r="C1068" t="s">
        <v>68</v>
      </c>
      <c r="D1068" s="1">
        <v>46216</v>
      </c>
      <c r="E1068" t="s">
        <v>1354</v>
      </c>
      <c r="F1068" t="s">
        <v>68</v>
      </c>
      <c r="G1068" t="s">
        <v>69</v>
      </c>
      <c r="H1068" t="s">
        <v>70</v>
      </c>
      <c r="I1068" t="s">
        <v>71</v>
      </c>
      <c r="J1068" t="s">
        <v>72</v>
      </c>
      <c r="K1068" t="s">
        <v>73</v>
      </c>
      <c r="L1068" t="s">
        <v>74</v>
      </c>
      <c r="M1068" t="s">
        <v>820</v>
      </c>
      <c r="N1068" t="s">
        <v>111</v>
      </c>
      <c r="O1068" t="s">
        <v>821</v>
      </c>
      <c r="P1068" t="s">
        <v>822</v>
      </c>
      <c r="Q1068" t="s">
        <v>1355</v>
      </c>
      <c r="R1068" s="1">
        <v>46218</v>
      </c>
      <c r="S1068" t="s">
        <v>824</v>
      </c>
      <c r="T1068" t="s">
        <v>825</v>
      </c>
      <c r="U1068" t="s">
        <v>826</v>
      </c>
      <c r="V1068" t="s">
        <v>66</v>
      </c>
      <c r="W1068" t="s">
        <v>66</v>
      </c>
      <c r="X1068">
        <v>3811896</v>
      </c>
      <c r="Y1068">
        <v>419308.56</v>
      </c>
      <c r="Z1068">
        <v>127116</v>
      </c>
      <c r="AA1068">
        <v>13982.76</v>
      </c>
      <c r="AB1068">
        <v>4231204.5599999996</v>
      </c>
      <c r="AC1068">
        <v>1</v>
      </c>
      <c r="AD1068" t="s">
        <v>134</v>
      </c>
      <c r="AE1068">
        <v>12</v>
      </c>
      <c r="AF1068" t="s">
        <v>1049</v>
      </c>
      <c r="AG1068">
        <f>IFERROR(VLOOKUP(AF1068,[1]STOK!J:O,6,0),"")</f>
        <v>12</v>
      </c>
      <c r="AH1068" s="2">
        <f t="shared" si="32"/>
        <v>1</v>
      </c>
      <c r="AI1068" t="s">
        <v>1049</v>
      </c>
      <c r="AJ1068" t="s">
        <v>1050</v>
      </c>
      <c r="AK1068" t="s">
        <v>1051</v>
      </c>
      <c r="AL1068" t="s">
        <v>86</v>
      </c>
      <c r="AM1068">
        <v>142524</v>
      </c>
      <c r="AN1068">
        <f t="shared" si="33"/>
        <v>141098.76</v>
      </c>
      <c r="AO1068" t="s">
        <v>66</v>
      </c>
      <c r="AP1068">
        <v>1</v>
      </c>
      <c r="AQ1068" t="s">
        <v>66</v>
      </c>
      <c r="AR1068">
        <v>0</v>
      </c>
      <c r="AS1068" t="s">
        <v>66</v>
      </c>
      <c r="AT1068">
        <v>0</v>
      </c>
      <c r="AU1068" t="s">
        <v>66</v>
      </c>
      <c r="AV1068">
        <v>0</v>
      </c>
      <c r="AW1068" t="s">
        <v>66</v>
      </c>
      <c r="AX1068">
        <v>0</v>
      </c>
      <c r="AY1068" t="s">
        <v>66</v>
      </c>
      <c r="AZ1068">
        <v>0</v>
      </c>
      <c r="BA1068" t="s">
        <v>66</v>
      </c>
      <c r="BB1068">
        <v>0</v>
      </c>
      <c r="BC1068">
        <v>0</v>
      </c>
      <c r="BD1068">
        <v>141098.76</v>
      </c>
      <c r="BE1068">
        <v>9545.4</v>
      </c>
      <c r="BF1068">
        <v>0</v>
      </c>
      <c r="BG1068" t="s">
        <v>87</v>
      </c>
      <c r="BH1068" t="s">
        <v>66</v>
      </c>
      <c r="BI1068">
        <v>0</v>
      </c>
      <c r="BJ1068" t="s">
        <v>66</v>
      </c>
      <c r="BK1068" t="s">
        <v>88</v>
      </c>
      <c r="BL1068" t="s">
        <v>66</v>
      </c>
      <c r="BM1068" t="s">
        <v>159</v>
      </c>
    </row>
    <row r="1069" spans="1:65" x14ac:dyDescent="0.25">
      <c r="A1069">
        <v>1067</v>
      </c>
      <c r="B1069" t="s">
        <v>1353</v>
      </c>
      <c r="C1069" t="s">
        <v>68</v>
      </c>
      <c r="D1069" s="1">
        <v>46216</v>
      </c>
      <c r="E1069" t="s">
        <v>1354</v>
      </c>
      <c r="F1069" t="s">
        <v>68</v>
      </c>
      <c r="G1069" t="s">
        <v>69</v>
      </c>
      <c r="H1069" t="s">
        <v>70</v>
      </c>
      <c r="I1069" t="s">
        <v>71</v>
      </c>
      <c r="J1069" t="s">
        <v>72</v>
      </c>
      <c r="K1069" t="s">
        <v>73</v>
      </c>
      <c r="L1069" t="s">
        <v>74</v>
      </c>
      <c r="M1069" t="s">
        <v>820</v>
      </c>
      <c r="N1069" t="s">
        <v>111</v>
      </c>
      <c r="O1069" t="s">
        <v>821</v>
      </c>
      <c r="P1069" t="s">
        <v>822</v>
      </c>
      <c r="Q1069" t="s">
        <v>1355</v>
      </c>
      <c r="R1069" s="1">
        <v>46218</v>
      </c>
      <c r="S1069" t="s">
        <v>824</v>
      </c>
      <c r="T1069" t="s">
        <v>825</v>
      </c>
      <c r="U1069" t="s">
        <v>826</v>
      </c>
      <c r="V1069" t="s">
        <v>66</v>
      </c>
      <c r="W1069" t="s">
        <v>66</v>
      </c>
      <c r="X1069">
        <v>3811896</v>
      </c>
      <c r="Y1069">
        <v>419308.56</v>
      </c>
      <c r="Z1069">
        <v>475200</v>
      </c>
      <c r="AA1069">
        <v>52272</v>
      </c>
      <c r="AB1069">
        <v>4231204.5599999996</v>
      </c>
      <c r="AC1069">
        <v>2</v>
      </c>
      <c r="AD1069" t="s">
        <v>134</v>
      </c>
      <c r="AE1069">
        <v>24</v>
      </c>
      <c r="AF1069" t="s">
        <v>102</v>
      </c>
      <c r="AG1069">
        <f>IFERROR(VLOOKUP(AF1069,[1]STOK!J:O,6,0),"")</f>
        <v>12</v>
      </c>
      <c r="AH1069" s="2">
        <f t="shared" si="32"/>
        <v>2</v>
      </c>
      <c r="AI1069" t="s">
        <v>102</v>
      </c>
      <c r="AJ1069" t="s">
        <v>103</v>
      </c>
      <c r="AK1069" t="s">
        <v>104</v>
      </c>
      <c r="AL1069" t="s">
        <v>86</v>
      </c>
      <c r="AM1069">
        <v>266400</v>
      </c>
      <c r="AN1069">
        <f t="shared" si="33"/>
        <v>263736</v>
      </c>
      <c r="AO1069" t="s">
        <v>66</v>
      </c>
      <c r="AP1069">
        <v>1</v>
      </c>
      <c r="AQ1069" t="s">
        <v>66</v>
      </c>
      <c r="AR1069">
        <v>0</v>
      </c>
      <c r="AS1069" t="s">
        <v>66</v>
      </c>
      <c r="AT1069">
        <v>0</v>
      </c>
      <c r="AU1069" t="s">
        <v>66</v>
      </c>
      <c r="AV1069">
        <v>0</v>
      </c>
      <c r="AW1069" t="s">
        <v>66</v>
      </c>
      <c r="AX1069">
        <v>0</v>
      </c>
      <c r="AY1069" t="s">
        <v>66</v>
      </c>
      <c r="AZ1069">
        <v>0</v>
      </c>
      <c r="BA1069" t="s">
        <v>66</v>
      </c>
      <c r="BB1069">
        <v>0</v>
      </c>
      <c r="BC1069">
        <v>0</v>
      </c>
      <c r="BD1069">
        <v>527472</v>
      </c>
      <c r="BE1069">
        <v>18091.240000000002</v>
      </c>
      <c r="BF1069">
        <v>0</v>
      </c>
      <c r="BG1069" t="s">
        <v>87</v>
      </c>
      <c r="BH1069" t="s">
        <v>66</v>
      </c>
      <c r="BI1069">
        <v>0</v>
      </c>
      <c r="BJ1069" t="s">
        <v>66</v>
      </c>
      <c r="BK1069" t="s">
        <v>88</v>
      </c>
      <c r="BL1069" t="s">
        <v>66</v>
      </c>
      <c r="BM1069" t="s">
        <v>159</v>
      </c>
    </row>
    <row r="1070" spans="1:65" x14ac:dyDescent="0.25">
      <c r="A1070">
        <v>1068</v>
      </c>
      <c r="B1070" t="s">
        <v>1353</v>
      </c>
      <c r="C1070" t="s">
        <v>68</v>
      </c>
      <c r="D1070" s="1">
        <v>46216</v>
      </c>
      <c r="E1070" t="s">
        <v>1354</v>
      </c>
      <c r="F1070" t="s">
        <v>68</v>
      </c>
      <c r="G1070" t="s">
        <v>69</v>
      </c>
      <c r="H1070" t="s">
        <v>70</v>
      </c>
      <c r="I1070" t="s">
        <v>71</v>
      </c>
      <c r="J1070" t="s">
        <v>72</v>
      </c>
      <c r="K1070" t="s">
        <v>73</v>
      </c>
      <c r="L1070" t="s">
        <v>74</v>
      </c>
      <c r="M1070" t="s">
        <v>820</v>
      </c>
      <c r="N1070" t="s">
        <v>111</v>
      </c>
      <c r="O1070" t="s">
        <v>821</v>
      </c>
      <c r="P1070" t="s">
        <v>822</v>
      </c>
      <c r="Q1070" t="s">
        <v>1355</v>
      </c>
      <c r="R1070" s="1">
        <v>46218</v>
      </c>
      <c r="S1070" t="s">
        <v>824</v>
      </c>
      <c r="T1070" t="s">
        <v>825</v>
      </c>
      <c r="U1070" t="s">
        <v>826</v>
      </c>
      <c r="V1070" t="s">
        <v>66</v>
      </c>
      <c r="W1070" t="s">
        <v>66</v>
      </c>
      <c r="X1070">
        <v>3811896</v>
      </c>
      <c r="Y1070">
        <v>419308.56</v>
      </c>
      <c r="Z1070">
        <v>455004</v>
      </c>
      <c r="AA1070">
        <v>50050.44</v>
      </c>
      <c r="AB1070">
        <v>4231204.5599999996</v>
      </c>
      <c r="AC1070">
        <v>2</v>
      </c>
      <c r="AD1070" t="s">
        <v>134</v>
      </c>
      <c r="AE1070">
        <v>12</v>
      </c>
      <c r="AF1070" t="s">
        <v>323</v>
      </c>
      <c r="AG1070">
        <f>IFERROR(VLOOKUP(AF1070,[1]STOK!J:O,6,0),"")</f>
        <v>6</v>
      </c>
      <c r="AH1070" s="2">
        <f t="shared" si="32"/>
        <v>2</v>
      </c>
      <c r="AI1070" t="s">
        <v>323</v>
      </c>
      <c r="AJ1070" t="s">
        <v>324</v>
      </c>
      <c r="AK1070" t="s">
        <v>325</v>
      </c>
      <c r="AL1070" t="s">
        <v>86</v>
      </c>
      <c r="AM1070">
        <v>255078</v>
      </c>
      <c r="AN1070">
        <f t="shared" si="33"/>
        <v>252527.22</v>
      </c>
      <c r="AO1070" t="s">
        <v>66</v>
      </c>
      <c r="AP1070">
        <v>1</v>
      </c>
      <c r="AQ1070" t="s">
        <v>66</v>
      </c>
      <c r="AR1070">
        <v>0</v>
      </c>
      <c r="AS1070" t="s">
        <v>66</v>
      </c>
      <c r="AT1070">
        <v>0</v>
      </c>
      <c r="AU1070" t="s">
        <v>66</v>
      </c>
      <c r="AV1070">
        <v>0</v>
      </c>
      <c r="AW1070" t="s">
        <v>66</v>
      </c>
      <c r="AX1070">
        <v>0</v>
      </c>
      <c r="AY1070" t="s">
        <v>66</v>
      </c>
      <c r="AZ1070">
        <v>0</v>
      </c>
      <c r="BA1070" t="s">
        <v>66</v>
      </c>
      <c r="BB1070">
        <v>0</v>
      </c>
      <c r="BC1070">
        <v>0</v>
      </c>
      <c r="BD1070">
        <v>505054.44</v>
      </c>
      <c r="BE1070">
        <v>34554.97</v>
      </c>
      <c r="BF1070">
        <v>0</v>
      </c>
      <c r="BG1070" t="s">
        <v>87</v>
      </c>
      <c r="BH1070" t="s">
        <v>66</v>
      </c>
      <c r="BI1070">
        <v>0</v>
      </c>
      <c r="BJ1070" t="s">
        <v>66</v>
      </c>
      <c r="BK1070" t="s">
        <v>88</v>
      </c>
      <c r="BL1070" t="s">
        <v>66</v>
      </c>
      <c r="BM1070" t="s">
        <v>159</v>
      </c>
    </row>
    <row r="1071" spans="1:65" x14ac:dyDescent="0.25">
      <c r="A1071">
        <v>1069</v>
      </c>
      <c r="B1071" t="s">
        <v>1353</v>
      </c>
      <c r="C1071" t="s">
        <v>68</v>
      </c>
      <c r="D1071" s="1">
        <v>46216</v>
      </c>
      <c r="E1071" t="s">
        <v>1354</v>
      </c>
      <c r="F1071" t="s">
        <v>68</v>
      </c>
      <c r="G1071" t="s">
        <v>69</v>
      </c>
      <c r="H1071" t="s">
        <v>70</v>
      </c>
      <c r="I1071" t="s">
        <v>71</v>
      </c>
      <c r="J1071" t="s">
        <v>72</v>
      </c>
      <c r="K1071" t="s">
        <v>73</v>
      </c>
      <c r="L1071" t="s">
        <v>74</v>
      </c>
      <c r="M1071" t="s">
        <v>820</v>
      </c>
      <c r="N1071" t="s">
        <v>111</v>
      </c>
      <c r="O1071" t="s">
        <v>821</v>
      </c>
      <c r="P1071" t="s">
        <v>822</v>
      </c>
      <c r="Q1071" t="s">
        <v>1355</v>
      </c>
      <c r="R1071" s="1">
        <v>46218</v>
      </c>
      <c r="S1071" t="s">
        <v>824</v>
      </c>
      <c r="T1071" t="s">
        <v>825</v>
      </c>
      <c r="U1071" t="s">
        <v>826</v>
      </c>
      <c r="V1071" t="s">
        <v>66</v>
      </c>
      <c r="W1071" t="s">
        <v>66</v>
      </c>
      <c r="X1071">
        <v>3811896</v>
      </c>
      <c r="Y1071">
        <v>419308.56</v>
      </c>
      <c r="Z1071">
        <v>171072</v>
      </c>
      <c r="AA1071">
        <v>18817.919999999998</v>
      </c>
      <c r="AB1071">
        <v>4231204.5599999996</v>
      </c>
      <c r="AC1071">
        <v>1</v>
      </c>
      <c r="AD1071" t="s">
        <v>134</v>
      </c>
      <c r="AE1071">
        <v>12</v>
      </c>
      <c r="AF1071" t="s">
        <v>141</v>
      </c>
      <c r="AG1071">
        <f>IFERROR(VLOOKUP(AF1071,[1]STOK!J:O,6,0),"")</f>
        <v>12</v>
      </c>
      <c r="AH1071" s="2">
        <f t="shared" si="32"/>
        <v>1</v>
      </c>
      <c r="AI1071" t="s">
        <v>141</v>
      </c>
      <c r="AJ1071" t="s">
        <v>142</v>
      </c>
      <c r="AK1071" t="s">
        <v>143</v>
      </c>
      <c r="AL1071" t="s">
        <v>86</v>
      </c>
      <c r="AM1071">
        <v>191808</v>
      </c>
      <c r="AN1071">
        <f t="shared" si="33"/>
        <v>189889.92000000001</v>
      </c>
      <c r="AO1071" t="s">
        <v>66</v>
      </c>
      <c r="AP1071">
        <v>1</v>
      </c>
      <c r="AQ1071" t="s">
        <v>66</v>
      </c>
      <c r="AR1071">
        <v>0</v>
      </c>
      <c r="AS1071" t="s">
        <v>66</v>
      </c>
      <c r="AT1071">
        <v>0</v>
      </c>
      <c r="AU1071" t="s">
        <v>66</v>
      </c>
      <c r="AV1071">
        <v>0</v>
      </c>
      <c r="AW1071" t="s">
        <v>66</v>
      </c>
      <c r="AX1071">
        <v>0</v>
      </c>
      <c r="AY1071" t="s">
        <v>66</v>
      </c>
      <c r="AZ1071">
        <v>0</v>
      </c>
      <c r="BA1071" t="s">
        <v>66</v>
      </c>
      <c r="BB1071">
        <v>0</v>
      </c>
      <c r="BC1071">
        <v>0</v>
      </c>
      <c r="BD1071">
        <v>189889.92000000001</v>
      </c>
      <c r="BE1071">
        <v>13031.88</v>
      </c>
      <c r="BF1071">
        <v>0</v>
      </c>
      <c r="BG1071" t="s">
        <v>87</v>
      </c>
      <c r="BH1071" t="s">
        <v>66</v>
      </c>
      <c r="BI1071">
        <v>0</v>
      </c>
      <c r="BJ1071" t="s">
        <v>66</v>
      </c>
      <c r="BK1071" t="s">
        <v>88</v>
      </c>
      <c r="BL1071" t="s">
        <v>66</v>
      </c>
      <c r="BM1071" t="s">
        <v>159</v>
      </c>
    </row>
    <row r="1072" spans="1:65" x14ac:dyDescent="0.25">
      <c r="A1072">
        <v>1070</v>
      </c>
      <c r="B1072" t="s">
        <v>1353</v>
      </c>
      <c r="C1072" t="s">
        <v>68</v>
      </c>
      <c r="D1072" s="1">
        <v>46216</v>
      </c>
      <c r="E1072" t="s">
        <v>1354</v>
      </c>
      <c r="F1072" t="s">
        <v>68</v>
      </c>
      <c r="G1072" t="s">
        <v>69</v>
      </c>
      <c r="H1072" t="s">
        <v>70</v>
      </c>
      <c r="I1072" t="s">
        <v>71</v>
      </c>
      <c r="J1072" t="s">
        <v>72</v>
      </c>
      <c r="K1072" t="s">
        <v>73</v>
      </c>
      <c r="L1072" t="s">
        <v>74</v>
      </c>
      <c r="M1072" t="s">
        <v>820</v>
      </c>
      <c r="N1072" t="s">
        <v>111</v>
      </c>
      <c r="O1072" t="s">
        <v>821</v>
      </c>
      <c r="P1072" t="s">
        <v>822</v>
      </c>
      <c r="Q1072" t="s">
        <v>1355</v>
      </c>
      <c r="R1072" s="1">
        <v>46218</v>
      </c>
      <c r="S1072" t="s">
        <v>824</v>
      </c>
      <c r="T1072" t="s">
        <v>825</v>
      </c>
      <c r="U1072" t="s">
        <v>826</v>
      </c>
      <c r="V1072" t="s">
        <v>66</v>
      </c>
      <c r="W1072" t="s">
        <v>66</v>
      </c>
      <c r="X1072">
        <v>3811896</v>
      </c>
      <c r="Y1072">
        <v>419308.56</v>
      </c>
      <c r="Z1072">
        <v>171072</v>
      </c>
      <c r="AA1072">
        <v>18817.919999999998</v>
      </c>
      <c r="AB1072">
        <v>4231204.5599999996</v>
      </c>
      <c r="AC1072">
        <v>1</v>
      </c>
      <c r="AD1072" t="s">
        <v>134</v>
      </c>
      <c r="AE1072">
        <v>12</v>
      </c>
      <c r="AF1072" t="s">
        <v>213</v>
      </c>
      <c r="AG1072">
        <f>IFERROR(VLOOKUP(AF1072,[1]STOK!J:O,6,0),"")</f>
        <v>12</v>
      </c>
      <c r="AH1072" s="2">
        <f t="shared" si="32"/>
        <v>1</v>
      </c>
      <c r="AI1072" t="s">
        <v>213</v>
      </c>
      <c r="AJ1072" t="s">
        <v>214</v>
      </c>
      <c r="AK1072" t="s">
        <v>215</v>
      </c>
      <c r="AL1072" t="s">
        <v>86</v>
      </c>
      <c r="AM1072">
        <v>191808</v>
      </c>
      <c r="AN1072">
        <f t="shared" si="33"/>
        <v>189889.92000000001</v>
      </c>
      <c r="AO1072" t="s">
        <v>66</v>
      </c>
      <c r="AP1072">
        <v>1</v>
      </c>
      <c r="AQ1072" t="s">
        <v>66</v>
      </c>
      <c r="AR1072">
        <v>0</v>
      </c>
      <c r="AS1072" t="s">
        <v>66</v>
      </c>
      <c r="AT1072">
        <v>0</v>
      </c>
      <c r="AU1072" t="s">
        <v>66</v>
      </c>
      <c r="AV1072">
        <v>0</v>
      </c>
      <c r="AW1072" t="s">
        <v>66</v>
      </c>
      <c r="AX1072">
        <v>0</v>
      </c>
      <c r="AY1072" t="s">
        <v>66</v>
      </c>
      <c r="AZ1072">
        <v>0</v>
      </c>
      <c r="BA1072" t="s">
        <v>66</v>
      </c>
      <c r="BB1072">
        <v>0</v>
      </c>
      <c r="BC1072">
        <v>0</v>
      </c>
      <c r="BD1072">
        <v>189889.92000000001</v>
      </c>
      <c r="BE1072">
        <v>13008.41</v>
      </c>
      <c r="BF1072">
        <v>0</v>
      </c>
      <c r="BG1072" t="s">
        <v>87</v>
      </c>
      <c r="BH1072" t="s">
        <v>66</v>
      </c>
      <c r="BI1072">
        <v>0</v>
      </c>
      <c r="BJ1072" t="s">
        <v>66</v>
      </c>
      <c r="BK1072" t="s">
        <v>88</v>
      </c>
      <c r="BL1072" t="s">
        <v>66</v>
      </c>
      <c r="BM1072" t="s">
        <v>159</v>
      </c>
    </row>
    <row r="1073" spans="1:65" x14ac:dyDescent="0.25">
      <c r="A1073">
        <v>1071</v>
      </c>
      <c r="B1073" t="s">
        <v>1362</v>
      </c>
      <c r="C1073" t="s">
        <v>68</v>
      </c>
      <c r="D1073" s="1">
        <v>46216</v>
      </c>
      <c r="E1073" t="s">
        <v>1363</v>
      </c>
      <c r="F1073" t="s">
        <v>68</v>
      </c>
      <c r="G1073" t="s">
        <v>69</v>
      </c>
      <c r="H1073" t="s">
        <v>70</v>
      </c>
      <c r="I1073" t="s">
        <v>71</v>
      </c>
      <c r="J1073" t="s">
        <v>72</v>
      </c>
      <c r="K1073" t="s">
        <v>73</v>
      </c>
      <c r="L1073" t="s">
        <v>74</v>
      </c>
      <c r="M1073" t="s">
        <v>974</v>
      </c>
      <c r="N1073" t="s">
        <v>274</v>
      </c>
      <c r="O1073" t="s">
        <v>975</v>
      </c>
      <c r="P1073" t="s">
        <v>677</v>
      </c>
      <c r="Q1073" t="s">
        <v>1364</v>
      </c>
      <c r="R1073" s="1">
        <v>46219</v>
      </c>
      <c r="S1073" t="s">
        <v>679</v>
      </c>
      <c r="T1073" t="s">
        <v>977</v>
      </c>
      <c r="U1073" t="s">
        <v>681</v>
      </c>
      <c r="V1073" t="s">
        <v>66</v>
      </c>
      <c r="W1073" t="s">
        <v>66</v>
      </c>
      <c r="X1073">
        <v>635208</v>
      </c>
      <c r="Y1073">
        <v>69872.88</v>
      </c>
      <c r="Z1073">
        <v>197010</v>
      </c>
      <c r="AA1073">
        <v>21671.1</v>
      </c>
      <c r="AB1073">
        <v>705080.88</v>
      </c>
      <c r="AC1073">
        <v>12</v>
      </c>
      <c r="AD1073" t="s">
        <v>82</v>
      </c>
      <c r="AE1073">
        <v>12</v>
      </c>
      <c r="AF1073" t="s">
        <v>93</v>
      </c>
      <c r="AG1073">
        <f>IFERROR(VLOOKUP(AF1073,[1]STOK!J:O,6,0),"")</f>
        <v>24</v>
      </c>
      <c r="AH1073" s="2">
        <f t="shared" si="32"/>
        <v>0.5</v>
      </c>
      <c r="AI1073" t="s">
        <v>93</v>
      </c>
      <c r="AJ1073" t="s">
        <v>94</v>
      </c>
      <c r="AK1073" t="s">
        <v>95</v>
      </c>
      <c r="AL1073" t="s">
        <v>86</v>
      </c>
      <c r="AM1073">
        <v>18315</v>
      </c>
      <c r="AN1073">
        <f t="shared" si="33"/>
        <v>18223.424999999999</v>
      </c>
      <c r="AO1073" t="s">
        <v>66</v>
      </c>
      <c r="AP1073">
        <v>0.5</v>
      </c>
      <c r="AQ1073" t="s">
        <v>66</v>
      </c>
      <c r="AR1073">
        <v>0</v>
      </c>
      <c r="AS1073" t="s">
        <v>66</v>
      </c>
      <c r="AT1073">
        <v>0</v>
      </c>
      <c r="AU1073" t="s">
        <v>66</v>
      </c>
      <c r="AV1073">
        <v>0</v>
      </c>
      <c r="AW1073" t="s">
        <v>66</v>
      </c>
      <c r="AX1073">
        <v>0</v>
      </c>
      <c r="AY1073" t="s">
        <v>66</v>
      </c>
      <c r="AZ1073">
        <v>0</v>
      </c>
      <c r="BA1073" t="s">
        <v>66</v>
      </c>
      <c r="BB1073">
        <v>0</v>
      </c>
      <c r="BC1073">
        <v>0</v>
      </c>
      <c r="BD1073">
        <v>218681.1</v>
      </c>
      <c r="BE1073">
        <v>14931.89</v>
      </c>
      <c r="BF1073">
        <v>0</v>
      </c>
      <c r="BG1073" t="s">
        <v>87</v>
      </c>
      <c r="BH1073" t="s">
        <v>66</v>
      </c>
      <c r="BI1073">
        <v>0</v>
      </c>
      <c r="BJ1073" t="s">
        <v>66</v>
      </c>
      <c r="BK1073" t="s">
        <v>88</v>
      </c>
      <c r="BL1073" t="s">
        <v>66</v>
      </c>
      <c r="BM1073" t="s">
        <v>159</v>
      </c>
    </row>
    <row r="1074" spans="1:65" x14ac:dyDescent="0.25">
      <c r="A1074">
        <v>1072</v>
      </c>
      <c r="B1074" t="s">
        <v>1362</v>
      </c>
      <c r="C1074" t="s">
        <v>68</v>
      </c>
      <c r="D1074" s="1">
        <v>46216</v>
      </c>
      <c r="E1074" t="s">
        <v>1363</v>
      </c>
      <c r="F1074" t="s">
        <v>68</v>
      </c>
      <c r="G1074" t="s">
        <v>69</v>
      </c>
      <c r="H1074" t="s">
        <v>70</v>
      </c>
      <c r="I1074" t="s">
        <v>71</v>
      </c>
      <c r="J1074" t="s">
        <v>72</v>
      </c>
      <c r="K1074" t="s">
        <v>73</v>
      </c>
      <c r="L1074" t="s">
        <v>74</v>
      </c>
      <c r="M1074" t="s">
        <v>974</v>
      </c>
      <c r="N1074" t="s">
        <v>274</v>
      </c>
      <c r="O1074" t="s">
        <v>975</v>
      </c>
      <c r="P1074" t="s">
        <v>677</v>
      </c>
      <c r="Q1074" t="s">
        <v>1364</v>
      </c>
      <c r="R1074" s="1">
        <v>46219</v>
      </c>
      <c r="S1074" t="s">
        <v>679</v>
      </c>
      <c r="T1074" t="s">
        <v>977</v>
      </c>
      <c r="U1074" t="s">
        <v>681</v>
      </c>
      <c r="V1074" t="s">
        <v>66</v>
      </c>
      <c r="W1074" t="s">
        <v>66</v>
      </c>
      <c r="X1074">
        <v>635208</v>
      </c>
      <c r="Y1074">
        <v>69872.88</v>
      </c>
      <c r="Z1074">
        <v>231636</v>
      </c>
      <c r="AA1074">
        <v>25479.96</v>
      </c>
      <c r="AB1074">
        <v>705080.88</v>
      </c>
      <c r="AC1074">
        <v>12</v>
      </c>
      <c r="AD1074" t="s">
        <v>82</v>
      </c>
      <c r="AE1074">
        <v>12</v>
      </c>
      <c r="AF1074" t="s">
        <v>287</v>
      </c>
      <c r="AG1074">
        <f>IFERROR(VLOOKUP(AF1074,[1]STOK!J:O,6,0),"")</f>
        <v>12</v>
      </c>
      <c r="AH1074" s="2">
        <f t="shared" si="32"/>
        <v>1</v>
      </c>
      <c r="AI1074" t="s">
        <v>287</v>
      </c>
      <c r="AJ1074" t="s">
        <v>288</v>
      </c>
      <c r="AK1074" t="s">
        <v>289</v>
      </c>
      <c r="AL1074" t="s">
        <v>86</v>
      </c>
      <c r="AM1074">
        <v>21534</v>
      </c>
      <c r="AN1074">
        <f t="shared" si="33"/>
        <v>21426.329999999998</v>
      </c>
      <c r="AO1074" t="s">
        <v>66</v>
      </c>
      <c r="AP1074">
        <v>0.5</v>
      </c>
      <c r="AQ1074" t="s">
        <v>66</v>
      </c>
      <c r="AR1074">
        <v>0</v>
      </c>
      <c r="AS1074" t="s">
        <v>66</v>
      </c>
      <c r="AT1074">
        <v>0</v>
      </c>
      <c r="AU1074" t="s">
        <v>66</v>
      </c>
      <c r="AV1074">
        <v>0</v>
      </c>
      <c r="AW1074" t="s">
        <v>66</v>
      </c>
      <c r="AX1074">
        <v>0</v>
      </c>
      <c r="AY1074" t="s">
        <v>66</v>
      </c>
      <c r="AZ1074">
        <v>0</v>
      </c>
      <c r="BA1074" t="s">
        <v>66</v>
      </c>
      <c r="BB1074">
        <v>0</v>
      </c>
      <c r="BC1074">
        <v>0</v>
      </c>
      <c r="BD1074">
        <v>257115.96</v>
      </c>
      <c r="BE1074">
        <v>17453.490000000002</v>
      </c>
      <c r="BF1074">
        <v>0</v>
      </c>
      <c r="BG1074" t="s">
        <v>87</v>
      </c>
      <c r="BH1074" t="s">
        <v>66</v>
      </c>
      <c r="BI1074">
        <v>0</v>
      </c>
      <c r="BJ1074" t="s">
        <v>66</v>
      </c>
      <c r="BK1074" t="s">
        <v>88</v>
      </c>
      <c r="BL1074" t="s">
        <v>66</v>
      </c>
      <c r="BM1074" t="s">
        <v>159</v>
      </c>
    </row>
    <row r="1075" spans="1:65" x14ac:dyDescent="0.25">
      <c r="A1075">
        <v>1073</v>
      </c>
      <c r="B1075" t="s">
        <v>1362</v>
      </c>
      <c r="C1075" t="s">
        <v>68</v>
      </c>
      <c r="D1075" s="1">
        <v>46216</v>
      </c>
      <c r="E1075" t="s">
        <v>1363</v>
      </c>
      <c r="F1075" t="s">
        <v>68</v>
      </c>
      <c r="G1075" t="s">
        <v>69</v>
      </c>
      <c r="H1075" t="s">
        <v>70</v>
      </c>
      <c r="I1075" t="s">
        <v>71</v>
      </c>
      <c r="J1075" t="s">
        <v>72</v>
      </c>
      <c r="K1075" t="s">
        <v>73</v>
      </c>
      <c r="L1075" t="s">
        <v>74</v>
      </c>
      <c r="M1075" t="s">
        <v>974</v>
      </c>
      <c r="N1075" t="s">
        <v>274</v>
      </c>
      <c r="O1075" t="s">
        <v>975</v>
      </c>
      <c r="P1075" t="s">
        <v>677</v>
      </c>
      <c r="Q1075" t="s">
        <v>1364</v>
      </c>
      <c r="R1075" s="1">
        <v>46219</v>
      </c>
      <c r="S1075" t="s">
        <v>679</v>
      </c>
      <c r="T1075" t="s">
        <v>977</v>
      </c>
      <c r="U1075" t="s">
        <v>681</v>
      </c>
      <c r="V1075" t="s">
        <v>66</v>
      </c>
      <c r="W1075" t="s">
        <v>66</v>
      </c>
      <c r="X1075">
        <v>635208</v>
      </c>
      <c r="Y1075">
        <v>69872.88</v>
      </c>
      <c r="Z1075">
        <v>206562</v>
      </c>
      <c r="AA1075">
        <v>22721.82</v>
      </c>
      <c r="AB1075">
        <v>705080.88</v>
      </c>
      <c r="AC1075">
        <v>12</v>
      </c>
      <c r="AD1075" t="s">
        <v>82</v>
      </c>
      <c r="AE1075">
        <v>12</v>
      </c>
      <c r="AF1075" t="s">
        <v>359</v>
      </c>
      <c r="AG1075">
        <f>IFERROR(VLOOKUP(AF1075,[1]STOK!J:O,6,0),"")</f>
        <v>12</v>
      </c>
      <c r="AH1075" s="2">
        <f t="shared" si="32"/>
        <v>1</v>
      </c>
      <c r="AI1075" t="s">
        <v>359</v>
      </c>
      <c r="AJ1075" t="s">
        <v>360</v>
      </c>
      <c r="AK1075" t="s">
        <v>361</v>
      </c>
      <c r="AL1075" t="s">
        <v>86</v>
      </c>
      <c r="AM1075">
        <v>19203</v>
      </c>
      <c r="AN1075">
        <f t="shared" si="33"/>
        <v>19106.985000000001</v>
      </c>
      <c r="AO1075" t="s">
        <v>66</v>
      </c>
      <c r="AP1075">
        <v>0.5</v>
      </c>
      <c r="AQ1075" t="s">
        <v>66</v>
      </c>
      <c r="AR1075">
        <v>0</v>
      </c>
      <c r="AS1075" t="s">
        <v>66</v>
      </c>
      <c r="AT1075">
        <v>0</v>
      </c>
      <c r="AU1075" t="s">
        <v>66</v>
      </c>
      <c r="AV1075">
        <v>0</v>
      </c>
      <c r="AW1075" t="s">
        <v>66</v>
      </c>
      <c r="AX1075">
        <v>0</v>
      </c>
      <c r="AY1075" t="s">
        <v>66</v>
      </c>
      <c r="AZ1075">
        <v>0</v>
      </c>
      <c r="BA1075" t="s">
        <v>66</v>
      </c>
      <c r="BB1075">
        <v>0</v>
      </c>
      <c r="BC1075">
        <v>0</v>
      </c>
      <c r="BD1075">
        <v>229283.82</v>
      </c>
      <c r="BE1075">
        <v>15641.71</v>
      </c>
      <c r="BF1075">
        <v>0</v>
      </c>
      <c r="BG1075" t="s">
        <v>87</v>
      </c>
      <c r="BH1075" t="s">
        <v>66</v>
      </c>
      <c r="BI1075">
        <v>0</v>
      </c>
      <c r="BJ1075" t="s">
        <v>66</v>
      </c>
      <c r="BK1075" t="s">
        <v>88</v>
      </c>
      <c r="BL1075" t="s">
        <v>66</v>
      </c>
      <c r="BM1075" t="s">
        <v>159</v>
      </c>
    </row>
    <row r="1076" spans="1:65" x14ac:dyDescent="0.25">
      <c r="A1076">
        <v>1074</v>
      </c>
      <c r="B1076" t="s">
        <v>1365</v>
      </c>
      <c r="C1076" t="s">
        <v>1366</v>
      </c>
      <c r="D1076" s="1">
        <v>46216</v>
      </c>
      <c r="E1076" t="s">
        <v>1367</v>
      </c>
      <c r="F1076" t="s">
        <v>1368</v>
      </c>
      <c r="G1076" t="s">
        <v>69</v>
      </c>
      <c r="H1076" t="s">
        <v>70</v>
      </c>
      <c r="I1076" t="s">
        <v>71</v>
      </c>
      <c r="J1076" t="s">
        <v>72</v>
      </c>
      <c r="K1076" t="s">
        <v>73</v>
      </c>
      <c r="L1076" t="s">
        <v>74</v>
      </c>
      <c r="M1076" t="s">
        <v>867</v>
      </c>
      <c r="N1076" t="s">
        <v>696</v>
      </c>
      <c r="O1076" t="s">
        <v>868</v>
      </c>
      <c r="P1076" t="s">
        <v>869</v>
      </c>
      <c r="Q1076" t="s">
        <v>1369</v>
      </c>
      <c r="R1076" s="1">
        <v>46218</v>
      </c>
      <c r="S1076" t="s">
        <v>871</v>
      </c>
      <c r="T1076" t="s">
        <v>872</v>
      </c>
      <c r="U1076" t="s">
        <v>873</v>
      </c>
      <c r="V1076" t="s">
        <v>66</v>
      </c>
      <c r="W1076" t="s">
        <v>66</v>
      </c>
      <c r="X1076">
        <v>8201544</v>
      </c>
      <c r="Y1076">
        <v>902169.84</v>
      </c>
      <c r="Z1076">
        <v>488880</v>
      </c>
      <c r="AA1076">
        <v>53776.800000000003</v>
      </c>
      <c r="AB1076">
        <v>9103713.8399999999</v>
      </c>
      <c r="AC1076">
        <v>2</v>
      </c>
      <c r="AD1076" t="s">
        <v>134</v>
      </c>
      <c r="AE1076">
        <v>48</v>
      </c>
      <c r="AF1076" t="s">
        <v>874</v>
      </c>
      <c r="AG1076">
        <f>IFERROR(VLOOKUP(AF1076,[1]STOK!J:O,6,0),"")</f>
        <v>24</v>
      </c>
      <c r="AH1076" s="2">
        <f t="shared" si="32"/>
        <v>2</v>
      </c>
      <c r="AI1076" t="s">
        <v>874</v>
      </c>
      <c r="AJ1076" t="s">
        <v>875</v>
      </c>
      <c r="AK1076" t="s">
        <v>876</v>
      </c>
      <c r="AL1076" t="s">
        <v>86</v>
      </c>
      <c r="AM1076">
        <v>279720</v>
      </c>
      <c r="AN1076">
        <f t="shared" si="33"/>
        <v>271328.40000000002</v>
      </c>
      <c r="AO1076" t="s">
        <v>66</v>
      </c>
      <c r="AP1076">
        <v>3</v>
      </c>
      <c r="AQ1076" t="s">
        <v>66</v>
      </c>
      <c r="AR1076">
        <v>0</v>
      </c>
      <c r="AS1076" t="s">
        <v>66</v>
      </c>
      <c r="AT1076">
        <v>0</v>
      </c>
      <c r="AU1076" t="s">
        <v>66</v>
      </c>
      <c r="AV1076">
        <v>0</v>
      </c>
      <c r="AW1076" t="s">
        <v>66</v>
      </c>
      <c r="AX1076">
        <v>0</v>
      </c>
      <c r="AY1076" t="s">
        <v>66</v>
      </c>
      <c r="AZ1076">
        <v>0</v>
      </c>
      <c r="BA1076" t="s">
        <v>66</v>
      </c>
      <c r="BB1076">
        <v>0</v>
      </c>
      <c r="BC1076">
        <v>0</v>
      </c>
      <c r="BD1076">
        <v>542656.80000000005</v>
      </c>
      <c r="BE1076">
        <v>9502.4599999999991</v>
      </c>
      <c r="BF1076">
        <v>0</v>
      </c>
      <c r="BG1076" t="s">
        <v>87</v>
      </c>
      <c r="BH1076" t="s">
        <v>66</v>
      </c>
      <c r="BI1076">
        <v>0</v>
      </c>
      <c r="BJ1076" t="s">
        <v>66</v>
      </c>
      <c r="BK1076" t="s">
        <v>88</v>
      </c>
      <c r="BL1076" t="s">
        <v>877</v>
      </c>
      <c r="BM1076" t="s">
        <v>159</v>
      </c>
    </row>
    <row r="1077" spans="1:65" x14ac:dyDescent="0.25">
      <c r="A1077">
        <v>1075</v>
      </c>
      <c r="B1077" t="s">
        <v>1365</v>
      </c>
      <c r="C1077" t="s">
        <v>1366</v>
      </c>
      <c r="D1077" s="1">
        <v>46216</v>
      </c>
      <c r="E1077" t="s">
        <v>1367</v>
      </c>
      <c r="F1077" t="s">
        <v>1368</v>
      </c>
      <c r="G1077" t="s">
        <v>69</v>
      </c>
      <c r="H1077" t="s">
        <v>70</v>
      </c>
      <c r="I1077" t="s">
        <v>71</v>
      </c>
      <c r="J1077" t="s">
        <v>72</v>
      </c>
      <c r="K1077" t="s">
        <v>73</v>
      </c>
      <c r="L1077" t="s">
        <v>74</v>
      </c>
      <c r="M1077" t="s">
        <v>867</v>
      </c>
      <c r="N1077" t="s">
        <v>696</v>
      </c>
      <c r="O1077" t="s">
        <v>868</v>
      </c>
      <c r="P1077" t="s">
        <v>869</v>
      </c>
      <c r="Q1077" t="s">
        <v>1369</v>
      </c>
      <c r="R1077" s="1">
        <v>46218</v>
      </c>
      <c r="S1077" t="s">
        <v>871</v>
      </c>
      <c r="T1077" t="s">
        <v>872</v>
      </c>
      <c r="U1077" t="s">
        <v>873</v>
      </c>
      <c r="V1077" t="s">
        <v>66</v>
      </c>
      <c r="W1077" t="s">
        <v>66</v>
      </c>
      <c r="X1077">
        <v>8201544</v>
      </c>
      <c r="Y1077">
        <v>902169.84</v>
      </c>
      <c r="Z1077">
        <v>856704</v>
      </c>
      <c r="AA1077">
        <v>94237.440000000002</v>
      </c>
      <c r="AB1077">
        <v>9103713.8399999999</v>
      </c>
      <c r="AC1077">
        <v>4</v>
      </c>
      <c r="AD1077" t="s">
        <v>134</v>
      </c>
      <c r="AE1077">
        <v>48</v>
      </c>
      <c r="AF1077" t="s">
        <v>160</v>
      </c>
      <c r="AG1077">
        <f>IFERROR(VLOOKUP(AF1077,[1]STOK!J:O,6,0),"")</f>
        <v>12</v>
      </c>
      <c r="AH1077" s="2">
        <f t="shared" si="32"/>
        <v>4</v>
      </c>
      <c r="AI1077" t="s">
        <v>160</v>
      </c>
      <c r="AJ1077" t="s">
        <v>161</v>
      </c>
      <c r="AK1077" t="s">
        <v>162</v>
      </c>
      <c r="AL1077" t="s">
        <v>86</v>
      </c>
      <c r="AM1077">
        <v>245088</v>
      </c>
      <c r="AN1077">
        <f t="shared" si="33"/>
        <v>237735.36</v>
      </c>
      <c r="AO1077" t="s">
        <v>66</v>
      </c>
      <c r="AP1077">
        <v>3</v>
      </c>
      <c r="AQ1077" t="s">
        <v>66</v>
      </c>
      <c r="AR1077">
        <v>0</v>
      </c>
      <c r="AS1077" t="s">
        <v>66</v>
      </c>
      <c r="AT1077">
        <v>0</v>
      </c>
      <c r="AU1077" t="s">
        <v>66</v>
      </c>
      <c r="AV1077">
        <v>0</v>
      </c>
      <c r="AW1077" t="s">
        <v>66</v>
      </c>
      <c r="AX1077">
        <v>0</v>
      </c>
      <c r="AY1077" t="s">
        <v>66</v>
      </c>
      <c r="AZ1077">
        <v>0</v>
      </c>
      <c r="BA1077" t="s">
        <v>66</v>
      </c>
      <c r="BB1077">
        <v>0</v>
      </c>
      <c r="BC1077">
        <v>0</v>
      </c>
      <c r="BD1077">
        <v>950941.44</v>
      </c>
      <c r="BE1077">
        <v>16652.16</v>
      </c>
      <c r="BF1077">
        <v>0</v>
      </c>
      <c r="BG1077" t="s">
        <v>87</v>
      </c>
      <c r="BH1077" t="s">
        <v>66</v>
      </c>
      <c r="BI1077">
        <v>0</v>
      </c>
      <c r="BJ1077" t="s">
        <v>66</v>
      </c>
      <c r="BK1077" t="s">
        <v>88</v>
      </c>
      <c r="BL1077" t="s">
        <v>877</v>
      </c>
      <c r="BM1077" t="s">
        <v>159</v>
      </c>
    </row>
    <row r="1078" spans="1:65" x14ac:dyDescent="0.25">
      <c r="A1078">
        <v>1076</v>
      </c>
      <c r="B1078" t="s">
        <v>1365</v>
      </c>
      <c r="C1078" t="s">
        <v>1366</v>
      </c>
      <c r="D1078" s="1">
        <v>46216</v>
      </c>
      <c r="E1078" t="s">
        <v>1367</v>
      </c>
      <c r="F1078" t="s">
        <v>1368</v>
      </c>
      <c r="G1078" t="s">
        <v>69</v>
      </c>
      <c r="H1078" t="s">
        <v>70</v>
      </c>
      <c r="I1078" t="s">
        <v>71</v>
      </c>
      <c r="J1078" t="s">
        <v>72</v>
      </c>
      <c r="K1078" t="s">
        <v>73</v>
      </c>
      <c r="L1078" t="s">
        <v>74</v>
      </c>
      <c r="M1078" t="s">
        <v>867</v>
      </c>
      <c r="N1078" t="s">
        <v>696</v>
      </c>
      <c r="O1078" t="s">
        <v>868</v>
      </c>
      <c r="P1078" t="s">
        <v>869</v>
      </c>
      <c r="Q1078" t="s">
        <v>1369</v>
      </c>
      <c r="R1078" s="1">
        <v>46218</v>
      </c>
      <c r="S1078" t="s">
        <v>871</v>
      </c>
      <c r="T1078" t="s">
        <v>872</v>
      </c>
      <c r="U1078" t="s">
        <v>873</v>
      </c>
      <c r="V1078" t="s">
        <v>66</v>
      </c>
      <c r="W1078" t="s">
        <v>66</v>
      </c>
      <c r="X1078">
        <v>8201544</v>
      </c>
      <c r="Y1078">
        <v>902169.84</v>
      </c>
      <c r="Z1078">
        <v>332904</v>
      </c>
      <c r="AA1078">
        <v>36619.440000000002</v>
      </c>
      <c r="AB1078">
        <v>9103713.8399999999</v>
      </c>
      <c r="AC1078">
        <v>1</v>
      </c>
      <c r="AD1078" t="s">
        <v>134</v>
      </c>
      <c r="AE1078">
        <v>12</v>
      </c>
      <c r="AF1078" t="s">
        <v>268</v>
      </c>
      <c r="AG1078">
        <f>IFERROR(VLOOKUP(AF1078,[1]STOK!J:O,6,0),"")</f>
        <v>12</v>
      </c>
      <c r="AH1078" s="2">
        <f t="shared" si="32"/>
        <v>1</v>
      </c>
      <c r="AI1078" t="s">
        <v>268</v>
      </c>
      <c r="AJ1078" t="s">
        <v>269</v>
      </c>
      <c r="AK1078" t="s">
        <v>270</v>
      </c>
      <c r="AL1078" t="s">
        <v>86</v>
      </c>
      <c r="AM1078">
        <v>380952</v>
      </c>
      <c r="AN1078">
        <f t="shared" si="33"/>
        <v>369523.44</v>
      </c>
      <c r="AO1078" t="s">
        <v>66</v>
      </c>
      <c r="AP1078">
        <v>3</v>
      </c>
      <c r="AQ1078" t="s">
        <v>66</v>
      </c>
      <c r="AR1078">
        <v>0</v>
      </c>
      <c r="AS1078" t="s">
        <v>66</v>
      </c>
      <c r="AT1078">
        <v>0</v>
      </c>
      <c r="AU1078" t="s">
        <v>66</v>
      </c>
      <c r="AV1078">
        <v>0</v>
      </c>
      <c r="AW1078" t="s">
        <v>66</v>
      </c>
      <c r="AX1078">
        <v>0</v>
      </c>
      <c r="AY1078" t="s">
        <v>66</v>
      </c>
      <c r="AZ1078">
        <v>0</v>
      </c>
      <c r="BA1078" t="s">
        <v>66</v>
      </c>
      <c r="BB1078">
        <v>0</v>
      </c>
      <c r="BC1078">
        <v>0</v>
      </c>
      <c r="BD1078">
        <v>369523.44</v>
      </c>
      <c r="BE1078">
        <v>25388.18</v>
      </c>
      <c r="BF1078">
        <v>0</v>
      </c>
      <c r="BG1078" t="s">
        <v>87</v>
      </c>
      <c r="BH1078" t="s">
        <v>66</v>
      </c>
      <c r="BI1078">
        <v>0</v>
      </c>
      <c r="BJ1078" t="s">
        <v>66</v>
      </c>
      <c r="BK1078" t="s">
        <v>88</v>
      </c>
      <c r="BL1078" t="s">
        <v>877</v>
      </c>
      <c r="BM1078" t="s">
        <v>159</v>
      </c>
    </row>
    <row r="1079" spans="1:65" x14ac:dyDescent="0.25">
      <c r="A1079">
        <v>1077</v>
      </c>
      <c r="B1079" t="s">
        <v>1365</v>
      </c>
      <c r="C1079" t="s">
        <v>1366</v>
      </c>
      <c r="D1079" s="1">
        <v>46216</v>
      </c>
      <c r="E1079" t="s">
        <v>1367</v>
      </c>
      <c r="F1079" t="s">
        <v>1368</v>
      </c>
      <c r="G1079" t="s">
        <v>69</v>
      </c>
      <c r="H1079" t="s">
        <v>70</v>
      </c>
      <c r="I1079" t="s">
        <v>71</v>
      </c>
      <c r="J1079" t="s">
        <v>72</v>
      </c>
      <c r="K1079" t="s">
        <v>73</v>
      </c>
      <c r="L1079" t="s">
        <v>74</v>
      </c>
      <c r="M1079" t="s">
        <v>867</v>
      </c>
      <c r="N1079" t="s">
        <v>696</v>
      </c>
      <c r="O1079" t="s">
        <v>868</v>
      </c>
      <c r="P1079" t="s">
        <v>869</v>
      </c>
      <c r="Q1079" t="s">
        <v>1369</v>
      </c>
      <c r="R1079" s="1">
        <v>46218</v>
      </c>
      <c r="S1079" t="s">
        <v>871</v>
      </c>
      <c r="T1079" t="s">
        <v>872</v>
      </c>
      <c r="U1079" t="s">
        <v>873</v>
      </c>
      <c r="V1079" t="s">
        <v>66</v>
      </c>
      <c r="W1079" t="s">
        <v>66</v>
      </c>
      <c r="X1079">
        <v>8201544</v>
      </c>
      <c r="Y1079">
        <v>902169.84</v>
      </c>
      <c r="Z1079">
        <v>903264</v>
      </c>
      <c r="AA1079">
        <v>99359.039999999994</v>
      </c>
      <c r="AB1079">
        <v>9103713.8399999999</v>
      </c>
      <c r="AC1079">
        <v>2</v>
      </c>
      <c r="AD1079" t="s">
        <v>134</v>
      </c>
      <c r="AE1079">
        <v>48</v>
      </c>
      <c r="AF1079" t="s">
        <v>281</v>
      </c>
      <c r="AG1079">
        <f>IFERROR(VLOOKUP(AF1079,[1]STOK!J:O,6,0),"")</f>
        <v>24</v>
      </c>
      <c r="AH1079" s="2">
        <f t="shared" si="32"/>
        <v>2</v>
      </c>
      <c r="AI1079" t="s">
        <v>281</v>
      </c>
      <c r="AJ1079" t="s">
        <v>282</v>
      </c>
      <c r="AK1079" t="s">
        <v>283</v>
      </c>
      <c r="AL1079" t="s">
        <v>86</v>
      </c>
      <c r="AM1079">
        <v>516816</v>
      </c>
      <c r="AN1079">
        <f t="shared" si="33"/>
        <v>501311.52</v>
      </c>
      <c r="AO1079" t="s">
        <v>66</v>
      </c>
      <c r="AP1079">
        <v>3</v>
      </c>
      <c r="AQ1079" t="s">
        <v>66</v>
      </c>
      <c r="AR1079">
        <v>0</v>
      </c>
      <c r="AS1079" t="s">
        <v>66</v>
      </c>
      <c r="AT1079">
        <v>0</v>
      </c>
      <c r="AU1079" t="s">
        <v>66</v>
      </c>
      <c r="AV1079">
        <v>0</v>
      </c>
      <c r="AW1079" t="s">
        <v>66</v>
      </c>
      <c r="AX1079">
        <v>0</v>
      </c>
      <c r="AY1079" t="s">
        <v>66</v>
      </c>
      <c r="AZ1079">
        <v>0</v>
      </c>
      <c r="BA1079" t="s">
        <v>66</v>
      </c>
      <c r="BB1079">
        <v>0</v>
      </c>
      <c r="BC1079">
        <v>0</v>
      </c>
      <c r="BD1079">
        <v>1002623.04</v>
      </c>
      <c r="BE1079">
        <v>17390.830000000002</v>
      </c>
      <c r="BF1079">
        <v>0</v>
      </c>
      <c r="BG1079" t="s">
        <v>87</v>
      </c>
      <c r="BH1079" t="s">
        <v>66</v>
      </c>
      <c r="BI1079">
        <v>0</v>
      </c>
      <c r="BJ1079" t="s">
        <v>66</v>
      </c>
      <c r="BK1079" t="s">
        <v>88</v>
      </c>
      <c r="BL1079" t="s">
        <v>877</v>
      </c>
      <c r="BM1079" t="s">
        <v>159</v>
      </c>
    </row>
    <row r="1080" spans="1:65" x14ac:dyDescent="0.25">
      <c r="A1080">
        <v>1078</v>
      </c>
      <c r="B1080" t="s">
        <v>1365</v>
      </c>
      <c r="C1080" t="s">
        <v>1366</v>
      </c>
      <c r="D1080" s="1">
        <v>46216</v>
      </c>
      <c r="E1080" t="s">
        <v>1367</v>
      </c>
      <c r="F1080" t="s">
        <v>1368</v>
      </c>
      <c r="G1080" t="s">
        <v>69</v>
      </c>
      <c r="H1080" t="s">
        <v>70</v>
      </c>
      <c r="I1080" t="s">
        <v>71</v>
      </c>
      <c r="J1080" t="s">
        <v>72</v>
      </c>
      <c r="K1080" t="s">
        <v>73</v>
      </c>
      <c r="L1080" t="s">
        <v>74</v>
      </c>
      <c r="M1080" t="s">
        <v>867</v>
      </c>
      <c r="N1080" t="s">
        <v>696</v>
      </c>
      <c r="O1080" t="s">
        <v>868</v>
      </c>
      <c r="P1080" t="s">
        <v>869</v>
      </c>
      <c r="Q1080" t="s">
        <v>1369</v>
      </c>
      <c r="R1080" s="1">
        <v>46218</v>
      </c>
      <c r="S1080" t="s">
        <v>871</v>
      </c>
      <c r="T1080" t="s">
        <v>872</v>
      </c>
      <c r="U1080" t="s">
        <v>873</v>
      </c>
      <c r="V1080" t="s">
        <v>66</v>
      </c>
      <c r="W1080" t="s">
        <v>66</v>
      </c>
      <c r="X1080">
        <v>8201544</v>
      </c>
      <c r="Y1080">
        <v>902169.84</v>
      </c>
      <c r="Z1080">
        <v>250260</v>
      </c>
      <c r="AA1080">
        <v>27528.6</v>
      </c>
      <c r="AB1080">
        <v>9103713.8399999999</v>
      </c>
      <c r="AC1080">
        <v>1</v>
      </c>
      <c r="AD1080" t="s">
        <v>134</v>
      </c>
      <c r="AE1080">
        <v>12</v>
      </c>
      <c r="AF1080" t="s">
        <v>1370</v>
      </c>
      <c r="AG1080">
        <f>IFERROR(VLOOKUP(AF1080,[1]STOK!J:O,6,0),"")</f>
        <v>12</v>
      </c>
      <c r="AH1080" s="2">
        <f t="shared" si="32"/>
        <v>1</v>
      </c>
      <c r="AI1080" t="s">
        <v>1370</v>
      </c>
      <c r="AJ1080" t="s">
        <v>1371</v>
      </c>
      <c r="AK1080" t="s">
        <v>1372</v>
      </c>
      <c r="AL1080" t="s">
        <v>86</v>
      </c>
      <c r="AM1080">
        <v>286380</v>
      </c>
      <c r="AN1080">
        <f t="shared" si="33"/>
        <v>277788.59999999998</v>
      </c>
      <c r="AO1080" t="s">
        <v>66</v>
      </c>
      <c r="AP1080">
        <v>3</v>
      </c>
      <c r="AQ1080" t="s">
        <v>66</v>
      </c>
      <c r="AR1080">
        <v>0</v>
      </c>
      <c r="AS1080" t="s">
        <v>66</v>
      </c>
      <c r="AT1080">
        <v>0</v>
      </c>
      <c r="AU1080" t="s">
        <v>66</v>
      </c>
      <c r="AV1080">
        <v>0</v>
      </c>
      <c r="AW1080" t="s">
        <v>66</v>
      </c>
      <c r="AX1080">
        <v>0</v>
      </c>
      <c r="AY1080" t="s">
        <v>66</v>
      </c>
      <c r="AZ1080">
        <v>0</v>
      </c>
      <c r="BA1080" t="s">
        <v>66</v>
      </c>
      <c r="BB1080">
        <v>0</v>
      </c>
      <c r="BC1080">
        <v>0</v>
      </c>
      <c r="BD1080">
        <v>277788.59999999998</v>
      </c>
      <c r="BE1080">
        <v>19396.650000000001</v>
      </c>
      <c r="BF1080">
        <v>0</v>
      </c>
      <c r="BG1080" t="s">
        <v>87</v>
      </c>
      <c r="BH1080" t="s">
        <v>66</v>
      </c>
      <c r="BI1080">
        <v>0</v>
      </c>
      <c r="BJ1080" t="s">
        <v>66</v>
      </c>
      <c r="BK1080" t="s">
        <v>88</v>
      </c>
      <c r="BL1080" t="s">
        <v>877</v>
      </c>
      <c r="BM1080" t="s">
        <v>159</v>
      </c>
    </row>
    <row r="1081" spans="1:65" x14ac:dyDescent="0.25">
      <c r="A1081">
        <v>1079</v>
      </c>
      <c r="B1081" t="s">
        <v>1365</v>
      </c>
      <c r="C1081" t="s">
        <v>1366</v>
      </c>
      <c r="D1081" s="1">
        <v>46216</v>
      </c>
      <c r="E1081" t="s">
        <v>1367</v>
      </c>
      <c r="F1081" t="s">
        <v>1368</v>
      </c>
      <c r="G1081" t="s">
        <v>69</v>
      </c>
      <c r="H1081" t="s">
        <v>70</v>
      </c>
      <c r="I1081" t="s">
        <v>71</v>
      </c>
      <c r="J1081" t="s">
        <v>72</v>
      </c>
      <c r="K1081" t="s">
        <v>73</v>
      </c>
      <c r="L1081" t="s">
        <v>74</v>
      </c>
      <c r="M1081" t="s">
        <v>867</v>
      </c>
      <c r="N1081" t="s">
        <v>696</v>
      </c>
      <c r="O1081" t="s">
        <v>868</v>
      </c>
      <c r="P1081" t="s">
        <v>869</v>
      </c>
      <c r="Q1081" t="s">
        <v>1369</v>
      </c>
      <c r="R1081" s="1">
        <v>46218</v>
      </c>
      <c r="S1081" t="s">
        <v>871</v>
      </c>
      <c r="T1081" t="s">
        <v>872</v>
      </c>
      <c r="U1081" t="s">
        <v>873</v>
      </c>
      <c r="V1081" t="s">
        <v>66</v>
      </c>
      <c r="W1081" t="s">
        <v>66</v>
      </c>
      <c r="X1081">
        <v>8201544</v>
      </c>
      <c r="Y1081">
        <v>902169.84</v>
      </c>
      <c r="Z1081">
        <v>114072</v>
      </c>
      <c r="AA1081">
        <v>12547.92</v>
      </c>
      <c r="AB1081">
        <v>9103713.8399999999</v>
      </c>
      <c r="AC1081">
        <v>1</v>
      </c>
      <c r="AD1081" t="s">
        <v>134</v>
      </c>
      <c r="AE1081">
        <v>24</v>
      </c>
      <c r="AF1081" t="s">
        <v>1310</v>
      </c>
      <c r="AG1081">
        <f>IFERROR(VLOOKUP(AF1081,[1]STOK!J:O,6,0),"")</f>
        <v>24</v>
      </c>
      <c r="AH1081" s="2">
        <f t="shared" si="32"/>
        <v>1</v>
      </c>
      <c r="AI1081" t="s">
        <v>1310</v>
      </c>
      <c r="AJ1081" t="s">
        <v>1311</v>
      </c>
      <c r="AK1081" t="s">
        <v>1312</v>
      </c>
      <c r="AL1081" t="s">
        <v>86</v>
      </c>
      <c r="AM1081">
        <v>130536</v>
      </c>
      <c r="AN1081">
        <f t="shared" si="33"/>
        <v>126619.92</v>
      </c>
      <c r="AO1081" t="s">
        <v>66</v>
      </c>
      <c r="AP1081">
        <v>3</v>
      </c>
      <c r="AQ1081" t="s">
        <v>66</v>
      </c>
      <c r="AR1081">
        <v>0</v>
      </c>
      <c r="AS1081" t="s">
        <v>66</v>
      </c>
      <c r="AT1081">
        <v>0</v>
      </c>
      <c r="AU1081" t="s">
        <v>66</v>
      </c>
      <c r="AV1081">
        <v>0</v>
      </c>
      <c r="AW1081" t="s">
        <v>66</v>
      </c>
      <c r="AX1081">
        <v>0</v>
      </c>
      <c r="AY1081" t="s">
        <v>66</v>
      </c>
      <c r="AZ1081">
        <v>0</v>
      </c>
      <c r="BA1081" t="s">
        <v>66</v>
      </c>
      <c r="BB1081">
        <v>0</v>
      </c>
      <c r="BC1081">
        <v>0</v>
      </c>
      <c r="BD1081">
        <v>126619.92</v>
      </c>
      <c r="BE1081">
        <v>4433.26</v>
      </c>
      <c r="BF1081">
        <v>0</v>
      </c>
      <c r="BG1081" t="s">
        <v>87</v>
      </c>
      <c r="BH1081" t="s">
        <v>66</v>
      </c>
      <c r="BI1081">
        <v>0</v>
      </c>
      <c r="BJ1081" t="s">
        <v>66</v>
      </c>
      <c r="BK1081" t="s">
        <v>88</v>
      </c>
      <c r="BL1081" t="s">
        <v>877</v>
      </c>
      <c r="BM1081" t="s">
        <v>159</v>
      </c>
    </row>
    <row r="1082" spans="1:65" x14ac:dyDescent="0.25">
      <c r="A1082">
        <v>1080</v>
      </c>
      <c r="B1082" t="s">
        <v>1365</v>
      </c>
      <c r="C1082" t="s">
        <v>1366</v>
      </c>
      <c r="D1082" s="1">
        <v>46216</v>
      </c>
      <c r="E1082" t="s">
        <v>1367</v>
      </c>
      <c r="F1082" t="s">
        <v>1368</v>
      </c>
      <c r="G1082" t="s">
        <v>69</v>
      </c>
      <c r="H1082" t="s">
        <v>70</v>
      </c>
      <c r="I1082" t="s">
        <v>71</v>
      </c>
      <c r="J1082" t="s">
        <v>72</v>
      </c>
      <c r="K1082" t="s">
        <v>73</v>
      </c>
      <c r="L1082" t="s">
        <v>74</v>
      </c>
      <c r="M1082" t="s">
        <v>867</v>
      </c>
      <c r="N1082" t="s">
        <v>696</v>
      </c>
      <c r="O1082" t="s">
        <v>868</v>
      </c>
      <c r="P1082" t="s">
        <v>869</v>
      </c>
      <c r="Q1082" t="s">
        <v>1369</v>
      </c>
      <c r="R1082" s="1">
        <v>46218</v>
      </c>
      <c r="S1082" t="s">
        <v>871</v>
      </c>
      <c r="T1082" t="s">
        <v>872</v>
      </c>
      <c r="U1082" t="s">
        <v>873</v>
      </c>
      <c r="V1082" t="s">
        <v>66</v>
      </c>
      <c r="W1082" t="s">
        <v>66</v>
      </c>
      <c r="X1082">
        <v>8201544</v>
      </c>
      <c r="Y1082">
        <v>902169.84</v>
      </c>
      <c r="Z1082">
        <v>351528</v>
      </c>
      <c r="AA1082">
        <v>38668.080000000002</v>
      </c>
      <c r="AB1082">
        <v>9103713.8399999999</v>
      </c>
      <c r="AC1082">
        <v>1</v>
      </c>
      <c r="AD1082" t="s">
        <v>134</v>
      </c>
      <c r="AE1082">
        <v>24</v>
      </c>
      <c r="AF1082" t="s">
        <v>1359</v>
      </c>
      <c r="AG1082">
        <f>IFERROR(VLOOKUP(AF1082,[1]STOK!J:O,6,0),"")</f>
        <v>24</v>
      </c>
      <c r="AH1082" s="2">
        <f t="shared" si="32"/>
        <v>1</v>
      </c>
      <c r="AI1082" t="s">
        <v>1359</v>
      </c>
      <c r="AJ1082" t="s">
        <v>1360</v>
      </c>
      <c r="AK1082" t="s">
        <v>1361</v>
      </c>
      <c r="AL1082" t="s">
        <v>86</v>
      </c>
      <c r="AM1082">
        <v>402264</v>
      </c>
      <c r="AN1082">
        <f t="shared" si="33"/>
        <v>390196.08</v>
      </c>
      <c r="AO1082" t="s">
        <v>66</v>
      </c>
      <c r="AP1082">
        <v>3</v>
      </c>
      <c r="AQ1082" t="s">
        <v>66</v>
      </c>
      <c r="AR1082">
        <v>0</v>
      </c>
      <c r="AS1082" t="s">
        <v>66</v>
      </c>
      <c r="AT1082">
        <v>0</v>
      </c>
      <c r="AU1082" t="s">
        <v>66</v>
      </c>
      <c r="AV1082">
        <v>0</v>
      </c>
      <c r="AW1082" t="s">
        <v>66</v>
      </c>
      <c r="AX1082">
        <v>0</v>
      </c>
      <c r="AY1082" t="s">
        <v>66</v>
      </c>
      <c r="AZ1082">
        <v>0</v>
      </c>
      <c r="BA1082" t="s">
        <v>66</v>
      </c>
      <c r="BB1082">
        <v>0</v>
      </c>
      <c r="BC1082">
        <v>0</v>
      </c>
      <c r="BD1082">
        <v>390196.08</v>
      </c>
      <c r="BE1082">
        <v>13876.93</v>
      </c>
      <c r="BF1082">
        <v>0</v>
      </c>
      <c r="BG1082" t="s">
        <v>87</v>
      </c>
      <c r="BH1082" t="s">
        <v>66</v>
      </c>
      <c r="BI1082">
        <v>0</v>
      </c>
      <c r="BJ1082" t="s">
        <v>66</v>
      </c>
      <c r="BK1082" t="s">
        <v>88</v>
      </c>
      <c r="BL1082" t="s">
        <v>877</v>
      </c>
      <c r="BM1082" t="s">
        <v>159</v>
      </c>
    </row>
    <row r="1083" spans="1:65" x14ac:dyDescent="0.25">
      <c r="A1083">
        <v>1081</v>
      </c>
      <c r="B1083" t="s">
        <v>1365</v>
      </c>
      <c r="C1083" t="s">
        <v>1366</v>
      </c>
      <c r="D1083" s="1">
        <v>46216</v>
      </c>
      <c r="E1083" t="s">
        <v>1367</v>
      </c>
      <c r="F1083" t="s">
        <v>1368</v>
      </c>
      <c r="G1083" t="s">
        <v>69</v>
      </c>
      <c r="H1083" t="s">
        <v>70</v>
      </c>
      <c r="I1083" t="s">
        <v>71</v>
      </c>
      <c r="J1083" t="s">
        <v>72</v>
      </c>
      <c r="K1083" t="s">
        <v>73</v>
      </c>
      <c r="L1083" t="s">
        <v>74</v>
      </c>
      <c r="M1083" t="s">
        <v>867</v>
      </c>
      <c r="N1083" t="s">
        <v>696</v>
      </c>
      <c r="O1083" t="s">
        <v>868</v>
      </c>
      <c r="P1083" t="s">
        <v>869</v>
      </c>
      <c r="Q1083" t="s">
        <v>1369</v>
      </c>
      <c r="R1083" s="1">
        <v>46218</v>
      </c>
      <c r="S1083" t="s">
        <v>871</v>
      </c>
      <c r="T1083" t="s">
        <v>872</v>
      </c>
      <c r="U1083" t="s">
        <v>873</v>
      </c>
      <c r="V1083" t="s">
        <v>66</v>
      </c>
      <c r="W1083" t="s">
        <v>66</v>
      </c>
      <c r="X1083">
        <v>8201544</v>
      </c>
      <c r="Y1083">
        <v>902169.84</v>
      </c>
      <c r="Z1083">
        <v>4903932</v>
      </c>
      <c r="AA1083">
        <v>539432.52</v>
      </c>
      <c r="AB1083">
        <v>9103713.8399999999</v>
      </c>
      <c r="AC1083">
        <v>22</v>
      </c>
      <c r="AD1083" t="s">
        <v>134</v>
      </c>
      <c r="AE1083">
        <v>132</v>
      </c>
      <c r="AF1083" t="s">
        <v>138</v>
      </c>
      <c r="AG1083">
        <f>IFERROR(VLOOKUP(AF1083,[1]STOK!J:O,6,0),"")</f>
        <v>6</v>
      </c>
      <c r="AH1083" s="2">
        <f t="shared" si="32"/>
        <v>22</v>
      </c>
      <c r="AI1083" t="s">
        <v>138</v>
      </c>
      <c r="AJ1083" t="s">
        <v>139</v>
      </c>
      <c r="AK1083" t="s">
        <v>140</v>
      </c>
      <c r="AL1083" t="s">
        <v>86</v>
      </c>
      <c r="AM1083">
        <v>255078</v>
      </c>
      <c r="AN1083">
        <f t="shared" si="33"/>
        <v>247425.65999999997</v>
      </c>
      <c r="AO1083" t="s">
        <v>66</v>
      </c>
      <c r="AP1083">
        <v>3</v>
      </c>
      <c r="AQ1083" t="s">
        <v>66</v>
      </c>
      <c r="AR1083">
        <v>0</v>
      </c>
      <c r="AS1083" t="s">
        <v>66</v>
      </c>
      <c r="AT1083">
        <v>0</v>
      </c>
      <c r="AU1083" t="s">
        <v>66</v>
      </c>
      <c r="AV1083">
        <v>0</v>
      </c>
      <c r="AW1083" t="s">
        <v>66</v>
      </c>
      <c r="AX1083">
        <v>0</v>
      </c>
      <c r="AY1083" t="s">
        <v>66</v>
      </c>
      <c r="AZ1083">
        <v>0</v>
      </c>
      <c r="BA1083" t="s">
        <v>66</v>
      </c>
      <c r="BB1083">
        <v>0</v>
      </c>
      <c r="BC1083">
        <v>0</v>
      </c>
      <c r="BD1083">
        <v>5443364.5199999996</v>
      </c>
      <c r="BE1083">
        <v>34661.300000000003</v>
      </c>
      <c r="BF1083">
        <v>0</v>
      </c>
      <c r="BG1083" t="s">
        <v>87</v>
      </c>
      <c r="BH1083" t="s">
        <v>66</v>
      </c>
      <c r="BI1083">
        <v>0</v>
      </c>
      <c r="BJ1083" t="s">
        <v>66</v>
      </c>
      <c r="BK1083" t="s">
        <v>88</v>
      </c>
      <c r="BL1083" t="s">
        <v>877</v>
      </c>
      <c r="BM1083" t="s">
        <v>159</v>
      </c>
    </row>
    <row r="1084" spans="1:65" x14ac:dyDescent="0.25">
      <c r="A1084">
        <v>1082</v>
      </c>
      <c r="B1084" t="s">
        <v>1373</v>
      </c>
      <c r="C1084" t="s">
        <v>1374</v>
      </c>
      <c r="D1084" s="1">
        <v>46216</v>
      </c>
      <c r="E1084" t="s">
        <v>1375</v>
      </c>
      <c r="F1084" t="s">
        <v>1376</v>
      </c>
      <c r="G1084" t="s">
        <v>295</v>
      </c>
      <c r="H1084" t="s">
        <v>296</v>
      </c>
      <c r="I1084" t="s">
        <v>71</v>
      </c>
      <c r="J1084" t="s">
        <v>72</v>
      </c>
      <c r="K1084" t="s">
        <v>73</v>
      </c>
      <c r="L1084" t="s">
        <v>74</v>
      </c>
      <c r="M1084" t="s">
        <v>1021</v>
      </c>
      <c r="N1084" t="s">
        <v>76</v>
      </c>
      <c r="O1084" t="s">
        <v>1022</v>
      </c>
      <c r="P1084" t="s">
        <v>1023</v>
      </c>
      <c r="Q1084" t="s">
        <v>1377</v>
      </c>
      <c r="R1084" s="1">
        <v>46213</v>
      </c>
      <c r="S1084" t="s">
        <v>841</v>
      </c>
      <c r="T1084" t="s">
        <v>842</v>
      </c>
      <c r="U1084" t="s">
        <v>843</v>
      </c>
      <c r="V1084" t="s">
        <v>66</v>
      </c>
      <c r="W1084" t="s">
        <v>66</v>
      </c>
      <c r="X1084">
        <v>385140</v>
      </c>
      <c r="Y1084">
        <v>42365.4</v>
      </c>
      <c r="Z1084">
        <v>43512</v>
      </c>
      <c r="AA1084">
        <v>4786.32</v>
      </c>
      <c r="AB1084">
        <v>427505.4</v>
      </c>
      <c r="AC1084">
        <v>6</v>
      </c>
      <c r="AD1084" t="s">
        <v>82</v>
      </c>
      <c r="AE1084">
        <v>6</v>
      </c>
      <c r="AF1084" t="s">
        <v>262</v>
      </c>
      <c r="AG1084">
        <f>IFERROR(VLOOKUP(AF1084,[1]STOK!J:O,6,0),"")</f>
        <v>24</v>
      </c>
      <c r="AH1084" s="2">
        <f t="shared" si="32"/>
        <v>0.25</v>
      </c>
      <c r="AI1084" t="s">
        <v>262</v>
      </c>
      <c r="AJ1084" t="s">
        <v>263</v>
      </c>
      <c r="AK1084" t="s">
        <v>264</v>
      </c>
      <c r="AL1084" t="s">
        <v>86</v>
      </c>
      <c r="AM1084">
        <v>8214</v>
      </c>
      <c r="AN1084">
        <f t="shared" si="33"/>
        <v>8049.72</v>
      </c>
      <c r="AO1084" t="s">
        <v>66</v>
      </c>
      <c r="AP1084">
        <v>2</v>
      </c>
      <c r="AQ1084" t="s">
        <v>66</v>
      </c>
      <c r="AR1084">
        <v>0</v>
      </c>
      <c r="AS1084" t="s">
        <v>66</v>
      </c>
      <c r="AT1084">
        <v>0</v>
      </c>
      <c r="AU1084" t="s">
        <v>66</v>
      </c>
      <c r="AV1084">
        <v>0</v>
      </c>
      <c r="AW1084" t="s">
        <v>66</v>
      </c>
      <c r="AX1084">
        <v>0</v>
      </c>
      <c r="AY1084" t="s">
        <v>66</v>
      </c>
      <c r="AZ1084">
        <v>0</v>
      </c>
      <c r="BA1084" t="s">
        <v>66</v>
      </c>
      <c r="BB1084">
        <v>0</v>
      </c>
      <c r="BC1084">
        <v>0</v>
      </c>
      <c r="BD1084">
        <v>48298.32</v>
      </c>
      <c r="BE1084">
        <v>6696.42</v>
      </c>
      <c r="BF1084">
        <v>0</v>
      </c>
      <c r="BG1084" t="s">
        <v>87</v>
      </c>
      <c r="BH1084" t="s">
        <v>66</v>
      </c>
      <c r="BI1084">
        <v>0</v>
      </c>
      <c r="BJ1084" t="s">
        <v>66</v>
      </c>
      <c r="BK1084" t="s">
        <v>88</v>
      </c>
      <c r="BL1084" t="s">
        <v>719</v>
      </c>
      <c r="BM1084" t="s">
        <v>159</v>
      </c>
    </row>
    <row r="1085" spans="1:65" x14ac:dyDescent="0.25">
      <c r="A1085">
        <v>1083</v>
      </c>
      <c r="B1085" t="s">
        <v>1373</v>
      </c>
      <c r="C1085" t="s">
        <v>1374</v>
      </c>
      <c r="D1085" s="1">
        <v>46216</v>
      </c>
      <c r="E1085" t="s">
        <v>1375</v>
      </c>
      <c r="F1085" t="s">
        <v>1376</v>
      </c>
      <c r="G1085" t="s">
        <v>295</v>
      </c>
      <c r="H1085" t="s">
        <v>296</v>
      </c>
      <c r="I1085" t="s">
        <v>71</v>
      </c>
      <c r="J1085" t="s">
        <v>72</v>
      </c>
      <c r="K1085" t="s">
        <v>73</v>
      </c>
      <c r="L1085" t="s">
        <v>74</v>
      </c>
      <c r="M1085" t="s">
        <v>1021</v>
      </c>
      <c r="N1085" t="s">
        <v>76</v>
      </c>
      <c r="O1085" t="s">
        <v>1022</v>
      </c>
      <c r="P1085" t="s">
        <v>1023</v>
      </c>
      <c r="Q1085" t="s">
        <v>1377</v>
      </c>
      <c r="R1085" s="1">
        <v>46213</v>
      </c>
      <c r="S1085" t="s">
        <v>841</v>
      </c>
      <c r="T1085" t="s">
        <v>842</v>
      </c>
      <c r="U1085" t="s">
        <v>843</v>
      </c>
      <c r="V1085" t="s">
        <v>66</v>
      </c>
      <c r="W1085" t="s">
        <v>66</v>
      </c>
      <c r="X1085">
        <v>385140</v>
      </c>
      <c r="Y1085">
        <v>42365.4</v>
      </c>
      <c r="Z1085">
        <v>29988</v>
      </c>
      <c r="AA1085">
        <v>3298.68</v>
      </c>
      <c r="AB1085">
        <v>427505.4</v>
      </c>
      <c r="AC1085">
        <v>3</v>
      </c>
      <c r="AD1085" t="s">
        <v>82</v>
      </c>
      <c r="AE1085">
        <v>3</v>
      </c>
      <c r="AF1085" t="s">
        <v>726</v>
      </c>
      <c r="AG1085">
        <f>IFERROR(VLOOKUP(AF1085,[1]STOK!J:O,6,0),"")</f>
        <v>24</v>
      </c>
      <c r="AH1085" s="2">
        <f t="shared" si="32"/>
        <v>0.125</v>
      </c>
      <c r="AI1085" t="s">
        <v>726</v>
      </c>
      <c r="AJ1085" t="s">
        <v>727</v>
      </c>
      <c r="AK1085" t="s">
        <v>728</v>
      </c>
      <c r="AL1085" t="s">
        <v>86</v>
      </c>
      <c r="AM1085">
        <v>11322</v>
      </c>
      <c r="AN1085">
        <f t="shared" si="33"/>
        <v>11095.56</v>
      </c>
      <c r="AO1085" t="s">
        <v>66</v>
      </c>
      <c r="AP1085">
        <v>2</v>
      </c>
      <c r="AQ1085" t="s">
        <v>66</v>
      </c>
      <c r="AR1085">
        <v>0</v>
      </c>
      <c r="AS1085" t="s">
        <v>66</v>
      </c>
      <c r="AT1085">
        <v>0</v>
      </c>
      <c r="AU1085" t="s">
        <v>66</v>
      </c>
      <c r="AV1085">
        <v>0</v>
      </c>
      <c r="AW1085" t="s">
        <v>66</v>
      </c>
      <c r="AX1085">
        <v>0</v>
      </c>
      <c r="AY1085" t="s">
        <v>66</v>
      </c>
      <c r="AZ1085">
        <v>0</v>
      </c>
      <c r="BA1085" t="s">
        <v>66</v>
      </c>
      <c r="BB1085">
        <v>0</v>
      </c>
      <c r="BC1085">
        <v>0</v>
      </c>
      <c r="BD1085">
        <v>33286.68</v>
      </c>
      <c r="BE1085">
        <v>8902.5499999999993</v>
      </c>
      <c r="BF1085">
        <v>0</v>
      </c>
      <c r="BG1085" t="s">
        <v>87</v>
      </c>
      <c r="BH1085" t="s">
        <v>66</v>
      </c>
      <c r="BI1085">
        <v>0</v>
      </c>
      <c r="BJ1085" t="s">
        <v>66</v>
      </c>
      <c r="BK1085" t="s">
        <v>88</v>
      </c>
      <c r="BL1085" t="s">
        <v>719</v>
      </c>
      <c r="BM1085" t="s">
        <v>159</v>
      </c>
    </row>
    <row r="1086" spans="1:65" x14ac:dyDescent="0.25">
      <c r="A1086">
        <v>1084</v>
      </c>
      <c r="B1086" t="s">
        <v>1373</v>
      </c>
      <c r="C1086" t="s">
        <v>1374</v>
      </c>
      <c r="D1086" s="1">
        <v>46216</v>
      </c>
      <c r="E1086" t="s">
        <v>1375</v>
      </c>
      <c r="F1086" t="s">
        <v>1376</v>
      </c>
      <c r="G1086" t="s">
        <v>295</v>
      </c>
      <c r="H1086" t="s">
        <v>296</v>
      </c>
      <c r="I1086" t="s">
        <v>71</v>
      </c>
      <c r="J1086" t="s">
        <v>72</v>
      </c>
      <c r="K1086" t="s">
        <v>73</v>
      </c>
      <c r="L1086" t="s">
        <v>74</v>
      </c>
      <c r="M1086" t="s">
        <v>1021</v>
      </c>
      <c r="N1086" t="s">
        <v>76</v>
      </c>
      <c r="O1086" t="s">
        <v>1022</v>
      </c>
      <c r="P1086" t="s">
        <v>1023</v>
      </c>
      <c r="Q1086" t="s">
        <v>1377</v>
      </c>
      <c r="R1086" s="1">
        <v>46213</v>
      </c>
      <c r="S1086" t="s">
        <v>841</v>
      </c>
      <c r="T1086" t="s">
        <v>842</v>
      </c>
      <c r="U1086" t="s">
        <v>843</v>
      </c>
      <c r="V1086" t="s">
        <v>66</v>
      </c>
      <c r="W1086" t="s">
        <v>66</v>
      </c>
      <c r="X1086">
        <v>385140</v>
      </c>
      <c r="Y1086">
        <v>42365.4</v>
      </c>
      <c r="Z1086">
        <v>33516</v>
      </c>
      <c r="AA1086">
        <v>3686.76</v>
      </c>
      <c r="AB1086">
        <v>427505.4</v>
      </c>
      <c r="AC1086">
        <v>6</v>
      </c>
      <c r="AD1086" t="s">
        <v>82</v>
      </c>
      <c r="AE1086">
        <v>6</v>
      </c>
      <c r="AF1086" t="s">
        <v>90</v>
      </c>
      <c r="AG1086">
        <f>IFERROR(VLOOKUP(AF1086,[1]STOK!J:O,6,0),"")</f>
        <v>48</v>
      </c>
      <c r="AH1086" s="2">
        <f t="shared" si="32"/>
        <v>0.125</v>
      </c>
      <c r="AI1086" t="s">
        <v>90</v>
      </c>
      <c r="AJ1086" t="s">
        <v>91</v>
      </c>
      <c r="AK1086" t="s">
        <v>92</v>
      </c>
      <c r="AL1086" t="s">
        <v>86</v>
      </c>
      <c r="AM1086">
        <v>6327</v>
      </c>
      <c r="AN1086">
        <f t="shared" si="33"/>
        <v>6200.46</v>
      </c>
      <c r="AO1086" t="s">
        <v>66</v>
      </c>
      <c r="AP1086">
        <v>2</v>
      </c>
      <c r="AQ1086" t="s">
        <v>66</v>
      </c>
      <c r="AR1086">
        <v>0</v>
      </c>
      <c r="AS1086" t="s">
        <v>66</v>
      </c>
      <c r="AT1086">
        <v>0</v>
      </c>
      <c r="AU1086" t="s">
        <v>66</v>
      </c>
      <c r="AV1086">
        <v>0</v>
      </c>
      <c r="AW1086" t="s">
        <v>66</v>
      </c>
      <c r="AX1086">
        <v>0</v>
      </c>
      <c r="AY1086" t="s">
        <v>66</v>
      </c>
      <c r="AZ1086">
        <v>0</v>
      </c>
      <c r="BA1086" t="s">
        <v>66</v>
      </c>
      <c r="BB1086">
        <v>0</v>
      </c>
      <c r="BC1086">
        <v>0</v>
      </c>
      <c r="BD1086">
        <v>37202.76</v>
      </c>
      <c r="BE1086">
        <v>5043.8999999999996</v>
      </c>
      <c r="BF1086">
        <v>0</v>
      </c>
      <c r="BG1086" t="s">
        <v>87</v>
      </c>
      <c r="BH1086" t="s">
        <v>66</v>
      </c>
      <c r="BI1086">
        <v>0</v>
      </c>
      <c r="BJ1086" t="s">
        <v>66</v>
      </c>
      <c r="BK1086" t="s">
        <v>88</v>
      </c>
      <c r="BL1086" t="s">
        <v>719</v>
      </c>
      <c r="BM1086" t="s">
        <v>159</v>
      </c>
    </row>
    <row r="1087" spans="1:65" x14ac:dyDescent="0.25">
      <c r="A1087">
        <v>1085</v>
      </c>
      <c r="B1087" t="s">
        <v>1373</v>
      </c>
      <c r="C1087" t="s">
        <v>1374</v>
      </c>
      <c r="D1087" s="1">
        <v>46216</v>
      </c>
      <c r="E1087" t="s">
        <v>1375</v>
      </c>
      <c r="F1087" t="s">
        <v>1376</v>
      </c>
      <c r="G1087" t="s">
        <v>295</v>
      </c>
      <c r="H1087" t="s">
        <v>296</v>
      </c>
      <c r="I1087" t="s">
        <v>71</v>
      </c>
      <c r="J1087" t="s">
        <v>72</v>
      </c>
      <c r="K1087" t="s">
        <v>73</v>
      </c>
      <c r="L1087" t="s">
        <v>74</v>
      </c>
      <c r="M1087" t="s">
        <v>1021</v>
      </c>
      <c r="N1087" t="s">
        <v>76</v>
      </c>
      <c r="O1087" t="s">
        <v>1022</v>
      </c>
      <c r="P1087" t="s">
        <v>1023</v>
      </c>
      <c r="Q1087" t="s">
        <v>1377</v>
      </c>
      <c r="R1087" s="1">
        <v>46213</v>
      </c>
      <c r="S1087" t="s">
        <v>841</v>
      </c>
      <c r="T1087" t="s">
        <v>842</v>
      </c>
      <c r="U1087" t="s">
        <v>843</v>
      </c>
      <c r="V1087" t="s">
        <v>66</v>
      </c>
      <c r="W1087" t="s">
        <v>66</v>
      </c>
      <c r="X1087">
        <v>385140</v>
      </c>
      <c r="Y1087">
        <v>42365.4</v>
      </c>
      <c r="Z1087">
        <v>160524</v>
      </c>
      <c r="AA1087">
        <v>17657.64</v>
      </c>
      <c r="AB1087">
        <v>427505.4</v>
      </c>
      <c r="AC1087">
        <v>6</v>
      </c>
      <c r="AD1087" t="s">
        <v>82</v>
      </c>
      <c r="AE1087">
        <v>6</v>
      </c>
      <c r="AF1087" t="s">
        <v>563</v>
      </c>
      <c r="AG1087">
        <f>IFERROR(VLOOKUP(AF1087,[1]STOK!J:O,6,0),"")</f>
        <v>12</v>
      </c>
      <c r="AH1087" s="2">
        <f t="shared" si="32"/>
        <v>0.5</v>
      </c>
      <c r="AI1087" t="s">
        <v>563</v>
      </c>
      <c r="AJ1087" t="s">
        <v>564</v>
      </c>
      <c r="AK1087" t="s">
        <v>565</v>
      </c>
      <c r="AL1087" t="s">
        <v>86</v>
      </c>
      <c r="AM1087">
        <v>30303</v>
      </c>
      <c r="AN1087">
        <f t="shared" si="33"/>
        <v>29696.940000000002</v>
      </c>
      <c r="AO1087" t="s">
        <v>66</v>
      </c>
      <c r="AP1087">
        <v>2</v>
      </c>
      <c r="AQ1087" t="s">
        <v>66</v>
      </c>
      <c r="AR1087">
        <v>0</v>
      </c>
      <c r="AS1087" t="s">
        <v>66</v>
      </c>
      <c r="AT1087">
        <v>0</v>
      </c>
      <c r="AU1087" t="s">
        <v>66</v>
      </c>
      <c r="AV1087">
        <v>0</v>
      </c>
      <c r="AW1087" t="s">
        <v>66</v>
      </c>
      <c r="AX1087">
        <v>0</v>
      </c>
      <c r="AY1087" t="s">
        <v>66</v>
      </c>
      <c r="AZ1087">
        <v>0</v>
      </c>
      <c r="BA1087" t="s">
        <v>66</v>
      </c>
      <c r="BB1087">
        <v>0</v>
      </c>
      <c r="BC1087">
        <v>0</v>
      </c>
      <c r="BD1087">
        <v>178181.64</v>
      </c>
      <c r="BE1087">
        <v>24692.69</v>
      </c>
      <c r="BF1087">
        <v>0</v>
      </c>
      <c r="BG1087" t="s">
        <v>87</v>
      </c>
      <c r="BH1087" t="s">
        <v>66</v>
      </c>
      <c r="BI1087">
        <v>0</v>
      </c>
      <c r="BJ1087" t="s">
        <v>66</v>
      </c>
      <c r="BK1087" t="s">
        <v>88</v>
      </c>
      <c r="BL1087" t="s">
        <v>719</v>
      </c>
      <c r="BM1087" t="s">
        <v>159</v>
      </c>
    </row>
    <row r="1088" spans="1:65" x14ac:dyDescent="0.25">
      <c r="A1088">
        <v>1086</v>
      </c>
      <c r="B1088" t="s">
        <v>1373</v>
      </c>
      <c r="C1088" t="s">
        <v>1374</v>
      </c>
      <c r="D1088" s="1">
        <v>46216</v>
      </c>
      <c r="E1088" t="s">
        <v>1375</v>
      </c>
      <c r="F1088" t="s">
        <v>1376</v>
      </c>
      <c r="G1088" t="s">
        <v>295</v>
      </c>
      <c r="H1088" t="s">
        <v>296</v>
      </c>
      <c r="I1088" t="s">
        <v>71</v>
      </c>
      <c r="J1088" t="s">
        <v>72</v>
      </c>
      <c r="K1088" t="s">
        <v>73</v>
      </c>
      <c r="L1088" t="s">
        <v>74</v>
      </c>
      <c r="M1088" t="s">
        <v>1021</v>
      </c>
      <c r="N1088" t="s">
        <v>76</v>
      </c>
      <c r="O1088" t="s">
        <v>1022</v>
      </c>
      <c r="P1088" t="s">
        <v>1023</v>
      </c>
      <c r="Q1088" t="s">
        <v>1377</v>
      </c>
      <c r="R1088" s="1">
        <v>46213</v>
      </c>
      <c r="S1088" t="s">
        <v>841</v>
      </c>
      <c r="T1088" t="s">
        <v>842</v>
      </c>
      <c r="U1088" t="s">
        <v>843</v>
      </c>
      <c r="V1088" t="s">
        <v>66</v>
      </c>
      <c r="W1088" t="s">
        <v>66</v>
      </c>
      <c r="X1088">
        <v>385140</v>
      </c>
      <c r="Y1088">
        <v>42365.4</v>
      </c>
      <c r="Z1088">
        <v>58800</v>
      </c>
      <c r="AA1088">
        <v>6468</v>
      </c>
      <c r="AB1088">
        <v>427505.4</v>
      </c>
      <c r="AC1088">
        <v>3</v>
      </c>
      <c r="AD1088" t="s">
        <v>82</v>
      </c>
      <c r="AE1088">
        <v>3</v>
      </c>
      <c r="AF1088" t="s">
        <v>290</v>
      </c>
      <c r="AG1088">
        <f>IFERROR(VLOOKUP(AF1088,[1]STOK!J:O,6,0),"")</f>
        <v>12</v>
      </c>
      <c r="AH1088" s="2">
        <f t="shared" si="32"/>
        <v>0.25</v>
      </c>
      <c r="AI1088" t="s">
        <v>290</v>
      </c>
      <c r="AJ1088" t="s">
        <v>291</v>
      </c>
      <c r="AK1088" t="s">
        <v>292</v>
      </c>
      <c r="AL1088" t="s">
        <v>86</v>
      </c>
      <c r="AM1088">
        <v>22200</v>
      </c>
      <c r="AN1088">
        <f t="shared" si="33"/>
        <v>21756</v>
      </c>
      <c r="AO1088" t="s">
        <v>66</v>
      </c>
      <c r="AP1088">
        <v>2</v>
      </c>
      <c r="AQ1088" t="s">
        <v>66</v>
      </c>
      <c r="AR1088">
        <v>0</v>
      </c>
      <c r="AS1088" t="s">
        <v>66</v>
      </c>
      <c r="AT1088">
        <v>0</v>
      </c>
      <c r="AU1088" t="s">
        <v>66</v>
      </c>
      <c r="AV1088">
        <v>0</v>
      </c>
      <c r="AW1088" t="s">
        <v>66</v>
      </c>
      <c r="AX1088">
        <v>0</v>
      </c>
      <c r="AY1088" t="s">
        <v>66</v>
      </c>
      <c r="AZ1088">
        <v>0</v>
      </c>
      <c r="BA1088" t="s">
        <v>66</v>
      </c>
      <c r="BB1088">
        <v>0</v>
      </c>
      <c r="BC1088">
        <v>0</v>
      </c>
      <c r="BD1088">
        <v>65268</v>
      </c>
      <c r="BE1088">
        <v>18103.099999999999</v>
      </c>
      <c r="BF1088">
        <v>0</v>
      </c>
      <c r="BG1088" t="s">
        <v>87</v>
      </c>
      <c r="BH1088" t="s">
        <v>66</v>
      </c>
      <c r="BI1088">
        <v>0</v>
      </c>
      <c r="BJ1088" t="s">
        <v>66</v>
      </c>
      <c r="BK1088" t="s">
        <v>88</v>
      </c>
      <c r="BL1088" t="s">
        <v>719</v>
      </c>
      <c r="BM1088" t="s">
        <v>159</v>
      </c>
    </row>
    <row r="1089" spans="1:65" x14ac:dyDescent="0.25">
      <c r="A1089">
        <v>1087</v>
      </c>
      <c r="B1089" t="s">
        <v>1373</v>
      </c>
      <c r="C1089" t="s">
        <v>1374</v>
      </c>
      <c r="D1089" s="1">
        <v>46216</v>
      </c>
      <c r="E1089" t="s">
        <v>1375</v>
      </c>
      <c r="F1089" t="s">
        <v>1376</v>
      </c>
      <c r="G1089" t="s">
        <v>295</v>
      </c>
      <c r="H1089" t="s">
        <v>296</v>
      </c>
      <c r="I1089" t="s">
        <v>71</v>
      </c>
      <c r="J1089" t="s">
        <v>72</v>
      </c>
      <c r="K1089" t="s">
        <v>73</v>
      </c>
      <c r="L1089" t="s">
        <v>74</v>
      </c>
      <c r="M1089" t="s">
        <v>1021</v>
      </c>
      <c r="N1089" t="s">
        <v>76</v>
      </c>
      <c r="O1089" t="s">
        <v>1022</v>
      </c>
      <c r="P1089" t="s">
        <v>1023</v>
      </c>
      <c r="Q1089" t="s">
        <v>1377</v>
      </c>
      <c r="R1089" s="1">
        <v>46213</v>
      </c>
      <c r="S1089" t="s">
        <v>841</v>
      </c>
      <c r="T1089" t="s">
        <v>842</v>
      </c>
      <c r="U1089" t="s">
        <v>843</v>
      </c>
      <c r="V1089" t="s">
        <v>66</v>
      </c>
      <c r="W1089" t="s">
        <v>66</v>
      </c>
      <c r="X1089">
        <v>385140</v>
      </c>
      <c r="Y1089">
        <v>42365.4</v>
      </c>
      <c r="Z1089">
        <v>58800</v>
      </c>
      <c r="AA1089">
        <v>6468</v>
      </c>
      <c r="AB1089">
        <v>427505.4</v>
      </c>
      <c r="AC1089">
        <v>3</v>
      </c>
      <c r="AD1089" t="s">
        <v>82</v>
      </c>
      <c r="AE1089">
        <v>3</v>
      </c>
      <c r="AF1089" t="s">
        <v>102</v>
      </c>
      <c r="AG1089">
        <f>IFERROR(VLOOKUP(AF1089,[1]STOK!J:O,6,0),"")</f>
        <v>12</v>
      </c>
      <c r="AH1089" s="2">
        <f t="shared" si="32"/>
        <v>0.25</v>
      </c>
      <c r="AI1089" t="s">
        <v>102</v>
      </c>
      <c r="AJ1089" t="s">
        <v>103</v>
      </c>
      <c r="AK1089" t="s">
        <v>104</v>
      </c>
      <c r="AL1089" t="s">
        <v>86</v>
      </c>
      <c r="AM1089">
        <v>22200</v>
      </c>
      <c r="AN1089">
        <f t="shared" si="33"/>
        <v>21756</v>
      </c>
      <c r="AO1089" t="s">
        <v>66</v>
      </c>
      <c r="AP1089">
        <v>2</v>
      </c>
      <c r="AQ1089" t="s">
        <v>66</v>
      </c>
      <c r="AR1089">
        <v>0</v>
      </c>
      <c r="AS1089" t="s">
        <v>66</v>
      </c>
      <c r="AT1089">
        <v>0</v>
      </c>
      <c r="AU1089" t="s">
        <v>66</v>
      </c>
      <c r="AV1089">
        <v>0</v>
      </c>
      <c r="AW1089" t="s">
        <v>66</v>
      </c>
      <c r="AX1089">
        <v>0</v>
      </c>
      <c r="AY1089" t="s">
        <v>66</v>
      </c>
      <c r="AZ1089">
        <v>0</v>
      </c>
      <c r="BA1089" t="s">
        <v>66</v>
      </c>
      <c r="BB1089">
        <v>0</v>
      </c>
      <c r="BC1089">
        <v>0</v>
      </c>
      <c r="BD1089">
        <v>65268</v>
      </c>
      <c r="BE1089">
        <v>18091.240000000002</v>
      </c>
      <c r="BF1089">
        <v>0</v>
      </c>
      <c r="BG1089" t="s">
        <v>87</v>
      </c>
      <c r="BH1089" t="s">
        <v>66</v>
      </c>
      <c r="BI1089">
        <v>0</v>
      </c>
      <c r="BJ1089" t="s">
        <v>66</v>
      </c>
      <c r="BK1089" t="s">
        <v>88</v>
      </c>
      <c r="BL1089" t="s">
        <v>719</v>
      </c>
      <c r="BM1089" t="s">
        <v>159</v>
      </c>
    </row>
    <row r="1090" spans="1:65" x14ac:dyDescent="0.25">
      <c r="A1090">
        <v>1088</v>
      </c>
      <c r="B1090" t="s">
        <v>1378</v>
      </c>
      <c r="C1090" t="s">
        <v>1379</v>
      </c>
      <c r="D1090" s="1">
        <v>46216</v>
      </c>
      <c r="E1090" t="s">
        <v>1380</v>
      </c>
      <c r="F1090" t="s">
        <v>1381</v>
      </c>
      <c r="G1090" t="s">
        <v>295</v>
      </c>
      <c r="H1090" t="s">
        <v>296</v>
      </c>
      <c r="I1090" t="s">
        <v>71</v>
      </c>
      <c r="J1090" t="s">
        <v>72</v>
      </c>
      <c r="K1090" t="s">
        <v>73</v>
      </c>
      <c r="L1090" t="s">
        <v>74</v>
      </c>
      <c r="M1090" t="s">
        <v>853</v>
      </c>
      <c r="N1090" t="s">
        <v>76</v>
      </c>
      <c r="O1090" t="s">
        <v>854</v>
      </c>
      <c r="P1090" t="s">
        <v>855</v>
      </c>
      <c r="Q1090" t="s">
        <v>1382</v>
      </c>
      <c r="R1090" s="1">
        <v>46212</v>
      </c>
      <c r="S1090" t="s">
        <v>841</v>
      </c>
      <c r="T1090" t="s">
        <v>842</v>
      </c>
      <c r="U1090" t="s">
        <v>843</v>
      </c>
      <c r="V1090" t="s">
        <v>66</v>
      </c>
      <c r="W1090" t="s">
        <v>66</v>
      </c>
      <c r="X1090">
        <v>1959510</v>
      </c>
      <c r="Y1090">
        <v>215546.1</v>
      </c>
      <c r="Z1090">
        <v>108192</v>
      </c>
      <c r="AA1090">
        <v>11901.12</v>
      </c>
      <c r="AB1090">
        <v>2175056.1</v>
      </c>
      <c r="AC1090">
        <v>6</v>
      </c>
      <c r="AD1090" t="s">
        <v>82</v>
      </c>
      <c r="AE1090">
        <v>6</v>
      </c>
      <c r="AF1090" t="s">
        <v>720</v>
      </c>
      <c r="AG1090">
        <f>IFERROR(VLOOKUP(AF1090,[1]STOK!J:O,6,0),"")</f>
        <v>12</v>
      </c>
      <c r="AH1090" s="2">
        <f t="shared" si="32"/>
        <v>0.5</v>
      </c>
      <c r="AI1090" t="s">
        <v>720</v>
      </c>
      <c r="AJ1090" t="s">
        <v>721</v>
      </c>
      <c r="AK1090" t="s">
        <v>722</v>
      </c>
      <c r="AL1090" t="s">
        <v>86</v>
      </c>
      <c r="AM1090">
        <v>20424</v>
      </c>
      <c r="AN1090">
        <f t="shared" si="33"/>
        <v>20015.52</v>
      </c>
      <c r="AO1090" t="s">
        <v>66</v>
      </c>
      <c r="AP1090">
        <v>2</v>
      </c>
      <c r="AQ1090" t="s">
        <v>66</v>
      </c>
      <c r="AR1090">
        <v>0</v>
      </c>
      <c r="AS1090" t="s">
        <v>66</v>
      </c>
      <c r="AT1090">
        <v>0</v>
      </c>
      <c r="AU1090" t="s">
        <v>66</v>
      </c>
      <c r="AV1090">
        <v>0</v>
      </c>
      <c r="AW1090" t="s">
        <v>66</v>
      </c>
      <c r="AX1090">
        <v>0</v>
      </c>
      <c r="AY1090" t="s">
        <v>66</v>
      </c>
      <c r="AZ1090">
        <v>0</v>
      </c>
      <c r="BA1090" t="s">
        <v>66</v>
      </c>
      <c r="BB1090">
        <v>0</v>
      </c>
      <c r="BC1090">
        <v>0</v>
      </c>
      <c r="BD1090">
        <v>120093.12</v>
      </c>
      <c r="BE1090">
        <v>16647.18</v>
      </c>
      <c r="BF1090">
        <v>0</v>
      </c>
      <c r="BG1090" t="s">
        <v>87</v>
      </c>
      <c r="BH1090" t="s">
        <v>66</v>
      </c>
      <c r="BI1090">
        <v>0</v>
      </c>
      <c r="BJ1090" t="s">
        <v>66</v>
      </c>
      <c r="BK1090" t="s">
        <v>88</v>
      </c>
      <c r="BL1090" t="s">
        <v>719</v>
      </c>
      <c r="BM1090" t="s">
        <v>159</v>
      </c>
    </row>
    <row r="1091" spans="1:65" x14ac:dyDescent="0.25">
      <c r="A1091">
        <v>1089</v>
      </c>
      <c r="B1091" t="s">
        <v>1378</v>
      </c>
      <c r="C1091" t="s">
        <v>1379</v>
      </c>
      <c r="D1091" s="1">
        <v>46216</v>
      </c>
      <c r="E1091" t="s">
        <v>1380</v>
      </c>
      <c r="F1091" t="s">
        <v>1381</v>
      </c>
      <c r="G1091" t="s">
        <v>295</v>
      </c>
      <c r="H1091" t="s">
        <v>296</v>
      </c>
      <c r="I1091" t="s">
        <v>71</v>
      </c>
      <c r="J1091" t="s">
        <v>72</v>
      </c>
      <c r="K1091" t="s">
        <v>73</v>
      </c>
      <c r="L1091" t="s">
        <v>74</v>
      </c>
      <c r="M1091" t="s">
        <v>853</v>
      </c>
      <c r="N1091" t="s">
        <v>76</v>
      </c>
      <c r="O1091" t="s">
        <v>854</v>
      </c>
      <c r="P1091" t="s">
        <v>855</v>
      </c>
      <c r="Q1091" t="s">
        <v>1382</v>
      </c>
      <c r="R1091" s="1">
        <v>46212</v>
      </c>
      <c r="S1091" t="s">
        <v>841</v>
      </c>
      <c r="T1091" t="s">
        <v>842</v>
      </c>
      <c r="U1091" t="s">
        <v>843</v>
      </c>
      <c r="V1091" t="s">
        <v>66</v>
      </c>
      <c r="W1091" t="s">
        <v>66</v>
      </c>
      <c r="X1091">
        <v>1959510</v>
      </c>
      <c r="Y1091">
        <v>215546.1</v>
      </c>
      <c r="Z1091">
        <v>108192</v>
      </c>
      <c r="AA1091">
        <v>11901.12</v>
      </c>
      <c r="AB1091">
        <v>2175056.1</v>
      </c>
      <c r="AC1091">
        <v>6</v>
      </c>
      <c r="AD1091" t="s">
        <v>82</v>
      </c>
      <c r="AE1091">
        <v>6</v>
      </c>
      <c r="AF1091" t="s">
        <v>116</v>
      </c>
      <c r="AG1091">
        <f>IFERROR(VLOOKUP(AF1091,[1]STOK!J:O,6,0),"")</f>
        <v>12</v>
      </c>
      <c r="AH1091" s="2">
        <f t="shared" si="32"/>
        <v>0.5</v>
      </c>
      <c r="AI1091" t="s">
        <v>116</v>
      </c>
      <c r="AJ1091" t="s">
        <v>117</v>
      </c>
      <c r="AK1091" t="s">
        <v>118</v>
      </c>
      <c r="AL1091" t="s">
        <v>86</v>
      </c>
      <c r="AM1091">
        <v>20424</v>
      </c>
      <c r="AN1091">
        <f t="shared" si="33"/>
        <v>20015.52</v>
      </c>
      <c r="AO1091" t="s">
        <v>66</v>
      </c>
      <c r="AP1091">
        <v>2</v>
      </c>
      <c r="AQ1091" t="s">
        <v>66</v>
      </c>
      <c r="AR1091">
        <v>0</v>
      </c>
      <c r="AS1091" t="s">
        <v>66</v>
      </c>
      <c r="AT1091">
        <v>0</v>
      </c>
      <c r="AU1091" t="s">
        <v>66</v>
      </c>
      <c r="AV1091">
        <v>0</v>
      </c>
      <c r="AW1091" t="s">
        <v>66</v>
      </c>
      <c r="AX1091">
        <v>0</v>
      </c>
      <c r="AY1091" t="s">
        <v>66</v>
      </c>
      <c r="AZ1091">
        <v>0</v>
      </c>
      <c r="BA1091" t="s">
        <v>66</v>
      </c>
      <c r="BB1091">
        <v>0</v>
      </c>
      <c r="BC1091">
        <v>0</v>
      </c>
      <c r="BD1091">
        <v>120093.12</v>
      </c>
      <c r="BE1091">
        <v>16645.46</v>
      </c>
      <c r="BF1091">
        <v>0</v>
      </c>
      <c r="BG1091" t="s">
        <v>87</v>
      </c>
      <c r="BH1091" t="s">
        <v>66</v>
      </c>
      <c r="BI1091">
        <v>0</v>
      </c>
      <c r="BJ1091" t="s">
        <v>66</v>
      </c>
      <c r="BK1091" t="s">
        <v>88</v>
      </c>
      <c r="BL1091" t="s">
        <v>719</v>
      </c>
      <c r="BM1091" t="s">
        <v>159</v>
      </c>
    </row>
    <row r="1092" spans="1:65" x14ac:dyDescent="0.25">
      <c r="A1092">
        <v>1090</v>
      </c>
      <c r="B1092" t="s">
        <v>1378</v>
      </c>
      <c r="C1092" t="s">
        <v>1379</v>
      </c>
      <c r="D1092" s="1">
        <v>46216</v>
      </c>
      <c r="E1092" t="s">
        <v>1380</v>
      </c>
      <c r="F1092" t="s">
        <v>1381</v>
      </c>
      <c r="G1092" t="s">
        <v>295</v>
      </c>
      <c r="H1092" t="s">
        <v>296</v>
      </c>
      <c r="I1092" t="s">
        <v>71</v>
      </c>
      <c r="J1092" t="s">
        <v>72</v>
      </c>
      <c r="K1092" t="s">
        <v>73</v>
      </c>
      <c r="L1092" t="s">
        <v>74</v>
      </c>
      <c r="M1092" t="s">
        <v>853</v>
      </c>
      <c r="N1092" t="s">
        <v>76</v>
      </c>
      <c r="O1092" t="s">
        <v>854</v>
      </c>
      <c r="P1092" t="s">
        <v>855</v>
      </c>
      <c r="Q1092" t="s">
        <v>1382</v>
      </c>
      <c r="R1092" s="1">
        <v>46212</v>
      </c>
      <c r="S1092" t="s">
        <v>841</v>
      </c>
      <c r="T1092" t="s">
        <v>842</v>
      </c>
      <c r="U1092" t="s">
        <v>843</v>
      </c>
      <c r="V1092" t="s">
        <v>66</v>
      </c>
      <c r="W1092" t="s">
        <v>66</v>
      </c>
      <c r="X1092">
        <v>1959510</v>
      </c>
      <c r="Y1092">
        <v>215546.1</v>
      </c>
      <c r="Z1092">
        <v>43512</v>
      </c>
      <c r="AA1092">
        <v>4786.32</v>
      </c>
      <c r="AB1092">
        <v>2175056.1</v>
      </c>
      <c r="AC1092">
        <v>6</v>
      </c>
      <c r="AD1092" t="s">
        <v>82</v>
      </c>
      <c r="AE1092">
        <v>6</v>
      </c>
      <c r="AF1092" t="s">
        <v>262</v>
      </c>
      <c r="AG1092">
        <f>IFERROR(VLOOKUP(AF1092,[1]STOK!J:O,6,0),"")</f>
        <v>24</v>
      </c>
      <c r="AH1092" s="2">
        <f t="shared" ref="AH1092:AH1155" si="34">AE1092/AG1092</f>
        <v>0.25</v>
      </c>
      <c r="AI1092" t="s">
        <v>262</v>
      </c>
      <c r="AJ1092" t="s">
        <v>263</v>
      </c>
      <c r="AK1092" t="s">
        <v>264</v>
      </c>
      <c r="AL1092" t="s">
        <v>86</v>
      </c>
      <c r="AM1092">
        <v>8214</v>
      </c>
      <c r="AN1092">
        <f t="shared" ref="AN1092:AN1155" si="35">BD1092/AC1092</f>
        <v>8049.72</v>
      </c>
      <c r="AO1092" t="s">
        <v>66</v>
      </c>
      <c r="AP1092">
        <v>2</v>
      </c>
      <c r="AQ1092" t="s">
        <v>66</v>
      </c>
      <c r="AR1092">
        <v>0</v>
      </c>
      <c r="AS1092" t="s">
        <v>66</v>
      </c>
      <c r="AT1092">
        <v>0</v>
      </c>
      <c r="AU1092" t="s">
        <v>66</v>
      </c>
      <c r="AV1092">
        <v>0</v>
      </c>
      <c r="AW1092" t="s">
        <v>66</v>
      </c>
      <c r="AX1092">
        <v>0</v>
      </c>
      <c r="AY1092" t="s">
        <v>66</v>
      </c>
      <c r="AZ1092">
        <v>0</v>
      </c>
      <c r="BA1092" t="s">
        <v>66</v>
      </c>
      <c r="BB1092">
        <v>0</v>
      </c>
      <c r="BC1092">
        <v>0</v>
      </c>
      <c r="BD1092">
        <v>48298.32</v>
      </c>
      <c r="BE1092">
        <v>6696.42</v>
      </c>
      <c r="BF1092">
        <v>0</v>
      </c>
      <c r="BG1092" t="s">
        <v>87</v>
      </c>
      <c r="BH1092" t="s">
        <v>66</v>
      </c>
      <c r="BI1092">
        <v>0</v>
      </c>
      <c r="BJ1092" t="s">
        <v>66</v>
      </c>
      <c r="BK1092" t="s">
        <v>88</v>
      </c>
      <c r="BL1092" t="s">
        <v>719</v>
      </c>
      <c r="BM1092" t="s">
        <v>159</v>
      </c>
    </row>
    <row r="1093" spans="1:65" x14ac:dyDescent="0.25">
      <c r="A1093">
        <v>1091</v>
      </c>
      <c r="B1093" t="s">
        <v>1378</v>
      </c>
      <c r="C1093" t="s">
        <v>1379</v>
      </c>
      <c r="D1093" s="1">
        <v>46216</v>
      </c>
      <c r="E1093" t="s">
        <v>1380</v>
      </c>
      <c r="F1093" t="s">
        <v>1381</v>
      </c>
      <c r="G1093" t="s">
        <v>295</v>
      </c>
      <c r="H1093" t="s">
        <v>296</v>
      </c>
      <c r="I1093" t="s">
        <v>71</v>
      </c>
      <c r="J1093" t="s">
        <v>72</v>
      </c>
      <c r="K1093" t="s">
        <v>73</v>
      </c>
      <c r="L1093" t="s">
        <v>74</v>
      </c>
      <c r="M1093" t="s">
        <v>853</v>
      </c>
      <c r="N1093" t="s">
        <v>76</v>
      </c>
      <c r="O1093" t="s">
        <v>854</v>
      </c>
      <c r="P1093" t="s">
        <v>855</v>
      </c>
      <c r="Q1093" t="s">
        <v>1382</v>
      </c>
      <c r="R1093" s="1">
        <v>46212</v>
      </c>
      <c r="S1093" t="s">
        <v>841</v>
      </c>
      <c r="T1093" t="s">
        <v>842</v>
      </c>
      <c r="U1093" t="s">
        <v>843</v>
      </c>
      <c r="V1093" t="s">
        <v>66</v>
      </c>
      <c r="W1093" t="s">
        <v>66</v>
      </c>
      <c r="X1093">
        <v>1959510</v>
      </c>
      <c r="Y1093">
        <v>215546.1</v>
      </c>
      <c r="Z1093">
        <v>43512</v>
      </c>
      <c r="AA1093">
        <v>4786.32</v>
      </c>
      <c r="AB1093">
        <v>2175056.1</v>
      </c>
      <c r="AC1093">
        <v>6</v>
      </c>
      <c r="AD1093" t="s">
        <v>82</v>
      </c>
      <c r="AE1093">
        <v>6</v>
      </c>
      <c r="AF1093" t="s">
        <v>265</v>
      </c>
      <c r="AG1093">
        <f>IFERROR(VLOOKUP(AF1093,[1]STOK!J:O,6,0),"")</f>
        <v>24</v>
      </c>
      <c r="AH1093" s="2">
        <f t="shared" si="34"/>
        <v>0.25</v>
      </c>
      <c r="AI1093" t="s">
        <v>265</v>
      </c>
      <c r="AJ1093" t="s">
        <v>266</v>
      </c>
      <c r="AK1093" t="s">
        <v>267</v>
      </c>
      <c r="AL1093" t="s">
        <v>86</v>
      </c>
      <c r="AM1093">
        <v>8214</v>
      </c>
      <c r="AN1093">
        <f t="shared" si="35"/>
        <v>8049.72</v>
      </c>
      <c r="AO1093" t="s">
        <v>66</v>
      </c>
      <c r="AP1093">
        <v>2</v>
      </c>
      <c r="AQ1093" t="s">
        <v>66</v>
      </c>
      <c r="AR1093">
        <v>0</v>
      </c>
      <c r="AS1093" t="s">
        <v>66</v>
      </c>
      <c r="AT1093">
        <v>0</v>
      </c>
      <c r="AU1093" t="s">
        <v>66</v>
      </c>
      <c r="AV1093">
        <v>0</v>
      </c>
      <c r="AW1093" t="s">
        <v>66</v>
      </c>
      <c r="AX1093">
        <v>0</v>
      </c>
      <c r="AY1093" t="s">
        <v>66</v>
      </c>
      <c r="AZ1093">
        <v>0</v>
      </c>
      <c r="BA1093" t="s">
        <v>66</v>
      </c>
      <c r="BB1093">
        <v>0</v>
      </c>
      <c r="BC1093">
        <v>0</v>
      </c>
      <c r="BD1093">
        <v>48298.32</v>
      </c>
      <c r="BE1093">
        <v>6682.25</v>
      </c>
      <c r="BF1093">
        <v>0</v>
      </c>
      <c r="BG1093" t="s">
        <v>87</v>
      </c>
      <c r="BH1093" t="s">
        <v>66</v>
      </c>
      <c r="BI1093">
        <v>0</v>
      </c>
      <c r="BJ1093" t="s">
        <v>66</v>
      </c>
      <c r="BK1093" t="s">
        <v>88</v>
      </c>
      <c r="BL1093" t="s">
        <v>719</v>
      </c>
      <c r="BM1093" t="s">
        <v>159</v>
      </c>
    </row>
    <row r="1094" spans="1:65" x14ac:dyDescent="0.25">
      <c r="A1094">
        <v>1092</v>
      </c>
      <c r="B1094" t="s">
        <v>1378</v>
      </c>
      <c r="C1094" t="s">
        <v>1379</v>
      </c>
      <c r="D1094" s="1">
        <v>46216</v>
      </c>
      <c r="E1094" t="s">
        <v>1380</v>
      </c>
      <c r="F1094" t="s">
        <v>1381</v>
      </c>
      <c r="G1094" t="s">
        <v>295</v>
      </c>
      <c r="H1094" t="s">
        <v>296</v>
      </c>
      <c r="I1094" t="s">
        <v>71</v>
      </c>
      <c r="J1094" t="s">
        <v>72</v>
      </c>
      <c r="K1094" t="s">
        <v>73</v>
      </c>
      <c r="L1094" t="s">
        <v>74</v>
      </c>
      <c r="M1094" t="s">
        <v>853</v>
      </c>
      <c r="N1094" t="s">
        <v>76</v>
      </c>
      <c r="O1094" t="s">
        <v>854</v>
      </c>
      <c r="P1094" t="s">
        <v>855</v>
      </c>
      <c r="Q1094" t="s">
        <v>1382</v>
      </c>
      <c r="R1094" s="1">
        <v>46212</v>
      </c>
      <c r="S1094" t="s">
        <v>841</v>
      </c>
      <c r="T1094" t="s">
        <v>842</v>
      </c>
      <c r="U1094" t="s">
        <v>843</v>
      </c>
      <c r="V1094" t="s">
        <v>66</v>
      </c>
      <c r="W1094" t="s">
        <v>66</v>
      </c>
      <c r="X1094">
        <v>1959510</v>
      </c>
      <c r="Y1094">
        <v>215546.1</v>
      </c>
      <c r="Z1094">
        <v>43512</v>
      </c>
      <c r="AA1094">
        <v>4786.32</v>
      </c>
      <c r="AB1094">
        <v>2175056.1</v>
      </c>
      <c r="AC1094">
        <v>6</v>
      </c>
      <c r="AD1094" t="s">
        <v>82</v>
      </c>
      <c r="AE1094">
        <v>6</v>
      </c>
      <c r="AF1094" t="s">
        <v>83</v>
      </c>
      <c r="AG1094">
        <f>IFERROR(VLOOKUP(AF1094,[1]STOK!J:O,6,0),"")</f>
        <v>24</v>
      </c>
      <c r="AH1094" s="2">
        <f t="shared" si="34"/>
        <v>0.25</v>
      </c>
      <c r="AI1094" t="s">
        <v>83</v>
      </c>
      <c r="AJ1094" t="s">
        <v>84</v>
      </c>
      <c r="AK1094" t="s">
        <v>85</v>
      </c>
      <c r="AL1094" t="s">
        <v>86</v>
      </c>
      <c r="AM1094">
        <v>8214</v>
      </c>
      <c r="AN1094">
        <f t="shared" si="35"/>
        <v>8049.72</v>
      </c>
      <c r="AO1094" t="s">
        <v>66</v>
      </c>
      <c r="AP1094">
        <v>2</v>
      </c>
      <c r="AQ1094" t="s">
        <v>66</v>
      </c>
      <c r="AR1094">
        <v>0</v>
      </c>
      <c r="AS1094" t="s">
        <v>66</v>
      </c>
      <c r="AT1094">
        <v>0</v>
      </c>
      <c r="AU1094" t="s">
        <v>66</v>
      </c>
      <c r="AV1094">
        <v>0</v>
      </c>
      <c r="AW1094" t="s">
        <v>66</v>
      </c>
      <c r="AX1094">
        <v>0</v>
      </c>
      <c r="AY1094" t="s">
        <v>66</v>
      </c>
      <c r="AZ1094">
        <v>0</v>
      </c>
      <c r="BA1094" t="s">
        <v>66</v>
      </c>
      <c r="BB1094">
        <v>0</v>
      </c>
      <c r="BC1094">
        <v>0</v>
      </c>
      <c r="BD1094">
        <v>48298.32</v>
      </c>
      <c r="BE1094">
        <v>6699.56</v>
      </c>
      <c r="BF1094">
        <v>0</v>
      </c>
      <c r="BG1094" t="s">
        <v>87</v>
      </c>
      <c r="BH1094" t="s">
        <v>66</v>
      </c>
      <c r="BI1094">
        <v>0</v>
      </c>
      <c r="BJ1094" t="s">
        <v>66</v>
      </c>
      <c r="BK1094" t="s">
        <v>88</v>
      </c>
      <c r="BL1094" t="s">
        <v>719</v>
      </c>
      <c r="BM1094" t="s">
        <v>159</v>
      </c>
    </row>
    <row r="1095" spans="1:65" x14ac:dyDescent="0.25">
      <c r="A1095">
        <v>1093</v>
      </c>
      <c r="B1095" t="s">
        <v>1378</v>
      </c>
      <c r="C1095" t="s">
        <v>1379</v>
      </c>
      <c r="D1095" s="1">
        <v>46216</v>
      </c>
      <c r="E1095" t="s">
        <v>1380</v>
      </c>
      <c r="F1095" t="s">
        <v>1381</v>
      </c>
      <c r="G1095" t="s">
        <v>295</v>
      </c>
      <c r="H1095" t="s">
        <v>296</v>
      </c>
      <c r="I1095" t="s">
        <v>71</v>
      </c>
      <c r="J1095" t="s">
        <v>72</v>
      </c>
      <c r="K1095" t="s">
        <v>73</v>
      </c>
      <c r="L1095" t="s">
        <v>74</v>
      </c>
      <c r="M1095" t="s">
        <v>853</v>
      </c>
      <c r="N1095" t="s">
        <v>76</v>
      </c>
      <c r="O1095" t="s">
        <v>854</v>
      </c>
      <c r="P1095" t="s">
        <v>855</v>
      </c>
      <c r="Q1095" t="s">
        <v>1382</v>
      </c>
      <c r="R1095" s="1">
        <v>46212</v>
      </c>
      <c r="S1095" t="s">
        <v>841</v>
      </c>
      <c r="T1095" t="s">
        <v>842</v>
      </c>
      <c r="U1095" t="s">
        <v>843</v>
      </c>
      <c r="V1095" t="s">
        <v>66</v>
      </c>
      <c r="W1095" t="s">
        <v>66</v>
      </c>
      <c r="X1095">
        <v>1959510</v>
      </c>
      <c r="Y1095">
        <v>215546.1</v>
      </c>
      <c r="Z1095">
        <v>29694</v>
      </c>
      <c r="AA1095">
        <v>3266.34</v>
      </c>
      <c r="AB1095">
        <v>2175056.1</v>
      </c>
      <c r="AC1095">
        <v>3</v>
      </c>
      <c r="AD1095" t="s">
        <v>82</v>
      </c>
      <c r="AE1095">
        <v>3</v>
      </c>
      <c r="AF1095" t="s">
        <v>857</v>
      </c>
      <c r="AG1095">
        <f>IFERROR(VLOOKUP(AF1095,[1]STOK!J:O,6,0),"")</f>
        <v>24</v>
      </c>
      <c r="AH1095" s="2">
        <f t="shared" si="34"/>
        <v>0.125</v>
      </c>
      <c r="AI1095" t="s">
        <v>857</v>
      </c>
      <c r="AJ1095" t="s">
        <v>858</v>
      </c>
      <c r="AK1095" t="s">
        <v>859</v>
      </c>
      <c r="AL1095" t="s">
        <v>86</v>
      </c>
      <c r="AM1095">
        <v>11211</v>
      </c>
      <c r="AN1095">
        <f t="shared" si="35"/>
        <v>10986.779999999999</v>
      </c>
      <c r="AO1095" t="s">
        <v>66</v>
      </c>
      <c r="AP1095">
        <v>2</v>
      </c>
      <c r="AQ1095" t="s">
        <v>66</v>
      </c>
      <c r="AR1095">
        <v>0</v>
      </c>
      <c r="AS1095" t="s">
        <v>66</v>
      </c>
      <c r="AT1095">
        <v>0</v>
      </c>
      <c r="AU1095" t="s">
        <v>66</v>
      </c>
      <c r="AV1095">
        <v>0</v>
      </c>
      <c r="AW1095" t="s">
        <v>66</v>
      </c>
      <c r="AX1095">
        <v>0</v>
      </c>
      <c r="AY1095" t="s">
        <v>66</v>
      </c>
      <c r="AZ1095">
        <v>0</v>
      </c>
      <c r="BA1095" t="s">
        <v>66</v>
      </c>
      <c r="BB1095">
        <v>0</v>
      </c>
      <c r="BC1095">
        <v>0</v>
      </c>
      <c r="BD1095">
        <v>32960.339999999997</v>
      </c>
      <c r="BE1095">
        <v>9046.9</v>
      </c>
      <c r="BF1095">
        <v>0</v>
      </c>
      <c r="BG1095" t="s">
        <v>87</v>
      </c>
      <c r="BH1095" t="s">
        <v>66</v>
      </c>
      <c r="BI1095">
        <v>0</v>
      </c>
      <c r="BJ1095" t="s">
        <v>66</v>
      </c>
      <c r="BK1095" t="s">
        <v>88</v>
      </c>
      <c r="BL1095" t="s">
        <v>719</v>
      </c>
      <c r="BM1095" t="s">
        <v>159</v>
      </c>
    </row>
    <row r="1096" spans="1:65" x14ac:dyDescent="0.25">
      <c r="A1096">
        <v>1094</v>
      </c>
      <c r="B1096" t="s">
        <v>1378</v>
      </c>
      <c r="C1096" t="s">
        <v>1379</v>
      </c>
      <c r="D1096" s="1">
        <v>46216</v>
      </c>
      <c r="E1096" t="s">
        <v>1380</v>
      </c>
      <c r="F1096" t="s">
        <v>1381</v>
      </c>
      <c r="G1096" t="s">
        <v>295</v>
      </c>
      <c r="H1096" t="s">
        <v>296</v>
      </c>
      <c r="I1096" t="s">
        <v>71</v>
      </c>
      <c r="J1096" t="s">
        <v>72</v>
      </c>
      <c r="K1096" t="s">
        <v>73</v>
      </c>
      <c r="L1096" t="s">
        <v>74</v>
      </c>
      <c r="M1096" t="s">
        <v>853</v>
      </c>
      <c r="N1096" t="s">
        <v>76</v>
      </c>
      <c r="O1096" t="s">
        <v>854</v>
      </c>
      <c r="P1096" t="s">
        <v>855</v>
      </c>
      <c r="Q1096" t="s">
        <v>1382</v>
      </c>
      <c r="R1096" s="1">
        <v>46212</v>
      </c>
      <c r="S1096" t="s">
        <v>841</v>
      </c>
      <c r="T1096" t="s">
        <v>842</v>
      </c>
      <c r="U1096" t="s">
        <v>843</v>
      </c>
      <c r="V1096" t="s">
        <v>66</v>
      </c>
      <c r="W1096" t="s">
        <v>66</v>
      </c>
      <c r="X1096">
        <v>1959510</v>
      </c>
      <c r="Y1096">
        <v>215546.1</v>
      </c>
      <c r="Z1096">
        <v>59388</v>
      </c>
      <c r="AA1096">
        <v>6532.68</v>
      </c>
      <c r="AB1096">
        <v>2175056.1</v>
      </c>
      <c r="AC1096">
        <v>6</v>
      </c>
      <c r="AD1096" t="s">
        <v>82</v>
      </c>
      <c r="AE1096">
        <v>6</v>
      </c>
      <c r="AF1096" t="s">
        <v>848</v>
      </c>
      <c r="AG1096">
        <f>IFERROR(VLOOKUP(AF1096,[1]STOK!J:O,6,0),"")</f>
        <v>24</v>
      </c>
      <c r="AH1096" s="2">
        <f t="shared" si="34"/>
        <v>0.25</v>
      </c>
      <c r="AI1096" t="s">
        <v>848</v>
      </c>
      <c r="AJ1096" t="s">
        <v>849</v>
      </c>
      <c r="AK1096" t="s">
        <v>850</v>
      </c>
      <c r="AL1096" t="s">
        <v>86</v>
      </c>
      <c r="AM1096">
        <v>11211</v>
      </c>
      <c r="AN1096">
        <f t="shared" si="35"/>
        <v>10986.779999999999</v>
      </c>
      <c r="AO1096" t="s">
        <v>66</v>
      </c>
      <c r="AP1096">
        <v>2</v>
      </c>
      <c r="AQ1096" t="s">
        <v>66</v>
      </c>
      <c r="AR1096">
        <v>0</v>
      </c>
      <c r="AS1096" t="s">
        <v>66</v>
      </c>
      <c r="AT1096">
        <v>0</v>
      </c>
      <c r="AU1096" t="s">
        <v>66</v>
      </c>
      <c r="AV1096">
        <v>0</v>
      </c>
      <c r="AW1096" t="s">
        <v>66</v>
      </c>
      <c r="AX1096">
        <v>0</v>
      </c>
      <c r="AY1096" t="s">
        <v>66</v>
      </c>
      <c r="AZ1096">
        <v>0</v>
      </c>
      <c r="BA1096" t="s">
        <v>66</v>
      </c>
      <c r="BB1096">
        <v>0</v>
      </c>
      <c r="BC1096">
        <v>0</v>
      </c>
      <c r="BD1096">
        <v>65920.679999999993</v>
      </c>
      <c r="BE1096">
        <v>9112.7999999999993</v>
      </c>
      <c r="BF1096">
        <v>0</v>
      </c>
      <c r="BG1096" t="s">
        <v>87</v>
      </c>
      <c r="BH1096" t="s">
        <v>66</v>
      </c>
      <c r="BI1096">
        <v>0</v>
      </c>
      <c r="BJ1096" t="s">
        <v>66</v>
      </c>
      <c r="BK1096" t="s">
        <v>88</v>
      </c>
      <c r="BL1096" t="s">
        <v>719</v>
      </c>
      <c r="BM1096" t="s">
        <v>159</v>
      </c>
    </row>
    <row r="1097" spans="1:65" x14ac:dyDescent="0.25">
      <c r="A1097">
        <v>1095</v>
      </c>
      <c r="B1097" t="s">
        <v>1378</v>
      </c>
      <c r="C1097" t="s">
        <v>1379</v>
      </c>
      <c r="D1097" s="1">
        <v>46216</v>
      </c>
      <c r="E1097" t="s">
        <v>1380</v>
      </c>
      <c r="F1097" t="s">
        <v>1381</v>
      </c>
      <c r="G1097" t="s">
        <v>295</v>
      </c>
      <c r="H1097" t="s">
        <v>296</v>
      </c>
      <c r="I1097" t="s">
        <v>71</v>
      </c>
      <c r="J1097" t="s">
        <v>72</v>
      </c>
      <c r="K1097" t="s">
        <v>73</v>
      </c>
      <c r="L1097" t="s">
        <v>74</v>
      </c>
      <c r="M1097" t="s">
        <v>853</v>
      </c>
      <c r="N1097" t="s">
        <v>76</v>
      </c>
      <c r="O1097" t="s">
        <v>854</v>
      </c>
      <c r="P1097" t="s">
        <v>855</v>
      </c>
      <c r="Q1097" t="s">
        <v>1382</v>
      </c>
      <c r="R1097" s="1">
        <v>46212</v>
      </c>
      <c r="S1097" t="s">
        <v>841</v>
      </c>
      <c r="T1097" t="s">
        <v>842</v>
      </c>
      <c r="U1097" t="s">
        <v>843</v>
      </c>
      <c r="V1097" t="s">
        <v>66</v>
      </c>
      <c r="W1097" t="s">
        <v>66</v>
      </c>
      <c r="X1097">
        <v>1959510</v>
      </c>
      <c r="Y1097">
        <v>215546.1</v>
      </c>
      <c r="Z1097">
        <v>46452</v>
      </c>
      <c r="AA1097">
        <v>5109.72</v>
      </c>
      <c r="AB1097">
        <v>2175056.1</v>
      </c>
      <c r="AC1097">
        <v>6</v>
      </c>
      <c r="AD1097" t="s">
        <v>82</v>
      </c>
      <c r="AE1097">
        <v>6</v>
      </c>
      <c r="AF1097" t="s">
        <v>248</v>
      </c>
      <c r="AG1097">
        <f>IFERROR(VLOOKUP(AF1097,[1]STOK!J:O,6,0),"")</f>
        <v>24</v>
      </c>
      <c r="AH1097" s="2">
        <f t="shared" si="34"/>
        <v>0.25</v>
      </c>
      <c r="AI1097" t="s">
        <v>248</v>
      </c>
      <c r="AJ1097" t="s">
        <v>249</v>
      </c>
      <c r="AK1097" t="s">
        <v>250</v>
      </c>
      <c r="AL1097" t="s">
        <v>86</v>
      </c>
      <c r="AM1097">
        <v>8769</v>
      </c>
      <c r="AN1097">
        <f t="shared" si="35"/>
        <v>8593.6200000000008</v>
      </c>
      <c r="AO1097" t="s">
        <v>66</v>
      </c>
      <c r="AP1097">
        <v>2</v>
      </c>
      <c r="AQ1097" t="s">
        <v>66</v>
      </c>
      <c r="AR1097">
        <v>0</v>
      </c>
      <c r="AS1097" t="s">
        <v>66</v>
      </c>
      <c r="AT1097">
        <v>0</v>
      </c>
      <c r="AU1097" t="s">
        <v>66</v>
      </c>
      <c r="AV1097">
        <v>0</v>
      </c>
      <c r="AW1097" t="s">
        <v>66</v>
      </c>
      <c r="AX1097">
        <v>0</v>
      </c>
      <c r="AY1097" t="s">
        <v>66</v>
      </c>
      <c r="AZ1097">
        <v>0</v>
      </c>
      <c r="BA1097" t="s">
        <v>66</v>
      </c>
      <c r="BB1097">
        <v>0</v>
      </c>
      <c r="BC1097">
        <v>0</v>
      </c>
      <c r="BD1097">
        <v>51561.72</v>
      </c>
      <c r="BE1097">
        <v>7146.6</v>
      </c>
      <c r="BF1097">
        <v>0</v>
      </c>
      <c r="BG1097" t="s">
        <v>87</v>
      </c>
      <c r="BH1097" t="s">
        <v>66</v>
      </c>
      <c r="BI1097">
        <v>0</v>
      </c>
      <c r="BJ1097" t="s">
        <v>66</v>
      </c>
      <c r="BK1097" t="s">
        <v>88</v>
      </c>
      <c r="BL1097" t="s">
        <v>719</v>
      </c>
      <c r="BM1097" t="s">
        <v>159</v>
      </c>
    </row>
    <row r="1098" spans="1:65" x14ac:dyDescent="0.25">
      <c r="A1098">
        <v>1096</v>
      </c>
      <c r="B1098" t="s">
        <v>1378</v>
      </c>
      <c r="C1098" t="s">
        <v>1379</v>
      </c>
      <c r="D1098" s="1">
        <v>46216</v>
      </c>
      <c r="E1098" t="s">
        <v>1380</v>
      </c>
      <c r="F1098" t="s">
        <v>1381</v>
      </c>
      <c r="G1098" t="s">
        <v>295</v>
      </c>
      <c r="H1098" t="s">
        <v>296</v>
      </c>
      <c r="I1098" t="s">
        <v>71</v>
      </c>
      <c r="J1098" t="s">
        <v>72</v>
      </c>
      <c r="K1098" t="s">
        <v>73</v>
      </c>
      <c r="L1098" t="s">
        <v>74</v>
      </c>
      <c r="M1098" t="s">
        <v>853</v>
      </c>
      <c r="N1098" t="s">
        <v>76</v>
      </c>
      <c r="O1098" t="s">
        <v>854</v>
      </c>
      <c r="P1098" t="s">
        <v>855</v>
      </c>
      <c r="Q1098" t="s">
        <v>1382</v>
      </c>
      <c r="R1098" s="1">
        <v>46212</v>
      </c>
      <c r="S1098" t="s">
        <v>841</v>
      </c>
      <c r="T1098" t="s">
        <v>842</v>
      </c>
      <c r="U1098" t="s">
        <v>843</v>
      </c>
      <c r="V1098" t="s">
        <v>66</v>
      </c>
      <c r="W1098" t="s">
        <v>66</v>
      </c>
      <c r="X1098">
        <v>1959510</v>
      </c>
      <c r="Y1098">
        <v>215546.1</v>
      </c>
      <c r="Z1098">
        <v>66444</v>
      </c>
      <c r="AA1098">
        <v>7308.84</v>
      </c>
      <c r="AB1098">
        <v>2175056.1</v>
      </c>
      <c r="AC1098">
        <v>6</v>
      </c>
      <c r="AD1098" t="s">
        <v>82</v>
      </c>
      <c r="AE1098">
        <v>6</v>
      </c>
      <c r="AF1098" t="s">
        <v>122</v>
      </c>
      <c r="AG1098">
        <f>IFERROR(VLOOKUP(AF1098,[1]STOK!J:O,6,0),"")</f>
        <v>24</v>
      </c>
      <c r="AH1098" s="2">
        <f t="shared" si="34"/>
        <v>0.25</v>
      </c>
      <c r="AI1098" t="s">
        <v>122</v>
      </c>
      <c r="AJ1098" t="s">
        <v>123</v>
      </c>
      <c r="AK1098" t="s">
        <v>124</v>
      </c>
      <c r="AL1098" t="s">
        <v>86</v>
      </c>
      <c r="AM1098">
        <v>12543</v>
      </c>
      <c r="AN1098">
        <f t="shared" si="35"/>
        <v>12292.14</v>
      </c>
      <c r="AO1098" t="s">
        <v>66</v>
      </c>
      <c r="AP1098">
        <v>2</v>
      </c>
      <c r="AQ1098" t="s">
        <v>66</v>
      </c>
      <c r="AR1098">
        <v>0</v>
      </c>
      <c r="AS1098" t="s">
        <v>66</v>
      </c>
      <c r="AT1098">
        <v>0</v>
      </c>
      <c r="AU1098" t="s">
        <v>66</v>
      </c>
      <c r="AV1098">
        <v>0</v>
      </c>
      <c r="AW1098" t="s">
        <v>66</v>
      </c>
      <c r="AX1098">
        <v>0</v>
      </c>
      <c r="AY1098" t="s">
        <v>66</v>
      </c>
      <c r="AZ1098">
        <v>0</v>
      </c>
      <c r="BA1098" t="s">
        <v>66</v>
      </c>
      <c r="BB1098">
        <v>0</v>
      </c>
      <c r="BC1098">
        <v>0</v>
      </c>
      <c r="BD1098">
        <v>73752.84</v>
      </c>
      <c r="BE1098">
        <v>10204.219999999999</v>
      </c>
      <c r="BF1098">
        <v>0</v>
      </c>
      <c r="BG1098" t="s">
        <v>87</v>
      </c>
      <c r="BH1098" t="s">
        <v>66</v>
      </c>
      <c r="BI1098">
        <v>0</v>
      </c>
      <c r="BJ1098" t="s">
        <v>66</v>
      </c>
      <c r="BK1098" t="s">
        <v>88</v>
      </c>
      <c r="BL1098" t="s">
        <v>719</v>
      </c>
      <c r="BM1098" t="s">
        <v>159</v>
      </c>
    </row>
    <row r="1099" spans="1:65" x14ac:dyDescent="0.25">
      <c r="A1099">
        <v>1097</v>
      </c>
      <c r="B1099" t="s">
        <v>1378</v>
      </c>
      <c r="C1099" t="s">
        <v>1379</v>
      </c>
      <c r="D1099" s="1">
        <v>46216</v>
      </c>
      <c r="E1099" t="s">
        <v>1380</v>
      </c>
      <c r="F1099" t="s">
        <v>1381</v>
      </c>
      <c r="G1099" t="s">
        <v>295</v>
      </c>
      <c r="H1099" t="s">
        <v>296</v>
      </c>
      <c r="I1099" t="s">
        <v>71</v>
      </c>
      <c r="J1099" t="s">
        <v>72</v>
      </c>
      <c r="K1099" t="s">
        <v>73</v>
      </c>
      <c r="L1099" t="s">
        <v>74</v>
      </c>
      <c r="M1099" t="s">
        <v>853</v>
      </c>
      <c r="N1099" t="s">
        <v>76</v>
      </c>
      <c r="O1099" t="s">
        <v>854</v>
      </c>
      <c r="P1099" t="s">
        <v>855</v>
      </c>
      <c r="Q1099" t="s">
        <v>1382</v>
      </c>
      <c r="R1099" s="1">
        <v>46212</v>
      </c>
      <c r="S1099" t="s">
        <v>841</v>
      </c>
      <c r="T1099" t="s">
        <v>842</v>
      </c>
      <c r="U1099" t="s">
        <v>843</v>
      </c>
      <c r="V1099" t="s">
        <v>66</v>
      </c>
      <c r="W1099" t="s">
        <v>66</v>
      </c>
      <c r="X1099">
        <v>1959510</v>
      </c>
      <c r="Y1099">
        <v>215546.1</v>
      </c>
      <c r="Z1099">
        <v>59976</v>
      </c>
      <c r="AA1099">
        <v>6597.36</v>
      </c>
      <c r="AB1099">
        <v>2175056.1</v>
      </c>
      <c r="AC1099">
        <v>6</v>
      </c>
      <c r="AD1099" t="s">
        <v>82</v>
      </c>
      <c r="AE1099">
        <v>6</v>
      </c>
      <c r="AF1099" t="s">
        <v>726</v>
      </c>
      <c r="AG1099">
        <f>IFERROR(VLOOKUP(AF1099,[1]STOK!J:O,6,0),"")</f>
        <v>24</v>
      </c>
      <c r="AH1099" s="2">
        <f t="shared" si="34"/>
        <v>0.25</v>
      </c>
      <c r="AI1099" t="s">
        <v>726</v>
      </c>
      <c r="AJ1099" t="s">
        <v>727</v>
      </c>
      <c r="AK1099" t="s">
        <v>728</v>
      </c>
      <c r="AL1099" t="s">
        <v>86</v>
      </c>
      <c r="AM1099">
        <v>11322</v>
      </c>
      <c r="AN1099">
        <f t="shared" si="35"/>
        <v>11095.56</v>
      </c>
      <c r="AO1099" t="s">
        <v>66</v>
      </c>
      <c r="AP1099">
        <v>2</v>
      </c>
      <c r="AQ1099" t="s">
        <v>66</v>
      </c>
      <c r="AR1099">
        <v>0</v>
      </c>
      <c r="AS1099" t="s">
        <v>66</v>
      </c>
      <c r="AT1099">
        <v>0</v>
      </c>
      <c r="AU1099" t="s">
        <v>66</v>
      </c>
      <c r="AV1099">
        <v>0</v>
      </c>
      <c r="AW1099" t="s">
        <v>66</v>
      </c>
      <c r="AX1099">
        <v>0</v>
      </c>
      <c r="AY1099" t="s">
        <v>66</v>
      </c>
      <c r="AZ1099">
        <v>0</v>
      </c>
      <c r="BA1099" t="s">
        <v>66</v>
      </c>
      <c r="BB1099">
        <v>0</v>
      </c>
      <c r="BC1099">
        <v>0</v>
      </c>
      <c r="BD1099">
        <v>66573.36</v>
      </c>
      <c r="BE1099">
        <v>8902.5499999999993</v>
      </c>
      <c r="BF1099">
        <v>0</v>
      </c>
      <c r="BG1099" t="s">
        <v>87</v>
      </c>
      <c r="BH1099" t="s">
        <v>66</v>
      </c>
      <c r="BI1099">
        <v>0</v>
      </c>
      <c r="BJ1099" t="s">
        <v>66</v>
      </c>
      <c r="BK1099" t="s">
        <v>88</v>
      </c>
      <c r="BL1099" t="s">
        <v>719</v>
      </c>
      <c r="BM1099" t="s">
        <v>159</v>
      </c>
    </row>
    <row r="1100" spans="1:65" x14ac:dyDescent="0.25">
      <c r="A1100">
        <v>1098</v>
      </c>
      <c r="B1100" t="s">
        <v>1378</v>
      </c>
      <c r="C1100" t="s">
        <v>1379</v>
      </c>
      <c r="D1100" s="1">
        <v>46216</v>
      </c>
      <c r="E1100" t="s">
        <v>1380</v>
      </c>
      <c r="F1100" t="s">
        <v>1381</v>
      </c>
      <c r="G1100" t="s">
        <v>295</v>
      </c>
      <c r="H1100" t="s">
        <v>296</v>
      </c>
      <c r="I1100" t="s">
        <v>71</v>
      </c>
      <c r="J1100" t="s">
        <v>72</v>
      </c>
      <c r="K1100" t="s">
        <v>73</v>
      </c>
      <c r="L1100" t="s">
        <v>74</v>
      </c>
      <c r="M1100" t="s">
        <v>853</v>
      </c>
      <c r="N1100" t="s">
        <v>76</v>
      </c>
      <c r="O1100" t="s">
        <v>854</v>
      </c>
      <c r="P1100" t="s">
        <v>855</v>
      </c>
      <c r="Q1100" t="s">
        <v>1382</v>
      </c>
      <c r="R1100" s="1">
        <v>46212</v>
      </c>
      <c r="S1100" t="s">
        <v>841</v>
      </c>
      <c r="T1100" t="s">
        <v>842</v>
      </c>
      <c r="U1100" t="s">
        <v>843</v>
      </c>
      <c r="V1100" t="s">
        <v>66</v>
      </c>
      <c r="W1100" t="s">
        <v>66</v>
      </c>
      <c r="X1100">
        <v>1959510</v>
      </c>
      <c r="Y1100">
        <v>215546.1</v>
      </c>
      <c r="Z1100">
        <v>59976</v>
      </c>
      <c r="AA1100">
        <v>6597.36</v>
      </c>
      <c r="AB1100">
        <v>2175056.1</v>
      </c>
      <c r="AC1100">
        <v>6</v>
      </c>
      <c r="AD1100" t="s">
        <v>82</v>
      </c>
      <c r="AE1100">
        <v>6</v>
      </c>
      <c r="AF1100" t="s">
        <v>670</v>
      </c>
      <c r="AG1100">
        <f>IFERROR(VLOOKUP(AF1100,[1]STOK!J:O,6,0),"")</f>
        <v>24</v>
      </c>
      <c r="AH1100" s="2">
        <f t="shared" si="34"/>
        <v>0.25</v>
      </c>
      <c r="AI1100" t="s">
        <v>670</v>
      </c>
      <c r="AJ1100" t="s">
        <v>671</v>
      </c>
      <c r="AK1100" t="s">
        <v>672</v>
      </c>
      <c r="AL1100" t="s">
        <v>86</v>
      </c>
      <c r="AM1100">
        <v>11322</v>
      </c>
      <c r="AN1100">
        <f t="shared" si="35"/>
        <v>11095.56</v>
      </c>
      <c r="AO1100" t="s">
        <v>66</v>
      </c>
      <c r="AP1100">
        <v>2</v>
      </c>
      <c r="AQ1100" t="s">
        <v>66</v>
      </c>
      <c r="AR1100">
        <v>0</v>
      </c>
      <c r="AS1100" t="s">
        <v>66</v>
      </c>
      <c r="AT1100">
        <v>0</v>
      </c>
      <c r="AU1100" t="s">
        <v>66</v>
      </c>
      <c r="AV1100">
        <v>0</v>
      </c>
      <c r="AW1100" t="s">
        <v>66</v>
      </c>
      <c r="AX1100">
        <v>0</v>
      </c>
      <c r="AY1100" t="s">
        <v>66</v>
      </c>
      <c r="AZ1100">
        <v>0</v>
      </c>
      <c r="BA1100" t="s">
        <v>66</v>
      </c>
      <c r="BB1100">
        <v>0</v>
      </c>
      <c r="BC1100">
        <v>0</v>
      </c>
      <c r="BD1100">
        <v>66573.36</v>
      </c>
      <c r="BE1100">
        <v>9214.48</v>
      </c>
      <c r="BF1100">
        <v>0</v>
      </c>
      <c r="BG1100" t="s">
        <v>87</v>
      </c>
      <c r="BH1100" t="s">
        <v>66</v>
      </c>
      <c r="BI1100">
        <v>0</v>
      </c>
      <c r="BJ1100" t="s">
        <v>66</v>
      </c>
      <c r="BK1100" t="s">
        <v>88</v>
      </c>
      <c r="BL1100" t="s">
        <v>719</v>
      </c>
      <c r="BM1100" t="s">
        <v>159</v>
      </c>
    </row>
    <row r="1101" spans="1:65" x14ac:dyDescent="0.25">
      <c r="A1101">
        <v>1099</v>
      </c>
      <c r="B1101" t="s">
        <v>1378</v>
      </c>
      <c r="C1101" t="s">
        <v>1379</v>
      </c>
      <c r="D1101" s="1">
        <v>46216</v>
      </c>
      <c r="E1101" t="s">
        <v>1380</v>
      </c>
      <c r="F1101" t="s">
        <v>1381</v>
      </c>
      <c r="G1101" t="s">
        <v>295</v>
      </c>
      <c r="H1101" t="s">
        <v>296</v>
      </c>
      <c r="I1101" t="s">
        <v>71</v>
      </c>
      <c r="J1101" t="s">
        <v>72</v>
      </c>
      <c r="K1101" t="s">
        <v>73</v>
      </c>
      <c r="L1101" t="s">
        <v>74</v>
      </c>
      <c r="M1101" t="s">
        <v>853</v>
      </c>
      <c r="N1101" t="s">
        <v>76</v>
      </c>
      <c r="O1101" t="s">
        <v>854</v>
      </c>
      <c r="P1101" t="s">
        <v>855</v>
      </c>
      <c r="Q1101" t="s">
        <v>1382</v>
      </c>
      <c r="R1101" s="1">
        <v>46212</v>
      </c>
      <c r="S1101" t="s">
        <v>841</v>
      </c>
      <c r="T1101" t="s">
        <v>842</v>
      </c>
      <c r="U1101" t="s">
        <v>843</v>
      </c>
      <c r="V1101" t="s">
        <v>66</v>
      </c>
      <c r="W1101" t="s">
        <v>66</v>
      </c>
      <c r="X1101">
        <v>1959510</v>
      </c>
      <c r="Y1101">
        <v>215546.1</v>
      </c>
      <c r="Z1101">
        <v>59976</v>
      </c>
      <c r="AA1101">
        <v>6597.36</v>
      </c>
      <c r="AB1101">
        <v>2175056.1</v>
      </c>
      <c r="AC1101">
        <v>6</v>
      </c>
      <c r="AD1101" t="s">
        <v>82</v>
      </c>
      <c r="AE1101">
        <v>6</v>
      </c>
      <c r="AF1101" t="s">
        <v>860</v>
      </c>
      <c r="AG1101">
        <f>IFERROR(VLOOKUP(AF1101,[1]STOK!J:O,6,0),"")</f>
        <v>24</v>
      </c>
      <c r="AH1101" s="2">
        <f t="shared" si="34"/>
        <v>0.25</v>
      </c>
      <c r="AI1101" t="s">
        <v>860</v>
      </c>
      <c r="AJ1101" t="s">
        <v>861</v>
      </c>
      <c r="AK1101" t="s">
        <v>862</v>
      </c>
      <c r="AL1101" t="s">
        <v>86</v>
      </c>
      <c r="AM1101">
        <v>11322</v>
      </c>
      <c r="AN1101">
        <f t="shared" si="35"/>
        <v>11095.56</v>
      </c>
      <c r="AO1101" t="s">
        <v>66</v>
      </c>
      <c r="AP1101">
        <v>2</v>
      </c>
      <c r="AQ1101" t="s">
        <v>66</v>
      </c>
      <c r="AR1101">
        <v>0</v>
      </c>
      <c r="AS1101" t="s">
        <v>66</v>
      </c>
      <c r="AT1101">
        <v>0</v>
      </c>
      <c r="AU1101" t="s">
        <v>66</v>
      </c>
      <c r="AV1101">
        <v>0</v>
      </c>
      <c r="AW1101" t="s">
        <v>66</v>
      </c>
      <c r="AX1101">
        <v>0</v>
      </c>
      <c r="AY1101" t="s">
        <v>66</v>
      </c>
      <c r="AZ1101">
        <v>0</v>
      </c>
      <c r="BA1101" t="s">
        <v>66</v>
      </c>
      <c r="BB1101">
        <v>0</v>
      </c>
      <c r="BC1101">
        <v>0</v>
      </c>
      <c r="BD1101">
        <v>66573.36</v>
      </c>
      <c r="BE1101">
        <v>9175.68</v>
      </c>
      <c r="BF1101">
        <v>0</v>
      </c>
      <c r="BG1101" t="s">
        <v>87</v>
      </c>
      <c r="BH1101" t="s">
        <v>66</v>
      </c>
      <c r="BI1101">
        <v>0</v>
      </c>
      <c r="BJ1101" t="s">
        <v>66</v>
      </c>
      <c r="BK1101" t="s">
        <v>88</v>
      </c>
      <c r="BL1101" t="s">
        <v>719</v>
      </c>
      <c r="BM1101" t="s">
        <v>159</v>
      </c>
    </row>
    <row r="1102" spans="1:65" x14ac:dyDescent="0.25">
      <c r="A1102">
        <v>1100</v>
      </c>
      <c r="B1102" t="s">
        <v>1378</v>
      </c>
      <c r="C1102" t="s">
        <v>1379</v>
      </c>
      <c r="D1102" s="1">
        <v>46216</v>
      </c>
      <c r="E1102" t="s">
        <v>1380</v>
      </c>
      <c r="F1102" t="s">
        <v>1381</v>
      </c>
      <c r="G1102" t="s">
        <v>295</v>
      </c>
      <c r="H1102" t="s">
        <v>296</v>
      </c>
      <c r="I1102" t="s">
        <v>71</v>
      </c>
      <c r="J1102" t="s">
        <v>72</v>
      </c>
      <c r="K1102" t="s">
        <v>73</v>
      </c>
      <c r="L1102" t="s">
        <v>74</v>
      </c>
      <c r="M1102" t="s">
        <v>853</v>
      </c>
      <c r="N1102" t="s">
        <v>76</v>
      </c>
      <c r="O1102" t="s">
        <v>854</v>
      </c>
      <c r="P1102" t="s">
        <v>855</v>
      </c>
      <c r="Q1102" t="s">
        <v>1382</v>
      </c>
      <c r="R1102" s="1">
        <v>46212</v>
      </c>
      <c r="S1102" t="s">
        <v>841</v>
      </c>
      <c r="T1102" t="s">
        <v>842</v>
      </c>
      <c r="U1102" t="s">
        <v>843</v>
      </c>
      <c r="V1102" t="s">
        <v>66</v>
      </c>
      <c r="W1102" t="s">
        <v>66</v>
      </c>
      <c r="X1102">
        <v>1959510</v>
      </c>
      <c r="Y1102">
        <v>215546.1</v>
      </c>
      <c r="Z1102">
        <v>33516</v>
      </c>
      <c r="AA1102">
        <v>3686.76</v>
      </c>
      <c r="AB1102">
        <v>2175056.1</v>
      </c>
      <c r="AC1102">
        <v>6</v>
      </c>
      <c r="AD1102" t="s">
        <v>82</v>
      </c>
      <c r="AE1102">
        <v>6</v>
      </c>
      <c r="AF1102" t="s">
        <v>90</v>
      </c>
      <c r="AG1102">
        <f>IFERROR(VLOOKUP(AF1102,[1]STOK!J:O,6,0),"")</f>
        <v>48</v>
      </c>
      <c r="AH1102" s="2">
        <f t="shared" si="34"/>
        <v>0.125</v>
      </c>
      <c r="AI1102" t="s">
        <v>90</v>
      </c>
      <c r="AJ1102" t="s">
        <v>91</v>
      </c>
      <c r="AK1102" t="s">
        <v>92</v>
      </c>
      <c r="AL1102" t="s">
        <v>86</v>
      </c>
      <c r="AM1102">
        <v>6327</v>
      </c>
      <c r="AN1102">
        <f t="shared" si="35"/>
        <v>6200.46</v>
      </c>
      <c r="AO1102" t="s">
        <v>66</v>
      </c>
      <c r="AP1102">
        <v>2</v>
      </c>
      <c r="AQ1102" t="s">
        <v>66</v>
      </c>
      <c r="AR1102">
        <v>0</v>
      </c>
      <c r="AS1102" t="s">
        <v>66</v>
      </c>
      <c r="AT1102">
        <v>0</v>
      </c>
      <c r="AU1102" t="s">
        <v>66</v>
      </c>
      <c r="AV1102">
        <v>0</v>
      </c>
      <c r="AW1102" t="s">
        <v>66</v>
      </c>
      <c r="AX1102">
        <v>0</v>
      </c>
      <c r="AY1102" t="s">
        <v>66</v>
      </c>
      <c r="AZ1102">
        <v>0</v>
      </c>
      <c r="BA1102" t="s">
        <v>66</v>
      </c>
      <c r="BB1102">
        <v>0</v>
      </c>
      <c r="BC1102">
        <v>0</v>
      </c>
      <c r="BD1102">
        <v>37202.76</v>
      </c>
      <c r="BE1102">
        <v>5043.8999999999996</v>
      </c>
      <c r="BF1102">
        <v>0</v>
      </c>
      <c r="BG1102" t="s">
        <v>87</v>
      </c>
      <c r="BH1102" t="s">
        <v>66</v>
      </c>
      <c r="BI1102">
        <v>0</v>
      </c>
      <c r="BJ1102" t="s">
        <v>66</v>
      </c>
      <c r="BK1102" t="s">
        <v>88</v>
      </c>
      <c r="BL1102" t="s">
        <v>719</v>
      </c>
      <c r="BM1102" t="s">
        <v>159</v>
      </c>
    </row>
    <row r="1103" spans="1:65" x14ac:dyDescent="0.25">
      <c r="A1103">
        <v>1101</v>
      </c>
      <c r="B1103" t="s">
        <v>1378</v>
      </c>
      <c r="C1103" t="s">
        <v>1379</v>
      </c>
      <c r="D1103" s="1">
        <v>46216</v>
      </c>
      <c r="E1103" t="s">
        <v>1380</v>
      </c>
      <c r="F1103" t="s">
        <v>1381</v>
      </c>
      <c r="G1103" t="s">
        <v>295</v>
      </c>
      <c r="H1103" t="s">
        <v>296</v>
      </c>
      <c r="I1103" t="s">
        <v>71</v>
      </c>
      <c r="J1103" t="s">
        <v>72</v>
      </c>
      <c r="K1103" t="s">
        <v>73</v>
      </c>
      <c r="L1103" t="s">
        <v>74</v>
      </c>
      <c r="M1103" t="s">
        <v>853</v>
      </c>
      <c r="N1103" t="s">
        <v>76</v>
      </c>
      <c r="O1103" t="s">
        <v>854</v>
      </c>
      <c r="P1103" t="s">
        <v>855</v>
      </c>
      <c r="Q1103" t="s">
        <v>1382</v>
      </c>
      <c r="R1103" s="1">
        <v>46212</v>
      </c>
      <c r="S1103" t="s">
        <v>841</v>
      </c>
      <c r="T1103" t="s">
        <v>842</v>
      </c>
      <c r="U1103" t="s">
        <v>843</v>
      </c>
      <c r="V1103" t="s">
        <v>66</v>
      </c>
      <c r="W1103" t="s">
        <v>66</v>
      </c>
      <c r="X1103">
        <v>1959510</v>
      </c>
      <c r="Y1103">
        <v>215546.1</v>
      </c>
      <c r="Z1103">
        <v>33516</v>
      </c>
      <c r="AA1103">
        <v>3686.76</v>
      </c>
      <c r="AB1103">
        <v>2175056.1</v>
      </c>
      <c r="AC1103">
        <v>6</v>
      </c>
      <c r="AD1103" t="s">
        <v>82</v>
      </c>
      <c r="AE1103">
        <v>6</v>
      </c>
      <c r="AF1103" t="s">
        <v>350</v>
      </c>
      <c r="AG1103">
        <f>IFERROR(VLOOKUP(AF1103,[1]STOK!J:O,6,0),"")</f>
        <v>48</v>
      </c>
      <c r="AH1103" s="2">
        <f t="shared" si="34"/>
        <v>0.125</v>
      </c>
      <c r="AI1103" t="s">
        <v>350</v>
      </c>
      <c r="AJ1103" t="s">
        <v>351</v>
      </c>
      <c r="AK1103" t="s">
        <v>352</v>
      </c>
      <c r="AL1103" t="s">
        <v>86</v>
      </c>
      <c r="AM1103">
        <v>6327</v>
      </c>
      <c r="AN1103">
        <f t="shared" si="35"/>
        <v>6200.46</v>
      </c>
      <c r="AO1103" t="s">
        <v>66</v>
      </c>
      <c r="AP1103">
        <v>2</v>
      </c>
      <c r="AQ1103" t="s">
        <v>66</v>
      </c>
      <c r="AR1103">
        <v>0</v>
      </c>
      <c r="AS1103" t="s">
        <v>66</v>
      </c>
      <c r="AT1103">
        <v>0</v>
      </c>
      <c r="AU1103" t="s">
        <v>66</v>
      </c>
      <c r="AV1103">
        <v>0</v>
      </c>
      <c r="AW1103" t="s">
        <v>66</v>
      </c>
      <c r="AX1103">
        <v>0</v>
      </c>
      <c r="AY1103" t="s">
        <v>66</v>
      </c>
      <c r="AZ1103">
        <v>0</v>
      </c>
      <c r="BA1103" t="s">
        <v>66</v>
      </c>
      <c r="BB1103">
        <v>0</v>
      </c>
      <c r="BC1103">
        <v>0</v>
      </c>
      <c r="BD1103">
        <v>37202.76</v>
      </c>
      <c r="BE1103">
        <v>5152.5600000000004</v>
      </c>
      <c r="BF1103">
        <v>0</v>
      </c>
      <c r="BG1103" t="s">
        <v>87</v>
      </c>
      <c r="BH1103" t="s">
        <v>66</v>
      </c>
      <c r="BI1103">
        <v>0</v>
      </c>
      <c r="BJ1103" t="s">
        <v>66</v>
      </c>
      <c r="BK1103" t="s">
        <v>88</v>
      </c>
      <c r="BL1103" t="s">
        <v>719</v>
      </c>
      <c r="BM1103" t="s">
        <v>159</v>
      </c>
    </row>
    <row r="1104" spans="1:65" x14ac:dyDescent="0.25">
      <c r="A1104">
        <v>1102</v>
      </c>
      <c r="B1104" t="s">
        <v>1378</v>
      </c>
      <c r="C1104" t="s">
        <v>1379</v>
      </c>
      <c r="D1104" s="1">
        <v>46216</v>
      </c>
      <c r="E1104" t="s">
        <v>1380</v>
      </c>
      <c r="F1104" t="s">
        <v>1381</v>
      </c>
      <c r="G1104" t="s">
        <v>295</v>
      </c>
      <c r="H1104" t="s">
        <v>296</v>
      </c>
      <c r="I1104" t="s">
        <v>71</v>
      </c>
      <c r="J1104" t="s">
        <v>72</v>
      </c>
      <c r="K1104" t="s">
        <v>73</v>
      </c>
      <c r="L1104" t="s">
        <v>74</v>
      </c>
      <c r="M1104" t="s">
        <v>853</v>
      </c>
      <c r="N1104" t="s">
        <v>76</v>
      </c>
      <c r="O1104" t="s">
        <v>854</v>
      </c>
      <c r="P1104" t="s">
        <v>855</v>
      </c>
      <c r="Q1104" t="s">
        <v>1382</v>
      </c>
      <c r="R1104" s="1">
        <v>46212</v>
      </c>
      <c r="S1104" t="s">
        <v>841</v>
      </c>
      <c r="T1104" t="s">
        <v>842</v>
      </c>
      <c r="U1104" t="s">
        <v>843</v>
      </c>
      <c r="V1104" t="s">
        <v>66</v>
      </c>
      <c r="W1104" t="s">
        <v>66</v>
      </c>
      <c r="X1104">
        <v>1959510</v>
      </c>
      <c r="Y1104">
        <v>215546.1</v>
      </c>
      <c r="Z1104">
        <v>97020</v>
      </c>
      <c r="AA1104">
        <v>10672.2</v>
      </c>
      <c r="AB1104">
        <v>2175056.1</v>
      </c>
      <c r="AC1104">
        <v>6</v>
      </c>
      <c r="AD1104" t="s">
        <v>82</v>
      </c>
      <c r="AE1104">
        <v>6</v>
      </c>
      <c r="AF1104" t="s">
        <v>128</v>
      </c>
      <c r="AG1104">
        <f>IFERROR(VLOOKUP(AF1104,[1]STOK!J:O,6,0),"")</f>
        <v>24</v>
      </c>
      <c r="AH1104" s="2">
        <f t="shared" si="34"/>
        <v>0.25</v>
      </c>
      <c r="AI1104" t="s">
        <v>128</v>
      </c>
      <c r="AJ1104" t="s">
        <v>129</v>
      </c>
      <c r="AK1104" t="s">
        <v>130</v>
      </c>
      <c r="AL1104" t="s">
        <v>86</v>
      </c>
      <c r="AM1104">
        <v>18315</v>
      </c>
      <c r="AN1104">
        <f t="shared" si="35"/>
        <v>17948.7</v>
      </c>
      <c r="AO1104" t="s">
        <v>66</v>
      </c>
      <c r="AP1104">
        <v>2</v>
      </c>
      <c r="AQ1104" t="s">
        <v>66</v>
      </c>
      <c r="AR1104">
        <v>0</v>
      </c>
      <c r="AS1104" t="s">
        <v>66</v>
      </c>
      <c r="AT1104">
        <v>0</v>
      </c>
      <c r="AU1104" t="s">
        <v>66</v>
      </c>
      <c r="AV1104">
        <v>0</v>
      </c>
      <c r="AW1104" t="s">
        <v>66</v>
      </c>
      <c r="AX1104">
        <v>0</v>
      </c>
      <c r="AY1104" t="s">
        <v>66</v>
      </c>
      <c r="AZ1104">
        <v>0</v>
      </c>
      <c r="BA1104" t="s">
        <v>66</v>
      </c>
      <c r="BB1104">
        <v>0</v>
      </c>
      <c r="BC1104">
        <v>0</v>
      </c>
      <c r="BD1104">
        <v>107692.2</v>
      </c>
      <c r="BE1104">
        <v>14921.48</v>
      </c>
      <c r="BF1104">
        <v>0</v>
      </c>
      <c r="BG1104" t="s">
        <v>87</v>
      </c>
      <c r="BH1104" t="s">
        <v>66</v>
      </c>
      <c r="BI1104">
        <v>0</v>
      </c>
      <c r="BJ1104" t="s">
        <v>66</v>
      </c>
      <c r="BK1104" t="s">
        <v>88</v>
      </c>
      <c r="BL1104" t="s">
        <v>719</v>
      </c>
      <c r="BM1104" t="s">
        <v>159</v>
      </c>
    </row>
    <row r="1105" spans="1:65" x14ac:dyDescent="0.25">
      <c r="A1105">
        <v>1103</v>
      </c>
      <c r="B1105" t="s">
        <v>1378</v>
      </c>
      <c r="C1105" t="s">
        <v>1379</v>
      </c>
      <c r="D1105" s="1">
        <v>46216</v>
      </c>
      <c r="E1105" t="s">
        <v>1380</v>
      </c>
      <c r="F1105" t="s">
        <v>1381</v>
      </c>
      <c r="G1105" t="s">
        <v>295</v>
      </c>
      <c r="H1105" t="s">
        <v>296</v>
      </c>
      <c r="I1105" t="s">
        <v>71</v>
      </c>
      <c r="J1105" t="s">
        <v>72</v>
      </c>
      <c r="K1105" t="s">
        <v>73</v>
      </c>
      <c r="L1105" t="s">
        <v>74</v>
      </c>
      <c r="M1105" t="s">
        <v>853</v>
      </c>
      <c r="N1105" t="s">
        <v>76</v>
      </c>
      <c r="O1105" t="s">
        <v>854</v>
      </c>
      <c r="P1105" t="s">
        <v>855</v>
      </c>
      <c r="Q1105" t="s">
        <v>1382</v>
      </c>
      <c r="R1105" s="1">
        <v>46212</v>
      </c>
      <c r="S1105" t="s">
        <v>841</v>
      </c>
      <c r="T1105" t="s">
        <v>842</v>
      </c>
      <c r="U1105" t="s">
        <v>843</v>
      </c>
      <c r="V1105" t="s">
        <v>66</v>
      </c>
      <c r="W1105" t="s">
        <v>66</v>
      </c>
      <c r="X1105">
        <v>1959510</v>
      </c>
      <c r="Y1105">
        <v>215546.1</v>
      </c>
      <c r="Z1105">
        <v>97020</v>
      </c>
      <c r="AA1105">
        <v>10672.2</v>
      </c>
      <c r="AB1105">
        <v>2175056.1</v>
      </c>
      <c r="AC1105">
        <v>6</v>
      </c>
      <c r="AD1105" t="s">
        <v>82</v>
      </c>
      <c r="AE1105">
        <v>6</v>
      </c>
      <c r="AF1105" t="s">
        <v>93</v>
      </c>
      <c r="AG1105">
        <f>IFERROR(VLOOKUP(AF1105,[1]STOK!J:O,6,0),"")</f>
        <v>24</v>
      </c>
      <c r="AH1105" s="2">
        <f t="shared" si="34"/>
        <v>0.25</v>
      </c>
      <c r="AI1105" t="s">
        <v>93</v>
      </c>
      <c r="AJ1105" t="s">
        <v>94</v>
      </c>
      <c r="AK1105" t="s">
        <v>95</v>
      </c>
      <c r="AL1105" t="s">
        <v>86</v>
      </c>
      <c r="AM1105">
        <v>18315</v>
      </c>
      <c r="AN1105">
        <f t="shared" si="35"/>
        <v>17948.7</v>
      </c>
      <c r="AO1105" t="s">
        <v>66</v>
      </c>
      <c r="AP1105">
        <v>2</v>
      </c>
      <c r="AQ1105" t="s">
        <v>66</v>
      </c>
      <c r="AR1105">
        <v>0</v>
      </c>
      <c r="AS1105" t="s">
        <v>66</v>
      </c>
      <c r="AT1105">
        <v>0</v>
      </c>
      <c r="AU1105" t="s">
        <v>66</v>
      </c>
      <c r="AV1105">
        <v>0</v>
      </c>
      <c r="AW1105" t="s">
        <v>66</v>
      </c>
      <c r="AX1105">
        <v>0</v>
      </c>
      <c r="AY1105" t="s">
        <v>66</v>
      </c>
      <c r="AZ1105">
        <v>0</v>
      </c>
      <c r="BA1105" t="s">
        <v>66</v>
      </c>
      <c r="BB1105">
        <v>0</v>
      </c>
      <c r="BC1105">
        <v>0</v>
      </c>
      <c r="BD1105">
        <v>107692.2</v>
      </c>
      <c r="BE1105">
        <v>14931.89</v>
      </c>
      <c r="BF1105">
        <v>0</v>
      </c>
      <c r="BG1105" t="s">
        <v>87</v>
      </c>
      <c r="BH1105" t="s">
        <v>66</v>
      </c>
      <c r="BI1105">
        <v>0</v>
      </c>
      <c r="BJ1105" t="s">
        <v>66</v>
      </c>
      <c r="BK1105" t="s">
        <v>88</v>
      </c>
      <c r="BL1105" t="s">
        <v>719</v>
      </c>
      <c r="BM1105" t="s">
        <v>159</v>
      </c>
    </row>
    <row r="1106" spans="1:65" x14ac:dyDescent="0.25">
      <c r="A1106">
        <v>1104</v>
      </c>
      <c r="B1106" t="s">
        <v>1378</v>
      </c>
      <c r="C1106" t="s">
        <v>1379</v>
      </c>
      <c r="D1106" s="1">
        <v>46216</v>
      </c>
      <c r="E1106" t="s">
        <v>1380</v>
      </c>
      <c r="F1106" t="s">
        <v>1381</v>
      </c>
      <c r="G1106" t="s">
        <v>295</v>
      </c>
      <c r="H1106" t="s">
        <v>296</v>
      </c>
      <c r="I1106" t="s">
        <v>71</v>
      </c>
      <c r="J1106" t="s">
        <v>72</v>
      </c>
      <c r="K1106" t="s">
        <v>73</v>
      </c>
      <c r="L1106" t="s">
        <v>74</v>
      </c>
      <c r="M1106" t="s">
        <v>853</v>
      </c>
      <c r="N1106" t="s">
        <v>76</v>
      </c>
      <c r="O1106" t="s">
        <v>854</v>
      </c>
      <c r="P1106" t="s">
        <v>855</v>
      </c>
      <c r="Q1106" t="s">
        <v>1382</v>
      </c>
      <c r="R1106" s="1">
        <v>46212</v>
      </c>
      <c r="S1106" t="s">
        <v>841</v>
      </c>
      <c r="T1106" t="s">
        <v>842</v>
      </c>
      <c r="U1106" t="s">
        <v>843</v>
      </c>
      <c r="V1106" t="s">
        <v>66</v>
      </c>
      <c r="W1106" t="s">
        <v>66</v>
      </c>
      <c r="X1106">
        <v>1959510</v>
      </c>
      <c r="Y1106">
        <v>215546.1</v>
      </c>
      <c r="Z1106">
        <v>97020</v>
      </c>
      <c r="AA1106">
        <v>10672.2</v>
      </c>
      <c r="AB1106">
        <v>2175056.1</v>
      </c>
      <c r="AC1106">
        <v>6</v>
      </c>
      <c r="AD1106" t="s">
        <v>82</v>
      </c>
      <c r="AE1106">
        <v>6</v>
      </c>
      <c r="AF1106" t="s">
        <v>205</v>
      </c>
      <c r="AG1106">
        <f>IFERROR(VLOOKUP(AF1106,[1]STOK!J:O,6,0),"")</f>
        <v>24</v>
      </c>
      <c r="AH1106" s="2">
        <f t="shared" si="34"/>
        <v>0.25</v>
      </c>
      <c r="AI1106" t="s">
        <v>205</v>
      </c>
      <c r="AJ1106" t="s">
        <v>206</v>
      </c>
      <c r="AK1106" t="s">
        <v>207</v>
      </c>
      <c r="AL1106" t="s">
        <v>86</v>
      </c>
      <c r="AM1106">
        <v>18315</v>
      </c>
      <c r="AN1106">
        <f t="shared" si="35"/>
        <v>17948.7</v>
      </c>
      <c r="AO1106" t="s">
        <v>66</v>
      </c>
      <c r="AP1106">
        <v>2</v>
      </c>
      <c r="AQ1106" t="s">
        <v>66</v>
      </c>
      <c r="AR1106">
        <v>0</v>
      </c>
      <c r="AS1106" t="s">
        <v>66</v>
      </c>
      <c r="AT1106">
        <v>0</v>
      </c>
      <c r="AU1106" t="s">
        <v>66</v>
      </c>
      <c r="AV1106">
        <v>0</v>
      </c>
      <c r="AW1106" t="s">
        <v>66</v>
      </c>
      <c r="AX1106">
        <v>0</v>
      </c>
      <c r="AY1106" t="s">
        <v>66</v>
      </c>
      <c r="AZ1106">
        <v>0</v>
      </c>
      <c r="BA1106" t="s">
        <v>66</v>
      </c>
      <c r="BB1106">
        <v>0</v>
      </c>
      <c r="BC1106">
        <v>0</v>
      </c>
      <c r="BD1106">
        <v>107692.2</v>
      </c>
      <c r="BE1106">
        <v>14916.85</v>
      </c>
      <c r="BF1106">
        <v>0</v>
      </c>
      <c r="BG1106" t="s">
        <v>87</v>
      </c>
      <c r="BH1106" t="s">
        <v>66</v>
      </c>
      <c r="BI1106">
        <v>0</v>
      </c>
      <c r="BJ1106" t="s">
        <v>66</v>
      </c>
      <c r="BK1106" t="s">
        <v>88</v>
      </c>
      <c r="BL1106" t="s">
        <v>719</v>
      </c>
      <c r="BM1106" t="s">
        <v>159</v>
      </c>
    </row>
    <row r="1107" spans="1:65" x14ac:dyDescent="0.25">
      <c r="A1107">
        <v>1105</v>
      </c>
      <c r="B1107" t="s">
        <v>1378</v>
      </c>
      <c r="C1107" t="s">
        <v>1379</v>
      </c>
      <c r="D1107" s="1">
        <v>46216</v>
      </c>
      <c r="E1107" t="s">
        <v>1380</v>
      </c>
      <c r="F1107" t="s">
        <v>1381</v>
      </c>
      <c r="G1107" t="s">
        <v>295</v>
      </c>
      <c r="H1107" t="s">
        <v>296</v>
      </c>
      <c r="I1107" t="s">
        <v>71</v>
      </c>
      <c r="J1107" t="s">
        <v>72</v>
      </c>
      <c r="K1107" t="s">
        <v>73</v>
      </c>
      <c r="L1107" t="s">
        <v>74</v>
      </c>
      <c r="M1107" t="s">
        <v>853</v>
      </c>
      <c r="N1107" t="s">
        <v>76</v>
      </c>
      <c r="O1107" t="s">
        <v>854</v>
      </c>
      <c r="P1107" t="s">
        <v>855</v>
      </c>
      <c r="Q1107" t="s">
        <v>1382</v>
      </c>
      <c r="R1107" s="1">
        <v>46212</v>
      </c>
      <c r="S1107" t="s">
        <v>841</v>
      </c>
      <c r="T1107" t="s">
        <v>842</v>
      </c>
      <c r="U1107" t="s">
        <v>843</v>
      </c>
      <c r="V1107" t="s">
        <v>66</v>
      </c>
      <c r="W1107" t="s">
        <v>66</v>
      </c>
      <c r="X1107">
        <v>1959510</v>
      </c>
      <c r="Y1107">
        <v>215546.1</v>
      </c>
      <c r="Z1107">
        <v>80850</v>
      </c>
      <c r="AA1107">
        <v>8893.5</v>
      </c>
      <c r="AB1107">
        <v>2175056.1</v>
      </c>
      <c r="AC1107">
        <v>5</v>
      </c>
      <c r="AD1107" t="s">
        <v>82</v>
      </c>
      <c r="AE1107">
        <v>5</v>
      </c>
      <c r="AF1107" t="s">
        <v>96</v>
      </c>
      <c r="AG1107">
        <f>IFERROR(VLOOKUP(AF1107,[1]STOK!J:O,6,0),"")</f>
        <v>24</v>
      </c>
      <c r="AH1107" s="2">
        <f t="shared" si="34"/>
        <v>0.20833333333333334</v>
      </c>
      <c r="AI1107" t="s">
        <v>96</v>
      </c>
      <c r="AJ1107" t="s">
        <v>97</v>
      </c>
      <c r="AK1107" t="s">
        <v>98</v>
      </c>
      <c r="AL1107" t="s">
        <v>86</v>
      </c>
      <c r="AM1107">
        <v>18315</v>
      </c>
      <c r="AN1107">
        <f t="shared" si="35"/>
        <v>17948.7</v>
      </c>
      <c r="AO1107" t="s">
        <v>66</v>
      </c>
      <c r="AP1107">
        <v>2</v>
      </c>
      <c r="AQ1107" t="s">
        <v>66</v>
      </c>
      <c r="AR1107">
        <v>0</v>
      </c>
      <c r="AS1107" t="s">
        <v>66</v>
      </c>
      <c r="AT1107">
        <v>0</v>
      </c>
      <c r="AU1107" t="s">
        <v>66</v>
      </c>
      <c r="AV1107">
        <v>0</v>
      </c>
      <c r="AW1107" t="s">
        <v>66</v>
      </c>
      <c r="AX1107">
        <v>0</v>
      </c>
      <c r="AY1107" t="s">
        <v>66</v>
      </c>
      <c r="AZ1107">
        <v>0</v>
      </c>
      <c r="BA1107" t="s">
        <v>66</v>
      </c>
      <c r="BB1107">
        <v>0</v>
      </c>
      <c r="BC1107">
        <v>0</v>
      </c>
      <c r="BD1107">
        <v>89743.5</v>
      </c>
      <c r="BE1107">
        <v>14932.91</v>
      </c>
      <c r="BF1107">
        <v>0</v>
      </c>
      <c r="BG1107" t="s">
        <v>87</v>
      </c>
      <c r="BH1107" t="s">
        <v>66</v>
      </c>
      <c r="BI1107">
        <v>0</v>
      </c>
      <c r="BJ1107" t="s">
        <v>66</v>
      </c>
      <c r="BK1107" t="s">
        <v>88</v>
      </c>
      <c r="BL1107" t="s">
        <v>719</v>
      </c>
      <c r="BM1107" t="s">
        <v>159</v>
      </c>
    </row>
    <row r="1108" spans="1:65" x14ac:dyDescent="0.25">
      <c r="A1108">
        <v>1106</v>
      </c>
      <c r="B1108" t="s">
        <v>1378</v>
      </c>
      <c r="C1108" t="s">
        <v>1379</v>
      </c>
      <c r="D1108" s="1">
        <v>46216</v>
      </c>
      <c r="E1108" t="s">
        <v>1380</v>
      </c>
      <c r="F1108" t="s">
        <v>1381</v>
      </c>
      <c r="G1108" t="s">
        <v>295</v>
      </c>
      <c r="H1108" t="s">
        <v>296</v>
      </c>
      <c r="I1108" t="s">
        <v>71</v>
      </c>
      <c r="J1108" t="s">
        <v>72</v>
      </c>
      <c r="K1108" t="s">
        <v>73</v>
      </c>
      <c r="L1108" t="s">
        <v>74</v>
      </c>
      <c r="M1108" t="s">
        <v>853</v>
      </c>
      <c r="N1108" t="s">
        <v>76</v>
      </c>
      <c r="O1108" t="s">
        <v>854</v>
      </c>
      <c r="P1108" t="s">
        <v>855</v>
      </c>
      <c r="Q1108" t="s">
        <v>1382</v>
      </c>
      <c r="R1108" s="1">
        <v>46212</v>
      </c>
      <c r="S1108" t="s">
        <v>841</v>
      </c>
      <c r="T1108" t="s">
        <v>842</v>
      </c>
      <c r="U1108" t="s">
        <v>843</v>
      </c>
      <c r="V1108" t="s">
        <v>66</v>
      </c>
      <c r="W1108" t="s">
        <v>66</v>
      </c>
      <c r="X1108">
        <v>1959510</v>
      </c>
      <c r="Y1108">
        <v>215546.1</v>
      </c>
      <c r="Z1108">
        <v>80850</v>
      </c>
      <c r="AA1108">
        <v>8893.5</v>
      </c>
      <c r="AB1108">
        <v>2175056.1</v>
      </c>
      <c r="AC1108">
        <v>5</v>
      </c>
      <c r="AD1108" t="s">
        <v>82</v>
      </c>
      <c r="AE1108">
        <v>5</v>
      </c>
      <c r="AF1108" t="s">
        <v>99</v>
      </c>
      <c r="AG1108">
        <f>IFERROR(VLOOKUP(AF1108,[1]STOK!J:O,6,0),"")</f>
        <v>24</v>
      </c>
      <c r="AH1108" s="2">
        <f t="shared" si="34"/>
        <v>0.20833333333333334</v>
      </c>
      <c r="AI1108" t="s">
        <v>99</v>
      </c>
      <c r="AJ1108" t="s">
        <v>100</v>
      </c>
      <c r="AK1108" t="s">
        <v>101</v>
      </c>
      <c r="AL1108" t="s">
        <v>86</v>
      </c>
      <c r="AM1108">
        <v>18315</v>
      </c>
      <c r="AN1108">
        <f t="shared" si="35"/>
        <v>17948.7</v>
      </c>
      <c r="AO1108" t="s">
        <v>66</v>
      </c>
      <c r="AP1108">
        <v>2</v>
      </c>
      <c r="AQ1108" t="s">
        <v>66</v>
      </c>
      <c r="AR1108">
        <v>0</v>
      </c>
      <c r="AS1108" t="s">
        <v>66</v>
      </c>
      <c r="AT1108">
        <v>0</v>
      </c>
      <c r="AU1108" t="s">
        <v>66</v>
      </c>
      <c r="AV1108">
        <v>0</v>
      </c>
      <c r="AW1108" t="s">
        <v>66</v>
      </c>
      <c r="AX1108">
        <v>0</v>
      </c>
      <c r="AY1108" t="s">
        <v>66</v>
      </c>
      <c r="AZ1108">
        <v>0</v>
      </c>
      <c r="BA1108" t="s">
        <v>66</v>
      </c>
      <c r="BB1108">
        <v>0</v>
      </c>
      <c r="BC1108">
        <v>0</v>
      </c>
      <c r="BD1108">
        <v>89743.5</v>
      </c>
      <c r="BE1108">
        <v>14924.12</v>
      </c>
      <c r="BF1108">
        <v>0</v>
      </c>
      <c r="BG1108" t="s">
        <v>87</v>
      </c>
      <c r="BH1108" t="s">
        <v>66</v>
      </c>
      <c r="BI1108">
        <v>0</v>
      </c>
      <c r="BJ1108" t="s">
        <v>66</v>
      </c>
      <c r="BK1108" t="s">
        <v>88</v>
      </c>
      <c r="BL1108" t="s">
        <v>719</v>
      </c>
      <c r="BM1108" t="s">
        <v>159</v>
      </c>
    </row>
    <row r="1109" spans="1:65" x14ac:dyDescent="0.25">
      <c r="A1109">
        <v>1107</v>
      </c>
      <c r="B1109" t="s">
        <v>1378</v>
      </c>
      <c r="C1109" t="s">
        <v>1379</v>
      </c>
      <c r="D1109" s="1">
        <v>46216</v>
      </c>
      <c r="E1109" t="s">
        <v>1380</v>
      </c>
      <c r="F1109" t="s">
        <v>1381</v>
      </c>
      <c r="G1109" t="s">
        <v>295</v>
      </c>
      <c r="H1109" t="s">
        <v>296</v>
      </c>
      <c r="I1109" t="s">
        <v>71</v>
      </c>
      <c r="J1109" t="s">
        <v>72</v>
      </c>
      <c r="K1109" t="s">
        <v>73</v>
      </c>
      <c r="L1109" t="s">
        <v>74</v>
      </c>
      <c r="M1109" t="s">
        <v>853</v>
      </c>
      <c r="N1109" t="s">
        <v>76</v>
      </c>
      <c r="O1109" t="s">
        <v>854</v>
      </c>
      <c r="P1109" t="s">
        <v>855</v>
      </c>
      <c r="Q1109" t="s">
        <v>1382</v>
      </c>
      <c r="R1109" s="1">
        <v>46212</v>
      </c>
      <c r="S1109" t="s">
        <v>841</v>
      </c>
      <c r="T1109" t="s">
        <v>842</v>
      </c>
      <c r="U1109" t="s">
        <v>843</v>
      </c>
      <c r="V1109" t="s">
        <v>66</v>
      </c>
      <c r="W1109" t="s">
        <v>66</v>
      </c>
      <c r="X1109">
        <v>1959510</v>
      </c>
      <c r="Y1109">
        <v>215546.1</v>
      </c>
      <c r="Z1109">
        <v>160524</v>
      </c>
      <c r="AA1109">
        <v>17657.64</v>
      </c>
      <c r="AB1109">
        <v>2175056.1</v>
      </c>
      <c r="AC1109">
        <v>6</v>
      </c>
      <c r="AD1109" t="s">
        <v>82</v>
      </c>
      <c r="AE1109">
        <v>6</v>
      </c>
      <c r="AF1109" t="s">
        <v>563</v>
      </c>
      <c r="AG1109">
        <f>IFERROR(VLOOKUP(AF1109,[1]STOK!J:O,6,0),"")</f>
        <v>12</v>
      </c>
      <c r="AH1109" s="2">
        <f t="shared" si="34"/>
        <v>0.5</v>
      </c>
      <c r="AI1109" t="s">
        <v>563</v>
      </c>
      <c r="AJ1109" t="s">
        <v>564</v>
      </c>
      <c r="AK1109" t="s">
        <v>565</v>
      </c>
      <c r="AL1109" t="s">
        <v>86</v>
      </c>
      <c r="AM1109">
        <v>30303</v>
      </c>
      <c r="AN1109">
        <f t="shared" si="35"/>
        <v>29696.940000000002</v>
      </c>
      <c r="AO1109" t="s">
        <v>66</v>
      </c>
      <c r="AP1109">
        <v>2</v>
      </c>
      <c r="AQ1109" t="s">
        <v>66</v>
      </c>
      <c r="AR1109">
        <v>0</v>
      </c>
      <c r="AS1109" t="s">
        <v>66</v>
      </c>
      <c r="AT1109">
        <v>0</v>
      </c>
      <c r="AU1109" t="s">
        <v>66</v>
      </c>
      <c r="AV1109">
        <v>0</v>
      </c>
      <c r="AW1109" t="s">
        <v>66</v>
      </c>
      <c r="AX1109">
        <v>0</v>
      </c>
      <c r="AY1109" t="s">
        <v>66</v>
      </c>
      <c r="AZ1109">
        <v>0</v>
      </c>
      <c r="BA1109" t="s">
        <v>66</v>
      </c>
      <c r="BB1109">
        <v>0</v>
      </c>
      <c r="BC1109">
        <v>0</v>
      </c>
      <c r="BD1109">
        <v>178181.64</v>
      </c>
      <c r="BE1109">
        <v>24692.69</v>
      </c>
      <c r="BF1109">
        <v>0</v>
      </c>
      <c r="BG1109" t="s">
        <v>87</v>
      </c>
      <c r="BH1109" t="s">
        <v>66</v>
      </c>
      <c r="BI1109">
        <v>0</v>
      </c>
      <c r="BJ1109" t="s">
        <v>66</v>
      </c>
      <c r="BK1109" t="s">
        <v>88</v>
      </c>
      <c r="BL1109" t="s">
        <v>719</v>
      </c>
      <c r="BM1109" t="s">
        <v>159</v>
      </c>
    </row>
    <row r="1110" spans="1:65" x14ac:dyDescent="0.25">
      <c r="A1110">
        <v>1108</v>
      </c>
      <c r="B1110" t="s">
        <v>1378</v>
      </c>
      <c r="C1110" t="s">
        <v>1379</v>
      </c>
      <c r="D1110" s="1">
        <v>46216</v>
      </c>
      <c r="E1110" t="s">
        <v>1380</v>
      </c>
      <c r="F1110" t="s">
        <v>1381</v>
      </c>
      <c r="G1110" t="s">
        <v>295</v>
      </c>
      <c r="H1110" t="s">
        <v>296</v>
      </c>
      <c r="I1110" t="s">
        <v>71</v>
      </c>
      <c r="J1110" t="s">
        <v>72</v>
      </c>
      <c r="K1110" t="s">
        <v>73</v>
      </c>
      <c r="L1110" t="s">
        <v>74</v>
      </c>
      <c r="M1110" t="s">
        <v>853</v>
      </c>
      <c r="N1110" t="s">
        <v>76</v>
      </c>
      <c r="O1110" t="s">
        <v>854</v>
      </c>
      <c r="P1110" t="s">
        <v>855</v>
      </c>
      <c r="Q1110" t="s">
        <v>1382</v>
      </c>
      <c r="R1110" s="1">
        <v>46212</v>
      </c>
      <c r="S1110" t="s">
        <v>841</v>
      </c>
      <c r="T1110" t="s">
        <v>842</v>
      </c>
      <c r="U1110" t="s">
        <v>843</v>
      </c>
      <c r="V1110" t="s">
        <v>66</v>
      </c>
      <c r="W1110" t="s">
        <v>66</v>
      </c>
      <c r="X1110">
        <v>1959510</v>
      </c>
      <c r="Y1110">
        <v>215546.1</v>
      </c>
      <c r="Z1110">
        <v>57036</v>
      </c>
      <c r="AA1110">
        <v>6273.96</v>
      </c>
      <c r="AB1110">
        <v>2175056.1</v>
      </c>
      <c r="AC1110">
        <v>3</v>
      </c>
      <c r="AD1110" t="s">
        <v>82</v>
      </c>
      <c r="AE1110">
        <v>3</v>
      </c>
      <c r="AF1110" t="s">
        <v>470</v>
      </c>
      <c r="AG1110">
        <f>IFERROR(VLOOKUP(AF1110,[1]STOK!J:O,6,0),"")</f>
        <v>24</v>
      </c>
      <c r="AH1110" s="2">
        <f t="shared" si="34"/>
        <v>0.125</v>
      </c>
      <c r="AI1110" t="s">
        <v>470</v>
      </c>
      <c r="AJ1110" t="s">
        <v>471</v>
      </c>
      <c r="AK1110" t="s">
        <v>472</v>
      </c>
      <c r="AL1110" t="s">
        <v>86</v>
      </c>
      <c r="AM1110">
        <v>21534</v>
      </c>
      <c r="AN1110">
        <f t="shared" si="35"/>
        <v>21103.32</v>
      </c>
      <c r="AO1110" t="s">
        <v>66</v>
      </c>
      <c r="AP1110">
        <v>2</v>
      </c>
      <c r="AQ1110" t="s">
        <v>66</v>
      </c>
      <c r="AR1110">
        <v>0</v>
      </c>
      <c r="AS1110" t="s">
        <v>66</v>
      </c>
      <c r="AT1110">
        <v>0</v>
      </c>
      <c r="AU1110" t="s">
        <v>66</v>
      </c>
      <c r="AV1110">
        <v>0</v>
      </c>
      <c r="AW1110" t="s">
        <v>66</v>
      </c>
      <c r="AX1110">
        <v>0</v>
      </c>
      <c r="AY1110" t="s">
        <v>66</v>
      </c>
      <c r="AZ1110">
        <v>0</v>
      </c>
      <c r="BA1110" t="s">
        <v>66</v>
      </c>
      <c r="BB1110">
        <v>0</v>
      </c>
      <c r="BC1110">
        <v>0</v>
      </c>
      <c r="BD1110">
        <v>63309.96</v>
      </c>
      <c r="BE1110">
        <v>17503.57</v>
      </c>
      <c r="BF1110">
        <v>0</v>
      </c>
      <c r="BG1110" t="s">
        <v>87</v>
      </c>
      <c r="BH1110" t="s">
        <v>66</v>
      </c>
      <c r="BI1110">
        <v>0</v>
      </c>
      <c r="BJ1110" t="s">
        <v>66</v>
      </c>
      <c r="BK1110" t="s">
        <v>88</v>
      </c>
      <c r="BL1110" t="s">
        <v>719</v>
      </c>
      <c r="BM1110" t="s">
        <v>159</v>
      </c>
    </row>
    <row r="1111" spans="1:65" x14ac:dyDescent="0.25">
      <c r="A1111">
        <v>1109</v>
      </c>
      <c r="B1111" t="s">
        <v>1378</v>
      </c>
      <c r="C1111" t="s">
        <v>1379</v>
      </c>
      <c r="D1111" s="1">
        <v>46216</v>
      </c>
      <c r="E1111" t="s">
        <v>1380</v>
      </c>
      <c r="F1111" t="s">
        <v>1381</v>
      </c>
      <c r="G1111" t="s">
        <v>295</v>
      </c>
      <c r="H1111" t="s">
        <v>296</v>
      </c>
      <c r="I1111" t="s">
        <v>71</v>
      </c>
      <c r="J1111" t="s">
        <v>72</v>
      </c>
      <c r="K1111" t="s">
        <v>73</v>
      </c>
      <c r="L1111" t="s">
        <v>74</v>
      </c>
      <c r="M1111" t="s">
        <v>853</v>
      </c>
      <c r="N1111" t="s">
        <v>76</v>
      </c>
      <c r="O1111" t="s">
        <v>854</v>
      </c>
      <c r="P1111" t="s">
        <v>855</v>
      </c>
      <c r="Q1111" t="s">
        <v>1382</v>
      </c>
      <c r="R1111" s="1">
        <v>46212</v>
      </c>
      <c r="S1111" t="s">
        <v>841</v>
      </c>
      <c r="T1111" t="s">
        <v>842</v>
      </c>
      <c r="U1111" t="s">
        <v>843</v>
      </c>
      <c r="V1111" t="s">
        <v>66</v>
      </c>
      <c r="W1111" t="s">
        <v>66</v>
      </c>
      <c r="X1111">
        <v>1959510</v>
      </c>
      <c r="Y1111">
        <v>215546.1</v>
      </c>
      <c r="Z1111">
        <v>78204</v>
      </c>
      <c r="AA1111">
        <v>8602.44</v>
      </c>
      <c r="AB1111">
        <v>2175056.1</v>
      </c>
      <c r="AC1111">
        <v>6</v>
      </c>
      <c r="AD1111" t="s">
        <v>82</v>
      </c>
      <c r="AE1111">
        <v>6</v>
      </c>
      <c r="AF1111" t="s">
        <v>135</v>
      </c>
      <c r="AG1111">
        <f>IFERROR(VLOOKUP(AF1111,[1]STOK!J:O,6,0),"")</f>
        <v>12</v>
      </c>
      <c r="AH1111" s="2">
        <f t="shared" si="34"/>
        <v>0.5</v>
      </c>
      <c r="AI1111" t="s">
        <v>135</v>
      </c>
      <c r="AJ1111" t="s">
        <v>136</v>
      </c>
      <c r="AK1111" t="s">
        <v>137</v>
      </c>
      <c r="AL1111" t="s">
        <v>86</v>
      </c>
      <c r="AM1111">
        <v>14763</v>
      </c>
      <c r="AN1111">
        <f t="shared" si="35"/>
        <v>14467.74</v>
      </c>
      <c r="AO1111" t="s">
        <v>66</v>
      </c>
      <c r="AP1111">
        <v>2</v>
      </c>
      <c r="AQ1111" t="s">
        <v>66</v>
      </c>
      <c r="AR1111">
        <v>0</v>
      </c>
      <c r="AS1111" t="s">
        <v>66</v>
      </c>
      <c r="AT1111">
        <v>0</v>
      </c>
      <c r="AU1111" t="s">
        <v>66</v>
      </c>
      <c r="AV1111">
        <v>0</v>
      </c>
      <c r="AW1111" t="s">
        <v>66</v>
      </c>
      <c r="AX1111">
        <v>0</v>
      </c>
      <c r="AY1111" t="s">
        <v>66</v>
      </c>
      <c r="AZ1111">
        <v>0</v>
      </c>
      <c r="BA1111" t="s">
        <v>66</v>
      </c>
      <c r="BB1111">
        <v>0</v>
      </c>
      <c r="BC1111">
        <v>0</v>
      </c>
      <c r="BD1111">
        <v>86806.44</v>
      </c>
      <c r="BE1111">
        <v>12036.5</v>
      </c>
      <c r="BF1111">
        <v>0</v>
      </c>
      <c r="BG1111" t="s">
        <v>87</v>
      </c>
      <c r="BH1111" t="s">
        <v>66</v>
      </c>
      <c r="BI1111">
        <v>0</v>
      </c>
      <c r="BJ1111" t="s">
        <v>66</v>
      </c>
      <c r="BK1111" t="s">
        <v>88</v>
      </c>
      <c r="BL1111" t="s">
        <v>719</v>
      </c>
      <c r="BM1111" t="s">
        <v>159</v>
      </c>
    </row>
    <row r="1112" spans="1:65" x14ac:dyDescent="0.25">
      <c r="A1112">
        <v>1110</v>
      </c>
      <c r="B1112" t="s">
        <v>1378</v>
      </c>
      <c r="C1112" t="s">
        <v>1379</v>
      </c>
      <c r="D1112" s="1">
        <v>46216</v>
      </c>
      <c r="E1112" t="s">
        <v>1380</v>
      </c>
      <c r="F1112" t="s">
        <v>1381</v>
      </c>
      <c r="G1112" t="s">
        <v>295</v>
      </c>
      <c r="H1112" t="s">
        <v>296</v>
      </c>
      <c r="I1112" t="s">
        <v>71</v>
      </c>
      <c r="J1112" t="s">
        <v>72</v>
      </c>
      <c r="K1112" t="s">
        <v>73</v>
      </c>
      <c r="L1112" t="s">
        <v>74</v>
      </c>
      <c r="M1112" t="s">
        <v>853</v>
      </c>
      <c r="N1112" t="s">
        <v>76</v>
      </c>
      <c r="O1112" t="s">
        <v>854</v>
      </c>
      <c r="P1112" t="s">
        <v>855</v>
      </c>
      <c r="Q1112" t="s">
        <v>1382</v>
      </c>
      <c r="R1112" s="1">
        <v>46212</v>
      </c>
      <c r="S1112" t="s">
        <v>841</v>
      </c>
      <c r="T1112" t="s">
        <v>842</v>
      </c>
      <c r="U1112" t="s">
        <v>843</v>
      </c>
      <c r="V1112" t="s">
        <v>66</v>
      </c>
      <c r="W1112" t="s">
        <v>66</v>
      </c>
      <c r="X1112">
        <v>1959510</v>
      </c>
      <c r="Y1112">
        <v>215546.1</v>
      </c>
      <c r="Z1112">
        <v>78204</v>
      </c>
      <c r="AA1112">
        <v>8602.44</v>
      </c>
      <c r="AB1112">
        <v>2175056.1</v>
      </c>
      <c r="AC1112">
        <v>6</v>
      </c>
      <c r="AD1112" t="s">
        <v>82</v>
      </c>
      <c r="AE1112">
        <v>6</v>
      </c>
      <c r="AF1112" t="s">
        <v>210</v>
      </c>
      <c r="AG1112">
        <f>IFERROR(VLOOKUP(AF1112,[1]STOK!J:O,6,0),"")</f>
        <v>12</v>
      </c>
      <c r="AH1112" s="2">
        <f t="shared" si="34"/>
        <v>0.5</v>
      </c>
      <c r="AI1112" t="s">
        <v>210</v>
      </c>
      <c r="AJ1112" t="s">
        <v>211</v>
      </c>
      <c r="AK1112" t="s">
        <v>212</v>
      </c>
      <c r="AL1112" t="s">
        <v>86</v>
      </c>
      <c r="AM1112">
        <v>14763</v>
      </c>
      <c r="AN1112">
        <f t="shared" si="35"/>
        <v>14467.74</v>
      </c>
      <c r="AO1112" t="s">
        <v>66</v>
      </c>
      <c r="AP1112">
        <v>2</v>
      </c>
      <c r="AQ1112" t="s">
        <v>66</v>
      </c>
      <c r="AR1112">
        <v>0</v>
      </c>
      <c r="AS1112" t="s">
        <v>66</v>
      </c>
      <c r="AT1112">
        <v>0</v>
      </c>
      <c r="AU1112" t="s">
        <v>66</v>
      </c>
      <c r="AV1112">
        <v>0</v>
      </c>
      <c r="AW1112" t="s">
        <v>66</v>
      </c>
      <c r="AX1112">
        <v>0</v>
      </c>
      <c r="AY1112" t="s">
        <v>66</v>
      </c>
      <c r="AZ1112">
        <v>0</v>
      </c>
      <c r="BA1112" t="s">
        <v>66</v>
      </c>
      <c r="BB1112">
        <v>0</v>
      </c>
      <c r="BC1112">
        <v>0</v>
      </c>
      <c r="BD1112">
        <v>86806.44</v>
      </c>
      <c r="BE1112">
        <v>12023.52</v>
      </c>
      <c r="BF1112">
        <v>0</v>
      </c>
      <c r="BG1112" t="s">
        <v>87</v>
      </c>
      <c r="BH1112" t="s">
        <v>66</v>
      </c>
      <c r="BI1112">
        <v>0</v>
      </c>
      <c r="BJ1112" t="s">
        <v>66</v>
      </c>
      <c r="BK1112" t="s">
        <v>88</v>
      </c>
      <c r="BL1112" t="s">
        <v>719</v>
      </c>
      <c r="BM1112" t="s">
        <v>159</v>
      </c>
    </row>
    <row r="1113" spans="1:65" x14ac:dyDescent="0.25">
      <c r="A1113">
        <v>1111</v>
      </c>
      <c r="B1113" t="s">
        <v>1378</v>
      </c>
      <c r="C1113" t="s">
        <v>1379</v>
      </c>
      <c r="D1113" s="1">
        <v>46216</v>
      </c>
      <c r="E1113" t="s">
        <v>1380</v>
      </c>
      <c r="F1113" t="s">
        <v>1381</v>
      </c>
      <c r="G1113" t="s">
        <v>295</v>
      </c>
      <c r="H1113" t="s">
        <v>296</v>
      </c>
      <c r="I1113" t="s">
        <v>71</v>
      </c>
      <c r="J1113" t="s">
        <v>72</v>
      </c>
      <c r="K1113" t="s">
        <v>73</v>
      </c>
      <c r="L1113" t="s">
        <v>74</v>
      </c>
      <c r="M1113" t="s">
        <v>853</v>
      </c>
      <c r="N1113" t="s">
        <v>76</v>
      </c>
      <c r="O1113" t="s">
        <v>854</v>
      </c>
      <c r="P1113" t="s">
        <v>855</v>
      </c>
      <c r="Q1113" t="s">
        <v>1382</v>
      </c>
      <c r="R1113" s="1">
        <v>46212</v>
      </c>
      <c r="S1113" t="s">
        <v>841</v>
      </c>
      <c r="T1113" t="s">
        <v>842</v>
      </c>
      <c r="U1113" t="s">
        <v>843</v>
      </c>
      <c r="V1113" t="s">
        <v>66</v>
      </c>
      <c r="W1113" t="s">
        <v>66</v>
      </c>
      <c r="X1113">
        <v>1959510</v>
      </c>
      <c r="Y1113">
        <v>215546.1</v>
      </c>
      <c r="Z1113">
        <v>101724</v>
      </c>
      <c r="AA1113">
        <v>11189.64</v>
      </c>
      <c r="AB1113">
        <v>2175056.1</v>
      </c>
      <c r="AC1113">
        <v>6</v>
      </c>
      <c r="AD1113" t="s">
        <v>82</v>
      </c>
      <c r="AE1113">
        <v>6</v>
      </c>
      <c r="AF1113" t="s">
        <v>359</v>
      </c>
      <c r="AG1113">
        <f>IFERROR(VLOOKUP(AF1113,[1]STOK!J:O,6,0),"")</f>
        <v>12</v>
      </c>
      <c r="AH1113" s="2">
        <f t="shared" si="34"/>
        <v>0.5</v>
      </c>
      <c r="AI1113" t="s">
        <v>359</v>
      </c>
      <c r="AJ1113" t="s">
        <v>360</v>
      </c>
      <c r="AK1113" t="s">
        <v>361</v>
      </c>
      <c r="AL1113" t="s">
        <v>86</v>
      </c>
      <c r="AM1113">
        <v>19203</v>
      </c>
      <c r="AN1113">
        <f t="shared" si="35"/>
        <v>18818.939999999999</v>
      </c>
      <c r="AO1113" t="s">
        <v>66</v>
      </c>
      <c r="AP1113">
        <v>2</v>
      </c>
      <c r="AQ1113" t="s">
        <v>66</v>
      </c>
      <c r="AR1113">
        <v>0</v>
      </c>
      <c r="AS1113" t="s">
        <v>66</v>
      </c>
      <c r="AT1113">
        <v>0</v>
      </c>
      <c r="AU1113" t="s">
        <v>66</v>
      </c>
      <c r="AV1113">
        <v>0</v>
      </c>
      <c r="AW1113" t="s">
        <v>66</v>
      </c>
      <c r="AX1113">
        <v>0</v>
      </c>
      <c r="AY1113" t="s">
        <v>66</v>
      </c>
      <c r="AZ1113">
        <v>0</v>
      </c>
      <c r="BA1113" t="s">
        <v>66</v>
      </c>
      <c r="BB1113">
        <v>0</v>
      </c>
      <c r="BC1113">
        <v>0</v>
      </c>
      <c r="BD1113">
        <v>112913.64</v>
      </c>
      <c r="BE1113">
        <v>15641.71</v>
      </c>
      <c r="BF1113">
        <v>0</v>
      </c>
      <c r="BG1113" t="s">
        <v>87</v>
      </c>
      <c r="BH1113" t="s">
        <v>66</v>
      </c>
      <c r="BI1113">
        <v>0</v>
      </c>
      <c r="BJ1113" t="s">
        <v>66</v>
      </c>
      <c r="BK1113" t="s">
        <v>88</v>
      </c>
      <c r="BL1113" t="s">
        <v>719</v>
      </c>
      <c r="BM1113" t="s">
        <v>159</v>
      </c>
    </row>
    <row r="1114" spans="1:65" x14ac:dyDescent="0.25">
      <c r="A1114">
        <v>1112</v>
      </c>
      <c r="B1114" t="s">
        <v>1378</v>
      </c>
      <c r="C1114" t="s">
        <v>1379</v>
      </c>
      <c r="D1114" s="1">
        <v>46216</v>
      </c>
      <c r="E1114" t="s">
        <v>1380</v>
      </c>
      <c r="F1114" t="s">
        <v>1381</v>
      </c>
      <c r="G1114" t="s">
        <v>295</v>
      </c>
      <c r="H1114" t="s">
        <v>296</v>
      </c>
      <c r="I1114" t="s">
        <v>71</v>
      </c>
      <c r="J1114" t="s">
        <v>72</v>
      </c>
      <c r="K1114" t="s">
        <v>73</v>
      </c>
      <c r="L1114" t="s">
        <v>74</v>
      </c>
      <c r="M1114" t="s">
        <v>853</v>
      </c>
      <c r="N1114" t="s">
        <v>76</v>
      </c>
      <c r="O1114" t="s">
        <v>854</v>
      </c>
      <c r="P1114" t="s">
        <v>855</v>
      </c>
      <c r="Q1114" t="s">
        <v>1382</v>
      </c>
      <c r="R1114" s="1">
        <v>46212</v>
      </c>
      <c r="S1114" t="s">
        <v>841</v>
      </c>
      <c r="T1114" t="s">
        <v>842</v>
      </c>
      <c r="U1114" t="s">
        <v>843</v>
      </c>
      <c r="V1114" t="s">
        <v>66</v>
      </c>
      <c r="W1114" t="s">
        <v>66</v>
      </c>
      <c r="X1114">
        <v>1959510</v>
      </c>
      <c r="Y1114">
        <v>215546.1</v>
      </c>
      <c r="Z1114">
        <v>117600</v>
      </c>
      <c r="AA1114">
        <v>12936</v>
      </c>
      <c r="AB1114">
        <v>2175056.1</v>
      </c>
      <c r="AC1114">
        <v>6</v>
      </c>
      <c r="AD1114" t="s">
        <v>82</v>
      </c>
      <c r="AE1114">
        <v>6</v>
      </c>
      <c r="AF1114" t="s">
        <v>290</v>
      </c>
      <c r="AG1114">
        <f>IFERROR(VLOOKUP(AF1114,[1]STOK!J:O,6,0),"")</f>
        <v>12</v>
      </c>
      <c r="AH1114" s="2">
        <f t="shared" si="34"/>
        <v>0.5</v>
      </c>
      <c r="AI1114" t="s">
        <v>290</v>
      </c>
      <c r="AJ1114" t="s">
        <v>291</v>
      </c>
      <c r="AK1114" t="s">
        <v>292</v>
      </c>
      <c r="AL1114" t="s">
        <v>86</v>
      </c>
      <c r="AM1114">
        <v>22200</v>
      </c>
      <c r="AN1114">
        <f t="shared" si="35"/>
        <v>21756</v>
      </c>
      <c r="AO1114" t="s">
        <v>66</v>
      </c>
      <c r="AP1114">
        <v>2</v>
      </c>
      <c r="AQ1114" t="s">
        <v>66</v>
      </c>
      <c r="AR1114">
        <v>0</v>
      </c>
      <c r="AS1114" t="s">
        <v>66</v>
      </c>
      <c r="AT1114">
        <v>0</v>
      </c>
      <c r="AU1114" t="s">
        <v>66</v>
      </c>
      <c r="AV1114">
        <v>0</v>
      </c>
      <c r="AW1114" t="s">
        <v>66</v>
      </c>
      <c r="AX1114">
        <v>0</v>
      </c>
      <c r="AY1114" t="s">
        <v>66</v>
      </c>
      <c r="AZ1114">
        <v>0</v>
      </c>
      <c r="BA1114" t="s">
        <v>66</v>
      </c>
      <c r="BB1114">
        <v>0</v>
      </c>
      <c r="BC1114">
        <v>0</v>
      </c>
      <c r="BD1114">
        <v>130536</v>
      </c>
      <c r="BE1114">
        <v>18103.099999999999</v>
      </c>
      <c r="BF1114">
        <v>0</v>
      </c>
      <c r="BG1114" t="s">
        <v>87</v>
      </c>
      <c r="BH1114" t="s">
        <v>66</v>
      </c>
      <c r="BI1114">
        <v>0</v>
      </c>
      <c r="BJ1114" t="s">
        <v>66</v>
      </c>
      <c r="BK1114" t="s">
        <v>88</v>
      </c>
      <c r="BL1114" t="s">
        <v>719</v>
      </c>
      <c r="BM1114" t="s">
        <v>159</v>
      </c>
    </row>
    <row r="1115" spans="1:65" x14ac:dyDescent="0.25">
      <c r="A1115">
        <v>1113</v>
      </c>
      <c r="B1115" t="s">
        <v>1378</v>
      </c>
      <c r="C1115" t="s">
        <v>1379</v>
      </c>
      <c r="D1115" s="1">
        <v>46216</v>
      </c>
      <c r="E1115" t="s">
        <v>1380</v>
      </c>
      <c r="F1115" t="s">
        <v>1381</v>
      </c>
      <c r="G1115" t="s">
        <v>295</v>
      </c>
      <c r="H1115" t="s">
        <v>296</v>
      </c>
      <c r="I1115" t="s">
        <v>71</v>
      </c>
      <c r="J1115" t="s">
        <v>72</v>
      </c>
      <c r="K1115" t="s">
        <v>73</v>
      </c>
      <c r="L1115" t="s">
        <v>74</v>
      </c>
      <c r="M1115" t="s">
        <v>853</v>
      </c>
      <c r="N1115" t="s">
        <v>76</v>
      </c>
      <c r="O1115" t="s">
        <v>854</v>
      </c>
      <c r="P1115" t="s">
        <v>855</v>
      </c>
      <c r="Q1115" t="s">
        <v>1382</v>
      </c>
      <c r="R1115" s="1">
        <v>46212</v>
      </c>
      <c r="S1115" t="s">
        <v>841</v>
      </c>
      <c r="T1115" t="s">
        <v>842</v>
      </c>
      <c r="U1115" t="s">
        <v>843</v>
      </c>
      <c r="V1115" t="s">
        <v>66</v>
      </c>
      <c r="W1115" t="s">
        <v>66</v>
      </c>
      <c r="X1115">
        <v>1959510</v>
      </c>
      <c r="Y1115">
        <v>215546.1</v>
      </c>
      <c r="Z1115">
        <v>117600</v>
      </c>
      <c r="AA1115">
        <v>12936</v>
      </c>
      <c r="AB1115">
        <v>2175056.1</v>
      </c>
      <c r="AC1115">
        <v>6</v>
      </c>
      <c r="AD1115" t="s">
        <v>82</v>
      </c>
      <c r="AE1115">
        <v>6</v>
      </c>
      <c r="AF1115" t="s">
        <v>102</v>
      </c>
      <c r="AG1115">
        <f>IFERROR(VLOOKUP(AF1115,[1]STOK!J:O,6,0),"")</f>
        <v>12</v>
      </c>
      <c r="AH1115" s="2">
        <f t="shared" si="34"/>
        <v>0.5</v>
      </c>
      <c r="AI1115" t="s">
        <v>102</v>
      </c>
      <c r="AJ1115" t="s">
        <v>103</v>
      </c>
      <c r="AK1115" t="s">
        <v>104</v>
      </c>
      <c r="AL1115" t="s">
        <v>86</v>
      </c>
      <c r="AM1115">
        <v>22200</v>
      </c>
      <c r="AN1115">
        <f t="shared" si="35"/>
        <v>21756</v>
      </c>
      <c r="AO1115" t="s">
        <v>66</v>
      </c>
      <c r="AP1115">
        <v>2</v>
      </c>
      <c r="AQ1115" t="s">
        <v>66</v>
      </c>
      <c r="AR1115">
        <v>0</v>
      </c>
      <c r="AS1115" t="s">
        <v>66</v>
      </c>
      <c r="AT1115">
        <v>0</v>
      </c>
      <c r="AU1115" t="s">
        <v>66</v>
      </c>
      <c r="AV1115">
        <v>0</v>
      </c>
      <c r="AW1115" t="s">
        <v>66</v>
      </c>
      <c r="AX1115">
        <v>0</v>
      </c>
      <c r="AY1115" t="s">
        <v>66</v>
      </c>
      <c r="AZ1115">
        <v>0</v>
      </c>
      <c r="BA1115" t="s">
        <v>66</v>
      </c>
      <c r="BB1115">
        <v>0</v>
      </c>
      <c r="BC1115">
        <v>0</v>
      </c>
      <c r="BD1115">
        <v>130536</v>
      </c>
      <c r="BE1115">
        <v>18091.240000000002</v>
      </c>
      <c r="BF1115">
        <v>0</v>
      </c>
      <c r="BG1115" t="s">
        <v>87</v>
      </c>
      <c r="BH1115" t="s">
        <v>66</v>
      </c>
      <c r="BI1115">
        <v>0</v>
      </c>
      <c r="BJ1115" t="s">
        <v>66</v>
      </c>
      <c r="BK1115" t="s">
        <v>88</v>
      </c>
      <c r="BL1115" t="s">
        <v>719</v>
      </c>
      <c r="BM1115" t="s">
        <v>159</v>
      </c>
    </row>
    <row r="1116" spans="1:65" x14ac:dyDescent="0.25">
      <c r="A1116">
        <v>1114</v>
      </c>
      <c r="B1116" t="s">
        <v>1383</v>
      </c>
      <c r="C1116" t="s">
        <v>68</v>
      </c>
      <c r="D1116" s="1">
        <v>46217</v>
      </c>
      <c r="E1116" t="s">
        <v>1384</v>
      </c>
      <c r="F1116" t="s">
        <v>68</v>
      </c>
      <c r="G1116" t="s">
        <v>69</v>
      </c>
      <c r="H1116" t="s">
        <v>70</v>
      </c>
      <c r="I1116" t="s">
        <v>71</v>
      </c>
      <c r="J1116" t="s">
        <v>72</v>
      </c>
      <c r="K1116" t="s">
        <v>73</v>
      </c>
      <c r="L1116" t="s">
        <v>74</v>
      </c>
      <c r="M1116" t="s">
        <v>556</v>
      </c>
      <c r="N1116" t="s">
        <v>111</v>
      </c>
      <c r="O1116" t="s">
        <v>557</v>
      </c>
      <c r="P1116" t="s">
        <v>558</v>
      </c>
      <c r="Q1116" t="s">
        <v>1385</v>
      </c>
      <c r="R1116" s="1">
        <v>46218</v>
      </c>
      <c r="S1116" t="s">
        <v>560</v>
      </c>
      <c r="T1116" t="s">
        <v>561</v>
      </c>
      <c r="U1116" t="s">
        <v>562</v>
      </c>
      <c r="V1116" t="s">
        <v>66</v>
      </c>
      <c r="W1116" t="s">
        <v>66</v>
      </c>
      <c r="X1116">
        <v>3385800</v>
      </c>
      <c r="Y1116">
        <v>372438</v>
      </c>
      <c r="Z1116">
        <v>2257200</v>
      </c>
      <c r="AA1116">
        <v>248292</v>
      </c>
      <c r="AB1116">
        <v>3758238</v>
      </c>
      <c r="AC1116">
        <v>10</v>
      </c>
      <c r="AD1116" t="s">
        <v>134</v>
      </c>
      <c r="AE1116">
        <v>120</v>
      </c>
      <c r="AF1116" t="s">
        <v>290</v>
      </c>
      <c r="AG1116">
        <f>IFERROR(VLOOKUP(AF1116,[1]STOK!J:O,6,0),"")</f>
        <v>12</v>
      </c>
      <c r="AH1116" s="2">
        <f t="shared" si="34"/>
        <v>10</v>
      </c>
      <c r="AI1116" t="s">
        <v>290</v>
      </c>
      <c r="AJ1116" t="s">
        <v>291</v>
      </c>
      <c r="AK1116" t="s">
        <v>292</v>
      </c>
      <c r="AL1116" t="s">
        <v>86</v>
      </c>
      <c r="AM1116">
        <v>266400</v>
      </c>
      <c r="AN1116">
        <f t="shared" si="35"/>
        <v>250549.2</v>
      </c>
      <c r="AO1116" t="s">
        <v>66</v>
      </c>
      <c r="AP1116">
        <v>1</v>
      </c>
      <c r="AQ1116" t="s">
        <v>66</v>
      </c>
      <c r="AR1116">
        <v>0</v>
      </c>
      <c r="AS1116" t="s">
        <v>66</v>
      </c>
      <c r="AT1116">
        <v>0</v>
      </c>
      <c r="AU1116" t="s">
        <v>66</v>
      </c>
      <c r="AV1116">
        <v>5</v>
      </c>
      <c r="AW1116" t="s">
        <v>66</v>
      </c>
      <c r="AX1116">
        <v>0</v>
      </c>
      <c r="AY1116" t="s">
        <v>66</v>
      </c>
      <c r="AZ1116">
        <v>0</v>
      </c>
      <c r="BA1116" t="s">
        <v>66</v>
      </c>
      <c r="BB1116">
        <v>0</v>
      </c>
      <c r="BC1116">
        <v>0</v>
      </c>
      <c r="BD1116">
        <v>2505492</v>
      </c>
      <c r="BE1116">
        <v>18155.62</v>
      </c>
      <c r="BF1116">
        <v>0</v>
      </c>
      <c r="BG1116" t="s">
        <v>87</v>
      </c>
      <c r="BH1116" t="s">
        <v>66</v>
      </c>
      <c r="BI1116">
        <v>0</v>
      </c>
      <c r="BJ1116" t="s">
        <v>66</v>
      </c>
      <c r="BK1116" t="s">
        <v>88</v>
      </c>
      <c r="BL1116" t="s">
        <v>66</v>
      </c>
      <c r="BM1116" t="s">
        <v>159</v>
      </c>
    </row>
    <row r="1117" spans="1:65" x14ac:dyDescent="0.25">
      <c r="A1117">
        <v>1115</v>
      </c>
      <c r="B1117" t="s">
        <v>1383</v>
      </c>
      <c r="C1117" t="s">
        <v>68</v>
      </c>
      <c r="D1117" s="1">
        <v>46217</v>
      </c>
      <c r="E1117" t="s">
        <v>1384</v>
      </c>
      <c r="F1117" t="s">
        <v>68</v>
      </c>
      <c r="G1117" t="s">
        <v>69</v>
      </c>
      <c r="H1117" t="s">
        <v>70</v>
      </c>
      <c r="I1117" t="s">
        <v>71</v>
      </c>
      <c r="J1117" t="s">
        <v>72</v>
      </c>
      <c r="K1117" t="s">
        <v>73</v>
      </c>
      <c r="L1117" t="s">
        <v>74</v>
      </c>
      <c r="M1117" t="s">
        <v>556</v>
      </c>
      <c r="N1117" t="s">
        <v>111</v>
      </c>
      <c r="O1117" t="s">
        <v>557</v>
      </c>
      <c r="P1117" t="s">
        <v>558</v>
      </c>
      <c r="Q1117" t="s">
        <v>1385</v>
      </c>
      <c r="R1117" s="1">
        <v>46218</v>
      </c>
      <c r="S1117" t="s">
        <v>560</v>
      </c>
      <c r="T1117" t="s">
        <v>561</v>
      </c>
      <c r="U1117" t="s">
        <v>562</v>
      </c>
      <c r="V1117" t="s">
        <v>66</v>
      </c>
      <c r="W1117" t="s">
        <v>66</v>
      </c>
      <c r="X1117">
        <v>3385800</v>
      </c>
      <c r="Y1117">
        <v>372438</v>
      </c>
      <c r="Z1117">
        <v>1128600</v>
      </c>
      <c r="AA1117">
        <v>124146</v>
      </c>
      <c r="AB1117">
        <v>3758238</v>
      </c>
      <c r="AC1117">
        <v>5</v>
      </c>
      <c r="AD1117" t="s">
        <v>134</v>
      </c>
      <c r="AE1117">
        <v>60</v>
      </c>
      <c r="AF1117" t="s">
        <v>102</v>
      </c>
      <c r="AG1117">
        <f>IFERROR(VLOOKUP(AF1117,[1]STOK!J:O,6,0),"")</f>
        <v>12</v>
      </c>
      <c r="AH1117" s="2">
        <f t="shared" si="34"/>
        <v>5</v>
      </c>
      <c r="AI1117" t="s">
        <v>102</v>
      </c>
      <c r="AJ1117" t="s">
        <v>103</v>
      </c>
      <c r="AK1117" t="s">
        <v>104</v>
      </c>
      <c r="AL1117" t="s">
        <v>86</v>
      </c>
      <c r="AM1117">
        <v>266400</v>
      </c>
      <c r="AN1117">
        <f t="shared" si="35"/>
        <v>250549.2</v>
      </c>
      <c r="AO1117" t="s">
        <v>66</v>
      </c>
      <c r="AP1117">
        <v>1</v>
      </c>
      <c r="AQ1117" t="s">
        <v>66</v>
      </c>
      <c r="AR1117">
        <v>0</v>
      </c>
      <c r="AS1117" t="s">
        <v>66</v>
      </c>
      <c r="AT1117">
        <v>0</v>
      </c>
      <c r="AU1117" t="s">
        <v>66</v>
      </c>
      <c r="AV1117">
        <v>5</v>
      </c>
      <c r="AW1117" t="s">
        <v>66</v>
      </c>
      <c r="AX1117">
        <v>0</v>
      </c>
      <c r="AY1117" t="s">
        <v>66</v>
      </c>
      <c r="AZ1117">
        <v>0</v>
      </c>
      <c r="BA1117" t="s">
        <v>66</v>
      </c>
      <c r="BB1117">
        <v>0</v>
      </c>
      <c r="BC1117">
        <v>0</v>
      </c>
      <c r="BD1117">
        <v>1252746</v>
      </c>
      <c r="BE1117">
        <v>17828.62</v>
      </c>
      <c r="BF1117">
        <v>0</v>
      </c>
      <c r="BG1117" t="s">
        <v>87</v>
      </c>
      <c r="BH1117" t="s">
        <v>66</v>
      </c>
      <c r="BI1117">
        <v>0</v>
      </c>
      <c r="BJ1117" t="s">
        <v>66</v>
      </c>
      <c r="BK1117" t="s">
        <v>88</v>
      </c>
      <c r="BL1117" t="s">
        <v>66</v>
      </c>
      <c r="BM1117" t="s">
        <v>159</v>
      </c>
    </row>
    <row r="1118" spans="1:65" x14ac:dyDescent="0.25">
      <c r="A1118">
        <v>1116</v>
      </c>
      <c r="B1118" t="s">
        <v>1386</v>
      </c>
      <c r="C1118" t="s">
        <v>68</v>
      </c>
      <c r="D1118" s="1">
        <v>46217</v>
      </c>
      <c r="E1118" t="s">
        <v>1387</v>
      </c>
      <c r="F1118" t="s">
        <v>68</v>
      </c>
      <c r="G1118" t="s">
        <v>69</v>
      </c>
      <c r="H1118" t="s">
        <v>70</v>
      </c>
      <c r="I1118" t="s">
        <v>71</v>
      </c>
      <c r="J1118" t="s">
        <v>72</v>
      </c>
      <c r="K1118" t="s">
        <v>73</v>
      </c>
      <c r="L1118" t="s">
        <v>74</v>
      </c>
      <c r="M1118" t="s">
        <v>556</v>
      </c>
      <c r="N1118" t="s">
        <v>111</v>
      </c>
      <c r="O1118" t="s">
        <v>557</v>
      </c>
      <c r="P1118" t="s">
        <v>558</v>
      </c>
      <c r="Q1118" t="s">
        <v>1388</v>
      </c>
      <c r="R1118" s="1">
        <v>46218</v>
      </c>
      <c r="S1118" t="s">
        <v>560</v>
      </c>
      <c r="T1118" t="s">
        <v>561</v>
      </c>
      <c r="U1118" t="s">
        <v>562</v>
      </c>
      <c r="V1118" t="s">
        <v>66</v>
      </c>
      <c r="W1118" t="s">
        <v>66</v>
      </c>
      <c r="X1118">
        <v>2317194</v>
      </c>
      <c r="Y1118">
        <v>254891.34</v>
      </c>
      <c r="Z1118">
        <v>218592</v>
      </c>
      <c r="AA1118">
        <v>24045.119999999999</v>
      </c>
      <c r="AB1118">
        <v>2572085.34</v>
      </c>
      <c r="AC1118">
        <v>1</v>
      </c>
      <c r="AD1118" t="s">
        <v>134</v>
      </c>
      <c r="AE1118">
        <v>12</v>
      </c>
      <c r="AF1118" t="s">
        <v>160</v>
      </c>
      <c r="AG1118">
        <f>IFERROR(VLOOKUP(AF1118,[1]STOK!J:O,6,0),"")</f>
        <v>12</v>
      </c>
      <c r="AH1118" s="2">
        <f t="shared" si="34"/>
        <v>1</v>
      </c>
      <c r="AI1118" t="s">
        <v>160</v>
      </c>
      <c r="AJ1118" t="s">
        <v>161</v>
      </c>
      <c r="AK1118" t="s">
        <v>162</v>
      </c>
      <c r="AL1118" t="s">
        <v>86</v>
      </c>
      <c r="AM1118">
        <v>245088</v>
      </c>
      <c r="AN1118">
        <f t="shared" si="35"/>
        <v>242637.12</v>
      </c>
      <c r="AO1118" t="s">
        <v>66</v>
      </c>
      <c r="AP1118">
        <v>1</v>
      </c>
      <c r="AQ1118" t="s">
        <v>66</v>
      </c>
      <c r="AR1118">
        <v>0</v>
      </c>
      <c r="AS1118" t="s">
        <v>66</v>
      </c>
      <c r="AT1118">
        <v>0</v>
      </c>
      <c r="AU1118" t="s">
        <v>66</v>
      </c>
      <c r="AV1118">
        <v>0</v>
      </c>
      <c r="AW1118" t="s">
        <v>66</v>
      </c>
      <c r="AX1118">
        <v>0</v>
      </c>
      <c r="AY1118" t="s">
        <v>66</v>
      </c>
      <c r="AZ1118">
        <v>0</v>
      </c>
      <c r="BA1118" t="s">
        <v>66</v>
      </c>
      <c r="BB1118">
        <v>0</v>
      </c>
      <c r="BC1118">
        <v>0</v>
      </c>
      <c r="BD1118">
        <v>242637.12</v>
      </c>
      <c r="BE1118">
        <v>15433.08</v>
      </c>
      <c r="BF1118">
        <v>0</v>
      </c>
      <c r="BG1118" t="s">
        <v>87</v>
      </c>
      <c r="BH1118" t="s">
        <v>66</v>
      </c>
      <c r="BI1118">
        <v>0</v>
      </c>
      <c r="BJ1118" t="s">
        <v>66</v>
      </c>
      <c r="BK1118" t="s">
        <v>88</v>
      </c>
      <c r="BL1118" t="s">
        <v>66</v>
      </c>
      <c r="BM1118" t="s">
        <v>159</v>
      </c>
    </row>
    <row r="1119" spans="1:65" x14ac:dyDescent="0.25">
      <c r="A1119">
        <v>1117</v>
      </c>
      <c r="B1119" t="s">
        <v>1386</v>
      </c>
      <c r="C1119" t="s">
        <v>68</v>
      </c>
      <c r="D1119" s="1">
        <v>46217</v>
      </c>
      <c r="E1119" t="s">
        <v>1387</v>
      </c>
      <c r="F1119" t="s">
        <v>68</v>
      </c>
      <c r="G1119" t="s">
        <v>69</v>
      </c>
      <c r="H1119" t="s">
        <v>70</v>
      </c>
      <c r="I1119" t="s">
        <v>71</v>
      </c>
      <c r="J1119" t="s">
        <v>72</v>
      </c>
      <c r="K1119" t="s">
        <v>73</v>
      </c>
      <c r="L1119" t="s">
        <v>74</v>
      </c>
      <c r="M1119" t="s">
        <v>556</v>
      </c>
      <c r="N1119" t="s">
        <v>111</v>
      </c>
      <c r="O1119" t="s">
        <v>557</v>
      </c>
      <c r="P1119" t="s">
        <v>558</v>
      </c>
      <c r="Q1119" t="s">
        <v>1388</v>
      </c>
      <c r="R1119" s="1">
        <v>46218</v>
      </c>
      <c r="S1119" t="s">
        <v>560</v>
      </c>
      <c r="T1119" t="s">
        <v>561</v>
      </c>
      <c r="U1119" t="s">
        <v>562</v>
      </c>
      <c r="V1119" t="s">
        <v>66</v>
      </c>
      <c r="W1119" t="s">
        <v>66</v>
      </c>
      <c r="X1119">
        <v>2317194</v>
      </c>
      <c r="Y1119">
        <v>254891.34</v>
      </c>
      <c r="Z1119">
        <v>93852</v>
      </c>
      <c r="AA1119">
        <v>10323.719999999999</v>
      </c>
      <c r="AB1119">
        <v>2572085.34</v>
      </c>
      <c r="AC1119">
        <v>12</v>
      </c>
      <c r="AD1119" t="s">
        <v>82</v>
      </c>
      <c r="AE1119">
        <v>12</v>
      </c>
      <c r="AF1119" t="s">
        <v>199</v>
      </c>
      <c r="AG1119">
        <f>IFERROR(VLOOKUP(AF1119,[1]STOK!J:O,6,0),"")</f>
        <v>24</v>
      </c>
      <c r="AH1119" s="2">
        <f t="shared" si="34"/>
        <v>0.5</v>
      </c>
      <c r="AI1119" t="s">
        <v>199</v>
      </c>
      <c r="AJ1119" t="s">
        <v>200</v>
      </c>
      <c r="AK1119" t="s">
        <v>201</v>
      </c>
      <c r="AL1119" t="s">
        <v>86</v>
      </c>
      <c r="AM1119">
        <v>8769</v>
      </c>
      <c r="AN1119">
        <f t="shared" si="35"/>
        <v>8681.31</v>
      </c>
      <c r="AO1119" t="s">
        <v>66</v>
      </c>
      <c r="AP1119">
        <v>1</v>
      </c>
      <c r="AQ1119" t="s">
        <v>66</v>
      </c>
      <c r="AR1119">
        <v>0</v>
      </c>
      <c r="AS1119" t="s">
        <v>66</v>
      </c>
      <c r="AT1119">
        <v>0</v>
      </c>
      <c r="AU1119" t="s">
        <v>66</v>
      </c>
      <c r="AV1119">
        <v>0</v>
      </c>
      <c r="AW1119" t="s">
        <v>66</v>
      </c>
      <c r="AX1119">
        <v>0</v>
      </c>
      <c r="AY1119" t="s">
        <v>66</v>
      </c>
      <c r="AZ1119">
        <v>0</v>
      </c>
      <c r="BA1119" t="s">
        <v>66</v>
      </c>
      <c r="BB1119">
        <v>0</v>
      </c>
      <c r="BC1119">
        <v>0</v>
      </c>
      <c r="BD1119">
        <v>104175.72</v>
      </c>
      <c r="BE1119">
        <v>6637.67</v>
      </c>
      <c r="BF1119">
        <v>0</v>
      </c>
      <c r="BG1119" t="s">
        <v>87</v>
      </c>
      <c r="BH1119" t="s">
        <v>66</v>
      </c>
      <c r="BI1119">
        <v>0</v>
      </c>
      <c r="BJ1119" t="s">
        <v>66</v>
      </c>
      <c r="BK1119" t="s">
        <v>88</v>
      </c>
      <c r="BL1119" t="s">
        <v>66</v>
      </c>
      <c r="BM1119" t="s">
        <v>159</v>
      </c>
    </row>
    <row r="1120" spans="1:65" x14ac:dyDescent="0.25">
      <c r="A1120">
        <v>1118</v>
      </c>
      <c r="B1120" t="s">
        <v>1386</v>
      </c>
      <c r="C1120" t="s">
        <v>68</v>
      </c>
      <c r="D1120" s="1">
        <v>46217</v>
      </c>
      <c r="E1120" t="s">
        <v>1387</v>
      </c>
      <c r="F1120" t="s">
        <v>68</v>
      </c>
      <c r="G1120" t="s">
        <v>69</v>
      </c>
      <c r="H1120" t="s">
        <v>70</v>
      </c>
      <c r="I1120" t="s">
        <v>71</v>
      </c>
      <c r="J1120" t="s">
        <v>72</v>
      </c>
      <c r="K1120" t="s">
        <v>73</v>
      </c>
      <c r="L1120" t="s">
        <v>74</v>
      </c>
      <c r="M1120" t="s">
        <v>556</v>
      </c>
      <c r="N1120" t="s">
        <v>111</v>
      </c>
      <c r="O1120" t="s">
        <v>557</v>
      </c>
      <c r="P1120" t="s">
        <v>558</v>
      </c>
      <c r="Q1120" t="s">
        <v>1388</v>
      </c>
      <c r="R1120" s="1">
        <v>46218</v>
      </c>
      <c r="S1120" t="s">
        <v>560</v>
      </c>
      <c r="T1120" t="s">
        <v>561</v>
      </c>
      <c r="U1120" t="s">
        <v>562</v>
      </c>
      <c r="V1120" t="s">
        <v>66</v>
      </c>
      <c r="W1120" t="s">
        <v>66</v>
      </c>
      <c r="X1120">
        <v>2317194</v>
      </c>
      <c r="Y1120">
        <v>254891.34</v>
      </c>
      <c r="Z1120">
        <v>46926</v>
      </c>
      <c r="AA1120">
        <v>5161.8599999999997</v>
      </c>
      <c r="AB1120">
        <v>2572085.34</v>
      </c>
      <c r="AC1120">
        <v>6</v>
      </c>
      <c r="AD1120" t="s">
        <v>82</v>
      </c>
      <c r="AE1120">
        <v>6</v>
      </c>
      <c r="AF1120" t="s">
        <v>344</v>
      </c>
      <c r="AG1120">
        <f>IFERROR(VLOOKUP(AF1120,[1]STOK!J:O,6,0),"")</f>
        <v>24</v>
      </c>
      <c r="AH1120" s="2">
        <f t="shared" si="34"/>
        <v>0.25</v>
      </c>
      <c r="AI1120" t="s">
        <v>344</v>
      </c>
      <c r="AJ1120" t="s">
        <v>345</v>
      </c>
      <c r="AK1120" t="s">
        <v>346</v>
      </c>
      <c r="AL1120" t="s">
        <v>86</v>
      </c>
      <c r="AM1120">
        <v>8769</v>
      </c>
      <c r="AN1120">
        <f t="shared" si="35"/>
        <v>8681.31</v>
      </c>
      <c r="AO1120" t="s">
        <v>66</v>
      </c>
      <c r="AP1120">
        <v>1</v>
      </c>
      <c r="AQ1120" t="s">
        <v>66</v>
      </c>
      <c r="AR1120">
        <v>0</v>
      </c>
      <c r="AS1120" t="s">
        <v>66</v>
      </c>
      <c r="AT1120">
        <v>0</v>
      </c>
      <c r="AU1120" t="s">
        <v>66</v>
      </c>
      <c r="AV1120">
        <v>0</v>
      </c>
      <c r="AW1120" t="s">
        <v>66</v>
      </c>
      <c r="AX1120">
        <v>0</v>
      </c>
      <c r="AY1120" t="s">
        <v>66</v>
      </c>
      <c r="AZ1120">
        <v>0</v>
      </c>
      <c r="BA1120" t="s">
        <v>66</v>
      </c>
      <c r="BB1120">
        <v>0</v>
      </c>
      <c r="BC1120">
        <v>0</v>
      </c>
      <c r="BD1120">
        <v>52087.86</v>
      </c>
      <c r="BE1120">
        <v>6916.14</v>
      </c>
      <c r="BF1120">
        <v>0</v>
      </c>
      <c r="BG1120" t="s">
        <v>87</v>
      </c>
      <c r="BH1120" t="s">
        <v>66</v>
      </c>
      <c r="BI1120">
        <v>0</v>
      </c>
      <c r="BJ1120" t="s">
        <v>66</v>
      </c>
      <c r="BK1120" t="s">
        <v>88</v>
      </c>
      <c r="BL1120" t="s">
        <v>66</v>
      </c>
      <c r="BM1120" t="s">
        <v>159</v>
      </c>
    </row>
    <row r="1121" spans="1:65" x14ac:dyDescent="0.25">
      <c r="A1121">
        <v>1119</v>
      </c>
      <c r="B1121" t="s">
        <v>1386</v>
      </c>
      <c r="C1121" t="s">
        <v>68</v>
      </c>
      <c r="D1121" s="1">
        <v>46217</v>
      </c>
      <c r="E1121" t="s">
        <v>1387</v>
      </c>
      <c r="F1121" t="s">
        <v>68</v>
      </c>
      <c r="G1121" t="s">
        <v>69</v>
      </c>
      <c r="H1121" t="s">
        <v>70</v>
      </c>
      <c r="I1121" t="s">
        <v>71</v>
      </c>
      <c r="J1121" t="s">
        <v>72</v>
      </c>
      <c r="K1121" t="s">
        <v>73</v>
      </c>
      <c r="L1121" t="s">
        <v>74</v>
      </c>
      <c r="M1121" t="s">
        <v>556</v>
      </c>
      <c r="N1121" t="s">
        <v>111</v>
      </c>
      <c r="O1121" t="s">
        <v>557</v>
      </c>
      <c r="P1121" t="s">
        <v>558</v>
      </c>
      <c r="Q1121" t="s">
        <v>1388</v>
      </c>
      <c r="R1121" s="1">
        <v>46218</v>
      </c>
      <c r="S1121" t="s">
        <v>560</v>
      </c>
      <c r="T1121" t="s">
        <v>561</v>
      </c>
      <c r="U1121" t="s">
        <v>562</v>
      </c>
      <c r="V1121" t="s">
        <v>66</v>
      </c>
      <c r="W1121" t="s">
        <v>66</v>
      </c>
      <c r="X1121">
        <v>2317194</v>
      </c>
      <c r="Y1121">
        <v>254891.34</v>
      </c>
      <c r="Z1121">
        <v>392040</v>
      </c>
      <c r="AA1121">
        <v>43124.4</v>
      </c>
      <c r="AB1121">
        <v>2572085.34</v>
      </c>
      <c r="AC1121">
        <v>1</v>
      </c>
      <c r="AD1121" t="s">
        <v>134</v>
      </c>
      <c r="AE1121">
        <v>24</v>
      </c>
      <c r="AF1121" t="s">
        <v>205</v>
      </c>
      <c r="AG1121">
        <f>IFERROR(VLOOKUP(AF1121,[1]STOK!J:O,6,0),"")</f>
        <v>24</v>
      </c>
      <c r="AH1121" s="2">
        <f t="shared" si="34"/>
        <v>1</v>
      </c>
      <c r="AI1121" t="s">
        <v>205</v>
      </c>
      <c r="AJ1121" t="s">
        <v>206</v>
      </c>
      <c r="AK1121" t="s">
        <v>207</v>
      </c>
      <c r="AL1121" t="s">
        <v>86</v>
      </c>
      <c r="AM1121">
        <v>439560</v>
      </c>
      <c r="AN1121">
        <f t="shared" si="35"/>
        <v>435164.4</v>
      </c>
      <c r="AO1121" t="s">
        <v>66</v>
      </c>
      <c r="AP1121">
        <v>1</v>
      </c>
      <c r="AQ1121" t="s">
        <v>66</v>
      </c>
      <c r="AR1121">
        <v>0</v>
      </c>
      <c r="AS1121" t="s">
        <v>66</v>
      </c>
      <c r="AT1121">
        <v>0</v>
      </c>
      <c r="AU1121" t="s">
        <v>66</v>
      </c>
      <c r="AV1121">
        <v>0</v>
      </c>
      <c r="AW1121" t="s">
        <v>66</v>
      </c>
      <c r="AX1121">
        <v>0</v>
      </c>
      <c r="AY1121" t="s">
        <v>66</v>
      </c>
      <c r="AZ1121">
        <v>0</v>
      </c>
      <c r="BA1121" t="s">
        <v>66</v>
      </c>
      <c r="BB1121">
        <v>0</v>
      </c>
      <c r="BC1121">
        <v>0</v>
      </c>
      <c r="BD1121">
        <v>435164.4</v>
      </c>
      <c r="BE1121">
        <v>14876.63</v>
      </c>
      <c r="BF1121">
        <v>0</v>
      </c>
      <c r="BG1121" t="s">
        <v>87</v>
      </c>
      <c r="BH1121" t="s">
        <v>66</v>
      </c>
      <c r="BI1121">
        <v>0</v>
      </c>
      <c r="BJ1121" t="s">
        <v>66</v>
      </c>
      <c r="BK1121" t="s">
        <v>88</v>
      </c>
      <c r="BL1121" t="s">
        <v>66</v>
      </c>
      <c r="BM1121" t="s">
        <v>159</v>
      </c>
    </row>
    <row r="1122" spans="1:65" x14ac:dyDescent="0.25">
      <c r="A1122">
        <v>1120</v>
      </c>
      <c r="B1122" t="s">
        <v>1386</v>
      </c>
      <c r="C1122" t="s">
        <v>68</v>
      </c>
      <c r="D1122" s="1">
        <v>46217</v>
      </c>
      <c r="E1122" t="s">
        <v>1387</v>
      </c>
      <c r="F1122" t="s">
        <v>68</v>
      </c>
      <c r="G1122" t="s">
        <v>69</v>
      </c>
      <c r="H1122" t="s">
        <v>70</v>
      </c>
      <c r="I1122" t="s">
        <v>71</v>
      </c>
      <c r="J1122" t="s">
        <v>72</v>
      </c>
      <c r="K1122" t="s">
        <v>73</v>
      </c>
      <c r="L1122" t="s">
        <v>74</v>
      </c>
      <c r="M1122" t="s">
        <v>556</v>
      </c>
      <c r="N1122" t="s">
        <v>111</v>
      </c>
      <c r="O1122" t="s">
        <v>557</v>
      </c>
      <c r="P1122" t="s">
        <v>558</v>
      </c>
      <c r="Q1122" t="s">
        <v>1388</v>
      </c>
      <c r="R1122" s="1">
        <v>46218</v>
      </c>
      <c r="S1122" t="s">
        <v>560</v>
      </c>
      <c r="T1122" t="s">
        <v>561</v>
      </c>
      <c r="U1122" t="s">
        <v>562</v>
      </c>
      <c r="V1122" t="s">
        <v>66</v>
      </c>
      <c r="W1122" t="s">
        <v>66</v>
      </c>
      <c r="X1122">
        <v>2317194</v>
      </c>
      <c r="Y1122">
        <v>254891.34</v>
      </c>
      <c r="Z1122">
        <v>255420</v>
      </c>
      <c r="AA1122">
        <v>28096.2</v>
      </c>
      <c r="AB1122">
        <v>2572085.34</v>
      </c>
      <c r="AC1122">
        <v>1</v>
      </c>
      <c r="AD1122" t="s">
        <v>134</v>
      </c>
      <c r="AE1122">
        <v>12</v>
      </c>
      <c r="AF1122" t="s">
        <v>1370</v>
      </c>
      <c r="AG1122">
        <f>IFERROR(VLOOKUP(AF1122,[1]STOK!J:O,6,0),"")</f>
        <v>12</v>
      </c>
      <c r="AH1122" s="2">
        <f t="shared" si="34"/>
        <v>1</v>
      </c>
      <c r="AI1122" t="s">
        <v>1370</v>
      </c>
      <c r="AJ1122" t="s">
        <v>1371</v>
      </c>
      <c r="AK1122" t="s">
        <v>1372</v>
      </c>
      <c r="AL1122" t="s">
        <v>86</v>
      </c>
      <c r="AM1122">
        <v>286380</v>
      </c>
      <c r="AN1122">
        <f t="shared" si="35"/>
        <v>283516.2</v>
      </c>
      <c r="AO1122" t="s">
        <v>66</v>
      </c>
      <c r="AP1122">
        <v>1</v>
      </c>
      <c r="AQ1122" t="s">
        <v>66</v>
      </c>
      <c r="AR1122">
        <v>0</v>
      </c>
      <c r="AS1122" t="s">
        <v>66</v>
      </c>
      <c r="AT1122">
        <v>0</v>
      </c>
      <c r="AU1122" t="s">
        <v>66</v>
      </c>
      <c r="AV1122">
        <v>0</v>
      </c>
      <c r="AW1122" t="s">
        <v>66</v>
      </c>
      <c r="AX1122">
        <v>0</v>
      </c>
      <c r="AY1122" t="s">
        <v>66</v>
      </c>
      <c r="AZ1122">
        <v>0</v>
      </c>
      <c r="BA1122" t="s">
        <v>66</v>
      </c>
      <c r="BB1122">
        <v>0</v>
      </c>
      <c r="BC1122">
        <v>0</v>
      </c>
      <c r="BD1122">
        <v>283516.2</v>
      </c>
      <c r="BE1122">
        <v>18026.63</v>
      </c>
      <c r="BF1122">
        <v>0</v>
      </c>
      <c r="BG1122" t="s">
        <v>87</v>
      </c>
      <c r="BH1122" t="s">
        <v>66</v>
      </c>
      <c r="BI1122">
        <v>0</v>
      </c>
      <c r="BJ1122" t="s">
        <v>66</v>
      </c>
      <c r="BK1122" t="s">
        <v>88</v>
      </c>
      <c r="BL1122" t="s">
        <v>66</v>
      </c>
      <c r="BM1122" t="s">
        <v>159</v>
      </c>
    </row>
    <row r="1123" spans="1:65" x14ac:dyDescent="0.25">
      <c r="A1123">
        <v>1121</v>
      </c>
      <c r="B1123" t="s">
        <v>1386</v>
      </c>
      <c r="C1123" t="s">
        <v>68</v>
      </c>
      <c r="D1123" s="1">
        <v>46217</v>
      </c>
      <c r="E1123" t="s">
        <v>1387</v>
      </c>
      <c r="F1123" t="s">
        <v>68</v>
      </c>
      <c r="G1123" t="s">
        <v>69</v>
      </c>
      <c r="H1123" t="s">
        <v>70</v>
      </c>
      <c r="I1123" t="s">
        <v>71</v>
      </c>
      <c r="J1123" t="s">
        <v>72</v>
      </c>
      <c r="K1123" t="s">
        <v>73</v>
      </c>
      <c r="L1123" t="s">
        <v>74</v>
      </c>
      <c r="M1123" t="s">
        <v>556</v>
      </c>
      <c r="N1123" t="s">
        <v>111</v>
      </c>
      <c r="O1123" t="s">
        <v>557</v>
      </c>
      <c r="P1123" t="s">
        <v>558</v>
      </c>
      <c r="Q1123" t="s">
        <v>1388</v>
      </c>
      <c r="R1123" s="1">
        <v>46218</v>
      </c>
      <c r="S1123" t="s">
        <v>560</v>
      </c>
      <c r="T1123" t="s">
        <v>561</v>
      </c>
      <c r="U1123" t="s">
        <v>562</v>
      </c>
      <c r="V1123" t="s">
        <v>66</v>
      </c>
      <c r="W1123" t="s">
        <v>66</v>
      </c>
      <c r="X1123">
        <v>2317194</v>
      </c>
      <c r="Y1123">
        <v>254891.34</v>
      </c>
      <c r="Z1123">
        <v>455004</v>
      </c>
      <c r="AA1123">
        <v>50050.44</v>
      </c>
      <c r="AB1123">
        <v>2572085.34</v>
      </c>
      <c r="AC1123">
        <v>2</v>
      </c>
      <c r="AD1123" t="s">
        <v>134</v>
      </c>
      <c r="AE1123">
        <v>12</v>
      </c>
      <c r="AF1123" t="s">
        <v>138</v>
      </c>
      <c r="AG1123">
        <f>IFERROR(VLOOKUP(AF1123,[1]STOK!J:O,6,0),"")</f>
        <v>6</v>
      </c>
      <c r="AH1123" s="2">
        <f t="shared" si="34"/>
        <v>2</v>
      </c>
      <c r="AI1123" t="s">
        <v>138</v>
      </c>
      <c r="AJ1123" t="s">
        <v>139</v>
      </c>
      <c r="AK1123" t="s">
        <v>140</v>
      </c>
      <c r="AL1123" t="s">
        <v>86</v>
      </c>
      <c r="AM1123">
        <v>255078</v>
      </c>
      <c r="AN1123">
        <f t="shared" si="35"/>
        <v>252527.22</v>
      </c>
      <c r="AO1123" t="s">
        <v>66</v>
      </c>
      <c r="AP1123">
        <v>1</v>
      </c>
      <c r="AQ1123" t="s">
        <v>66</v>
      </c>
      <c r="AR1123">
        <v>0</v>
      </c>
      <c r="AS1123" t="s">
        <v>66</v>
      </c>
      <c r="AT1123">
        <v>0</v>
      </c>
      <c r="AU1123" t="s">
        <v>66</v>
      </c>
      <c r="AV1123">
        <v>0</v>
      </c>
      <c r="AW1123" t="s">
        <v>66</v>
      </c>
      <c r="AX1123">
        <v>0</v>
      </c>
      <c r="AY1123" t="s">
        <v>66</v>
      </c>
      <c r="AZ1123">
        <v>0</v>
      </c>
      <c r="BA1123" t="s">
        <v>66</v>
      </c>
      <c r="BB1123">
        <v>0</v>
      </c>
      <c r="BC1123">
        <v>0</v>
      </c>
      <c r="BD1123">
        <v>505054.44</v>
      </c>
      <c r="BE1123">
        <v>34619.379999999997</v>
      </c>
      <c r="BF1123">
        <v>0</v>
      </c>
      <c r="BG1123" t="s">
        <v>87</v>
      </c>
      <c r="BH1123" t="s">
        <v>66</v>
      </c>
      <c r="BI1123">
        <v>0</v>
      </c>
      <c r="BJ1123" t="s">
        <v>66</v>
      </c>
      <c r="BK1123" t="s">
        <v>88</v>
      </c>
      <c r="BL1123" t="s">
        <v>66</v>
      </c>
      <c r="BM1123" t="s">
        <v>159</v>
      </c>
    </row>
    <row r="1124" spans="1:65" x14ac:dyDescent="0.25">
      <c r="A1124">
        <v>1122</v>
      </c>
      <c r="B1124" t="s">
        <v>1386</v>
      </c>
      <c r="C1124" t="s">
        <v>68</v>
      </c>
      <c r="D1124" s="1">
        <v>46217</v>
      </c>
      <c r="E1124" t="s">
        <v>1387</v>
      </c>
      <c r="F1124" t="s">
        <v>68</v>
      </c>
      <c r="G1124" t="s">
        <v>69</v>
      </c>
      <c r="H1124" t="s">
        <v>70</v>
      </c>
      <c r="I1124" t="s">
        <v>71</v>
      </c>
      <c r="J1124" t="s">
        <v>72</v>
      </c>
      <c r="K1124" t="s">
        <v>73</v>
      </c>
      <c r="L1124" t="s">
        <v>74</v>
      </c>
      <c r="M1124" t="s">
        <v>556</v>
      </c>
      <c r="N1124" t="s">
        <v>111</v>
      </c>
      <c r="O1124" t="s">
        <v>557</v>
      </c>
      <c r="P1124" t="s">
        <v>558</v>
      </c>
      <c r="Q1124" t="s">
        <v>1388</v>
      </c>
      <c r="R1124" s="1">
        <v>46218</v>
      </c>
      <c r="S1124" t="s">
        <v>560</v>
      </c>
      <c r="T1124" t="s">
        <v>561</v>
      </c>
      <c r="U1124" t="s">
        <v>562</v>
      </c>
      <c r="V1124" t="s">
        <v>66</v>
      </c>
      <c r="W1124" t="s">
        <v>66</v>
      </c>
      <c r="X1124">
        <v>2317194</v>
      </c>
      <c r="Y1124">
        <v>254891.34</v>
      </c>
      <c r="Z1124">
        <v>513216</v>
      </c>
      <c r="AA1124">
        <v>56453.760000000002</v>
      </c>
      <c r="AB1124">
        <v>2572085.34</v>
      </c>
      <c r="AC1124">
        <v>3</v>
      </c>
      <c r="AD1124" t="s">
        <v>134</v>
      </c>
      <c r="AE1124">
        <v>36</v>
      </c>
      <c r="AF1124" t="s">
        <v>141</v>
      </c>
      <c r="AG1124">
        <f>IFERROR(VLOOKUP(AF1124,[1]STOK!J:O,6,0),"")</f>
        <v>12</v>
      </c>
      <c r="AH1124" s="2">
        <f t="shared" si="34"/>
        <v>3</v>
      </c>
      <c r="AI1124" t="s">
        <v>141</v>
      </c>
      <c r="AJ1124" t="s">
        <v>142</v>
      </c>
      <c r="AK1124" t="s">
        <v>143</v>
      </c>
      <c r="AL1124" t="s">
        <v>86</v>
      </c>
      <c r="AM1124">
        <v>191808</v>
      </c>
      <c r="AN1124">
        <f t="shared" si="35"/>
        <v>189889.92000000001</v>
      </c>
      <c r="AO1124" t="s">
        <v>66</v>
      </c>
      <c r="AP1124">
        <v>1</v>
      </c>
      <c r="AQ1124" t="s">
        <v>66</v>
      </c>
      <c r="AR1124">
        <v>0</v>
      </c>
      <c r="AS1124" t="s">
        <v>66</v>
      </c>
      <c r="AT1124">
        <v>0</v>
      </c>
      <c r="AU1124" t="s">
        <v>66</v>
      </c>
      <c r="AV1124">
        <v>0</v>
      </c>
      <c r="AW1124" t="s">
        <v>66</v>
      </c>
      <c r="AX1124">
        <v>0</v>
      </c>
      <c r="AY1124" t="s">
        <v>66</v>
      </c>
      <c r="AZ1124">
        <v>0</v>
      </c>
      <c r="BA1124" t="s">
        <v>66</v>
      </c>
      <c r="BB1124">
        <v>0</v>
      </c>
      <c r="BC1124">
        <v>0</v>
      </c>
      <c r="BD1124">
        <v>569669.76</v>
      </c>
      <c r="BE1124">
        <v>12915.05</v>
      </c>
      <c r="BF1124">
        <v>0</v>
      </c>
      <c r="BG1124" t="s">
        <v>87</v>
      </c>
      <c r="BH1124" t="s">
        <v>66</v>
      </c>
      <c r="BI1124">
        <v>0</v>
      </c>
      <c r="BJ1124" t="s">
        <v>66</v>
      </c>
      <c r="BK1124" t="s">
        <v>88</v>
      </c>
      <c r="BL1124" t="s">
        <v>66</v>
      </c>
      <c r="BM1124" t="s">
        <v>159</v>
      </c>
    </row>
    <row r="1125" spans="1:65" x14ac:dyDescent="0.25">
      <c r="A1125">
        <v>1123</v>
      </c>
      <c r="B1125" t="s">
        <v>1386</v>
      </c>
      <c r="C1125" t="s">
        <v>68</v>
      </c>
      <c r="D1125" s="1">
        <v>46217</v>
      </c>
      <c r="E1125" t="s">
        <v>1387</v>
      </c>
      <c r="F1125" t="s">
        <v>68</v>
      </c>
      <c r="G1125" t="s">
        <v>69</v>
      </c>
      <c r="H1125" t="s">
        <v>70</v>
      </c>
      <c r="I1125" t="s">
        <v>71</v>
      </c>
      <c r="J1125" t="s">
        <v>72</v>
      </c>
      <c r="K1125" t="s">
        <v>73</v>
      </c>
      <c r="L1125" t="s">
        <v>74</v>
      </c>
      <c r="M1125" t="s">
        <v>556</v>
      </c>
      <c r="N1125" t="s">
        <v>111</v>
      </c>
      <c r="O1125" t="s">
        <v>557</v>
      </c>
      <c r="P1125" t="s">
        <v>558</v>
      </c>
      <c r="Q1125" t="s">
        <v>1388</v>
      </c>
      <c r="R1125" s="1">
        <v>46218</v>
      </c>
      <c r="S1125" t="s">
        <v>560</v>
      </c>
      <c r="T1125" t="s">
        <v>561</v>
      </c>
      <c r="U1125" t="s">
        <v>562</v>
      </c>
      <c r="V1125" t="s">
        <v>66</v>
      </c>
      <c r="W1125" t="s">
        <v>66</v>
      </c>
      <c r="X1125">
        <v>2317194</v>
      </c>
      <c r="Y1125">
        <v>254891.34</v>
      </c>
      <c r="Z1125">
        <v>342144</v>
      </c>
      <c r="AA1125">
        <v>37635.839999999997</v>
      </c>
      <c r="AB1125">
        <v>2572085.34</v>
      </c>
      <c r="AC1125">
        <v>2</v>
      </c>
      <c r="AD1125" t="s">
        <v>134</v>
      </c>
      <c r="AE1125">
        <v>24</v>
      </c>
      <c r="AF1125" t="s">
        <v>213</v>
      </c>
      <c r="AG1125">
        <f>IFERROR(VLOOKUP(AF1125,[1]STOK!J:O,6,0),"")</f>
        <v>12</v>
      </c>
      <c r="AH1125" s="2">
        <f t="shared" si="34"/>
        <v>2</v>
      </c>
      <c r="AI1125" t="s">
        <v>213</v>
      </c>
      <c r="AJ1125" t="s">
        <v>214</v>
      </c>
      <c r="AK1125" t="s">
        <v>215</v>
      </c>
      <c r="AL1125" t="s">
        <v>86</v>
      </c>
      <c r="AM1125">
        <v>191808</v>
      </c>
      <c r="AN1125">
        <f t="shared" si="35"/>
        <v>189889.92000000001</v>
      </c>
      <c r="AO1125" t="s">
        <v>66</v>
      </c>
      <c r="AP1125">
        <v>1</v>
      </c>
      <c r="AQ1125" t="s">
        <v>66</v>
      </c>
      <c r="AR1125">
        <v>0</v>
      </c>
      <c r="AS1125" t="s">
        <v>66</v>
      </c>
      <c r="AT1125">
        <v>0</v>
      </c>
      <c r="AU1125" t="s">
        <v>66</v>
      </c>
      <c r="AV1125">
        <v>0</v>
      </c>
      <c r="AW1125" t="s">
        <v>66</v>
      </c>
      <c r="AX1125">
        <v>0</v>
      </c>
      <c r="AY1125" t="s">
        <v>66</v>
      </c>
      <c r="AZ1125">
        <v>0</v>
      </c>
      <c r="BA1125" t="s">
        <v>66</v>
      </c>
      <c r="BB1125">
        <v>0</v>
      </c>
      <c r="BC1125">
        <v>0</v>
      </c>
      <c r="BD1125">
        <v>379779.84000000003</v>
      </c>
      <c r="BE1125">
        <v>12609.82</v>
      </c>
      <c r="BF1125">
        <v>0</v>
      </c>
      <c r="BG1125" t="s">
        <v>87</v>
      </c>
      <c r="BH1125" t="s">
        <v>66</v>
      </c>
      <c r="BI1125">
        <v>0</v>
      </c>
      <c r="BJ1125" t="s">
        <v>66</v>
      </c>
      <c r="BK1125" t="s">
        <v>88</v>
      </c>
      <c r="BL1125" t="s">
        <v>66</v>
      </c>
      <c r="BM1125" t="s">
        <v>159</v>
      </c>
    </row>
    <row r="1126" spans="1:65" x14ac:dyDescent="0.25">
      <c r="A1126">
        <v>1124</v>
      </c>
      <c r="B1126" t="s">
        <v>1389</v>
      </c>
      <c r="C1126" t="s">
        <v>68</v>
      </c>
      <c r="D1126" s="1">
        <v>46217</v>
      </c>
      <c r="E1126" t="s">
        <v>1390</v>
      </c>
      <c r="F1126" t="s">
        <v>68</v>
      </c>
      <c r="G1126" t="s">
        <v>295</v>
      </c>
      <c r="H1126" t="s">
        <v>296</v>
      </c>
      <c r="I1126" t="s">
        <v>71</v>
      </c>
      <c r="J1126" t="s">
        <v>72</v>
      </c>
      <c r="K1126" t="s">
        <v>73</v>
      </c>
      <c r="L1126" t="s">
        <v>74</v>
      </c>
      <c r="M1126" t="s">
        <v>1391</v>
      </c>
      <c r="N1126" t="s">
        <v>76</v>
      </c>
      <c r="O1126" t="s">
        <v>1392</v>
      </c>
      <c r="P1126" t="s">
        <v>1393</v>
      </c>
      <c r="Q1126" t="s">
        <v>1394</v>
      </c>
      <c r="R1126" s="1">
        <v>46219</v>
      </c>
      <c r="S1126" t="s">
        <v>841</v>
      </c>
      <c r="T1126" t="s">
        <v>842</v>
      </c>
      <c r="U1126" t="s">
        <v>843</v>
      </c>
      <c r="V1126" t="s">
        <v>66</v>
      </c>
      <c r="W1126" t="s">
        <v>66</v>
      </c>
      <c r="X1126">
        <v>334082</v>
      </c>
      <c r="Y1126">
        <v>36749.019999999997</v>
      </c>
      <c r="Z1126">
        <v>19796</v>
      </c>
      <c r="AA1126">
        <v>2177.56</v>
      </c>
      <c r="AB1126">
        <v>370831.02</v>
      </c>
      <c r="AC1126">
        <v>2</v>
      </c>
      <c r="AD1126" t="s">
        <v>82</v>
      </c>
      <c r="AE1126">
        <v>2</v>
      </c>
      <c r="AF1126" t="s">
        <v>848</v>
      </c>
      <c r="AG1126">
        <f>IFERROR(VLOOKUP(AF1126,[1]STOK!J:O,6,0),"")</f>
        <v>24</v>
      </c>
      <c r="AH1126" s="2">
        <f t="shared" si="34"/>
        <v>8.3333333333333329E-2</v>
      </c>
      <c r="AI1126" t="s">
        <v>848</v>
      </c>
      <c r="AJ1126" t="s">
        <v>849</v>
      </c>
      <c r="AK1126" t="s">
        <v>850</v>
      </c>
      <c r="AL1126" t="s">
        <v>86</v>
      </c>
      <c r="AM1126">
        <v>11211</v>
      </c>
      <c r="AN1126">
        <f t="shared" si="35"/>
        <v>10986.78</v>
      </c>
      <c r="AO1126" t="s">
        <v>66</v>
      </c>
      <c r="AP1126">
        <v>2</v>
      </c>
      <c r="AQ1126" t="s">
        <v>66</v>
      </c>
      <c r="AR1126">
        <v>0</v>
      </c>
      <c r="AS1126" t="s">
        <v>66</v>
      </c>
      <c r="AT1126">
        <v>0</v>
      </c>
      <c r="AU1126" t="s">
        <v>66</v>
      </c>
      <c r="AV1126">
        <v>0</v>
      </c>
      <c r="AW1126" t="s">
        <v>66</v>
      </c>
      <c r="AX1126">
        <v>0</v>
      </c>
      <c r="AY1126" t="s">
        <v>66</v>
      </c>
      <c r="AZ1126">
        <v>0</v>
      </c>
      <c r="BA1126" t="s">
        <v>66</v>
      </c>
      <c r="BB1126">
        <v>0</v>
      </c>
      <c r="BC1126">
        <v>0</v>
      </c>
      <c r="BD1126">
        <v>21973.56</v>
      </c>
      <c r="BE1126">
        <v>8922.2099999999991</v>
      </c>
      <c r="BF1126">
        <v>0</v>
      </c>
      <c r="BG1126" t="s">
        <v>87</v>
      </c>
      <c r="BH1126" t="s">
        <v>66</v>
      </c>
      <c r="BI1126">
        <v>0</v>
      </c>
      <c r="BJ1126" t="s">
        <v>66</v>
      </c>
      <c r="BK1126" t="s">
        <v>88</v>
      </c>
      <c r="BL1126" t="s">
        <v>719</v>
      </c>
      <c r="BM1126" t="s">
        <v>159</v>
      </c>
    </row>
    <row r="1127" spans="1:65" x14ac:dyDescent="0.25">
      <c r="A1127">
        <v>1125</v>
      </c>
      <c r="B1127" t="s">
        <v>1389</v>
      </c>
      <c r="C1127" t="s">
        <v>68</v>
      </c>
      <c r="D1127" s="1">
        <v>46217</v>
      </c>
      <c r="E1127" t="s">
        <v>1390</v>
      </c>
      <c r="F1127" t="s">
        <v>68</v>
      </c>
      <c r="G1127" t="s">
        <v>295</v>
      </c>
      <c r="H1127" t="s">
        <v>296</v>
      </c>
      <c r="I1127" t="s">
        <v>71</v>
      </c>
      <c r="J1127" t="s">
        <v>72</v>
      </c>
      <c r="K1127" t="s">
        <v>73</v>
      </c>
      <c r="L1127" t="s">
        <v>74</v>
      </c>
      <c r="M1127" t="s">
        <v>1391</v>
      </c>
      <c r="N1127" t="s">
        <v>76</v>
      </c>
      <c r="O1127" t="s">
        <v>1392</v>
      </c>
      <c r="P1127" t="s">
        <v>1393</v>
      </c>
      <c r="Q1127" t="s">
        <v>1394</v>
      </c>
      <c r="R1127" s="1">
        <v>46219</v>
      </c>
      <c r="S1127" t="s">
        <v>841</v>
      </c>
      <c r="T1127" t="s">
        <v>842</v>
      </c>
      <c r="U1127" t="s">
        <v>843</v>
      </c>
      <c r="V1127" t="s">
        <v>66</v>
      </c>
      <c r="W1127" t="s">
        <v>66</v>
      </c>
      <c r="X1127">
        <v>334082</v>
      </c>
      <c r="Y1127">
        <v>36749.019999999997</v>
      </c>
      <c r="Z1127">
        <v>46452</v>
      </c>
      <c r="AA1127">
        <v>5109.72</v>
      </c>
      <c r="AB1127">
        <v>370831.02</v>
      </c>
      <c r="AC1127">
        <v>6</v>
      </c>
      <c r="AD1127" t="s">
        <v>82</v>
      </c>
      <c r="AE1127">
        <v>6</v>
      </c>
      <c r="AF1127" t="s">
        <v>248</v>
      </c>
      <c r="AG1127">
        <f>IFERROR(VLOOKUP(AF1127,[1]STOK!J:O,6,0),"")</f>
        <v>24</v>
      </c>
      <c r="AH1127" s="2">
        <f t="shared" si="34"/>
        <v>0.25</v>
      </c>
      <c r="AI1127" t="s">
        <v>248</v>
      </c>
      <c r="AJ1127" t="s">
        <v>249</v>
      </c>
      <c r="AK1127" t="s">
        <v>250</v>
      </c>
      <c r="AL1127" t="s">
        <v>86</v>
      </c>
      <c r="AM1127">
        <v>8769</v>
      </c>
      <c r="AN1127">
        <f t="shared" si="35"/>
        <v>8593.6200000000008</v>
      </c>
      <c r="AO1127" t="s">
        <v>66</v>
      </c>
      <c r="AP1127">
        <v>2</v>
      </c>
      <c r="AQ1127" t="s">
        <v>66</v>
      </c>
      <c r="AR1127">
        <v>0</v>
      </c>
      <c r="AS1127" t="s">
        <v>66</v>
      </c>
      <c r="AT1127">
        <v>0</v>
      </c>
      <c r="AU1127" t="s">
        <v>66</v>
      </c>
      <c r="AV1127">
        <v>0</v>
      </c>
      <c r="AW1127" t="s">
        <v>66</v>
      </c>
      <c r="AX1127">
        <v>0</v>
      </c>
      <c r="AY1127" t="s">
        <v>66</v>
      </c>
      <c r="AZ1127">
        <v>0</v>
      </c>
      <c r="BA1127" t="s">
        <v>66</v>
      </c>
      <c r="BB1127">
        <v>0</v>
      </c>
      <c r="BC1127">
        <v>0</v>
      </c>
      <c r="BD1127">
        <v>51561.72</v>
      </c>
      <c r="BE1127">
        <v>6516.01</v>
      </c>
      <c r="BF1127">
        <v>0</v>
      </c>
      <c r="BG1127" t="s">
        <v>87</v>
      </c>
      <c r="BH1127" t="s">
        <v>66</v>
      </c>
      <c r="BI1127">
        <v>0</v>
      </c>
      <c r="BJ1127" t="s">
        <v>66</v>
      </c>
      <c r="BK1127" t="s">
        <v>88</v>
      </c>
      <c r="BL1127" t="s">
        <v>719</v>
      </c>
      <c r="BM1127" t="s">
        <v>159</v>
      </c>
    </row>
    <row r="1128" spans="1:65" x14ac:dyDescent="0.25">
      <c r="A1128">
        <v>1126</v>
      </c>
      <c r="B1128" t="s">
        <v>1389</v>
      </c>
      <c r="C1128" t="s">
        <v>68</v>
      </c>
      <c r="D1128" s="1">
        <v>46217</v>
      </c>
      <c r="E1128" t="s">
        <v>1390</v>
      </c>
      <c r="F1128" t="s">
        <v>68</v>
      </c>
      <c r="G1128" t="s">
        <v>295</v>
      </c>
      <c r="H1128" t="s">
        <v>296</v>
      </c>
      <c r="I1128" t="s">
        <v>71</v>
      </c>
      <c r="J1128" t="s">
        <v>72</v>
      </c>
      <c r="K1128" t="s">
        <v>73</v>
      </c>
      <c r="L1128" t="s">
        <v>74</v>
      </c>
      <c r="M1128" t="s">
        <v>1391</v>
      </c>
      <c r="N1128" t="s">
        <v>76</v>
      </c>
      <c r="O1128" t="s">
        <v>1392</v>
      </c>
      <c r="P1128" t="s">
        <v>1393</v>
      </c>
      <c r="Q1128" t="s">
        <v>1394</v>
      </c>
      <c r="R1128" s="1">
        <v>46219</v>
      </c>
      <c r="S1128" t="s">
        <v>841</v>
      </c>
      <c r="T1128" t="s">
        <v>842</v>
      </c>
      <c r="U1128" t="s">
        <v>843</v>
      </c>
      <c r="V1128" t="s">
        <v>66</v>
      </c>
      <c r="W1128" t="s">
        <v>66</v>
      </c>
      <c r="X1128">
        <v>334082</v>
      </c>
      <c r="Y1128">
        <v>36749.019999999997</v>
      </c>
      <c r="Z1128">
        <v>46452</v>
      </c>
      <c r="AA1128">
        <v>5109.72</v>
      </c>
      <c r="AB1128">
        <v>370831.02</v>
      </c>
      <c r="AC1128">
        <v>6</v>
      </c>
      <c r="AD1128" t="s">
        <v>82</v>
      </c>
      <c r="AE1128">
        <v>6</v>
      </c>
      <c r="AF1128" t="s">
        <v>199</v>
      </c>
      <c r="AG1128">
        <f>IFERROR(VLOOKUP(AF1128,[1]STOK!J:O,6,0),"")</f>
        <v>24</v>
      </c>
      <c r="AH1128" s="2">
        <f t="shared" si="34"/>
        <v>0.25</v>
      </c>
      <c r="AI1128" t="s">
        <v>199</v>
      </c>
      <c r="AJ1128" t="s">
        <v>200</v>
      </c>
      <c r="AK1128" t="s">
        <v>201</v>
      </c>
      <c r="AL1128" t="s">
        <v>86</v>
      </c>
      <c r="AM1128">
        <v>8769</v>
      </c>
      <c r="AN1128">
        <f t="shared" si="35"/>
        <v>8593.6200000000008</v>
      </c>
      <c r="AO1128" t="s">
        <v>66</v>
      </c>
      <c r="AP1128">
        <v>2</v>
      </c>
      <c r="AQ1128" t="s">
        <v>66</v>
      </c>
      <c r="AR1128">
        <v>0</v>
      </c>
      <c r="AS1128" t="s">
        <v>66</v>
      </c>
      <c r="AT1128">
        <v>0</v>
      </c>
      <c r="AU1128" t="s">
        <v>66</v>
      </c>
      <c r="AV1128">
        <v>0</v>
      </c>
      <c r="AW1128" t="s">
        <v>66</v>
      </c>
      <c r="AX1128">
        <v>0</v>
      </c>
      <c r="AY1128" t="s">
        <v>66</v>
      </c>
      <c r="AZ1128">
        <v>0</v>
      </c>
      <c r="BA1128" t="s">
        <v>66</v>
      </c>
      <c r="BB1128">
        <v>0</v>
      </c>
      <c r="BC1128">
        <v>0</v>
      </c>
      <c r="BD1128">
        <v>51561.72</v>
      </c>
      <c r="BE1128">
        <v>6637.67</v>
      </c>
      <c r="BF1128">
        <v>0</v>
      </c>
      <c r="BG1128" t="s">
        <v>87</v>
      </c>
      <c r="BH1128" t="s">
        <v>66</v>
      </c>
      <c r="BI1128">
        <v>0</v>
      </c>
      <c r="BJ1128" t="s">
        <v>66</v>
      </c>
      <c r="BK1128" t="s">
        <v>88</v>
      </c>
      <c r="BL1128" t="s">
        <v>719</v>
      </c>
      <c r="BM1128" t="s">
        <v>159</v>
      </c>
    </row>
    <row r="1129" spans="1:65" x14ac:dyDescent="0.25">
      <c r="A1129">
        <v>1127</v>
      </c>
      <c r="B1129" t="s">
        <v>1389</v>
      </c>
      <c r="C1129" t="s">
        <v>68</v>
      </c>
      <c r="D1129" s="1">
        <v>46217</v>
      </c>
      <c r="E1129" t="s">
        <v>1390</v>
      </c>
      <c r="F1129" t="s">
        <v>68</v>
      </c>
      <c r="G1129" t="s">
        <v>295</v>
      </c>
      <c r="H1129" t="s">
        <v>296</v>
      </c>
      <c r="I1129" t="s">
        <v>71</v>
      </c>
      <c r="J1129" t="s">
        <v>72</v>
      </c>
      <c r="K1129" t="s">
        <v>73</v>
      </c>
      <c r="L1129" t="s">
        <v>74</v>
      </c>
      <c r="M1129" t="s">
        <v>1391</v>
      </c>
      <c r="N1129" t="s">
        <v>76</v>
      </c>
      <c r="O1129" t="s">
        <v>1392</v>
      </c>
      <c r="P1129" t="s">
        <v>1393</v>
      </c>
      <c r="Q1129" t="s">
        <v>1394</v>
      </c>
      <c r="R1129" s="1">
        <v>46219</v>
      </c>
      <c r="S1129" t="s">
        <v>841</v>
      </c>
      <c r="T1129" t="s">
        <v>842</v>
      </c>
      <c r="U1129" t="s">
        <v>843</v>
      </c>
      <c r="V1129" t="s">
        <v>66</v>
      </c>
      <c r="W1129" t="s">
        <v>66</v>
      </c>
      <c r="X1129">
        <v>334082</v>
      </c>
      <c r="Y1129">
        <v>36749.019999999997</v>
      </c>
      <c r="Z1129">
        <v>23226</v>
      </c>
      <c r="AA1129">
        <v>2554.86</v>
      </c>
      <c r="AB1129">
        <v>370831.02</v>
      </c>
      <c r="AC1129">
        <v>3</v>
      </c>
      <c r="AD1129" t="s">
        <v>82</v>
      </c>
      <c r="AE1129">
        <v>3</v>
      </c>
      <c r="AF1129" t="s">
        <v>344</v>
      </c>
      <c r="AG1129">
        <f>IFERROR(VLOOKUP(AF1129,[1]STOK!J:O,6,0),"")</f>
        <v>24</v>
      </c>
      <c r="AH1129" s="2">
        <f t="shared" si="34"/>
        <v>0.125</v>
      </c>
      <c r="AI1129" t="s">
        <v>344</v>
      </c>
      <c r="AJ1129" t="s">
        <v>345</v>
      </c>
      <c r="AK1129" t="s">
        <v>346</v>
      </c>
      <c r="AL1129" t="s">
        <v>86</v>
      </c>
      <c r="AM1129">
        <v>8769</v>
      </c>
      <c r="AN1129">
        <f t="shared" si="35"/>
        <v>8593.6200000000008</v>
      </c>
      <c r="AO1129" t="s">
        <v>66</v>
      </c>
      <c r="AP1129">
        <v>2</v>
      </c>
      <c r="AQ1129" t="s">
        <v>66</v>
      </c>
      <c r="AR1129">
        <v>0</v>
      </c>
      <c r="AS1129" t="s">
        <v>66</v>
      </c>
      <c r="AT1129">
        <v>0</v>
      </c>
      <c r="AU1129" t="s">
        <v>66</v>
      </c>
      <c r="AV1129">
        <v>0</v>
      </c>
      <c r="AW1129" t="s">
        <v>66</v>
      </c>
      <c r="AX1129">
        <v>0</v>
      </c>
      <c r="AY1129" t="s">
        <v>66</v>
      </c>
      <c r="AZ1129">
        <v>0</v>
      </c>
      <c r="BA1129" t="s">
        <v>66</v>
      </c>
      <c r="BB1129">
        <v>0</v>
      </c>
      <c r="BC1129">
        <v>0</v>
      </c>
      <c r="BD1129">
        <v>25780.86</v>
      </c>
      <c r="BE1129">
        <v>6916.14</v>
      </c>
      <c r="BF1129">
        <v>0</v>
      </c>
      <c r="BG1129" t="s">
        <v>87</v>
      </c>
      <c r="BH1129" t="s">
        <v>66</v>
      </c>
      <c r="BI1129">
        <v>0</v>
      </c>
      <c r="BJ1129" t="s">
        <v>66</v>
      </c>
      <c r="BK1129" t="s">
        <v>88</v>
      </c>
      <c r="BL1129" t="s">
        <v>719</v>
      </c>
      <c r="BM1129" t="s">
        <v>159</v>
      </c>
    </row>
    <row r="1130" spans="1:65" x14ac:dyDescent="0.25">
      <c r="A1130">
        <v>1128</v>
      </c>
      <c r="B1130" t="s">
        <v>1389</v>
      </c>
      <c r="C1130" t="s">
        <v>68</v>
      </c>
      <c r="D1130" s="1">
        <v>46217</v>
      </c>
      <c r="E1130" t="s">
        <v>1390</v>
      </c>
      <c r="F1130" t="s">
        <v>68</v>
      </c>
      <c r="G1130" t="s">
        <v>295</v>
      </c>
      <c r="H1130" t="s">
        <v>296</v>
      </c>
      <c r="I1130" t="s">
        <v>71</v>
      </c>
      <c r="J1130" t="s">
        <v>72</v>
      </c>
      <c r="K1130" t="s">
        <v>73</v>
      </c>
      <c r="L1130" t="s">
        <v>74</v>
      </c>
      <c r="M1130" t="s">
        <v>1391</v>
      </c>
      <c r="N1130" t="s">
        <v>76</v>
      </c>
      <c r="O1130" t="s">
        <v>1392</v>
      </c>
      <c r="P1130" t="s">
        <v>1393</v>
      </c>
      <c r="Q1130" t="s">
        <v>1394</v>
      </c>
      <c r="R1130" s="1">
        <v>46219</v>
      </c>
      <c r="S1130" t="s">
        <v>841</v>
      </c>
      <c r="T1130" t="s">
        <v>842</v>
      </c>
      <c r="U1130" t="s">
        <v>843</v>
      </c>
      <c r="V1130" t="s">
        <v>66</v>
      </c>
      <c r="W1130" t="s">
        <v>66</v>
      </c>
      <c r="X1130">
        <v>334082</v>
      </c>
      <c r="Y1130">
        <v>36749.019999999997</v>
      </c>
      <c r="Z1130">
        <v>32340</v>
      </c>
      <c r="AA1130">
        <v>3557.4</v>
      </c>
      <c r="AB1130">
        <v>370831.02</v>
      </c>
      <c r="AC1130">
        <v>2</v>
      </c>
      <c r="AD1130" t="s">
        <v>82</v>
      </c>
      <c r="AE1130">
        <v>2</v>
      </c>
      <c r="AF1130" t="s">
        <v>128</v>
      </c>
      <c r="AG1130">
        <f>IFERROR(VLOOKUP(AF1130,[1]STOK!J:O,6,0),"")</f>
        <v>24</v>
      </c>
      <c r="AH1130" s="2">
        <f t="shared" si="34"/>
        <v>8.3333333333333329E-2</v>
      </c>
      <c r="AI1130" t="s">
        <v>128</v>
      </c>
      <c r="AJ1130" t="s">
        <v>129</v>
      </c>
      <c r="AK1130" t="s">
        <v>130</v>
      </c>
      <c r="AL1130" t="s">
        <v>86</v>
      </c>
      <c r="AM1130">
        <v>18315</v>
      </c>
      <c r="AN1130">
        <f t="shared" si="35"/>
        <v>17948.7</v>
      </c>
      <c r="AO1130" t="s">
        <v>66</v>
      </c>
      <c r="AP1130">
        <v>2</v>
      </c>
      <c r="AQ1130" t="s">
        <v>66</v>
      </c>
      <c r="AR1130">
        <v>0</v>
      </c>
      <c r="AS1130" t="s">
        <v>66</v>
      </c>
      <c r="AT1130">
        <v>0</v>
      </c>
      <c r="AU1130" t="s">
        <v>66</v>
      </c>
      <c r="AV1130">
        <v>0</v>
      </c>
      <c r="AW1130" t="s">
        <v>66</v>
      </c>
      <c r="AX1130">
        <v>0</v>
      </c>
      <c r="AY1130" t="s">
        <v>66</v>
      </c>
      <c r="AZ1130">
        <v>0</v>
      </c>
      <c r="BA1130" t="s">
        <v>66</v>
      </c>
      <c r="BB1130">
        <v>0</v>
      </c>
      <c r="BC1130">
        <v>0</v>
      </c>
      <c r="BD1130">
        <v>35897.4</v>
      </c>
      <c r="BE1130">
        <v>14619.11</v>
      </c>
      <c r="BF1130">
        <v>0</v>
      </c>
      <c r="BG1130" t="s">
        <v>87</v>
      </c>
      <c r="BH1130" t="s">
        <v>66</v>
      </c>
      <c r="BI1130">
        <v>0</v>
      </c>
      <c r="BJ1130" t="s">
        <v>66</v>
      </c>
      <c r="BK1130" t="s">
        <v>88</v>
      </c>
      <c r="BL1130" t="s">
        <v>719</v>
      </c>
      <c r="BM1130" t="s">
        <v>159</v>
      </c>
    </row>
    <row r="1131" spans="1:65" x14ac:dyDescent="0.25">
      <c r="A1131">
        <v>1129</v>
      </c>
      <c r="B1131" t="s">
        <v>1389</v>
      </c>
      <c r="C1131" t="s">
        <v>68</v>
      </c>
      <c r="D1131" s="1">
        <v>46217</v>
      </c>
      <c r="E1131" t="s">
        <v>1390</v>
      </c>
      <c r="F1131" t="s">
        <v>68</v>
      </c>
      <c r="G1131" t="s">
        <v>295</v>
      </c>
      <c r="H1131" t="s">
        <v>296</v>
      </c>
      <c r="I1131" t="s">
        <v>71</v>
      </c>
      <c r="J1131" t="s">
        <v>72</v>
      </c>
      <c r="K1131" t="s">
        <v>73</v>
      </c>
      <c r="L1131" t="s">
        <v>74</v>
      </c>
      <c r="M1131" t="s">
        <v>1391</v>
      </c>
      <c r="N1131" t="s">
        <v>76</v>
      </c>
      <c r="O1131" t="s">
        <v>1392</v>
      </c>
      <c r="P1131" t="s">
        <v>1393</v>
      </c>
      <c r="Q1131" t="s">
        <v>1394</v>
      </c>
      <c r="R1131" s="1">
        <v>46219</v>
      </c>
      <c r="S1131" t="s">
        <v>841</v>
      </c>
      <c r="T1131" t="s">
        <v>842</v>
      </c>
      <c r="U1131" t="s">
        <v>843</v>
      </c>
      <c r="V1131" t="s">
        <v>66</v>
      </c>
      <c r="W1131" t="s">
        <v>66</v>
      </c>
      <c r="X1131">
        <v>334082</v>
      </c>
      <c r="Y1131">
        <v>36749.019999999997</v>
      </c>
      <c r="Z1131">
        <v>48510</v>
      </c>
      <c r="AA1131">
        <v>5336.1</v>
      </c>
      <c r="AB1131">
        <v>370831.02</v>
      </c>
      <c r="AC1131">
        <v>3</v>
      </c>
      <c r="AD1131" t="s">
        <v>82</v>
      </c>
      <c r="AE1131">
        <v>3</v>
      </c>
      <c r="AF1131" t="s">
        <v>99</v>
      </c>
      <c r="AG1131">
        <f>IFERROR(VLOOKUP(AF1131,[1]STOK!J:O,6,0),"")</f>
        <v>24</v>
      </c>
      <c r="AH1131" s="2">
        <f t="shared" si="34"/>
        <v>0.125</v>
      </c>
      <c r="AI1131" t="s">
        <v>99</v>
      </c>
      <c r="AJ1131" t="s">
        <v>100</v>
      </c>
      <c r="AK1131" t="s">
        <v>101</v>
      </c>
      <c r="AL1131" t="s">
        <v>86</v>
      </c>
      <c r="AM1131">
        <v>18315</v>
      </c>
      <c r="AN1131">
        <f t="shared" si="35"/>
        <v>17948.7</v>
      </c>
      <c r="AO1131" t="s">
        <v>66</v>
      </c>
      <c r="AP1131">
        <v>2</v>
      </c>
      <c r="AQ1131" t="s">
        <v>66</v>
      </c>
      <c r="AR1131">
        <v>0</v>
      </c>
      <c r="AS1131" t="s">
        <v>66</v>
      </c>
      <c r="AT1131">
        <v>0</v>
      </c>
      <c r="AU1131" t="s">
        <v>66</v>
      </c>
      <c r="AV1131">
        <v>0</v>
      </c>
      <c r="AW1131" t="s">
        <v>66</v>
      </c>
      <c r="AX1131">
        <v>0</v>
      </c>
      <c r="AY1131" t="s">
        <v>66</v>
      </c>
      <c r="AZ1131">
        <v>0</v>
      </c>
      <c r="BA1131" t="s">
        <v>66</v>
      </c>
      <c r="BB1131">
        <v>0</v>
      </c>
      <c r="BC1131">
        <v>0</v>
      </c>
      <c r="BD1131">
        <v>53846.1</v>
      </c>
      <c r="BE1131">
        <v>14924.93</v>
      </c>
      <c r="BF1131">
        <v>0</v>
      </c>
      <c r="BG1131" t="s">
        <v>87</v>
      </c>
      <c r="BH1131" t="s">
        <v>66</v>
      </c>
      <c r="BI1131">
        <v>0</v>
      </c>
      <c r="BJ1131" t="s">
        <v>66</v>
      </c>
      <c r="BK1131" t="s">
        <v>88</v>
      </c>
      <c r="BL1131" t="s">
        <v>719</v>
      </c>
      <c r="BM1131" t="s">
        <v>159</v>
      </c>
    </row>
    <row r="1132" spans="1:65" x14ac:dyDescent="0.25">
      <c r="A1132">
        <v>1130</v>
      </c>
      <c r="B1132" t="s">
        <v>1389</v>
      </c>
      <c r="C1132" t="s">
        <v>68</v>
      </c>
      <c r="D1132" s="1">
        <v>46217</v>
      </c>
      <c r="E1132" t="s">
        <v>1390</v>
      </c>
      <c r="F1132" t="s">
        <v>68</v>
      </c>
      <c r="G1132" t="s">
        <v>295</v>
      </c>
      <c r="H1132" t="s">
        <v>296</v>
      </c>
      <c r="I1132" t="s">
        <v>71</v>
      </c>
      <c r="J1132" t="s">
        <v>72</v>
      </c>
      <c r="K1132" t="s">
        <v>73</v>
      </c>
      <c r="L1132" t="s">
        <v>74</v>
      </c>
      <c r="M1132" t="s">
        <v>1391</v>
      </c>
      <c r="N1132" t="s">
        <v>76</v>
      </c>
      <c r="O1132" t="s">
        <v>1392</v>
      </c>
      <c r="P1132" t="s">
        <v>1393</v>
      </c>
      <c r="Q1132" t="s">
        <v>1394</v>
      </c>
      <c r="R1132" s="1">
        <v>46219</v>
      </c>
      <c r="S1132" t="s">
        <v>841</v>
      </c>
      <c r="T1132" t="s">
        <v>842</v>
      </c>
      <c r="U1132" t="s">
        <v>843</v>
      </c>
      <c r="V1132" t="s">
        <v>66</v>
      </c>
      <c r="W1132" t="s">
        <v>66</v>
      </c>
      <c r="X1132">
        <v>334082</v>
      </c>
      <c r="Y1132">
        <v>36749.019999999997</v>
      </c>
      <c r="Z1132">
        <v>39102</v>
      </c>
      <c r="AA1132">
        <v>4301.22</v>
      </c>
      <c r="AB1132">
        <v>370831.02</v>
      </c>
      <c r="AC1132">
        <v>3</v>
      </c>
      <c r="AD1132" t="s">
        <v>82</v>
      </c>
      <c r="AE1132">
        <v>3</v>
      </c>
      <c r="AF1132" t="s">
        <v>135</v>
      </c>
      <c r="AG1132">
        <f>IFERROR(VLOOKUP(AF1132,[1]STOK!J:O,6,0),"")</f>
        <v>12</v>
      </c>
      <c r="AH1132" s="2">
        <f t="shared" si="34"/>
        <v>0.25</v>
      </c>
      <c r="AI1132" t="s">
        <v>135</v>
      </c>
      <c r="AJ1132" t="s">
        <v>136</v>
      </c>
      <c r="AK1132" t="s">
        <v>137</v>
      </c>
      <c r="AL1132" t="s">
        <v>86</v>
      </c>
      <c r="AM1132">
        <v>14763</v>
      </c>
      <c r="AN1132">
        <f t="shared" si="35"/>
        <v>14467.74</v>
      </c>
      <c r="AO1132" t="s">
        <v>66</v>
      </c>
      <c r="AP1132">
        <v>2</v>
      </c>
      <c r="AQ1132" t="s">
        <v>66</v>
      </c>
      <c r="AR1132">
        <v>0</v>
      </c>
      <c r="AS1132" t="s">
        <v>66</v>
      </c>
      <c r="AT1132">
        <v>0</v>
      </c>
      <c r="AU1132" t="s">
        <v>66</v>
      </c>
      <c r="AV1132">
        <v>0</v>
      </c>
      <c r="AW1132" t="s">
        <v>66</v>
      </c>
      <c r="AX1132">
        <v>0</v>
      </c>
      <c r="AY1132" t="s">
        <v>66</v>
      </c>
      <c r="AZ1132">
        <v>0</v>
      </c>
      <c r="BA1132" t="s">
        <v>66</v>
      </c>
      <c r="BB1132">
        <v>0</v>
      </c>
      <c r="BC1132">
        <v>0</v>
      </c>
      <c r="BD1132">
        <v>43403.22</v>
      </c>
      <c r="BE1132">
        <v>12032.04</v>
      </c>
      <c r="BF1132">
        <v>0</v>
      </c>
      <c r="BG1132" t="s">
        <v>87</v>
      </c>
      <c r="BH1132" t="s">
        <v>66</v>
      </c>
      <c r="BI1132">
        <v>0</v>
      </c>
      <c r="BJ1132" t="s">
        <v>66</v>
      </c>
      <c r="BK1132" t="s">
        <v>88</v>
      </c>
      <c r="BL1132" t="s">
        <v>719</v>
      </c>
      <c r="BM1132" t="s">
        <v>159</v>
      </c>
    </row>
    <row r="1133" spans="1:65" x14ac:dyDescent="0.25">
      <c r="A1133">
        <v>1131</v>
      </c>
      <c r="B1133" t="s">
        <v>1389</v>
      </c>
      <c r="C1133" t="s">
        <v>68</v>
      </c>
      <c r="D1133" s="1">
        <v>46217</v>
      </c>
      <c r="E1133" t="s">
        <v>1390</v>
      </c>
      <c r="F1133" t="s">
        <v>68</v>
      </c>
      <c r="G1133" t="s">
        <v>295</v>
      </c>
      <c r="H1133" t="s">
        <v>296</v>
      </c>
      <c r="I1133" t="s">
        <v>71</v>
      </c>
      <c r="J1133" t="s">
        <v>72</v>
      </c>
      <c r="K1133" t="s">
        <v>73</v>
      </c>
      <c r="L1133" t="s">
        <v>74</v>
      </c>
      <c r="M1133" t="s">
        <v>1391</v>
      </c>
      <c r="N1133" t="s">
        <v>76</v>
      </c>
      <c r="O1133" t="s">
        <v>1392</v>
      </c>
      <c r="P1133" t="s">
        <v>1393</v>
      </c>
      <c r="Q1133" t="s">
        <v>1394</v>
      </c>
      <c r="R1133" s="1">
        <v>46219</v>
      </c>
      <c r="S1133" t="s">
        <v>841</v>
      </c>
      <c r="T1133" t="s">
        <v>842</v>
      </c>
      <c r="U1133" t="s">
        <v>843</v>
      </c>
      <c r="V1133" t="s">
        <v>66</v>
      </c>
      <c r="W1133" t="s">
        <v>66</v>
      </c>
      <c r="X1133">
        <v>334082</v>
      </c>
      <c r="Y1133">
        <v>36749.019999999997</v>
      </c>
      <c r="Z1133">
        <v>78204</v>
      </c>
      <c r="AA1133">
        <v>8602.44</v>
      </c>
      <c r="AB1133">
        <v>370831.02</v>
      </c>
      <c r="AC1133">
        <v>6</v>
      </c>
      <c r="AD1133" t="s">
        <v>82</v>
      </c>
      <c r="AE1133">
        <v>6</v>
      </c>
      <c r="AF1133" t="s">
        <v>210</v>
      </c>
      <c r="AG1133">
        <f>IFERROR(VLOOKUP(AF1133,[1]STOK!J:O,6,0),"")</f>
        <v>12</v>
      </c>
      <c r="AH1133" s="2">
        <f t="shared" si="34"/>
        <v>0.5</v>
      </c>
      <c r="AI1133" t="s">
        <v>210</v>
      </c>
      <c r="AJ1133" t="s">
        <v>211</v>
      </c>
      <c r="AK1133" t="s">
        <v>212</v>
      </c>
      <c r="AL1133" t="s">
        <v>86</v>
      </c>
      <c r="AM1133">
        <v>14763</v>
      </c>
      <c r="AN1133">
        <f t="shared" si="35"/>
        <v>14467.74</v>
      </c>
      <c r="AO1133" t="s">
        <v>66</v>
      </c>
      <c r="AP1133">
        <v>2</v>
      </c>
      <c r="AQ1133" t="s">
        <v>66</v>
      </c>
      <c r="AR1133">
        <v>0</v>
      </c>
      <c r="AS1133" t="s">
        <v>66</v>
      </c>
      <c r="AT1133">
        <v>0</v>
      </c>
      <c r="AU1133" t="s">
        <v>66</v>
      </c>
      <c r="AV1133">
        <v>0</v>
      </c>
      <c r="AW1133" t="s">
        <v>66</v>
      </c>
      <c r="AX1133">
        <v>0</v>
      </c>
      <c r="AY1133" t="s">
        <v>66</v>
      </c>
      <c r="AZ1133">
        <v>0</v>
      </c>
      <c r="BA1133" t="s">
        <v>66</v>
      </c>
      <c r="BB1133">
        <v>0</v>
      </c>
      <c r="BC1133">
        <v>0</v>
      </c>
      <c r="BD1133">
        <v>86806.44</v>
      </c>
      <c r="BE1133">
        <v>11818.77</v>
      </c>
      <c r="BF1133">
        <v>0</v>
      </c>
      <c r="BG1133" t="s">
        <v>87</v>
      </c>
      <c r="BH1133" t="s">
        <v>66</v>
      </c>
      <c r="BI1133">
        <v>0</v>
      </c>
      <c r="BJ1133" t="s">
        <v>66</v>
      </c>
      <c r="BK1133" t="s">
        <v>88</v>
      </c>
      <c r="BL1133" t="s">
        <v>719</v>
      </c>
      <c r="BM1133" t="s">
        <v>159</v>
      </c>
    </row>
    <row r="1134" spans="1:65" x14ac:dyDescent="0.25">
      <c r="A1134">
        <v>1132</v>
      </c>
      <c r="B1134" t="s">
        <v>1395</v>
      </c>
      <c r="C1134" t="s">
        <v>68</v>
      </c>
      <c r="D1134" s="1">
        <v>46217</v>
      </c>
      <c r="E1134" t="s">
        <v>1396</v>
      </c>
      <c r="F1134" t="s">
        <v>68</v>
      </c>
      <c r="G1134" t="s">
        <v>295</v>
      </c>
      <c r="H1134" t="s">
        <v>296</v>
      </c>
      <c r="I1134" t="s">
        <v>71</v>
      </c>
      <c r="J1134" t="s">
        <v>72</v>
      </c>
      <c r="K1134" t="s">
        <v>73</v>
      </c>
      <c r="L1134" t="s">
        <v>74</v>
      </c>
      <c r="M1134" t="s">
        <v>1397</v>
      </c>
      <c r="N1134" t="s">
        <v>76</v>
      </c>
      <c r="O1134" t="s">
        <v>1398</v>
      </c>
      <c r="P1134" t="s">
        <v>1399</v>
      </c>
      <c r="Q1134" t="s">
        <v>1400</v>
      </c>
      <c r="R1134" s="1">
        <v>46224</v>
      </c>
      <c r="S1134" t="s">
        <v>841</v>
      </c>
      <c r="T1134" t="s">
        <v>842</v>
      </c>
      <c r="U1134" t="s">
        <v>843</v>
      </c>
      <c r="V1134" t="s">
        <v>66</v>
      </c>
      <c r="W1134" t="s">
        <v>66</v>
      </c>
      <c r="X1134">
        <v>936390</v>
      </c>
      <c r="Y1134">
        <v>103002.9</v>
      </c>
      <c r="Z1134">
        <v>23226</v>
      </c>
      <c r="AA1134">
        <v>2554.86</v>
      </c>
      <c r="AB1134">
        <v>1039392.9</v>
      </c>
      <c r="AC1134">
        <v>3</v>
      </c>
      <c r="AD1134" t="s">
        <v>82</v>
      </c>
      <c r="AE1134">
        <v>3</v>
      </c>
      <c r="AF1134" t="s">
        <v>248</v>
      </c>
      <c r="AG1134">
        <f>IFERROR(VLOOKUP(AF1134,[1]STOK!J:O,6,0),"")</f>
        <v>24</v>
      </c>
      <c r="AH1134" s="2">
        <f t="shared" si="34"/>
        <v>0.125</v>
      </c>
      <c r="AI1134" t="s">
        <v>248</v>
      </c>
      <c r="AJ1134" t="s">
        <v>249</v>
      </c>
      <c r="AK1134" t="s">
        <v>250</v>
      </c>
      <c r="AL1134" t="s">
        <v>86</v>
      </c>
      <c r="AM1134">
        <v>8769</v>
      </c>
      <c r="AN1134">
        <f t="shared" si="35"/>
        <v>8593.6200000000008</v>
      </c>
      <c r="AO1134" t="s">
        <v>66</v>
      </c>
      <c r="AP1134">
        <v>2</v>
      </c>
      <c r="AQ1134" t="s">
        <v>66</v>
      </c>
      <c r="AR1134">
        <v>0</v>
      </c>
      <c r="AS1134" t="s">
        <v>66</v>
      </c>
      <c r="AT1134">
        <v>0</v>
      </c>
      <c r="AU1134" t="s">
        <v>66</v>
      </c>
      <c r="AV1134">
        <v>0</v>
      </c>
      <c r="AW1134" t="s">
        <v>66</v>
      </c>
      <c r="AX1134">
        <v>0</v>
      </c>
      <c r="AY1134" t="s">
        <v>66</v>
      </c>
      <c r="AZ1134">
        <v>0</v>
      </c>
      <c r="BA1134" t="s">
        <v>66</v>
      </c>
      <c r="BB1134">
        <v>0</v>
      </c>
      <c r="BC1134">
        <v>0</v>
      </c>
      <c r="BD1134">
        <v>25780.86</v>
      </c>
      <c r="BE1134">
        <v>6516.01</v>
      </c>
      <c r="BF1134">
        <v>0</v>
      </c>
      <c r="BG1134" t="s">
        <v>87</v>
      </c>
      <c r="BH1134" t="s">
        <v>66</v>
      </c>
      <c r="BI1134">
        <v>0</v>
      </c>
      <c r="BJ1134" t="s">
        <v>66</v>
      </c>
      <c r="BK1134" t="s">
        <v>88</v>
      </c>
      <c r="BL1134" t="s">
        <v>719</v>
      </c>
      <c r="BM1134" t="s">
        <v>159</v>
      </c>
    </row>
    <row r="1135" spans="1:65" x14ac:dyDescent="0.25">
      <c r="A1135">
        <v>1133</v>
      </c>
      <c r="B1135" t="s">
        <v>1395</v>
      </c>
      <c r="C1135" t="s">
        <v>68</v>
      </c>
      <c r="D1135" s="1">
        <v>46217</v>
      </c>
      <c r="E1135" t="s">
        <v>1396</v>
      </c>
      <c r="F1135" t="s">
        <v>68</v>
      </c>
      <c r="G1135" t="s">
        <v>295</v>
      </c>
      <c r="H1135" t="s">
        <v>296</v>
      </c>
      <c r="I1135" t="s">
        <v>71</v>
      </c>
      <c r="J1135" t="s">
        <v>72</v>
      </c>
      <c r="K1135" t="s">
        <v>73</v>
      </c>
      <c r="L1135" t="s">
        <v>74</v>
      </c>
      <c r="M1135" t="s">
        <v>1397</v>
      </c>
      <c r="N1135" t="s">
        <v>76</v>
      </c>
      <c r="O1135" t="s">
        <v>1398</v>
      </c>
      <c r="P1135" t="s">
        <v>1399</v>
      </c>
      <c r="Q1135" t="s">
        <v>1400</v>
      </c>
      <c r="R1135" s="1">
        <v>46224</v>
      </c>
      <c r="S1135" t="s">
        <v>841</v>
      </c>
      <c r="T1135" t="s">
        <v>842</v>
      </c>
      <c r="U1135" t="s">
        <v>843</v>
      </c>
      <c r="V1135" t="s">
        <v>66</v>
      </c>
      <c r="W1135" t="s">
        <v>66</v>
      </c>
      <c r="X1135">
        <v>936390</v>
      </c>
      <c r="Y1135">
        <v>103002.9</v>
      </c>
      <c r="Z1135">
        <v>23226</v>
      </c>
      <c r="AA1135">
        <v>2554.86</v>
      </c>
      <c r="AB1135">
        <v>1039392.9</v>
      </c>
      <c r="AC1135">
        <v>3</v>
      </c>
      <c r="AD1135" t="s">
        <v>82</v>
      </c>
      <c r="AE1135">
        <v>3</v>
      </c>
      <c r="AF1135" t="s">
        <v>344</v>
      </c>
      <c r="AG1135">
        <f>IFERROR(VLOOKUP(AF1135,[1]STOK!J:O,6,0),"")</f>
        <v>24</v>
      </c>
      <c r="AH1135" s="2">
        <f t="shared" si="34"/>
        <v>0.125</v>
      </c>
      <c r="AI1135" t="s">
        <v>344</v>
      </c>
      <c r="AJ1135" t="s">
        <v>345</v>
      </c>
      <c r="AK1135" t="s">
        <v>346</v>
      </c>
      <c r="AL1135" t="s">
        <v>86</v>
      </c>
      <c r="AM1135">
        <v>8769</v>
      </c>
      <c r="AN1135">
        <f t="shared" si="35"/>
        <v>8593.6200000000008</v>
      </c>
      <c r="AO1135" t="s">
        <v>66</v>
      </c>
      <c r="AP1135">
        <v>2</v>
      </c>
      <c r="AQ1135" t="s">
        <v>66</v>
      </c>
      <c r="AR1135">
        <v>0</v>
      </c>
      <c r="AS1135" t="s">
        <v>66</v>
      </c>
      <c r="AT1135">
        <v>0</v>
      </c>
      <c r="AU1135" t="s">
        <v>66</v>
      </c>
      <c r="AV1135">
        <v>0</v>
      </c>
      <c r="AW1135" t="s">
        <v>66</v>
      </c>
      <c r="AX1135">
        <v>0</v>
      </c>
      <c r="AY1135" t="s">
        <v>66</v>
      </c>
      <c r="AZ1135">
        <v>0</v>
      </c>
      <c r="BA1135" t="s">
        <v>66</v>
      </c>
      <c r="BB1135">
        <v>0</v>
      </c>
      <c r="BC1135">
        <v>0</v>
      </c>
      <c r="BD1135">
        <v>25780.86</v>
      </c>
      <c r="BE1135">
        <v>6916.14</v>
      </c>
      <c r="BF1135">
        <v>0</v>
      </c>
      <c r="BG1135" t="s">
        <v>87</v>
      </c>
      <c r="BH1135" t="s">
        <v>66</v>
      </c>
      <c r="BI1135">
        <v>0</v>
      </c>
      <c r="BJ1135" t="s">
        <v>66</v>
      </c>
      <c r="BK1135" t="s">
        <v>88</v>
      </c>
      <c r="BL1135" t="s">
        <v>719</v>
      </c>
      <c r="BM1135" t="s">
        <v>159</v>
      </c>
    </row>
    <row r="1136" spans="1:65" x14ac:dyDescent="0.25">
      <c r="A1136">
        <v>1134</v>
      </c>
      <c r="B1136" t="s">
        <v>1395</v>
      </c>
      <c r="C1136" t="s">
        <v>68</v>
      </c>
      <c r="D1136" s="1">
        <v>46217</v>
      </c>
      <c r="E1136" t="s">
        <v>1396</v>
      </c>
      <c r="F1136" t="s">
        <v>68</v>
      </c>
      <c r="G1136" t="s">
        <v>295</v>
      </c>
      <c r="H1136" t="s">
        <v>296</v>
      </c>
      <c r="I1136" t="s">
        <v>71</v>
      </c>
      <c r="J1136" t="s">
        <v>72</v>
      </c>
      <c r="K1136" t="s">
        <v>73</v>
      </c>
      <c r="L1136" t="s">
        <v>74</v>
      </c>
      <c r="M1136" t="s">
        <v>1397</v>
      </c>
      <c r="N1136" t="s">
        <v>76</v>
      </c>
      <c r="O1136" t="s">
        <v>1398</v>
      </c>
      <c r="P1136" t="s">
        <v>1399</v>
      </c>
      <c r="Q1136" t="s">
        <v>1400</v>
      </c>
      <c r="R1136" s="1">
        <v>46224</v>
      </c>
      <c r="S1136" t="s">
        <v>841</v>
      </c>
      <c r="T1136" t="s">
        <v>842</v>
      </c>
      <c r="U1136" t="s">
        <v>843</v>
      </c>
      <c r="V1136" t="s">
        <v>66</v>
      </c>
      <c r="W1136" t="s">
        <v>66</v>
      </c>
      <c r="X1136">
        <v>936390</v>
      </c>
      <c r="Y1136">
        <v>103002.9</v>
      </c>
      <c r="Z1136">
        <v>33222</v>
      </c>
      <c r="AA1136">
        <v>3654.42</v>
      </c>
      <c r="AB1136">
        <v>1039392.9</v>
      </c>
      <c r="AC1136">
        <v>3</v>
      </c>
      <c r="AD1136" t="s">
        <v>82</v>
      </c>
      <c r="AE1136">
        <v>3</v>
      </c>
      <c r="AF1136" t="s">
        <v>122</v>
      </c>
      <c r="AG1136">
        <f>IFERROR(VLOOKUP(AF1136,[1]STOK!J:O,6,0),"")</f>
        <v>24</v>
      </c>
      <c r="AH1136" s="2">
        <f t="shared" si="34"/>
        <v>0.125</v>
      </c>
      <c r="AI1136" t="s">
        <v>122</v>
      </c>
      <c r="AJ1136" t="s">
        <v>123</v>
      </c>
      <c r="AK1136" t="s">
        <v>124</v>
      </c>
      <c r="AL1136" t="s">
        <v>86</v>
      </c>
      <c r="AM1136">
        <v>12543</v>
      </c>
      <c r="AN1136">
        <f t="shared" si="35"/>
        <v>12292.14</v>
      </c>
      <c r="AO1136" t="s">
        <v>66</v>
      </c>
      <c r="AP1136">
        <v>2</v>
      </c>
      <c r="AQ1136" t="s">
        <v>66</v>
      </c>
      <c r="AR1136">
        <v>0</v>
      </c>
      <c r="AS1136" t="s">
        <v>66</v>
      </c>
      <c r="AT1136">
        <v>0</v>
      </c>
      <c r="AU1136" t="s">
        <v>66</v>
      </c>
      <c r="AV1136">
        <v>0</v>
      </c>
      <c r="AW1136" t="s">
        <v>66</v>
      </c>
      <c r="AX1136">
        <v>0</v>
      </c>
      <c r="AY1136" t="s">
        <v>66</v>
      </c>
      <c r="AZ1136">
        <v>0</v>
      </c>
      <c r="BA1136" t="s">
        <v>66</v>
      </c>
      <c r="BB1136">
        <v>0</v>
      </c>
      <c r="BC1136">
        <v>0</v>
      </c>
      <c r="BD1136">
        <v>36876.42</v>
      </c>
      <c r="BE1136">
        <v>9909.61</v>
      </c>
      <c r="BF1136">
        <v>0</v>
      </c>
      <c r="BG1136" t="s">
        <v>87</v>
      </c>
      <c r="BH1136" t="s">
        <v>66</v>
      </c>
      <c r="BI1136">
        <v>0</v>
      </c>
      <c r="BJ1136" t="s">
        <v>66</v>
      </c>
      <c r="BK1136" t="s">
        <v>88</v>
      </c>
      <c r="BL1136" t="s">
        <v>719</v>
      </c>
      <c r="BM1136" t="s">
        <v>159</v>
      </c>
    </row>
    <row r="1137" spans="1:65" x14ac:dyDescent="0.25">
      <c r="A1137">
        <v>1135</v>
      </c>
      <c r="B1137" t="s">
        <v>1395</v>
      </c>
      <c r="C1137" t="s">
        <v>68</v>
      </c>
      <c r="D1137" s="1">
        <v>46217</v>
      </c>
      <c r="E1137" t="s">
        <v>1396</v>
      </c>
      <c r="F1137" t="s">
        <v>68</v>
      </c>
      <c r="G1137" t="s">
        <v>295</v>
      </c>
      <c r="H1137" t="s">
        <v>296</v>
      </c>
      <c r="I1137" t="s">
        <v>71</v>
      </c>
      <c r="J1137" t="s">
        <v>72</v>
      </c>
      <c r="K1137" t="s">
        <v>73</v>
      </c>
      <c r="L1137" t="s">
        <v>74</v>
      </c>
      <c r="M1137" t="s">
        <v>1397</v>
      </c>
      <c r="N1137" t="s">
        <v>76</v>
      </c>
      <c r="O1137" t="s">
        <v>1398</v>
      </c>
      <c r="P1137" t="s">
        <v>1399</v>
      </c>
      <c r="Q1137" t="s">
        <v>1400</v>
      </c>
      <c r="R1137" s="1">
        <v>46224</v>
      </c>
      <c r="S1137" t="s">
        <v>841</v>
      </c>
      <c r="T1137" t="s">
        <v>842</v>
      </c>
      <c r="U1137" t="s">
        <v>843</v>
      </c>
      <c r="V1137" t="s">
        <v>66</v>
      </c>
      <c r="W1137" t="s">
        <v>66</v>
      </c>
      <c r="X1137">
        <v>936390</v>
      </c>
      <c r="Y1137">
        <v>103002.9</v>
      </c>
      <c r="Z1137">
        <v>16758</v>
      </c>
      <c r="AA1137">
        <v>1843.38</v>
      </c>
      <c r="AB1137">
        <v>1039392.9</v>
      </c>
      <c r="AC1137">
        <v>3</v>
      </c>
      <c r="AD1137" t="s">
        <v>82</v>
      </c>
      <c r="AE1137">
        <v>3</v>
      </c>
      <c r="AF1137" t="s">
        <v>90</v>
      </c>
      <c r="AG1137">
        <f>IFERROR(VLOOKUP(AF1137,[1]STOK!J:O,6,0),"")</f>
        <v>48</v>
      </c>
      <c r="AH1137" s="2">
        <f t="shared" si="34"/>
        <v>6.25E-2</v>
      </c>
      <c r="AI1137" t="s">
        <v>90</v>
      </c>
      <c r="AJ1137" t="s">
        <v>91</v>
      </c>
      <c r="AK1137" t="s">
        <v>92</v>
      </c>
      <c r="AL1137" t="s">
        <v>86</v>
      </c>
      <c r="AM1137">
        <v>6327</v>
      </c>
      <c r="AN1137">
        <f t="shared" si="35"/>
        <v>6200.46</v>
      </c>
      <c r="AO1137" t="s">
        <v>66</v>
      </c>
      <c r="AP1137">
        <v>2</v>
      </c>
      <c r="AQ1137" t="s">
        <v>66</v>
      </c>
      <c r="AR1137">
        <v>0</v>
      </c>
      <c r="AS1137" t="s">
        <v>66</v>
      </c>
      <c r="AT1137">
        <v>0</v>
      </c>
      <c r="AU1137" t="s">
        <v>66</v>
      </c>
      <c r="AV1137">
        <v>0</v>
      </c>
      <c r="AW1137" t="s">
        <v>66</v>
      </c>
      <c r="AX1137">
        <v>0</v>
      </c>
      <c r="AY1137" t="s">
        <v>66</v>
      </c>
      <c r="AZ1137">
        <v>0</v>
      </c>
      <c r="BA1137" t="s">
        <v>66</v>
      </c>
      <c r="BB1137">
        <v>0</v>
      </c>
      <c r="BC1137">
        <v>0</v>
      </c>
      <c r="BD1137">
        <v>18601.38</v>
      </c>
      <c r="BE1137">
        <v>4887.16</v>
      </c>
      <c r="BF1137">
        <v>0</v>
      </c>
      <c r="BG1137" t="s">
        <v>87</v>
      </c>
      <c r="BH1137" t="s">
        <v>66</v>
      </c>
      <c r="BI1137">
        <v>0</v>
      </c>
      <c r="BJ1137" t="s">
        <v>66</v>
      </c>
      <c r="BK1137" t="s">
        <v>88</v>
      </c>
      <c r="BL1137" t="s">
        <v>719</v>
      </c>
      <c r="BM1137" t="s">
        <v>159</v>
      </c>
    </row>
    <row r="1138" spans="1:65" x14ac:dyDescent="0.25">
      <c r="A1138">
        <v>1136</v>
      </c>
      <c r="B1138" t="s">
        <v>1395</v>
      </c>
      <c r="C1138" t="s">
        <v>68</v>
      </c>
      <c r="D1138" s="1">
        <v>46217</v>
      </c>
      <c r="E1138" t="s">
        <v>1396</v>
      </c>
      <c r="F1138" t="s">
        <v>68</v>
      </c>
      <c r="G1138" t="s">
        <v>295</v>
      </c>
      <c r="H1138" t="s">
        <v>296</v>
      </c>
      <c r="I1138" t="s">
        <v>71</v>
      </c>
      <c r="J1138" t="s">
        <v>72</v>
      </c>
      <c r="K1138" t="s">
        <v>73</v>
      </c>
      <c r="L1138" t="s">
        <v>74</v>
      </c>
      <c r="M1138" t="s">
        <v>1397</v>
      </c>
      <c r="N1138" t="s">
        <v>76</v>
      </c>
      <c r="O1138" t="s">
        <v>1398</v>
      </c>
      <c r="P1138" t="s">
        <v>1399</v>
      </c>
      <c r="Q1138" t="s">
        <v>1400</v>
      </c>
      <c r="R1138" s="1">
        <v>46224</v>
      </c>
      <c r="S1138" t="s">
        <v>841</v>
      </c>
      <c r="T1138" t="s">
        <v>842</v>
      </c>
      <c r="U1138" t="s">
        <v>843</v>
      </c>
      <c r="V1138" t="s">
        <v>66</v>
      </c>
      <c r="W1138" t="s">
        <v>66</v>
      </c>
      <c r="X1138">
        <v>936390</v>
      </c>
      <c r="Y1138">
        <v>103002.9</v>
      </c>
      <c r="Z1138">
        <v>16758</v>
      </c>
      <c r="AA1138">
        <v>1843.38</v>
      </c>
      <c r="AB1138">
        <v>1039392.9</v>
      </c>
      <c r="AC1138">
        <v>3</v>
      </c>
      <c r="AD1138" t="s">
        <v>82</v>
      </c>
      <c r="AE1138">
        <v>3</v>
      </c>
      <c r="AF1138" t="s">
        <v>202</v>
      </c>
      <c r="AG1138">
        <f>IFERROR(VLOOKUP(AF1138,[1]STOK!J:O,6,0),"")</f>
        <v>48</v>
      </c>
      <c r="AH1138" s="2">
        <f t="shared" si="34"/>
        <v>6.25E-2</v>
      </c>
      <c r="AI1138" t="s">
        <v>202</v>
      </c>
      <c r="AJ1138" t="s">
        <v>203</v>
      </c>
      <c r="AK1138" t="s">
        <v>204</v>
      </c>
      <c r="AL1138" t="s">
        <v>86</v>
      </c>
      <c r="AM1138">
        <v>6327</v>
      </c>
      <c r="AN1138">
        <f t="shared" si="35"/>
        <v>6200.46</v>
      </c>
      <c r="AO1138" t="s">
        <v>66</v>
      </c>
      <c r="AP1138">
        <v>2</v>
      </c>
      <c r="AQ1138" t="s">
        <v>66</v>
      </c>
      <c r="AR1138">
        <v>0</v>
      </c>
      <c r="AS1138" t="s">
        <v>66</v>
      </c>
      <c r="AT1138">
        <v>0</v>
      </c>
      <c r="AU1138" t="s">
        <v>66</v>
      </c>
      <c r="AV1138">
        <v>0</v>
      </c>
      <c r="AW1138" t="s">
        <v>66</v>
      </c>
      <c r="AX1138">
        <v>0</v>
      </c>
      <c r="AY1138" t="s">
        <v>66</v>
      </c>
      <c r="AZ1138">
        <v>0</v>
      </c>
      <c r="BA1138" t="s">
        <v>66</v>
      </c>
      <c r="BB1138">
        <v>0</v>
      </c>
      <c r="BC1138">
        <v>0</v>
      </c>
      <c r="BD1138">
        <v>18601.38</v>
      </c>
      <c r="BE1138">
        <v>4914.4399999999996</v>
      </c>
      <c r="BF1138">
        <v>0</v>
      </c>
      <c r="BG1138" t="s">
        <v>87</v>
      </c>
      <c r="BH1138" t="s">
        <v>66</v>
      </c>
      <c r="BI1138">
        <v>0</v>
      </c>
      <c r="BJ1138" t="s">
        <v>66</v>
      </c>
      <c r="BK1138" t="s">
        <v>88</v>
      </c>
      <c r="BL1138" t="s">
        <v>719</v>
      </c>
      <c r="BM1138" t="s">
        <v>159</v>
      </c>
    </row>
    <row r="1139" spans="1:65" x14ac:dyDescent="0.25">
      <c r="A1139">
        <v>1137</v>
      </c>
      <c r="B1139" t="s">
        <v>1395</v>
      </c>
      <c r="C1139" t="s">
        <v>68</v>
      </c>
      <c r="D1139" s="1">
        <v>46217</v>
      </c>
      <c r="E1139" t="s">
        <v>1396</v>
      </c>
      <c r="F1139" t="s">
        <v>68</v>
      </c>
      <c r="G1139" t="s">
        <v>295</v>
      </c>
      <c r="H1139" t="s">
        <v>296</v>
      </c>
      <c r="I1139" t="s">
        <v>71</v>
      </c>
      <c r="J1139" t="s">
        <v>72</v>
      </c>
      <c r="K1139" t="s">
        <v>73</v>
      </c>
      <c r="L1139" t="s">
        <v>74</v>
      </c>
      <c r="M1139" t="s">
        <v>1397</v>
      </c>
      <c r="N1139" t="s">
        <v>76</v>
      </c>
      <c r="O1139" t="s">
        <v>1398</v>
      </c>
      <c r="P1139" t="s">
        <v>1399</v>
      </c>
      <c r="Q1139" t="s">
        <v>1400</v>
      </c>
      <c r="R1139" s="1">
        <v>46224</v>
      </c>
      <c r="S1139" t="s">
        <v>841</v>
      </c>
      <c r="T1139" t="s">
        <v>842</v>
      </c>
      <c r="U1139" t="s">
        <v>843</v>
      </c>
      <c r="V1139" t="s">
        <v>66</v>
      </c>
      <c r="W1139" t="s">
        <v>66</v>
      </c>
      <c r="X1139">
        <v>936390</v>
      </c>
      <c r="Y1139">
        <v>103002.9</v>
      </c>
      <c r="Z1139">
        <v>67032</v>
      </c>
      <c r="AA1139">
        <v>7373.52</v>
      </c>
      <c r="AB1139">
        <v>1039392.9</v>
      </c>
      <c r="AC1139">
        <v>12</v>
      </c>
      <c r="AD1139" t="s">
        <v>82</v>
      </c>
      <c r="AE1139">
        <v>12</v>
      </c>
      <c r="AF1139" t="s">
        <v>350</v>
      </c>
      <c r="AG1139">
        <f>IFERROR(VLOOKUP(AF1139,[1]STOK!J:O,6,0),"")</f>
        <v>48</v>
      </c>
      <c r="AH1139" s="2">
        <f t="shared" si="34"/>
        <v>0.25</v>
      </c>
      <c r="AI1139" t="s">
        <v>350</v>
      </c>
      <c r="AJ1139" t="s">
        <v>351</v>
      </c>
      <c r="AK1139" t="s">
        <v>352</v>
      </c>
      <c r="AL1139" t="s">
        <v>86</v>
      </c>
      <c r="AM1139">
        <v>6327</v>
      </c>
      <c r="AN1139">
        <f t="shared" si="35"/>
        <v>6200.46</v>
      </c>
      <c r="AO1139" t="s">
        <v>66</v>
      </c>
      <c r="AP1139">
        <v>2</v>
      </c>
      <c r="AQ1139" t="s">
        <v>66</v>
      </c>
      <c r="AR1139">
        <v>0</v>
      </c>
      <c r="AS1139" t="s">
        <v>66</v>
      </c>
      <c r="AT1139">
        <v>0</v>
      </c>
      <c r="AU1139" t="s">
        <v>66</v>
      </c>
      <c r="AV1139">
        <v>0</v>
      </c>
      <c r="AW1139" t="s">
        <v>66</v>
      </c>
      <c r="AX1139">
        <v>0</v>
      </c>
      <c r="AY1139" t="s">
        <v>66</v>
      </c>
      <c r="AZ1139">
        <v>0</v>
      </c>
      <c r="BA1139" t="s">
        <v>66</v>
      </c>
      <c r="BB1139">
        <v>0</v>
      </c>
      <c r="BC1139">
        <v>0</v>
      </c>
      <c r="BD1139">
        <v>74405.52</v>
      </c>
      <c r="BE1139">
        <v>4985.16</v>
      </c>
      <c r="BF1139">
        <v>0</v>
      </c>
      <c r="BG1139" t="s">
        <v>87</v>
      </c>
      <c r="BH1139" t="s">
        <v>66</v>
      </c>
      <c r="BI1139">
        <v>0</v>
      </c>
      <c r="BJ1139" t="s">
        <v>66</v>
      </c>
      <c r="BK1139" t="s">
        <v>88</v>
      </c>
      <c r="BL1139" t="s">
        <v>719</v>
      </c>
      <c r="BM1139" t="s">
        <v>159</v>
      </c>
    </row>
    <row r="1140" spans="1:65" x14ac:dyDescent="0.25">
      <c r="A1140">
        <v>1138</v>
      </c>
      <c r="B1140" t="s">
        <v>1395</v>
      </c>
      <c r="C1140" t="s">
        <v>68</v>
      </c>
      <c r="D1140" s="1">
        <v>46217</v>
      </c>
      <c r="E1140" t="s">
        <v>1396</v>
      </c>
      <c r="F1140" t="s">
        <v>68</v>
      </c>
      <c r="G1140" t="s">
        <v>295</v>
      </c>
      <c r="H1140" t="s">
        <v>296</v>
      </c>
      <c r="I1140" t="s">
        <v>71</v>
      </c>
      <c r="J1140" t="s">
        <v>72</v>
      </c>
      <c r="K1140" t="s">
        <v>73</v>
      </c>
      <c r="L1140" t="s">
        <v>74</v>
      </c>
      <c r="M1140" t="s">
        <v>1397</v>
      </c>
      <c r="N1140" t="s">
        <v>76</v>
      </c>
      <c r="O1140" t="s">
        <v>1398</v>
      </c>
      <c r="P1140" t="s">
        <v>1399</v>
      </c>
      <c r="Q1140" t="s">
        <v>1400</v>
      </c>
      <c r="R1140" s="1">
        <v>46224</v>
      </c>
      <c r="S1140" t="s">
        <v>841</v>
      </c>
      <c r="T1140" t="s">
        <v>842</v>
      </c>
      <c r="U1140" t="s">
        <v>843</v>
      </c>
      <c r="V1140" t="s">
        <v>66</v>
      </c>
      <c r="W1140" t="s">
        <v>66</v>
      </c>
      <c r="X1140">
        <v>936390</v>
      </c>
      <c r="Y1140">
        <v>103002.9</v>
      </c>
      <c r="Z1140">
        <v>97020</v>
      </c>
      <c r="AA1140">
        <v>10672.2</v>
      </c>
      <c r="AB1140">
        <v>1039392.9</v>
      </c>
      <c r="AC1140">
        <v>6</v>
      </c>
      <c r="AD1140" t="s">
        <v>82</v>
      </c>
      <c r="AE1140">
        <v>6</v>
      </c>
      <c r="AF1140" t="s">
        <v>205</v>
      </c>
      <c r="AG1140">
        <f>IFERROR(VLOOKUP(AF1140,[1]STOK!J:O,6,0),"")</f>
        <v>24</v>
      </c>
      <c r="AH1140" s="2">
        <f t="shared" si="34"/>
        <v>0.25</v>
      </c>
      <c r="AI1140" t="s">
        <v>205</v>
      </c>
      <c r="AJ1140" t="s">
        <v>206</v>
      </c>
      <c r="AK1140" t="s">
        <v>207</v>
      </c>
      <c r="AL1140" t="s">
        <v>86</v>
      </c>
      <c r="AM1140">
        <v>18315</v>
      </c>
      <c r="AN1140">
        <f t="shared" si="35"/>
        <v>17948.7</v>
      </c>
      <c r="AO1140" t="s">
        <v>66</v>
      </c>
      <c r="AP1140">
        <v>2</v>
      </c>
      <c r="AQ1140" t="s">
        <v>66</v>
      </c>
      <c r="AR1140">
        <v>0</v>
      </c>
      <c r="AS1140" t="s">
        <v>66</v>
      </c>
      <c r="AT1140">
        <v>0</v>
      </c>
      <c r="AU1140" t="s">
        <v>66</v>
      </c>
      <c r="AV1140">
        <v>0</v>
      </c>
      <c r="AW1140" t="s">
        <v>66</v>
      </c>
      <c r="AX1140">
        <v>0</v>
      </c>
      <c r="AY1140" t="s">
        <v>66</v>
      </c>
      <c r="AZ1140">
        <v>0</v>
      </c>
      <c r="BA1140" t="s">
        <v>66</v>
      </c>
      <c r="BB1140">
        <v>0</v>
      </c>
      <c r="BC1140">
        <v>0</v>
      </c>
      <c r="BD1140">
        <v>107692.2</v>
      </c>
      <c r="BE1140">
        <v>14876.63</v>
      </c>
      <c r="BF1140">
        <v>0</v>
      </c>
      <c r="BG1140" t="s">
        <v>87</v>
      </c>
      <c r="BH1140" t="s">
        <v>66</v>
      </c>
      <c r="BI1140">
        <v>0</v>
      </c>
      <c r="BJ1140" t="s">
        <v>66</v>
      </c>
      <c r="BK1140" t="s">
        <v>88</v>
      </c>
      <c r="BL1140" t="s">
        <v>719</v>
      </c>
      <c r="BM1140" t="s">
        <v>159</v>
      </c>
    </row>
    <row r="1141" spans="1:65" x14ac:dyDescent="0.25">
      <c r="A1141">
        <v>1139</v>
      </c>
      <c r="B1141" t="s">
        <v>1395</v>
      </c>
      <c r="C1141" t="s">
        <v>68</v>
      </c>
      <c r="D1141" s="1">
        <v>46217</v>
      </c>
      <c r="E1141" t="s">
        <v>1396</v>
      </c>
      <c r="F1141" t="s">
        <v>68</v>
      </c>
      <c r="G1141" t="s">
        <v>295</v>
      </c>
      <c r="H1141" t="s">
        <v>296</v>
      </c>
      <c r="I1141" t="s">
        <v>71</v>
      </c>
      <c r="J1141" t="s">
        <v>72</v>
      </c>
      <c r="K1141" t="s">
        <v>73</v>
      </c>
      <c r="L1141" t="s">
        <v>74</v>
      </c>
      <c r="M1141" t="s">
        <v>1397</v>
      </c>
      <c r="N1141" t="s">
        <v>76</v>
      </c>
      <c r="O1141" t="s">
        <v>1398</v>
      </c>
      <c r="P1141" t="s">
        <v>1399</v>
      </c>
      <c r="Q1141" t="s">
        <v>1400</v>
      </c>
      <c r="R1141" s="1">
        <v>46224</v>
      </c>
      <c r="S1141" t="s">
        <v>841</v>
      </c>
      <c r="T1141" t="s">
        <v>842</v>
      </c>
      <c r="U1141" t="s">
        <v>843</v>
      </c>
      <c r="V1141" t="s">
        <v>66</v>
      </c>
      <c r="W1141" t="s">
        <v>66</v>
      </c>
      <c r="X1141">
        <v>936390</v>
      </c>
      <c r="Y1141">
        <v>103002.9</v>
      </c>
      <c r="Z1141">
        <v>97020</v>
      </c>
      <c r="AA1141">
        <v>10672.2</v>
      </c>
      <c r="AB1141">
        <v>1039392.9</v>
      </c>
      <c r="AC1141">
        <v>6</v>
      </c>
      <c r="AD1141" t="s">
        <v>82</v>
      </c>
      <c r="AE1141">
        <v>6</v>
      </c>
      <c r="AF1141" t="s">
        <v>99</v>
      </c>
      <c r="AG1141">
        <f>IFERROR(VLOOKUP(AF1141,[1]STOK!J:O,6,0),"")</f>
        <v>24</v>
      </c>
      <c r="AH1141" s="2">
        <f t="shared" si="34"/>
        <v>0.25</v>
      </c>
      <c r="AI1141" t="s">
        <v>99</v>
      </c>
      <c r="AJ1141" t="s">
        <v>100</v>
      </c>
      <c r="AK1141" t="s">
        <v>101</v>
      </c>
      <c r="AL1141" t="s">
        <v>86</v>
      </c>
      <c r="AM1141">
        <v>18315</v>
      </c>
      <c r="AN1141">
        <f t="shared" si="35"/>
        <v>17948.7</v>
      </c>
      <c r="AO1141" t="s">
        <v>66</v>
      </c>
      <c r="AP1141">
        <v>2</v>
      </c>
      <c r="AQ1141" t="s">
        <v>66</v>
      </c>
      <c r="AR1141">
        <v>0</v>
      </c>
      <c r="AS1141" t="s">
        <v>66</v>
      </c>
      <c r="AT1141">
        <v>0</v>
      </c>
      <c r="AU1141" t="s">
        <v>66</v>
      </c>
      <c r="AV1141">
        <v>0</v>
      </c>
      <c r="AW1141" t="s">
        <v>66</v>
      </c>
      <c r="AX1141">
        <v>0</v>
      </c>
      <c r="AY1141" t="s">
        <v>66</v>
      </c>
      <c r="AZ1141">
        <v>0</v>
      </c>
      <c r="BA1141" t="s">
        <v>66</v>
      </c>
      <c r="BB1141">
        <v>0</v>
      </c>
      <c r="BC1141">
        <v>0</v>
      </c>
      <c r="BD1141">
        <v>107692.2</v>
      </c>
      <c r="BE1141">
        <v>14924.93</v>
      </c>
      <c r="BF1141">
        <v>0</v>
      </c>
      <c r="BG1141" t="s">
        <v>87</v>
      </c>
      <c r="BH1141" t="s">
        <v>66</v>
      </c>
      <c r="BI1141">
        <v>0</v>
      </c>
      <c r="BJ1141" t="s">
        <v>66</v>
      </c>
      <c r="BK1141" t="s">
        <v>88</v>
      </c>
      <c r="BL1141" t="s">
        <v>719</v>
      </c>
      <c r="BM1141" t="s">
        <v>159</v>
      </c>
    </row>
    <row r="1142" spans="1:65" x14ac:dyDescent="0.25">
      <c r="A1142">
        <v>1140</v>
      </c>
      <c r="B1142" t="s">
        <v>1395</v>
      </c>
      <c r="C1142" t="s">
        <v>68</v>
      </c>
      <c r="D1142" s="1">
        <v>46217</v>
      </c>
      <c r="E1142" t="s">
        <v>1396</v>
      </c>
      <c r="F1142" t="s">
        <v>68</v>
      </c>
      <c r="G1142" t="s">
        <v>295</v>
      </c>
      <c r="H1142" t="s">
        <v>296</v>
      </c>
      <c r="I1142" t="s">
        <v>71</v>
      </c>
      <c r="J1142" t="s">
        <v>72</v>
      </c>
      <c r="K1142" t="s">
        <v>73</v>
      </c>
      <c r="L1142" t="s">
        <v>74</v>
      </c>
      <c r="M1142" t="s">
        <v>1397</v>
      </c>
      <c r="N1142" t="s">
        <v>76</v>
      </c>
      <c r="O1142" t="s">
        <v>1398</v>
      </c>
      <c r="P1142" t="s">
        <v>1399</v>
      </c>
      <c r="Q1142" t="s">
        <v>1400</v>
      </c>
      <c r="R1142" s="1">
        <v>46224</v>
      </c>
      <c r="S1142" t="s">
        <v>841</v>
      </c>
      <c r="T1142" t="s">
        <v>842</v>
      </c>
      <c r="U1142" t="s">
        <v>843</v>
      </c>
      <c r="V1142" t="s">
        <v>66</v>
      </c>
      <c r="W1142" t="s">
        <v>66</v>
      </c>
      <c r="X1142">
        <v>936390</v>
      </c>
      <c r="Y1142">
        <v>103002.9</v>
      </c>
      <c r="Z1142">
        <v>80262</v>
      </c>
      <c r="AA1142">
        <v>8828.82</v>
      </c>
      <c r="AB1142">
        <v>1039392.9</v>
      </c>
      <c r="AC1142">
        <v>3</v>
      </c>
      <c r="AD1142" t="s">
        <v>82</v>
      </c>
      <c r="AE1142">
        <v>3</v>
      </c>
      <c r="AF1142" t="s">
        <v>563</v>
      </c>
      <c r="AG1142">
        <f>IFERROR(VLOOKUP(AF1142,[1]STOK!J:O,6,0),"")</f>
        <v>12</v>
      </c>
      <c r="AH1142" s="2">
        <f t="shared" si="34"/>
        <v>0.25</v>
      </c>
      <c r="AI1142" t="s">
        <v>563</v>
      </c>
      <c r="AJ1142" t="s">
        <v>564</v>
      </c>
      <c r="AK1142" t="s">
        <v>565</v>
      </c>
      <c r="AL1142" t="s">
        <v>86</v>
      </c>
      <c r="AM1142">
        <v>30303</v>
      </c>
      <c r="AN1142">
        <f t="shared" si="35"/>
        <v>29696.940000000002</v>
      </c>
      <c r="AO1142" t="s">
        <v>66</v>
      </c>
      <c r="AP1142">
        <v>2</v>
      </c>
      <c r="AQ1142" t="s">
        <v>66</v>
      </c>
      <c r="AR1142">
        <v>0</v>
      </c>
      <c r="AS1142" t="s">
        <v>66</v>
      </c>
      <c r="AT1142">
        <v>0</v>
      </c>
      <c r="AU1142" t="s">
        <v>66</v>
      </c>
      <c r="AV1142">
        <v>0</v>
      </c>
      <c r="AW1142" t="s">
        <v>66</v>
      </c>
      <c r="AX1142">
        <v>0</v>
      </c>
      <c r="AY1142" t="s">
        <v>66</v>
      </c>
      <c r="AZ1142">
        <v>0</v>
      </c>
      <c r="BA1142" t="s">
        <v>66</v>
      </c>
      <c r="BB1142">
        <v>0</v>
      </c>
      <c r="BC1142">
        <v>0</v>
      </c>
      <c r="BD1142">
        <v>89090.82</v>
      </c>
      <c r="BE1142">
        <v>24584.37</v>
      </c>
      <c r="BF1142">
        <v>0</v>
      </c>
      <c r="BG1142" t="s">
        <v>87</v>
      </c>
      <c r="BH1142" t="s">
        <v>66</v>
      </c>
      <c r="BI1142">
        <v>0</v>
      </c>
      <c r="BJ1142" t="s">
        <v>66</v>
      </c>
      <c r="BK1142" t="s">
        <v>88</v>
      </c>
      <c r="BL1142" t="s">
        <v>719</v>
      </c>
      <c r="BM1142" t="s">
        <v>159</v>
      </c>
    </row>
    <row r="1143" spans="1:65" x14ac:dyDescent="0.25">
      <c r="A1143">
        <v>1141</v>
      </c>
      <c r="B1143" t="s">
        <v>1395</v>
      </c>
      <c r="C1143" t="s">
        <v>68</v>
      </c>
      <c r="D1143" s="1">
        <v>46217</v>
      </c>
      <c r="E1143" t="s">
        <v>1396</v>
      </c>
      <c r="F1143" t="s">
        <v>68</v>
      </c>
      <c r="G1143" t="s">
        <v>295</v>
      </c>
      <c r="H1143" t="s">
        <v>296</v>
      </c>
      <c r="I1143" t="s">
        <v>71</v>
      </c>
      <c r="J1143" t="s">
        <v>72</v>
      </c>
      <c r="K1143" t="s">
        <v>73</v>
      </c>
      <c r="L1143" t="s">
        <v>74</v>
      </c>
      <c r="M1143" t="s">
        <v>1397</v>
      </c>
      <c r="N1143" t="s">
        <v>76</v>
      </c>
      <c r="O1143" t="s">
        <v>1398</v>
      </c>
      <c r="P1143" t="s">
        <v>1399</v>
      </c>
      <c r="Q1143" t="s">
        <v>1400</v>
      </c>
      <c r="R1143" s="1">
        <v>46224</v>
      </c>
      <c r="S1143" t="s">
        <v>841</v>
      </c>
      <c r="T1143" t="s">
        <v>842</v>
      </c>
      <c r="U1143" t="s">
        <v>843</v>
      </c>
      <c r="V1143" t="s">
        <v>66</v>
      </c>
      <c r="W1143" t="s">
        <v>66</v>
      </c>
      <c r="X1143">
        <v>936390</v>
      </c>
      <c r="Y1143">
        <v>103002.9</v>
      </c>
      <c r="Z1143">
        <v>78204</v>
      </c>
      <c r="AA1143">
        <v>8602.44</v>
      </c>
      <c r="AB1143">
        <v>1039392.9</v>
      </c>
      <c r="AC1143">
        <v>6</v>
      </c>
      <c r="AD1143" t="s">
        <v>82</v>
      </c>
      <c r="AE1143">
        <v>6</v>
      </c>
      <c r="AF1143" t="s">
        <v>135</v>
      </c>
      <c r="AG1143">
        <f>IFERROR(VLOOKUP(AF1143,[1]STOK!J:O,6,0),"")</f>
        <v>12</v>
      </c>
      <c r="AH1143" s="2">
        <f t="shared" si="34"/>
        <v>0.5</v>
      </c>
      <c r="AI1143" t="s">
        <v>135</v>
      </c>
      <c r="AJ1143" t="s">
        <v>136</v>
      </c>
      <c r="AK1143" t="s">
        <v>137</v>
      </c>
      <c r="AL1143" t="s">
        <v>86</v>
      </c>
      <c r="AM1143">
        <v>14763</v>
      </c>
      <c r="AN1143">
        <f t="shared" si="35"/>
        <v>14467.74</v>
      </c>
      <c r="AO1143" t="s">
        <v>66</v>
      </c>
      <c r="AP1143">
        <v>2</v>
      </c>
      <c r="AQ1143" t="s">
        <v>66</v>
      </c>
      <c r="AR1143">
        <v>0</v>
      </c>
      <c r="AS1143" t="s">
        <v>66</v>
      </c>
      <c r="AT1143">
        <v>0</v>
      </c>
      <c r="AU1143" t="s">
        <v>66</v>
      </c>
      <c r="AV1143">
        <v>0</v>
      </c>
      <c r="AW1143" t="s">
        <v>66</v>
      </c>
      <c r="AX1143">
        <v>0</v>
      </c>
      <c r="AY1143" t="s">
        <v>66</v>
      </c>
      <c r="AZ1143">
        <v>0</v>
      </c>
      <c r="BA1143" t="s">
        <v>66</v>
      </c>
      <c r="BB1143">
        <v>0</v>
      </c>
      <c r="BC1143">
        <v>0</v>
      </c>
      <c r="BD1143">
        <v>86806.44</v>
      </c>
      <c r="BE1143">
        <v>12032.04</v>
      </c>
      <c r="BF1143">
        <v>0</v>
      </c>
      <c r="BG1143" t="s">
        <v>87</v>
      </c>
      <c r="BH1143" t="s">
        <v>66</v>
      </c>
      <c r="BI1143">
        <v>0</v>
      </c>
      <c r="BJ1143" t="s">
        <v>66</v>
      </c>
      <c r="BK1143" t="s">
        <v>88</v>
      </c>
      <c r="BL1143" t="s">
        <v>719</v>
      </c>
      <c r="BM1143" t="s">
        <v>159</v>
      </c>
    </row>
    <row r="1144" spans="1:65" x14ac:dyDescent="0.25">
      <c r="A1144">
        <v>1142</v>
      </c>
      <c r="B1144" t="s">
        <v>1395</v>
      </c>
      <c r="C1144" t="s">
        <v>68</v>
      </c>
      <c r="D1144" s="1">
        <v>46217</v>
      </c>
      <c r="E1144" t="s">
        <v>1396</v>
      </c>
      <c r="F1144" t="s">
        <v>68</v>
      </c>
      <c r="G1144" t="s">
        <v>295</v>
      </c>
      <c r="H1144" t="s">
        <v>296</v>
      </c>
      <c r="I1144" t="s">
        <v>71</v>
      </c>
      <c r="J1144" t="s">
        <v>72</v>
      </c>
      <c r="K1144" t="s">
        <v>73</v>
      </c>
      <c r="L1144" t="s">
        <v>74</v>
      </c>
      <c r="M1144" t="s">
        <v>1397</v>
      </c>
      <c r="N1144" t="s">
        <v>76</v>
      </c>
      <c r="O1144" t="s">
        <v>1398</v>
      </c>
      <c r="P1144" t="s">
        <v>1399</v>
      </c>
      <c r="Q1144" t="s">
        <v>1400</v>
      </c>
      <c r="R1144" s="1">
        <v>46224</v>
      </c>
      <c r="S1144" t="s">
        <v>841</v>
      </c>
      <c r="T1144" t="s">
        <v>842</v>
      </c>
      <c r="U1144" t="s">
        <v>843</v>
      </c>
      <c r="V1144" t="s">
        <v>66</v>
      </c>
      <c r="W1144" t="s">
        <v>66</v>
      </c>
      <c r="X1144">
        <v>936390</v>
      </c>
      <c r="Y1144">
        <v>103002.9</v>
      </c>
      <c r="Z1144">
        <v>50862</v>
      </c>
      <c r="AA1144">
        <v>5594.82</v>
      </c>
      <c r="AB1144">
        <v>1039392.9</v>
      </c>
      <c r="AC1144">
        <v>3</v>
      </c>
      <c r="AD1144" t="s">
        <v>82</v>
      </c>
      <c r="AE1144">
        <v>3</v>
      </c>
      <c r="AF1144" t="s">
        <v>359</v>
      </c>
      <c r="AG1144">
        <f>IFERROR(VLOOKUP(AF1144,[1]STOK!J:O,6,0),"")</f>
        <v>12</v>
      </c>
      <c r="AH1144" s="2">
        <f t="shared" si="34"/>
        <v>0.25</v>
      </c>
      <c r="AI1144" t="s">
        <v>359</v>
      </c>
      <c r="AJ1144" t="s">
        <v>360</v>
      </c>
      <c r="AK1144" t="s">
        <v>361</v>
      </c>
      <c r="AL1144" t="s">
        <v>86</v>
      </c>
      <c r="AM1144">
        <v>19203</v>
      </c>
      <c r="AN1144">
        <f t="shared" si="35"/>
        <v>18818.939999999999</v>
      </c>
      <c r="AO1144" t="s">
        <v>66</v>
      </c>
      <c r="AP1144">
        <v>2</v>
      </c>
      <c r="AQ1144" t="s">
        <v>66</v>
      </c>
      <c r="AR1144">
        <v>0</v>
      </c>
      <c r="AS1144" t="s">
        <v>66</v>
      </c>
      <c r="AT1144">
        <v>0</v>
      </c>
      <c r="AU1144" t="s">
        <v>66</v>
      </c>
      <c r="AV1144">
        <v>0</v>
      </c>
      <c r="AW1144" t="s">
        <v>66</v>
      </c>
      <c r="AX1144">
        <v>0</v>
      </c>
      <c r="AY1144" t="s">
        <v>66</v>
      </c>
      <c r="AZ1144">
        <v>0</v>
      </c>
      <c r="BA1144" t="s">
        <v>66</v>
      </c>
      <c r="BB1144">
        <v>0</v>
      </c>
      <c r="BC1144">
        <v>0</v>
      </c>
      <c r="BD1144">
        <v>56456.82</v>
      </c>
      <c r="BE1144">
        <v>15490.24</v>
      </c>
      <c r="BF1144">
        <v>0</v>
      </c>
      <c r="BG1144" t="s">
        <v>87</v>
      </c>
      <c r="BH1144" t="s">
        <v>66</v>
      </c>
      <c r="BI1144">
        <v>0</v>
      </c>
      <c r="BJ1144" t="s">
        <v>66</v>
      </c>
      <c r="BK1144" t="s">
        <v>88</v>
      </c>
      <c r="BL1144" t="s">
        <v>719</v>
      </c>
      <c r="BM1144" t="s">
        <v>159</v>
      </c>
    </row>
    <row r="1145" spans="1:65" x14ac:dyDescent="0.25">
      <c r="A1145">
        <v>1143</v>
      </c>
      <c r="B1145" t="s">
        <v>1395</v>
      </c>
      <c r="C1145" t="s">
        <v>68</v>
      </c>
      <c r="D1145" s="1">
        <v>46217</v>
      </c>
      <c r="E1145" t="s">
        <v>1396</v>
      </c>
      <c r="F1145" t="s">
        <v>68</v>
      </c>
      <c r="G1145" t="s">
        <v>295</v>
      </c>
      <c r="H1145" t="s">
        <v>296</v>
      </c>
      <c r="I1145" t="s">
        <v>71</v>
      </c>
      <c r="J1145" t="s">
        <v>72</v>
      </c>
      <c r="K1145" t="s">
        <v>73</v>
      </c>
      <c r="L1145" t="s">
        <v>74</v>
      </c>
      <c r="M1145" t="s">
        <v>1397</v>
      </c>
      <c r="N1145" t="s">
        <v>76</v>
      </c>
      <c r="O1145" t="s">
        <v>1398</v>
      </c>
      <c r="P1145" t="s">
        <v>1399</v>
      </c>
      <c r="Q1145" t="s">
        <v>1400</v>
      </c>
      <c r="R1145" s="1">
        <v>46224</v>
      </c>
      <c r="S1145" t="s">
        <v>841</v>
      </c>
      <c r="T1145" t="s">
        <v>842</v>
      </c>
      <c r="U1145" t="s">
        <v>843</v>
      </c>
      <c r="V1145" t="s">
        <v>66</v>
      </c>
      <c r="W1145" t="s">
        <v>66</v>
      </c>
      <c r="X1145">
        <v>936390</v>
      </c>
      <c r="Y1145">
        <v>103002.9</v>
      </c>
      <c r="Z1145">
        <v>235200</v>
      </c>
      <c r="AA1145">
        <v>25872</v>
      </c>
      <c r="AB1145">
        <v>1039392.9</v>
      </c>
      <c r="AC1145">
        <v>12</v>
      </c>
      <c r="AD1145" t="s">
        <v>82</v>
      </c>
      <c r="AE1145">
        <v>12</v>
      </c>
      <c r="AF1145" t="s">
        <v>290</v>
      </c>
      <c r="AG1145">
        <f>IFERROR(VLOOKUP(AF1145,[1]STOK!J:O,6,0),"")</f>
        <v>12</v>
      </c>
      <c r="AH1145" s="2">
        <f t="shared" si="34"/>
        <v>1</v>
      </c>
      <c r="AI1145" t="s">
        <v>290</v>
      </c>
      <c r="AJ1145" t="s">
        <v>291</v>
      </c>
      <c r="AK1145" t="s">
        <v>292</v>
      </c>
      <c r="AL1145" t="s">
        <v>86</v>
      </c>
      <c r="AM1145">
        <v>22200</v>
      </c>
      <c r="AN1145">
        <f t="shared" si="35"/>
        <v>21756</v>
      </c>
      <c r="AO1145" t="s">
        <v>66</v>
      </c>
      <c r="AP1145">
        <v>2</v>
      </c>
      <c r="AQ1145" t="s">
        <v>66</v>
      </c>
      <c r="AR1145">
        <v>0</v>
      </c>
      <c r="AS1145" t="s">
        <v>66</v>
      </c>
      <c r="AT1145">
        <v>0</v>
      </c>
      <c r="AU1145" t="s">
        <v>66</v>
      </c>
      <c r="AV1145">
        <v>0</v>
      </c>
      <c r="AW1145" t="s">
        <v>66</v>
      </c>
      <c r="AX1145">
        <v>0</v>
      </c>
      <c r="AY1145" t="s">
        <v>66</v>
      </c>
      <c r="AZ1145">
        <v>0</v>
      </c>
      <c r="BA1145" t="s">
        <v>66</v>
      </c>
      <c r="BB1145">
        <v>0</v>
      </c>
      <c r="BC1145">
        <v>0</v>
      </c>
      <c r="BD1145">
        <v>261072</v>
      </c>
      <c r="BE1145">
        <v>18155.62</v>
      </c>
      <c r="BF1145">
        <v>0</v>
      </c>
      <c r="BG1145" t="s">
        <v>87</v>
      </c>
      <c r="BH1145" t="s">
        <v>66</v>
      </c>
      <c r="BI1145">
        <v>0</v>
      </c>
      <c r="BJ1145" t="s">
        <v>66</v>
      </c>
      <c r="BK1145" t="s">
        <v>88</v>
      </c>
      <c r="BL1145" t="s">
        <v>719</v>
      </c>
      <c r="BM1145" t="s">
        <v>159</v>
      </c>
    </row>
    <row r="1146" spans="1:65" x14ac:dyDescent="0.25">
      <c r="A1146">
        <v>1144</v>
      </c>
      <c r="B1146" t="s">
        <v>1395</v>
      </c>
      <c r="C1146" t="s">
        <v>68</v>
      </c>
      <c r="D1146" s="1">
        <v>46217</v>
      </c>
      <c r="E1146" t="s">
        <v>1396</v>
      </c>
      <c r="F1146" t="s">
        <v>68</v>
      </c>
      <c r="G1146" t="s">
        <v>295</v>
      </c>
      <c r="H1146" t="s">
        <v>296</v>
      </c>
      <c r="I1146" t="s">
        <v>71</v>
      </c>
      <c r="J1146" t="s">
        <v>72</v>
      </c>
      <c r="K1146" t="s">
        <v>73</v>
      </c>
      <c r="L1146" t="s">
        <v>74</v>
      </c>
      <c r="M1146" t="s">
        <v>1397</v>
      </c>
      <c r="N1146" t="s">
        <v>76</v>
      </c>
      <c r="O1146" t="s">
        <v>1398</v>
      </c>
      <c r="P1146" t="s">
        <v>1399</v>
      </c>
      <c r="Q1146" t="s">
        <v>1400</v>
      </c>
      <c r="R1146" s="1">
        <v>46224</v>
      </c>
      <c r="S1146" t="s">
        <v>841</v>
      </c>
      <c r="T1146" t="s">
        <v>842</v>
      </c>
      <c r="U1146" t="s">
        <v>843</v>
      </c>
      <c r="V1146" t="s">
        <v>66</v>
      </c>
      <c r="W1146" t="s">
        <v>66</v>
      </c>
      <c r="X1146">
        <v>936390</v>
      </c>
      <c r="Y1146">
        <v>103002.9</v>
      </c>
      <c r="Z1146">
        <v>117600</v>
      </c>
      <c r="AA1146">
        <v>12936</v>
      </c>
      <c r="AB1146">
        <v>1039392.9</v>
      </c>
      <c r="AC1146">
        <v>6</v>
      </c>
      <c r="AD1146" t="s">
        <v>82</v>
      </c>
      <c r="AE1146">
        <v>6</v>
      </c>
      <c r="AF1146" t="s">
        <v>102</v>
      </c>
      <c r="AG1146">
        <f>IFERROR(VLOOKUP(AF1146,[1]STOK!J:O,6,0),"")</f>
        <v>12</v>
      </c>
      <c r="AH1146" s="2">
        <f t="shared" si="34"/>
        <v>0.5</v>
      </c>
      <c r="AI1146" t="s">
        <v>102</v>
      </c>
      <c r="AJ1146" t="s">
        <v>103</v>
      </c>
      <c r="AK1146" t="s">
        <v>104</v>
      </c>
      <c r="AL1146" t="s">
        <v>86</v>
      </c>
      <c r="AM1146">
        <v>22200</v>
      </c>
      <c r="AN1146">
        <f t="shared" si="35"/>
        <v>21756</v>
      </c>
      <c r="AO1146" t="s">
        <v>66</v>
      </c>
      <c r="AP1146">
        <v>2</v>
      </c>
      <c r="AQ1146" t="s">
        <v>66</v>
      </c>
      <c r="AR1146">
        <v>0</v>
      </c>
      <c r="AS1146" t="s">
        <v>66</v>
      </c>
      <c r="AT1146">
        <v>0</v>
      </c>
      <c r="AU1146" t="s">
        <v>66</v>
      </c>
      <c r="AV1146">
        <v>0</v>
      </c>
      <c r="AW1146" t="s">
        <v>66</v>
      </c>
      <c r="AX1146">
        <v>0</v>
      </c>
      <c r="AY1146" t="s">
        <v>66</v>
      </c>
      <c r="AZ1146">
        <v>0</v>
      </c>
      <c r="BA1146" t="s">
        <v>66</v>
      </c>
      <c r="BB1146">
        <v>0</v>
      </c>
      <c r="BC1146">
        <v>0</v>
      </c>
      <c r="BD1146">
        <v>130536</v>
      </c>
      <c r="BE1146">
        <v>17828.62</v>
      </c>
      <c r="BF1146">
        <v>0</v>
      </c>
      <c r="BG1146" t="s">
        <v>87</v>
      </c>
      <c r="BH1146" t="s">
        <v>66</v>
      </c>
      <c r="BI1146">
        <v>0</v>
      </c>
      <c r="BJ1146" t="s">
        <v>66</v>
      </c>
      <c r="BK1146" t="s">
        <v>88</v>
      </c>
      <c r="BL1146" t="s">
        <v>719</v>
      </c>
      <c r="BM1146" t="s">
        <v>159</v>
      </c>
    </row>
    <row r="1147" spans="1:65" x14ac:dyDescent="0.25">
      <c r="A1147">
        <v>1145</v>
      </c>
      <c r="B1147" t="s">
        <v>1401</v>
      </c>
      <c r="C1147" t="s">
        <v>68</v>
      </c>
      <c r="D1147" s="1">
        <v>46217</v>
      </c>
      <c r="E1147" t="s">
        <v>1402</v>
      </c>
      <c r="F1147" t="s">
        <v>68</v>
      </c>
      <c r="G1147" t="s">
        <v>295</v>
      </c>
      <c r="H1147" t="s">
        <v>296</v>
      </c>
      <c r="I1147" t="s">
        <v>71</v>
      </c>
      <c r="J1147" t="s">
        <v>72</v>
      </c>
      <c r="K1147" t="s">
        <v>73</v>
      </c>
      <c r="L1147" t="s">
        <v>74</v>
      </c>
      <c r="M1147" t="s">
        <v>1403</v>
      </c>
      <c r="N1147" t="s">
        <v>76</v>
      </c>
      <c r="O1147" t="s">
        <v>1404</v>
      </c>
      <c r="P1147" t="s">
        <v>1405</v>
      </c>
      <c r="Q1147" t="s">
        <v>1406</v>
      </c>
      <c r="R1147" s="1">
        <v>46220</v>
      </c>
      <c r="S1147" t="s">
        <v>841</v>
      </c>
      <c r="T1147" t="s">
        <v>842</v>
      </c>
      <c r="U1147" t="s">
        <v>843</v>
      </c>
      <c r="V1147" t="s">
        <v>66</v>
      </c>
      <c r="W1147" t="s">
        <v>66</v>
      </c>
      <c r="X1147">
        <v>299586</v>
      </c>
      <c r="Y1147">
        <v>32954.46</v>
      </c>
      <c r="Z1147">
        <v>29694</v>
      </c>
      <c r="AA1147">
        <v>3266.34</v>
      </c>
      <c r="AB1147">
        <v>332540.46000000002</v>
      </c>
      <c r="AC1147">
        <v>3</v>
      </c>
      <c r="AD1147" t="s">
        <v>82</v>
      </c>
      <c r="AE1147">
        <v>3</v>
      </c>
      <c r="AF1147" t="s">
        <v>848</v>
      </c>
      <c r="AG1147">
        <f>IFERROR(VLOOKUP(AF1147,[1]STOK!J:O,6,0),"")</f>
        <v>24</v>
      </c>
      <c r="AH1147" s="2">
        <f t="shared" si="34"/>
        <v>0.125</v>
      </c>
      <c r="AI1147" t="s">
        <v>848</v>
      </c>
      <c r="AJ1147" t="s">
        <v>849</v>
      </c>
      <c r="AK1147" t="s">
        <v>850</v>
      </c>
      <c r="AL1147" t="s">
        <v>86</v>
      </c>
      <c r="AM1147">
        <v>11211</v>
      </c>
      <c r="AN1147">
        <f t="shared" si="35"/>
        <v>10986.779999999999</v>
      </c>
      <c r="AO1147" t="s">
        <v>66</v>
      </c>
      <c r="AP1147">
        <v>2</v>
      </c>
      <c r="AQ1147" t="s">
        <v>66</v>
      </c>
      <c r="AR1147">
        <v>0</v>
      </c>
      <c r="AS1147" t="s">
        <v>66</v>
      </c>
      <c r="AT1147">
        <v>0</v>
      </c>
      <c r="AU1147" t="s">
        <v>66</v>
      </c>
      <c r="AV1147">
        <v>0</v>
      </c>
      <c r="AW1147" t="s">
        <v>66</v>
      </c>
      <c r="AX1147">
        <v>0</v>
      </c>
      <c r="AY1147" t="s">
        <v>66</v>
      </c>
      <c r="AZ1147">
        <v>0</v>
      </c>
      <c r="BA1147" t="s">
        <v>66</v>
      </c>
      <c r="BB1147">
        <v>0</v>
      </c>
      <c r="BC1147">
        <v>0</v>
      </c>
      <c r="BD1147">
        <v>32960.339999999997</v>
      </c>
      <c r="BE1147">
        <v>8922.2099999999991</v>
      </c>
      <c r="BF1147">
        <v>0</v>
      </c>
      <c r="BG1147" t="s">
        <v>87</v>
      </c>
      <c r="BH1147" t="s">
        <v>66</v>
      </c>
      <c r="BI1147">
        <v>0</v>
      </c>
      <c r="BJ1147" t="s">
        <v>66</v>
      </c>
      <c r="BK1147" t="s">
        <v>88</v>
      </c>
      <c r="BL1147" t="s">
        <v>719</v>
      </c>
      <c r="BM1147" t="s">
        <v>159</v>
      </c>
    </row>
    <row r="1148" spans="1:65" x14ac:dyDescent="0.25">
      <c r="A1148">
        <v>1146</v>
      </c>
      <c r="B1148" t="s">
        <v>1401</v>
      </c>
      <c r="C1148" t="s">
        <v>68</v>
      </c>
      <c r="D1148" s="1">
        <v>46217</v>
      </c>
      <c r="E1148" t="s">
        <v>1402</v>
      </c>
      <c r="F1148" t="s">
        <v>68</v>
      </c>
      <c r="G1148" t="s">
        <v>295</v>
      </c>
      <c r="H1148" t="s">
        <v>296</v>
      </c>
      <c r="I1148" t="s">
        <v>71</v>
      </c>
      <c r="J1148" t="s">
        <v>72</v>
      </c>
      <c r="K1148" t="s">
        <v>73</v>
      </c>
      <c r="L1148" t="s">
        <v>74</v>
      </c>
      <c r="M1148" t="s">
        <v>1403</v>
      </c>
      <c r="N1148" t="s">
        <v>76</v>
      </c>
      <c r="O1148" t="s">
        <v>1404</v>
      </c>
      <c r="P1148" t="s">
        <v>1405</v>
      </c>
      <c r="Q1148" t="s">
        <v>1406</v>
      </c>
      <c r="R1148" s="1">
        <v>46220</v>
      </c>
      <c r="S1148" t="s">
        <v>841</v>
      </c>
      <c r="T1148" t="s">
        <v>842</v>
      </c>
      <c r="U1148" t="s">
        <v>843</v>
      </c>
      <c r="V1148" t="s">
        <v>66</v>
      </c>
      <c r="W1148" t="s">
        <v>66</v>
      </c>
      <c r="X1148">
        <v>299586</v>
      </c>
      <c r="Y1148">
        <v>32954.46</v>
      </c>
      <c r="Z1148">
        <v>23226</v>
      </c>
      <c r="AA1148">
        <v>2554.86</v>
      </c>
      <c r="AB1148">
        <v>332540.46000000002</v>
      </c>
      <c r="AC1148">
        <v>3</v>
      </c>
      <c r="AD1148" t="s">
        <v>82</v>
      </c>
      <c r="AE1148">
        <v>3</v>
      </c>
      <c r="AF1148" t="s">
        <v>248</v>
      </c>
      <c r="AG1148">
        <f>IFERROR(VLOOKUP(AF1148,[1]STOK!J:O,6,0),"")</f>
        <v>24</v>
      </c>
      <c r="AH1148" s="2">
        <f t="shared" si="34"/>
        <v>0.125</v>
      </c>
      <c r="AI1148" t="s">
        <v>248</v>
      </c>
      <c r="AJ1148" t="s">
        <v>249</v>
      </c>
      <c r="AK1148" t="s">
        <v>250</v>
      </c>
      <c r="AL1148" t="s">
        <v>86</v>
      </c>
      <c r="AM1148">
        <v>8769</v>
      </c>
      <c r="AN1148">
        <f t="shared" si="35"/>
        <v>8593.6200000000008</v>
      </c>
      <c r="AO1148" t="s">
        <v>66</v>
      </c>
      <c r="AP1148">
        <v>2</v>
      </c>
      <c r="AQ1148" t="s">
        <v>66</v>
      </c>
      <c r="AR1148">
        <v>0</v>
      </c>
      <c r="AS1148" t="s">
        <v>66</v>
      </c>
      <c r="AT1148">
        <v>0</v>
      </c>
      <c r="AU1148" t="s">
        <v>66</v>
      </c>
      <c r="AV1148">
        <v>0</v>
      </c>
      <c r="AW1148" t="s">
        <v>66</v>
      </c>
      <c r="AX1148">
        <v>0</v>
      </c>
      <c r="AY1148" t="s">
        <v>66</v>
      </c>
      <c r="AZ1148">
        <v>0</v>
      </c>
      <c r="BA1148" t="s">
        <v>66</v>
      </c>
      <c r="BB1148">
        <v>0</v>
      </c>
      <c r="BC1148">
        <v>0</v>
      </c>
      <c r="BD1148">
        <v>25780.86</v>
      </c>
      <c r="BE1148">
        <v>6516.01</v>
      </c>
      <c r="BF1148">
        <v>0</v>
      </c>
      <c r="BG1148" t="s">
        <v>87</v>
      </c>
      <c r="BH1148" t="s">
        <v>66</v>
      </c>
      <c r="BI1148">
        <v>0</v>
      </c>
      <c r="BJ1148" t="s">
        <v>66</v>
      </c>
      <c r="BK1148" t="s">
        <v>88</v>
      </c>
      <c r="BL1148" t="s">
        <v>719</v>
      </c>
      <c r="BM1148" t="s">
        <v>159</v>
      </c>
    </row>
    <row r="1149" spans="1:65" x14ac:dyDescent="0.25">
      <c r="A1149">
        <v>1147</v>
      </c>
      <c r="B1149" t="s">
        <v>1401</v>
      </c>
      <c r="C1149" t="s">
        <v>68</v>
      </c>
      <c r="D1149" s="1">
        <v>46217</v>
      </c>
      <c r="E1149" t="s">
        <v>1402</v>
      </c>
      <c r="F1149" t="s">
        <v>68</v>
      </c>
      <c r="G1149" t="s">
        <v>295</v>
      </c>
      <c r="H1149" t="s">
        <v>296</v>
      </c>
      <c r="I1149" t="s">
        <v>71</v>
      </c>
      <c r="J1149" t="s">
        <v>72</v>
      </c>
      <c r="K1149" t="s">
        <v>73</v>
      </c>
      <c r="L1149" t="s">
        <v>74</v>
      </c>
      <c r="M1149" t="s">
        <v>1403</v>
      </c>
      <c r="N1149" t="s">
        <v>76</v>
      </c>
      <c r="O1149" t="s">
        <v>1404</v>
      </c>
      <c r="P1149" t="s">
        <v>1405</v>
      </c>
      <c r="Q1149" t="s">
        <v>1406</v>
      </c>
      <c r="R1149" s="1">
        <v>46220</v>
      </c>
      <c r="S1149" t="s">
        <v>841</v>
      </c>
      <c r="T1149" t="s">
        <v>842</v>
      </c>
      <c r="U1149" t="s">
        <v>843</v>
      </c>
      <c r="V1149" t="s">
        <v>66</v>
      </c>
      <c r="W1149" t="s">
        <v>66</v>
      </c>
      <c r="X1149">
        <v>299586</v>
      </c>
      <c r="Y1149">
        <v>32954.46</v>
      </c>
      <c r="Z1149">
        <v>39102</v>
      </c>
      <c r="AA1149">
        <v>4301.22</v>
      </c>
      <c r="AB1149">
        <v>332540.46000000002</v>
      </c>
      <c r="AC1149">
        <v>3</v>
      </c>
      <c r="AD1149" t="s">
        <v>82</v>
      </c>
      <c r="AE1149">
        <v>3</v>
      </c>
      <c r="AF1149" t="s">
        <v>135</v>
      </c>
      <c r="AG1149">
        <f>IFERROR(VLOOKUP(AF1149,[1]STOK!J:O,6,0),"")</f>
        <v>12</v>
      </c>
      <c r="AH1149" s="2">
        <f t="shared" si="34"/>
        <v>0.25</v>
      </c>
      <c r="AI1149" t="s">
        <v>135</v>
      </c>
      <c r="AJ1149" t="s">
        <v>136</v>
      </c>
      <c r="AK1149" t="s">
        <v>137</v>
      </c>
      <c r="AL1149" t="s">
        <v>86</v>
      </c>
      <c r="AM1149">
        <v>14763</v>
      </c>
      <c r="AN1149">
        <f t="shared" si="35"/>
        <v>14467.74</v>
      </c>
      <c r="AO1149" t="s">
        <v>66</v>
      </c>
      <c r="AP1149">
        <v>2</v>
      </c>
      <c r="AQ1149" t="s">
        <v>66</v>
      </c>
      <c r="AR1149">
        <v>0</v>
      </c>
      <c r="AS1149" t="s">
        <v>66</v>
      </c>
      <c r="AT1149">
        <v>0</v>
      </c>
      <c r="AU1149" t="s">
        <v>66</v>
      </c>
      <c r="AV1149">
        <v>0</v>
      </c>
      <c r="AW1149" t="s">
        <v>66</v>
      </c>
      <c r="AX1149">
        <v>0</v>
      </c>
      <c r="AY1149" t="s">
        <v>66</v>
      </c>
      <c r="AZ1149">
        <v>0</v>
      </c>
      <c r="BA1149" t="s">
        <v>66</v>
      </c>
      <c r="BB1149">
        <v>0</v>
      </c>
      <c r="BC1149">
        <v>0</v>
      </c>
      <c r="BD1149">
        <v>43403.22</v>
      </c>
      <c r="BE1149">
        <v>12032.04</v>
      </c>
      <c r="BF1149">
        <v>0</v>
      </c>
      <c r="BG1149" t="s">
        <v>87</v>
      </c>
      <c r="BH1149" t="s">
        <v>66</v>
      </c>
      <c r="BI1149">
        <v>0</v>
      </c>
      <c r="BJ1149" t="s">
        <v>66</v>
      </c>
      <c r="BK1149" t="s">
        <v>88</v>
      </c>
      <c r="BL1149" t="s">
        <v>719</v>
      </c>
      <c r="BM1149" t="s">
        <v>159</v>
      </c>
    </row>
    <row r="1150" spans="1:65" x14ac:dyDescent="0.25">
      <c r="A1150">
        <v>1148</v>
      </c>
      <c r="B1150" t="s">
        <v>1401</v>
      </c>
      <c r="C1150" t="s">
        <v>68</v>
      </c>
      <c r="D1150" s="1">
        <v>46217</v>
      </c>
      <c r="E1150" t="s">
        <v>1402</v>
      </c>
      <c r="F1150" t="s">
        <v>68</v>
      </c>
      <c r="G1150" t="s">
        <v>295</v>
      </c>
      <c r="H1150" t="s">
        <v>296</v>
      </c>
      <c r="I1150" t="s">
        <v>71</v>
      </c>
      <c r="J1150" t="s">
        <v>72</v>
      </c>
      <c r="K1150" t="s">
        <v>73</v>
      </c>
      <c r="L1150" t="s">
        <v>74</v>
      </c>
      <c r="M1150" t="s">
        <v>1403</v>
      </c>
      <c r="N1150" t="s">
        <v>76</v>
      </c>
      <c r="O1150" t="s">
        <v>1404</v>
      </c>
      <c r="P1150" t="s">
        <v>1405</v>
      </c>
      <c r="Q1150" t="s">
        <v>1406</v>
      </c>
      <c r="R1150" s="1">
        <v>46220</v>
      </c>
      <c r="S1150" t="s">
        <v>841</v>
      </c>
      <c r="T1150" t="s">
        <v>842</v>
      </c>
      <c r="U1150" t="s">
        <v>843</v>
      </c>
      <c r="V1150" t="s">
        <v>66</v>
      </c>
      <c r="W1150" t="s">
        <v>66</v>
      </c>
      <c r="X1150">
        <v>299586</v>
      </c>
      <c r="Y1150">
        <v>32954.46</v>
      </c>
      <c r="Z1150">
        <v>39102</v>
      </c>
      <c r="AA1150">
        <v>4301.22</v>
      </c>
      <c r="AB1150">
        <v>332540.46000000002</v>
      </c>
      <c r="AC1150">
        <v>3</v>
      </c>
      <c r="AD1150" t="s">
        <v>82</v>
      </c>
      <c r="AE1150">
        <v>3</v>
      </c>
      <c r="AF1150" t="s">
        <v>210</v>
      </c>
      <c r="AG1150">
        <f>IFERROR(VLOOKUP(AF1150,[1]STOK!J:O,6,0),"")</f>
        <v>12</v>
      </c>
      <c r="AH1150" s="2">
        <f t="shared" si="34"/>
        <v>0.25</v>
      </c>
      <c r="AI1150" t="s">
        <v>210</v>
      </c>
      <c r="AJ1150" t="s">
        <v>211</v>
      </c>
      <c r="AK1150" t="s">
        <v>212</v>
      </c>
      <c r="AL1150" t="s">
        <v>86</v>
      </c>
      <c r="AM1150">
        <v>14763</v>
      </c>
      <c r="AN1150">
        <f t="shared" si="35"/>
        <v>14467.74</v>
      </c>
      <c r="AO1150" t="s">
        <v>66</v>
      </c>
      <c r="AP1150">
        <v>2</v>
      </c>
      <c r="AQ1150" t="s">
        <v>66</v>
      </c>
      <c r="AR1150">
        <v>0</v>
      </c>
      <c r="AS1150" t="s">
        <v>66</v>
      </c>
      <c r="AT1150">
        <v>0</v>
      </c>
      <c r="AU1150" t="s">
        <v>66</v>
      </c>
      <c r="AV1150">
        <v>0</v>
      </c>
      <c r="AW1150" t="s">
        <v>66</v>
      </c>
      <c r="AX1150">
        <v>0</v>
      </c>
      <c r="AY1150" t="s">
        <v>66</v>
      </c>
      <c r="AZ1150">
        <v>0</v>
      </c>
      <c r="BA1150" t="s">
        <v>66</v>
      </c>
      <c r="BB1150">
        <v>0</v>
      </c>
      <c r="BC1150">
        <v>0</v>
      </c>
      <c r="BD1150">
        <v>43403.22</v>
      </c>
      <c r="BE1150">
        <v>11818.77</v>
      </c>
      <c r="BF1150">
        <v>0</v>
      </c>
      <c r="BG1150" t="s">
        <v>87</v>
      </c>
      <c r="BH1150" t="s">
        <v>66</v>
      </c>
      <c r="BI1150">
        <v>0</v>
      </c>
      <c r="BJ1150" t="s">
        <v>66</v>
      </c>
      <c r="BK1150" t="s">
        <v>88</v>
      </c>
      <c r="BL1150" t="s">
        <v>719</v>
      </c>
      <c r="BM1150" t="s">
        <v>159</v>
      </c>
    </row>
    <row r="1151" spans="1:65" x14ac:dyDescent="0.25">
      <c r="A1151">
        <v>1149</v>
      </c>
      <c r="B1151" t="s">
        <v>1401</v>
      </c>
      <c r="C1151" t="s">
        <v>68</v>
      </c>
      <c r="D1151" s="1">
        <v>46217</v>
      </c>
      <c r="E1151" t="s">
        <v>1402</v>
      </c>
      <c r="F1151" t="s">
        <v>68</v>
      </c>
      <c r="G1151" t="s">
        <v>295</v>
      </c>
      <c r="H1151" t="s">
        <v>296</v>
      </c>
      <c r="I1151" t="s">
        <v>71</v>
      </c>
      <c r="J1151" t="s">
        <v>72</v>
      </c>
      <c r="K1151" t="s">
        <v>73</v>
      </c>
      <c r="L1151" t="s">
        <v>74</v>
      </c>
      <c r="M1151" t="s">
        <v>1403</v>
      </c>
      <c r="N1151" t="s">
        <v>76</v>
      </c>
      <c r="O1151" t="s">
        <v>1404</v>
      </c>
      <c r="P1151" t="s">
        <v>1405</v>
      </c>
      <c r="Q1151" t="s">
        <v>1406</v>
      </c>
      <c r="R1151" s="1">
        <v>46220</v>
      </c>
      <c r="S1151" t="s">
        <v>841</v>
      </c>
      <c r="T1151" t="s">
        <v>842</v>
      </c>
      <c r="U1151" t="s">
        <v>843</v>
      </c>
      <c r="V1151" t="s">
        <v>66</v>
      </c>
      <c r="W1151" t="s">
        <v>66</v>
      </c>
      <c r="X1151">
        <v>299586</v>
      </c>
      <c r="Y1151">
        <v>32954.46</v>
      </c>
      <c r="Z1151">
        <v>50862</v>
      </c>
      <c r="AA1151">
        <v>5594.82</v>
      </c>
      <c r="AB1151">
        <v>332540.46000000002</v>
      </c>
      <c r="AC1151">
        <v>3</v>
      </c>
      <c r="AD1151" t="s">
        <v>82</v>
      </c>
      <c r="AE1151">
        <v>3</v>
      </c>
      <c r="AF1151" t="s">
        <v>359</v>
      </c>
      <c r="AG1151">
        <f>IFERROR(VLOOKUP(AF1151,[1]STOK!J:O,6,0),"")</f>
        <v>12</v>
      </c>
      <c r="AH1151" s="2">
        <f t="shared" si="34"/>
        <v>0.25</v>
      </c>
      <c r="AI1151" t="s">
        <v>359</v>
      </c>
      <c r="AJ1151" t="s">
        <v>360</v>
      </c>
      <c r="AK1151" t="s">
        <v>361</v>
      </c>
      <c r="AL1151" t="s">
        <v>86</v>
      </c>
      <c r="AM1151">
        <v>19203</v>
      </c>
      <c r="AN1151">
        <f t="shared" si="35"/>
        <v>18818.939999999999</v>
      </c>
      <c r="AO1151" t="s">
        <v>66</v>
      </c>
      <c r="AP1151">
        <v>2</v>
      </c>
      <c r="AQ1151" t="s">
        <v>66</v>
      </c>
      <c r="AR1151">
        <v>0</v>
      </c>
      <c r="AS1151" t="s">
        <v>66</v>
      </c>
      <c r="AT1151">
        <v>0</v>
      </c>
      <c r="AU1151" t="s">
        <v>66</v>
      </c>
      <c r="AV1151">
        <v>0</v>
      </c>
      <c r="AW1151" t="s">
        <v>66</v>
      </c>
      <c r="AX1151">
        <v>0</v>
      </c>
      <c r="AY1151" t="s">
        <v>66</v>
      </c>
      <c r="AZ1151">
        <v>0</v>
      </c>
      <c r="BA1151" t="s">
        <v>66</v>
      </c>
      <c r="BB1151">
        <v>0</v>
      </c>
      <c r="BC1151">
        <v>0</v>
      </c>
      <c r="BD1151">
        <v>56456.82</v>
      </c>
      <c r="BE1151">
        <v>15490.24</v>
      </c>
      <c r="BF1151">
        <v>0</v>
      </c>
      <c r="BG1151" t="s">
        <v>87</v>
      </c>
      <c r="BH1151" t="s">
        <v>66</v>
      </c>
      <c r="BI1151">
        <v>0</v>
      </c>
      <c r="BJ1151" t="s">
        <v>66</v>
      </c>
      <c r="BK1151" t="s">
        <v>88</v>
      </c>
      <c r="BL1151" t="s">
        <v>719</v>
      </c>
      <c r="BM1151" t="s">
        <v>159</v>
      </c>
    </row>
    <row r="1152" spans="1:65" x14ac:dyDescent="0.25">
      <c r="A1152">
        <v>1150</v>
      </c>
      <c r="B1152" t="s">
        <v>1401</v>
      </c>
      <c r="C1152" t="s">
        <v>68</v>
      </c>
      <c r="D1152" s="1">
        <v>46217</v>
      </c>
      <c r="E1152" t="s">
        <v>1402</v>
      </c>
      <c r="F1152" t="s">
        <v>68</v>
      </c>
      <c r="G1152" t="s">
        <v>295</v>
      </c>
      <c r="H1152" t="s">
        <v>296</v>
      </c>
      <c r="I1152" t="s">
        <v>71</v>
      </c>
      <c r="J1152" t="s">
        <v>72</v>
      </c>
      <c r="K1152" t="s">
        <v>73</v>
      </c>
      <c r="L1152" t="s">
        <v>74</v>
      </c>
      <c r="M1152" t="s">
        <v>1403</v>
      </c>
      <c r="N1152" t="s">
        <v>76</v>
      </c>
      <c r="O1152" t="s">
        <v>1404</v>
      </c>
      <c r="P1152" t="s">
        <v>1405</v>
      </c>
      <c r="Q1152" t="s">
        <v>1406</v>
      </c>
      <c r="R1152" s="1">
        <v>46220</v>
      </c>
      <c r="S1152" t="s">
        <v>841</v>
      </c>
      <c r="T1152" t="s">
        <v>842</v>
      </c>
      <c r="U1152" t="s">
        <v>843</v>
      </c>
      <c r="V1152" t="s">
        <v>66</v>
      </c>
      <c r="W1152" t="s">
        <v>66</v>
      </c>
      <c r="X1152">
        <v>299586</v>
      </c>
      <c r="Y1152">
        <v>32954.46</v>
      </c>
      <c r="Z1152">
        <v>58800</v>
      </c>
      <c r="AA1152">
        <v>6468</v>
      </c>
      <c r="AB1152">
        <v>332540.46000000002</v>
      </c>
      <c r="AC1152">
        <v>3</v>
      </c>
      <c r="AD1152" t="s">
        <v>82</v>
      </c>
      <c r="AE1152">
        <v>3</v>
      </c>
      <c r="AF1152" t="s">
        <v>290</v>
      </c>
      <c r="AG1152">
        <f>IFERROR(VLOOKUP(AF1152,[1]STOK!J:O,6,0),"")</f>
        <v>12</v>
      </c>
      <c r="AH1152" s="2">
        <f t="shared" si="34"/>
        <v>0.25</v>
      </c>
      <c r="AI1152" t="s">
        <v>290</v>
      </c>
      <c r="AJ1152" t="s">
        <v>291</v>
      </c>
      <c r="AK1152" t="s">
        <v>292</v>
      </c>
      <c r="AL1152" t="s">
        <v>86</v>
      </c>
      <c r="AM1152">
        <v>22200</v>
      </c>
      <c r="AN1152">
        <f t="shared" si="35"/>
        <v>21756</v>
      </c>
      <c r="AO1152" t="s">
        <v>66</v>
      </c>
      <c r="AP1152">
        <v>2</v>
      </c>
      <c r="AQ1152" t="s">
        <v>66</v>
      </c>
      <c r="AR1152">
        <v>0</v>
      </c>
      <c r="AS1152" t="s">
        <v>66</v>
      </c>
      <c r="AT1152">
        <v>0</v>
      </c>
      <c r="AU1152" t="s">
        <v>66</v>
      </c>
      <c r="AV1152">
        <v>0</v>
      </c>
      <c r="AW1152" t="s">
        <v>66</v>
      </c>
      <c r="AX1152">
        <v>0</v>
      </c>
      <c r="AY1152" t="s">
        <v>66</v>
      </c>
      <c r="AZ1152">
        <v>0</v>
      </c>
      <c r="BA1152" t="s">
        <v>66</v>
      </c>
      <c r="BB1152">
        <v>0</v>
      </c>
      <c r="BC1152">
        <v>0</v>
      </c>
      <c r="BD1152">
        <v>65268</v>
      </c>
      <c r="BE1152">
        <v>18155.62</v>
      </c>
      <c r="BF1152">
        <v>0</v>
      </c>
      <c r="BG1152" t="s">
        <v>87</v>
      </c>
      <c r="BH1152" t="s">
        <v>66</v>
      </c>
      <c r="BI1152">
        <v>0</v>
      </c>
      <c r="BJ1152" t="s">
        <v>66</v>
      </c>
      <c r="BK1152" t="s">
        <v>88</v>
      </c>
      <c r="BL1152" t="s">
        <v>719</v>
      </c>
      <c r="BM1152" t="s">
        <v>159</v>
      </c>
    </row>
    <row r="1153" spans="1:65" x14ac:dyDescent="0.25">
      <c r="A1153">
        <v>1151</v>
      </c>
      <c r="B1153" t="s">
        <v>1401</v>
      </c>
      <c r="C1153" t="s">
        <v>68</v>
      </c>
      <c r="D1153" s="1">
        <v>46217</v>
      </c>
      <c r="E1153" t="s">
        <v>1402</v>
      </c>
      <c r="F1153" t="s">
        <v>68</v>
      </c>
      <c r="G1153" t="s">
        <v>295</v>
      </c>
      <c r="H1153" t="s">
        <v>296</v>
      </c>
      <c r="I1153" t="s">
        <v>71</v>
      </c>
      <c r="J1153" t="s">
        <v>72</v>
      </c>
      <c r="K1153" t="s">
        <v>73</v>
      </c>
      <c r="L1153" t="s">
        <v>74</v>
      </c>
      <c r="M1153" t="s">
        <v>1403</v>
      </c>
      <c r="N1153" t="s">
        <v>76</v>
      </c>
      <c r="O1153" t="s">
        <v>1404</v>
      </c>
      <c r="P1153" t="s">
        <v>1405</v>
      </c>
      <c r="Q1153" t="s">
        <v>1406</v>
      </c>
      <c r="R1153" s="1">
        <v>46220</v>
      </c>
      <c r="S1153" t="s">
        <v>841</v>
      </c>
      <c r="T1153" t="s">
        <v>842</v>
      </c>
      <c r="U1153" t="s">
        <v>843</v>
      </c>
      <c r="V1153" t="s">
        <v>66</v>
      </c>
      <c r="W1153" t="s">
        <v>66</v>
      </c>
      <c r="X1153">
        <v>299586</v>
      </c>
      <c r="Y1153">
        <v>32954.46</v>
      </c>
      <c r="Z1153">
        <v>58800</v>
      </c>
      <c r="AA1153">
        <v>6468</v>
      </c>
      <c r="AB1153">
        <v>332540.46000000002</v>
      </c>
      <c r="AC1153">
        <v>3</v>
      </c>
      <c r="AD1153" t="s">
        <v>82</v>
      </c>
      <c r="AE1153">
        <v>3</v>
      </c>
      <c r="AF1153" t="s">
        <v>102</v>
      </c>
      <c r="AG1153">
        <f>IFERROR(VLOOKUP(AF1153,[1]STOK!J:O,6,0),"")</f>
        <v>12</v>
      </c>
      <c r="AH1153" s="2">
        <f t="shared" si="34"/>
        <v>0.25</v>
      </c>
      <c r="AI1153" t="s">
        <v>102</v>
      </c>
      <c r="AJ1153" t="s">
        <v>103</v>
      </c>
      <c r="AK1153" t="s">
        <v>104</v>
      </c>
      <c r="AL1153" t="s">
        <v>86</v>
      </c>
      <c r="AM1153">
        <v>22200</v>
      </c>
      <c r="AN1153">
        <f t="shared" si="35"/>
        <v>21756</v>
      </c>
      <c r="AO1153" t="s">
        <v>66</v>
      </c>
      <c r="AP1153">
        <v>2</v>
      </c>
      <c r="AQ1153" t="s">
        <v>66</v>
      </c>
      <c r="AR1153">
        <v>0</v>
      </c>
      <c r="AS1153" t="s">
        <v>66</v>
      </c>
      <c r="AT1153">
        <v>0</v>
      </c>
      <c r="AU1153" t="s">
        <v>66</v>
      </c>
      <c r="AV1153">
        <v>0</v>
      </c>
      <c r="AW1153" t="s">
        <v>66</v>
      </c>
      <c r="AX1153">
        <v>0</v>
      </c>
      <c r="AY1153" t="s">
        <v>66</v>
      </c>
      <c r="AZ1153">
        <v>0</v>
      </c>
      <c r="BA1153" t="s">
        <v>66</v>
      </c>
      <c r="BB1153">
        <v>0</v>
      </c>
      <c r="BC1153">
        <v>0</v>
      </c>
      <c r="BD1153">
        <v>65268</v>
      </c>
      <c r="BE1153">
        <v>17828.62</v>
      </c>
      <c r="BF1153">
        <v>0</v>
      </c>
      <c r="BG1153" t="s">
        <v>87</v>
      </c>
      <c r="BH1153" t="s">
        <v>66</v>
      </c>
      <c r="BI1153">
        <v>0</v>
      </c>
      <c r="BJ1153" t="s">
        <v>66</v>
      </c>
      <c r="BK1153" t="s">
        <v>88</v>
      </c>
      <c r="BL1153" t="s">
        <v>719</v>
      </c>
      <c r="BM1153" t="s">
        <v>159</v>
      </c>
    </row>
    <row r="1154" spans="1:65" x14ac:dyDescent="0.25">
      <c r="A1154">
        <v>1152</v>
      </c>
      <c r="B1154" t="s">
        <v>1407</v>
      </c>
      <c r="C1154" t="s">
        <v>1408</v>
      </c>
      <c r="D1154" s="1">
        <v>46217</v>
      </c>
      <c r="E1154" t="s">
        <v>1409</v>
      </c>
      <c r="F1154" t="s">
        <v>1410</v>
      </c>
      <c r="G1154" t="s">
        <v>295</v>
      </c>
      <c r="H1154" t="s">
        <v>296</v>
      </c>
      <c r="I1154" t="s">
        <v>71</v>
      </c>
      <c r="J1154" t="s">
        <v>72</v>
      </c>
      <c r="K1154" t="s">
        <v>73</v>
      </c>
      <c r="L1154" t="s">
        <v>74</v>
      </c>
      <c r="M1154" t="s">
        <v>1111</v>
      </c>
      <c r="N1154" t="s">
        <v>696</v>
      </c>
      <c r="O1154" t="s">
        <v>1112</v>
      </c>
      <c r="P1154" t="s">
        <v>1113</v>
      </c>
      <c r="Q1154" t="s">
        <v>1411</v>
      </c>
      <c r="R1154" s="1">
        <v>46219</v>
      </c>
      <c r="S1154" t="s">
        <v>1115</v>
      </c>
      <c r="T1154" t="s">
        <v>1116</v>
      </c>
      <c r="U1154" t="s">
        <v>1117</v>
      </c>
      <c r="V1154" t="s">
        <v>66</v>
      </c>
      <c r="W1154" t="s">
        <v>66</v>
      </c>
      <c r="X1154">
        <v>154812</v>
      </c>
      <c r="Y1154">
        <v>17029.32</v>
      </c>
      <c r="Z1154">
        <v>154812</v>
      </c>
      <c r="AA1154">
        <v>17029.32</v>
      </c>
      <c r="AB1154">
        <v>171841.32</v>
      </c>
      <c r="AC1154">
        <v>1</v>
      </c>
      <c r="AD1154" t="s">
        <v>134</v>
      </c>
      <c r="AE1154">
        <v>12</v>
      </c>
      <c r="AF1154" t="s">
        <v>135</v>
      </c>
      <c r="AG1154">
        <f>IFERROR(VLOOKUP(AF1154,[1]STOK!J:O,6,0),"")</f>
        <v>12</v>
      </c>
      <c r="AH1154" s="2">
        <f t="shared" si="34"/>
        <v>1</v>
      </c>
      <c r="AI1154" t="s">
        <v>135</v>
      </c>
      <c r="AJ1154" t="s">
        <v>136</v>
      </c>
      <c r="AK1154" t="s">
        <v>137</v>
      </c>
      <c r="AL1154" t="s">
        <v>86</v>
      </c>
      <c r="AM1154">
        <v>177156</v>
      </c>
      <c r="AN1154">
        <f t="shared" si="35"/>
        <v>171841.32</v>
      </c>
      <c r="AO1154" t="s">
        <v>66</v>
      </c>
      <c r="AP1154">
        <v>3</v>
      </c>
      <c r="AQ1154" t="s">
        <v>66</v>
      </c>
      <c r="AR1154">
        <v>0</v>
      </c>
      <c r="AS1154" t="s">
        <v>66</v>
      </c>
      <c r="AT1154">
        <v>0</v>
      </c>
      <c r="AU1154" t="s">
        <v>66</v>
      </c>
      <c r="AV1154">
        <v>0</v>
      </c>
      <c r="AW1154" t="s">
        <v>66</v>
      </c>
      <c r="AX1154">
        <v>0</v>
      </c>
      <c r="AY1154" t="s">
        <v>66</v>
      </c>
      <c r="AZ1154">
        <v>0</v>
      </c>
      <c r="BA1154" t="s">
        <v>66</v>
      </c>
      <c r="BB1154">
        <v>0</v>
      </c>
      <c r="BC1154">
        <v>0</v>
      </c>
      <c r="BD1154">
        <v>171841.32</v>
      </c>
      <c r="BE1154">
        <v>12032.04</v>
      </c>
      <c r="BF1154">
        <v>0</v>
      </c>
      <c r="BG1154" t="s">
        <v>87</v>
      </c>
      <c r="BH1154" t="s">
        <v>66</v>
      </c>
      <c r="BI1154">
        <v>0</v>
      </c>
      <c r="BJ1154" t="s">
        <v>66</v>
      </c>
      <c r="BK1154" t="s">
        <v>88</v>
      </c>
      <c r="BL1154" t="s">
        <v>66</v>
      </c>
      <c r="BM1154" t="s">
        <v>159</v>
      </c>
    </row>
    <row r="1155" spans="1:65" x14ac:dyDescent="0.25">
      <c r="A1155">
        <v>1153</v>
      </c>
      <c r="B1155" t="s">
        <v>1412</v>
      </c>
      <c r="C1155" t="s">
        <v>66</v>
      </c>
      <c r="D1155" s="1">
        <v>46217</v>
      </c>
      <c r="E1155" t="s">
        <v>1413</v>
      </c>
      <c r="F1155" t="s">
        <v>68</v>
      </c>
      <c r="G1155" t="s">
        <v>69</v>
      </c>
      <c r="H1155" t="s">
        <v>70</v>
      </c>
      <c r="I1155" t="s">
        <v>71</v>
      </c>
      <c r="J1155" t="s">
        <v>72</v>
      </c>
      <c r="K1155" t="s">
        <v>73</v>
      </c>
      <c r="L1155" t="s">
        <v>74</v>
      </c>
      <c r="M1155" t="s">
        <v>611</v>
      </c>
      <c r="N1155" t="s">
        <v>76</v>
      </c>
      <c r="O1155" t="s">
        <v>612</v>
      </c>
      <c r="P1155" t="s">
        <v>613</v>
      </c>
      <c r="Q1155" t="s">
        <v>1414</v>
      </c>
      <c r="R1155" s="1">
        <v>46218</v>
      </c>
      <c r="S1155" t="s">
        <v>614</v>
      </c>
      <c r="T1155" t="s">
        <v>615</v>
      </c>
      <c r="U1155" t="s">
        <v>616</v>
      </c>
      <c r="V1155" t="s">
        <v>66</v>
      </c>
      <c r="W1155" t="s">
        <v>66</v>
      </c>
      <c r="X1155">
        <v>2472744</v>
      </c>
      <c r="Y1155">
        <v>272001.84000000003</v>
      </c>
      <c r="Z1155">
        <v>390060</v>
      </c>
      <c r="AA1155">
        <v>42906.6</v>
      </c>
      <c r="AB1155">
        <v>2744745.84</v>
      </c>
      <c r="AC1155">
        <v>1</v>
      </c>
      <c r="AD1155" t="s">
        <v>134</v>
      </c>
      <c r="AE1155">
        <v>24</v>
      </c>
      <c r="AF1155" t="s">
        <v>96</v>
      </c>
      <c r="AG1155">
        <f>IFERROR(VLOOKUP(AF1155,[1]STOK!J:O,6,0),"")</f>
        <v>24</v>
      </c>
      <c r="AH1155" s="2">
        <f t="shared" si="34"/>
        <v>1</v>
      </c>
      <c r="AI1155" t="s">
        <v>96</v>
      </c>
      <c r="AJ1155" t="s">
        <v>97</v>
      </c>
      <c r="AK1155" t="s">
        <v>98</v>
      </c>
      <c r="AL1155" t="s">
        <v>86</v>
      </c>
      <c r="AM1155">
        <v>439560</v>
      </c>
      <c r="AN1155">
        <f t="shared" si="35"/>
        <v>432966.6</v>
      </c>
      <c r="AO1155" t="s">
        <v>66</v>
      </c>
      <c r="AP1155">
        <v>1.5</v>
      </c>
      <c r="AQ1155" t="s">
        <v>66</v>
      </c>
      <c r="AR1155">
        <v>0</v>
      </c>
      <c r="AS1155" t="s">
        <v>66</v>
      </c>
      <c r="AT1155">
        <v>0</v>
      </c>
      <c r="AU1155" t="s">
        <v>66</v>
      </c>
      <c r="AV1155">
        <v>0</v>
      </c>
      <c r="AW1155" t="s">
        <v>66</v>
      </c>
      <c r="AX1155">
        <v>0</v>
      </c>
      <c r="AY1155" t="s">
        <v>66</v>
      </c>
      <c r="AZ1155">
        <v>0</v>
      </c>
      <c r="BA1155" t="s">
        <v>66</v>
      </c>
      <c r="BB1155">
        <v>0</v>
      </c>
      <c r="BC1155">
        <v>0</v>
      </c>
      <c r="BD1155">
        <v>432966.6</v>
      </c>
      <c r="BE1155">
        <v>14881.93</v>
      </c>
      <c r="BF1155">
        <v>0</v>
      </c>
      <c r="BG1155" t="s">
        <v>87</v>
      </c>
      <c r="BH1155" t="s">
        <v>66</v>
      </c>
      <c r="BI1155">
        <v>0</v>
      </c>
      <c r="BJ1155" t="s">
        <v>66</v>
      </c>
      <c r="BK1155" t="s">
        <v>88</v>
      </c>
      <c r="BL1155" t="s">
        <v>618</v>
      </c>
      <c r="BM1155" t="s">
        <v>159</v>
      </c>
    </row>
    <row r="1156" spans="1:65" x14ac:dyDescent="0.25">
      <c r="A1156">
        <v>1154</v>
      </c>
      <c r="B1156" t="s">
        <v>1412</v>
      </c>
      <c r="C1156" t="s">
        <v>66</v>
      </c>
      <c r="D1156" s="1">
        <v>46217</v>
      </c>
      <c r="E1156" t="s">
        <v>1413</v>
      </c>
      <c r="F1156" t="s">
        <v>68</v>
      </c>
      <c r="G1156" t="s">
        <v>69</v>
      </c>
      <c r="H1156" t="s">
        <v>70</v>
      </c>
      <c r="I1156" t="s">
        <v>71</v>
      </c>
      <c r="J1156" t="s">
        <v>72</v>
      </c>
      <c r="K1156" t="s">
        <v>73</v>
      </c>
      <c r="L1156" t="s">
        <v>74</v>
      </c>
      <c r="M1156" t="s">
        <v>611</v>
      </c>
      <c r="N1156" t="s">
        <v>76</v>
      </c>
      <c r="O1156" t="s">
        <v>612</v>
      </c>
      <c r="P1156" t="s">
        <v>613</v>
      </c>
      <c r="Q1156" t="s">
        <v>1414</v>
      </c>
      <c r="R1156" s="1">
        <v>46218</v>
      </c>
      <c r="S1156" t="s">
        <v>614</v>
      </c>
      <c r="T1156" t="s">
        <v>615</v>
      </c>
      <c r="U1156" t="s">
        <v>616</v>
      </c>
      <c r="V1156" t="s">
        <v>66</v>
      </c>
      <c r="W1156" t="s">
        <v>66</v>
      </c>
      <c r="X1156">
        <v>2472744</v>
      </c>
      <c r="Y1156">
        <v>272001.84000000003</v>
      </c>
      <c r="Z1156">
        <v>390060</v>
      </c>
      <c r="AA1156">
        <v>42906.6</v>
      </c>
      <c r="AB1156">
        <v>2744745.84</v>
      </c>
      <c r="AC1156">
        <v>1</v>
      </c>
      <c r="AD1156" t="s">
        <v>134</v>
      </c>
      <c r="AE1156">
        <v>24</v>
      </c>
      <c r="AF1156" t="s">
        <v>99</v>
      </c>
      <c r="AG1156">
        <f>IFERROR(VLOOKUP(AF1156,[1]STOK!J:O,6,0),"")</f>
        <v>24</v>
      </c>
      <c r="AH1156" s="2">
        <f t="shared" ref="AH1156:AH1219" si="36">AE1156/AG1156</f>
        <v>1</v>
      </c>
      <c r="AI1156" t="s">
        <v>99</v>
      </c>
      <c r="AJ1156" t="s">
        <v>100</v>
      </c>
      <c r="AK1156" t="s">
        <v>101</v>
      </c>
      <c r="AL1156" t="s">
        <v>86</v>
      </c>
      <c r="AM1156">
        <v>439560</v>
      </c>
      <c r="AN1156">
        <f t="shared" ref="AN1156:AN1219" si="37">BD1156/AC1156</f>
        <v>432966.6</v>
      </c>
      <c r="AO1156" t="s">
        <v>66</v>
      </c>
      <c r="AP1156">
        <v>1.5</v>
      </c>
      <c r="AQ1156" t="s">
        <v>66</v>
      </c>
      <c r="AR1156">
        <v>0</v>
      </c>
      <c r="AS1156" t="s">
        <v>66</v>
      </c>
      <c r="AT1156">
        <v>0</v>
      </c>
      <c r="AU1156" t="s">
        <v>66</v>
      </c>
      <c r="AV1156">
        <v>0</v>
      </c>
      <c r="AW1156" t="s">
        <v>66</v>
      </c>
      <c r="AX1156">
        <v>0</v>
      </c>
      <c r="AY1156" t="s">
        <v>66</v>
      </c>
      <c r="AZ1156">
        <v>0</v>
      </c>
      <c r="BA1156" t="s">
        <v>66</v>
      </c>
      <c r="BB1156">
        <v>0</v>
      </c>
      <c r="BC1156">
        <v>0</v>
      </c>
      <c r="BD1156">
        <v>432966.6</v>
      </c>
      <c r="BE1156">
        <v>14924.93</v>
      </c>
      <c r="BF1156">
        <v>0</v>
      </c>
      <c r="BG1156" t="s">
        <v>87</v>
      </c>
      <c r="BH1156" t="s">
        <v>66</v>
      </c>
      <c r="BI1156">
        <v>0</v>
      </c>
      <c r="BJ1156" t="s">
        <v>66</v>
      </c>
      <c r="BK1156" t="s">
        <v>88</v>
      </c>
      <c r="BL1156" t="s">
        <v>618</v>
      </c>
      <c r="BM1156" t="s">
        <v>159</v>
      </c>
    </row>
    <row r="1157" spans="1:65" x14ac:dyDescent="0.25">
      <c r="A1157">
        <v>1155</v>
      </c>
      <c r="B1157" t="s">
        <v>1412</v>
      </c>
      <c r="C1157" t="s">
        <v>66</v>
      </c>
      <c r="D1157" s="1">
        <v>46217</v>
      </c>
      <c r="E1157" t="s">
        <v>1413</v>
      </c>
      <c r="F1157" t="s">
        <v>68</v>
      </c>
      <c r="G1157" t="s">
        <v>69</v>
      </c>
      <c r="H1157" t="s">
        <v>70</v>
      </c>
      <c r="I1157" t="s">
        <v>71</v>
      </c>
      <c r="J1157" t="s">
        <v>72</v>
      </c>
      <c r="K1157" t="s">
        <v>73</v>
      </c>
      <c r="L1157" t="s">
        <v>74</v>
      </c>
      <c r="M1157" t="s">
        <v>611</v>
      </c>
      <c r="N1157" t="s">
        <v>76</v>
      </c>
      <c r="O1157" t="s">
        <v>612</v>
      </c>
      <c r="P1157" t="s">
        <v>613</v>
      </c>
      <c r="Q1157" t="s">
        <v>1414</v>
      </c>
      <c r="R1157" s="1">
        <v>46218</v>
      </c>
      <c r="S1157" t="s">
        <v>614</v>
      </c>
      <c r="T1157" t="s">
        <v>615</v>
      </c>
      <c r="U1157" t="s">
        <v>616</v>
      </c>
      <c r="V1157" t="s">
        <v>66</v>
      </c>
      <c r="W1157" t="s">
        <v>66</v>
      </c>
      <c r="X1157">
        <v>2472744</v>
      </c>
      <c r="Y1157">
        <v>272001.84000000003</v>
      </c>
      <c r="Z1157">
        <v>322686</v>
      </c>
      <c r="AA1157">
        <v>35495.46</v>
      </c>
      <c r="AB1157">
        <v>2744745.84</v>
      </c>
      <c r="AC1157">
        <v>1</v>
      </c>
      <c r="AD1157" t="s">
        <v>134</v>
      </c>
      <c r="AE1157">
        <v>12</v>
      </c>
      <c r="AF1157" t="s">
        <v>563</v>
      </c>
      <c r="AG1157">
        <f>IFERROR(VLOOKUP(AF1157,[1]STOK!J:O,6,0),"")</f>
        <v>12</v>
      </c>
      <c r="AH1157" s="2">
        <f t="shared" si="36"/>
        <v>1</v>
      </c>
      <c r="AI1157" t="s">
        <v>563</v>
      </c>
      <c r="AJ1157" t="s">
        <v>564</v>
      </c>
      <c r="AK1157" t="s">
        <v>565</v>
      </c>
      <c r="AL1157" t="s">
        <v>86</v>
      </c>
      <c r="AM1157">
        <v>363636</v>
      </c>
      <c r="AN1157">
        <f t="shared" si="37"/>
        <v>358181.46</v>
      </c>
      <c r="AO1157" t="s">
        <v>66</v>
      </c>
      <c r="AP1157">
        <v>1.5</v>
      </c>
      <c r="AQ1157" t="s">
        <v>66</v>
      </c>
      <c r="AR1157">
        <v>0</v>
      </c>
      <c r="AS1157" t="s">
        <v>66</v>
      </c>
      <c r="AT1157">
        <v>0</v>
      </c>
      <c r="AU1157" t="s">
        <v>66</v>
      </c>
      <c r="AV1157">
        <v>0</v>
      </c>
      <c r="AW1157" t="s">
        <v>66</v>
      </c>
      <c r="AX1157">
        <v>0</v>
      </c>
      <c r="AY1157" t="s">
        <v>66</v>
      </c>
      <c r="AZ1157">
        <v>0</v>
      </c>
      <c r="BA1157" t="s">
        <v>66</v>
      </c>
      <c r="BB1157">
        <v>0</v>
      </c>
      <c r="BC1157">
        <v>0</v>
      </c>
      <c r="BD1157">
        <v>358181.46</v>
      </c>
      <c r="BE1157">
        <v>24584.37</v>
      </c>
      <c r="BF1157">
        <v>0</v>
      </c>
      <c r="BG1157" t="s">
        <v>87</v>
      </c>
      <c r="BH1157" t="s">
        <v>66</v>
      </c>
      <c r="BI1157">
        <v>0</v>
      </c>
      <c r="BJ1157" t="s">
        <v>66</v>
      </c>
      <c r="BK1157" t="s">
        <v>88</v>
      </c>
      <c r="BL1157" t="s">
        <v>618</v>
      </c>
      <c r="BM1157" t="s">
        <v>159</v>
      </c>
    </row>
    <row r="1158" spans="1:65" x14ac:dyDescent="0.25">
      <c r="A1158">
        <v>1156</v>
      </c>
      <c r="B1158" t="s">
        <v>1412</v>
      </c>
      <c r="C1158" t="s">
        <v>66</v>
      </c>
      <c r="D1158" s="1">
        <v>46217</v>
      </c>
      <c r="E1158" t="s">
        <v>1413</v>
      </c>
      <c r="F1158" t="s">
        <v>68</v>
      </c>
      <c r="G1158" t="s">
        <v>69</v>
      </c>
      <c r="H1158" t="s">
        <v>70</v>
      </c>
      <c r="I1158" t="s">
        <v>71</v>
      </c>
      <c r="J1158" t="s">
        <v>72</v>
      </c>
      <c r="K1158" t="s">
        <v>73</v>
      </c>
      <c r="L1158" t="s">
        <v>74</v>
      </c>
      <c r="M1158" t="s">
        <v>611</v>
      </c>
      <c r="N1158" t="s">
        <v>76</v>
      </c>
      <c r="O1158" t="s">
        <v>612</v>
      </c>
      <c r="P1158" t="s">
        <v>613</v>
      </c>
      <c r="Q1158" t="s">
        <v>1414</v>
      </c>
      <c r="R1158" s="1">
        <v>46218</v>
      </c>
      <c r="S1158" t="s">
        <v>614</v>
      </c>
      <c r="T1158" t="s">
        <v>615</v>
      </c>
      <c r="U1158" t="s">
        <v>616</v>
      </c>
      <c r="V1158" t="s">
        <v>66</v>
      </c>
      <c r="W1158" t="s">
        <v>66</v>
      </c>
      <c r="X1158">
        <v>2472744</v>
      </c>
      <c r="Y1158">
        <v>272001.84000000003</v>
      </c>
      <c r="Z1158">
        <v>458616</v>
      </c>
      <c r="AA1158">
        <v>50447.76</v>
      </c>
      <c r="AB1158">
        <v>2744745.84</v>
      </c>
      <c r="AC1158">
        <v>2</v>
      </c>
      <c r="AD1158" t="s">
        <v>134</v>
      </c>
      <c r="AE1158">
        <v>24</v>
      </c>
      <c r="AF1158" t="s">
        <v>284</v>
      </c>
      <c r="AG1158">
        <f>IFERROR(VLOOKUP(AF1158,[1]STOK!J:O,6,0),"")</f>
        <v>12</v>
      </c>
      <c r="AH1158" s="2">
        <f t="shared" si="36"/>
        <v>2</v>
      </c>
      <c r="AI1158" t="s">
        <v>284</v>
      </c>
      <c r="AJ1158" t="s">
        <v>285</v>
      </c>
      <c r="AK1158" t="s">
        <v>286</v>
      </c>
      <c r="AL1158" t="s">
        <v>86</v>
      </c>
      <c r="AM1158">
        <v>258408</v>
      </c>
      <c r="AN1158">
        <f t="shared" si="37"/>
        <v>254531.88</v>
      </c>
      <c r="AO1158" t="s">
        <v>66</v>
      </c>
      <c r="AP1158">
        <v>1.5</v>
      </c>
      <c r="AQ1158" t="s">
        <v>66</v>
      </c>
      <c r="AR1158">
        <v>0</v>
      </c>
      <c r="AS1158" t="s">
        <v>66</v>
      </c>
      <c r="AT1158">
        <v>0</v>
      </c>
      <c r="AU1158" t="s">
        <v>66</v>
      </c>
      <c r="AV1158">
        <v>0</v>
      </c>
      <c r="AW1158" t="s">
        <v>66</v>
      </c>
      <c r="AX1158">
        <v>0</v>
      </c>
      <c r="AY1158" t="s">
        <v>66</v>
      </c>
      <c r="AZ1158">
        <v>0</v>
      </c>
      <c r="BA1158" t="s">
        <v>66</v>
      </c>
      <c r="BB1158">
        <v>0</v>
      </c>
      <c r="BC1158">
        <v>0</v>
      </c>
      <c r="BD1158">
        <v>509063.76</v>
      </c>
      <c r="BE1158">
        <v>17160.12</v>
      </c>
      <c r="BF1158">
        <v>0</v>
      </c>
      <c r="BG1158" t="s">
        <v>87</v>
      </c>
      <c r="BH1158" t="s">
        <v>66</v>
      </c>
      <c r="BI1158">
        <v>0</v>
      </c>
      <c r="BJ1158" t="s">
        <v>66</v>
      </c>
      <c r="BK1158" t="s">
        <v>88</v>
      </c>
      <c r="BL1158" t="s">
        <v>618</v>
      </c>
      <c r="BM1158" t="s">
        <v>159</v>
      </c>
    </row>
    <row r="1159" spans="1:65" x14ac:dyDescent="0.25">
      <c r="A1159">
        <v>1157</v>
      </c>
      <c r="B1159" t="s">
        <v>1412</v>
      </c>
      <c r="C1159" t="s">
        <v>66</v>
      </c>
      <c r="D1159" s="1">
        <v>46217</v>
      </c>
      <c r="E1159" t="s">
        <v>1413</v>
      </c>
      <c r="F1159" t="s">
        <v>68</v>
      </c>
      <c r="G1159" t="s">
        <v>69</v>
      </c>
      <c r="H1159" t="s">
        <v>70</v>
      </c>
      <c r="I1159" t="s">
        <v>71</v>
      </c>
      <c r="J1159" t="s">
        <v>72</v>
      </c>
      <c r="K1159" t="s">
        <v>73</v>
      </c>
      <c r="L1159" t="s">
        <v>74</v>
      </c>
      <c r="M1159" t="s">
        <v>611</v>
      </c>
      <c r="N1159" t="s">
        <v>76</v>
      </c>
      <c r="O1159" t="s">
        <v>612</v>
      </c>
      <c r="P1159" t="s">
        <v>613</v>
      </c>
      <c r="Q1159" t="s">
        <v>1414</v>
      </c>
      <c r="R1159" s="1">
        <v>46218</v>
      </c>
      <c r="S1159" t="s">
        <v>614</v>
      </c>
      <c r="T1159" t="s">
        <v>615</v>
      </c>
      <c r="U1159" t="s">
        <v>616</v>
      </c>
      <c r="V1159" t="s">
        <v>66</v>
      </c>
      <c r="W1159" t="s">
        <v>66</v>
      </c>
      <c r="X1159">
        <v>2472744</v>
      </c>
      <c r="Y1159">
        <v>272001.84000000003</v>
      </c>
      <c r="Z1159">
        <v>458616</v>
      </c>
      <c r="AA1159">
        <v>50447.76</v>
      </c>
      <c r="AB1159">
        <v>2744745.84</v>
      </c>
      <c r="AC1159">
        <v>2</v>
      </c>
      <c r="AD1159" t="s">
        <v>134</v>
      </c>
      <c r="AE1159">
        <v>24</v>
      </c>
      <c r="AF1159" t="s">
        <v>287</v>
      </c>
      <c r="AG1159">
        <f>IFERROR(VLOOKUP(AF1159,[1]STOK!J:O,6,0),"")</f>
        <v>12</v>
      </c>
      <c r="AH1159" s="2">
        <f t="shared" si="36"/>
        <v>2</v>
      </c>
      <c r="AI1159" t="s">
        <v>287</v>
      </c>
      <c r="AJ1159" t="s">
        <v>288</v>
      </c>
      <c r="AK1159" t="s">
        <v>289</v>
      </c>
      <c r="AL1159" t="s">
        <v>86</v>
      </c>
      <c r="AM1159">
        <v>258408</v>
      </c>
      <c r="AN1159">
        <f t="shared" si="37"/>
        <v>254531.88</v>
      </c>
      <c r="AO1159" t="s">
        <v>66</v>
      </c>
      <c r="AP1159">
        <v>1.5</v>
      </c>
      <c r="AQ1159" t="s">
        <v>66</v>
      </c>
      <c r="AR1159">
        <v>0</v>
      </c>
      <c r="AS1159" t="s">
        <v>66</v>
      </c>
      <c r="AT1159">
        <v>0</v>
      </c>
      <c r="AU1159" t="s">
        <v>66</v>
      </c>
      <c r="AV1159">
        <v>0</v>
      </c>
      <c r="AW1159" t="s">
        <v>66</v>
      </c>
      <c r="AX1159">
        <v>0</v>
      </c>
      <c r="AY1159" t="s">
        <v>66</v>
      </c>
      <c r="AZ1159">
        <v>0</v>
      </c>
      <c r="BA1159" t="s">
        <v>66</v>
      </c>
      <c r="BB1159">
        <v>0</v>
      </c>
      <c r="BC1159">
        <v>0</v>
      </c>
      <c r="BD1159">
        <v>509063.76</v>
      </c>
      <c r="BE1159">
        <v>17175.11</v>
      </c>
      <c r="BF1159">
        <v>0</v>
      </c>
      <c r="BG1159" t="s">
        <v>87</v>
      </c>
      <c r="BH1159" t="s">
        <v>66</v>
      </c>
      <c r="BI1159">
        <v>0</v>
      </c>
      <c r="BJ1159" t="s">
        <v>66</v>
      </c>
      <c r="BK1159" t="s">
        <v>88</v>
      </c>
      <c r="BL1159" t="s">
        <v>618</v>
      </c>
      <c r="BM1159" t="s">
        <v>159</v>
      </c>
    </row>
    <row r="1160" spans="1:65" x14ac:dyDescent="0.25">
      <c r="A1160">
        <v>1158</v>
      </c>
      <c r="B1160" t="s">
        <v>1412</v>
      </c>
      <c r="C1160" t="s">
        <v>66</v>
      </c>
      <c r="D1160" s="1">
        <v>46217</v>
      </c>
      <c r="E1160" t="s">
        <v>1413</v>
      </c>
      <c r="F1160" t="s">
        <v>68</v>
      </c>
      <c r="G1160" t="s">
        <v>69</v>
      </c>
      <c r="H1160" t="s">
        <v>70</v>
      </c>
      <c r="I1160" t="s">
        <v>71</v>
      </c>
      <c r="J1160" t="s">
        <v>72</v>
      </c>
      <c r="K1160" t="s">
        <v>73</v>
      </c>
      <c r="L1160" t="s">
        <v>74</v>
      </c>
      <c r="M1160" t="s">
        <v>611</v>
      </c>
      <c r="N1160" t="s">
        <v>76</v>
      </c>
      <c r="O1160" t="s">
        <v>612</v>
      </c>
      <c r="P1160" t="s">
        <v>613</v>
      </c>
      <c r="Q1160" t="s">
        <v>1414</v>
      </c>
      <c r="R1160" s="1">
        <v>46218</v>
      </c>
      <c r="S1160" t="s">
        <v>614</v>
      </c>
      <c r="T1160" t="s">
        <v>615</v>
      </c>
      <c r="U1160" t="s">
        <v>616</v>
      </c>
      <c r="V1160" t="s">
        <v>66</v>
      </c>
      <c r="W1160" t="s">
        <v>66</v>
      </c>
      <c r="X1160">
        <v>2472744</v>
      </c>
      <c r="Y1160">
        <v>272001.84000000003</v>
      </c>
      <c r="Z1160">
        <v>452706</v>
      </c>
      <c r="AA1160">
        <v>49797.66</v>
      </c>
      <c r="AB1160">
        <v>2744745.84</v>
      </c>
      <c r="AC1160">
        <v>2</v>
      </c>
      <c r="AD1160" t="s">
        <v>134</v>
      </c>
      <c r="AE1160">
        <v>12</v>
      </c>
      <c r="AF1160" t="s">
        <v>138</v>
      </c>
      <c r="AG1160">
        <f>IFERROR(VLOOKUP(AF1160,[1]STOK!J:O,6,0),"")</f>
        <v>6</v>
      </c>
      <c r="AH1160" s="2">
        <f t="shared" si="36"/>
        <v>2</v>
      </c>
      <c r="AI1160" t="s">
        <v>138</v>
      </c>
      <c r="AJ1160" t="s">
        <v>139</v>
      </c>
      <c r="AK1160" t="s">
        <v>140</v>
      </c>
      <c r="AL1160" t="s">
        <v>86</v>
      </c>
      <c r="AM1160">
        <v>255078</v>
      </c>
      <c r="AN1160">
        <f t="shared" si="37"/>
        <v>251251.83</v>
      </c>
      <c r="AO1160" t="s">
        <v>66</v>
      </c>
      <c r="AP1160">
        <v>1.5</v>
      </c>
      <c r="AQ1160" t="s">
        <v>66</v>
      </c>
      <c r="AR1160">
        <v>0</v>
      </c>
      <c r="AS1160" t="s">
        <v>66</v>
      </c>
      <c r="AT1160">
        <v>0</v>
      </c>
      <c r="AU1160" t="s">
        <v>66</v>
      </c>
      <c r="AV1160">
        <v>0</v>
      </c>
      <c r="AW1160" t="s">
        <v>66</v>
      </c>
      <c r="AX1160">
        <v>0</v>
      </c>
      <c r="AY1160" t="s">
        <v>66</v>
      </c>
      <c r="AZ1160">
        <v>0</v>
      </c>
      <c r="BA1160" t="s">
        <v>66</v>
      </c>
      <c r="BB1160">
        <v>0</v>
      </c>
      <c r="BC1160">
        <v>0</v>
      </c>
      <c r="BD1160">
        <v>502503.66</v>
      </c>
      <c r="BE1160">
        <v>34619.379999999997</v>
      </c>
      <c r="BF1160">
        <v>0</v>
      </c>
      <c r="BG1160" t="s">
        <v>87</v>
      </c>
      <c r="BH1160" t="s">
        <v>66</v>
      </c>
      <c r="BI1160">
        <v>0</v>
      </c>
      <c r="BJ1160" t="s">
        <v>66</v>
      </c>
      <c r="BK1160" t="s">
        <v>88</v>
      </c>
      <c r="BL1160" t="s">
        <v>618</v>
      </c>
      <c r="BM1160" t="s">
        <v>159</v>
      </c>
    </row>
    <row r="1161" spans="1:65" x14ac:dyDescent="0.25">
      <c r="A1161">
        <v>1159</v>
      </c>
      <c r="B1161" t="s">
        <v>1415</v>
      </c>
      <c r="C1161" t="s">
        <v>68</v>
      </c>
      <c r="D1161" s="1">
        <v>46217</v>
      </c>
      <c r="E1161" t="s">
        <v>1416</v>
      </c>
      <c r="F1161" t="s">
        <v>68</v>
      </c>
      <c r="G1161" t="s">
        <v>69</v>
      </c>
      <c r="H1161" t="s">
        <v>70</v>
      </c>
      <c r="I1161" t="s">
        <v>71</v>
      </c>
      <c r="J1161" t="s">
        <v>72</v>
      </c>
      <c r="K1161" t="s">
        <v>73</v>
      </c>
      <c r="L1161" t="s">
        <v>74</v>
      </c>
      <c r="M1161" t="s">
        <v>611</v>
      </c>
      <c r="N1161" t="s">
        <v>76</v>
      </c>
      <c r="O1161" t="s">
        <v>612</v>
      </c>
      <c r="P1161" t="s">
        <v>613</v>
      </c>
      <c r="Q1161" t="s">
        <v>1417</v>
      </c>
      <c r="R1161" s="1">
        <v>46218</v>
      </c>
      <c r="S1161" t="s">
        <v>614</v>
      </c>
      <c r="T1161" t="s">
        <v>615</v>
      </c>
      <c r="U1161" t="s">
        <v>616</v>
      </c>
      <c r="V1161" t="s">
        <v>66</v>
      </c>
      <c r="W1161" t="s">
        <v>66</v>
      </c>
      <c r="X1161">
        <v>5997074</v>
      </c>
      <c r="Y1161">
        <v>659678.14</v>
      </c>
      <c r="Z1161">
        <v>390060</v>
      </c>
      <c r="AA1161">
        <v>42906.6</v>
      </c>
      <c r="AB1161">
        <v>6656752.1399999997</v>
      </c>
      <c r="AC1161">
        <v>1</v>
      </c>
      <c r="AD1161" t="s">
        <v>134</v>
      </c>
      <c r="AE1161">
        <v>24</v>
      </c>
      <c r="AF1161" t="s">
        <v>93</v>
      </c>
      <c r="AG1161">
        <f>IFERROR(VLOOKUP(AF1161,[1]STOK!J:O,6,0),"")</f>
        <v>24</v>
      </c>
      <c r="AH1161" s="2">
        <f t="shared" si="36"/>
        <v>1</v>
      </c>
      <c r="AI1161" t="s">
        <v>93</v>
      </c>
      <c r="AJ1161" t="s">
        <v>94</v>
      </c>
      <c r="AK1161" t="s">
        <v>95</v>
      </c>
      <c r="AL1161" t="s">
        <v>86</v>
      </c>
      <c r="AM1161">
        <v>439560</v>
      </c>
      <c r="AN1161">
        <f t="shared" si="37"/>
        <v>432966.6</v>
      </c>
      <c r="AO1161" t="s">
        <v>66</v>
      </c>
      <c r="AP1161">
        <v>1.5</v>
      </c>
      <c r="AQ1161" t="s">
        <v>66</v>
      </c>
      <c r="AR1161">
        <v>0</v>
      </c>
      <c r="AS1161" t="s">
        <v>66</v>
      </c>
      <c r="AT1161">
        <v>0</v>
      </c>
      <c r="AU1161" t="s">
        <v>66</v>
      </c>
      <c r="AV1161">
        <v>0</v>
      </c>
      <c r="AW1161" t="s">
        <v>66</v>
      </c>
      <c r="AX1161">
        <v>0</v>
      </c>
      <c r="AY1161" t="s">
        <v>66</v>
      </c>
      <c r="AZ1161">
        <v>0</v>
      </c>
      <c r="BA1161" t="s">
        <v>66</v>
      </c>
      <c r="BB1161">
        <v>0</v>
      </c>
      <c r="BC1161">
        <v>0</v>
      </c>
      <c r="BD1161">
        <v>432966.6</v>
      </c>
      <c r="BE1161">
        <v>14878.51</v>
      </c>
      <c r="BF1161">
        <v>0</v>
      </c>
      <c r="BG1161" t="s">
        <v>87</v>
      </c>
      <c r="BH1161" t="s">
        <v>66</v>
      </c>
      <c r="BI1161">
        <v>0</v>
      </c>
      <c r="BJ1161" t="s">
        <v>66</v>
      </c>
      <c r="BK1161" t="s">
        <v>88</v>
      </c>
      <c r="BL1161" t="s">
        <v>618</v>
      </c>
      <c r="BM1161" t="s">
        <v>159</v>
      </c>
    </row>
    <row r="1162" spans="1:65" x14ac:dyDescent="0.25">
      <c r="A1162">
        <v>1160</v>
      </c>
      <c r="B1162" t="s">
        <v>1415</v>
      </c>
      <c r="C1162" t="s">
        <v>68</v>
      </c>
      <c r="D1162" s="1">
        <v>46217</v>
      </c>
      <c r="E1162" t="s">
        <v>1416</v>
      </c>
      <c r="F1162" t="s">
        <v>68</v>
      </c>
      <c r="G1162" t="s">
        <v>69</v>
      </c>
      <c r="H1162" t="s">
        <v>70</v>
      </c>
      <c r="I1162" t="s">
        <v>71</v>
      </c>
      <c r="J1162" t="s">
        <v>72</v>
      </c>
      <c r="K1162" t="s">
        <v>73</v>
      </c>
      <c r="L1162" t="s">
        <v>74</v>
      </c>
      <c r="M1162" t="s">
        <v>611</v>
      </c>
      <c r="N1162" t="s">
        <v>76</v>
      </c>
      <c r="O1162" t="s">
        <v>612</v>
      </c>
      <c r="P1162" t="s">
        <v>613</v>
      </c>
      <c r="Q1162" t="s">
        <v>1417</v>
      </c>
      <c r="R1162" s="1">
        <v>46218</v>
      </c>
      <c r="S1162" t="s">
        <v>614</v>
      </c>
      <c r="T1162" t="s">
        <v>615</v>
      </c>
      <c r="U1162" t="s">
        <v>616</v>
      </c>
      <c r="V1162" t="s">
        <v>66</v>
      </c>
      <c r="W1162" t="s">
        <v>66</v>
      </c>
      <c r="X1162">
        <v>5997074</v>
      </c>
      <c r="Y1162">
        <v>659678.14</v>
      </c>
      <c r="Z1162">
        <v>390060</v>
      </c>
      <c r="AA1162">
        <v>42906.6</v>
      </c>
      <c r="AB1162">
        <v>6656752.1399999997</v>
      </c>
      <c r="AC1162">
        <v>1</v>
      </c>
      <c r="AD1162" t="s">
        <v>134</v>
      </c>
      <c r="AE1162">
        <v>24</v>
      </c>
      <c r="AF1162" t="s">
        <v>205</v>
      </c>
      <c r="AG1162">
        <f>IFERROR(VLOOKUP(AF1162,[1]STOK!J:O,6,0),"")</f>
        <v>24</v>
      </c>
      <c r="AH1162" s="2">
        <f t="shared" si="36"/>
        <v>1</v>
      </c>
      <c r="AI1162" t="s">
        <v>205</v>
      </c>
      <c r="AJ1162" t="s">
        <v>206</v>
      </c>
      <c r="AK1162" t="s">
        <v>207</v>
      </c>
      <c r="AL1162" t="s">
        <v>86</v>
      </c>
      <c r="AM1162">
        <v>439560</v>
      </c>
      <c r="AN1162">
        <f t="shared" si="37"/>
        <v>432966.6</v>
      </c>
      <c r="AO1162" t="s">
        <v>66</v>
      </c>
      <c r="AP1162">
        <v>1.5</v>
      </c>
      <c r="AQ1162" t="s">
        <v>66</v>
      </c>
      <c r="AR1162">
        <v>0</v>
      </c>
      <c r="AS1162" t="s">
        <v>66</v>
      </c>
      <c r="AT1162">
        <v>0</v>
      </c>
      <c r="AU1162" t="s">
        <v>66</v>
      </c>
      <c r="AV1162">
        <v>0</v>
      </c>
      <c r="AW1162" t="s">
        <v>66</v>
      </c>
      <c r="AX1162">
        <v>0</v>
      </c>
      <c r="AY1162" t="s">
        <v>66</v>
      </c>
      <c r="AZ1162">
        <v>0</v>
      </c>
      <c r="BA1162" t="s">
        <v>66</v>
      </c>
      <c r="BB1162">
        <v>0</v>
      </c>
      <c r="BC1162">
        <v>0</v>
      </c>
      <c r="BD1162">
        <v>432966.6</v>
      </c>
      <c r="BE1162">
        <v>14876.63</v>
      </c>
      <c r="BF1162">
        <v>0</v>
      </c>
      <c r="BG1162" t="s">
        <v>87</v>
      </c>
      <c r="BH1162" t="s">
        <v>66</v>
      </c>
      <c r="BI1162">
        <v>0</v>
      </c>
      <c r="BJ1162" t="s">
        <v>66</v>
      </c>
      <c r="BK1162" t="s">
        <v>88</v>
      </c>
      <c r="BL1162" t="s">
        <v>618</v>
      </c>
      <c r="BM1162" t="s">
        <v>159</v>
      </c>
    </row>
    <row r="1163" spans="1:65" x14ac:dyDescent="0.25">
      <c r="A1163">
        <v>1161</v>
      </c>
      <c r="B1163" t="s">
        <v>1415</v>
      </c>
      <c r="C1163" t="s">
        <v>68</v>
      </c>
      <c r="D1163" s="1">
        <v>46217</v>
      </c>
      <c r="E1163" t="s">
        <v>1416</v>
      </c>
      <c r="F1163" t="s">
        <v>68</v>
      </c>
      <c r="G1163" t="s">
        <v>69</v>
      </c>
      <c r="H1163" t="s">
        <v>70</v>
      </c>
      <c r="I1163" t="s">
        <v>71</v>
      </c>
      <c r="J1163" t="s">
        <v>72</v>
      </c>
      <c r="K1163" t="s">
        <v>73</v>
      </c>
      <c r="L1163" t="s">
        <v>74</v>
      </c>
      <c r="M1163" t="s">
        <v>611</v>
      </c>
      <c r="N1163" t="s">
        <v>76</v>
      </c>
      <c r="O1163" t="s">
        <v>612</v>
      </c>
      <c r="P1163" t="s">
        <v>613</v>
      </c>
      <c r="Q1163" t="s">
        <v>1417</v>
      </c>
      <c r="R1163" s="1">
        <v>46218</v>
      </c>
      <c r="S1163" t="s">
        <v>614</v>
      </c>
      <c r="T1163" t="s">
        <v>615</v>
      </c>
      <c r="U1163" t="s">
        <v>616</v>
      </c>
      <c r="V1163" t="s">
        <v>66</v>
      </c>
      <c r="W1163" t="s">
        <v>66</v>
      </c>
      <c r="X1163">
        <v>5997074</v>
      </c>
      <c r="Y1163">
        <v>659678.14</v>
      </c>
      <c r="Z1163">
        <v>322686</v>
      </c>
      <c r="AA1163">
        <v>35495.46</v>
      </c>
      <c r="AB1163">
        <v>6656752.1399999997</v>
      </c>
      <c r="AC1163">
        <v>1</v>
      </c>
      <c r="AD1163" t="s">
        <v>134</v>
      </c>
      <c r="AE1163">
        <v>12</v>
      </c>
      <c r="AF1163" t="s">
        <v>593</v>
      </c>
      <c r="AG1163">
        <f>IFERROR(VLOOKUP(AF1163,[1]STOK!J:O,6,0),"")</f>
        <v>12</v>
      </c>
      <c r="AH1163" s="2">
        <f t="shared" si="36"/>
        <v>1</v>
      </c>
      <c r="AI1163" t="s">
        <v>593</v>
      </c>
      <c r="AJ1163" t="s">
        <v>594</v>
      </c>
      <c r="AK1163" t="s">
        <v>595</v>
      </c>
      <c r="AL1163" t="s">
        <v>86</v>
      </c>
      <c r="AM1163">
        <v>363636</v>
      </c>
      <c r="AN1163">
        <f t="shared" si="37"/>
        <v>358181.46</v>
      </c>
      <c r="AO1163" t="s">
        <v>66</v>
      </c>
      <c r="AP1163">
        <v>1.5</v>
      </c>
      <c r="AQ1163" t="s">
        <v>66</v>
      </c>
      <c r="AR1163">
        <v>0</v>
      </c>
      <c r="AS1163" t="s">
        <v>66</v>
      </c>
      <c r="AT1163">
        <v>0</v>
      </c>
      <c r="AU1163" t="s">
        <v>66</v>
      </c>
      <c r="AV1163">
        <v>0</v>
      </c>
      <c r="AW1163" t="s">
        <v>66</v>
      </c>
      <c r="AX1163">
        <v>0</v>
      </c>
      <c r="AY1163" t="s">
        <v>66</v>
      </c>
      <c r="AZ1163">
        <v>0</v>
      </c>
      <c r="BA1163" t="s">
        <v>66</v>
      </c>
      <c r="BB1163">
        <v>0</v>
      </c>
      <c r="BC1163">
        <v>0</v>
      </c>
      <c r="BD1163">
        <v>358181.46</v>
      </c>
      <c r="BE1163">
        <v>24521.7</v>
      </c>
      <c r="BF1163">
        <v>0</v>
      </c>
      <c r="BG1163" t="s">
        <v>87</v>
      </c>
      <c r="BH1163" t="s">
        <v>66</v>
      </c>
      <c r="BI1163">
        <v>0</v>
      </c>
      <c r="BJ1163" t="s">
        <v>66</v>
      </c>
      <c r="BK1163" t="s">
        <v>88</v>
      </c>
      <c r="BL1163" t="s">
        <v>618</v>
      </c>
      <c r="BM1163" t="s">
        <v>159</v>
      </c>
    </row>
    <row r="1164" spans="1:65" x14ac:dyDescent="0.25">
      <c r="A1164">
        <v>1162</v>
      </c>
      <c r="B1164" t="s">
        <v>1415</v>
      </c>
      <c r="C1164" t="s">
        <v>68</v>
      </c>
      <c r="D1164" s="1">
        <v>46217</v>
      </c>
      <c r="E1164" t="s">
        <v>1416</v>
      </c>
      <c r="F1164" t="s">
        <v>68</v>
      </c>
      <c r="G1164" t="s">
        <v>69</v>
      </c>
      <c r="H1164" t="s">
        <v>70</v>
      </c>
      <c r="I1164" t="s">
        <v>71</v>
      </c>
      <c r="J1164" t="s">
        <v>72</v>
      </c>
      <c r="K1164" t="s">
        <v>73</v>
      </c>
      <c r="L1164" t="s">
        <v>74</v>
      </c>
      <c r="M1164" t="s">
        <v>611</v>
      </c>
      <c r="N1164" t="s">
        <v>76</v>
      </c>
      <c r="O1164" t="s">
        <v>612</v>
      </c>
      <c r="P1164" t="s">
        <v>613</v>
      </c>
      <c r="Q1164" t="s">
        <v>1417</v>
      </c>
      <c r="R1164" s="1">
        <v>46218</v>
      </c>
      <c r="S1164" t="s">
        <v>614</v>
      </c>
      <c r="T1164" t="s">
        <v>615</v>
      </c>
      <c r="U1164" t="s">
        <v>616</v>
      </c>
      <c r="V1164" t="s">
        <v>66</v>
      </c>
      <c r="W1164" t="s">
        <v>66</v>
      </c>
      <c r="X1164">
        <v>5997074</v>
      </c>
      <c r="Y1164">
        <v>659678.14</v>
      </c>
      <c r="Z1164">
        <v>322686</v>
      </c>
      <c r="AA1164">
        <v>35495.46</v>
      </c>
      <c r="AB1164">
        <v>6656752.1399999997</v>
      </c>
      <c r="AC1164">
        <v>1</v>
      </c>
      <c r="AD1164" t="s">
        <v>134</v>
      </c>
      <c r="AE1164">
        <v>12</v>
      </c>
      <c r="AF1164" t="s">
        <v>306</v>
      </c>
      <c r="AG1164">
        <f>IFERROR(VLOOKUP(AF1164,[1]STOK!J:O,6,0),"")</f>
        <v>12</v>
      </c>
      <c r="AH1164" s="2">
        <f t="shared" si="36"/>
        <v>1</v>
      </c>
      <c r="AI1164" t="s">
        <v>306</v>
      </c>
      <c r="AJ1164" t="s">
        <v>307</v>
      </c>
      <c r="AK1164" t="s">
        <v>308</v>
      </c>
      <c r="AL1164" t="s">
        <v>86</v>
      </c>
      <c r="AM1164">
        <v>363636</v>
      </c>
      <c r="AN1164">
        <f t="shared" si="37"/>
        <v>358181.46</v>
      </c>
      <c r="AO1164" t="s">
        <v>66</v>
      </c>
      <c r="AP1164">
        <v>1.5</v>
      </c>
      <c r="AQ1164" t="s">
        <v>66</v>
      </c>
      <c r="AR1164">
        <v>0</v>
      </c>
      <c r="AS1164" t="s">
        <v>66</v>
      </c>
      <c r="AT1164">
        <v>0</v>
      </c>
      <c r="AU1164" t="s">
        <v>66</v>
      </c>
      <c r="AV1164">
        <v>0</v>
      </c>
      <c r="AW1164" t="s">
        <v>66</v>
      </c>
      <c r="AX1164">
        <v>0</v>
      </c>
      <c r="AY1164" t="s">
        <v>66</v>
      </c>
      <c r="AZ1164">
        <v>0</v>
      </c>
      <c r="BA1164" t="s">
        <v>66</v>
      </c>
      <c r="BB1164">
        <v>0</v>
      </c>
      <c r="BC1164">
        <v>0</v>
      </c>
      <c r="BD1164">
        <v>358181.46</v>
      </c>
      <c r="BE1164">
        <v>24657.27</v>
      </c>
      <c r="BF1164">
        <v>0</v>
      </c>
      <c r="BG1164" t="s">
        <v>87</v>
      </c>
      <c r="BH1164" t="s">
        <v>66</v>
      </c>
      <c r="BI1164">
        <v>0</v>
      </c>
      <c r="BJ1164" t="s">
        <v>66</v>
      </c>
      <c r="BK1164" t="s">
        <v>88</v>
      </c>
      <c r="BL1164" t="s">
        <v>618</v>
      </c>
      <c r="BM1164" t="s">
        <v>159</v>
      </c>
    </row>
    <row r="1165" spans="1:65" x14ac:dyDescent="0.25">
      <c r="A1165">
        <v>1163</v>
      </c>
      <c r="B1165" t="s">
        <v>1415</v>
      </c>
      <c r="C1165" t="s">
        <v>68</v>
      </c>
      <c r="D1165" s="1">
        <v>46217</v>
      </c>
      <c r="E1165" t="s">
        <v>1416</v>
      </c>
      <c r="F1165" t="s">
        <v>68</v>
      </c>
      <c r="G1165" t="s">
        <v>69</v>
      </c>
      <c r="H1165" t="s">
        <v>70</v>
      </c>
      <c r="I1165" t="s">
        <v>71</v>
      </c>
      <c r="J1165" t="s">
        <v>72</v>
      </c>
      <c r="K1165" t="s">
        <v>73</v>
      </c>
      <c r="L1165" t="s">
        <v>74</v>
      </c>
      <c r="M1165" t="s">
        <v>611</v>
      </c>
      <c r="N1165" t="s">
        <v>76</v>
      </c>
      <c r="O1165" t="s">
        <v>612</v>
      </c>
      <c r="P1165" t="s">
        <v>613</v>
      </c>
      <c r="Q1165" t="s">
        <v>1417</v>
      </c>
      <c r="R1165" s="1">
        <v>46218</v>
      </c>
      <c r="S1165" t="s">
        <v>614</v>
      </c>
      <c r="T1165" t="s">
        <v>615</v>
      </c>
      <c r="U1165" t="s">
        <v>616</v>
      </c>
      <c r="V1165" t="s">
        <v>66</v>
      </c>
      <c r="W1165" t="s">
        <v>66</v>
      </c>
      <c r="X1165">
        <v>5997074</v>
      </c>
      <c r="Y1165">
        <v>659678.14</v>
      </c>
      <c r="Z1165">
        <v>509836</v>
      </c>
      <c r="AA1165">
        <v>56081.96</v>
      </c>
      <c r="AB1165">
        <v>6656752.1399999997</v>
      </c>
      <c r="AC1165">
        <v>1</v>
      </c>
      <c r="AD1165" t="s">
        <v>134</v>
      </c>
      <c r="AE1165">
        <v>4</v>
      </c>
      <c r="AF1165" t="s">
        <v>596</v>
      </c>
      <c r="AG1165">
        <f>IFERROR(VLOOKUP(AF1165,[1]STOK!J:O,6,0),"")</f>
        <v>4</v>
      </c>
      <c r="AH1165" s="2">
        <f t="shared" si="36"/>
        <v>1</v>
      </c>
      <c r="AI1165" t="s">
        <v>596</v>
      </c>
      <c r="AJ1165" t="s">
        <v>597</v>
      </c>
      <c r="AK1165" t="s">
        <v>598</v>
      </c>
      <c r="AL1165" t="s">
        <v>86</v>
      </c>
      <c r="AM1165">
        <v>574536</v>
      </c>
      <c r="AN1165">
        <f t="shared" si="37"/>
        <v>565917.96</v>
      </c>
      <c r="AO1165" t="s">
        <v>66</v>
      </c>
      <c r="AP1165">
        <v>1.5</v>
      </c>
      <c r="AQ1165" t="s">
        <v>66</v>
      </c>
      <c r="AR1165">
        <v>0</v>
      </c>
      <c r="AS1165" t="s">
        <v>66</v>
      </c>
      <c r="AT1165">
        <v>0</v>
      </c>
      <c r="AU1165" t="s">
        <v>66</v>
      </c>
      <c r="AV1165">
        <v>0</v>
      </c>
      <c r="AW1165" t="s">
        <v>66</v>
      </c>
      <c r="AX1165">
        <v>0</v>
      </c>
      <c r="AY1165" t="s">
        <v>66</v>
      </c>
      <c r="AZ1165">
        <v>0</v>
      </c>
      <c r="BA1165" t="s">
        <v>66</v>
      </c>
      <c r="BB1165">
        <v>0</v>
      </c>
      <c r="BC1165">
        <v>0</v>
      </c>
      <c r="BD1165">
        <v>565917.96</v>
      </c>
      <c r="BE1165">
        <v>111322.74</v>
      </c>
      <c r="BF1165">
        <v>0</v>
      </c>
      <c r="BG1165" t="s">
        <v>87</v>
      </c>
      <c r="BH1165" t="s">
        <v>66</v>
      </c>
      <c r="BI1165">
        <v>0</v>
      </c>
      <c r="BJ1165" t="s">
        <v>66</v>
      </c>
      <c r="BK1165" t="s">
        <v>88</v>
      </c>
      <c r="BL1165" t="s">
        <v>618</v>
      </c>
      <c r="BM1165" t="s">
        <v>159</v>
      </c>
    </row>
    <row r="1166" spans="1:65" x14ac:dyDescent="0.25">
      <c r="A1166">
        <v>1164</v>
      </c>
      <c r="B1166" t="s">
        <v>1415</v>
      </c>
      <c r="C1166" t="s">
        <v>68</v>
      </c>
      <c r="D1166" s="1">
        <v>46217</v>
      </c>
      <c r="E1166" t="s">
        <v>1416</v>
      </c>
      <c r="F1166" t="s">
        <v>68</v>
      </c>
      <c r="G1166" t="s">
        <v>69</v>
      </c>
      <c r="H1166" t="s">
        <v>70</v>
      </c>
      <c r="I1166" t="s">
        <v>71</v>
      </c>
      <c r="J1166" t="s">
        <v>72</v>
      </c>
      <c r="K1166" t="s">
        <v>73</v>
      </c>
      <c r="L1166" t="s">
        <v>74</v>
      </c>
      <c r="M1166" t="s">
        <v>611</v>
      </c>
      <c r="N1166" t="s">
        <v>76</v>
      </c>
      <c r="O1166" t="s">
        <v>612</v>
      </c>
      <c r="P1166" t="s">
        <v>613</v>
      </c>
      <c r="Q1166" t="s">
        <v>1417</v>
      </c>
      <c r="R1166" s="1">
        <v>46218</v>
      </c>
      <c r="S1166" t="s">
        <v>614</v>
      </c>
      <c r="T1166" t="s">
        <v>615</v>
      </c>
      <c r="U1166" t="s">
        <v>616</v>
      </c>
      <c r="V1166" t="s">
        <v>66</v>
      </c>
      <c r="W1166" t="s">
        <v>66</v>
      </c>
      <c r="X1166">
        <v>5997074</v>
      </c>
      <c r="Y1166">
        <v>659678.14</v>
      </c>
      <c r="Z1166">
        <v>509836</v>
      </c>
      <c r="AA1166">
        <v>56081.96</v>
      </c>
      <c r="AB1166">
        <v>6656752.1399999997</v>
      </c>
      <c r="AC1166">
        <v>1</v>
      </c>
      <c r="AD1166" t="s">
        <v>134</v>
      </c>
      <c r="AE1166">
        <v>4</v>
      </c>
      <c r="AF1166" t="s">
        <v>1064</v>
      </c>
      <c r="AG1166">
        <f>IFERROR(VLOOKUP(AF1166,[1]STOK!J:O,6,0),"")</f>
        <v>4</v>
      </c>
      <c r="AH1166" s="2">
        <f t="shared" si="36"/>
        <v>1</v>
      </c>
      <c r="AI1166" t="s">
        <v>1064</v>
      </c>
      <c r="AJ1166" t="s">
        <v>1065</v>
      </c>
      <c r="AK1166" t="s">
        <v>1066</v>
      </c>
      <c r="AL1166" t="s">
        <v>86</v>
      </c>
      <c r="AM1166">
        <v>574536</v>
      </c>
      <c r="AN1166">
        <f t="shared" si="37"/>
        <v>565917.96</v>
      </c>
      <c r="AO1166" t="s">
        <v>66</v>
      </c>
      <c r="AP1166">
        <v>1.5</v>
      </c>
      <c r="AQ1166" t="s">
        <v>66</v>
      </c>
      <c r="AR1166">
        <v>0</v>
      </c>
      <c r="AS1166" t="s">
        <v>66</v>
      </c>
      <c r="AT1166">
        <v>0</v>
      </c>
      <c r="AU1166" t="s">
        <v>66</v>
      </c>
      <c r="AV1166">
        <v>0</v>
      </c>
      <c r="AW1166" t="s">
        <v>66</v>
      </c>
      <c r="AX1166">
        <v>0</v>
      </c>
      <c r="AY1166" t="s">
        <v>66</v>
      </c>
      <c r="AZ1166">
        <v>0</v>
      </c>
      <c r="BA1166" t="s">
        <v>66</v>
      </c>
      <c r="BB1166">
        <v>0</v>
      </c>
      <c r="BC1166">
        <v>0</v>
      </c>
      <c r="BD1166">
        <v>565917.96</v>
      </c>
      <c r="BE1166">
        <v>110229.01</v>
      </c>
      <c r="BF1166">
        <v>0</v>
      </c>
      <c r="BG1166" t="s">
        <v>87</v>
      </c>
      <c r="BH1166" t="s">
        <v>66</v>
      </c>
      <c r="BI1166">
        <v>0</v>
      </c>
      <c r="BJ1166" t="s">
        <v>66</v>
      </c>
      <c r="BK1166" t="s">
        <v>88</v>
      </c>
      <c r="BL1166" t="s">
        <v>618</v>
      </c>
      <c r="BM1166" t="s">
        <v>159</v>
      </c>
    </row>
    <row r="1167" spans="1:65" x14ac:dyDescent="0.25">
      <c r="A1167">
        <v>1165</v>
      </c>
      <c r="B1167" t="s">
        <v>1415</v>
      </c>
      <c r="C1167" t="s">
        <v>68</v>
      </c>
      <c r="D1167" s="1">
        <v>46217</v>
      </c>
      <c r="E1167" t="s">
        <v>1416</v>
      </c>
      <c r="F1167" t="s">
        <v>68</v>
      </c>
      <c r="G1167" t="s">
        <v>69</v>
      </c>
      <c r="H1167" t="s">
        <v>70</v>
      </c>
      <c r="I1167" t="s">
        <v>71</v>
      </c>
      <c r="J1167" t="s">
        <v>72</v>
      </c>
      <c r="K1167" t="s">
        <v>73</v>
      </c>
      <c r="L1167" t="s">
        <v>74</v>
      </c>
      <c r="M1167" t="s">
        <v>611</v>
      </c>
      <c r="N1167" t="s">
        <v>76</v>
      </c>
      <c r="O1167" t="s">
        <v>612</v>
      </c>
      <c r="P1167" t="s">
        <v>613</v>
      </c>
      <c r="Q1167" t="s">
        <v>1417</v>
      </c>
      <c r="R1167" s="1">
        <v>46218</v>
      </c>
      <c r="S1167" t="s">
        <v>614</v>
      </c>
      <c r="T1167" t="s">
        <v>615</v>
      </c>
      <c r="U1167" t="s">
        <v>616</v>
      </c>
      <c r="V1167" t="s">
        <v>66</v>
      </c>
      <c r="W1167" t="s">
        <v>66</v>
      </c>
      <c r="X1167">
        <v>5997074</v>
      </c>
      <c r="Y1167">
        <v>659678.14</v>
      </c>
      <c r="Z1167">
        <v>458616</v>
      </c>
      <c r="AA1167">
        <v>50447.76</v>
      </c>
      <c r="AB1167">
        <v>6656752.1399999997</v>
      </c>
      <c r="AC1167">
        <v>1</v>
      </c>
      <c r="AD1167" t="s">
        <v>134</v>
      </c>
      <c r="AE1167">
        <v>24</v>
      </c>
      <c r="AF1167" t="s">
        <v>467</v>
      </c>
      <c r="AG1167">
        <f>IFERROR(VLOOKUP(AF1167,[1]STOK!J:O,6,0),"")</f>
        <v>24</v>
      </c>
      <c r="AH1167" s="2">
        <f t="shared" si="36"/>
        <v>1</v>
      </c>
      <c r="AI1167" t="s">
        <v>467</v>
      </c>
      <c r="AJ1167" t="s">
        <v>468</v>
      </c>
      <c r="AK1167" t="s">
        <v>469</v>
      </c>
      <c r="AL1167" t="s">
        <v>86</v>
      </c>
      <c r="AM1167">
        <v>516816</v>
      </c>
      <c r="AN1167">
        <f t="shared" si="37"/>
        <v>509063.76</v>
      </c>
      <c r="AO1167" t="s">
        <v>66</v>
      </c>
      <c r="AP1167">
        <v>1.5</v>
      </c>
      <c r="AQ1167" t="s">
        <v>66</v>
      </c>
      <c r="AR1167">
        <v>0</v>
      </c>
      <c r="AS1167" t="s">
        <v>66</v>
      </c>
      <c r="AT1167">
        <v>0</v>
      </c>
      <c r="AU1167" t="s">
        <v>66</v>
      </c>
      <c r="AV1167">
        <v>0</v>
      </c>
      <c r="AW1167" t="s">
        <v>66</v>
      </c>
      <c r="AX1167">
        <v>0</v>
      </c>
      <c r="AY1167" t="s">
        <v>66</v>
      </c>
      <c r="AZ1167">
        <v>0</v>
      </c>
      <c r="BA1167" t="s">
        <v>66</v>
      </c>
      <c r="BB1167">
        <v>0</v>
      </c>
      <c r="BC1167">
        <v>0</v>
      </c>
      <c r="BD1167">
        <v>509063.76</v>
      </c>
      <c r="BE1167">
        <v>16865.669999999998</v>
      </c>
      <c r="BF1167">
        <v>0</v>
      </c>
      <c r="BG1167" t="s">
        <v>87</v>
      </c>
      <c r="BH1167" t="s">
        <v>66</v>
      </c>
      <c r="BI1167">
        <v>0</v>
      </c>
      <c r="BJ1167" t="s">
        <v>66</v>
      </c>
      <c r="BK1167" t="s">
        <v>88</v>
      </c>
      <c r="BL1167" t="s">
        <v>618</v>
      </c>
      <c r="BM1167" t="s">
        <v>159</v>
      </c>
    </row>
    <row r="1168" spans="1:65" x14ac:dyDescent="0.25">
      <c r="A1168">
        <v>1166</v>
      </c>
      <c r="B1168" t="s">
        <v>1415</v>
      </c>
      <c r="C1168" t="s">
        <v>68</v>
      </c>
      <c r="D1168" s="1">
        <v>46217</v>
      </c>
      <c r="E1168" t="s">
        <v>1416</v>
      </c>
      <c r="F1168" t="s">
        <v>68</v>
      </c>
      <c r="G1168" t="s">
        <v>69</v>
      </c>
      <c r="H1168" t="s">
        <v>70</v>
      </c>
      <c r="I1168" t="s">
        <v>71</v>
      </c>
      <c r="J1168" t="s">
        <v>72</v>
      </c>
      <c r="K1168" t="s">
        <v>73</v>
      </c>
      <c r="L1168" t="s">
        <v>74</v>
      </c>
      <c r="M1168" t="s">
        <v>611</v>
      </c>
      <c r="N1168" t="s">
        <v>76</v>
      </c>
      <c r="O1168" t="s">
        <v>612</v>
      </c>
      <c r="P1168" t="s">
        <v>613</v>
      </c>
      <c r="Q1168" t="s">
        <v>1417</v>
      </c>
      <c r="R1168" s="1">
        <v>46218</v>
      </c>
      <c r="S1168" t="s">
        <v>614</v>
      </c>
      <c r="T1168" t="s">
        <v>615</v>
      </c>
      <c r="U1168" t="s">
        <v>616</v>
      </c>
      <c r="V1168" t="s">
        <v>66</v>
      </c>
      <c r="W1168" t="s">
        <v>66</v>
      </c>
      <c r="X1168">
        <v>5997074</v>
      </c>
      <c r="Y1168">
        <v>659678.14</v>
      </c>
      <c r="Z1168">
        <v>458616</v>
      </c>
      <c r="AA1168">
        <v>50447.76</v>
      </c>
      <c r="AB1168">
        <v>6656752.1399999997</v>
      </c>
      <c r="AC1168">
        <v>1</v>
      </c>
      <c r="AD1168" t="s">
        <v>134</v>
      </c>
      <c r="AE1168">
        <v>24</v>
      </c>
      <c r="AF1168" t="s">
        <v>470</v>
      </c>
      <c r="AG1168">
        <f>IFERROR(VLOOKUP(AF1168,[1]STOK!J:O,6,0),"")</f>
        <v>24</v>
      </c>
      <c r="AH1168" s="2">
        <f t="shared" si="36"/>
        <v>1</v>
      </c>
      <c r="AI1168" t="s">
        <v>470</v>
      </c>
      <c r="AJ1168" t="s">
        <v>471</v>
      </c>
      <c r="AK1168" t="s">
        <v>472</v>
      </c>
      <c r="AL1168" t="s">
        <v>86</v>
      </c>
      <c r="AM1168">
        <v>516816</v>
      </c>
      <c r="AN1168">
        <f t="shared" si="37"/>
        <v>509063.76</v>
      </c>
      <c r="AO1168" t="s">
        <v>66</v>
      </c>
      <c r="AP1168">
        <v>1.5</v>
      </c>
      <c r="AQ1168" t="s">
        <v>66</v>
      </c>
      <c r="AR1168">
        <v>0</v>
      </c>
      <c r="AS1168" t="s">
        <v>66</v>
      </c>
      <c r="AT1168">
        <v>0</v>
      </c>
      <c r="AU1168" t="s">
        <v>66</v>
      </c>
      <c r="AV1168">
        <v>0</v>
      </c>
      <c r="AW1168" t="s">
        <v>66</v>
      </c>
      <c r="AX1168">
        <v>0</v>
      </c>
      <c r="AY1168" t="s">
        <v>66</v>
      </c>
      <c r="AZ1168">
        <v>0</v>
      </c>
      <c r="BA1168" t="s">
        <v>66</v>
      </c>
      <c r="BB1168">
        <v>0</v>
      </c>
      <c r="BC1168">
        <v>0</v>
      </c>
      <c r="BD1168">
        <v>509063.76</v>
      </c>
      <c r="BE1168">
        <v>17046.02</v>
      </c>
      <c r="BF1168">
        <v>0</v>
      </c>
      <c r="BG1168" t="s">
        <v>87</v>
      </c>
      <c r="BH1168" t="s">
        <v>66</v>
      </c>
      <c r="BI1168">
        <v>0</v>
      </c>
      <c r="BJ1168" t="s">
        <v>66</v>
      </c>
      <c r="BK1168" t="s">
        <v>88</v>
      </c>
      <c r="BL1168" t="s">
        <v>618</v>
      </c>
      <c r="BM1168" t="s">
        <v>159</v>
      </c>
    </row>
    <row r="1169" spans="1:65" x14ac:dyDescent="0.25">
      <c r="A1169">
        <v>1167</v>
      </c>
      <c r="B1169" t="s">
        <v>1415</v>
      </c>
      <c r="C1169" t="s">
        <v>68</v>
      </c>
      <c r="D1169" s="1">
        <v>46217</v>
      </c>
      <c r="E1169" t="s">
        <v>1416</v>
      </c>
      <c r="F1169" t="s">
        <v>68</v>
      </c>
      <c r="G1169" t="s">
        <v>69</v>
      </c>
      <c r="H1169" t="s">
        <v>70</v>
      </c>
      <c r="I1169" t="s">
        <v>71</v>
      </c>
      <c r="J1169" t="s">
        <v>72</v>
      </c>
      <c r="K1169" t="s">
        <v>73</v>
      </c>
      <c r="L1169" t="s">
        <v>74</v>
      </c>
      <c r="M1169" t="s">
        <v>611</v>
      </c>
      <c r="N1169" t="s">
        <v>76</v>
      </c>
      <c r="O1169" t="s">
        <v>612</v>
      </c>
      <c r="P1169" t="s">
        <v>613</v>
      </c>
      <c r="Q1169" t="s">
        <v>1417</v>
      </c>
      <c r="R1169" s="1">
        <v>46218</v>
      </c>
      <c r="S1169" t="s">
        <v>614</v>
      </c>
      <c r="T1169" t="s">
        <v>615</v>
      </c>
      <c r="U1169" t="s">
        <v>616</v>
      </c>
      <c r="V1169" t="s">
        <v>66</v>
      </c>
      <c r="W1169" t="s">
        <v>66</v>
      </c>
      <c r="X1169">
        <v>5997074</v>
      </c>
      <c r="Y1169">
        <v>659678.14</v>
      </c>
      <c r="Z1169">
        <v>399516</v>
      </c>
      <c r="AA1169">
        <v>43946.76</v>
      </c>
      <c r="AB1169">
        <v>6656752.1399999997</v>
      </c>
      <c r="AC1169">
        <v>1</v>
      </c>
      <c r="AD1169" t="s">
        <v>134</v>
      </c>
      <c r="AE1169">
        <v>12</v>
      </c>
      <c r="AF1169" t="s">
        <v>1418</v>
      </c>
      <c r="AG1169">
        <f>IFERROR(VLOOKUP(AF1169,[1]STOK!J:O,6,0),"")</f>
        <v>12</v>
      </c>
      <c r="AH1169" s="2">
        <f t="shared" si="36"/>
        <v>1</v>
      </c>
      <c r="AI1169" t="s">
        <v>1418</v>
      </c>
      <c r="AJ1169" t="s">
        <v>1419</v>
      </c>
      <c r="AK1169" t="s">
        <v>1420</v>
      </c>
      <c r="AL1169" t="s">
        <v>86</v>
      </c>
      <c r="AM1169">
        <v>450216</v>
      </c>
      <c r="AN1169">
        <f t="shared" si="37"/>
        <v>443462.76</v>
      </c>
      <c r="AO1169" t="s">
        <v>66</v>
      </c>
      <c r="AP1169">
        <v>1.5</v>
      </c>
      <c r="AQ1169" t="s">
        <v>66</v>
      </c>
      <c r="AR1169">
        <v>0</v>
      </c>
      <c r="AS1169" t="s">
        <v>66</v>
      </c>
      <c r="AT1169">
        <v>0</v>
      </c>
      <c r="AU1169" t="s">
        <v>66</v>
      </c>
      <c r="AV1169">
        <v>0</v>
      </c>
      <c r="AW1169" t="s">
        <v>66</v>
      </c>
      <c r="AX1169">
        <v>0</v>
      </c>
      <c r="AY1169" t="s">
        <v>66</v>
      </c>
      <c r="AZ1169">
        <v>0</v>
      </c>
      <c r="BA1169" t="s">
        <v>66</v>
      </c>
      <c r="BB1169">
        <v>0</v>
      </c>
      <c r="BC1169">
        <v>0</v>
      </c>
      <c r="BD1169">
        <v>443462.76</v>
      </c>
      <c r="BE1169">
        <v>28319.68</v>
      </c>
      <c r="BF1169">
        <v>0</v>
      </c>
      <c r="BG1169" t="s">
        <v>87</v>
      </c>
      <c r="BH1169" t="s">
        <v>66</v>
      </c>
      <c r="BI1169">
        <v>0</v>
      </c>
      <c r="BJ1169" t="s">
        <v>66</v>
      </c>
      <c r="BK1169" t="s">
        <v>88</v>
      </c>
      <c r="BL1169" t="s">
        <v>618</v>
      </c>
      <c r="BM1169" t="s">
        <v>159</v>
      </c>
    </row>
    <row r="1170" spans="1:65" x14ac:dyDescent="0.25">
      <c r="A1170">
        <v>1168</v>
      </c>
      <c r="B1170" t="s">
        <v>1415</v>
      </c>
      <c r="C1170" t="s">
        <v>68</v>
      </c>
      <c r="D1170" s="1">
        <v>46217</v>
      </c>
      <c r="E1170" t="s">
        <v>1416</v>
      </c>
      <c r="F1170" t="s">
        <v>68</v>
      </c>
      <c r="G1170" t="s">
        <v>69</v>
      </c>
      <c r="H1170" t="s">
        <v>70</v>
      </c>
      <c r="I1170" t="s">
        <v>71</v>
      </c>
      <c r="J1170" t="s">
        <v>72</v>
      </c>
      <c r="K1170" t="s">
        <v>73</v>
      </c>
      <c r="L1170" t="s">
        <v>74</v>
      </c>
      <c r="M1170" t="s">
        <v>611</v>
      </c>
      <c r="N1170" t="s">
        <v>76</v>
      </c>
      <c r="O1170" t="s">
        <v>612</v>
      </c>
      <c r="P1170" t="s">
        <v>613</v>
      </c>
      <c r="Q1170" t="s">
        <v>1417</v>
      </c>
      <c r="R1170" s="1">
        <v>46218</v>
      </c>
      <c r="S1170" t="s">
        <v>614</v>
      </c>
      <c r="T1170" t="s">
        <v>615</v>
      </c>
      <c r="U1170" t="s">
        <v>616</v>
      </c>
      <c r="V1170" t="s">
        <v>66</v>
      </c>
      <c r="W1170" t="s">
        <v>66</v>
      </c>
      <c r="X1170">
        <v>5997074</v>
      </c>
      <c r="Y1170">
        <v>659678.14</v>
      </c>
      <c r="Z1170">
        <v>399516</v>
      </c>
      <c r="AA1170">
        <v>43946.76</v>
      </c>
      <c r="AB1170">
        <v>6656752.1399999997</v>
      </c>
      <c r="AC1170">
        <v>1</v>
      </c>
      <c r="AD1170" t="s">
        <v>134</v>
      </c>
      <c r="AE1170">
        <v>12</v>
      </c>
      <c r="AF1170" t="s">
        <v>1356</v>
      </c>
      <c r="AG1170">
        <f>IFERROR(VLOOKUP(AF1170,[1]STOK!J:O,6,0),"")</f>
        <v>12</v>
      </c>
      <c r="AH1170" s="2">
        <f t="shared" si="36"/>
        <v>1</v>
      </c>
      <c r="AI1170" t="s">
        <v>1356</v>
      </c>
      <c r="AJ1170" t="s">
        <v>1357</v>
      </c>
      <c r="AK1170" t="s">
        <v>1358</v>
      </c>
      <c r="AL1170" t="s">
        <v>86</v>
      </c>
      <c r="AM1170">
        <v>450216</v>
      </c>
      <c r="AN1170">
        <f t="shared" si="37"/>
        <v>443462.76</v>
      </c>
      <c r="AO1170" t="s">
        <v>66</v>
      </c>
      <c r="AP1170">
        <v>1.5</v>
      </c>
      <c r="AQ1170" t="s">
        <v>66</v>
      </c>
      <c r="AR1170">
        <v>0</v>
      </c>
      <c r="AS1170" t="s">
        <v>66</v>
      </c>
      <c r="AT1170">
        <v>0</v>
      </c>
      <c r="AU1170" t="s">
        <v>66</v>
      </c>
      <c r="AV1170">
        <v>0</v>
      </c>
      <c r="AW1170" t="s">
        <v>66</v>
      </c>
      <c r="AX1170">
        <v>0</v>
      </c>
      <c r="AY1170" t="s">
        <v>66</v>
      </c>
      <c r="AZ1170">
        <v>0</v>
      </c>
      <c r="BA1170" t="s">
        <v>66</v>
      </c>
      <c r="BB1170">
        <v>0</v>
      </c>
      <c r="BC1170">
        <v>0</v>
      </c>
      <c r="BD1170">
        <v>443462.76</v>
      </c>
      <c r="BE1170">
        <v>29820.47</v>
      </c>
      <c r="BF1170">
        <v>0</v>
      </c>
      <c r="BG1170" t="s">
        <v>87</v>
      </c>
      <c r="BH1170" t="s">
        <v>66</v>
      </c>
      <c r="BI1170">
        <v>0</v>
      </c>
      <c r="BJ1170" t="s">
        <v>66</v>
      </c>
      <c r="BK1170" t="s">
        <v>88</v>
      </c>
      <c r="BL1170" t="s">
        <v>618</v>
      </c>
      <c r="BM1170" t="s">
        <v>159</v>
      </c>
    </row>
    <row r="1171" spans="1:65" x14ac:dyDescent="0.25">
      <c r="A1171">
        <v>1169</v>
      </c>
      <c r="B1171" t="s">
        <v>1415</v>
      </c>
      <c r="C1171" t="s">
        <v>68</v>
      </c>
      <c r="D1171" s="1">
        <v>46217</v>
      </c>
      <c r="E1171" t="s">
        <v>1416</v>
      </c>
      <c r="F1171" t="s">
        <v>68</v>
      </c>
      <c r="G1171" t="s">
        <v>69</v>
      </c>
      <c r="H1171" t="s">
        <v>70</v>
      </c>
      <c r="I1171" t="s">
        <v>71</v>
      </c>
      <c r="J1171" t="s">
        <v>72</v>
      </c>
      <c r="K1171" t="s">
        <v>73</v>
      </c>
      <c r="L1171" t="s">
        <v>74</v>
      </c>
      <c r="M1171" t="s">
        <v>611</v>
      </c>
      <c r="N1171" t="s">
        <v>76</v>
      </c>
      <c r="O1171" t="s">
        <v>612</v>
      </c>
      <c r="P1171" t="s">
        <v>613</v>
      </c>
      <c r="Q1171" t="s">
        <v>1417</v>
      </c>
      <c r="R1171" s="1">
        <v>46218</v>
      </c>
      <c r="S1171" t="s">
        <v>614</v>
      </c>
      <c r="T1171" t="s">
        <v>615</v>
      </c>
      <c r="U1171" t="s">
        <v>616</v>
      </c>
      <c r="V1171" t="s">
        <v>66</v>
      </c>
      <c r="W1171" t="s">
        <v>66</v>
      </c>
      <c r="X1171">
        <v>5997074</v>
      </c>
      <c r="Y1171">
        <v>659678.14</v>
      </c>
      <c r="Z1171">
        <v>356964</v>
      </c>
      <c r="AA1171">
        <v>39266.04</v>
      </c>
      <c r="AB1171">
        <v>6656752.1399999997</v>
      </c>
      <c r="AC1171">
        <v>1</v>
      </c>
      <c r="AD1171" t="s">
        <v>134</v>
      </c>
      <c r="AE1171">
        <v>24</v>
      </c>
      <c r="AF1171" t="s">
        <v>1359</v>
      </c>
      <c r="AG1171">
        <f>IFERROR(VLOOKUP(AF1171,[1]STOK!J:O,6,0),"")</f>
        <v>24</v>
      </c>
      <c r="AH1171" s="2">
        <f t="shared" si="36"/>
        <v>1</v>
      </c>
      <c r="AI1171" t="s">
        <v>1359</v>
      </c>
      <c r="AJ1171" t="s">
        <v>1360</v>
      </c>
      <c r="AK1171" t="s">
        <v>1361</v>
      </c>
      <c r="AL1171" t="s">
        <v>86</v>
      </c>
      <c r="AM1171">
        <v>402264</v>
      </c>
      <c r="AN1171">
        <f t="shared" si="37"/>
        <v>396230.04</v>
      </c>
      <c r="AO1171" t="s">
        <v>66</v>
      </c>
      <c r="AP1171">
        <v>1.5</v>
      </c>
      <c r="AQ1171" t="s">
        <v>66</v>
      </c>
      <c r="AR1171">
        <v>0</v>
      </c>
      <c r="AS1171" t="s">
        <v>66</v>
      </c>
      <c r="AT1171">
        <v>0</v>
      </c>
      <c r="AU1171" t="s">
        <v>66</v>
      </c>
      <c r="AV1171">
        <v>0</v>
      </c>
      <c r="AW1171" t="s">
        <v>66</v>
      </c>
      <c r="AX1171">
        <v>0</v>
      </c>
      <c r="AY1171" t="s">
        <v>66</v>
      </c>
      <c r="AZ1171">
        <v>0</v>
      </c>
      <c r="BA1171" t="s">
        <v>66</v>
      </c>
      <c r="BB1171">
        <v>0</v>
      </c>
      <c r="BC1171">
        <v>0</v>
      </c>
      <c r="BD1171">
        <v>396230.04</v>
      </c>
      <c r="BE1171">
        <v>13575.37</v>
      </c>
      <c r="BF1171">
        <v>0</v>
      </c>
      <c r="BG1171" t="s">
        <v>87</v>
      </c>
      <c r="BH1171" t="s">
        <v>66</v>
      </c>
      <c r="BI1171">
        <v>0</v>
      </c>
      <c r="BJ1171" t="s">
        <v>66</v>
      </c>
      <c r="BK1171" t="s">
        <v>88</v>
      </c>
      <c r="BL1171" t="s">
        <v>618</v>
      </c>
      <c r="BM1171" t="s">
        <v>159</v>
      </c>
    </row>
    <row r="1172" spans="1:65" x14ac:dyDescent="0.25">
      <c r="A1172">
        <v>1170</v>
      </c>
      <c r="B1172" t="s">
        <v>1415</v>
      </c>
      <c r="C1172" t="s">
        <v>68</v>
      </c>
      <c r="D1172" s="1">
        <v>46217</v>
      </c>
      <c r="E1172" t="s">
        <v>1416</v>
      </c>
      <c r="F1172" t="s">
        <v>68</v>
      </c>
      <c r="G1172" t="s">
        <v>69</v>
      </c>
      <c r="H1172" t="s">
        <v>70</v>
      </c>
      <c r="I1172" t="s">
        <v>71</v>
      </c>
      <c r="J1172" t="s">
        <v>72</v>
      </c>
      <c r="K1172" t="s">
        <v>73</v>
      </c>
      <c r="L1172" t="s">
        <v>74</v>
      </c>
      <c r="M1172" t="s">
        <v>611</v>
      </c>
      <c r="N1172" t="s">
        <v>76</v>
      </c>
      <c r="O1172" t="s">
        <v>612</v>
      </c>
      <c r="P1172" t="s">
        <v>613</v>
      </c>
      <c r="Q1172" t="s">
        <v>1417</v>
      </c>
      <c r="R1172" s="1">
        <v>46218</v>
      </c>
      <c r="S1172" t="s">
        <v>614</v>
      </c>
      <c r="T1172" t="s">
        <v>615</v>
      </c>
      <c r="U1172" t="s">
        <v>616</v>
      </c>
      <c r="V1172" t="s">
        <v>66</v>
      </c>
      <c r="W1172" t="s">
        <v>66</v>
      </c>
      <c r="X1172">
        <v>5997074</v>
      </c>
      <c r="Y1172">
        <v>659678.14</v>
      </c>
      <c r="Z1172">
        <v>290772</v>
      </c>
      <c r="AA1172">
        <v>31984.92</v>
      </c>
      <c r="AB1172">
        <v>6656752.1399999997</v>
      </c>
      <c r="AC1172">
        <v>1</v>
      </c>
      <c r="AD1172" t="s">
        <v>134</v>
      </c>
      <c r="AE1172">
        <v>12</v>
      </c>
      <c r="AF1172" t="s">
        <v>534</v>
      </c>
      <c r="AG1172">
        <f>IFERROR(VLOOKUP(AF1172,[1]STOK!J:O,6,0),"")</f>
        <v>12</v>
      </c>
      <c r="AH1172" s="2">
        <f t="shared" si="36"/>
        <v>1</v>
      </c>
      <c r="AI1172" t="s">
        <v>534</v>
      </c>
      <c r="AJ1172" t="s">
        <v>535</v>
      </c>
      <c r="AK1172" t="s">
        <v>536</v>
      </c>
      <c r="AL1172" t="s">
        <v>86</v>
      </c>
      <c r="AM1172">
        <v>327672</v>
      </c>
      <c r="AN1172">
        <f t="shared" si="37"/>
        <v>322756.92</v>
      </c>
      <c r="AO1172" t="s">
        <v>66</v>
      </c>
      <c r="AP1172">
        <v>1.5</v>
      </c>
      <c r="AQ1172" t="s">
        <v>66</v>
      </c>
      <c r="AR1172">
        <v>0</v>
      </c>
      <c r="AS1172" t="s">
        <v>66</v>
      </c>
      <c r="AT1172">
        <v>0</v>
      </c>
      <c r="AU1172" t="s">
        <v>66</v>
      </c>
      <c r="AV1172">
        <v>0</v>
      </c>
      <c r="AW1172" t="s">
        <v>66</v>
      </c>
      <c r="AX1172">
        <v>0</v>
      </c>
      <c r="AY1172" t="s">
        <v>66</v>
      </c>
      <c r="AZ1172">
        <v>0</v>
      </c>
      <c r="BA1172" t="s">
        <v>66</v>
      </c>
      <c r="BB1172">
        <v>0</v>
      </c>
      <c r="BC1172">
        <v>0</v>
      </c>
      <c r="BD1172">
        <v>322756.92</v>
      </c>
      <c r="BE1172">
        <v>21512.9</v>
      </c>
      <c r="BF1172">
        <v>0</v>
      </c>
      <c r="BG1172" t="s">
        <v>87</v>
      </c>
      <c r="BH1172" t="s">
        <v>66</v>
      </c>
      <c r="BI1172">
        <v>0</v>
      </c>
      <c r="BJ1172" t="s">
        <v>66</v>
      </c>
      <c r="BK1172" t="s">
        <v>88</v>
      </c>
      <c r="BL1172" t="s">
        <v>618</v>
      </c>
      <c r="BM1172" t="s">
        <v>159</v>
      </c>
    </row>
    <row r="1173" spans="1:65" x14ac:dyDescent="0.25">
      <c r="A1173">
        <v>1171</v>
      </c>
      <c r="B1173" t="s">
        <v>1415</v>
      </c>
      <c r="C1173" t="s">
        <v>68</v>
      </c>
      <c r="D1173" s="1">
        <v>46217</v>
      </c>
      <c r="E1173" t="s">
        <v>1416</v>
      </c>
      <c r="F1173" t="s">
        <v>68</v>
      </c>
      <c r="G1173" t="s">
        <v>69</v>
      </c>
      <c r="H1173" t="s">
        <v>70</v>
      </c>
      <c r="I1173" t="s">
        <v>71</v>
      </c>
      <c r="J1173" t="s">
        <v>72</v>
      </c>
      <c r="K1173" t="s">
        <v>73</v>
      </c>
      <c r="L1173" t="s">
        <v>74</v>
      </c>
      <c r="M1173" t="s">
        <v>611</v>
      </c>
      <c r="N1173" t="s">
        <v>76</v>
      </c>
      <c r="O1173" t="s">
        <v>612</v>
      </c>
      <c r="P1173" t="s">
        <v>613</v>
      </c>
      <c r="Q1173" t="s">
        <v>1417</v>
      </c>
      <c r="R1173" s="1">
        <v>46218</v>
      </c>
      <c r="S1173" t="s">
        <v>614</v>
      </c>
      <c r="T1173" t="s">
        <v>615</v>
      </c>
      <c r="U1173" t="s">
        <v>616</v>
      </c>
      <c r="V1173" t="s">
        <v>66</v>
      </c>
      <c r="W1173" t="s">
        <v>66</v>
      </c>
      <c r="X1173">
        <v>5997074</v>
      </c>
      <c r="Y1173">
        <v>659678.14</v>
      </c>
      <c r="Z1173">
        <v>195030</v>
      </c>
      <c r="AA1173">
        <v>21453.3</v>
      </c>
      <c r="AB1173">
        <v>6656752.1399999997</v>
      </c>
      <c r="AC1173">
        <v>12</v>
      </c>
      <c r="AD1173" t="s">
        <v>82</v>
      </c>
      <c r="AE1173">
        <v>12</v>
      </c>
      <c r="AF1173" t="s">
        <v>619</v>
      </c>
      <c r="AG1173">
        <f>IFERROR(VLOOKUP(AF1173,[1]STOK!J:O,6,0),"")</f>
        <v>12</v>
      </c>
      <c r="AH1173" s="2">
        <f t="shared" si="36"/>
        <v>1</v>
      </c>
      <c r="AI1173" t="s">
        <v>619</v>
      </c>
      <c r="AJ1173" t="s">
        <v>620</v>
      </c>
      <c r="AK1173" t="s">
        <v>621</v>
      </c>
      <c r="AL1173" t="s">
        <v>86</v>
      </c>
      <c r="AM1173">
        <v>18315</v>
      </c>
      <c r="AN1173">
        <f t="shared" si="37"/>
        <v>18040.274999999998</v>
      </c>
      <c r="AO1173" t="s">
        <v>66</v>
      </c>
      <c r="AP1173">
        <v>1.5</v>
      </c>
      <c r="AQ1173" t="s">
        <v>66</v>
      </c>
      <c r="AR1173">
        <v>0</v>
      </c>
      <c r="AS1173" t="s">
        <v>66</v>
      </c>
      <c r="AT1173">
        <v>0</v>
      </c>
      <c r="AU1173" t="s">
        <v>66</v>
      </c>
      <c r="AV1173">
        <v>0</v>
      </c>
      <c r="AW1173" t="s">
        <v>66</v>
      </c>
      <c r="AX1173">
        <v>0</v>
      </c>
      <c r="AY1173" t="s">
        <v>66</v>
      </c>
      <c r="AZ1173">
        <v>0</v>
      </c>
      <c r="BA1173" t="s">
        <v>66</v>
      </c>
      <c r="BB1173">
        <v>0</v>
      </c>
      <c r="BC1173">
        <v>0</v>
      </c>
      <c r="BD1173">
        <v>216483.3</v>
      </c>
      <c r="BE1173">
        <v>13909.26</v>
      </c>
      <c r="BF1173">
        <v>0</v>
      </c>
      <c r="BG1173" t="s">
        <v>87</v>
      </c>
      <c r="BH1173" t="s">
        <v>66</v>
      </c>
      <c r="BI1173">
        <v>0</v>
      </c>
      <c r="BJ1173" t="s">
        <v>66</v>
      </c>
      <c r="BK1173" t="s">
        <v>88</v>
      </c>
      <c r="BL1173" t="s">
        <v>618</v>
      </c>
      <c r="BM1173" t="s">
        <v>159</v>
      </c>
    </row>
    <row r="1174" spans="1:65" x14ac:dyDescent="0.25">
      <c r="A1174">
        <v>1172</v>
      </c>
      <c r="B1174" t="s">
        <v>1415</v>
      </c>
      <c r="C1174" t="s">
        <v>68</v>
      </c>
      <c r="D1174" s="1">
        <v>46217</v>
      </c>
      <c r="E1174" t="s">
        <v>1416</v>
      </c>
      <c r="F1174" t="s">
        <v>68</v>
      </c>
      <c r="G1174" t="s">
        <v>69</v>
      </c>
      <c r="H1174" t="s">
        <v>70</v>
      </c>
      <c r="I1174" t="s">
        <v>71</v>
      </c>
      <c r="J1174" t="s">
        <v>72</v>
      </c>
      <c r="K1174" t="s">
        <v>73</v>
      </c>
      <c r="L1174" t="s">
        <v>74</v>
      </c>
      <c r="M1174" t="s">
        <v>611</v>
      </c>
      <c r="N1174" t="s">
        <v>76</v>
      </c>
      <c r="O1174" t="s">
        <v>612</v>
      </c>
      <c r="P1174" t="s">
        <v>613</v>
      </c>
      <c r="Q1174" t="s">
        <v>1417</v>
      </c>
      <c r="R1174" s="1">
        <v>46218</v>
      </c>
      <c r="S1174" t="s">
        <v>614</v>
      </c>
      <c r="T1174" t="s">
        <v>615</v>
      </c>
      <c r="U1174" t="s">
        <v>616</v>
      </c>
      <c r="V1174" t="s">
        <v>66</v>
      </c>
      <c r="W1174" t="s">
        <v>66</v>
      </c>
      <c r="X1174">
        <v>5997074</v>
      </c>
      <c r="Y1174">
        <v>659678.14</v>
      </c>
      <c r="Z1174">
        <v>198576</v>
      </c>
      <c r="AA1174">
        <v>21843.360000000001</v>
      </c>
      <c r="AB1174">
        <v>6656752.1399999997</v>
      </c>
      <c r="AC1174">
        <v>4</v>
      </c>
      <c r="AD1174" t="s">
        <v>82</v>
      </c>
      <c r="AE1174">
        <v>4</v>
      </c>
      <c r="AF1174" t="s">
        <v>881</v>
      </c>
      <c r="AG1174">
        <f>IFERROR(VLOOKUP(AF1174,[1]STOK!J:O,6,0),"")</f>
        <v>4</v>
      </c>
      <c r="AH1174" s="2">
        <f t="shared" si="36"/>
        <v>1</v>
      </c>
      <c r="AI1174" t="s">
        <v>881</v>
      </c>
      <c r="AJ1174" t="s">
        <v>882</v>
      </c>
      <c r="AK1174" t="s">
        <v>883</v>
      </c>
      <c r="AL1174" t="s">
        <v>86</v>
      </c>
      <c r="AM1174">
        <v>55944</v>
      </c>
      <c r="AN1174">
        <f t="shared" si="37"/>
        <v>55104.84</v>
      </c>
      <c r="AO1174" t="s">
        <v>66</v>
      </c>
      <c r="AP1174">
        <v>1.5</v>
      </c>
      <c r="AQ1174" t="s">
        <v>66</v>
      </c>
      <c r="AR1174">
        <v>0</v>
      </c>
      <c r="AS1174" t="s">
        <v>66</v>
      </c>
      <c r="AT1174">
        <v>0</v>
      </c>
      <c r="AU1174" t="s">
        <v>66</v>
      </c>
      <c r="AV1174">
        <v>0</v>
      </c>
      <c r="AW1174" t="s">
        <v>66</v>
      </c>
      <c r="AX1174">
        <v>0</v>
      </c>
      <c r="AY1174" t="s">
        <v>66</v>
      </c>
      <c r="AZ1174">
        <v>0</v>
      </c>
      <c r="BA1174" t="s">
        <v>66</v>
      </c>
      <c r="BB1174">
        <v>0</v>
      </c>
      <c r="BC1174">
        <v>0</v>
      </c>
      <c r="BD1174">
        <v>220419.36</v>
      </c>
      <c r="BE1174">
        <v>44998.92</v>
      </c>
      <c r="BF1174">
        <v>0</v>
      </c>
      <c r="BG1174" t="s">
        <v>87</v>
      </c>
      <c r="BH1174" t="s">
        <v>66</v>
      </c>
      <c r="BI1174">
        <v>0</v>
      </c>
      <c r="BJ1174" t="s">
        <v>66</v>
      </c>
      <c r="BK1174" t="s">
        <v>88</v>
      </c>
      <c r="BL1174" t="s">
        <v>618</v>
      </c>
      <c r="BM1174" t="s">
        <v>159</v>
      </c>
    </row>
    <row r="1175" spans="1:65" x14ac:dyDescent="0.25">
      <c r="A1175">
        <v>1173</v>
      </c>
      <c r="B1175" t="s">
        <v>1415</v>
      </c>
      <c r="C1175" t="s">
        <v>68</v>
      </c>
      <c r="D1175" s="1">
        <v>46217</v>
      </c>
      <c r="E1175" t="s">
        <v>1416</v>
      </c>
      <c r="F1175" t="s">
        <v>68</v>
      </c>
      <c r="G1175" t="s">
        <v>69</v>
      </c>
      <c r="H1175" t="s">
        <v>70</v>
      </c>
      <c r="I1175" t="s">
        <v>71</v>
      </c>
      <c r="J1175" t="s">
        <v>72</v>
      </c>
      <c r="K1175" t="s">
        <v>73</v>
      </c>
      <c r="L1175" t="s">
        <v>74</v>
      </c>
      <c r="M1175" t="s">
        <v>611</v>
      </c>
      <c r="N1175" t="s">
        <v>76</v>
      </c>
      <c r="O1175" t="s">
        <v>612</v>
      </c>
      <c r="P1175" t="s">
        <v>613</v>
      </c>
      <c r="Q1175" t="s">
        <v>1417</v>
      </c>
      <c r="R1175" s="1">
        <v>46218</v>
      </c>
      <c r="S1175" t="s">
        <v>614</v>
      </c>
      <c r="T1175" t="s">
        <v>615</v>
      </c>
      <c r="U1175" t="s">
        <v>616</v>
      </c>
      <c r="V1175" t="s">
        <v>66</v>
      </c>
      <c r="W1175" t="s">
        <v>66</v>
      </c>
      <c r="X1175">
        <v>5997074</v>
      </c>
      <c r="Y1175">
        <v>659678.14</v>
      </c>
      <c r="Z1175">
        <v>198576</v>
      </c>
      <c r="AA1175">
        <v>21843.360000000001</v>
      </c>
      <c r="AB1175">
        <v>6656752.1399999997</v>
      </c>
      <c r="AC1175">
        <v>4</v>
      </c>
      <c r="AD1175" t="s">
        <v>82</v>
      </c>
      <c r="AE1175">
        <v>4</v>
      </c>
      <c r="AF1175" t="s">
        <v>581</v>
      </c>
      <c r="AG1175">
        <f>IFERROR(VLOOKUP(AF1175,[1]STOK!J:O,6,0),"")</f>
        <v>4</v>
      </c>
      <c r="AH1175" s="2">
        <f t="shared" si="36"/>
        <v>1</v>
      </c>
      <c r="AI1175" t="s">
        <v>581</v>
      </c>
      <c r="AJ1175" t="s">
        <v>582</v>
      </c>
      <c r="AK1175" t="s">
        <v>583</v>
      </c>
      <c r="AL1175" t="s">
        <v>86</v>
      </c>
      <c r="AM1175">
        <v>55944</v>
      </c>
      <c r="AN1175">
        <f t="shared" si="37"/>
        <v>55104.84</v>
      </c>
      <c r="AO1175" t="s">
        <v>66</v>
      </c>
      <c r="AP1175">
        <v>1.5</v>
      </c>
      <c r="AQ1175" t="s">
        <v>66</v>
      </c>
      <c r="AR1175">
        <v>0</v>
      </c>
      <c r="AS1175" t="s">
        <v>66</v>
      </c>
      <c r="AT1175">
        <v>0</v>
      </c>
      <c r="AU1175" t="s">
        <v>66</v>
      </c>
      <c r="AV1175">
        <v>0</v>
      </c>
      <c r="AW1175" t="s">
        <v>66</v>
      </c>
      <c r="AX1175">
        <v>0</v>
      </c>
      <c r="AY1175" t="s">
        <v>66</v>
      </c>
      <c r="AZ1175">
        <v>0</v>
      </c>
      <c r="BA1175" t="s">
        <v>66</v>
      </c>
      <c r="BB1175">
        <v>0</v>
      </c>
      <c r="BC1175">
        <v>0</v>
      </c>
      <c r="BD1175">
        <v>220419.36</v>
      </c>
      <c r="BE1175">
        <v>43389.120000000003</v>
      </c>
      <c r="BF1175">
        <v>0</v>
      </c>
      <c r="BG1175" t="s">
        <v>87</v>
      </c>
      <c r="BH1175" t="s">
        <v>66</v>
      </c>
      <c r="BI1175">
        <v>0</v>
      </c>
      <c r="BJ1175" t="s">
        <v>66</v>
      </c>
      <c r="BK1175" t="s">
        <v>88</v>
      </c>
      <c r="BL1175" t="s">
        <v>618</v>
      </c>
      <c r="BM1175" t="s">
        <v>159</v>
      </c>
    </row>
    <row r="1176" spans="1:65" x14ac:dyDescent="0.25">
      <c r="A1176">
        <v>1174</v>
      </c>
      <c r="B1176" t="s">
        <v>1415</v>
      </c>
      <c r="C1176" t="s">
        <v>68</v>
      </c>
      <c r="D1176" s="1">
        <v>46217</v>
      </c>
      <c r="E1176" t="s">
        <v>1416</v>
      </c>
      <c r="F1176" t="s">
        <v>68</v>
      </c>
      <c r="G1176" t="s">
        <v>69</v>
      </c>
      <c r="H1176" t="s">
        <v>70</v>
      </c>
      <c r="I1176" t="s">
        <v>71</v>
      </c>
      <c r="J1176" t="s">
        <v>72</v>
      </c>
      <c r="K1176" t="s">
        <v>73</v>
      </c>
      <c r="L1176" t="s">
        <v>74</v>
      </c>
      <c r="M1176" t="s">
        <v>611</v>
      </c>
      <c r="N1176" t="s">
        <v>76</v>
      </c>
      <c r="O1176" t="s">
        <v>612</v>
      </c>
      <c r="P1176" t="s">
        <v>613</v>
      </c>
      <c r="Q1176" t="s">
        <v>1417</v>
      </c>
      <c r="R1176" s="1">
        <v>46218</v>
      </c>
      <c r="S1176" t="s">
        <v>614</v>
      </c>
      <c r="T1176" t="s">
        <v>615</v>
      </c>
      <c r="U1176" t="s">
        <v>616</v>
      </c>
      <c r="V1176" t="s">
        <v>66</v>
      </c>
      <c r="W1176" t="s">
        <v>66</v>
      </c>
      <c r="X1176">
        <v>5997074</v>
      </c>
      <c r="Y1176">
        <v>659678.14</v>
      </c>
      <c r="Z1176">
        <v>397152</v>
      </c>
      <c r="AA1176">
        <v>43686.720000000001</v>
      </c>
      <c r="AB1176">
        <v>6656752.1399999997</v>
      </c>
      <c r="AC1176">
        <v>8</v>
      </c>
      <c r="AD1176" t="s">
        <v>82</v>
      </c>
      <c r="AE1176">
        <v>8</v>
      </c>
      <c r="AF1176" t="s">
        <v>1058</v>
      </c>
      <c r="AG1176">
        <f>IFERROR(VLOOKUP(AF1176,[1]STOK!J:O,6,0),"")</f>
        <v>4</v>
      </c>
      <c r="AH1176" s="2">
        <f t="shared" si="36"/>
        <v>2</v>
      </c>
      <c r="AI1176" t="s">
        <v>1058</v>
      </c>
      <c r="AJ1176" t="s">
        <v>1059</v>
      </c>
      <c r="AK1176" t="s">
        <v>1060</v>
      </c>
      <c r="AL1176" t="s">
        <v>86</v>
      </c>
      <c r="AM1176">
        <v>55944</v>
      </c>
      <c r="AN1176">
        <f t="shared" si="37"/>
        <v>55104.84</v>
      </c>
      <c r="AO1176" t="s">
        <v>66</v>
      </c>
      <c r="AP1176">
        <v>1.5</v>
      </c>
      <c r="AQ1176" t="s">
        <v>66</v>
      </c>
      <c r="AR1176">
        <v>0</v>
      </c>
      <c r="AS1176" t="s">
        <v>66</v>
      </c>
      <c r="AT1176">
        <v>0</v>
      </c>
      <c r="AU1176" t="s">
        <v>66</v>
      </c>
      <c r="AV1176">
        <v>0</v>
      </c>
      <c r="AW1176" t="s">
        <v>66</v>
      </c>
      <c r="AX1176">
        <v>0</v>
      </c>
      <c r="AY1176" t="s">
        <v>66</v>
      </c>
      <c r="AZ1176">
        <v>0</v>
      </c>
      <c r="BA1176" t="s">
        <v>66</v>
      </c>
      <c r="BB1176">
        <v>0</v>
      </c>
      <c r="BC1176">
        <v>0</v>
      </c>
      <c r="BD1176">
        <v>440838.72</v>
      </c>
      <c r="BE1176">
        <v>44894.61</v>
      </c>
      <c r="BF1176">
        <v>0</v>
      </c>
      <c r="BG1176" t="s">
        <v>87</v>
      </c>
      <c r="BH1176" t="s">
        <v>66</v>
      </c>
      <c r="BI1176">
        <v>0</v>
      </c>
      <c r="BJ1176" t="s">
        <v>66</v>
      </c>
      <c r="BK1176" t="s">
        <v>88</v>
      </c>
      <c r="BL1176" t="s">
        <v>618</v>
      </c>
      <c r="BM1176" t="s">
        <v>159</v>
      </c>
    </row>
    <row r="1177" spans="1:65" x14ac:dyDescent="0.25">
      <c r="A1177">
        <v>1175</v>
      </c>
      <c r="B1177" t="s">
        <v>1415</v>
      </c>
      <c r="C1177" t="s">
        <v>68</v>
      </c>
      <c r="D1177" s="1">
        <v>46217</v>
      </c>
      <c r="E1177" t="s">
        <v>1416</v>
      </c>
      <c r="F1177" t="s">
        <v>68</v>
      </c>
      <c r="G1177" t="s">
        <v>69</v>
      </c>
      <c r="H1177" t="s">
        <v>70</v>
      </c>
      <c r="I1177" t="s">
        <v>71</v>
      </c>
      <c r="J1177" t="s">
        <v>72</v>
      </c>
      <c r="K1177" t="s">
        <v>73</v>
      </c>
      <c r="L1177" t="s">
        <v>74</v>
      </c>
      <c r="M1177" t="s">
        <v>611</v>
      </c>
      <c r="N1177" t="s">
        <v>76</v>
      </c>
      <c r="O1177" t="s">
        <v>612</v>
      </c>
      <c r="P1177" t="s">
        <v>613</v>
      </c>
      <c r="Q1177" t="s">
        <v>1417</v>
      </c>
      <c r="R1177" s="1">
        <v>46218</v>
      </c>
      <c r="S1177" t="s">
        <v>614</v>
      </c>
      <c r="T1177" t="s">
        <v>615</v>
      </c>
      <c r="U1177" t="s">
        <v>616</v>
      </c>
      <c r="V1177" t="s">
        <v>66</v>
      </c>
      <c r="W1177" t="s">
        <v>66</v>
      </c>
      <c r="X1177">
        <v>5997074</v>
      </c>
      <c r="Y1177">
        <v>659678.14</v>
      </c>
      <c r="Z1177">
        <v>198576</v>
      </c>
      <c r="AA1177">
        <v>21843.360000000001</v>
      </c>
      <c r="AB1177">
        <v>6656752.1399999997</v>
      </c>
      <c r="AC1177">
        <v>4</v>
      </c>
      <c r="AD1177" t="s">
        <v>82</v>
      </c>
      <c r="AE1177">
        <v>4</v>
      </c>
      <c r="AF1177" t="s">
        <v>622</v>
      </c>
      <c r="AG1177">
        <f>IFERROR(VLOOKUP(AF1177,[1]STOK!J:O,6,0),"")</f>
        <v>4</v>
      </c>
      <c r="AH1177" s="2">
        <f t="shared" si="36"/>
        <v>1</v>
      </c>
      <c r="AI1177" t="s">
        <v>622</v>
      </c>
      <c r="AJ1177" t="s">
        <v>623</v>
      </c>
      <c r="AK1177" t="s">
        <v>624</v>
      </c>
      <c r="AL1177" t="s">
        <v>86</v>
      </c>
      <c r="AM1177">
        <v>55944</v>
      </c>
      <c r="AN1177">
        <f t="shared" si="37"/>
        <v>55104.84</v>
      </c>
      <c r="AO1177" t="s">
        <v>66</v>
      </c>
      <c r="AP1177">
        <v>1.5</v>
      </c>
      <c r="AQ1177" t="s">
        <v>66</v>
      </c>
      <c r="AR1177">
        <v>0</v>
      </c>
      <c r="AS1177" t="s">
        <v>66</v>
      </c>
      <c r="AT1177">
        <v>0</v>
      </c>
      <c r="AU1177" t="s">
        <v>66</v>
      </c>
      <c r="AV1177">
        <v>0</v>
      </c>
      <c r="AW1177" t="s">
        <v>66</v>
      </c>
      <c r="AX1177">
        <v>0</v>
      </c>
      <c r="AY1177" t="s">
        <v>66</v>
      </c>
      <c r="AZ1177">
        <v>0</v>
      </c>
      <c r="BA1177" t="s">
        <v>66</v>
      </c>
      <c r="BB1177">
        <v>0</v>
      </c>
      <c r="BC1177">
        <v>0</v>
      </c>
      <c r="BD1177">
        <v>220419.36</v>
      </c>
      <c r="BE1177">
        <v>43093.08</v>
      </c>
      <c r="BF1177">
        <v>0</v>
      </c>
      <c r="BG1177" t="s">
        <v>87</v>
      </c>
      <c r="BH1177" t="s">
        <v>66</v>
      </c>
      <c r="BI1177">
        <v>0</v>
      </c>
      <c r="BJ1177" t="s">
        <v>66</v>
      </c>
      <c r="BK1177" t="s">
        <v>88</v>
      </c>
      <c r="BL1177" t="s">
        <v>618</v>
      </c>
      <c r="BM1177" t="s">
        <v>159</v>
      </c>
    </row>
    <row r="1178" spans="1:65" x14ac:dyDescent="0.25">
      <c r="A1178">
        <v>1176</v>
      </c>
      <c r="B1178" t="s">
        <v>1421</v>
      </c>
      <c r="C1178" t="s">
        <v>1422</v>
      </c>
      <c r="D1178" s="1">
        <v>46217</v>
      </c>
      <c r="E1178" t="s">
        <v>1423</v>
      </c>
      <c r="F1178" t="s">
        <v>1424</v>
      </c>
      <c r="G1178" t="s">
        <v>69</v>
      </c>
      <c r="H1178" t="s">
        <v>70</v>
      </c>
      <c r="I1178" t="s">
        <v>71</v>
      </c>
      <c r="J1178" t="s">
        <v>72</v>
      </c>
      <c r="K1178" t="s">
        <v>73</v>
      </c>
      <c r="L1178" t="s">
        <v>74</v>
      </c>
      <c r="M1178" t="s">
        <v>867</v>
      </c>
      <c r="N1178" t="s">
        <v>696</v>
      </c>
      <c r="O1178" t="s">
        <v>868</v>
      </c>
      <c r="P1178" t="s">
        <v>869</v>
      </c>
      <c r="Q1178" t="s">
        <v>1425</v>
      </c>
      <c r="R1178" s="1">
        <v>46220</v>
      </c>
      <c r="S1178" t="s">
        <v>871</v>
      </c>
      <c r="T1178" t="s">
        <v>872</v>
      </c>
      <c r="U1178" t="s">
        <v>873</v>
      </c>
      <c r="V1178" t="s">
        <v>66</v>
      </c>
      <c r="W1178" t="s">
        <v>66</v>
      </c>
      <c r="X1178">
        <v>1580712</v>
      </c>
      <c r="Y1178">
        <v>173878.32</v>
      </c>
      <c r="Z1178">
        <v>1580712</v>
      </c>
      <c r="AA1178">
        <v>173878.32</v>
      </c>
      <c r="AB1178">
        <v>1754590.32</v>
      </c>
      <c r="AC1178">
        <v>7</v>
      </c>
      <c r="AD1178" t="s">
        <v>134</v>
      </c>
      <c r="AE1178">
        <v>84</v>
      </c>
      <c r="AF1178" t="s">
        <v>284</v>
      </c>
      <c r="AG1178">
        <f>IFERROR(VLOOKUP(AF1178,[1]STOK!J:O,6,0),"")</f>
        <v>12</v>
      </c>
      <c r="AH1178" s="2">
        <f t="shared" si="36"/>
        <v>7</v>
      </c>
      <c r="AI1178" t="s">
        <v>284</v>
      </c>
      <c r="AJ1178" t="s">
        <v>285</v>
      </c>
      <c r="AK1178" t="s">
        <v>286</v>
      </c>
      <c r="AL1178" t="s">
        <v>86</v>
      </c>
      <c r="AM1178">
        <v>258408</v>
      </c>
      <c r="AN1178">
        <f t="shared" si="37"/>
        <v>250655.76</v>
      </c>
      <c r="AO1178" t="s">
        <v>66</v>
      </c>
      <c r="AP1178">
        <v>3</v>
      </c>
      <c r="AQ1178" t="s">
        <v>66</v>
      </c>
      <c r="AR1178">
        <v>0</v>
      </c>
      <c r="AS1178" t="s">
        <v>66</v>
      </c>
      <c r="AT1178">
        <v>0</v>
      </c>
      <c r="AU1178" t="s">
        <v>66</v>
      </c>
      <c r="AV1178">
        <v>0</v>
      </c>
      <c r="AW1178" t="s">
        <v>66</v>
      </c>
      <c r="AX1178">
        <v>0</v>
      </c>
      <c r="AY1178" t="s">
        <v>66</v>
      </c>
      <c r="AZ1178">
        <v>0</v>
      </c>
      <c r="BA1178" t="s">
        <v>66</v>
      </c>
      <c r="BB1178">
        <v>0</v>
      </c>
      <c r="BC1178">
        <v>0</v>
      </c>
      <c r="BD1178">
        <v>1754590.32</v>
      </c>
      <c r="BE1178">
        <v>17160.12</v>
      </c>
      <c r="BF1178">
        <v>0</v>
      </c>
      <c r="BG1178" t="s">
        <v>87</v>
      </c>
      <c r="BH1178" t="s">
        <v>66</v>
      </c>
      <c r="BI1178">
        <v>0</v>
      </c>
      <c r="BJ1178" t="s">
        <v>66</v>
      </c>
      <c r="BK1178" t="s">
        <v>88</v>
      </c>
      <c r="BL1178" t="s">
        <v>877</v>
      </c>
      <c r="BM1178" t="s">
        <v>159</v>
      </c>
    </row>
    <row r="1179" spans="1:65" x14ac:dyDescent="0.25">
      <c r="A1179">
        <v>1177</v>
      </c>
      <c r="B1179" t="s">
        <v>1426</v>
      </c>
      <c r="C1179" t="s">
        <v>66</v>
      </c>
      <c r="D1179" s="1">
        <v>46217</v>
      </c>
      <c r="E1179" t="s">
        <v>1427</v>
      </c>
      <c r="F1179" t="s">
        <v>68</v>
      </c>
      <c r="G1179" t="s">
        <v>69</v>
      </c>
      <c r="H1179" t="s">
        <v>70</v>
      </c>
      <c r="I1179" t="s">
        <v>71</v>
      </c>
      <c r="J1179" t="s">
        <v>72</v>
      </c>
      <c r="K1179" t="s">
        <v>73</v>
      </c>
      <c r="L1179" t="s">
        <v>74</v>
      </c>
      <c r="M1179" t="s">
        <v>924</v>
      </c>
      <c r="N1179" t="s">
        <v>111</v>
      </c>
      <c r="O1179" t="s">
        <v>925</v>
      </c>
      <c r="P1179" t="s">
        <v>926</v>
      </c>
      <c r="Q1179" t="s">
        <v>1428</v>
      </c>
      <c r="R1179" s="1">
        <v>46218</v>
      </c>
      <c r="S1179" t="s">
        <v>544</v>
      </c>
      <c r="T1179" t="s">
        <v>545</v>
      </c>
      <c r="U1179" t="s">
        <v>546</v>
      </c>
      <c r="V1179" t="s">
        <v>66</v>
      </c>
      <c r="W1179" t="s">
        <v>66</v>
      </c>
      <c r="X1179">
        <v>1944756</v>
      </c>
      <c r="Y1179">
        <v>213923.16</v>
      </c>
      <c r="Z1179">
        <v>174636</v>
      </c>
      <c r="AA1179">
        <v>19209.96</v>
      </c>
      <c r="AB1179">
        <v>2158679.16</v>
      </c>
      <c r="AC1179">
        <v>3</v>
      </c>
      <c r="AD1179" t="s">
        <v>82</v>
      </c>
      <c r="AE1179">
        <v>3</v>
      </c>
      <c r="AF1179" t="s">
        <v>436</v>
      </c>
      <c r="AG1179">
        <f>IFERROR(VLOOKUP(AF1179,[1]STOK!J:O,6,0),"")</f>
        <v>6</v>
      </c>
      <c r="AH1179" s="2">
        <f t="shared" si="36"/>
        <v>0.5</v>
      </c>
      <c r="AI1179" t="s">
        <v>436</v>
      </c>
      <c r="AJ1179" t="s">
        <v>437</v>
      </c>
      <c r="AK1179" t="s">
        <v>438</v>
      </c>
      <c r="AL1179" t="s">
        <v>86</v>
      </c>
      <c r="AM1179">
        <v>65268</v>
      </c>
      <c r="AN1179">
        <f t="shared" si="37"/>
        <v>64615.32</v>
      </c>
      <c r="AO1179" t="s">
        <v>66</v>
      </c>
      <c r="AP1179">
        <v>1</v>
      </c>
      <c r="AQ1179" t="s">
        <v>66</v>
      </c>
      <c r="AR1179">
        <v>0</v>
      </c>
      <c r="AS1179" t="s">
        <v>66</v>
      </c>
      <c r="AT1179">
        <v>0</v>
      </c>
      <c r="AU1179" t="s">
        <v>66</v>
      </c>
      <c r="AV1179">
        <v>0</v>
      </c>
      <c r="AW1179" t="s">
        <v>66</v>
      </c>
      <c r="AX1179">
        <v>0</v>
      </c>
      <c r="AY1179" t="s">
        <v>66</v>
      </c>
      <c r="AZ1179">
        <v>0</v>
      </c>
      <c r="BA1179" t="s">
        <v>66</v>
      </c>
      <c r="BB1179">
        <v>0</v>
      </c>
      <c r="BC1179">
        <v>0</v>
      </c>
      <c r="BD1179">
        <v>193845.96</v>
      </c>
      <c r="BE1179">
        <v>46970.85</v>
      </c>
      <c r="BF1179">
        <v>0</v>
      </c>
      <c r="BG1179" t="s">
        <v>87</v>
      </c>
      <c r="BH1179" t="s">
        <v>66</v>
      </c>
      <c r="BI1179">
        <v>0</v>
      </c>
      <c r="BJ1179" t="s">
        <v>66</v>
      </c>
      <c r="BK1179" t="s">
        <v>88</v>
      </c>
      <c r="BL1179" t="s">
        <v>547</v>
      </c>
      <c r="BM1179" t="s">
        <v>159</v>
      </c>
    </row>
    <row r="1180" spans="1:65" x14ac:dyDescent="0.25">
      <c r="A1180">
        <v>1178</v>
      </c>
      <c r="B1180" t="s">
        <v>1426</v>
      </c>
      <c r="C1180" t="s">
        <v>66</v>
      </c>
      <c r="D1180" s="1">
        <v>46217</v>
      </c>
      <c r="E1180" t="s">
        <v>1427</v>
      </c>
      <c r="F1180" t="s">
        <v>68</v>
      </c>
      <c r="G1180" t="s">
        <v>69</v>
      </c>
      <c r="H1180" t="s">
        <v>70</v>
      </c>
      <c r="I1180" t="s">
        <v>71</v>
      </c>
      <c r="J1180" t="s">
        <v>72</v>
      </c>
      <c r="K1180" t="s">
        <v>73</v>
      </c>
      <c r="L1180" t="s">
        <v>74</v>
      </c>
      <c r="M1180" t="s">
        <v>924</v>
      </c>
      <c r="N1180" t="s">
        <v>111</v>
      </c>
      <c r="O1180" t="s">
        <v>925</v>
      </c>
      <c r="P1180" t="s">
        <v>926</v>
      </c>
      <c r="Q1180" t="s">
        <v>1428</v>
      </c>
      <c r="R1180" s="1">
        <v>46218</v>
      </c>
      <c r="S1180" t="s">
        <v>544</v>
      </c>
      <c r="T1180" t="s">
        <v>545</v>
      </c>
      <c r="U1180" t="s">
        <v>546</v>
      </c>
      <c r="V1180" t="s">
        <v>66</v>
      </c>
      <c r="W1180" t="s">
        <v>66</v>
      </c>
      <c r="X1180">
        <v>1944756</v>
      </c>
      <c r="Y1180">
        <v>213923.16</v>
      </c>
      <c r="Z1180">
        <v>21978</v>
      </c>
      <c r="AA1180">
        <v>2417.58</v>
      </c>
      <c r="AB1180">
        <v>2158679.16</v>
      </c>
      <c r="AC1180">
        <v>3</v>
      </c>
      <c r="AD1180" t="s">
        <v>82</v>
      </c>
      <c r="AE1180">
        <v>3</v>
      </c>
      <c r="AF1180" t="s">
        <v>265</v>
      </c>
      <c r="AG1180">
        <f>IFERROR(VLOOKUP(AF1180,[1]STOK!J:O,6,0),"")</f>
        <v>24</v>
      </c>
      <c r="AH1180" s="2">
        <f t="shared" si="36"/>
        <v>0.125</v>
      </c>
      <c r="AI1180" t="s">
        <v>265</v>
      </c>
      <c r="AJ1180" t="s">
        <v>266</v>
      </c>
      <c r="AK1180" t="s">
        <v>267</v>
      </c>
      <c r="AL1180" t="s">
        <v>86</v>
      </c>
      <c r="AM1180">
        <v>8214</v>
      </c>
      <c r="AN1180">
        <f t="shared" si="37"/>
        <v>8131.8600000000006</v>
      </c>
      <c r="AO1180" t="s">
        <v>66</v>
      </c>
      <c r="AP1180">
        <v>1</v>
      </c>
      <c r="AQ1180" t="s">
        <v>66</v>
      </c>
      <c r="AR1180">
        <v>0</v>
      </c>
      <c r="AS1180" t="s">
        <v>66</v>
      </c>
      <c r="AT1180">
        <v>0</v>
      </c>
      <c r="AU1180" t="s">
        <v>66</v>
      </c>
      <c r="AV1180">
        <v>0</v>
      </c>
      <c r="AW1180" t="s">
        <v>66</v>
      </c>
      <c r="AX1180">
        <v>0</v>
      </c>
      <c r="AY1180" t="s">
        <v>66</v>
      </c>
      <c r="AZ1180">
        <v>0</v>
      </c>
      <c r="BA1180" t="s">
        <v>66</v>
      </c>
      <c r="BB1180">
        <v>0</v>
      </c>
      <c r="BC1180">
        <v>0</v>
      </c>
      <c r="BD1180">
        <v>24395.58</v>
      </c>
      <c r="BE1180">
        <v>6447.38</v>
      </c>
      <c r="BF1180">
        <v>0</v>
      </c>
      <c r="BG1180" t="s">
        <v>87</v>
      </c>
      <c r="BH1180" t="s">
        <v>66</v>
      </c>
      <c r="BI1180">
        <v>0</v>
      </c>
      <c r="BJ1180" t="s">
        <v>66</v>
      </c>
      <c r="BK1180" t="s">
        <v>88</v>
      </c>
      <c r="BL1180" t="s">
        <v>547</v>
      </c>
      <c r="BM1180" t="s">
        <v>159</v>
      </c>
    </row>
    <row r="1181" spans="1:65" x14ac:dyDescent="0.25">
      <c r="A1181">
        <v>1179</v>
      </c>
      <c r="B1181" t="s">
        <v>1426</v>
      </c>
      <c r="C1181" t="s">
        <v>66</v>
      </c>
      <c r="D1181" s="1">
        <v>46217</v>
      </c>
      <c r="E1181" t="s">
        <v>1427</v>
      </c>
      <c r="F1181" t="s">
        <v>68</v>
      </c>
      <c r="G1181" t="s">
        <v>69</v>
      </c>
      <c r="H1181" t="s">
        <v>70</v>
      </c>
      <c r="I1181" t="s">
        <v>71</v>
      </c>
      <c r="J1181" t="s">
        <v>72</v>
      </c>
      <c r="K1181" t="s">
        <v>73</v>
      </c>
      <c r="L1181" t="s">
        <v>74</v>
      </c>
      <c r="M1181" t="s">
        <v>924</v>
      </c>
      <c r="N1181" t="s">
        <v>111</v>
      </c>
      <c r="O1181" t="s">
        <v>925</v>
      </c>
      <c r="P1181" t="s">
        <v>926</v>
      </c>
      <c r="Q1181" t="s">
        <v>1428</v>
      </c>
      <c r="R1181" s="1">
        <v>46218</v>
      </c>
      <c r="S1181" t="s">
        <v>544</v>
      </c>
      <c r="T1181" t="s">
        <v>545</v>
      </c>
      <c r="U1181" t="s">
        <v>546</v>
      </c>
      <c r="V1181" t="s">
        <v>66</v>
      </c>
      <c r="W1181" t="s">
        <v>66</v>
      </c>
      <c r="X1181">
        <v>1944756</v>
      </c>
      <c r="Y1181">
        <v>213923.16</v>
      </c>
      <c r="Z1181">
        <v>58806</v>
      </c>
      <c r="AA1181">
        <v>6468.66</v>
      </c>
      <c r="AB1181">
        <v>2158679.16</v>
      </c>
      <c r="AC1181">
        <v>3</v>
      </c>
      <c r="AD1181" t="s">
        <v>82</v>
      </c>
      <c r="AE1181">
        <v>3</v>
      </c>
      <c r="AF1181" t="s">
        <v>1302</v>
      </c>
      <c r="AG1181">
        <f>IFERROR(VLOOKUP(AF1181,[1]STOK!J:O,6,0),"")</f>
        <v>12</v>
      </c>
      <c r="AH1181" s="2">
        <f t="shared" si="36"/>
        <v>0.25</v>
      </c>
      <c r="AI1181" t="s">
        <v>1302</v>
      </c>
      <c r="AJ1181" t="s">
        <v>1303</v>
      </c>
      <c r="AK1181" t="s">
        <v>1304</v>
      </c>
      <c r="AL1181" t="s">
        <v>86</v>
      </c>
      <c r="AM1181">
        <v>21978</v>
      </c>
      <c r="AN1181">
        <f t="shared" si="37"/>
        <v>21758.22</v>
      </c>
      <c r="AO1181" t="s">
        <v>66</v>
      </c>
      <c r="AP1181">
        <v>1</v>
      </c>
      <c r="AQ1181" t="s">
        <v>66</v>
      </c>
      <c r="AR1181">
        <v>0</v>
      </c>
      <c r="AS1181" t="s">
        <v>66</v>
      </c>
      <c r="AT1181">
        <v>0</v>
      </c>
      <c r="AU1181" t="s">
        <v>66</v>
      </c>
      <c r="AV1181">
        <v>0</v>
      </c>
      <c r="AW1181" t="s">
        <v>66</v>
      </c>
      <c r="AX1181">
        <v>0</v>
      </c>
      <c r="AY1181" t="s">
        <v>66</v>
      </c>
      <c r="AZ1181">
        <v>0</v>
      </c>
      <c r="BA1181" t="s">
        <v>66</v>
      </c>
      <c r="BB1181">
        <v>0</v>
      </c>
      <c r="BC1181">
        <v>0</v>
      </c>
      <c r="BD1181">
        <v>65274.66</v>
      </c>
      <c r="BE1181">
        <v>16930.580000000002</v>
      </c>
      <c r="BF1181">
        <v>0</v>
      </c>
      <c r="BG1181" t="s">
        <v>87</v>
      </c>
      <c r="BH1181" t="s">
        <v>66</v>
      </c>
      <c r="BI1181">
        <v>0</v>
      </c>
      <c r="BJ1181" t="s">
        <v>66</v>
      </c>
      <c r="BK1181" t="s">
        <v>88</v>
      </c>
      <c r="BL1181" t="s">
        <v>547</v>
      </c>
      <c r="BM1181" t="s">
        <v>159</v>
      </c>
    </row>
    <row r="1182" spans="1:65" x14ac:dyDescent="0.25">
      <c r="A1182">
        <v>1180</v>
      </c>
      <c r="B1182" t="s">
        <v>1426</v>
      </c>
      <c r="C1182" t="s">
        <v>66</v>
      </c>
      <c r="D1182" s="1">
        <v>46217</v>
      </c>
      <c r="E1182" t="s">
        <v>1427</v>
      </c>
      <c r="F1182" t="s">
        <v>68</v>
      </c>
      <c r="G1182" t="s">
        <v>69</v>
      </c>
      <c r="H1182" t="s">
        <v>70</v>
      </c>
      <c r="I1182" t="s">
        <v>71</v>
      </c>
      <c r="J1182" t="s">
        <v>72</v>
      </c>
      <c r="K1182" t="s">
        <v>73</v>
      </c>
      <c r="L1182" t="s">
        <v>74</v>
      </c>
      <c r="M1182" t="s">
        <v>924</v>
      </c>
      <c r="N1182" t="s">
        <v>111</v>
      </c>
      <c r="O1182" t="s">
        <v>925</v>
      </c>
      <c r="P1182" t="s">
        <v>926</v>
      </c>
      <c r="Q1182" t="s">
        <v>1428</v>
      </c>
      <c r="R1182" s="1">
        <v>46218</v>
      </c>
      <c r="S1182" t="s">
        <v>544</v>
      </c>
      <c r="T1182" t="s">
        <v>545</v>
      </c>
      <c r="U1182" t="s">
        <v>546</v>
      </c>
      <c r="V1182" t="s">
        <v>66</v>
      </c>
      <c r="W1182" t="s">
        <v>66</v>
      </c>
      <c r="X1182">
        <v>1944756</v>
      </c>
      <c r="Y1182">
        <v>213923.16</v>
      </c>
      <c r="Z1182">
        <v>58806</v>
      </c>
      <c r="AA1182">
        <v>6468.66</v>
      </c>
      <c r="AB1182">
        <v>2158679.16</v>
      </c>
      <c r="AC1182">
        <v>3</v>
      </c>
      <c r="AD1182" t="s">
        <v>82</v>
      </c>
      <c r="AE1182">
        <v>3</v>
      </c>
      <c r="AF1182" t="s">
        <v>370</v>
      </c>
      <c r="AG1182">
        <f>IFERROR(VLOOKUP(AF1182,[1]STOK!J:O,6,0),"")</f>
        <v>12</v>
      </c>
      <c r="AH1182" s="2">
        <f t="shared" si="36"/>
        <v>0.25</v>
      </c>
      <c r="AI1182" t="s">
        <v>370</v>
      </c>
      <c r="AJ1182" t="s">
        <v>371</v>
      </c>
      <c r="AK1182" t="s">
        <v>372</v>
      </c>
      <c r="AL1182" t="s">
        <v>86</v>
      </c>
      <c r="AM1182">
        <v>21978</v>
      </c>
      <c r="AN1182">
        <f t="shared" si="37"/>
        <v>21758.22</v>
      </c>
      <c r="AO1182" t="s">
        <v>66</v>
      </c>
      <c r="AP1182">
        <v>1</v>
      </c>
      <c r="AQ1182" t="s">
        <v>66</v>
      </c>
      <c r="AR1182">
        <v>0</v>
      </c>
      <c r="AS1182" t="s">
        <v>66</v>
      </c>
      <c r="AT1182">
        <v>0</v>
      </c>
      <c r="AU1182" t="s">
        <v>66</v>
      </c>
      <c r="AV1182">
        <v>0</v>
      </c>
      <c r="AW1182" t="s">
        <v>66</v>
      </c>
      <c r="AX1182">
        <v>0</v>
      </c>
      <c r="AY1182" t="s">
        <v>66</v>
      </c>
      <c r="AZ1182">
        <v>0</v>
      </c>
      <c r="BA1182" t="s">
        <v>66</v>
      </c>
      <c r="BB1182">
        <v>0</v>
      </c>
      <c r="BC1182">
        <v>0</v>
      </c>
      <c r="BD1182">
        <v>65274.66</v>
      </c>
      <c r="BE1182">
        <v>17687.46</v>
      </c>
      <c r="BF1182">
        <v>0</v>
      </c>
      <c r="BG1182" t="s">
        <v>87</v>
      </c>
      <c r="BH1182" t="s">
        <v>66</v>
      </c>
      <c r="BI1182">
        <v>0</v>
      </c>
      <c r="BJ1182" t="s">
        <v>66</v>
      </c>
      <c r="BK1182" t="s">
        <v>88</v>
      </c>
      <c r="BL1182" t="s">
        <v>547</v>
      </c>
      <c r="BM1182" t="s">
        <v>159</v>
      </c>
    </row>
    <row r="1183" spans="1:65" x14ac:dyDescent="0.25">
      <c r="A1183">
        <v>1181</v>
      </c>
      <c r="B1183" t="s">
        <v>1426</v>
      </c>
      <c r="C1183" t="s">
        <v>66</v>
      </c>
      <c r="D1183" s="1">
        <v>46217</v>
      </c>
      <c r="E1183" t="s">
        <v>1427</v>
      </c>
      <c r="F1183" t="s">
        <v>68</v>
      </c>
      <c r="G1183" t="s">
        <v>69</v>
      </c>
      <c r="H1183" t="s">
        <v>70</v>
      </c>
      <c r="I1183" t="s">
        <v>71</v>
      </c>
      <c r="J1183" t="s">
        <v>72</v>
      </c>
      <c r="K1183" t="s">
        <v>73</v>
      </c>
      <c r="L1183" t="s">
        <v>74</v>
      </c>
      <c r="M1183" t="s">
        <v>924</v>
      </c>
      <c r="N1183" t="s">
        <v>111</v>
      </c>
      <c r="O1183" t="s">
        <v>925</v>
      </c>
      <c r="P1183" t="s">
        <v>926</v>
      </c>
      <c r="Q1183" t="s">
        <v>1428</v>
      </c>
      <c r="R1183" s="1">
        <v>46218</v>
      </c>
      <c r="S1183" t="s">
        <v>544</v>
      </c>
      <c r="T1183" t="s">
        <v>545</v>
      </c>
      <c r="U1183" t="s">
        <v>546</v>
      </c>
      <c r="V1183" t="s">
        <v>66</v>
      </c>
      <c r="W1183" t="s">
        <v>66</v>
      </c>
      <c r="X1183">
        <v>1944756</v>
      </c>
      <c r="Y1183">
        <v>213923.16</v>
      </c>
      <c r="Z1183">
        <v>43956</v>
      </c>
      <c r="AA1183">
        <v>4835.16</v>
      </c>
      <c r="AB1183">
        <v>2158679.16</v>
      </c>
      <c r="AC1183">
        <v>3</v>
      </c>
      <c r="AD1183" t="s">
        <v>82</v>
      </c>
      <c r="AE1183">
        <v>3</v>
      </c>
      <c r="AF1183" t="s">
        <v>486</v>
      </c>
      <c r="AG1183">
        <f>IFERROR(VLOOKUP(AF1183,[1]STOK!J:O,6,0),"")</f>
        <v>12</v>
      </c>
      <c r="AH1183" s="2">
        <f t="shared" si="36"/>
        <v>0.25</v>
      </c>
      <c r="AI1183" t="s">
        <v>486</v>
      </c>
      <c r="AJ1183" t="s">
        <v>487</v>
      </c>
      <c r="AK1183" t="s">
        <v>488</v>
      </c>
      <c r="AL1183" t="s">
        <v>86</v>
      </c>
      <c r="AM1183">
        <v>16428</v>
      </c>
      <c r="AN1183">
        <f t="shared" si="37"/>
        <v>16263.720000000001</v>
      </c>
      <c r="AO1183" t="s">
        <v>66</v>
      </c>
      <c r="AP1183">
        <v>1</v>
      </c>
      <c r="AQ1183" t="s">
        <v>66</v>
      </c>
      <c r="AR1183">
        <v>0</v>
      </c>
      <c r="AS1183" t="s">
        <v>66</v>
      </c>
      <c r="AT1183">
        <v>0</v>
      </c>
      <c r="AU1183" t="s">
        <v>66</v>
      </c>
      <c r="AV1183">
        <v>0</v>
      </c>
      <c r="AW1183" t="s">
        <v>66</v>
      </c>
      <c r="AX1183">
        <v>0</v>
      </c>
      <c r="AY1183" t="s">
        <v>66</v>
      </c>
      <c r="AZ1183">
        <v>0</v>
      </c>
      <c r="BA1183" t="s">
        <v>66</v>
      </c>
      <c r="BB1183">
        <v>0</v>
      </c>
      <c r="BC1183">
        <v>0</v>
      </c>
      <c r="BD1183">
        <v>48791.16</v>
      </c>
      <c r="BE1183">
        <v>12083.81</v>
      </c>
      <c r="BF1183">
        <v>0</v>
      </c>
      <c r="BG1183" t="s">
        <v>87</v>
      </c>
      <c r="BH1183" t="s">
        <v>66</v>
      </c>
      <c r="BI1183">
        <v>0</v>
      </c>
      <c r="BJ1183" t="s">
        <v>66</v>
      </c>
      <c r="BK1183" t="s">
        <v>88</v>
      </c>
      <c r="BL1183" t="s">
        <v>547</v>
      </c>
      <c r="BM1183" t="s">
        <v>159</v>
      </c>
    </row>
    <row r="1184" spans="1:65" x14ac:dyDescent="0.25">
      <c r="A1184">
        <v>1182</v>
      </c>
      <c r="B1184" t="s">
        <v>1426</v>
      </c>
      <c r="C1184" t="s">
        <v>66</v>
      </c>
      <c r="D1184" s="1">
        <v>46217</v>
      </c>
      <c r="E1184" t="s">
        <v>1427</v>
      </c>
      <c r="F1184" t="s">
        <v>68</v>
      </c>
      <c r="G1184" t="s">
        <v>69</v>
      </c>
      <c r="H1184" t="s">
        <v>70</v>
      </c>
      <c r="I1184" t="s">
        <v>71</v>
      </c>
      <c r="J1184" t="s">
        <v>72</v>
      </c>
      <c r="K1184" t="s">
        <v>73</v>
      </c>
      <c r="L1184" t="s">
        <v>74</v>
      </c>
      <c r="M1184" t="s">
        <v>924</v>
      </c>
      <c r="N1184" t="s">
        <v>111</v>
      </c>
      <c r="O1184" t="s">
        <v>925</v>
      </c>
      <c r="P1184" t="s">
        <v>926</v>
      </c>
      <c r="Q1184" t="s">
        <v>1428</v>
      </c>
      <c r="R1184" s="1">
        <v>46218</v>
      </c>
      <c r="S1184" t="s">
        <v>544</v>
      </c>
      <c r="T1184" t="s">
        <v>545</v>
      </c>
      <c r="U1184" t="s">
        <v>546</v>
      </c>
      <c r="V1184" t="s">
        <v>66</v>
      </c>
      <c r="W1184" t="s">
        <v>66</v>
      </c>
      <c r="X1184">
        <v>1944756</v>
      </c>
      <c r="Y1184">
        <v>213923.16</v>
      </c>
      <c r="Z1184">
        <v>11880</v>
      </c>
      <c r="AA1184">
        <v>1306.8</v>
      </c>
      <c r="AB1184">
        <v>2158679.16</v>
      </c>
      <c r="AC1184">
        <v>24</v>
      </c>
      <c r="AD1184" t="s">
        <v>82</v>
      </c>
      <c r="AE1184">
        <v>24</v>
      </c>
      <c r="AF1184" t="s">
        <v>492</v>
      </c>
      <c r="AG1184">
        <f>IFERROR(VLOOKUP(AF1184,[1]STOK!J:O,6,0),"")</f>
        <v>432</v>
      </c>
      <c r="AH1184" s="2">
        <f t="shared" si="36"/>
        <v>5.5555555555555552E-2</v>
      </c>
      <c r="AI1184" t="s">
        <v>492</v>
      </c>
      <c r="AJ1184" t="s">
        <v>493</v>
      </c>
      <c r="AK1184" t="s">
        <v>494</v>
      </c>
      <c r="AL1184" t="s">
        <v>86</v>
      </c>
      <c r="AM1184">
        <v>555</v>
      </c>
      <c r="AN1184">
        <f t="shared" si="37"/>
        <v>549.44999999999993</v>
      </c>
      <c r="AO1184" t="s">
        <v>66</v>
      </c>
      <c r="AP1184">
        <v>1</v>
      </c>
      <c r="AQ1184" t="s">
        <v>66</v>
      </c>
      <c r="AR1184">
        <v>0</v>
      </c>
      <c r="AS1184" t="s">
        <v>66</v>
      </c>
      <c r="AT1184">
        <v>0</v>
      </c>
      <c r="AU1184" t="s">
        <v>66</v>
      </c>
      <c r="AV1184">
        <v>0</v>
      </c>
      <c r="AW1184" t="s">
        <v>66</v>
      </c>
      <c r="AX1184">
        <v>0</v>
      </c>
      <c r="AY1184" t="s">
        <v>66</v>
      </c>
      <c r="AZ1184">
        <v>0</v>
      </c>
      <c r="BA1184" t="s">
        <v>66</v>
      </c>
      <c r="BB1184">
        <v>0</v>
      </c>
      <c r="BC1184">
        <v>0</v>
      </c>
      <c r="BD1184">
        <v>13186.8</v>
      </c>
      <c r="BE1184">
        <v>407.45</v>
      </c>
      <c r="BF1184">
        <v>0</v>
      </c>
      <c r="BG1184" t="s">
        <v>87</v>
      </c>
      <c r="BH1184" t="s">
        <v>66</v>
      </c>
      <c r="BI1184">
        <v>0</v>
      </c>
      <c r="BJ1184" t="s">
        <v>66</v>
      </c>
      <c r="BK1184" t="s">
        <v>88</v>
      </c>
      <c r="BL1184" t="s">
        <v>547</v>
      </c>
      <c r="BM1184" t="s">
        <v>159</v>
      </c>
    </row>
    <row r="1185" spans="1:65" x14ac:dyDescent="0.25">
      <c r="A1185">
        <v>1183</v>
      </c>
      <c r="B1185" t="s">
        <v>1426</v>
      </c>
      <c r="C1185" t="s">
        <v>66</v>
      </c>
      <c r="D1185" s="1">
        <v>46217</v>
      </c>
      <c r="E1185" t="s">
        <v>1427</v>
      </c>
      <c r="F1185" t="s">
        <v>68</v>
      </c>
      <c r="G1185" t="s">
        <v>69</v>
      </c>
      <c r="H1185" t="s">
        <v>70</v>
      </c>
      <c r="I1185" t="s">
        <v>71</v>
      </c>
      <c r="J1185" t="s">
        <v>72</v>
      </c>
      <c r="K1185" t="s">
        <v>73</v>
      </c>
      <c r="L1185" t="s">
        <v>74</v>
      </c>
      <c r="M1185" t="s">
        <v>924</v>
      </c>
      <c r="N1185" t="s">
        <v>111</v>
      </c>
      <c r="O1185" t="s">
        <v>925</v>
      </c>
      <c r="P1185" t="s">
        <v>926</v>
      </c>
      <c r="Q1185" t="s">
        <v>1428</v>
      </c>
      <c r="R1185" s="1">
        <v>46218</v>
      </c>
      <c r="S1185" t="s">
        <v>544</v>
      </c>
      <c r="T1185" t="s">
        <v>545</v>
      </c>
      <c r="U1185" t="s">
        <v>546</v>
      </c>
      <c r="V1185" t="s">
        <v>66</v>
      </c>
      <c r="W1185" t="s">
        <v>66</v>
      </c>
      <c r="X1185">
        <v>1944756</v>
      </c>
      <c r="Y1185">
        <v>213923.16</v>
      </c>
      <c r="Z1185">
        <v>23463</v>
      </c>
      <c r="AA1185">
        <v>2580.9299999999998</v>
      </c>
      <c r="AB1185">
        <v>2158679.16</v>
      </c>
      <c r="AC1185">
        <v>3</v>
      </c>
      <c r="AD1185" t="s">
        <v>82</v>
      </c>
      <c r="AE1185">
        <v>3</v>
      </c>
      <c r="AF1185" t="s">
        <v>248</v>
      </c>
      <c r="AG1185">
        <f>IFERROR(VLOOKUP(AF1185,[1]STOK!J:O,6,0),"")</f>
        <v>24</v>
      </c>
      <c r="AH1185" s="2">
        <f t="shared" si="36"/>
        <v>0.125</v>
      </c>
      <c r="AI1185" t="s">
        <v>248</v>
      </c>
      <c r="AJ1185" t="s">
        <v>249</v>
      </c>
      <c r="AK1185" t="s">
        <v>250</v>
      </c>
      <c r="AL1185" t="s">
        <v>86</v>
      </c>
      <c r="AM1185">
        <v>8769</v>
      </c>
      <c r="AN1185">
        <f t="shared" si="37"/>
        <v>8681.31</v>
      </c>
      <c r="AO1185" t="s">
        <v>66</v>
      </c>
      <c r="AP1185">
        <v>1</v>
      </c>
      <c r="AQ1185" t="s">
        <v>66</v>
      </c>
      <c r="AR1185">
        <v>0</v>
      </c>
      <c r="AS1185" t="s">
        <v>66</v>
      </c>
      <c r="AT1185">
        <v>0</v>
      </c>
      <c r="AU1185" t="s">
        <v>66</v>
      </c>
      <c r="AV1185">
        <v>0</v>
      </c>
      <c r="AW1185" t="s">
        <v>66</v>
      </c>
      <c r="AX1185">
        <v>0</v>
      </c>
      <c r="AY1185" t="s">
        <v>66</v>
      </c>
      <c r="AZ1185">
        <v>0</v>
      </c>
      <c r="BA1185" t="s">
        <v>66</v>
      </c>
      <c r="BB1185">
        <v>0</v>
      </c>
      <c r="BC1185">
        <v>0</v>
      </c>
      <c r="BD1185">
        <v>26043.93</v>
      </c>
      <c r="BE1185">
        <v>6516.01</v>
      </c>
      <c r="BF1185">
        <v>0</v>
      </c>
      <c r="BG1185" t="s">
        <v>87</v>
      </c>
      <c r="BH1185" t="s">
        <v>66</v>
      </c>
      <c r="BI1185">
        <v>0</v>
      </c>
      <c r="BJ1185" t="s">
        <v>66</v>
      </c>
      <c r="BK1185" t="s">
        <v>88</v>
      </c>
      <c r="BL1185" t="s">
        <v>547</v>
      </c>
      <c r="BM1185" t="s">
        <v>159</v>
      </c>
    </row>
    <row r="1186" spans="1:65" x14ac:dyDescent="0.25">
      <c r="A1186">
        <v>1184</v>
      </c>
      <c r="B1186" t="s">
        <v>1426</v>
      </c>
      <c r="C1186" t="s">
        <v>66</v>
      </c>
      <c r="D1186" s="1">
        <v>46217</v>
      </c>
      <c r="E1186" t="s">
        <v>1427</v>
      </c>
      <c r="F1186" t="s">
        <v>68</v>
      </c>
      <c r="G1186" t="s">
        <v>69</v>
      </c>
      <c r="H1186" t="s">
        <v>70</v>
      </c>
      <c r="I1186" t="s">
        <v>71</v>
      </c>
      <c r="J1186" t="s">
        <v>72</v>
      </c>
      <c r="K1186" t="s">
        <v>73</v>
      </c>
      <c r="L1186" t="s">
        <v>74</v>
      </c>
      <c r="M1186" t="s">
        <v>924</v>
      </c>
      <c r="N1186" t="s">
        <v>111</v>
      </c>
      <c r="O1186" t="s">
        <v>925</v>
      </c>
      <c r="P1186" t="s">
        <v>926</v>
      </c>
      <c r="Q1186" t="s">
        <v>1428</v>
      </c>
      <c r="R1186" s="1">
        <v>46218</v>
      </c>
      <c r="S1186" t="s">
        <v>544</v>
      </c>
      <c r="T1186" t="s">
        <v>545</v>
      </c>
      <c r="U1186" t="s">
        <v>546</v>
      </c>
      <c r="V1186" t="s">
        <v>66</v>
      </c>
      <c r="W1186" t="s">
        <v>66</v>
      </c>
      <c r="X1186">
        <v>1944756</v>
      </c>
      <c r="Y1186">
        <v>213923.16</v>
      </c>
      <c r="Z1186">
        <v>46926</v>
      </c>
      <c r="AA1186">
        <v>5161.8599999999997</v>
      </c>
      <c r="AB1186">
        <v>2158679.16</v>
      </c>
      <c r="AC1186">
        <v>6</v>
      </c>
      <c r="AD1186" t="s">
        <v>82</v>
      </c>
      <c r="AE1186">
        <v>6</v>
      </c>
      <c r="AF1186" t="s">
        <v>344</v>
      </c>
      <c r="AG1186">
        <f>IFERROR(VLOOKUP(AF1186,[1]STOK!J:O,6,0),"")</f>
        <v>24</v>
      </c>
      <c r="AH1186" s="2">
        <f t="shared" si="36"/>
        <v>0.25</v>
      </c>
      <c r="AI1186" t="s">
        <v>344</v>
      </c>
      <c r="AJ1186" t="s">
        <v>345</v>
      </c>
      <c r="AK1186" t="s">
        <v>346</v>
      </c>
      <c r="AL1186" t="s">
        <v>86</v>
      </c>
      <c r="AM1186">
        <v>8769</v>
      </c>
      <c r="AN1186">
        <f t="shared" si="37"/>
        <v>8681.31</v>
      </c>
      <c r="AO1186" t="s">
        <v>66</v>
      </c>
      <c r="AP1186">
        <v>1</v>
      </c>
      <c r="AQ1186" t="s">
        <v>66</v>
      </c>
      <c r="AR1186">
        <v>0</v>
      </c>
      <c r="AS1186" t="s">
        <v>66</v>
      </c>
      <c r="AT1186">
        <v>0</v>
      </c>
      <c r="AU1186" t="s">
        <v>66</v>
      </c>
      <c r="AV1186">
        <v>0</v>
      </c>
      <c r="AW1186" t="s">
        <v>66</v>
      </c>
      <c r="AX1186">
        <v>0</v>
      </c>
      <c r="AY1186" t="s">
        <v>66</v>
      </c>
      <c r="AZ1186">
        <v>0</v>
      </c>
      <c r="BA1186" t="s">
        <v>66</v>
      </c>
      <c r="BB1186">
        <v>0</v>
      </c>
      <c r="BC1186">
        <v>0</v>
      </c>
      <c r="BD1186">
        <v>52087.86</v>
      </c>
      <c r="BE1186">
        <v>6916.14</v>
      </c>
      <c r="BF1186">
        <v>0</v>
      </c>
      <c r="BG1186" t="s">
        <v>87</v>
      </c>
      <c r="BH1186" t="s">
        <v>66</v>
      </c>
      <c r="BI1186">
        <v>0</v>
      </c>
      <c r="BJ1186" t="s">
        <v>66</v>
      </c>
      <c r="BK1186" t="s">
        <v>88</v>
      </c>
      <c r="BL1186" t="s">
        <v>547</v>
      </c>
      <c r="BM1186" t="s">
        <v>159</v>
      </c>
    </row>
    <row r="1187" spans="1:65" x14ac:dyDescent="0.25">
      <c r="A1187">
        <v>1185</v>
      </c>
      <c r="B1187" t="s">
        <v>1426</v>
      </c>
      <c r="C1187" t="s">
        <v>66</v>
      </c>
      <c r="D1187" s="1">
        <v>46217</v>
      </c>
      <c r="E1187" t="s">
        <v>1427</v>
      </c>
      <c r="F1187" t="s">
        <v>68</v>
      </c>
      <c r="G1187" t="s">
        <v>69</v>
      </c>
      <c r="H1187" t="s">
        <v>70</v>
      </c>
      <c r="I1187" t="s">
        <v>71</v>
      </c>
      <c r="J1187" t="s">
        <v>72</v>
      </c>
      <c r="K1187" t="s">
        <v>73</v>
      </c>
      <c r="L1187" t="s">
        <v>74</v>
      </c>
      <c r="M1187" t="s">
        <v>924</v>
      </c>
      <c r="N1187" t="s">
        <v>111</v>
      </c>
      <c r="O1187" t="s">
        <v>925</v>
      </c>
      <c r="P1187" t="s">
        <v>926</v>
      </c>
      <c r="Q1187" t="s">
        <v>1428</v>
      </c>
      <c r="R1187" s="1">
        <v>46218</v>
      </c>
      <c r="S1187" t="s">
        <v>544</v>
      </c>
      <c r="T1187" t="s">
        <v>545</v>
      </c>
      <c r="U1187" t="s">
        <v>546</v>
      </c>
      <c r="V1187" t="s">
        <v>66</v>
      </c>
      <c r="W1187" t="s">
        <v>66</v>
      </c>
      <c r="X1187">
        <v>1944756</v>
      </c>
      <c r="Y1187">
        <v>213923.16</v>
      </c>
      <c r="Z1187">
        <v>18117</v>
      </c>
      <c r="AA1187">
        <v>1992.87</v>
      </c>
      <c r="AB1187">
        <v>2158679.16</v>
      </c>
      <c r="AC1187">
        <v>3</v>
      </c>
      <c r="AD1187" t="s">
        <v>82</v>
      </c>
      <c r="AE1187">
        <v>3</v>
      </c>
      <c r="AF1187" t="s">
        <v>125</v>
      </c>
      <c r="AG1187">
        <f>IFERROR(VLOOKUP(AF1187,[1]STOK!J:O,6,0),"")</f>
        <v>48</v>
      </c>
      <c r="AH1187" s="2">
        <f t="shared" si="36"/>
        <v>6.25E-2</v>
      </c>
      <c r="AI1187" t="s">
        <v>125</v>
      </c>
      <c r="AJ1187" t="s">
        <v>126</v>
      </c>
      <c r="AK1187" t="s">
        <v>127</v>
      </c>
      <c r="AL1187" t="s">
        <v>86</v>
      </c>
      <c r="AM1187">
        <v>6771</v>
      </c>
      <c r="AN1187">
        <f t="shared" si="37"/>
        <v>6703.29</v>
      </c>
      <c r="AO1187" t="s">
        <v>66</v>
      </c>
      <c r="AP1187">
        <v>1</v>
      </c>
      <c r="AQ1187" t="s">
        <v>66</v>
      </c>
      <c r="AR1187">
        <v>0</v>
      </c>
      <c r="AS1187" t="s">
        <v>66</v>
      </c>
      <c r="AT1187">
        <v>0</v>
      </c>
      <c r="AU1187" t="s">
        <v>66</v>
      </c>
      <c r="AV1187">
        <v>0</v>
      </c>
      <c r="AW1187" t="s">
        <v>66</v>
      </c>
      <c r="AX1187">
        <v>0</v>
      </c>
      <c r="AY1187" t="s">
        <v>66</v>
      </c>
      <c r="AZ1187">
        <v>0</v>
      </c>
      <c r="BA1187" t="s">
        <v>66</v>
      </c>
      <c r="BB1187">
        <v>0</v>
      </c>
      <c r="BC1187">
        <v>0</v>
      </c>
      <c r="BD1187">
        <v>20109.87</v>
      </c>
      <c r="BE1187">
        <v>5181.7700000000004</v>
      </c>
      <c r="BF1187">
        <v>0</v>
      </c>
      <c r="BG1187" t="s">
        <v>87</v>
      </c>
      <c r="BH1187" t="s">
        <v>66</v>
      </c>
      <c r="BI1187">
        <v>0</v>
      </c>
      <c r="BJ1187" t="s">
        <v>66</v>
      </c>
      <c r="BK1187" t="s">
        <v>88</v>
      </c>
      <c r="BL1187" t="s">
        <v>547</v>
      </c>
      <c r="BM1187" t="s">
        <v>159</v>
      </c>
    </row>
    <row r="1188" spans="1:65" x14ac:dyDescent="0.25">
      <c r="A1188">
        <v>1186</v>
      </c>
      <c r="B1188" t="s">
        <v>1426</v>
      </c>
      <c r="C1188" t="s">
        <v>66</v>
      </c>
      <c r="D1188" s="1">
        <v>46217</v>
      </c>
      <c r="E1188" t="s">
        <v>1427</v>
      </c>
      <c r="F1188" t="s">
        <v>68</v>
      </c>
      <c r="G1188" t="s">
        <v>69</v>
      </c>
      <c r="H1188" t="s">
        <v>70</v>
      </c>
      <c r="I1188" t="s">
        <v>71</v>
      </c>
      <c r="J1188" t="s">
        <v>72</v>
      </c>
      <c r="K1188" t="s">
        <v>73</v>
      </c>
      <c r="L1188" t="s">
        <v>74</v>
      </c>
      <c r="M1188" t="s">
        <v>924</v>
      </c>
      <c r="N1188" t="s">
        <v>111</v>
      </c>
      <c r="O1188" t="s">
        <v>925</v>
      </c>
      <c r="P1188" t="s">
        <v>926</v>
      </c>
      <c r="Q1188" t="s">
        <v>1428</v>
      </c>
      <c r="R1188" s="1">
        <v>46218</v>
      </c>
      <c r="S1188" t="s">
        <v>544</v>
      </c>
      <c r="T1188" t="s">
        <v>545</v>
      </c>
      <c r="U1188" t="s">
        <v>546</v>
      </c>
      <c r="V1188" t="s">
        <v>66</v>
      </c>
      <c r="W1188" t="s">
        <v>66</v>
      </c>
      <c r="X1188">
        <v>1944756</v>
      </c>
      <c r="Y1188">
        <v>213923.16</v>
      </c>
      <c r="Z1188">
        <v>33858</v>
      </c>
      <c r="AA1188">
        <v>3724.38</v>
      </c>
      <c r="AB1188">
        <v>2158679.16</v>
      </c>
      <c r="AC1188">
        <v>6</v>
      </c>
      <c r="AD1188" t="s">
        <v>82</v>
      </c>
      <c r="AE1188">
        <v>6</v>
      </c>
      <c r="AF1188" t="s">
        <v>202</v>
      </c>
      <c r="AG1188">
        <f>IFERROR(VLOOKUP(AF1188,[1]STOK!J:O,6,0),"")</f>
        <v>48</v>
      </c>
      <c r="AH1188" s="2">
        <f t="shared" si="36"/>
        <v>0.125</v>
      </c>
      <c r="AI1188" t="s">
        <v>202</v>
      </c>
      <c r="AJ1188" t="s">
        <v>203</v>
      </c>
      <c r="AK1188" t="s">
        <v>204</v>
      </c>
      <c r="AL1188" t="s">
        <v>86</v>
      </c>
      <c r="AM1188">
        <v>6327</v>
      </c>
      <c r="AN1188">
        <f t="shared" si="37"/>
        <v>6263.73</v>
      </c>
      <c r="AO1188" t="s">
        <v>66</v>
      </c>
      <c r="AP1188">
        <v>1</v>
      </c>
      <c r="AQ1188" t="s">
        <v>66</v>
      </c>
      <c r="AR1188">
        <v>0</v>
      </c>
      <c r="AS1188" t="s">
        <v>66</v>
      </c>
      <c r="AT1188">
        <v>0</v>
      </c>
      <c r="AU1188" t="s">
        <v>66</v>
      </c>
      <c r="AV1188">
        <v>0</v>
      </c>
      <c r="AW1188" t="s">
        <v>66</v>
      </c>
      <c r="AX1188">
        <v>0</v>
      </c>
      <c r="AY1188" t="s">
        <v>66</v>
      </c>
      <c r="AZ1188">
        <v>0</v>
      </c>
      <c r="BA1188" t="s">
        <v>66</v>
      </c>
      <c r="BB1188">
        <v>0</v>
      </c>
      <c r="BC1188">
        <v>0</v>
      </c>
      <c r="BD1188">
        <v>37582.379999999997</v>
      </c>
      <c r="BE1188">
        <v>4914.4399999999996</v>
      </c>
      <c r="BF1188">
        <v>0</v>
      </c>
      <c r="BG1188" t="s">
        <v>87</v>
      </c>
      <c r="BH1188" t="s">
        <v>66</v>
      </c>
      <c r="BI1188">
        <v>0</v>
      </c>
      <c r="BJ1188" t="s">
        <v>66</v>
      </c>
      <c r="BK1188" t="s">
        <v>88</v>
      </c>
      <c r="BL1188" t="s">
        <v>547</v>
      </c>
      <c r="BM1188" t="s">
        <v>159</v>
      </c>
    </row>
    <row r="1189" spans="1:65" x14ac:dyDescent="0.25">
      <c r="A1189">
        <v>1187</v>
      </c>
      <c r="B1189" t="s">
        <v>1426</v>
      </c>
      <c r="C1189" t="s">
        <v>66</v>
      </c>
      <c r="D1189" s="1">
        <v>46217</v>
      </c>
      <c r="E1189" t="s">
        <v>1427</v>
      </c>
      <c r="F1189" t="s">
        <v>68</v>
      </c>
      <c r="G1189" t="s">
        <v>69</v>
      </c>
      <c r="H1189" t="s">
        <v>70</v>
      </c>
      <c r="I1189" t="s">
        <v>71</v>
      </c>
      <c r="J1189" t="s">
        <v>72</v>
      </c>
      <c r="K1189" t="s">
        <v>73</v>
      </c>
      <c r="L1189" t="s">
        <v>74</v>
      </c>
      <c r="M1189" t="s">
        <v>924</v>
      </c>
      <c r="N1189" t="s">
        <v>111</v>
      </c>
      <c r="O1189" t="s">
        <v>925</v>
      </c>
      <c r="P1189" t="s">
        <v>926</v>
      </c>
      <c r="Q1189" t="s">
        <v>1428</v>
      </c>
      <c r="R1189" s="1">
        <v>46218</v>
      </c>
      <c r="S1189" t="s">
        <v>544</v>
      </c>
      <c r="T1189" t="s">
        <v>545</v>
      </c>
      <c r="U1189" t="s">
        <v>546</v>
      </c>
      <c r="V1189" t="s">
        <v>66</v>
      </c>
      <c r="W1189" t="s">
        <v>66</v>
      </c>
      <c r="X1189">
        <v>1944756</v>
      </c>
      <c r="Y1189">
        <v>213923.16</v>
      </c>
      <c r="Z1189">
        <v>16929</v>
      </c>
      <c r="AA1189">
        <v>1862.19</v>
      </c>
      <c r="AB1189">
        <v>2158679.16</v>
      </c>
      <c r="AC1189">
        <v>3</v>
      </c>
      <c r="AD1189" t="s">
        <v>82</v>
      </c>
      <c r="AE1189">
        <v>3</v>
      </c>
      <c r="AF1189" t="s">
        <v>350</v>
      </c>
      <c r="AG1189">
        <f>IFERROR(VLOOKUP(AF1189,[1]STOK!J:O,6,0),"")</f>
        <v>48</v>
      </c>
      <c r="AH1189" s="2">
        <f t="shared" si="36"/>
        <v>6.25E-2</v>
      </c>
      <c r="AI1189" t="s">
        <v>350</v>
      </c>
      <c r="AJ1189" t="s">
        <v>351</v>
      </c>
      <c r="AK1189" t="s">
        <v>352</v>
      </c>
      <c r="AL1189" t="s">
        <v>86</v>
      </c>
      <c r="AM1189">
        <v>6327</v>
      </c>
      <c r="AN1189">
        <f t="shared" si="37"/>
        <v>6263.73</v>
      </c>
      <c r="AO1189" t="s">
        <v>66</v>
      </c>
      <c r="AP1189">
        <v>1</v>
      </c>
      <c r="AQ1189" t="s">
        <v>66</v>
      </c>
      <c r="AR1189">
        <v>0</v>
      </c>
      <c r="AS1189" t="s">
        <v>66</v>
      </c>
      <c r="AT1189">
        <v>0</v>
      </c>
      <c r="AU1189" t="s">
        <v>66</v>
      </c>
      <c r="AV1189">
        <v>0</v>
      </c>
      <c r="AW1189" t="s">
        <v>66</v>
      </c>
      <c r="AX1189">
        <v>0</v>
      </c>
      <c r="AY1189" t="s">
        <v>66</v>
      </c>
      <c r="AZ1189">
        <v>0</v>
      </c>
      <c r="BA1189" t="s">
        <v>66</v>
      </c>
      <c r="BB1189">
        <v>0</v>
      </c>
      <c r="BC1189">
        <v>0</v>
      </c>
      <c r="BD1189">
        <v>18791.189999999999</v>
      </c>
      <c r="BE1189">
        <v>4985.16</v>
      </c>
      <c r="BF1189">
        <v>0</v>
      </c>
      <c r="BG1189" t="s">
        <v>87</v>
      </c>
      <c r="BH1189" t="s">
        <v>66</v>
      </c>
      <c r="BI1189">
        <v>0</v>
      </c>
      <c r="BJ1189" t="s">
        <v>66</v>
      </c>
      <c r="BK1189" t="s">
        <v>88</v>
      </c>
      <c r="BL1189" t="s">
        <v>547</v>
      </c>
      <c r="BM1189" t="s">
        <v>159</v>
      </c>
    </row>
    <row r="1190" spans="1:65" x14ac:dyDescent="0.25">
      <c r="A1190">
        <v>1188</v>
      </c>
      <c r="B1190" t="s">
        <v>1426</v>
      </c>
      <c r="C1190" t="s">
        <v>66</v>
      </c>
      <c r="D1190" s="1">
        <v>46217</v>
      </c>
      <c r="E1190" t="s">
        <v>1427</v>
      </c>
      <c r="F1190" t="s">
        <v>68</v>
      </c>
      <c r="G1190" t="s">
        <v>69</v>
      </c>
      <c r="H1190" t="s">
        <v>70</v>
      </c>
      <c r="I1190" t="s">
        <v>71</v>
      </c>
      <c r="J1190" t="s">
        <v>72</v>
      </c>
      <c r="K1190" t="s">
        <v>73</v>
      </c>
      <c r="L1190" t="s">
        <v>74</v>
      </c>
      <c r="M1190" t="s">
        <v>924</v>
      </c>
      <c r="N1190" t="s">
        <v>111</v>
      </c>
      <c r="O1190" t="s">
        <v>925</v>
      </c>
      <c r="P1190" t="s">
        <v>926</v>
      </c>
      <c r="Q1190" t="s">
        <v>1428</v>
      </c>
      <c r="R1190" s="1">
        <v>46218</v>
      </c>
      <c r="S1190" t="s">
        <v>544</v>
      </c>
      <c r="T1190" t="s">
        <v>545</v>
      </c>
      <c r="U1190" t="s">
        <v>546</v>
      </c>
      <c r="V1190" t="s">
        <v>66</v>
      </c>
      <c r="W1190" t="s">
        <v>66</v>
      </c>
      <c r="X1190">
        <v>1944756</v>
      </c>
      <c r="Y1190">
        <v>213923.16</v>
      </c>
      <c r="Z1190">
        <v>49005</v>
      </c>
      <c r="AA1190">
        <v>5390.55</v>
      </c>
      <c r="AB1190">
        <v>2158679.16</v>
      </c>
      <c r="AC1190">
        <v>3</v>
      </c>
      <c r="AD1190" t="s">
        <v>82</v>
      </c>
      <c r="AE1190">
        <v>3</v>
      </c>
      <c r="AF1190" t="s">
        <v>93</v>
      </c>
      <c r="AG1190">
        <f>IFERROR(VLOOKUP(AF1190,[1]STOK!J:O,6,0),"")</f>
        <v>24</v>
      </c>
      <c r="AH1190" s="2">
        <f t="shared" si="36"/>
        <v>0.125</v>
      </c>
      <c r="AI1190" t="s">
        <v>93</v>
      </c>
      <c r="AJ1190" t="s">
        <v>94</v>
      </c>
      <c r="AK1190" t="s">
        <v>95</v>
      </c>
      <c r="AL1190" t="s">
        <v>86</v>
      </c>
      <c r="AM1190">
        <v>18315</v>
      </c>
      <c r="AN1190">
        <f t="shared" si="37"/>
        <v>18131.850000000002</v>
      </c>
      <c r="AO1190" t="s">
        <v>66</v>
      </c>
      <c r="AP1190">
        <v>1</v>
      </c>
      <c r="AQ1190" t="s">
        <v>66</v>
      </c>
      <c r="AR1190">
        <v>0</v>
      </c>
      <c r="AS1190" t="s">
        <v>66</v>
      </c>
      <c r="AT1190">
        <v>0</v>
      </c>
      <c r="AU1190" t="s">
        <v>66</v>
      </c>
      <c r="AV1190">
        <v>0</v>
      </c>
      <c r="AW1190" t="s">
        <v>66</v>
      </c>
      <c r="AX1190">
        <v>0</v>
      </c>
      <c r="AY1190" t="s">
        <v>66</v>
      </c>
      <c r="AZ1190">
        <v>0</v>
      </c>
      <c r="BA1190" t="s">
        <v>66</v>
      </c>
      <c r="BB1190">
        <v>0</v>
      </c>
      <c r="BC1190">
        <v>0</v>
      </c>
      <c r="BD1190">
        <v>54395.55</v>
      </c>
      <c r="BE1190">
        <v>14878.51</v>
      </c>
      <c r="BF1190">
        <v>0</v>
      </c>
      <c r="BG1190" t="s">
        <v>87</v>
      </c>
      <c r="BH1190" t="s">
        <v>66</v>
      </c>
      <c r="BI1190">
        <v>0</v>
      </c>
      <c r="BJ1190" t="s">
        <v>66</v>
      </c>
      <c r="BK1190" t="s">
        <v>88</v>
      </c>
      <c r="BL1190" t="s">
        <v>547</v>
      </c>
      <c r="BM1190" t="s">
        <v>159</v>
      </c>
    </row>
    <row r="1191" spans="1:65" x14ac:dyDescent="0.25">
      <c r="A1191">
        <v>1189</v>
      </c>
      <c r="B1191" t="s">
        <v>1426</v>
      </c>
      <c r="C1191" t="s">
        <v>66</v>
      </c>
      <c r="D1191" s="1">
        <v>46217</v>
      </c>
      <c r="E1191" t="s">
        <v>1427</v>
      </c>
      <c r="F1191" t="s">
        <v>68</v>
      </c>
      <c r="G1191" t="s">
        <v>69</v>
      </c>
      <c r="H1191" t="s">
        <v>70</v>
      </c>
      <c r="I1191" t="s">
        <v>71</v>
      </c>
      <c r="J1191" t="s">
        <v>72</v>
      </c>
      <c r="K1191" t="s">
        <v>73</v>
      </c>
      <c r="L1191" t="s">
        <v>74</v>
      </c>
      <c r="M1191" t="s">
        <v>924</v>
      </c>
      <c r="N1191" t="s">
        <v>111</v>
      </c>
      <c r="O1191" t="s">
        <v>925</v>
      </c>
      <c r="P1191" t="s">
        <v>926</v>
      </c>
      <c r="Q1191" t="s">
        <v>1428</v>
      </c>
      <c r="R1191" s="1">
        <v>46218</v>
      </c>
      <c r="S1191" t="s">
        <v>544</v>
      </c>
      <c r="T1191" t="s">
        <v>545</v>
      </c>
      <c r="U1191" t="s">
        <v>546</v>
      </c>
      <c r="V1191" t="s">
        <v>66</v>
      </c>
      <c r="W1191" t="s">
        <v>66</v>
      </c>
      <c r="X1191">
        <v>1944756</v>
      </c>
      <c r="Y1191">
        <v>213923.16</v>
      </c>
      <c r="Z1191">
        <v>49005</v>
      </c>
      <c r="AA1191">
        <v>5390.55</v>
      </c>
      <c r="AB1191">
        <v>2158679.16</v>
      </c>
      <c r="AC1191">
        <v>3</v>
      </c>
      <c r="AD1191" t="s">
        <v>82</v>
      </c>
      <c r="AE1191">
        <v>3</v>
      </c>
      <c r="AF1191" t="s">
        <v>205</v>
      </c>
      <c r="AG1191">
        <f>IFERROR(VLOOKUP(AF1191,[1]STOK!J:O,6,0),"")</f>
        <v>24</v>
      </c>
      <c r="AH1191" s="2">
        <f t="shared" si="36"/>
        <v>0.125</v>
      </c>
      <c r="AI1191" t="s">
        <v>205</v>
      </c>
      <c r="AJ1191" t="s">
        <v>206</v>
      </c>
      <c r="AK1191" t="s">
        <v>207</v>
      </c>
      <c r="AL1191" t="s">
        <v>86</v>
      </c>
      <c r="AM1191">
        <v>18315</v>
      </c>
      <c r="AN1191">
        <f t="shared" si="37"/>
        <v>18131.850000000002</v>
      </c>
      <c r="AO1191" t="s">
        <v>66</v>
      </c>
      <c r="AP1191">
        <v>1</v>
      </c>
      <c r="AQ1191" t="s">
        <v>66</v>
      </c>
      <c r="AR1191">
        <v>0</v>
      </c>
      <c r="AS1191" t="s">
        <v>66</v>
      </c>
      <c r="AT1191">
        <v>0</v>
      </c>
      <c r="AU1191" t="s">
        <v>66</v>
      </c>
      <c r="AV1191">
        <v>0</v>
      </c>
      <c r="AW1191" t="s">
        <v>66</v>
      </c>
      <c r="AX1191">
        <v>0</v>
      </c>
      <c r="AY1191" t="s">
        <v>66</v>
      </c>
      <c r="AZ1191">
        <v>0</v>
      </c>
      <c r="BA1191" t="s">
        <v>66</v>
      </c>
      <c r="BB1191">
        <v>0</v>
      </c>
      <c r="BC1191">
        <v>0</v>
      </c>
      <c r="BD1191">
        <v>54395.55</v>
      </c>
      <c r="BE1191">
        <v>14876.63</v>
      </c>
      <c r="BF1191">
        <v>0</v>
      </c>
      <c r="BG1191" t="s">
        <v>87</v>
      </c>
      <c r="BH1191" t="s">
        <v>66</v>
      </c>
      <c r="BI1191">
        <v>0</v>
      </c>
      <c r="BJ1191" t="s">
        <v>66</v>
      </c>
      <c r="BK1191" t="s">
        <v>88</v>
      </c>
      <c r="BL1191" t="s">
        <v>547</v>
      </c>
      <c r="BM1191" t="s">
        <v>159</v>
      </c>
    </row>
    <row r="1192" spans="1:65" x14ac:dyDescent="0.25">
      <c r="A1192">
        <v>1190</v>
      </c>
      <c r="B1192" t="s">
        <v>1426</v>
      </c>
      <c r="C1192" t="s">
        <v>66</v>
      </c>
      <c r="D1192" s="1">
        <v>46217</v>
      </c>
      <c r="E1192" t="s">
        <v>1427</v>
      </c>
      <c r="F1192" t="s">
        <v>68</v>
      </c>
      <c r="G1192" t="s">
        <v>69</v>
      </c>
      <c r="H1192" t="s">
        <v>70</v>
      </c>
      <c r="I1192" t="s">
        <v>71</v>
      </c>
      <c r="J1192" t="s">
        <v>72</v>
      </c>
      <c r="K1192" t="s">
        <v>73</v>
      </c>
      <c r="L1192" t="s">
        <v>74</v>
      </c>
      <c r="M1192" t="s">
        <v>924</v>
      </c>
      <c r="N1192" t="s">
        <v>111</v>
      </c>
      <c r="O1192" t="s">
        <v>925</v>
      </c>
      <c r="P1192" t="s">
        <v>926</v>
      </c>
      <c r="Q1192" t="s">
        <v>1428</v>
      </c>
      <c r="R1192" s="1">
        <v>46218</v>
      </c>
      <c r="S1192" t="s">
        <v>544</v>
      </c>
      <c r="T1192" t="s">
        <v>545</v>
      </c>
      <c r="U1192" t="s">
        <v>546</v>
      </c>
      <c r="V1192" t="s">
        <v>66</v>
      </c>
      <c r="W1192" t="s">
        <v>66</v>
      </c>
      <c r="X1192">
        <v>1944756</v>
      </c>
      <c r="Y1192">
        <v>213923.16</v>
      </c>
      <c r="Z1192">
        <v>49005</v>
      </c>
      <c r="AA1192">
        <v>5390.55</v>
      </c>
      <c r="AB1192">
        <v>2158679.16</v>
      </c>
      <c r="AC1192">
        <v>3</v>
      </c>
      <c r="AD1192" t="s">
        <v>82</v>
      </c>
      <c r="AE1192">
        <v>3</v>
      </c>
      <c r="AF1192" t="s">
        <v>99</v>
      </c>
      <c r="AG1192">
        <f>IFERROR(VLOOKUP(AF1192,[1]STOK!J:O,6,0),"")</f>
        <v>24</v>
      </c>
      <c r="AH1192" s="2">
        <f t="shared" si="36"/>
        <v>0.125</v>
      </c>
      <c r="AI1192" t="s">
        <v>99</v>
      </c>
      <c r="AJ1192" t="s">
        <v>100</v>
      </c>
      <c r="AK1192" t="s">
        <v>101</v>
      </c>
      <c r="AL1192" t="s">
        <v>86</v>
      </c>
      <c r="AM1192">
        <v>18315</v>
      </c>
      <c r="AN1192">
        <f t="shared" si="37"/>
        <v>18131.850000000002</v>
      </c>
      <c r="AO1192" t="s">
        <v>66</v>
      </c>
      <c r="AP1192">
        <v>1</v>
      </c>
      <c r="AQ1192" t="s">
        <v>66</v>
      </c>
      <c r="AR1192">
        <v>0</v>
      </c>
      <c r="AS1192" t="s">
        <v>66</v>
      </c>
      <c r="AT1192">
        <v>0</v>
      </c>
      <c r="AU1192" t="s">
        <v>66</v>
      </c>
      <c r="AV1192">
        <v>0</v>
      </c>
      <c r="AW1192" t="s">
        <v>66</v>
      </c>
      <c r="AX1192">
        <v>0</v>
      </c>
      <c r="AY1192" t="s">
        <v>66</v>
      </c>
      <c r="AZ1192">
        <v>0</v>
      </c>
      <c r="BA1192" t="s">
        <v>66</v>
      </c>
      <c r="BB1192">
        <v>0</v>
      </c>
      <c r="BC1192">
        <v>0</v>
      </c>
      <c r="BD1192">
        <v>54395.55</v>
      </c>
      <c r="BE1192">
        <v>14924.93</v>
      </c>
      <c r="BF1192">
        <v>0</v>
      </c>
      <c r="BG1192" t="s">
        <v>87</v>
      </c>
      <c r="BH1192" t="s">
        <v>66</v>
      </c>
      <c r="BI1192">
        <v>0</v>
      </c>
      <c r="BJ1192" t="s">
        <v>66</v>
      </c>
      <c r="BK1192" t="s">
        <v>88</v>
      </c>
      <c r="BL1192" t="s">
        <v>547</v>
      </c>
      <c r="BM1192" t="s">
        <v>159</v>
      </c>
    </row>
    <row r="1193" spans="1:65" x14ac:dyDescent="0.25">
      <c r="A1193">
        <v>1191</v>
      </c>
      <c r="B1193" t="s">
        <v>1426</v>
      </c>
      <c r="C1193" t="s">
        <v>66</v>
      </c>
      <c r="D1193" s="1">
        <v>46217</v>
      </c>
      <c r="E1193" t="s">
        <v>1427</v>
      </c>
      <c r="F1193" t="s">
        <v>68</v>
      </c>
      <c r="G1193" t="s">
        <v>69</v>
      </c>
      <c r="H1193" t="s">
        <v>70</v>
      </c>
      <c r="I1193" t="s">
        <v>71</v>
      </c>
      <c r="J1193" t="s">
        <v>72</v>
      </c>
      <c r="K1193" t="s">
        <v>73</v>
      </c>
      <c r="L1193" t="s">
        <v>74</v>
      </c>
      <c r="M1193" t="s">
        <v>924</v>
      </c>
      <c r="N1193" t="s">
        <v>111</v>
      </c>
      <c r="O1193" t="s">
        <v>925</v>
      </c>
      <c r="P1193" t="s">
        <v>926</v>
      </c>
      <c r="Q1193" t="s">
        <v>1428</v>
      </c>
      <c r="R1193" s="1">
        <v>46218</v>
      </c>
      <c r="S1193" t="s">
        <v>544</v>
      </c>
      <c r="T1193" t="s">
        <v>545</v>
      </c>
      <c r="U1193" t="s">
        <v>546</v>
      </c>
      <c r="V1193" t="s">
        <v>66</v>
      </c>
      <c r="W1193" t="s">
        <v>66</v>
      </c>
      <c r="X1193">
        <v>1944756</v>
      </c>
      <c r="Y1193">
        <v>213923.16</v>
      </c>
      <c r="Z1193">
        <v>80784</v>
      </c>
      <c r="AA1193">
        <v>8886.24</v>
      </c>
      <c r="AB1193">
        <v>2158679.16</v>
      </c>
      <c r="AC1193">
        <v>3</v>
      </c>
      <c r="AD1193" t="s">
        <v>82</v>
      </c>
      <c r="AE1193">
        <v>3</v>
      </c>
      <c r="AF1193" t="s">
        <v>774</v>
      </c>
      <c r="AG1193">
        <f>IFERROR(VLOOKUP(AF1193,[1]STOK!J:O,6,0),"")</f>
        <v>12</v>
      </c>
      <c r="AH1193" s="2">
        <f t="shared" si="36"/>
        <v>0.25</v>
      </c>
      <c r="AI1193" t="s">
        <v>774</v>
      </c>
      <c r="AJ1193" t="s">
        <v>775</v>
      </c>
      <c r="AK1193" t="s">
        <v>776</v>
      </c>
      <c r="AL1193" t="s">
        <v>86</v>
      </c>
      <c r="AM1193">
        <v>30192</v>
      </c>
      <c r="AN1193">
        <f t="shared" si="37"/>
        <v>29890.080000000002</v>
      </c>
      <c r="AO1193" t="s">
        <v>66</v>
      </c>
      <c r="AP1193">
        <v>1</v>
      </c>
      <c r="AQ1193" t="s">
        <v>66</v>
      </c>
      <c r="AR1193">
        <v>0</v>
      </c>
      <c r="AS1193" t="s">
        <v>66</v>
      </c>
      <c r="AT1193">
        <v>0</v>
      </c>
      <c r="AU1193" t="s">
        <v>66</v>
      </c>
      <c r="AV1193">
        <v>0</v>
      </c>
      <c r="AW1193" t="s">
        <v>66</v>
      </c>
      <c r="AX1193">
        <v>0</v>
      </c>
      <c r="AY1193" t="s">
        <v>66</v>
      </c>
      <c r="AZ1193">
        <v>0</v>
      </c>
      <c r="BA1193" t="s">
        <v>66</v>
      </c>
      <c r="BB1193">
        <v>0</v>
      </c>
      <c r="BC1193">
        <v>0</v>
      </c>
      <c r="BD1193">
        <v>89670.24</v>
      </c>
      <c r="BE1193">
        <v>23745.759999999998</v>
      </c>
      <c r="BF1193">
        <v>0</v>
      </c>
      <c r="BG1193" t="s">
        <v>87</v>
      </c>
      <c r="BH1193" t="s">
        <v>66</v>
      </c>
      <c r="BI1193">
        <v>0</v>
      </c>
      <c r="BJ1193" t="s">
        <v>66</v>
      </c>
      <c r="BK1193" t="s">
        <v>88</v>
      </c>
      <c r="BL1193" t="s">
        <v>547</v>
      </c>
      <c r="BM1193" t="s">
        <v>159</v>
      </c>
    </row>
    <row r="1194" spans="1:65" x14ac:dyDescent="0.25">
      <c r="A1194">
        <v>1192</v>
      </c>
      <c r="B1194" t="s">
        <v>1426</v>
      </c>
      <c r="C1194" t="s">
        <v>66</v>
      </c>
      <c r="D1194" s="1">
        <v>46217</v>
      </c>
      <c r="E1194" t="s">
        <v>1427</v>
      </c>
      <c r="F1194" t="s">
        <v>68</v>
      </c>
      <c r="G1194" t="s">
        <v>69</v>
      </c>
      <c r="H1194" t="s">
        <v>70</v>
      </c>
      <c r="I1194" t="s">
        <v>71</v>
      </c>
      <c r="J1194" t="s">
        <v>72</v>
      </c>
      <c r="K1194" t="s">
        <v>73</v>
      </c>
      <c r="L1194" t="s">
        <v>74</v>
      </c>
      <c r="M1194" t="s">
        <v>924</v>
      </c>
      <c r="N1194" t="s">
        <v>111</v>
      </c>
      <c r="O1194" t="s">
        <v>925</v>
      </c>
      <c r="P1194" t="s">
        <v>926</v>
      </c>
      <c r="Q1194" t="s">
        <v>1428</v>
      </c>
      <c r="R1194" s="1">
        <v>46218</v>
      </c>
      <c r="S1194" t="s">
        <v>544</v>
      </c>
      <c r="T1194" t="s">
        <v>545</v>
      </c>
      <c r="U1194" t="s">
        <v>546</v>
      </c>
      <c r="V1194" t="s">
        <v>66</v>
      </c>
      <c r="W1194" t="s">
        <v>66</v>
      </c>
      <c r="X1194">
        <v>1944756</v>
      </c>
      <c r="Y1194">
        <v>213923.16</v>
      </c>
      <c r="Z1194">
        <v>79002</v>
      </c>
      <c r="AA1194">
        <v>8690.2199999999993</v>
      </c>
      <c r="AB1194">
        <v>2158679.16</v>
      </c>
      <c r="AC1194">
        <v>6</v>
      </c>
      <c r="AD1194" t="s">
        <v>82</v>
      </c>
      <c r="AE1194">
        <v>6</v>
      </c>
      <c r="AF1194" t="s">
        <v>135</v>
      </c>
      <c r="AG1194">
        <f>IFERROR(VLOOKUP(AF1194,[1]STOK!J:O,6,0),"")</f>
        <v>12</v>
      </c>
      <c r="AH1194" s="2">
        <f t="shared" si="36"/>
        <v>0.5</v>
      </c>
      <c r="AI1194" t="s">
        <v>135</v>
      </c>
      <c r="AJ1194" t="s">
        <v>136</v>
      </c>
      <c r="AK1194" t="s">
        <v>137</v>
      </c>
      <c r="AL1194" t="s">
        <v>86</v>
      </c>
      <c r="AM1194">
        <v>14763</v>
      </c>
      <c r="AN1194">
        <f t="shared" si="37"/>
        <v>14615.37</v>
      </c>
      <c r="AO1194" t="s">
        <v>66</v>
      </c>
      <c r="AP1194">
        <v>1</v>
      </c>
      <c r="AQ1194" t="s">
        <v>66</v>
      </c>
      <c r="AR1194">
        <v>0</v>
      </c>
      <c r="AS1194" t="s">
        <v>66</v>
      </c>
      <c r="AT1194">
        <v>0</v>
      </c>
      <c r="AU1194" t="s">
        <v>66</v>
      </c>
      <c r="AV1194">
        <v>0</v>
      </c>
      <c r="AW1194" t="s">
        <v>66</v>
      </c>
      <c r="AX1194">
        <v>0</v>
      </c>
      <c r="AY1194" t="s">
        <v>66</v>
      </c>
      <c r="AZ1194">
        <v>0</v>
      </c>
      <c r="BA1194" t="s">
        <v>66</v>
      </c>
      <c r="BB1194">
        <v>0</v>
      </c>
      <c r="BC1194">
        <v>0</v>
      </c>
      <c r="BD1194">
        <v>87692.22</v>
      </c>
      <c r="BE1194">
        <v>12032.04</v>
      </c>
      <c r="BF1194">
        <v>0</v>
      </c>
      <c r="BG1194" t="s">
        <v>87</v>
      </c>
      <c r="BH1194" t="s">
        <v>66</v>
      </c>
      <c r="BI1194">
        <v>0</v>
      </c>
      <c r="BJ1194" t="s">
        <v>66</v>
      </c>
      <c r="BK1194" t="s">
        <v>88</v>
      </c>
      <c r="BL1194" t="s">
        <v>547</v>
      </c>
      <c r="BM1194" t="s">
        <v>159</v>
      </c>
    </row>
    <row r="1195" spans="1:65" x14ac:dyDescent="0.25">
      <c r="A1195">
        <v>1193</v>
      </c>
      <c r="B1195" t="s">
        <v>1426</v>
      </c>
      <c r="C1195" t="s">
        <v>66</v>
      </c>
      <c r="D1195" s="1">
        <v>46217</v>
      </c>
      <c r="E1195" t="s">
        <v>1427</v>
      </c>
      <c r="F1195" t="s">
        <v>68</v>
      </c>
      <c r="G1195" t="s">
        <v>69</v>
      </c>
      <c r="H1195" t="s">
        <v>70</v>
      </c>
      <c r="I1195" t="s">
        <v>71</v>
      </c>
      <c r="J1195" t="s">
        <v>72</v>
      </c>
      <c r="K1195" t="s">
        <v>73</v>
      </c>
      <c r="L1195" t="s">
        <v>74</v>
      </c>
      <c r="M1195" t="s">
        <v>924</v>
      </c>
      <c r="N1195" t="s">
        <v>111</v>
      </c>
      <c r="O1195" t="s">
        <v>925</v>
      </c>
      <c r="P1195" t="s">
        <v>926</v>
      </c>
      <c r="Q1195" t="s">
        <v>1428</v>
      </c>
      <c r="R1195" s="1">
        <v>46218</v>
      </c>
      <c r="S1195" t="s">
        <v>544</v>
      </c>
      <c r="T1195" t="s">
        <v>545</v>
      </c>
      <c r="U1195" t="s">
        <v>546</v>
      </c>
      <c r="V1195" t="s">
        <v>66</v>
      </c>
      <c r="W1195" t="s">
        <v>66</v>
      </c>
      <c r="X1195">
        <v>1944756</v>
      </c>
      <c r="Y1195">
        <v>213923.16</v>
      </c>
      <c r="Z1195">
        <v>1128600</v>
      </c>
      <c r="AA1195">
        <v>124146</v>
      </c>
      <c r="AB1195">
        <v>2158679.16</v>
      </c>
      <c r="AC1195">
        <v>60</v>
      </c>
      <c r="AD1195" t="s">
        <v>82</v>
      </c>
      <c r="AE1195">
        <v>60</v>
      </c>
      <c r="AF1195" t="s">
        <v>290</v>
      </c>
      <c r="AG1195">
        <f>IFERROR(VLOOKUP(AF1195,[1]STOK!J:O,6,0),"")</f>
        <v>12</v>
      </c>
      <c r="AH1195" s="2">
        <f t="shared" si="36"/>
        <v>5</v>
      </c>
      <c r="AI1195" t="s">
        <v>290</v>
      </c>
      <c r="AJ1195" t="s">
        <v>291</v>
      </c>
      <c r="AK1195" t="s">
        <v>292</v>
      </c>
      <c r="AL1195" t="s">
        <v>86</v>
      </c>
      <c r="AM1195">
        <v>22200</v>
      </c>
      <c r="AN1195">
        <f t="shared" si="37"/>
        <v>20879.099999999999</v>
      </c>
      <c r="AO1195" t="s">
        <v>66</v>
      </c>
      <c r="AP1195">
        <v>1</v>
      </c>
      <c r="AQ1195" t="s">
        <v>66</v>
      </c>
      <c r="AR1195">
        <v>0</v>
      </c>
      <c r="AS1195" t="s">
        <v>66</v>
      </c>
      <c r="AT1195">
        <v>0</v>
      </c>
      <c r="AU1195" t="s">
        <v>66</v>
      </c>
      <c r="AV1195">
        <v>5</v>
      </c>
      <c r="AW1195" t="s">
        <v>66</v>
      </c>
      <c r="AX1195">
        <v>0</v>
      </c>
      <c r="AY1195" t="s">
        <v>66</v>
      </c>
      <c r="AZ1195">
        <v>0</v>
      </c>
      <c r="BA1195" t="s">
        <v>66</v>
      </c>
      <c r="BB1195">
        <v>0</v>
      </c>
      <c r="BC1195">
        <v>0</v>
      </c>
      <c r="BD1195">
        <v>1252746</v>
      </c>
      <c r="BE1195">
        <v>18155.62</v>
      </c>
      <c r="BF1195">
        <v>0</v>
      </c>
      <c r="BG1195" t="s">
        <v>87</v>
      </c>
      <c r="BH1195" t="s">
        <v>66</v>
      </c>
      <c r="BI1195">
        <v>0</v>
      </c>
      <c r="BJ1195" t="s">
        <v>66</v>
      </c>
      <c r="BK1195" t="s">
        <v>88</v>
      </c>
      <c r="BL1195" t="s">
        <v>547</v>
      </c>
      <c r="BM1195" t="s">
        <v>159</v>
      </c>
    </row>
    <row r="1196" spans="1:65" x14ac:dyDescent="0.25">
      <c r="A1196">
        <v>1194</v>
      </c>
      <c r="B1196" t="s">
        <v>1429</v>
      </c>
      <c r="C1196" t="s">
        <v>66</v>
      </c>
      <c r="D1196" s="1">
        <v>46217</v>
      </c>
      <c r="E1196" t="s">
        <v>1430</v>
      </c>
      <c r="F1196" t="s">
        <v>68</v>
      </c>
      <c r="G1196" t="s">
        <v>69</v>
      </c>
      <c r="H1196" t="s">
        <v>70</v>
      </c>
      <c r="I1196" t="s">
        <v>71</v>
      </c>
      <c r="J1196" t="s">
        <v>72</v>
      </c>
      <c r="K1196" t="s">
        <v>73</v>
      </c>
      <c r="L1196" t="s">
        <v>74</v>
      </c>
      <c r="M1196" t="s">
        <v>571</v>
      </c>
      <c r="N1196" t="s">
        <v>76</v>
      </c>
      <c r="O1196" t="s">
        <v>572</v>
      </c>
      <c r="P1196" t="s">
        <v>573</v>
      </c>
      <c r="Q1196" t="s">
        <v>1431</v>
      </c>
      <c r="R1196" s="1">
        <v>46219</v>
      </c>
      <c r="S1196" t="s">
        <v>575</v>
      </c>
      <c r="T1196" t="s">
        <v>576</v>
      </c>
      <c r="U1196" t="s">
        <v>577</v>
      </c>
      <c r="V1196" t="s">
        <v>66</v>
      </c>
      <c r="W1196" t="s">
        <v>66</v>
      </c>
      <c r="X1196">
        <v>6466602</v>
      </c>
      <c r="Y1196">
        <v>711326.22</v>
      </c>
      <c r="Z1196">
        <v>502072</v>
      </c>
      <c r="AA1196">
        <v>55227.92</v>
      </c>
      <c r="AB1196">
        <v>7177928.2199999997</v>
      </c>
      <c r="AC1196">
        <v>1</v>
      </c>
      <c r="AD1196" t="s">
        <v>134</v>
      </c>
      <c r="AE1196">
        <v>4</v>
      </c>
      <c r="AF1196" t="s">
        <v>596</v>
      </c>
      <c r="AG1196">
        <f>IFERROR(VLOOKUP(AF1196,[1]STOK!J:O,6,0),"")</f>
        <v>4</v>
      </c>
      <c r="AH1196" s="2">
        <f t="shared" si="36"/>
        <v>1</v>
      </c>
      <c r="AI1196" t="s">
        <v>596</v>
      </c>
      <c r="AJ1196" t="s">
        <v>597</v>
      </c>
      <c r="AK1196" t="s">
        <v>598</v>
      </c>
      <c r="AL1196" t="s">
        <v>86</v>
      </c>
      <c r="AM1196">
        <v>574536</v>
      </c>
      <c r="AN1196">
        <f t="shared" si="37"/>
        <v>557299.92000000004</v>
      </c>
      <c r="AO1196" t="s">
        <v>66</v>
      </c>
      <c r="AP1196">
        <v>3</v>
      </c>
      <c r="AQ1196" t="s">
        <v>66</v>
      </c>
      <c r="AR1196">
        <v>0</v>
      </c>
      <c r="AS1196" t="s">
        <v>66</v>
      </c>
      <c r="AT1196">
        <v>0</v>
      </c>
      <c r="AU1196" t="s">
        <v>66</v>
      </c>
      <c r="AV1196">
        <v>0</v>
      </c>
      <c r="AW1196" t="s">
        <v>66</v>
      </c>
      <c r="AX1196">
        <v>0</v>
      </c>
      <c r="AY1196" t="s">
        <v>66</v>
      </c>
      <c r="AZ1196">
        <v>0</v>
      </c>
      <c r="BA1196" t="s">
        <v>66</v>
      </c>
      <c r="BB1196">
        <v>0</v>
      </c>
      <c r="BC1196">
        <v>0</v>
      </c>
      <c r="BD1196">
        <v>557299.92000000004</v>
      </c>
      <c r="BE1196">
        <v>111322.74</v>
      </c>
      <c r="BF1196">
        <v>0</v>
      </c>
      <c r="BG1196" t="s">
        <v>87</v>
      </c>
      <c r="BH1196" t="s">
        <v>66</v>
      </c>
      <c r="BI1196">
        <v>0</v>
      </c>
      <c r="BJ1196" t="s">
        <v>66</v>
      </c>
      <c r="BK1196" t="s">
        <v>88</v>
      </c>
      <c r="BL1196" t="s">
        <v>66</v>
      </c>
      <c r="BM1196" t="s">
        <v>159</v>
      </c>
    </row>
    <row r="1197" spans="1:65" x14ac:dyDescent="0.25">
      <c r="A1197">
        <v>1195</v>
      </c>
      <c r="B1197" t="s">
        <v>1429</v>
      </c>
      <c r="C1197" t="s">
        <v>66</v>
      </c>
      <c r="D1197" s="1">
        <v>46217</v>
      </c>
      <c r="E1197" t="s">
        <v>1430</v>
      </c>
      <c r="F1197" t="s">
        <v>68</v>
      </c>
      <c r="G1197" t="s">
        <v>69</v>
      </c>
      <c r="H1197" t="s">
        <v>70</v>
      </c>
      <c r="I1197" t="s">
        <v>71</v>
      </c>
      <c r="J1197" t="s">
        <v>72</v>
      </c>
      <c r="K1197" t="s">
        <v>73</v>
      </c>
      <c r="L1197" t="s">
        <v>74</v>
      </c>
      <c r="M1197" t="s">
        <v>571</v>
      </c>
      <c r="N1197" t="s">
        <v>76</v>
      </c>
      <c r="O1197" t="s">
        <v>572</v>
      </c>
      <c r="P1197" t="s">
        <v>573</v>
      </c>
      <c r="Q1197" t="s">
        <v>1431</v>
      </c>
      <c r="R1197" s="1">
        <v>46219</v>
      </c>
      <c r="S1197" t="s">
        <v>575</v>
      </c>
      <c r="T1197" t="s">
        <v>576</v>
      </c>
      <c r="U1197" t="s">
        <v>577</v>
      </c>
      <c r="V1197" t="s">
        <v>66</v>
      </c>
      <c r="W1197" t="s">
        <v>66</v>
      </c>
      <c r="X1197">
        <v>6466602</v>
      </c>
      <c r="Y1197">
        <v>711326.22</v>
      </c>
      <c r="Z1197">
        <v>502072</v>
      </c>
      <c r="AA1197">
        <v>55227.92</v>
      </c>
      <c r="AB1197">
        <v>7177928.2199999997</v>
      </c>
      <c r="AC1197">
        <v>1</v>
      </c>
      <c r="AD1197" t="s">
        <v>134</v>
      </c>
      <c r="AE1197">
        <v>4</v>
      </c>
      <c r="AF1197" t="s">
        <v>519</v>
      </c>
      <c r="AG1197">
        <f>IFERROR(VLOOKUP(AF1197,[1]STOK!J:O,6,0),"")</f>
        <v>4</v>
      </c>
      <c r="AH1197" s="2">
        <f t="shared" si="36"/>
        <v>1</v>
      </c>
      <c r="AI1197" t="s">
        <v>519</v>
      </c>
      <c r="AJ1197" t="s">
        <v>520</v>
      </c>
      <c r="AK1197" t="s">
        <v>521</v>
      </c>
      <c r="AL1197" t="s">
        <v>86</v>
      </c>
      <c r="AM1197">
        <v>574536</v>
      </c>
      <c r="AN1197">
        <f t="shared" si="37"/>
        <v>557299.92000000004</v>
      </c>
      <c r="AO1197" t="s">
        <v>66</v>
      </c>
      <c r="AP1197">
        <v>3</v>
      </c>
      <c r="AQ1197" t="s">
        <v>66</v>
      </c>
      <c r="AR1197">
        <v>0</v>
      </c>
      <c r="AS1197" t="s">
        <v>66</v>
      </c>
      <c r="AT1197">
        <v>0</v>
      </c>
      <c r="AU1197" t="s">
        <v>66</v>
      </c>
      <c r="AV1197">
        <v>0</v>
      </c>
      <c r="AW1197" t="s">
        <v>66</v>
      </c>
      <c r="AX1197">
        <v>0</v>
      </c>
      <c r="AY1197" t="s">
        <v>66</v>
      </c>
      <c r="AZ1197">
        <v>0</v>
      </c>
      <c r="BA1197" t="s">
        <v>66</v>
      </c>
      <c r="BB1197">
        <v>0</v>
      </c>
      <c r="BC1197">
        <v>0</v>
      </c>
      <c r="BD1197">
        <v>557299.92000000004</v>
      </c>
      <c r="BE1197">
        <v>110893.66</v>
      </c>
      <c r="BF1197">
        <v>0</v>
      </c>
      <c r="BG1197" t="s">
        <v>87</v>
      </c>
      <c r="BH1197" t="s">
        <v>66</v>
      </c>
      <c r="BI1197">
        <v>0</v>
      </c>
      <c r="BJ1197" t="s">
        <v>66</v>
      </c>
      <c r="BK1197" t="s">
        <v>88</v>
      </c>
      <c r="BL1197" t="s">
        <v>66</v>
      </c>
      <c r="BM1197" t="s">
        <v>159</v>
      </c>
    </row>
    <row r="1198" spans="1:65" x14ac:dyDescent="0.25">
      <c r="A1198">
        <v>1196</v>
      </c>
      <c r="B1198" t="s">
        <v>1429</v>
      </c>
      <c r="C1198" t="s">
        <v>66</v>
      </c>
      <c r="D1198" s="1">
        <v>46217</v>
      </c>
      <c r="E1198" t="s">
        <v>1430</v>
      </c>
      <c r="F1198" t="s">
        <v>68</v>
      </c>
      <c r="G1198" t="s">
        <v>69</v>
      </c>
      <c r="H1198" t="s">
        <v>70</v>
      </c>
      <c r="I1198" t="s">
        <v>71</v>
      </c>
      <c r="J1198" t="s">
        <v>72</v>
      </c>
      <c r="K1198" t="s">
        <v>73</v>
      </c>
      <c r="L1198" t="s">
        <v>74</v>
      </c>
      <c r="M1198" t="s">
        <v>571</v>
      </c>
      <c r="N1198" t="s">
        <v>76</v>
      </c>
      <c r="O1198" t="s">
        <v>572</v>
      </c>
      <c r="P1198" t="s">
        <v>573</v>
      </c>
      <c r="Q1198" t="s">
        <v>1431</v>
      </c>
      <c r="R1198" s="1">
        <v>46219</v>
      </c>
      <c r="S1198" t="s">
        <v>575</v>
      </c>
      <c r="T1198" t="s">
        <v>576</v>
      </c>
      <c r="U1198" t="s">
        <v>577</v>
      </c>
      <c r="V1198" t="s">
        <v>66</v>
      </c>
      <c r="W1198" t="s">
        <v>66</v>
      </c>
      <c r="X1198">
        <v>6466602</v>
      </c>
      <c r="Y1198">
        <v>711326.22</v>
      </c>
      <c r="Z1198">
        <v>502072</v>
      </c>
      <c r="AA1198">
        <v>55227.92</v>
      </c>
      <c r="AB1198">
        <v>7177928.2199999997</v>
      </c>
      <c r="AC1198">
        <v>1</v>
      </c>
      <c r="AD1198" t="s">
        <v>134</v>
      </c>
      <c r="AE1198">
        <v>4</v>
      </c>
      <c r="AF1198" t="s">
        <v>522</v>
      </c>
      <c r="AG1198">
        <f>IFERROR(VLOOKUP(AF1198,[1]STOK!J:O,6,0),"")</f>
        <v>4</v>
      </c>
      <c r="AH1198" s="2">
        <f t="shared" si="36"/>
        <v>1</v>
      </c>
      <c r="AI1198" t="s">
        <v>522</v>
      </c>
      <c r="AJ1198" t="s">
        <v>523</v>
      </c>
      <c r="AK1198" t="s">
        <v>524</v>
      </c>
      <c r="AL1198" t="s">
        <v>86</v>
      </c>
      <c r="AM1198">
        <v>574536</v>
      </c>
      <c r="AN1198">
        <f t="shared" si="37"/>
        <v>557299.92000000004</v>
      </c>
      <c r="AO1198" t="s">
        <v>66</v>
      </c>
      <c r="AP1198">
        <v>3</v>
      </c>
      <c r="AQ1198" t="s">
        <v>66</v>
      </c>
      <c r="AR1198">
        <v>0</v>
      </c>
      <c r="AS1198" t="s">
        <v>66</v>
      </c>
      <c r="AT1198">
        <v>0</v>
      </c>
      <c r="AU1198" t="s">
        <v>66</v>
      </c>
      <c r="AV1198">
        <v>0</v>
      </c>
      <c r="AW1198" t="s">
        <v>66</v>
      </c>
      <c r="AX1198">
        <v>0</v>
      </c>
      <c r="AY1198" t="s">
        <v>66</v>
      </c>
      <c r="AZ1198">
        <v>0</v>
      </c>
      <c r="BA1198" t="s">
        <v>66</v>
      </c>
      <c r="BB1198">
        <v>0</v>
      </c>
      <c r="BC1198">
        <v>0</v>
      </c>
      <c r="BD1198">
        <v>557299.92000000004</v>
      </c>
      <c r="BE1198">
        <v>110461.05</v>
      </c>
      <c r="BF1198">
        <v>0</v>
      </c>
      <c r="BG1198" t="s">
        <v>87</v>
      </c>
      <c r="BH1198" t="s">
        <v>66</v>
      </c>
      <c r="BI1198">
        <v>0</v>
      </c>
      <c r="BJ1198" t="s">
        <v>66</v>
      </c>
      <c r="BK1198" t="s">
        <v>88</v>
      </c>
      <c r="BL1198" t="s">
        <v>66</v>
      </c>
      <c r="BM1198" t="s">
        <v>159</v>
      </c>
    </row>
    <row r="1199" spans="1:65" x14ac:dyDescent="0.25">
      <c r="A1199">
        <v>1197</v>
      </c>
      <c r="B1199" t="s">
        <v>1429</v>
      </c>
      <c r="C1199" t="s">
        <v>66</v>
      </c>
      <c r="D1199" s="1">
        <v>46217</v>
      </c>
      <c r="E1199" t="s">
        <v>1430</v>
      </c>
      <c r="F1199" t="s">
        <v>68</v>
      </c>
      <c r="G1199" t="s">
        <v>69</v>
      </c>
      <c r="H1199" t="s">
        <v>70</v>
      </c>
      <c r="I1199" t="s">
        <v>71</v>
      </c>
      <c r="J1199" t="s">
        <v>72</v>
      </c>
      <c r="K1199" t="s">
        <v>73</v>
      </c>
      <c r="L1199" t="s">
        <v>74</v>
      </c>
      <c r="M1199" t="s">
        <v>571</v>
      </c>
      <c r="N1199" t="s">
        <v>76</v>
      </c>
      <c r="O1199" t="s">
        <v>572</v>
      </c>
      <c r="P1199" t="s">
        <v>573</v>
      </c>
      <c r="Q1199" t="s">
        <v>1431</v>
      </c>
      <c r="R1199" s="1">
        <v>46219</v>
      </c>
      <c r="S1199" t="s">
        <v>575</v>
      </c>
      <c r="T1199" t="s">
        <v>576</v>
      </c>
      <c r="U1199" t="s">
        <v>577</v>
      </c>
      <c r="V1199" t="s">
        <v>66</v>
      </c>
      <c r="W1199" t="s">
        <v>66</v>
      </c>
      <c r="X1199">
        <v>6466602</v>
      </c>
      <c r="Y1199">
        <v>711326.22</v>
      </c>
      <c r="Z1199">
        <v>1129080</v>
      </c>
      <c r="AA1199">
        <v>124198.8</v>
      </c>
      <c r="AB1199">
        <v>7177928.2199999997</v>
      </c>
      <c r="AC1199">
        <v>5</v>
      </c>
      <c r="AD1199" t="s">
        <v>134</v>
      </c>
      <c r="AE1199">
        <v>60</v>
      </c>
      <c r="AF1199" t="s">
        <v>284</v>
      </c>
      <c r="AG1199">
        <f>IFERROR(VLOOKUP(AF1199,[1]STOK!J:O,6,0),"")</f>
        <v>12</v>
      </c>
      <c r="AH1199" s="2">
        <f t="shared" si="36"/>
        <v>5</v>
      </c>
      <c r="AI1199" t="s">
        <v>284</v>
      </c>
      <c r="AJ1199" t="s">
        <v>285</v>
      </c>
      <c r="AK1199" t="s">
        <v>286</v>
      </c>
      <c r="AL1199" t="s">
        <v>86</v>
      </c>
      <c r="AM1199">
        <v>258408</v>
      </c>
      <c r="AN1199">
        <f t="shared" si="37"/>
        <v>250655.76</v>
      </c>
      <c r="AO1199" t="s">
        <v>66</v>
      </c>
      <c r="AP1199">
        <v>3</v>
      </c>
      <c r="AQ1199" t="s">
        <v>66</v>
      </c>
      <c r="AR1199">
        <v>0</v>
      </c>
      <c r="AS1199" t="s">
        <v>66</v>
      </c>
      <c r="AT1199">
        <v>0</v>
      </c>
      <c r="AU1199" t="s">
        <v>66</v>
      </c>
      <c r="AV1199">
        <v>0</v>
      </c>
      <c r="AW1199" t="s">
        <v>66</v>
      </c>
      <c r="AX1199">
        <v>0</v>
      </c>
      <c r="AY1199" t="s">
        <v>66</v>
      </c>
      <c r="AZ1199">
        <v>0</v>
      </c>
      <c r="BA1199" t="s">
        <v>66</v>
      </c>
      <c r="BB1199">
        <v>0</v>
      </c>
      <c r="BC1199">
        <v>0</v>
      </c>
      <c r="BD1199">
        <v>1253278.8</v>
      </c>
      <c r="BE1199">
        <v>17160.12</v>
      </c>
      <c r="BF1199">
        <v>0</v>
      </c>
      <c r="BG1199" t="s">
        <v>87</v>
      </c>
      <c r="BH1199" t="s">
        <v>1432</v>
      </c>
      <c r="BI1199">
        <v>60</v>
      </c>
      <c r="BJ1199" t="s">
        <v>209</v>
      </c>
      <c r="BK1199" t="s">
        <v>88</v>
      </c>
      <c r="BL1199" t="s">
        <v>66</v>
      </c>
      <c r="BM1199" t="s">
        <v>159</v>
      </c>
    </row>
    <row r="1200" spans="1:65" x14ac:dyDescent="0.25">
      <c r="A1200">
        <v>1198</v>
      </c>
      <c r="B1200" t="s">
        <v>1429</v>
      </c>
      <c r="C1200" t="s">
        <v>66</v>
      </c>
      <c r="D1200" s="1">
        <v>46217</v>
      </c>
      <c r="E1200" t="s">
        <v>1430</v>
      </c>
      <c r="F1200" t="s">
        <v>68</v>
      </c>
      <c r="G1200" t="s">
        <v>69</v>
      </c>
      <c r="H1200" t="s">
        <v>70</v>
      </c>
      <c r="I1200" t="s">
        <v>71</v>
      </c>
      <c r="J1200" t="s">
        <v>72</v>
      </c>
      <c r="K1200" t="s">
        <v>73</v>
      </c>
      <c r="L1200" t="s">
        <v>74</v>
      </c>
      <c r="M1200" t="s">
        <v>571</v>
      </c>
      <c r="N1200" t="s">
        <v>76</v>
      </c>
      <c r="O1200" t="s">
        <v>572</v>
      </c>
      <c r="P1200" t="s">
        <v>573</v>
      </c>
      <c r="Q1200" t="s">
        <v>1431</v>
      </c>
      <c r="R1200" s="1">
        <v>46219</v>
      </c>
      <c r="S1200" t="s">
        <v>575</v>
      </c>
      <c r="T1200" t="s">
        <v>576</v>
      </c>
      <c r="U1200" t="s">
        <v>577</v>
      </c>
      <c r="V1200" t="s">
        <v>66</v>
      </c>
      <c r="W1200" t="s">
        <v>66</v>
      </c>
      <c r="X1200">
        <v>6466602</v>
      </c>
      <c r="Y1200">
        <v>711326.22</v>
      </c>
      <c r="Z1200">
        <v>1129080</v>
      </c>
      <c r="AA1200">
        <v>124198.8</v>
      </c>
      <c r="AB1200">
        <v>7177928.2199999997</v>
      </c>
      <c r="AC1200">
        <v>5</v>
      </c>
      <c r="AD1200" t="s">
        <v>134</v>
      </c>
      <c r="AE1200">
        <v>60</v>
      </c>
      <c r="AF1200" t="s">
        <v>284</v>
      </c>
      <c r="AG1200">
        <f>IFERROR(VLOOKUP(AF1200,[1]STOK!J:O,6,0),"")</f>
        <v>12</v>
      </c>
      <c r="AH1200" s="2">
        <f t="shared" si="36"/>
        <v>5</v>
      </c>
      <c r="AI1200" t="s">
        <v>284</v>
      </c>
      <c r="AJ1200" t="s">
        <v>285</v>
      </c>
      <c r="AK1200" t="s">
        <v>286</v>
      </c>
      <c r="AL1200" t="s">
        <v>86</v>
      </c>
      <c r="AM1200">
        <v>258408</v>
      </c>
      <c r="AN1200">
        <f t="shared" si="37"/>
        <v>250655.76</v>
      </c>
      <c r="AO1200" t="s">
        <v>66</v>
      </c>
      <c r="AP1200">
        <v>3</v>
      </c>
      <c r="AQ1200" t="s">
        <v>66</v>
      </c>
      <c r="AR1200">
        <v>0</v>
      </c>
      <c r="AS1200" t="s">
        <v>66</v>
      </c>
      <c r="AT1200">
        <v>0</v>
      </c>
      <c r="AU1200" t="s">
        <v>66</v>
      </c>
      <c r="AV1200">
        <v>0</v>
      </c>
      <c r="AW1200" t="s">
        <v>66</v>
      </c>
      <c r="AX1200">
        <v>0</v>
      </c>
      <c r="AY1200" t="s">
        <v>66</v>
      </c>
      <c r="AZ1200">
        <v>0</v>
      </c>
      <c r="BA1200" t="s">
        <v>66</v>
      </c>
      <c r="BB1200">
        <v>0</v>
      </c>
      <c r="BC1200">
        <v>0</v>
      </c>
      <c r="BD1200">
        <v>1253278.8</v>
      </c>
      <c r="BE1200">
        <v>17160.12</v>
      </c>
      <c r="BF1200">
        <v>0</v>
      </c>
      <c r="BG1200" t="s">
        <v>87</v>
      </c>
      <c r="BH1200" t="s">
        <v>1432</v>
      </c>
      <c r="BI1200">
        <v>60</v>
      </c>
      <c r="BJ1200" t="s">
        <v>209</v>
      </c>
      <c r="BK1200" t="s">
        <v>88</v>
      </c>
      <c r="BL1200" t="s">
        <v>66</v>
      </c>
      <c r="BM1200" t="s">
        <v>159</v>
      </c>
    </row>
    <row r="1201" spans="1:65" x14ac:dyDescent="0.25">
      <c r="A1201">
        <v>1199</v>
      </c>
      <c r="B1201" t="s">
        <v>1429</v>
      </c>
      <c r="C1201" t="s">
        <v>66</v>
      </c>
      <c r="D1201" s="1">
        <v>46217</v>
      </c>
      <c r="E1201" t="s">
        <v>1430</v>
      </c>
      <c r="F1201" t="s">
        <v>68</v>
      </c>
      <c r="G1201" t="s">
        <v>69</v>
      </c>
      <c r="H1201" t="s">
        <v>70</v>
      </c>
      <c r="I1201" t="s">
        <v>71</v>
      </c>
      <c r="J1201" t="s">
        <v>72</v>
      </c>
      <c r="K1201" t="s">
        <v>73</v>
      </c>
      <c r="L1201" t="s">
        <v>74</v>
      </c>
      <c r="M1201" t="s">
        <v>571</v>
      </c>
      <c r="N1201" t="s">
        <v>76</v>
      </c>
      <c r="O1201" t="s">
        <v>572</v>
      </c>
      <c r="P1201" t="s">
        <v>573</v>
      </c>
      <c r="Q1201" t="s">
        <v>1431</v>
      </c>
      <c r="R1201" s="1">
        <v>46219</v>
      </c>
      <c r="S1201" t="s">
        <v>575</v>
      </c>
      <c r="T1201" t="s">
        <v>576</v>
      </c>
      <c r="U1201" t="s">
        <v>577</v>
      </c>
      <c r="V1201" t="s">
        <v>66</v>
      </c>
      <c r="W1201" t="s">
        <v>66</v>
      </c>
      <c r="X1201">
        <v>6466602</v>
      </c>
      <c r="Y1201">
        <v>711326.22</v>
      </c>
      <c r="Z1201">
        <v>171108</v>
      </c>
      <c r="AA1201">
        <v>18821.88</v>
      </c>
      <c r="AB1201">
        <v>7177928.2199999997</v>
      </c>
      <c r="AC1201">
        <v>1</v>
      </c>
      <c r="AD1201" t="s">
        <v>134</v>
      </c>
      <c r="AE1201">
        <v>12</v>
      </c>
      <c r="AF1201" t="s">
        <v>473</v>
      </c>
      <c r="AG1201">
        <f>IFERROR(VLOOKUP(AF1201,[1]STOK!J:O,6,0),"")</f>
        <v>12</v>
      </c>
      <c r="AH1201" s="2">
        <f t="shared" si="36"/>
        <v>1</v>
      </c>
      <c r="AI1201" t="s">
        <v>473</v>
      </c>
      <c r="AJ1201" t="s">
        <v>474</v>
      </c>
      <c r="AK1201" t="s">
        <v>475</v>
      </c>
      <c r="AL1201" t="s">
        <v>86</v>
      </c>
      <c r="AM1201">
        <v>195804</v>
      </c>
      <c r="AN1201">
        <f t="shared" si="37"/>
        <v>189929.88</v>
      </c>
      <c r="AO1201" t="s">
        <v>66</v>
      </c>
      <c r="AP1201">
        <v>3</v>
      </c>
      <c r="AQ1201" t="s">
        <v>66</v>
      </c>
      <c r="AR1201">
        <v>0</v>
      </c>
      <c r="AS1201" t="s">
        <v>66</v>
      </c>
      <c r="AT1201">
        <v>0</v>
      </c>
      <c r="AU1201" t="s">
        <v>66</v>
      </c>
      <c r="AV1201">
        <v>0</v>
      </c>
      <c r="AW1201" t="s">
        <v>66</v>
      </c>
      <c r="AX1201">
        <v>0</v>
      </c>
      <c r="AY1201" t="s">
        <v>66</v>
      </c>
      <c r="AZ1201">
        <v>0</v>
      </c>
      <c r="BA1201" t="s">
        <v>66</v>
      </c>
      <c r="BB1201">
        <v>0</v>
      </c>
      <c r="BC1201">
        <v>0</v>
      </c>
      <c r="BD1201">
        <v>189929.88</v>
      </c>
      <c r="BE1201">
        <v>12750.39</v>
      </c>
      <c r="BF1201">
        <v>0</v>
      </c>
      <c r="BG1201" t="s">
        <v>87</v>
      </c>
      <c r="BH1201" t="s">
        <v>66</v>
      </c>
      <c r="BI1201">
        <v>0</v>
      </c>
      <c r="BJ1201" t="s">
        <v>66</v>
      </c>
      <c r="BK1201" t="s">
        <v>88</v>
      </c>
      <c r="BL1201" t="s">
        <v>66</v>
      </c>
      <c r="BM1201" t="s">
        <v>159</v>
      </c>
    </row>
    <row r="1202" spans="1:65" x14ac:dyDescent="0.25">
      <c r="A1202">
        <v>1200</v>
      </c>
      <c r="B1202" t="s">
        <v>1429</v>
      </c>
      <c r="C1202" t="s">
        <v>66</v>
      </c>
      <c r="D1202" s="1">
        <v>46217</v>
      </c>
      <c r="E1202" t="s">
        <v>1430</v>
      </c>
      <c r="F1202" t="s">
        <v>68</v>
      </c>
      <c r="G1202" t="s">
        <v>69</v>
      </c>
      <c r="H1202" t="s">
        <v>70</v>
      </c>
      <c r="I1202" t="s">
        <v>71</v>
      </c>
      <c r="J1202" t="s">
        <v>72</v>
      </c>
      <c r="K1202" t="s">
        <v>73</v>
      </c>
      <c r="L1202" t="s">
        <v>74</v>
      </c>
      <c r="M1202" t="s">
        <v>571</v>
      </c>
      <c r="N1202" t="s">
        <v>76</v>
      </c>
      <c r="O1202" t="s">
        <v>572</v>
      </c>
      <c r="P1202" t="s">
        <v>573</v>
      </c>
      <c r="Q1202" t="s">
        <v>1431</v>
      </c>
      <c r="R1202" s="1">
        <v>46219</v>
      </c>
      <c r="S1202" t="s">
        <v>575</v>
      </c>
      <c r="T1202" t="s">
        <v>576</v>
      </c>
      <c r="U1202" t="s">
        <v>577</v>
      </c>
      <c r="V1202" t="s">
        <v>66</v>
      </c>
      <c r="W1202" t="s">
        <v>66</v>
      </c>
      <c r="X1202">
        <v>6466602</v>
      </c>
      <c r="Y1202">
        <v>711326.22</v>
      </c>
      <c r="Z1202">
        <v>164706</v>
      </c>
      <c r="AA1202">
        <v>18117.66</v>
      </c>
      <c r="AB1202">
        <v>7177928.2199999997</v>
      </c>
      <c r="AC1202">
        <v>1</v>
      </c>
      <c r="AD1202" t="s">
        <v>134</v>
      </c>
      <c r="AE1202">
        <v>6</v>
      </c>
      <c r="AF1202" t="s">
        <v>1433</v>
      </c>
      <c r="AG1202">
        <f>IFERROR(VLOOKUP(AF1202,[1]STOK!J:O,6,0),"")</f>
        <v>6</v>
      </c>
      <c r="AH1202" s="2">
        <f t="shared" si="36"/>
        <v>1</v>
      </c>
      <c r="AI1202" t="s">
        <v>1433</v>
      </c>
      <c r="AJ1202" t="s">
        <v>1434</v>
      </c>
      <c r="AK1202" t="s">
        <v>1435</v>
      </c>
      <c r="AL1202" t="s">
        <v>86</v>
      </c>
      <c r="AM1202">
        <v>188478</v>
      </c>
      <c r="AN1202">
        <f t="shared" si="37"/>
        <v>182823.66</v>
      </c>
      <c r="AO1202" t="s">
        <v>66</v>
      </c>
      <c r="AP1202">
        <v>3</v>
      </c>
      <c r="AQ1202" t="s">
        <v>66</v>
      </c>
      <c r="AR1202">
        <v>0</v>
      </c>
      <c r="AS1202" t="s">
        <v>66</v>
      </c>
      <c r="AT1202">
        <v>0</v>
      </c>
      <c r="AU1202" t="s">
        <v>66</v>
      </c>
      <c r="AV1202">
        <v>0</v>
      </c>
      <c r="AW1202" t="s">
        <v>66</v>
      </c>
      <c r="AX1202">
        <v>0</v>
      </c>
      <c r="AY1202" t="s">
        <v>66</v>
      </c>
      <c r="AZ1202">
        <v>0</v>
      </c>
      <c r="BA1202" t="s">
        <v>66</v>
      </c>
      <c r="BB1202">
        <v>0</v>
      </c>
      <c r="BC1202">
        <v>0</v>
      </c>
      <c r="BD1202">
        <v>182823.66</v>
      </c>
      <c r="BE1202">
        <v>24158.22</v>
      </c>
      <c r="BF1202">
        <v>0</v>
      </c>
      <c r="BG1202" t="s">
        <v>87</v>
      </c>
      <c r="BH1202" t="s">
        <v>66</v>
      </c>
      <c r="BI1202">
        <v>0</v>
      </c>
      <c r="BJ1202" t="s">
        <v>66</v>
      </c>
      <c r="BK1202" t="s">
        <v>88</v>
      </c>
      <c r="BL1202" t="s">
        <v>66</v>
      </c>
      <c r="BM1202" t="s">
        <v>159</v>
      </c>
    </row>
    <row r="1203" spans="1:65" x14ac:dyDescent="0.25">
      <c r="A1203">
        <v>1201</v>
      </c>
      <c r="B1203" t="s">
        <v>1429</v>
      </c>
      <c r="C1203" t="s">
        <v>66</v>
      </c>
      <c r="D1203" s="1">
        <v>46217</v>
      </c>
      <c r="E1203" t="s">
        <v>1430</v>
      </c>
      <c r="F1203" t="s">
        <v>68</v>
      </c>
      <c r="G1203" t="s">
        <v>69</v>
      </c>
      <c r="H1203" t="s">
        <v>70</v>
      </c>
      <c r="I1203" t="s">
        <v>71</v>
      </c>
      <c r="J1203" t="s">
        <v>72</v>
      </c>
      <c r="K1203" t="s">
        <v>73</v>
      </c>
      <c r="L1203" t="s">
        <v>74</v>
      </c>
      <c r="M1203" t="s">
        <v>571</v>
      </c>
      <c r="N1203" t="s">
        <v>76</v>
      </c>
      <c r="O1203" t="s">
        <v>572</v>
      </c>
      <c r="P1203" t="s">
        <v>573</v>
      </c>
      <c r="Q1203" t="s">
        <v>1431</v>
      </c>
      <c r="R1203" s="1">
        <v>46219</v>
      </c>
      <c r="S1203" t="s">
        <v>575</v>
      </c>
      <c r="T1203" t="s">
        <v>576</v>
      </c>
      <c r="U1203" t="s">
        <v>577</v>
      </c>
      <c r="V1203" t="s">
        <v>66</v>
      </c>
      <c r="W1203" t="s">
        <v>66</v>
      </c>
      <c r="X1203">
        <v>6466602</v>
      </c>
      <c r="Y1203">
        <v>711326.22</v>
      </c>
      <c r="Z1203">
        <v>154812</v>
      </c>
      <c r="AA1203">
        <v>17029.32</v>
      </c>
      <c r="AB1203">
        <v>7177928.2199999997</v>
      </c>
      <c r="AC1203">
        <v>1</v>
      </c>
      <c r="AD1203" t="s">
        <v>134</v>
      </c>
      <c r="AE1203">
        <v>12</v>
      </c>
      <c r="AF1203" t="s">
        <v>135</v>
      </c>
      <c r="AG1203">
        <f>IFERROR(VLOOKUP(AF1203,[1]STOK!J:O,6,0),"")</f>
        <v>12</v>
      </c>
      <c r="AH1203" s="2">
        <f t="shared" si="36"/>
        <v>1</v>
      </c>
      <c r="AI1203" t="s">
        <v>135</v>
      </c>
      <c r="AJ1203" t="s">
        <v>136</v>
      </c>
      <c r="AK1203" t="s">
        <v>137</v>
      </c>
      <c r="AL1203" t="s">
        <v>86</v>
      </c>
      <c r="AM1203">
        <v>177156</v>
      </c>
      <c r="AN1203">
        <f t="shared" si="37"/>
        <v>171841.32</v>
      </c>
      <c r="AO1203" t="s">
        <v>66</v>
      </c>
      <c r="AP1203">
        <v>3</v>
      </c>
      <c r="AQ1203" t="s">
        <v>66</v>
      </c>
      <c r="AR1203">
        <v>0</v>
      </c>
      <c r="AS1203" t="s">
        <v>66</v>
      </c>
      <c r="AT1203">
        <v>0</v>
      </c>
      <c r="AU1203" t="s">
        <v>66</v>
      </c>
      <c r="AV1203">
        <v>0</v>
      </c>
      <c r="AW1203" t="s">
        <v>66</v>
      </c>
      <c r="AX1203">
        <v>0</v>
      </c>
      <c r="AY1203" t="s">
        <v>66</v>
      </c>
      <c r="AZ1203">
        <v>0</v>
      </c>
      <c r="BA1203" t="s">
        <v>66</v>
      </c>
      <c r="BB1203">
        <v>0</v>
      </c>
      <c r="BC1203">
        <v>0</v>
      </c>
      <c r="BD1203">
        <v>171841.32</v>
      </c>
      <c r="BE1203">
        <v>12032.04</v>
      </c>
      <c r="BF1203">
        <v>0</v>
      </c>
      <c r="BG1203" t="s">
        <v>87</v>
      </c>
      <c r="BH1203" t="s">
        <v>66</v>
      </c>
      <c r="BI1203">
        <v>0</v>
      </c>
      <c r="BJ1203" t="s">
        <v>66</v>
      </c>
      <c r="BK1203" t="s">
        <v>88</v>
      </c>
      <c r="BL1203" t="s">
        <v>66</v>
      </c>
      <c r="BM1203" t="s">
        <v>159</v>
      </c>
    </row>
    <row r="1204" spans="1:65" x14ac:dyDescent="0.25">
      <c r="A1204">
        <v>1202</v>
      </c>
      <c r="B1204" t="s">
        <v>1429</v>
      </c>
      <c r="C1204" t="s">
        <v>66</v>
      </c>
      <c r="D1204" s="1">
        <v>46217</v>
      </c>
      <c r="E1204" t="s">
        <v>1430</v>
      </c>
      <c r="F1204" t="s">
        <v>68</v>
      </c>
      <c r="G1204" t="s">
        <v>69</v>
      </c>
      <c r="H1204" t="s">
        <v>70</v>
      </c>
      <c r="I1204" t="s">
        <v>71</v>
      </c>
      <c r="J1204" t="s">
        <v>72</v>
      </c>
      <c r="K1204" t="s">
        <v>73</v>
      </c>
      <c r="L1204" t="s">
        <v>74</v>
      </c>
      <c r="M1204" t="s">
        <v>571</v>
      </c>
      <c r="N1204" t="s">
        <v>76</v>
      </c>
      <c r="O1204" t="s">
        <v>572</v>
      </c>
      <c r="P1204" t="s">
        <v>573</v>
      </c>
      <c r="Q1204" t="s">
        <v>1431</v>
      </c>
      <c r="R1204" s="1">
        <v>46219</v>
      </c>
      <c r="S1204" t="s">
        <v>575</v>
      </c>
      <c r="T1204" t="s">
        <v>576</v>
      </c>
      <c r="U1204" t="s">
        <v>577</v>
      </c>
      <c r="V1204" t="s">
        <v>66</v>
      </c>
      <c r="W1204" t="s">
        <v>66</v>
      </c>
      <c r="X1204">
        <v>6466602</v>
      </c>
      <c r="Y1204">
        <v>711326.22</v>
      </c>
      <c r="Z1204">
        <v>2211600</v>
      </c>
      <c r="AA1204">
        <v>243276</v>
      </c>
      <c r="AB1204">
        <v>7177928.2199999997</v>
      </c>
      <c r="AC1204">
        <v>10</v>
      </c>
      <c r="AD1204" t="s">
        <v>134</v>
      </c>
      <c r="AE1204">
        <v>120</v>
      </c>
      <c r="AF1204" t="s">
        <v>290</v>
      </c>
      <c r="AG1204">
        <f>IFERROR(VLOOKUP(AF1204,[1]STOK!J:O,6,0),"")</f>
        <v>12</v>
      </c>
      <c r="AH1204" s="2">
        <f t="shared" si="36"/>
        <v>10</v>
      </c>
      <c r="AI1204" t="s">
        <v>290</v>
      </c>
      <c r="AJ1204" t="s">
        <v>291</v>
      </c>
      <c r="AK1204" t="s">
        <v>292</v>
      </c>
      <c r="AL1204" t="s">
        <v>86</v>
      </c>
      <c r="AM1204">
        <v>266400</v>
      </c>
      <c r="AN1204">
        <f t="shared" si="37"/>
        <v>245487.6</v>
      </c>
      <c r="AO1204" t="s">
        <v>66</v>
      </c>
      <c r="AP1204">
        <v>3</v>
      </c>
      <c r="AQ1204" t="s">
        <v>66</v>
      </c>
      <c r="AR1204">
        <v>0</v>
      </c>
      <c r="AS1204" t="s">
        <v>66</v>
      </c>
      <c r="AT1204">
        <v>0</v>
      </c>
      <c r="AU1204" t="s">
        <v>66</v>
      </c>
      <c r="AV1204">
        <v>5</v>
      </c>
      <c r="AW1204" t="s">
        <v>66</v>
      </c>
      <c r="AX1204">
        <v>0</v>
      </c>
      <c r="AY1204" t="s">
        <v>66</v>
      </c>
      <c r="AZ1204">
        <v>0</v>
      </c>
      <c r="BA1204" t="s">
        <v>66</v>
      </c>
      <c r="BB1204">
        <v>0</v>
      </c>
      <c r="BC1204">
        <v>0</v>
      </c>
      <c r="BD1204">
        <v>2454876</v>
      </c>
      <c r="BE1204">
        <v>18155.62</v>
      </c>
      <c r="BF1204">
        <v>0</v>
      </c>
      <c r="BG1204" t="s">
        <v>87</v>
      </c>
      <c r="BH1204" t="s">
        <v>66</v>
      </c>
      <c r="BI1204">
        <v>0</v>
      </c>
      <c r="BJ1204" t="s">
        <v>66</v>
      </c>
      <c r="BK1204" t="s">
        <v>88</v>
      </c>
      <c r="BL1204" t="s">
        <v>66</v>
      </c>
      <c r="BM1204" t="s">
        <v>159</v>
      </c>
    </row>
    <row r="1205" spans="1:65" x14ac:dyDescent="0.25">
      <c r="A1205">
        <v>1203</v>
      </c>
      <c r="B1205" t="s">
        <v>1436</v>
      </c>
      <c r="C1205" t="s">
        <v>68</v>
      </c>
      <c r="D1205" s="1">
        <v>46217</v>
      </c>
      <c r="E1205" t="s">
        <v>1437</v>
      </c>
      <c r="F1205" t="s">
        <v>68</v>
      </c>
      <c r="G1205" t="s">
        <v>69</v>
      </c>
      <c r="H1205" t="s">
        <v>70</v>
      </c>
      <c r="I1205" t="s">
        <v>71</v>
      </c>
      <c r="J1205" t="s">
        <v>72</v>
      </c>
      <c r="K1205" t="s">
        <v>73</v>
      </c>
      <c r="L1205" t="s">
        <v>74</v>
      </c>
      <c r="M1205" t="s">
        <v>958</v>
      </c>
      <c r="N1205" t="s">
        <v>76</v>
      </c>
      <c r="O1205" t="s">
        <v>959</v>
      </c>
      <c r="P1205" t="s">
        <v>960</v>
      </c>
      <c r="Q1205" t="s">
        <v>1438</v>
      </c>
      <c r="R1205" s="1">
        <v>46219</v>
      </c>
      <c r="S1205" t="s">
        <v>962</v>
      </c>
      <c r="T1205" t="s">
        <v>963</v>
      </c>
      <c r="U1205" t="s">
        <v>964</v>
      </c>
      <c r="V1205" t="s">
        <v>66</v>
      </c>
      <c r="W1205" t="s">
        <v>66</v>
      </c>
      <c r="X1205">
        <v>538932</v>
      </c>
      <c r="Y1205">
        <v>59282.52</v>
      </c>
      <c r="Z1205">
        <v>122220</v>
      </c>
      <c r="AA1205">
        <v>13444.2</v>
      </c>
      <c r="AB1205">
        <v>598214.52</v>
      </c>
      <c r="AC1205">
        <v>12</v>
      </c>
      <c r="AD1205" t="s">
        <v>82</v>
      </c>
      <c r="AE1205">
        <v>12</v>
      </c>
      <c r="AF1205" t="s">
        <v>1439</v>
      </c>
      <c r="AG1205">
        <f>IFERROR(VLOOKUP(AF1205,[1]STOK!J:O,6,0),"")</f>
        <v>24</v>
      </c>
      <c r="AH1205" s="2">
        <f t="shared" si="36"/>
        <v>0.5</v>
      </c>
      <c r="AI1205" t="s">
        <v>1439</v>
      </c>
      <c r="AJ1205" t="s">
        <v>1440</v>
      </c>
      <c r="AK1205" t="s">
        <v>1441</v>
      </c>
      <c r="AL1205" t="s">
        <v>86</v>
      </c>
      <c r="AM1205">
        <v>11655</v>
      </c>
      <c r="AN1205">
        <f t="shared" si="37"/>
        <v>11305.35</v>
      </c>
      <c r="AO1205" t="s">
        <v>66</v>
      </c>
      <c r="AP1205">
        <v>3</v>
      </c>
      <c r="AQ1205" t="s">
        <v>66</v>
      </c>
      <c r="AR1205">
        <v>0</v>
      </c>
      <c r="AS1205" t="s">
        <v>66</v>
      </c>
      <c r="AT1205">
        <v>0</v>
      </c>
      <c r="AU1205" t="s">
        <v>66</v>
      </c>
      <c r="AV1205">
        <v>0</v>
      </c>
      <c r="AW1205" t="s">
        <v>66</v>
      </c>
      <c r="AX1205">
        <v>0</v>
      </c>
      <c r="AY1205" t="s">
        <v>66</v>
      </c>
      <c r="AZ1205">
        <v>0</v>
      </c>
      <c r="BA1205" t="s">
        <v>66</v>
      </c>
      <c r="BB1205">
        <v>0</v>
      </c>
      <c r="BC1205">
        <v>0</v>
      </c>
      <c r="BD1205">
        <v>135664.20000000001</v>
      </c>
      <c r="BE1205">
        <v>8868.7999999999993</v>
      </c>
      <c r="BF1205">
        <v>0</v>
      </c>
      <c r="BG1205" t="s">
        <v>87</v>
      </c>
      <c r="BH1205" t="s">
        <v>66</v>
      </c>
      <c r="BI1205">
        <v>0</v>
      </c>
      <c r="BJ1205" t="s">
        <v>66</v>
      </c>
      <c r="BK1205" t="s">
        <v>88</v>
      </c>
      <c r="BL1205" t="s">
        <v>965</v>
      </c>
      <c r="BM1205" t="s">
        <v>159</v>
      </c>
    </row>
    <row r="1206" spans="1:65" x14ac:dyDescent="0.25">
      <c r="A1206">
        <v>1204</v>
      </c>
      <c r="B1206" t="s">
        <v>1436</v>
      </c>
      <c r="C1206" t="s">
        <v>68</v>
      </c>
      <c r="D1206" s="1">
        <v>46217</v>
      </c>
      <c r="E1206" t="s">
        <v>1437</v>
      </c>
      <c r="F1206" t="s">
        <v>68</v>
      </c>
      <c r="G1206" t="s">
        <v>69</v>
      </c>
      <c r="H1206" t="s">
        <v>70</v>
      </c>
      <c r="I1206" t="s">
        <v>71</v>
      </c>
      <c r="J1206" t="s">
        <v>72</v>
      </c>
      <c r="K1206" t="s">
        <v>73</v>
      </c>
      <c r="L1206" t="s">
        <v>74</v>
      </c>
      <c r="M1206" t="s">
        <v>958</v>
      </c>
      <c r="N1206" t="s">
        <v>76</v>
      </c>
      <c r="O1206" t="s">
        <v>959</v>
      </c>
      <c r="P1206" t="s">
        <v>960</v>
      </c>
      <c r="Q1206" t="s">
        <v>1438</v>
      </c>
      <c r="R1206" s="1">
        <v>46219</v>
      </c>
      <c r="S1206" t="s">
        <v>962</v>
      </c>
      <c r="T1206" t="s">
        <v>963</v>
      </c>
      <c r="U1206" t="s">
        <v>964</v>
      </c>
      <c r="V1206" t="s">
        <v>66</v>
      </c>
      <c r="W1206" t="s">
        <v>66</v>
      </c>
      <c r="X1206">
        <v>538932</v>
      </c>
      <c r="Y1206">
        <v>59282.52</v>
      </c>
      <c r="Z1206">
        <v>29100</v>
      </c>
      <c r="AA1206">
        <v>3201</v>
      </c>
      <c r="AB1206">
        <v>598214.52</v>
      </c>
      <c r="AC1206">
        <v>12</v>
      </c>
      <c r="AD1206" t="s">
        <v>82</v>
      </c>
      <c r="AE1206">
        <v>12</v>
      </c>
      <c r="AF1206" t="s">
        <v>185</v>
      </c>
      <c r="AG1206">
        <f>IFERROR(VLOOKUP(AF1206,[1]STOK!J:O,6,0),"")</f>
        <v>72</v>
      </c>
      <c r="AH1206" s="2">
        <f t="shared" si="36"/>
        <v>0.16666666666666666</v>
      </c>
      <c r="AI1206" t="s">
        <v>185</v>
      </c>
      <c r="AJ1206" t="s">
        <v>186</v>
      </c>
      <c r="AK1206" t="s">
        <v>187</v>
      </c>
      <c r="AL1206" t="s">
        <v>86</v>
      </c>
      <c r="AM1206">
        <v>2775</v>
      </c>
      <c r="AN1206">
        <f t="shared" si="37"/>
        <v>2691.75</v>
      </c>
      <c r="AO1206" t="s">
        <v>66</v>
      </c>
      <c r="AP1206">
        <v>3</v>
      </c>
      <c r="AQ1206" t="s">
        <v>66</v>
      </c>
      <c r="AR1206">
        <v>0</v>
      </c>
      <c r="AS1206" t="s">
        <v>66</v>
      </c>
      <c r="AT1206">
        <v>0</v>
      </c>
      <c r="AU1206" t="s">
        <v>66</v>
      </c>
      <c r="AV1206">
        <v>0</v>
      </c>
      <c r="AW1206" t="s">
        <v>66</v>
      </c>
      <c r="AX1206">
        <v>0</v>
      </c>
      <c r="AY1206" t="s">
        <v>66</v>
      </c>
      <c r="AZ1206">
        <v>0</v>
      </c>
      <c r="BA1206" t="s">
        <v>66</v>
      </c>
      <c r="BB1206">
        <v>0</v>
      </c>
      <c r="BC1206">
        <v>0</v>
      </c>
      <c r="BD1206">
        <v>32301</v>
      </c>
      <c r="BE1206">
        <v>2170.21</v>
      </c>
      <c r="BF1206">
        <v>0</v>
      </c>
      <c r="BG1206" t="s">
        <v>87</v>
      </c>
      <c r="BH1206" t="s">
        <v>66</v>
      </c>
      <c r="BI1206">
        <v>0</v>
      </c>
      <c r="BJ1206" t="s">
        <v>66</v>
      </c>
      <c r="BK1206" t="s">
        <v>88</v>
      </c>
      <c r="BL1206" t="s">
        <v>965</v>
      </c>
      <c r="BM1206" t="s">
        <v>159</v>
      </c>
    </row>
    <row r="1207" spans="1:65" x14ac:dyDescent="0.25">
      <c r="A1207">
        <v>1205</v>
      </c>
      <c r="B1207" t="s">
        <v>1436</v>
      </c>
      <c r="C1207" t="s">
        <v>68</v>
      </c>
      <c r="D1207" s="1">
        <v>46217</v>
      </c>
      <c r="E1207" t="s">
        <v>1437</v>
      </c>
      <c r="F1207" t="s">
        <v>68</v>
      </c>
      <c r="G1207" t="s">
        <v>69</v>
      </c>
      <c r="H1207" t="s">
        <v>70</v>
      </c>
      <c r="I1207" t="s">
        <v>71</v>
      </c>
      <c r="J1207" t="s">
        <v>72</v>
      </c>
      <c r="K1207" t="s">
        <v>73</v>
      </c>
      <c r="L1207" t="s">
        <v>74</v>
      </c>
      <c r="M1207" t="s">
        <v>958</v>
      </c>
      <c r="N1207" t="s">
        <v>76</v>
      </c>
      <c r="O1207" t="s">
        <v>959</v>
      </c>
      <c r="P1207" t="s">
        <v>960</v>
      </c>
      <c r="Q1207" t="s">
        <v>1438</v>
      </c>
      <c r="R1207" s="1">
        <v>46219</v>
      </c>
      <c r="S1207" t="s">
        <v>962</v>
      </c>
      <c r="T1207" t="s">
        <v>963</v>
      </c>
      <c r="U1207" t="s">
        <v>964</v>
      </c>
      <c r="V1207" t="s">
        <v>66</v>
      </c>
      <c r="W1207" t="s">
        <v>66</v>
      </c>
      <c r="X1207">
        <v>538932</v>
      </c>
      <c r="Y1207">
        <v>59282.52</v>
      </c>
      <c r="Z1207">
        <v>154812</v>
      </c>
      <c r="AA1207">
        <v>17029.32</v>
      </c>
      <c r="AB1207">
        <v>598214.52</v>
      </c>
      <c r="AC1207">
        <v>1</v>
      </c>
      <c r="AD1207" t="s">
        <v>134</v>
      </c>
      <c r="AE1207">
        <v>12</v>
      </c>
      <c r="AF1207" t="s">
        <v>210</v>
      </c>
      <c r="AG1207">
        <f>IFERROR(VLOOKUP(AF1207,[1]STOK!J:O,6,0),"")</f>
        <v>12</v>
      </c>
      <c r="AH1207" s="2">
        <f t="shared" si="36"/>
        <v>1</v>
      </c>
      <c r="AI1207" t="s">
        <v>210</v>
      </c>
      <c r="AJ1207" t="s">
        <v>211</v>
      </c>
      <c r="AK1207" t="s">
        <v>212</v>
      </c>
      <c r="AL1207" t="s">
        <v>86</v>
      </c>
      <c r="AM1207">
        <v>177156</v>
      </c>
      <c r="AN1207">
        <f t="shared" si="37"/>
        <v>171841.32</v>
      </c>
      <c r="AO1207" t="s">
        <v>66</v>
      </c>
      <c r="AP1207">
        <v>3</v>
      </c>
      <c r="AQ1207" t="s">
        <v>66</v>
      </c>
      <c r="AR1207">
        <v>0</v>
      </c>
      <c r="AS1207" t="s">
        <v>66</v>
      </c>
      <c r="AT1207">
        <v>0</v>
      </c>
      <c r="AU1207" t="s">
        <v>66</v>
      </c>
      <c r="AV1207">
        <v>0</v>
      </c>
      <c r="AW1207" t="s">
        <v>66</v>
      </c>
      <c r="AX1207">
        <v>0</v>
      </c>
      <c r="AY1207" t="s">
        <v>66</v>
      </c>
      <c r="AZ1207">
        <v>0</v>
      </c>
      <c r="BA1207" t="s">
        <v>66</v>
      </c>
      <c r="BB1207">
        <v>0</v>
      </c>
      <c r="BC1207">
        <v>0</v>
      </c>
      <c r="BD1207">
        <v>171841.32</v>
      </c>
      <c r="BE1207">
        <v>11818.77</v>
      </c>
      <c r="BF1207">
        <v>0</v>
      </c>
      <c r="BG1207" t="s">
        <v>87</v>
      </c>
      <c r="BH1207" t="s">
        <v>66</v>
      </c>
      <c r="BI1207">
        <v>0</v>
      </c>
      <c r="BJ1207" t="s">
        <v>66</v>
      </c>
      <c r="BK1207" t="s">
        <v>88</v>
      </c>
      <c r="BL1207" t="s">
        <v>965</v>
      </c>
      <c r="BM1207" t="s">
        <v>159</v>
      </c>
    </row>
    <row r="1208" spans="1:65" x14ac:dyDescent="0.25">
      <c r="A1208">
        <v>1206</v>
      </c>
      <c r="B1208" t="s">
        <v>1436</v>
      </c>
      <c r="C1208" t="s">
        <v>68</v>
      </c>
      <c r="D1208" s="1">
        <v>46217</v>
      </c>
      <c r="E1208" t="s">
        <v>1437</v>
      </c>
      <c r="F1208" t="s">
        <v>68</v>
      </c>
      <c r="G1208" t="s">
        <v>69</v>
      </c>
      <c r="H1208" t="s">
        <v>70</v>
      </c>
      <c r="I1208" t="s">
        <v>71</v>
      </c>
      <c r="J1208" t="s">
        <v>72</v>
      </c>
      <c r="K1208" t="s">
        <v>73</v>
      </c>
      <c r="L1208" t="s">
        <v>74</v>
      </c>
      <c r="M1208" t="s">
        <v>958</v>
      </c>
      <c r="N1208" t="s">
        <v>76</v>
      </c>
      <c r="O1208" t="s">
        <v>959</v>
      </c>
      <c r="P1208" t="s">
        <v>960</v>
      </c>
      <c r="Q1208" t="s">
        <v>1438</v>
      </c>
      <c r="R1208" s="1">
        <v>46219</v>
      </c>
      <c r="S1208" t="s">
        <v>962</v>
      </c>
      <c r="T1208" t="s">
        <v>963</v>
      </c>
      <c r="U1208" t="s">
        <v>964</v>
      </c>
      <c r="V1208" t="s">
        <v>66</v>
      </c>
      <c r="W1208" t="s">
        <v>66</v>
      </c>
      <c r="X1208">
        <v>538932</v>
      </c>
      <c r="Y1208">
        <v>59282.52</v>
      </c>
      <c r="Z1208">
        <v>232800</v>
      </c>
      <c r="AA1208">
        <v>25608</v>
      </c>
      <c r="AB1208">
        <v>598214.52</v>
      </c>
      <c r="AC1208">
        <v>1</v>
      </c>
      <c r="AD1208" t="s">
        <v>134</v>
      </c>
      <c r="AE1208">
        <v>12</v>
      </c>
      <c r="AF1208" t="s">
        <v>102</v>
      </c>
      <c r="AG1208">
        <f>IFERROR(VLOOKUP(AF1208,[1]STOK!J:O,6,0),"")</f>
        <v>12</v>
      </c>
      <c r="AH1208" s="2">
        <f t="shared" si="36"/>
        <v>1</v>
      </c>
      <c r="AI1208" t="s">
        <v>102</v>
      </c>
      <c r="AJ1208" t="s">
        <v>103</v>
      </c>
      <c r="AK1208" t="s">
        <v>104</v>
      </c>
      <c r="AL1208" t="s">
        <v>86</v>
      </c>
      <c r="AM1208">
        <v>266400</v>
      </c>
      <c r="AN1208">
        <f t="shared" si="37"/>
        <v>258408</v>
      </c>
      <c r="AO1208" t="s">
        <v>66</v>
      </c>
      <c r="AP1208">
        <v>3</v>
      </c>
      <c r="AQ1208" t="s">
        <v>66</v>
      </c>
      <c r="AR1208">
        <v>0</v>
      </c>
      <c r="AS1208" t="s">
        <v>66</v>
      </c>
      <c r="AT1208">
        <v>0</v>
      </c>
      <c r="AU1208" t="s">
        <v>66</v>
      </c>
      <c r="AV1208">
        <v>0</v>
      </c>
      <c r="AW1208" t="s">
        <v>66</v>
      </c>
      <c r="AX1208">
        <v>0</v>
      </c>
      <c r="AY1208" t="s">
        <v>66</v>
      </c>
      <c r="AZ1208">
        <v>0</v>
      </c>
      <c r="BA1208" t="s">
        <v>66</v>
      </c>
      <c r="BB1208">
        <v>0</v>
      </c>
      <c r="BC1208">
        <v>0</v>
      </c>
      <c r="BD1208">
        <v>258408</v>
      </c>
      <c r="BE1208">
        <v>17828.62</v>
      </c>
      <c r="BF1208">
        <v>0</v>
      </c>
      <c r="BG1208" t="s">
        <v>87</v>
      </c>
      <c r="BH1208" t="s">
        <v>66</v>
      </c>
      <c r="BI1208">
        <v>0</v>
      </c>
      <c r="BJ1208" t="s">
        <v>66</v>
      </c>
      <c r="BK1208" t="s">
        <v>88</v>
      </c>
      <c r="BL1208" t="s">
        <v>965</v>
      </c>
      <c r="BM1208" t="s">
        <v>159</v>
      </c>
    </row>
    <row r="1209" spans="1:65" x14ac:dyDescent="0.25">
      <c r="A1209">
        <v>1207</v>
      </c>
      <c r="B1209" t="s">
        <v>1442</v>
      </c>
      <c r="C1209" t="s">
        <v>68</v>
      </c>
      <c r="D1209" s="1">
        <v>46217</v>
      </c>
      <c r="E1209" t="s">
        <v>1443</v>
      </c>
      <c r="F1209" t="s">
        <v>68</v>
      </c>
      <c r="G1209" t="s">
        <v>69</v>
      </c>
      <c r="H1209" t="s">
        <v>70</v>
      </c>
      <c r="I1209" t="s">
        <v>71</v>
      </c>
      <c r="J1209" t="s">
        <v>72</v>
      </c>
      <c r="K1209" t="s">
        <v>73</v>
      </c>
      <c r="L1209" t="s">
        <v>74</v>
      </c>
      <c r="M1209" t="s">
        <v>968</v>
      </c>
      <c r="N1209" t="s">
        <v>76</v>
      </c>
      <c r="O1209" t="s">
        <v>969</v>
      </c>
      <c r="P1209" t="s">
        <v>970</v>
      </c>
      <c r="Q1209" t="s">
        <v>1444</v>
      </c>
      <c r="R1209" s="1">
        <v>46220</v>
      </c>
      <c r="S1209" t="s">
        <v>962</v>
      </c>
      <c r="T1209" t="s">
        <v>963</v>
      </c>
      <c r="U1209" t="s">
        <v>964</v>
      </c>
      <c r="V1209" t="s">
        <v>66</v>
      </c>
      <c r="W1209" t="s">
        <v>66</v>
      </c>
      <c r="X1209">
        <v>847392</v>
      </c>
      <c r="Y1209">
        <v>93213.119999999995</v>
      </c>
      <c r="Z1209">
        <v>122220</v>
      </c>
      <c r="AA1209">
        <v>13444.2</v>
      </c>
      <c r="AB1209">
        <v>940605.12</v>
      </c>
      <c r="AC1209">
        <v>12</v>
      </c>
      <c r="AD1209" t="s">
        <v>82</v>
      </c>
      <c r="AE1209">
        <v>12</v>
      </c>
      <c r="AF1209" t="s">
        <v>1439</v>
      </c>
      <c r="AG1209">
        <f>IFERROR(VLOOKUP(AF1209,[1]STOK!J:O,6,0),"")</f>
        <v>24</v>
      </c>
      <c r="AH1209" s="2">
        <f t="shared" si="36"/>
        <v>0.5</v>
      </c>
      <c r="AI1209" t="s">
        <v>1439</v>
      </c>
      <c r="AJ1209" t="s">
        <v>1440</v>
      </c>
      <c r="AK1209" t="s">
        <v>1441</v>
      </c>
      <c r="AL1209" t="s">
        <v>86</v>
      </c>
      <c r="AM1209">
        <v>11655</v>
      </c>
      <c r="AN1209">
        <f t="shared" si="37"/>
        <v>11305.35</v>
      </c>
      <c r="AO1209" t="s">
        <v>66</v>
      </c>
      <c r="AP1209">
        <v>3</v>
      </c>
      <c r="AQ1209" t="s">
        <v>66</v>
      </c>
      <c r="AR1209">
        <v>0</v>
      </c>
      <c r="AS1209" t="s">
        <v>66</v>
      </c>
      <c r="AT1209">
        <v>0</v>
      </c>
      <c r="AU1209" t="s">
        <v>66</v>
      </c>
      <c r="AV1209">
        <v>0</v>
      </c>
      <c r="AW1209" t="s">
        <v>66</v>
      </c>
      <c r="AX1209">
        <v>0</v>
      </c>
      <c r="AY1209" t="s">
        <v>66</v>
      </c>
      <c r="AZ1209">
        <v>0</v>
      </c>
      <c r="BA1209" t="s">
        <v>66</v>
      </c>
      <c r="BB1209">
        <v>0</v>
      </c>
      <c r="BC1209">
        <v>0</v>
      </c>
      <c r="BD1209">
        <v>135664.20000000001</v>
      </c>
      <c r="BE1209">
        <v>8868.7999999999993</v>
      </c>
      <c r="BF1209">
        <v>0</v>
      </c>
      <c r="BG1209" t="s">
        <v>87</v>
      </c>
      <c r="BH1209" t="s">
        <v>66</v>
      </c>
      <c r="BI1209">
        <v>0</v>
      </c>
      <c r="BJ1209" t="s">
        <v>66</v>
      </c>
      <c r="BK1209" t="s">
        <v>88</v>
      </c>
      <c r="BL1209" t="s">
        <v>965</v>
      </c>
      <c r="BM1209" t="s">
        <v>159</v>
      </c>
    </row>
    <row r="1210" spans="1:65" x14ac:dyDescent="0.25">
      <c r="A1210">
        <v>1208</v>
      </c>
      <c r="B1210" t="s">
        <v>1442</v>
      </c>
      <c r="C1210" t="s">
        <v>68</v>
      </c>
      <c r="D1210" s="1">
        <v>46217</v>
      </c>
      <c r="E1210" t="s">
        <v>1443</v>
      </c>
      <c r="F1210" t="s">
        <v>68</v>
      </c>
      <c r="G1210" t="s">
        <v>69</v>
      </c>
      <c r="H1210" t="s">
        <v>70</v>
      </c>
      <c r="I1210" t="s">
        <v>71</v>
      </c>
      <c r="J1210" t="s">
        <v>72</v>
      </c>
      <c r="K1210" t="s">
        <v>73</v>
      </c>
      <c r="L1210" t="s">
        <v>74</v>
      </c>
      <c r="M1210" t="s">
        <v>968</v>
      </c>
      <c r="N1210" t="s">
        <v>76</v>
      </c>
      <c r="O1210" t="s">
        <v>969</v>
      </c>
      <c r="P1210" t="s">
        <v>970</v>
      </c>
      <c r="Q1210" t="s">
        <v>1444</v>
      </c>
      <c r="R1210" s="1">
        <v>46220</v>
      </c>
      <c r="S1210" t="s">
        <v>962</v>
      </c>
      <c r="T1210" t="s">
        <v>963</v>
      </c>
      <c r="U1210" t="s">
        <v>964</v>
      </c>
      <c r="V1210" t="s">
        <v>66</v>
      </c>
      <c r="W1210" t="s">
        <v>66</v>
      </c>
      <c r="X1210">
        <v>847392</v>
      </c>
      <c r="Y1210">
        <v>93213.119999999995</v>
      </c>
      <c r="Z1210">
        <v>91956</v>
      </c>
      <c r="AA1210">
        <v>10115.16</v>
      </c>
      <c r="AB1210">
        <v>940605.12</v>
      </c>
      <c r="AC1210">
        <v>12</v>
      </c>
      <c r="AD1210" t="s">
        <v>82</v>
      </c>
      <c r="AE1210">
        <v>12</v>
      </c>
      <c r="AF1210" t="s">
        <v>344</v>
      </c>
      <c r="AG1210">
        <f>IFERROR(VLOOKUP(AF1210,[1]STOK!J:O,6,0),"")</f>
        <v>24</v>
      </c>
      <c r="AH1210" s="2">
        <f t="shared" si="36"/>
        <v>0.5</v>
      </c>
      <c r="AI1210" t="s">
        <v>344</v>
      </c>
      <c r="AJ1210" t="s">
        <v>345</v>
      </c>
      <c r="AK1210" t="s">
        <v>346</v>
      </c>
      <c r="AL1210" t="s">
        <v>86</v>
      </c>
      <c r="AM1210">
        <v>8769</v>
      </c>
      <c r="AN1210">
        <f t="shared" si="37"/>
        <v>8505.93</v>
      </c>
      <c r="AO1210" t="s">
        <v>66</v>
      </c>
      <c r="AP1210">
        <v>3</v>
      </c>
      <c r="AQ1210" t="s">
        <v>66</v>
      </c>
      <c r="AR1210">
        <v>0</v>
      </c>
      <c r="AS1210" t="s">
        <v>66</v>
      </c>
      <c r="AT1210">
        <v>0</v>
      </c>
      <c r="AU1210" t="s">
        <v>66</v>
      </c>
      <c r="AV1210">
        <v>0</v>
      </c>
      <c r="AW1210" t="s">
        <v>66</v>
      </c>
      <c r="AX1210">
        <v>0</v>
      </c>
      <c r="AY1210" t="s">
        <v>66</v>
      </c>
      <c r="AZ1210">
        <v>0</v>
      </c>
      <c r="BA1210" t="s">
        <v>66</v>
      </c>
      <c r="BB1210">
        <v>0</v>
      </c>
      <c r="BC1210">
        <v>0</v>
      </c>
      <c r="BD1210">
        <v>102071.16</v>
      </c>
      <c r="BE1210">
        <v>6916.14</v>
      </c>
      <c r="BF1210">
        <v>0</v>
      </c>
      <c r="BG1210" t="s">
        <v>87</v>
      </c>
      <c r="BH1210" t="s">
        <v>66</v>
      </c>
      <c r="BI1210">
        <v>0</v>
      </c>
      <c r="BJ1210" t="s">
        <v>66</v>
      </c>
      <c r="BK1210" t="s">
        <v>88</v>
      </c>
      <c r="BL1210" t="s">
        <v>965</v>
      </c>
      <c r="BM1210" t="s">
        <v>159</v>
      </c>
    </row>
    <row r="1211" spans="1:65" x14ac:dyDescent="0.25">
      <c r="A1211">
        <v>1209</v>
      </c>
      <c r="B1211" t="s">
        <v>1442</v>
      </c>
      <c r="C1211" t="s">
        <v>68</v>
      </c>
      <c r="D1211" s="1">
        <v>46217</v>
      </c>
      <c r="E1211" t="s">
        <v>1443</v>
      </c>
      <c r="F1211" t="s">
        <v>68</v>
      </c>
      <c r="G1211" t="s">
        <v>69</v>
      </c>
      <c r="H1211" t="s">
        <v>70</v>
      </c>
      <c r="I1211" t="s">
        <v>71</v>
      </c>
      <c r="J1211" t="s">
        <v>72</v>
      </c>
      <c r="K1211" t="s">
        <v>73</v>
      </c>
      <c r="L1211" t="s">
        <v>74</v>
      </c>
      <c r="M1211" t="s">
        <v>968</v>
      </c>
      <c r="N1211" t="s">
        <v>76</v>
      </c>
      <c r="O1211" t="s">
        <v>969</v>
      </c>
      <c r="P1211" t="s">
        <v>970</v>
      </c>
      <c r="Q1211" t="s">
        <v>1444</v>
      </c>
      <c r="R1211" s="1">
        <v>46220</v>
      </c>
      <c r="S1211" t="s">
        <v>962</v>
      </c>
      <c r="T1211" t="s">
        <v>963</v>
      </c>
      <c r="U1211" t="s">
        <v>964</v>
      </c>
      <c r="V1211" t="s">
        <v>66</v>
      </c>
      <c r="W1211" t="s">
        <v>66</v>
      </c>
      <c r="X1211">
        <v>847392</v>
      </c>
      <c r="Y1211">
        <v>93213.119999999995</v>
      </c>
      <c r="Z1211">
        <v>465600</v>
      </c>
      <c r="AA1211">
        <v>51216</v>
      </c>
      <c r="AB1211">
        <v>940605.12</v>
      </c>
      <c r="AC1211">
        <v>2</v>
      </c>
      <c r="AD1211" t="s">
        <v>134</v>
      </c>
      <c r="AE1211">
        <v>24</v>
      </c>
      <c r="AF1211" t="s">
        <v>290</v>
      </c>
      <c r="AG1211">
        <f>IFERROR(VLOOKUP(AF1211,[1]STOK!J:O,6,0),"")</f>
        <v>12</v>
      </c>
      <c r="AH1211" s="2">
        <f t="shared" si="36"/>
        <v>2</v>
      </c>
      <c r="AI1211" t="s">
        <v>290</v>
      </c>
      <c r="AJ1211" t="s">
        <v>291</v>
      </c>
      <c r="AK1211" t="s">
        <v>292</v>
      </c>
      <c r="AL1211" t="s">
        <v>86</v>
      </c>
      <c r="AM1211">
        <v>266400</v>
      </c>
      <c r="AN1211">
        <f t="shared" si="37"/>
        <v>258408</v>
      </c>
      <c r="AO1211" t="s">
        <v>66</v>
      </c>
      <c r="AP1211">
        <v>3</v>
      </c>
      <c r="AQ1211" t="s">
        <v>66</v>
      </c>
      <c r="AR1211">
        <v>0</v>
      </c>
      <c r="AS1211" t="s">
        <v>66</v>
      </c>
      <c r="AT1211">
        <v>0</v>
      </c>
      <c r="AU1211" t="s">
        <v>66</v>
      </c>
      <c r="AV1211">
        <v>0</v>
      </c>
      <c r="AW1211" t="s">
        <v>66</v>
      </c>
      <c r="AX1211">
        <v>0</v>
      </c>
      <c r="AY1211" t="s">
        <v>66</v>
      </c>
      <c r="AZ1211">
        <v>0</v>
      </c>
      <c r="BA1211" t="s">
        <v>66</v>
      </c>
      <c r="BB1211">
        <v>0</v>
      </c>
      <c r="BC1211">
        <v>0</v>
      </c>
      <c r="BD1211">
        <v>516816</v>
      </c>
      <c r="BE1211">
        <v>18155.62</v>
      </c>
      <c r="BF1211">
        <v>0</v>
      </c>
      <c r="BG1211" t="s">
        <v>87</v>
      </c>
      <c r="BH1211" t="s">
        <v>66</v>
      </c>
      <c r="BI1211">
        <v>0</v>
      </c>
      <c r="BJ1211" t="s">
        <v>66</v>
      </c>
      <c r="BK1211" t="s">
        <v>88</v>
      </c>
      <c r="BL1211" t="s">
        <v>965</v>
      </c>
      <c r="BM1211" t="s">
        <v>159</v>
      </c>
    </row>
    <row r="1212" spans="1:65" x14ac:dyDescent="0.25">
      <c r="A1212">
        <v>1210</v>
      </c>
      <c r="B1212" t="s">
        <v>1442</v>
      </c>
      <c r="C1212" t="s">
        <v>68</v>
      </c>
      <c r="D1212" s="1">
        <v>46217</v>
      </c>
      <c r="E1212" t="s">
        <v>1443</v>
      </c>
      <c r="F1212" t="s">
        <v>68</v>
      </c>
      <c r="G1212" t="s">
        <v>69</v>
      </c>
      <c r="H1212" t="s">
        <v>70</v>
      </c>
      <c r="I1212" t="s">
        <v>71</v>
      </c>
      <c r="J1212" t="s">
        <v>72</v>
      </c>
      <c r="K1212" t="s">
        <v>73</v>
      </c>
      <c r="L1212" t="s">
        <v>74</v>
      </c>
      <c r="M1212" t="s">
        <v>968</v>
      </c>
      <c r="N1212" t="s">
        <v>76</v>
      </c>
      <c r="O1212" t="s">
        <v>969</v>
      </c>
      <c r="P1212" t="s">
        <v>970</v>
      </c>
      <c r="Q1212" t="s">
        <v>1444</v>
      </c>
      <c r="R1212" s="1">
        <v>46220</v>
      </c>
      <c r="S1212" t="s">
        <v>962</v>
      </c>
      <c r="T1212" t="s">
        <v>963</v>
      </c>
      <c r="U1212" t="s">
        <v>964</v>
      </c>
      <c r="V1212" t="s">
        <v>66</v>
      </c>
      <c r="W1212" t="s">
        <v>66</v>
      </c>
      <c r="X1212">
        <v>847392</v>
      </c>
      <c r="Y1212">
        <v>93213.119999999995</v>
      </c>
      <c r="Z1212">
        <v>167616</v>
      </c>
      <c r="AA1212">
        <v>18437.759999999998</v>
      </c>
      <c r="AB1212">
        <v>940605.12</v>
      </c>
      <c r="AC1212">
        <v>1</v>
      </c>
      <c r="AD1212" t="s">
        <v>134</v>
      </c>
      <c r="AE1212">
        <v>12</v>
      </c>
      <c r="AF1212" t="s">
        <v>141</v>
      </c>
      <c r="AG1212">
        <f>IFERROR(VLOOKUP(AF1212,[1]STOK!J:O,6,0),"")</f>
        <v>12</v>
      </c>
      <c r="AH1212" s="2">
        <f t="shared" si="36"/>
        <v>1</v>
      </c>
      <c r="AI1212" t="s">
        <v>141</v>
      </c>
      <c r="AJ1212" t="s">
        <v>142</v>
      </c>
      <c r="AK1212" t="s">
        <v>143</v>
      </c>
      <c r="AL1212" t="s">
        <v>86</v>
      </c>
      <c r="AM1212">
        <v>191808</v>
      </c>
      <c r="AN1212">
        <f t="shared" si="37"/>
        <v>186053.76000000001</v>
      </c>
      <c r="AO1212" t="s">
        <v>66</v>
      </c>
      <c r="AP1212">
        <v>3</v>
      </c>
      <c r="AQ1212" t="s">
        <v>66</v>
      </c>
      <c r="AR1212">
        <v>0</v>
      </c>
      <c r="AS1212" t="s">
        <v>66</v>
      </c>
      <c r="AT1212">
        <v>0</v>
      </c>
      <c r="AU1212" t="s">
        <v>66</v>
      </c>
      <c r="AV1212">
        <v>0</v>
      </c>
      <c r="AW1212" t="s">
        <v>66</v>
      </c>
      <c r="AX1212">
        <v>0</v>
      </c>
      <c r="AY1212" t="s">
        <v>66</v>
      </c>
      <c r="AZ1212">
        <v>0</v>
      </c>
      <c r="BA1212" t="s">
        <v>66</v>
      </c>
      <c r="BB1212">
        <v>0</v>
      </c>
      <c r="BC1212">
        <v>0</v>
      </c>
      <c r="BD1212">
        <v>186053.76000000001</v>
      </c>
      <c r="BE1212">
        <v>12915.05</v>
      </c>
      <c r="BF1212">
        <v>0</v>
      </c>
      <c r="BG1212" t="s">
        <v>87</v>
      </c>
      <c r="BH1212" t="s">
        <v>66</v>
      </c>
      <c r="BI1212">
        <v>0</v>
      </c>
      <c r="BJ1212" t="s">
        <v>66</v>
      </c>
      <c r="BK1212" t="s">
        <v>88</v>
      </c>
      <c r="BL1212" t="s">
        <v>965</v>
      </c>
      <c r="BM1212" t="s">
        <v>159</v>
      </c>
    </row>
    <row r="1213" spans="1:65" x14ac:dyDescent="0.25">
      <c r="A1213">
        <v>1211</v>
      </c>
      <c r="B1213" t="s">
        <v>1445</v>
      </c>
      <c r="C1213" t="s">
        <v>1446</v>
      </c>
      <c r="D1213" s="1">
        <v>46217</v>
      </c>
      <c r="E1213" t="s">
        <v>1447</v>
      </c>
      <c r="F1213" t="s">
        <v>1448</v>
      </c>
      <c r="G1213" t="s">
        <v>69</v>
      </c>
      <c r="H1213" t="s">
        <v>70</v>
      </c>
      <c r="I1213" t="s">
        <v>71</v>
      </c>
      <c r="J1213" t="s">
        <v>72</v>
      </c>
      <c r="K1213" t="s">
        <v>73</v>
      </c>
      <c r="L1213" t="s">
        <v>74</v>
      </c>
      <c r="M1213" t="s">
        <v>1449</v>
      </c>
      <c r="N1213" t="s">
        <v>696</v>
      </c>
      <c r="O1213" t="s">
        <v>1450</v>
      </c>
      <c r="P1213" t="s">
        <v>1451</v>
      </c>
      <c r="Q1213" t="s">
        <v>1452</v>
      </c>
      <c r="R1213" s="1">
        <v>46219</v>
      </c>
      <c r="S1213" t="s">
        <v>1453</v>
      </c>
      <c r="T1213" t="s">
        <v>1454</v>
      </c>
      <c r="U1213" t="s">
        <v>1455</v>
      </c>
      <c r="V1213" t="s">
        <v>66</v>
      </c>
      <c r="W1213" t="s">
        <v>66</v>
      </c>
      <c r="X1213">
        <v>596700</v>
      </c>
      <c r="Y1213">
        <v>65637</v>
      </c>
      <c r="Z1213">
        <v>400140</v>
      </c>
      <c r="AA1213">
        <v>44015.4</v>
      </c>
      <c r="AB1213">
        <v>662337</v>
      </c>
      <c r="AC1213">
        <v>2</v>
      </c>
      <c r="AD1213" t="s">
        <v>134</v>
      </c>
      <c r="AE1213">
        <v>24</v>
      </c>
      <c r="AF1213" t="s">
        <v>1456</v>
      </c>
      <c r="AG1213">
        <f>IFERROR(VLOOKUP(AF1213,[1]STOK!J:O,6,0),"")</f>
        <v>12</v>
      </c>
      <c r="AH1213" s="2">
        <f t="shared" si="36"/>
        <v>2</v>
      </c>
      <c r="AI1213" t="s">
        <v>1456</v>
      </c>
      <c r="AJ1213" t="s">
        <v>1457</v>
      </c>
      <c r="AK1213" t="s">
        <v>1458</v>
      </c>
      <c r="AL1213" t="s">
        <v>86</v>
      </c>
      <c r="AM1213">
        <v>227772</v>
      </c>
      <c r="AN1213">
        <f t="shared" si="37"/>
        <v>222077.7</v>
      </c>
      <c r="AO1213" t="s">
        <v>66</v>
      </c>
      <c r="AP1213">
        <v>2.5</v>
      </c>
      <c r="AQ1213" t="s">
        <v>66</v>
      </c>
      <c r="AR1213">
        <v>0</v>
      </c>
      <c r="AS1213" t="s">
        <v>66</v>
      </c>
      <c r="AT1213">
        <v>0</v>
      </c>
      <c r="AU1213" t="s">
        <v>66</v>
      </c>
      <c r="AV1213">
        <v>0</v>
      </c>
      <c r="AW1213" t="s">
        <v>66</v>
      </c>
      <c r="AX1213">
        <v>0</v>
      </c>
      <c r="AY1213" t="s">
        <v>66</v>
      </c>
      <c r="AZ1213">
        <v>0</v>
      </c>
      <c r="BA1213" t="s">
        <v>66</v>
      </c>
      <c r="BB1213">
        <v>0</v>
      </c>
      <c r="BC1213">
        <v>0</v>
      </c>
      <c r="BD1213">
        <v>444155.4</v>
      </c>
      <c r="BE1213">
        <v>0</v>
      </c>
      <c r="BF1213">
        <v>0</v>
      </c>
      <c r="BG1213" t="s">
        <v>87</v>
      </c>
      <c r="BH1213" t="s">
        <v>66</v>
      </c>
      <c r="BI1213">
        <v>0</v>
      </c>
      <c r="BJ1213" t="s">
        <v>66</v>
      </c>
      <c r="BK1213" t="s">
        <v>88</v>
      </c>
      <c r="BL1213" t="s">
        <v>1459</v>
      </c>
      <c r="BM1213" t="s">
        <v>159</v>
      </c>
    </row>
    <row r="1214" spans="1:65" x14ac:dyDescent="0.25">
      <c r="A1214">
        <v>1212</v>
      </c>
      <c r="B1214" t="s">
        <v>1445</v>
      </c>
      <c r="C1214" t="s">
        <v>1446</v>
      </c>
      <c r="D1214" s="1">
        <v>46217</v>
      </c>
      <c r="E1214" t="s">
        <v>1447</v>
      </c>
      <c r="F1214" t="s">
        <v>1448</v>
      </c>
      <c r="G1214" t="s">
        <v>69</v>
      </c>
      <c r="H1214" t="s">
        <v>70</v>
      </c>
      <c r="I1214" t="s">
        <v>71</v>
      </c>
      <c r="J1214" t="s">
        <v>72</v>
      </c>
      <c r="K1214" t="s">
        <v>73</v>
      </c>
      <c r="L1214" t="s">
        <v>74</v>
      </c>
      <c r="M1214" t="s">
        <v>1449</v>
      </c>
      <c r="N1214" t="s">
        <v>696</v>
      </c>
      <c r="O1214" t="s">
        <v>1450</v>
      </c>
      <c r="P1214" t="s">
        <v>1451</v>
      </c>
      <c r="Q1214" t="s">
        <v>1452</v>
      </c>
      <c r="R1214" s="1">
        <v>46219</v>
      </c>
      <c r="S1214" t="s">
        <v>1453</v>
      </c>
      <c r="T1214" t="s">
        <v>1454</v>
      </c>
      <c r="U1214" t="s">
        <v>1455</v>
      </c>
      <c r="V1214" t="s">
        <v>66</v>
      </c>
      <c r="W1214" t="s">
        <v>66</v>
      </c>
      <c r="X1214">
        <v>596700</v>
      </c>
      <c r="Y1214">
        <v>65637</v>
      </c>
      <c r="Z1214">
        <v>196560</v>
      </c>
      <c r="AA1214">
        <v>21621.599999999999</v>
      </c>
      <c r="AB1214">
        <v>662337</v>
      </c>
      <c r="AC1214">
        <v>1</v>
      </c>
      <c r="AD1214" t="s">
        <v>134</v>
      </c>
      <c r="AE1214">
        <v>4</v>
      </c>
      <c r="AF1214" t="s">
        <v>1058</v>
      </c>
      <c r="AG1214">
        <f>IFERROR(VLOOKUP(AF1214,[1]STOK!J:O,6,0),"")</f>
        <v>4</v>
      </c>
      <c r="AH1214" s="2">
        <f t="shared" si="36"/>
        <v>1</v>
      </c>
      <c r="AI1214" t="s">
        <v>1058</v>
      </c>
      <c r="AJ1214" t="s">
        <v>1059</v>
      </c>
      <c r="AK1214" t="s">
        <v>1060</v>
      </c>
      <c r="AL1214" t="s">
        <v>86</v>
      </c>
      <c r="AM1214">
        <v>223776</v>
      </c>
      <c r="AN1214">
        <f t="shared" si="37"/>
        <v>218181.6</v>
      </c>
      <c r="AO1214" t="s">
        <v>66</v>
      </c>
      <c r="AP1214">
        <v>2.5</v>
      </c>
      <c r="AQ1214" t="s">
        <v>66</v>
      </c>
      <c r="AR1214">
        <v>0</v>
      </c>
      <c r="AS1214" t="s">
        <v>66</v>
      </c>
      <c r="AT1214">
        <v>0</v>
      </c>
      <c r="AU1214" t="s">
        <v>66</v>
      </c>
      <c r="AV1214">
        <v>0</v>
      </c>
      <c r="AW1214" t="s">
        <v>66</v>
      </c>
      <c r="AX1214">
        <v>0</v>
      </c>
      <c r="AY1214" t="s">
        <v>66</v>
      </c>
      <c r="AZ1214">
        <v>0</v>
      </c>
      <c r="BA1214" t="s">
        <v>66</v>
      </c>
      <c r="BB1214">
        <v>0</v>
      </c>
      <c r="BC1214">
        <v>0</v>
      </c>
      <c r="BD1214">
        <v>218181.6</v>
      </c>
      <c r="BE1214">
        <v>44894.61</v>
      </c>
      <c r="BF1214">
        <v>0</v>
      </c>
      <c r="BG1214" t="s">
        <v>87</v>
      </c>
      <c r="BH1214" t="s">
        <v>66</v>
      </c>
      <c r="BI1214">
        <v>0</v>
      </c>
      <c r="BJ1214" t="s">
        <v>66</v>
      </c>
      <c r="BK1214" t="s">
        <v>88</v>
      </c>
      <c r="BL1214" t="s">
        <v>1459</v>
      </c>
      <c r="BM1214" t="s">
        <v>159</v>
      </c>
    </row>
    <row r="1215" spans="1:65" x14ac:dyDescent="0.25">
      <c r="A1215">
        <v>1213</v>
      </c>
      <c r="B1215" t="s">
        <v>1460</v>
      </c>
      <c r="C1215" t="s">
        <v>1461</v>
      </c>
      <c r="D1215" s="1">
        <v>46217</v>
      </c>
      <c r="E1215" t="s">
        <v>1462</v>
      </c>
      <c r="F1215" t="s">
        <v>1463</v>
      </c>
      <c r="G1215" t="s">
        <v>69</v>
      </c>
      <c r="H1215" t="s">
        <v>70</v>
      </c>
      <c r="I1215" t="s">
        <v>71</v>
      </c>
      <c r="J1215" t="s">
        <v>72</v>
      </c>
      <c r="K1215" t="s">
        <v>73</v>
      </c>
      <c r="L1215" t="s">
        <v>74</v>
      </c>
      <c r="M1215" t="s">
        <v>1449</v>
      </c>
      <c r="N1215" t="s">
        <v>696</v>
      </c>
      <c r="O1215" t="s">
        <v>1450</v>
      </c>
      <c r="P1215" t="s">
        <v>1451</v>
      </c>
      <c r="Q1215" t="s">
        <v>1464</v>
      </c>
      <c r="R1215" s="1">
        <v>46219</v>
      </c>
      <c r="S1215" t="s">
        <v>1453</v>
      </c>
      <c r="T1215" t="s">
        <v>1454</v>
      </c>
      <c r="U1215" t="s">
        <v>1455</v>
      </c>
      <c r="V1215" t="s">
        <v>66</v>
      </c>
      <c r="W1215" t="s">
        <v>66</v>
      </c>
      <c r="X1215">
        <v>386100</v>
      </c>
      <c r="Y1215">
        <v>42471</v>
      </c>
      <c r="Z1215">
        <v>386100</v>
      </c>
      <c r="AA1215">
        <v>42471</v>
      </c>
      <c r="AB1215">
        <v>428571</v>
      </c>
      <c r="AC1215">
        <v>1</v>
      </c>
      <c r="AD1215" t="s">
        <v>134</v>
      </c>
      <c r="AE1215">
        <v>24</v>
      </c>
      <c r="AF1215" t="s">
        <v>99</v>
      </c>
      <c r="AG1215">
        <f>IFERROR(VLOOKUP(AF1215,[1]STOK!J:O,6,0),"")</f>
        <v>24</v>
      </c>
      <c r="AH1215" s="2">
        <f t="shared" si="36"/>
        <v>1</v>
      </c>
      <c r="AI1215" t="s">
        <v>99</v>
      </c>
      <c r="AJ1215" t="s">
        <v>100</v>
      </c>
      <c r="AK1215" t="s">
        <v>101</v>
      </c>
      <c r="AL1215" t="s">
        <v>86</v>
      </c>
      <c r="AM1215">
        <v>439560</v>
      </c>
      <c r="AN1215">
        <f t="shared" si="37"/>
        <v>428571</v>
      </c>
      <c r="AO1215" t="s">
        <v>66</v>
      </c>
      <c r="AP1215">
        <v>2.5</v>
      </c>
      <c r="AQ1215" t="s">
        <v>66</v>
      </c>
      <c r="AR1215">
        <v>0</v>
      </c>
      <c r="AS1215" t="s">
        <v>66</v>
      </c>
      <c r="AT1215">
        <v>0</v>
      </c>
      <c r="AU1215" t="s">
        <v>66</v>
      </c>
      <c r="AV1215">
        <v>0</v>
      </c>
      <c r="AW1215" t="s">
        <v>66</v>
      </c>
      <c r="AX1215">
        <v>0</v>
      </c>
      <c r="AY1215" t="s">
        <v>66</v>
      </c>
      <c r="AZ1215">
        <v>0</v>
      </c>
      <c r="BA1215" t="s">
        <v>66</v>
      </c>
      <c r="BB1215">
        <v>0</v>
      </c>
      <c r="BC1215">
        <v>0</v>
      </c>
      <c r="BD1215">
        <v>428571</v>
      </c>
      <c r="BE1215">
        <v>14924.93</v>
      </c>
      <c r="BF1215">
        <v>0</v>
      </c>
      <c r="BG1215" t="s">
        <v>87</v>
      </c>
      <c r="BH1215" t="s">
        <v>66</v>
      </c>
      <c r="BI1215">
        <v>0</v>
      </c>
      <c r="BJ1215" t="s">
        <v>66</v>
      </c>
      <c r="BK1215" t="s">
        <v>88</v>
      </c>
      <c r="BL1215" t="s">
        <v>1459</v>
      </c>
      <c r="BM1215" t="s">
        <v>159</v>
      </c>
    </row>
    <row r="1216" spans="1:65" x14ac:dyDescent="0.25">
      <c r="A1216">
        <v>1214</v>
      </c>
      <c r="B1216" t="s">
        <v>1465</v>
      </c>
      <c r="C1216" t="s">
        <v>1466</v>
      </c>
      <c r="D1216" s="1">
        <v>46217</v>
      </c>
      <c r="E1216" t="s">
        <v>1467</v>
      </c>
      <c r="F1216" t="s">
        <v>1468</v>
      </c>
      <c r="G1216" t="s">
        <v>69</v>
      </c>
      <c r="H1216" t="s">
        <v>70</v>
      </c>
      <c r="I1216" t="s">
        <v>71</v>
      </c>
      <c r="J1216" t="s">
        <v>72</v>
      </c>
      <c r="K1216" t="s">
        <v>73</v>
      </c>
      <c r="L1216" t="s">
        <v>74</v>
      </c>
      <c r="M1216" t="s">
        <v>1449</v>
      </c>
      <c r="N1216" t="s">
        <v>696</v>
      </c>
      <c r="O1216" t="s">
        <v>1450</v>
      </c>
      <c r="P1216" t="s">
        <v>1451</v>
      </c>
      <c r="Q1216" t="s">
        <v>1469</v>
      </c>
      <c r="R1216" s="1">
        <v>46219</v>
      </c>
      <c r="S1216" t="s">
        <v>1453</v>
      </c>
      <c r="T1216" t="s">
        <v>1454</v>
      </c>
      <c r="U1216" t="s">
        <v>1455</v>
      </c>
      <c r="V1216" t="s">
        <v>66</v>
      </c>
      <c r="W1216" t="s">
        <v>66</v>
      </c>
      <c r="X1216">
        <v>3027960</v>
      </c>
      <c r="Y1216">
        <v>333075.59999999998</v>
      </c>
      <c r="Z1216">
        <v>453960</v>
      </c>
      <c r="AA1216">
        <v>49935.6</v>
      </c>
      <c r="AB1216">
        <v>3361035.6</v>
      </c>
      <c r="AC1216">
        <v>2</v>
      </c>
      <c r="AD1216" t="s">
        <v>134</v>
      </c>
      <c r="AE1216">
        <v>24</v>
      </c>
      <c r="AF1216" t="s">
        <v>284</v>
      </c>
      <c r="AG1216">
        <f>IFERROR(VLOOKUP(AF1216,[1]STOK!J:O,6,0),"")</f>
        <v>12</v>
      </c>
      <c r="AH1216" s="2">
        <f t="shared" si="36"/>
        <v>2</v>
      </c>
      <c r="AI1216" t="s">
        <v>284</v>
      </c>
      <c r="AJ1216" t="s">
        <v>285</v>
      </c>
      <c r="AK1216" t="s">
        <v>286</v>
      </c>
      <c r="AL1216" t="s">
        <v>86</v>
      </c>
      <c r="AM1216">
        <v>258408</v>
      </c>
      <c r="AN1216">
        <f t="shared" si="37"/>
        <v>251947.8</v>
      </c>
      <c r="AO1216" t="s">
        <v>66</v>
      </c>
      <c r="AP1216">
        <v>2.5</v>
      </c>
      <c r="AQ1216" t="s">
        <v>66</v>
      </c>
      <c r="AR1216">
        <v>0</v>
      </c>
      <c r="AS1216" t="s">
        <v>66</v>
      </c>
      <c r="AT1216">
        <v>0</v>
      </c>
      <c r="AU1216" t="s">
        <v>66</v>
      </c>
      <c r="AV1216">
        <v>0</v>
      </c>
      <c r="AW1216" t="s">
        <v>66</v>
      </c>
      <c r="AX1216">
        <v>0</v>
      </c>
      <c r="AY1216" t="s">
        <v>66</v>
      </c>
      <c r="AZ1216">
        <v>0</v>
      </c>
      <c r="BA1216" t="s">
        <v>66</v>
      </c>
      <c r="BB1216">
        <v>0</v>
      </c>
      <c r="BC1216">
        <v>0</v>
      </c>
      <c r="BD1216">
        <v>503895.6</v>
      </c>
      <c r="BE1216">
        <v>17160.12</v>
      </c>
      <c r="BF1216">
        <v>0</v>
      </c>
      <c r="BG1216" t="s">
        <v>87</v>
      </c>
      <c r="BH1216" t="s">
        <v>66</v>
      </c>
      <c r="BI1216">
        <v>0</v>
      </c>
      <c r="BJ1216" t="s">
        <v>66</v>
      </c>
      <c r="BK1216" t="s">
        <v>88</v>
      </c>
      <c r="BL1216" t="s">
        <v>1459</v>
      </c>
      <c r="BM1216" t="s">
        <v>159</v>
      </c>
    </row>
    <row r="1217" spans="1:65" x14ac:dyDescent="0.25">
      <c r="A1217">
        <v>1215</v>
      </c>
      <c r="B1217" t="s">
        <v>1465</v>
      </c>
      <c r="C1217" t="s">
        <v>1466</v>
      </c>
      <c r="D1217" s="1">
        <v>46217</v>
      </c>
      <c r="E1217" t="s">
        <v>1467</v>
      </c>
      <c r="F1217" t="s">
        <v>1468</v>
      </c>
      <c r="G1217" t="s">
        <v>69</v>
      </c>
      <c r="H1217" t="s">
        <v>70</v>
      </c>
      <c r="I1217" t="s">
        <v>71</v>
      </c>
      <c r="J1217" t="s">
        <v>72</v>
      </c>
      <c r="K1217" t="s">
        <v>73</v>
      </c>
      <c r="L1217" t="s">
        <v>74</v>
      </c>
      <c r="M1217" t="s">
        <v>1449</v>
      </c>
      <c r="N1217" t="s">
        <v>696</v>
      </c>
      <c r="O1217" t="s">
        <v>1450</v>
      </c>
      <c r="P1217" t="s">
        <v>1451</v>
      </c>
      <c r="Q1217" t="s">
        <v>1469</v>
      </c>
      <c r="R1217" s="1">
        <v>46219</v>
      </c>
      <c r="S1217" t="s">
        <v>1453</v>
      </c>
      <c r="T1217" t="s">
        <v>1454</v>
      </c>
      <c r="U1217" t="s">
        <v>1455</v>
      </c>
      <c r="V1217" t="s">
        <v>66</v>
      </c>
      <c r="W1217" t="s">
        <v>66</v>
      </c>
      <c r="X1217">
        <v>3027960</v>
      </c>
      <c r="Y1217">
        <v>333075.59999999998</v>
      </c>
      <c r="Z1217">
        <v>161460</v>
      </c>
      <c r="AA1217">
        <v>17760.599999999999</v>
      </c>
      <c r="AB1217">
        <v>3361035.6</v>
      </c>
      <c r="AC1217">
        <v>1</v>
      </c>
      <c r="AD1217" t="s">
        <v>134</v>
      </c>
      <c r="AE1217">
        <v>24</v>
      </c>
      <c r="AF1217" t="s">
        <v>1141</v>
      </c>
      <c r="AG1217">
        <f>IFERROR(VLOOKUP(AF1217,[1]STOK!J:O,6,0),"")</f>
        <v>24</v>
      </c>
      <c r="AH1217" s="2">
        <f t="shared" si="36"/>
        <v>1</v>
      </c>
      <c r="AI1217" t="s">
        <v>1141</v>
      </c>
      <c r="AJ1217" t="s">
        <v>1142</v>
      </c>
      <c r="AK1217" t="s">
        <v>1143</v>
      </c>
      <c r="AL1217" t="s">
        <v>86</v>
      </c>
      <c r="AM1217">
        <v>183816</v>
      </c>
      <c r="AN1217">
        <f t="shared" si="37"/>
        <v>179220.6</v>
      </c>
      <c r="AO1217" t="s">
        <v>66</v>
      </c>
      <c r="AP1217">
        <v>2.5</v>
      </c>
      <c r="AQ1217" t="s">
        <v>66</v>
      </c>
      <c r="AR1217">
        <v>0</v>
      </c>
      <c r="AS1217" t="s">
        <v>66</v>
      </c>
      <c r="AT1217">
        <v>0</v>
      </c>
      <c r="AU1217" t="s">
        <v>66</v>
      </c>
      <c r="AV1217">
        <v>0</v>
      </c>
      <c r="AW1217" t="s">
        <v>66</v>
      </c>
      <c r="AX1217">
        <v>0</v>
      </c>
      <c r="AY1217" t="s">
        <v>66</v>
      </c>
      <c r="AZ1217">
        <v>0</v>
      </c>
      <c r="BA1217" t="s">
        <v>66</v>
      </c>
      <c r="BB1217">
        <v>0</v>
      </c>
      <c r="BC1217">
        <v>0</v>
      </c>
      <c r="BD1217">
        <v>179220.6</v>
      </c>
      <c r="BE1217">
        <v>6096.48</v>
      </c>
      <c r="BF1217">
        <v>0</v>
      </c>
      <c r="BG1217" t="s">
        <v>87</v>
      </c>
      <c r="BH1217" t="s">
        <v>66</v>
      </c>
      <c r="BI1217">
        <v>0</v>
      </c>
      <c r="BJ1217" t="s">
        <v>66</v>
      </c>
      <c r="BK1217" t="s">
        <v>88</v>
      </c>
      <c r="BL1217" t="s">
        <v>1459</v>
      </c>
      <c r="BM1217" t="s">
        <v>159</v>
      </c>
    </row>
    <row r="1218" spans="1:65" x14ac:dyDescent="0.25">
      <c r="A1218">
        <v>1216</v>
      </c>
      <c r="B1218" t="s">
        <v>1465</v>
      </c>
      <c r="C1218" t="s">
        <v>1466</v>
      </c>
      <c r="D1218" s="1">
        <v>46217</v>
      </c>
      <c r="E1218" t="s">
        <v>1467</v>
      </c>
      <c r="F1218" t="s">
        <v>1468</v>
      </c>
      <c r="G1218" t="s">
        <v>69</v>
      </c>
      <c r="H1218" t="s">
        <v>70</v>
      </c>
      <c r="I1218" t="s">
        <v>71</v>
      </c>
      <c r="J1218" t="s">
        <v>72</v>
      </c>
      <c r="K1218" t="s">
        <v>73</v>
      </c>
      <c r="L1218" t="s">
        <v>74</v>
      </c>
      <c r="M1218" t="s">
        <v>1449</v>
      </c>
      <c r="N1218" t="s">
        <v>696</v>
      </c>
      <c r="O1218" t="s">
        <v>1450</v>
      </c>
      <c r="P1218" t="s">
        <v>1451</v>
      </c>
      <c r="Q1218" t="s">
        <v>1469</v>
      </c>
      <c r="R1218" s="1">
        <v>46219</v>
      </c>
      <c r="S1218" t="s">
        <v>1453</v>
      </c>
      <c r="T1218" t="s">
        <v>1454</v>
      </c>
      <c r="U1218" t="s">
        <v>1455</v>
      </c>
      <c r="V1218" t="s">
        <v>66</v>
      </c>
      <c r="W1218" t="s">
        <v>66</v>
      </c>
      <c r="X1218">
        <v>3027960</v>
      </c>
      <c r="Y1218">
        <v>333075.59999999998</v>
      </c>
      <c r="Z1218">
        <v>336960</v>
      </c>
      <c r="AA1218">
        <v>37065.599999999999</v>
      </c>
      <c r="AB1218">
        <v>3361035.6</v>
      </c>
      <c r="AC1218">
        <v>2</v>
      </c>
      <c r="AD1218" t="s">
        <v>134</v>
      </c>
      <c r="AE1218">
        <v>24</v>
      </c>
      <c r="AF1218" t="s">
        <v>448</v>
      </c>
      <c r="AG1218">
        <f>IFERROR(VLOOKUP(AF1218,[1]STOK!J:O,6,0),"")</f>
        <v>12</v>
      </c>
      <c r="AH1218" s="2">
        <f t="shared" si="36"/>
        <v>2</v>
      </c>
      <c r="AI1218" t="s">
        <v>448</v>
      </c>
      <c r="AJ1218" t="s">
        <v>449</v>
      </c>
      <c r="AK1218" t="s">
        <v>450</v>
      </c>
      <c r="AL1218" t="s">
        <v>86</v>
      </c>
      <c r="AM1218">
        <v>191808</v>
      </c>
      <c r="AN1218">
        <f t="shared" si="37"/>
        <v>187012.8</v>
      </c>
      <c r="AO1218" t="s">
        <v>66</v>
      </c>
      <c r="AP1218">
        <v>2.5</v>
      </c>
      <c r="AQ1218" t="s">
        <v>66</v>
      </c>
      <c r="AR1218">
        <v>0</v>
      </c>
      <c r="AS1218" t="s">
        <v>66</v>
      </c>
      <c r="AT1218">
        <v>0</v>
      </c>
      <c r="AU1218" t="s">
        <v>66</v>
      </c>
      <c r="AV1218">
        <v>0</v>
      </c>
      <c r="AW1218" t="s">
        <v>66</v>
      </c>
      <c r="AX1218">
        <v>0</v>
      </c>
      <c r="AY1218" t="s">
        <v>66</v>
      </c>
      <c r="AZ1218">
        <v>0</v>
      </c>
      <c r="BA1218" t="s">
        <v>66</v>
      </c>
      <c r="BB1218">
        <v>0</v>
      </c>
      <c r="BC1218">
        <v>0</v>
      </c>
      <c r="BD1218">
        <v>374025.6</v>
      </c>
      <c r="BE1218">
        <v>12036.1</v>
      </c>
      <c r="BF1218">
        <v>0</v>
      </c>
      <c r="BG1218" t="s">
        <v>87</v>
      </c>
      <c r="BH1218" t="s">
        <v>66</v>
      </c>
      <c r="BI1218">
        <v>0</v>
      </c>
      <c r="BJ1218" t="s">
        <v>66</v>
      </c>
      <c r="BK1218" t="s">
        <v>88</v>
      </c>
      <c r="BL1218" t="s">
        <v>1459</v>
      </c>
      <c r="BM1218" t="s">
        <v>159</v>
      </c>
    </row>
    <row r="1219" spans="1:65" x14ac:dyDescent="0.25">
      <c r="A1219">
        <v>1217</v>
      </c>
      <c r="B1219" t="s">
        <v>1465</v>
      </c>
      <c r="C1219" t="s">
        <v>1466</v>
      </c>
      <c r="D1219" s="1">
        <v>46217</v>
      </c>
      <c r="E1219" t="s">
        <v>1467</v>
      </c>
      <c r="F1219" t="s">
        <v>1468</v>
      </c>
      <c r="G1219" t="s">
        <v>69</v>
      </c>
      <c r="H1219" t="s">
        <v>70</v>
      </c>
      <c r="I1219" t="s">
        <v>71</v>
      </c>
      <c r="J1219" t="s">
        <v>72</v>
      </c>
      <c r="K1219" t="s">
        <v>73</v>
      </c>
      <c r="L1219" t="s">
        <v>74</v>
      </c>
      <c r="M1219" t="s">
        <v>1449</v>
      </c>
      <c r="N1219" t="s">
        <v>696</v>
      </c>
      <c r="O1219" t="s">
        <v>1450</v>
      </c>
      <c r="P1219" t="s">
        <v>1451</v>
      </c>
      <c r="Q1219" t="s">
        <v>1469</v>
      </c>
      <c r="R1219" s="1">
        <v>46219</v>
      </c>
      <c r="S1219" t="s">
        <v>1453</v>
      </c>
      <c r="T1219" t="s">
        <v>1454</v>
      </c>
      <c r="U1219" t="s">
        <v>1455</v>
      </c>
      <c r="V1219" t="s">
        <v>66</v>
      </c>
      <c r="W1219" t="s">
        <v>66</v>
      </c>
      <c r="X1219">
        <v>3027960</v>
      </c>
      <c r="Y1219">
        <v>333075.59999999998</v>
      </c>
      <c r="Z1219">
        <v>400140</v>
      </c>
      <c r="AA1219">
        <v>44015.4</v>
      </c>
      <c r="AB1219">
        <v>3361035.6</v>
      </c>
      <c r="AC1219">
        <v>2</v>
      </c>
      <c r="AD1219" t="s">
        <v>134</v>
      </c>
      <c r="AE1219">
        <v>24</v>
      </c>
      <c r="AF1219" t="s">
        <v>1470</v>
      </c>
      <c r="AG1219">
        <f>IFERROR(VLOOKUP(AF1219,[1]STOK!J:O,6,0),"")</f>
        <v>12</v>
      </c>
      <c r="AH1219" s="2">
        <f t="shared" si="36"/>
        <v>2</v>
      </c>
      <c r="AI1219" t="s">
        <v>1470</v>
      </c>
      <c r="AJ1219" t="s">
        <v>1471</v>
      </c>
      <c r="AK1219" t="s">
        <v>1472</v>
      </c>
      <c r="AL1219" t="s">
        <v>86</v>
      </c>
      <c r="AM1219">
        <v>227772</v>
      </c>
      <c r="AN1219">
        <f t="shared" si="37"/>
        <v>222077.7</v>
      </c>
      <c r="AO1219" t="s">
        <v>66</v>
      </c>
      <c r="AP1219">
        <v>2.5</v>
      </c>
      <c r="AQ1219" t="s">
        <v>66</v>
      </c>
      <c r="AR1219">
        <v>0</v>
      </c>
      <c r="AS1219" t="s">
        <v>66</v>
      </c>
      <c r="AT1219">
        <v>0</v>
      </c>
      <c r="AU1219" t="s">
        <v>66</v>
      </c>
      <c r="AV1219">
        <v>0</v>
      </c>
      <c r="AW1219" t="s">
        <v>66</v>
      </c>
      <c r="AX1219">
        <v>0</v>
      </c>
      <c r="AY1219" t="s">
        <v>66</v>
      </c>
      <c r="AZ1219">
        <v>0</v>
      </c>
      <c r="BA1219" t="s">
        <v>66</v>
      </c>
      <c r="BB1219">
        <v>0</v>
      </c>
      <c r="BC1219">
        <v>0</v>
      </c>
      <c r="BD1219">
        <v>444155.4</v>
      </c>
      <c r="BE1219">
        <v>0</v>
      </c>
      <c r="BF1219">
        <v>0</v>
      </c>
      <c r="BG1219" t="s">
        <v>87</v>
      </c>
      <c r="BH1219" t="s">
        <v>66</v>
      </c>
      <c r="BI1219">
        <v>0</v>
      </c>
      <c r="BJ1219" t="s">
        <v>66</v>
      </c>
      <c r="BK1219" t="s">
        <v>88</v>
      </c>
      <c r="BL1219" t="s">
        <v>1459</v>
      </c>
      <c r="BM1219" t="s">
        <v>159</v>
      </c>
    </row>
    <row r="1220" spans="1:65" x14ac:dyDescent="0.25">
      <c r="A1220">
        <v>1218</v>
      </c>
      <c r="B1220" t="s">
        <v>1465</v>
      </c>
      <c r="C1220" t="s">
        <v>1466</v>
      </c>
      <c r="D1220" s="1">
        <v>46217</v>
      </c>
      <c r="E1220" t="s">
        <v>1467</v>
      </c>
      <c r="F1220" t="s">
        <v>1468</v>
      </c>
      <c r="G1220" t="s">
        <v>69</v>
      </c>
      <c r="H1220" t="s">
        <v>70</v>
      </c>
      <c r="I1220" t="s">
        <v>71</v>
      </c>
      <c r="J1220" t="s">
        <v>72</v>
      </c>
      <c r="K1220" t="s">
        <v>73</v>
      </c>
      <c r="L1220" t="s">
        <v>74</v>
      </c>
      <c r="M1220" t="s">
        <v>1449</v>
      </c>
      <c r="N1220" t="s">
        <v>696</v>
      </c>
      <c r="O1220" t="s">
        <v>1450</v>
      </c>
      <c r="P1220" t="s">
        <v>1451</v>
      </c>
      <c r="Q1220" t="s">
        <v>1469</v>
      </c>
      <c r="R1220" s="1">
        <v>46219</v>
      </c>
      <c r="S1220" t="s">
        <v>1453</v>
      </c>
      <c r="T1220" t="s">
        <v>1454</v>
      </c>
      <c r="U1220" t="s">
        <v>1455</v>
      </c>
      <c r="V1220" t="s">
        <v>66</v>
      </c>
      <c r="W1220" t="s">
        <v>66</v>
      </c>
      <c r="X1220">
        <v>3027960</v>
      </c>
      <c r="Y1220">
        <v>333075.59999999998</v>
      </c>
      <c r="Z1220">
        <v>400140</v>
      </c>
      <c r="AA1220">
        <v>44015.4</v>
      </c>
      <c r="AB1220">
        <v>3361035.6</v>
      </c>
      <c r="AC1220">
        <v>2</v>
      </c>
      <c r="AD1220" t="s">
        <v>134</v>
      </c>
      <c r="AE1220">
        <v>24</v>
      </c>
      <c r="AF1220" t="s">
        <v>1473</v>
      </c>
      <c r="AG1220">
        <f>IFERROR(VLOOKUP(AF1220,[1]STOK!J:O,6,0),"")</f>
        <v>12</v>
      </c>
      <c r="AH1220" s="2">
        <f t="shared" ref="AH1220:AH1283" si="38">AE1220/AG1220</f>
        <v>2</v>
      </c>
      <c r="AI1220" t="s">
        <v>1473</v>
      </c>
      <c r="AJ1220" t="s">
        <v>1474</v>
      </c>
      <c r="AK1220" t="s">
        <v>1475</v>
      </c>
      <c r="AL1220" t="s">
        <v>86</v>
      </c>
      <c r="AM1220">
        <v>227772</v>
      </c>
      <c r="AN1220">
        <f t="shared" ref="AN1220:AN1283" si="39">BD1220/AC1220</f>
        <v>222077.7</v>
      </c>
      <c r="AO1220" t="s">
        <v>66</v>
      </c>
      <c r="AP1220">
        <v>2.5</v>
      </c>
      <c r="AQ1220" t="s">
        <v>66</v>
      </c>
      <c r="AR1220">
        <v>0</v>
      </c>
      <c r="AS1220" t="s">
        <v>66</v>
      </c>
      <c r="AT1220">
        <v>0</v>
      </c>
      <c r="AU1220" t="s">
        <v>66</v>
      </c>
      <c r="AV1220">
        <v>0</v>
      </c>
      <c r="AW1220" t="s">
        <v>66</v>
      </c>
      <c r="AX1220">
        <v>0</v>
      </c>
      <c r="AY1220" t="s">
        <v>66</v>
      </c>
      <c r="AZ1220">
        <v>0</v>
      </c>
      <c r="BA1220" t="s">
        <v>66</v>
      </c>
      <c r="BB1220">
        <v>0</v>
      </c>
      <c r="BC1220">
        <v>0</v>
      </c>
      <c r="BD1220">
        <v>444155.4</v>
      </c>
      <c r="BE1220">
        <v>15817.5</v>
      </c>
      <c r="BF1220">
        <v>0</v>
      </c>
      <c r="BG1220" t="s">
        <v>87</v>
      </c>
      <c r="BH1220" t="s">
        <v>66</v>
      </c>
      <c r="BI1220">
        <v>0</v>
      </c>
      <c r="BJ1220" t="s">
        <v>66</v>
      </c>
      <c r="BK1220" t="s">
        <v>88</v>
      </c>
      <c r="BL1220" t="s">
        <v>1459</v>
      </c>
      <c r="BM1220" t="s">
        <v>159</v>
      </c>
    </row>
    <row r="1221" spans="1:65" x14ac:dyDescent="0.25">
      <c r="A1221">
        <v>1219</v>
      </c>
      <c r="B1221" t="s">
        <v>1465</v>
      </c>
      <c r="C1221" t="s">
        <v>1466</v>
      </c>
      <c r="D1221" s="1">
        <v>46217</v>
      </c>
      <c r="E1221" t="s">
        <v>1467</v>
      </c>
      <c r="F1221" t="s">
        <v>1468</v>
      </c>
      <c r="G1221" t="s">
        <v>69</v>
      </c>
      <c r="H1221" t="s">
        <v>70</v>
      </c>
      <c r="I1221" t="s">
        <v>71</v>
      </c>
      <c r="J1221" t="s">
        <v>72</v>
      </c>
      <c r="K1221" t="s">
        <v>73</v>
      </c>
      <c r="L1221" t="s">
        <v>74</v>
      </c>
      <c r="M1221" t="s">
        <v>1449</v>
      </c>
      <c r="N1221" t="s">
        <v>696</v>
      </c>
      <c r="O1221" t="s">
        <v>1450</v>
      </c>
      <c r="P1221" t="s">
        <v>1451</v>
      </c>
      <c r="Q1221" t="s">
        <v>1469</v>
      </c>
      <c r="R1221" s="1">
        <v>46219</v>
      </c>
      <c r="S1221" t="s">
        <v>1453</v>
      </c>
      <c r="T1221" t="s">
        <v>1454</v>
      </c>
      <c r="U1221" t="s">
        <v>1455</v>
      </c>
      <c r="V1221" t="s">
        <v>66</v>
      </c>
      <c r="W1221" t="s">
        <v>66</v>
      </c>
      <c r="X1221">
        <v>3027960</v>
      </c>
      <c r="Y1221">
        <v>333075.59999999998</v>
      </c>
      <c r="Z1221">
        <v>164970</v>
      </c>
      <c r="AA1221">
        <v>18146.7</v>
      </c>
      <c r="AB1221">
        <v>3361035.6</v>
      </c>
      <c r="AC1221">
        <v>1</v>
      </c>
      <c r="AD1221" t="s">
        <v>134</v>
      </c>
      <c r="AE1221">
        <v>12</v>
      </c>
      <c r="AF1221" t="s">
        <v>1476</v>
      </c>
      <c r="AG1221">
        <f>IFERROR(VLOOKUP(AF1221,[1]STOK!J:O,6,0),"")</f>
        <v>12</v>
      </c>
      <c r="AH1221" s="2">
        <f t="shared" si="38"/>
        <v>1</v>
      </c>
      <c r="AI1221" t="s">
        <v>1476</v>
      </c>
      <c r="AJ1221" t="s">
        <v>1477</v>
      </c>
      <c r="AK1221" t="s">
        <v>1478</v>
      </c>
      <c r="AL1221" t="s">
        <v>86</v>
      </c>
      <c r="AM1221">
        <v>187812</v>
      </c>
      <c r="AN1221">
        <f t="shared" si="39"/>
        <v>183116.7</v>
      </c>
      <c r="AO1221" t="s">
        <v>66</v>
      </c>
      <c r="AP1221">
        <v>2.5</v>
      </c>
      <c r="AQ1221" t="s">
        <v>66</v>
      </c>
      <c r="AR1221">
        <v>0</v>
      </c>
      <c r="AS1221" t="s">
        <v>66</v>
      </c>
      <c r="AT1221">
        <v>0</v>
      </c>
      <c r="AU1221" t="s">
        <v>66</v>
      </c>
      <c r="AV1221">
        <v>0</v>
      </c>
      <c r="AW1221" t="s">
        <v>66</v>
      </c>
      <c r="AX1221">
        <v>0</v>
      </c>
      <c r="AY1221" t="s">
        <v>66</v>
      </c>
      <c r="AZ1221">
        <v>0</v>
      </c>
      <c r="BA1221" t="s">
        <v>66</v>
      </c>
      <c r="BB1221">
        <v>0</v>
      </c>
      <c r="BC1221">
        <v>0</v>
      </c>
      <c r="BD1221">
        <v>183116.7</v>
      </c>
      <c r="BE1221">
        <v>11855.36</v>
      </c>
      <c r="BF1221">
        <v>0</v>
      </c>
      <c r="BG1221" t="s">
        <v>87</v>
      </c>
      <c r="BH1221" t="s">
        <v>66</v>
      </c>
      <c r="BI1221">
        <v>0</v>
      </c>
      <c r="BJ1221" t="s">
        <v>66</v>
      </c>
      <c r="BK1221" t="s">
        <v>88</v>
      </c>
      <c r="BL1221" t="s">
        <v>1459</v>
      </c>
      <c r="BM1221" t="s">
        <v>159</v>
      </c>
    </row>
    <row r="1222" spans="1:65" x14ac:dyDescent="0.25">
      <c r="A1222">
        <v>1220</v>
      </c>
      <c r="B1222" t="s">
        <v>1465</v>
      </c>
      <c r="C1222" t="s">
        <v>1466</v>
      </c>
      <c r="D1222" s="1">
        <v>46217</v>
      </c>
      <c r="E1222" t="s">
        <v>1467</v>
      </c>
      <c r="F1222" t="s">
        <v>1468</v>
      </c>
      <c r="G1222" t="s">
        <v>69</v>
      </c>
      <c r="H1222" t="s">
        <v>70</v>
      </c>
      <c r="I1222" t="s">
        <v>71</v>
      </c>
      <c r="J1222" t="s">
        <v>72</v>
      </c>
      <c r="K1222" t="s">
        <v>73</v>
      </c>
      <c r="L1222" t="s">
        <v>74</v>
      </c>
      <c r="M1222" t="s">
        <v>1449</v>
      </c>
      <c r="N1222" t="s">
        <v>696</v>
      </c>
      <c r="O1222" t="s">
        <v>1450</v>
      </c>
      <c r="P1222" t="s">
        <v>1451</v>
      </c>
      <c r="Q1222" t="s">
        <v>1469</v>
      </c>
      <c r="R1222" s="1">
        <v>46219</v>
      </c>
      <c r="S1222" t="s">
        <v>1453</v>
      </c>
      <c r="T1222" t="s">
        <v>1454</v>
      </c>
      <c r="U1222" t="s">
        <v>1455</v>
      </c>
      <c r="V1222" t="s">
        <v>66</v>
      </c>
      <c r="W1222" t="s">
        <v>66</v>
      </c>
      <c r="X1222">
        <v>3027960</v>
      </c>
      <c r="Y1222">
        <v>333075.59999999998</v>
      </c>
      <c r="Z1222">
        <v>202410</v>
      </c>
      <c r="AA1222">
        <v>22265.1</v>
      </c>
      <c r="AB1222">
        <v>3361035.6</v>
      </c>
      <c r="AC1222">
        <v>1</v>
      </c>
      <c r="AD1222" t="s">
        <v>134</v>
      </c>
      <c r="AE1222">
        <v>12</v>
      </c>
      <c r="AF1222" t="s">
        <v>359</v>
      </c>
      <c r="AG1222">
        <f>IFERROR(VLOOKUP(AF1222,[1]STOK!J:O,6,0),"")</f>
        <v>12</v>
      </c>
      <c r="AH1222" s="2">
        <f t="shared" si="38"/>
        <v>1</v>
      </c>
      <c r="AI1222" t="s">
        <v>359</v>
      </c>
      <c r="AJ1222" t="s">
        <v>360</v>
      </c>
      <c r="AK1222" t="s">
        <v>361</v>
      </c>
      <c r="AL1222" t="s">
        <v>86</v>
      </c>
      <c r="AM1222">
        <v>230436</v>
      </c>
      <c r="AN1222">
        <f t="shared" si="39"/>
        <v>224675.1</v>
      </c>
      <c r="AO1222" t="s">
        <v>66</v>
      </c>
      <c r="AP1222">
        <v>2.5</v>
      </c>
      <c r="AQ1222" t="s">
        <v>66</v>
      </c>
      <c r="AR1222">
        <v>0</v>
      </c>
      <c r="AS1222" t="s">
        <v>66</v>
      </c>
      <c r="AT1222">
        <v>0</v>
      </c>
      <c r="AU1222" t="s">
        <v>66</v>
      </c>
      <c r="AV1222">
        <v>0</v>
      </c>
      <c r="AW1222" t="s">
        <v>66</v>
      </c>
      <c r="AX1222">
        <v>0</v>
      </c>
      <c r="AY1222" t="s">
        <v>66</v>
      </c>
      <c r="AZ1222">
        <v>0</v>
      </c>
      <c r="BA1222" t="s">
        <v>66</v>
      </c>
      <c r="BB1222">
        <v>0</v>
      </c>
      <c r="BC1222">
        <v>0</v>
      </c>
      <c r="BD1222">
        <v>224675.1</v>
      </c>
      <c r="BE1222">
        <v>15490.24</v>
      </c>
      <c r="BF1222">
        <v>0</v>
      </c>
      <c r="BG1222" t="s">
        <v>87</v>
      </c>
      <c r="BH1222" t="s">
        <v>66</v>
      </c>
      <c r="BI1222">
        <v>0</v>
      </c>
      <c r="BJ1222" t="s">
        <v>66</v>
      </c>
      <c r="BK1222" t="s">
        <v>88</v>
      </c>
      <c r="BL1222" t="s">
        <v>1459</v>
      </c>
      <c r="BM1222" t="s">
        <v>159</v>
      </c>
    </row>
    <row r="1223" spans="1:65" x14ac:dyDescent="0.25">
      <c r="A1223">
        <v>1221</v>
      </c>
      <c r="B1223" t="s">
        <v>1465</v>
      </c>
      <c r="C1223" t="s">
        <v>1466</v>
      </c>
      <c r="D1223" s="1">
        <v>46217</v>
      </c>
      <c r="E1223" t="s">
        <v>1467</v>
      </c>
      <c r="F1223" t="s">
        <v>1468</v>
      </c>
      <c r="G1223" t="s">
        <v>69</v>
      </c>
      <c r="H1223" t="s">
        <v>70</v>
      </c>
      <c r="I1223" t="s">
        <v>71</v>
      </c>
      <c r="J1223" t="s">
        <v>72</v>
      </c>
      <c r="K1223" t="s">
        <v>73</v>
      </c>
      <c r="L1223" t="s">
        <v>74</v>
      </c>
      <c r="M1223" t="s">
        <v>1449</v>
      </c>
      <c r="N1223" t="s">
        <v>696</v>
      </c>
      <c r="O1223" t="s">
        <v>1450</v>
      </c>
      <c r="P1223" t="s">
        <v>1451</v>
      </c>
      <c r="Q1223" t="s">
        <v>1469</v>
      </c>
      <c r="R1223" s="1">
        <v>46219</v>
      </c>
      <c r="S1223" t="s">
        <v>1453</v>
      </c>
      <c r="T1223" t="s">
        <v>1454</v>
      </c>
      <c r="U1223" t="s">
        <v>1455</v>
      </c>
      <c r="V1223" t="s">
        <v>66</v>
      </c>
      <c r="W1223" t="s">
        <v>66</v>
      </c>
      <c r="X1223">
        <v>3027960</v>
      </c>
      <c r="Y1223">
        <v>333075.59999999998</v>
      </c>
      <c r="Z1223">
        <v>234000</v>
      </c>
      <c r="AA1223">
        <v>25740</v>
      </c>
      <c r="AB1223">
        <v>3361035.6</v>
      </c>
      <c r="AC1223">
        <v>1</v>
      </c>
      <c r="AD1223" t="s">
        <v>134</v>
      </c>
      <c r="AE1223">
        <v>12</v>
      </c>
      <c r="AF1223" t="s">
        <v>290</v>
      </c>
      <c r="AG1223">
        <f>IFERROR(VLOOKUP(AF1223,[1]STOK!J:O,6,0),"")</f>
        <v>12</v>
      </c>
      <c r="AH1223" s="2">
        <f t="shared" si="38"/>
        <v>1</v>
      </c>
      <c r="AI1223" t="s">
        <v>290</v>
      </c>
      <c r="AJ1223" t="s">
        <v>291</v>
      </c>
      <c r="AK1223" t="s">
        <v>292</v>
      </c>
      <c r="AL1223" t="s">
        <v>86</v>
      </c>
      <c r="AM1223">
        <v>266400</v>
      </c>
      <c r="AN1223">
        <f t="shared" si="39"/>
        <v>259740</v>
      </c>
      <c r="AO1223" t="s">
        <v>66</v>
      </c>
      <c r="AP1223">
        <v>2.5</v>
      </c>
      <c r="AQ1223" t="s">
        <v>66</v>
      </c>
      <c r="AR1223">
        <v>0</v>
      </c>
      <c r="AS1223" t="s">
        <v>66</v>
      </c>
      <c r="AT1223">
        <v>0</v>
      </c>
      <c r="AU1223" t="s">
        <v>66</v>
      </c>
      <c r="AV1223">
        <v>0</v>
      </c>
      <c r="AW1223" t="s">
        <v>66</v>
      </c>
      <c r="AX1223">
        <v>0</v>
      </c>
      <c r="AY1223" t="s">
        <v>66</v>
      </c>
      <c r="AZ1223">
        <v>0</v>
      </c>
      <c r="BA1223" t="s">
        <v>66</v>
      </c>
      <c r="BB1223">
        <v>0</v>
      </c>
      <c r="BC1223">
        <v>0</v>
      </c>
      <c r="BD1223">
        <v>259740</v>
      </c>
      <c r="BE1223">
        <v>18155.62</v>
      </c>
      <c r="BF1223">
        <v>0</v>
      </c>
      <c r="BG1223" t="s">
        <v>87</v>
      </c>
      <c r="BH1223" t="s">
        <v>66</v>
      </c>
      <c r="BI1223">
        <v>0</v>
      </c>
      <c r="BJ1223" t="s">
        <v>66</v>
      </c>
      <c r="BK1223" t="s">
        <v>88</v>
      </c>
      <c r="BL1223" t="s">
        <v>1459</v>
      </c>
      <c r="BM1223" t="s">
        <v>159</v>
      </c>
    </row>
    <row r="1224" spans="1:65" x14ac:dyDescent="0.25">
      <c r="A1224">
        <v>1222</v>
      </c>
      <c r="B1224" t="s">
        <v>1465</v>
      </c>
      <c r="C1224" t="s">
        <v>1466</v>
      </c>
      <c r="D1224" s="1">
        <v>46217</v>
      </c>
      <c r="E1224" t="s">
        <v>1467</v>
      </c>
      <c r="F1224" t="s">
        <v>1468</v>
      </c>
      <c r="G1224" t="s">
        <v>69</v>
      </c>
      <c r="H1224" t="s">
        <v>70</v>
      </c>
      <c r="I1224" t="s">
        <v>71</v>
      </c>
      <c r="J1224" t="s">
        <v>72</v>
      </c>
      <c r="K1224" t="s">
        <v>73</v>
      </c>
      <c r="L1224" t="s">
        <v>74</v>
      </c>
      <c r="M1224" t="s">
        <v>1449</v>
      </c>
      <c r="N1224" t="s">
        <v>696</v>
      </c>
      <c r="O1224" t="s">
        <v>1450</v>
      </c>
      <c r="P1224" t="s">
        <v>1451</v>
      </c>
      <c r="Q1224" t="s">
        <v>1469</v>
      </c>
      <c r="R1224" s="1">
        <v>46219</v>
      </c>
      <c r="S1224" t="s">
        <v>1453</v>
      </c>
      <c r="T1224" t="s">
        <v>1454</v>
      </c>
      <c r="U1224" t="s">
        <v>1455</v>
      </c>
      <c r="V1224" t="s">
        <v>66</v>
      </c>
      <c r="W1224" t="s">
        <v>66</v>
      </c>
      <c r="X1224">
        <v>3027960</v>
      </c>
      <c r="Y1224">
        <v>333075.59999999998</v>
      </c>
      <c r="Z1224">
        <v>336960</v>
      </c>
      <c r="AA1224">
        <v>37065.599999999999</v>
      </c>
      <c r="AB1224">
        <v>3361035.6</v>
      </c>
      <c r="AC1224">
        <v>2</v>
      </c>
      <c r="AD1224" t="s">
        <v>134</v>
      </c>
      <c r="AE1224">
        <v>24</v>
      </c>
      <c r="AF1224" t="s">
        <v>141</v>
      </c>
      <c r="AG1224">
        <f>IFERROR(VLOOKUP(AF1224,[1]STOK!J:O,6,0),"")</f>
        <v>12</v>
      </c>
      <c r="AH1224" s="2">
        <f t="shared" si="38"/>
        <v>2</v>
      </c>
      <c r="AI1224" t="s">
        <v>141</v>
      </c>
      <c r="AJ1224" t="s">
        <v>142</v>
      </c>
      <c r="AK1224" t="s">
        <v>143</v>
      </c>
      <c r="AL1224" t="s">
        <v>86</v>
      </c>
      <c r="AM1224">
        <v>191808</v>
      </c>
      <c r="AN1224">
        <f t="shared" si="39"/>
        <v>187012.8</v>
      </c>
      <c r="AO1224" t="s">
        <v>66</v>
      </c>
      <c r="AP1224">
        <v>2.5</v>
      </c>
      <c r="AQ1224" t="s">
        <v>66</v>
      </c>
      <c r="AR1224">
        <v>0</v>
      </c>
      <c r="AS1224" t="s">
        <v>66</v>
      </c>
      <c r="AT1224">
        <v>0</v>
      </c>
      <c r="AU1224" t="s">
        <v>66</v>
      </c>
      <c r="AV1224">
        <v>0</v>
      </c>
      <c r="AW1224" t="s">
        <v>66</v>
      </c>
      <c r="AX1224">
        <v>0</v>
      </c>
      <c r="AY1224" t="s">
        <v>66</v>
      </c>
      <c r="AZ1224">
        <v>0</v>
      </c>
      <c r="BA1224" t="s">
        <v>66</v>
      </c>
      <c r="BB1224">
        <v>0</v>
      </c>
      <c r="BC1224">
        <v>0</v>
      </c>
      <c r="BD1224">
        <v>374025.6</v>
      </c>
      <c r="BE1224">
        <v>12915.05</v>
      </c>
      <c r="BF1224">
        <v>0</v>
      </c>
      <c r="BG1224" t="s">
        <v>87</v>
      </c>
      <c r="BH1224" t="s">
        <v>66</v>
      </c>
      <c r="BI1224">
        <v>0</v>
      </c>
      <c r="BJ1224" t="s">
        <v>66</v>
      </c>
      <c r="BK1224" t="s">
        <v>88</v>
      </c>
      <c r="BL1224" t="s">
        <v>1459</v>
      </c>
      <c r="BM1224" t="s">
        <v>159</v>
      </c>
    </row>
    <row r="1225" spans="1:65" x14ac:dyDescent="0.25">
      <c r="A1225">
        <v>1223</v>
      </c>
      <c r="B1225" t="s">
        <v>1465</v>
      </c>
      <c r="C1225" t="s">
        <v>1466</v>
      </c>
      <c r="D1225" s="1">
        <v>46217</v>
      </c>
      <c r="E1225" t="s">
        <v>1467</v>
      </c>
      <c r="F1225" t="s">
        <v>1468</v>
      </c>
      <c r="G1225" t="s">
        <v>69</v>
      </c>
      <c r="H1225" t="s">
        <v>70</v>
      </c>
      <c r="I1225" t="s">
        <v>71</v>
      </c>
      <c r="J1225" t="s">
        <v>72</v>
      </c>
      <c r="K1225" t="s">
        <v>73</v>
      </c>
      <c r="L1225" t="s">
        <v>74</v>
      </c>
      <c r="M1225" t="s">
        <v>1449</v>
      </c>
      <c r="N1225" t="s">
        <v>696</v>
      </c>
      <c r="O1225" t="s">
        <v>1450</v>
      </c>
      <c r="P1225" t="s">
        <v>1451</v>
      </c>
      <c r="Q1225" t="s">
        <v>1469</v>
      </c>
      <c r="R1225" s="1">
        <v>46219</v>
      </c>
      <c r="S1225" t="s">
        <v>1453</v>
      </c>
      <c r="T1225" t="s">
        <v>1454</v>
      </c>
      <c r="U1225" t="s">
        <v>1455</v>
      </c>
      <c r="V1225" t="s">
        <v>66</v>
      </c>
      <c r="W1225" t="s">
        <v>66</v>
      </c>
      <c r="X1225">
        <v>3027960</v>
      </c>
      <c r="Y1225">
        <v>333075.59999999998</v>
      </c>
      <c r="Z1225">
        <v>336960</v>
      </c>
      <c r="AA1225">
        <v>37065.599999999999</v>
      </c>
      <c r="AB1225">
        <v>3361035.6</v>
      </c>
      <c r="AC1225">
        <v>2</v>
      </c>
      <c r="AD1225" t="s">
        <v>134</v>
      </c>
      <c r="AE1225">
        <v>24</v>
      </c>
      <c r="AF1225" t="s">
        <v>213</v>
      </c>
      <c r="AG1225">
        <f>IFERROR(VLOOKUP(AF1225,[1]STOK!J:O,6,0),"")</f>
        <v>12</v>
      </c>
      <c r="AH1225" s="2">
        <f t="shared" si="38"/>
        <v>2</v>
      </c>
      <c r="AI1225" t="s">
        <v>213</v>
      </c>
      <c r="AJ1225" t="s">
        <v>214</v>
      </c>
      <c r="AK1225" t="s">
        <v>215</v>
      </c>
      <c r="AL1225" t="s">
        <v>86</v>
      </c>
      <c r="AM1225">
        <v>191808</v>
      </c>
      <c r="AN1225">
        <f t="shared" si="39"/>
        <v>187012.8</v>
      </c>
      <c r="AO1225" t="s">
        <v>66</v>
      </c>
      <c r="AP1225">
        <v>2.5</v>
      </c>
      <c r="AQ1225" t="s">
        <v>66</v>
      </c>
      <c r="AR1225">
        <v>0</v>
      </c>
      <c r="AS1225" t="s">
        <v>66</v>
      </c>
      <c r="AT1225">
        <v>0</v>
      </c>
      <c r="AU1225" t="s">
        <v>66</v>
      </c>
      <c r="AV1225">
        <v>0</v>
      </c>
      <c r="AW1225" t="s">
        <v>66</v>
      </c>
      <c r="AX1225">
        <v>0</v>
      </c>
      <c r="AY1225" t="s">
        <v>66</v>
      </c>
      <c r="AZ1225">
        <v>0</v>
      </c>
      <c r="BA1225" t="s">
        <v>66</v>
      </c>
      <c r="BB1225">
        <v>0</v>
      </c>
      <c r="BC1225">
        <v>0</v>
      </c>
      <c r="BD1225">
        <v>374025.6</v>
      </c>
      <c r="BE1225">
        <v>12609.82</v>
      </c>
      <c r="BF1225">
        <v>0</v>
      </c>
      <c r="BG1225" t="s">
        <v>87</v>
      </c>
      <c r="BH1225" t="s">
        <v>66</v>
      </c>
      <c r="BI1225">
        <v>0</v>
      </c>
      <c r="BJ1225" t="s">
        <v>66</v>
      </c>
      <c r="BK1225" t="s">
        <v>88</v>
      </c>
      <c r="BL1225" t="s">
        <v>1459</v>
      </c>
      <c r="BM1225" t="s">
        <v>159</v>
      </c>
    </row>
    <row r="1226" spans="1:65" x14ac:dyDescent="0.25">
      <c r="A1226">
        <v>1224</v>
      </c>
      <c r="B1226" t="s">
        <v>1479</v>
      </c>
      <c r="C1226" t="s">
        <v>66</v>
      </c>
      <c r="D1226" s="1">
        <v>46218</v>
      </c>
      <c r="E1226" t="s">
        <v>1480</v>
      </c>
      <c r="F1226" t="s">
        <v>68</v>
      </c>
      <c r="G1226" t="s">
        <v>69</v>
      </c>
      <c r="H1226" t="s">
        <v>70</v>
      </c>
      <c r="I1226" t="s">
        <v>71</v>
      </c>
      <c r="J1226" t="s">
        <v>72</v>
      </c>
      <c r="K1226" t="s">
        <v>73</v>
      </c>
      <c r="L1226" t="s">
        <v>74</v>
      </c>
      <c r="M1226" t="s">
        <v>638</v>
      </c>
      <c r="N1226" t="s">
        <v>111</v>
      </c>
      <c r="O1226" t="s">
        <v>639</v>
      </c>
      <c r="P1226" t="s">
        <v>640</v>
      </c>
      <c r="Q1226" t="s">
        <v>1481</v>
      </c>
      <c r="R1226" s="1">
        <v>46220</v>
      </c>
      <c r="S1226" t="s">
        <v>642</v>
      </c>
      <c r="T1226" t="s">
        <v>643</v>
      </c>
      <c r="U1226" t="s">
        <v>644</v>
      </c>
      <c r="V1226" t="s">
        <v>66</v>
      </c>
      <c r="W1226" t="s">
        <v>66</v>
      </c>
      <c r="X1226">
        <v>1713294</v>
      </c>
      <c r="Y1226">
        <v>188462.34</v>
      </c>
      <c r="Z1226">
        <v>21978</v>
      </c>
      <c r="AA1226">
        <v>2417.58</v>
      </c>
      <c r="AB1226">
        <v>1901756.34</v>
      </c>
      <c r="AC1226">
        <v>3</v>
      </c>
      <c r="AD1226" t="s">
        <v>82</v>
      </c>
      <c r="AE1226">
        <v>3</v>
      </c>
      <c r="AF1226" t="s">
        <v>83</v>
      </c>
      <c r="AG1226">
        <f>IFERROR(VLOOKUP(AF1226,[1]STOK!J:O,6,0),"")</f>
        <v>24</v>
      </c>
      <c r="AH1226" s="2">
        <f t="shared" si="38"/>
        <v>0.125</v>
      </c>
      <c r="AI1226" t="s">
        <v>83</v>
      </c>
      <c r="AJ1226" t="s">
        <v>84</v>
      </c>
      <c r="AK1226" t="s">
        <v>85</v>
      </c>
      <c r="AL1226" t="s">
        <v>86</v>
      </c>
      <c r="AM1226">
        <v>8214</v>
      </c>
      <c r="AN1226">
        <f t="shared" si="39"/>
        <v>8131.8600000000006</v>
      </c>
      <c r="AO1226" t="s">
        <v>66</v>
      </c>
      <c r="AP1226">
        <v>1</v>
      </c>
      <c r="AQ1226" t="s">
        <v>66</v>
      </c>
      <c r="AR1226">
        <v>0</v>
      </c>
      <c r="AS1226" t="s">
        <v>66</v>
      </c>
      <c r="AT1226">
        <v>0</v>
      </c>
      <c r="AU1226" t="s">
        <v>66</v>
      </c>
      <c r="AV1226">
        <v>0</v>
      </c>
      <c r="AW1226" t="s">
        <v>66</v>
      </c>
      <c r="AX1226">
        <v>0</v>
      </c>
      <c r="AY1226" t="s">
        <v>66</v>
      </c>
      <c r="AZ1226">
        <v>0</v>
      </c>
      <c r="BA1226" t="s">
        <v>66</v>
      </c>
      <c r="BB1226">
        <v>0</v>
      </c>
      <c r="BC1226">
        <v>0</v>
      </c>
      <c r="BD1226">
        <v>24395.58</v>
      </c>
      <c r="BE1226">
        <v>6590.47</v>
      </c>
      <c r="BF1226">
        <v>0</v>
      </c>
      <c r="BG1226" t="s">
        <v>87</v>
      </c>
      <c r="BH1226" t="s">
        <v>66</v>
      </c>
      <c r="BI1226">
        <v>0</v>
      </c>
      <c r="BJ1226" t="s">
        <v>66</v>
      </c>
      <c r="BK1226" t="s">
        <v>88</v>
      </c>
      <c r="BL1226" t="s">
        <v>66</v>
      </c>
      <c r="BM1226" t="s">
        <v>159</v>
      </c>
    </row>
    <row r="1227" spans="1:65" x14ac:dyDescent="0.25">
      <c r="A1227">
        <v>1225</v>
      </c>
      <c r="B1227" t="s">
        <v>1479</v>
      </c>
      <c r="C1227" t="s">
        <v>66</v>
      </c>
      <c r="D1227" s="1">
        <v>46218</v>
      </c>
      <c r="E1227" t="s">
        <v>1480</v>
      </c>
      <c r="F1227" t="s">
        <v>68</v>
      </c>
      <c r="G1227" t="s">
        <v>69</v>
      </c>
      <c r="H1227" t="s">
        <v>70</v>
      </c>
      <c r="I1227" t="s">
        <v>71</v>
      </c>
      <c r="J1227" t="s">
        <v>72</v>
      </c>
      <c r="K1227" t="s">
        <v>73</v>
      </c>
      <c r="L1227" t="s">
        <v>74</v>
      </c>
      <c r="M1227" t="s">
        <v>638</v>
      </c>
      <c r="N1227" t="s">
        <v>111</v>
      </c>
      <c r="O1227" t="s">
        <v>639</v>
      </c>
      <c r="P1227" t="s">
        <v>640</v>
      </c>
      <c r="Q1227" t="s">
        <v>1481</v>
      </c>
      <c r="R1227" s="1">
        <v>46220</v>
      </c>
      <c r="S1227" t="s">
        <v>642</v>
      </c>
      <c r="T1227" t="s">
        <v>643</v>
      </c>
      <c r="U1227" t="s">
        <v>644</v>
      </c>
      <c r="V1227" t="s">
        <v>66</v>
      </c>
      <c r="W1227" t="s">
        <v>66</v>
      </c>
      <c r="X1227">
        <v>1713294</v>
      </c>
      <c r="Y1227">
        <v>188462.34</v>
      </c>
      <c r="Z1227">
        <v>59994</v>
      </c>
      <c r="AA1227">
        <v>6599.34</v>
      </c>
      <c r="AB1227">
        <v>1901756.34</v>
      </c>
      <c r="AC1227">
        <v>6</v>
      </c>
      <c r="AD1227" t="s">
        <v>82</v>
      </c>
      <c r="AE1227">
        <v>6</v>
      </c>
      <c r="AF1227" t="s">
        <v>723</v>
      </c>
      <c r="AG1227">
        <f>IFERROR(VLOOKUP(AF1227,[1]STOK!J:O,6,0),"")</f>
        <v>24</v>
      </c>
      <c r="AH1227" s="2">
        <f t="shared" si="38"/>
        <v>0.25</v>
      </c>
      <c r="AI1227" t="s">
        <v>723</v>
      </c>
      <c r="AJ1227" t="s">
        <v>724</v>
      </c>
      <c r="AK1227" t="s">
        <v>725</v>
      </c>
      <c r="AL1227" t="s">
        <v>86</v>
      </c>
      <c r="AM1227">
        <v>11211</v>
      </c>
      <c r="AN1227">
        <f t="shared" si="39"/>
        <v>11098.89</v>
      </c>
      <c r="AO1227" t="s">
        <v>66</v>
      </c>
      <c r="AP1227">
        <v>1</v>
      </c>
      <c r="AQ1227" t="s">
        <v>66</v>
      </c>
      <c r="AR1227">
        <v>0</v>
      </c>
      <c r="AS1227" t="s">
        <v>66</v>
      </c>
      <c r="AT1227">
        <v>0</v>
      </c>
      <c r="AU1227" t="s">
        <v>66</v>
      </c>
      <c r="AV1227">
        <v>0</v>
      </c>
      <c r="AW1227" t="s">
        <v>66</v>
      </c>
      <c r="AX1227">
        <v>0</v>
      </c>
      <c r="AY1227" t="s">
        <v>66</v>
      </c>
      <c r="AZ1227">
        <v>0</v>
      </c>
      <c r="BA1227" t="s">
        <v>66</v>
      </c>
      <c r="BB1227">
        <v>0</v>
      </c>
      <c r="BC1227">
        <v>0</v>
      </c>
      <c r="BD1227">
        <v>66593.34</v>
      </c>
      <c r="BE1227">
        <v>8721.83</v>
      </c>
      <c r="BF1227">
        <v>0</v>
      </c>
      <c r="BG1227" t="s">
        <v>87</v>
      </c>
      <c r="BH1227" t="s">
        <v>66</v>
      </c>
      <c r="BI1227">
        <v>0</v>
      </c>
      <c r="BJ1227" t="s">
        <v>66</v>
      </c>
      <c r="BK1227" t="s">
        <v>88</v>
      </c>
      <c r="BL1227" t="s">
        <v>66</v>
      </c>
      <c r="BM1227" t="s">
        <v>159</v>
      </c>
    </row>
    <row r="1228" spans="1:65" x14ac:dyDescent="0.25">
      <c r="A1228">
        <v>1226</v>
      </c>
      <c r="B1228" t="s">
        <v>1479</v>
      </c>
      <c r="C1228" t="s">
        <v>66</v>
      </c>
      <c r="D1228" s="1">
        <v>46218</v>
      </c>
      <c r="E1228" t="s">
        <v>1480</v>
      </c>
      <c r="F1228" t="s">
        <v>68</v>
      </c>
      <c r="G1228" t="s">
        <v>69</v>
      </c>
      <c r="H1228" t="s">
        <v>70</v>
      </c>
      <c r="I1228" t="s">
        <v>71</v>
      </c>
      <c r="J1228" t="s">
        <v>72</v>
      </c>
      <c r="K1228" t="s">
        <v>73</v>
      </c>
      <c r="L1228" t="s">
        <v>74</v>
      </c>
      <c r="M1228" t="s">
        <v>638</v>
      </c>
      <c r="N1228" t="s">
        <v>111</v>
      </c>
      <c r="O1228" t="s">
        <v>639</v>
      </c>
      <c r="P1228" t="s">
        <v>640</v>
      </c>
      <c r="Q1228" t="s">
        <v>1481</v>
      </c>
      <c r="R1228" s="1">
        <v>46220</v>
      </c>
      <c r="S1228" t="s">
        <v>642</v>
      </c>
      <c r="T1228" t="s">
        <v>643</v>
      </c>
      <c r="U1228" t="s">
        <v>644</v>
      </c>
      <c r="V1228" t="s">
        <v>66</v>
      </c>
      <c r="W1228" t="s">
        <v>66</v>
      </c>
      <c r="X1228">
        <v>1713294</v>
      </c>
      <c r="Y1228">
        <v>188462.34</v>
      </c>
      <c r="Z1228">
        <v>23463</v>
      </c>
      <c r="AA1228">
        <v>2580.9299999999998</v>
      </c>
      <c r="AB1228">
        <v>1901756.34</v>
      </c>
      <c r="AC1228">
        <v>3</v>
      </c>
      <c r="AD1228" t="s">
        <v>82</v>
      </c>
      <c r="AE1228">
        <v>3</v>
      </c>
      <c r="AF1228" t="s">
        <v>199</v>
      </c>
      <c r="AG1228">
        <f>IFERROR(VLOOKUP(AF1228,[1]STOK!J:O,6,0),"")</f>
        <v>24</v>
      </c>
      <c r="AH1228" s="2">
        <f t="shared" si="38"/>
        <v>0.125</v>
      </c>
      <c r="AI1228" t="s">
        <v>199</v>
      </c>
      <c r="AJ1228" t="s">
        <v>200</v>
      </c>
      <c r="AK1228" t="s">
        <v>201</v>
      </c>
      <c r="AL1228" t="s">
        <v>86</v>
      </c>
      <c r="AM1228">
        <v>8769</v>
      </c>
      <c r="AN1228">
        <f t="shared" si="39"/>
        <v>8681.31</v>
      </c>
      <c r="AO1228" t="s">
        <v>66</v>
      </c>
      <c r="AP1228">
        <v>1</v>
      </c>
      <c r="AQ1228" t="s">
        <v>66</v>
      </c>
      <c r="AR1228">
        <v>0</v>
      </c>
      <c r="AS1228" t="s">
        <v>66</v>
      </c>
      <c r="AT1228">
        <v>0</v>
      </c>
      <c r="AU1228" t="s">
        <v>66</v>
      </c>
      <c r="AV1228">
        <v>0</v>
      </c>
      <c r="AW1228" t="s">
        <v>66</v>
      </c>
      <c r="AX1228">
        <v>0</v>
      </c>
      <c r="AY1228" t="s">
        <v>66</v>
      </c>
      <c r="AZ1228">
        <v>0</v>
      </c>
      <c r="BA1228" t="s">
        <v>66</v>
      </c>
      <c r="BB1228">
        <v>0</v>
      </c>
      <c r="BC1228">
        <v>0</v>
      </c>
      <c r="BD1228">
        <v>26043.93</v>
      </c>
      <c r="BE1228">
        <v>6637.67</v>
      </c>
      <c r="BF1228">
        <v>0</v>
      </c>
      <c r="BG1228" t="s">
        <v>87</v>
      </c>
      <c r="BH1228" t="s">
        <v>66</v>
      </c>
      <c r="BI1228">
        <v>0</v>
      </c>
      <c r="BJ1228" t="s">
        <v>66</v>
      </c>
      <c r="BK1228" t="s">
        <v>88</v>
      </c>
      <c r="BL1228" t="s">
        <v>66</v>
      </c>
      <c r="BM1228" t="s">
        <v>159</v>
      </c>
    </row>
    <row r="1229" spans="1:65" x14ac:dyDescent="0.25">
      <c r="A1229">
        <v>1227</v>
      </c>
      <c r="B1229" t="s">
        <v>1479</v>
      </c>
      <c r="C1229" t="s">
        <v>66</v>
      </c>
      <c r="D1229" s="1">
        <v>46218</v>
      </c>
      <c r="E1229" t="s">
        <v>1480</v>
      </c>
      <c r="F1229" t="s">
        <v>68</v>
      </c>
      <c r="G1229" t="s">
        <v>69</v>
      </c>
      <c r="H1229" t="s">
        <v>70</v>
      </c>
      <c r="I1229" t="s">
        <v>71</v>
      </c>
      <c r="J1229" t="s">
        <v>72</v>
      </c>
      <c r="K1229" t="s">
        <v>73</v>
      </c>
      <c r="L1229" t="s">
        <v>74</v>
      </c>
      <c r="M1229" t="s">
        <v>638</v>
      </c>
      <c r="N1229" t="s">
        <v>111</v>
      </c>
      <c r="O1229" t="s">
        <v>639</v>
      </c>
      <c r="P1229" t="s">
        <v>640</v>
      </c>
      <c r="Q1229" t="s">
        <v>1481</v>
      </c>
      <c r="R1229" s="1">
        <v>46220</v>
      </c>
      <c r="S1229" t="s">
        <v>642</v>
      </c>
      <c r="T1229" t="s">
        <v>643</v>
      </c>
      <c r="U1229" t="s">
        <v>644</v>
      </c>
      <c r="V1229" t="s">
        <v>66</v>
      </c>
      <c r="W1229" t="s">
        <v>66</v>
      </c>
      <c r="X1229">
        <v>1713294</v>
      </c>
      <c r="Y1229">
        <v>188462.34</v>
      </c>
      <c r="Z1229">
        <v>46926</v>
      </c>
      <c r="AA1229">
        <v>5161.8599999999997</v>
      </c>
      <c r="AB1229">
        <v>1901756.34</v>
      </c>
      <c r="AC1229">
        <v>6</v>
      </c>
      <c r="AD1229" t="s">
        <v>82</v>
      </c>
      <c r="AE1229">
        <v>6</v>
      </c>
      <c r="AF1229" t="s">
        <v>344</v>
      </c>
      <c r="AG1229">
        <f>IFERROR(VLOOKUP(AF1229,[1]STOK!J:O,6,0),"")</f>
        <v>24</v>
      </c>
      <c r="AH1229" s="2">
        <f t="shared" si="38"/>
        <v>0.25</v>
      </c>
      <c r="AI1229" t="s">
        <v>344</v>
      </c>
      <c r="AJ1229" t="s">
        <v>345</v>
      </c>
      <c r="AK1229" t="s">
        <v>346</v>
      </c>
      <c r="AL1229" t="s">
        <v>86</v>
      </c>
      <c r="AM1229">
        <v>8769</v>
      </c>
      <c r="AN1229">
        <f t="shared" si="39"/>
        <v>8681.31</v>
      </c>
      <c r="AO1229" t="s">
        <v>66</v>
      </c>
      <c r="AP1229">
        <v>1</v>
      </c>
      <c r="AQ1229" t="s">
        <v>66</v>
      </c>
      <c r="AR1229">
        <v>0</v>
      </c>
      <c r="AS1229" t="s">
        <v>66</v>
      </c>
      <c r="AT1229">
        <v>0</v>
      </c>
      <c r="AU1229" t="s">
        <v>66</v>
      </c>
      <c r="AV1229">
        <v>0</v>
      </c>
      <c r="AW1229" t="s">
        <v>66</v>
      </c>
      <c r="AX1229">
        <v>0</v>
      </c>
      <c r="AY1229" t="s">
        <v>66</v>
      </c>
      <c r="AZ1229">
        <v>0</v>
      </c>
      <c r="BA1229" t="s">
        <v>66</v>
      </c>
      <c r="BB1229">
        <v>0</v>
      </c>
      <c r="BC1229">
        <v>0</v>
      </c>
      <c r="BD1229">
        <v>52087.86</v>
      </c>
      <c r="BE1229">
        <v>6916.14</v>
      </c>
      <c r="BF1229">
        <v>0</v>
      </c>
      <c r="BG1229" t="s">
        <v>87</v>
      </c>
      <c r="BH1229" t="s">
        <v>66</v>
      </c>
      <c r="BI1229">
        <v>0</v>
      </c>
      <c r="BJ1229" t="s">
        <v>66</v>
      </c>
      <c r="BK1229" t="s">
        <v>88</v>
      </c>
      <c r="BL1229" t="s">
        <v>66</v>
      </c>
      <c r="BM1229" t="s">
        <v>159</v>
      </c>
    </row>
    <row r="1230" spans="1:65" x14ac:dyDescent="0.25">
      <c r="A1230">
        <v>1228</v>
      </c>
      <c r="B1230" t="s">
        <v>1479</v>
      </c>
      <c r="C1230" t="s">
        <v>66</v>
      </c>
      <c r="D1230" s="1">
        <v>46218</v>
      </c>
      <c r="E1230" t="s">
        <v>1480</v>
      </c>
      <c r="F1230" t="s">
        <v>68</v>
      </c>
      <c r="G1230" t="s">
        <v>69</v>
      </c>
      <c r="H1230" t="s">
        <v>70</v>
      </c>
      <c r="I1230" t="s">
        <v>71</v>
      </c>
      <c r="J1230" t="s">
        <v>72</v>
      </c>
      <c r="K1230" t="s">
        <v>73</v>
      </c>
      <c r="L1230" t="s">
        <v>74</v>
      </c>
      <c r="M1230" t="s">
        <v>638</v>
      </c>
      <c r="N1230" t="s">
        <v>111</v>
      </c>
      <c r="O1230" t="s">
        <v>639</v>
      </c>
      <c r="P1230" t="s">
        <v>640</v>
      </c>
      <c r="Q1230" t="s">
        <v>1481</v>
      </c>
      <c r="R1230" s="1">
        <v>46220</v>
      </c>
      <c r="S1230" t="s">
        <v>642</v>
      </c>
      <c r="T1230" t="s">
        <v>643</v>
      </c>
      <c r="U1230" t="s">
        <v>644</v>
      </c>
      <c r="V1230" t="s">
        <v>66</v>
      </c>
      <c r="W1230" t="s">
        <v>66</v>
      </c>
      <c r="X1230">
        <v>1713294</v>
      </c>
      <c r="Y1230">
        <v>188462.34</v>
      </c>
      <c r="Z1230">
        <v>49005</v>
      </c>
      <c r="AA1230">
        <v>5390.55</v>
      </c>
      <c r="AB1230">
        <v>1901756.34</v>
      </c>
      <c r="AC1230">
        <v>3</v>
      </c>
      <c r="AD1230" t="s">
        <v>82</v>
      </c>
      <c r="AE1230">
        <v>3</v>
      </c>
      <c r="AF1230" t="s">
        <v>99</v>
      </c>
      <c r="AG1230">
        <f>IFERROR(VLOOKUP(AF1230,[1]STOK!J:O,6,0),"")</f>
        <v>24</v>
      </c>
      <c r="AH1230" s="2">
        <f t="shared" si="38"/>
        <v>0.125</v>
      </c>
      <c r="AI1230" t="s">
        <v>99</v>
      </c>
      <c r="AJ1230" t="s">
        <v>100</v>
      </c>
      <c r="AK1230" t="s">
        <v>101</v>
      </c>
      <c r="AL1230" t="s">
        <v>86</v>
      </c>
      <c r="AM1230">
        <v>18315</v>
      </c>
      <c r="AN1230">
        <f t="shared" si="39"/>
        <v>18131.850000000002</v>
      </c>
      <c r="AO1230" t="s">
        <v>66</v>
      </c>
      <c r="AP1230">
        <v>1</v>
      </c>
      <c r="AQ1230" t="s">
        <v>66</v>
      </c>
      <c r="AR1230">
        <v>0</v>
      </c>
      <c r="AS1230" t="s">
        <v>66</v>
      </c>
      <c r="AT1230">
        <v>0</v>
      </c>
      <c r="AU1230" t="s">
        <v>66</v>
      </c>
      <c r="AV1230">
        <v>0</v>
      </c>
      <c r="AW1230" t="s">
        <v>66</v>
      </c>
      <c r="AX1230">
        <v>0</v>
      </c>
      <c r="AY1230" t="s">
        <v>66</v>
      </c>
      <c r="AZ1230">
        <v>0</v>
      </c>
      <c r="BA1230" t="s">
        <v>66</v>
      </c>
      <c r="BB1230">
        <v>0</v>
      </c>
      <c r="BC1230">
        <v>0</v>
      </c>
      <c r="BD1230">
        <v>54395.55</v>
      </c>
      <c r="BE1230">
        <v>14924.93</v>
      </c>
      <c r="BF1230">
        <v>0</v>
      </c>
      <c r="BG1230" t="s">
        <v>87</v>
      </c>
      <c r="BH1230" t="s">
        <v>66</v>
      </c>
      <c r="BI1230">
        <v>0</v>
      </c>
      <c r="BJ1230" t="s">
        <v>66</v>
      </c>
      <c r="BK1230" t="s">
        <v>88</v>
      </c>
      <c r="BL1230" t="s">
        <v>66</v>
      </c>
      <c r="BM1230" t="s">
        <v>159</v>
      </c>
    </row>
    <row r="1231" spans="1:65" x14ac:dyDescent="0.25">
      <c r="A1231">
        <v>1229</v>
      </c>
      <c r="B1231" t="s">
        <v>1479</v>
      </c>
      <c r="C1231" t="s">
        <v>66</v>
      </c>
      <c r="D1231" s="1">
        <v>46218</v>
      </c>
      <c r="E1231" t="s">
        <v>1480</v>
      </c>
      <c r="F1231" t="s">
        <v>68</v>
      </c>
      <c r="G1231" t="s">
        <v>69</v>
      </c>
      <c r="H1231" t="s">
        <v>70</v>
      </c>
      <c r="I1231" t="s">
        <v>71</v>
      </c>
      <c r="J1231" t="s">
        <v>72</v>
      </c>
      <c r="K1231" t="s">
        <v>73</v>
      </c>
      <c r="L1231" t="s">
        <v>74</v>
      </c>
      <c r="M1231" t="s">
        <v>638</v>
      </c>
      <c r="N1231" t="s">
        <v>111</v>
      </c>
      <c r="O1231" t="s">
        <v>639</v>
      </c>
      <c r="P1231" t="s">
        <v>640</v>
      </c>
      <c r="Q1231" t="s">
        <v>1481</v>
      </c>
      <c r="R1231" s="1">
        <v>46220</v>
      </c>
      <c r="S1231" t="s">
        <v>642</v>
      </c>
      <c r="T1231" t="s">
        <v>643</v>
      </c>
      <c r="U1231" t="s">
        <v>644</v>
      </c>
      <c r="V1231" t="s">
        <v>66</v>
      </c>
      <c r="W1231" t="s">
        <v>66</v>
      </c>
      <c r="X1231">
        <v>1713294</v>
      </c>
      <c r="Y1231">
        <v>188462.34</v>
      </c>
      <c r="Z1231">
        <v>512424</v>
      </c>
      <c r="AA1231">
        <v>56366.64</v>
      </c>
      <c r="AB1231">
        <v>1901756.34</v>
      </c>
      <c r="AC1231">
        <v>1</v>
      </c>
      <c r="AD1231" t="s">
        <v>134</v>
      </c>
      <c r="AE1231">
        <v>4</v>
      </c>
      <c r="AF1231" t="s">
        <v>596</v>
      </c>
      <c r="AG1231">
        <f>IFERROR(VLOOKUP(AF1231,[1]STOK!J:O,6,0),"")</f>
        <v>4</v>
      </c>
      <c r="AH1231" s="2">
        <f t="shared" si="38"/>
        <v>1</v>
      </c>
      <c r="AI1231" t="s">
        <v>596</v>
      </c>
      <c r="AJ1231" t="s">
        <v>597</v>
      </c>
      <c r="AK1231" t="s">
        <v>598</v>
      </c>
      <c r="AL1231" t="s">
        <v>86</v>
      </c>
      <c r="AM1231">
        <v>574536</v>
      </c>
      <c r="AN1231">
        <f t="shared" si="39"/>
        <v>568790.64</v>
      </c>
      <c r="AO1231" t="s">
        <v>66</v>
      </c>
      <c r="AP1231">
        <v>1</v>
      </c>
      <c r="AQ1231" t="s">
        <v>66</v>
      </c>
      <c r="AR1231">
        <v>0</v>
      </c>
      <c r="AS1231" t="s">
        <v>66</v>
      </c>
      <c r="AT1231">
        <v>0</v>
      </c>
      <c r="AU1231" t="s">
        <v>66</v>
      </c>
      <c r="AV1231">
        <v>0</v>
      </c>
      <c r="AW1231" t="s">
        <v>66</v>
      </c>
      <c r="AX1231">
        <v>0</v>
      </c>
      <c r="AY1231" t="s">
        <v>66</v>
      </c>
      <c r="AZ1231">
        <v>0</v>
      </c>
      <c r="BA1231" t="s">
        <v>66</v>
      </c>
      <c r="BB1231">
        <v>0</v>
      </c>
      <c r="BC1231">
        <v>0</v>
      </c>
      <c r="BD1231">
        <v>568790.64</v>
      </c>
      <c r="BE1231">
        <v>111322.74</v>
      </c>
      <c r="BF1231">
        <v>0</v>
      </c>
      <c r="BG1231" t="s">
        <v>87</v>
      </c>
      <c r="BH1231" t="s">
        <v>66</v>
      </c>
      <c r="BI1231">
        <v>0</v>
      </c>
      <c r="BJ1231" t="s">
        <v>66</v>
      </c>
      <c r="BK1231" t="s">
        <v>88</v>
      </c>
      <c r="BL1231" t="s">
        <v>66</v>
      </c>
      <c r="BM1231" t="s">
        <v>159</v>
      </c>
    </row>
    <row r="1232" spans="1:65" x14ac:dyDescent="0.25">
      <c r="A1232">
        <v>1230</v>
      </c>
      <c r="B1232" t="s">
        <v>1479</v>
      </c>
      <c r="C1232" t="s">
        <v>66</v>
      </c>
      <c r="D1232" s="1">
        <v>46218</v>
      </c>
      <c r="E1232" t="s">
        <v>1480</v>
      </c>
      <c r="F1232" t="s">
        <v>68</v>
      </c>
      <c r="G1232" t="s">
        <v>69</v>
      </c>
      <c r="H1232" t="s">
        <v>70</v>
      </c>
      <c r="I1232" t="s">
        <v>71</v>
      </c>
      <c r="J1232" t="s">
        <v>72</v>
      </c>
      <c r="K1232" t="s">
        <v>73</v>
      </c>
      <c r="L1232" t="s">
        <v>74</v>
      </c>
      <c r="M1232" t="s">
        <v>638</v>
      </c>
      <c r="N1232" t="s">
        <v>111</v>
      </c>
      <c r="O1232" t="s">
        <v>639</v>
      </c>
      <c r="P1232" t="s">
        <v>640</v>
      </c>
      <c r="Q1232" t="s">
        <v>1481</v>
      </c>
      <c r="R1232" s="1">
        <v>46220</v>
      </c>
      <c r="S1232" t="s">
        <v>642</v>
      </c>
      <c r="T1232" t="s">
        <v>643</v>
      </c>
      <c r="U1232" t="s">
        <v>644</v>
      </c>
      <c r="V1232" t="s">
        <v>66</v>
      </c>
      <c r="W1232" t="s">
        <v>66</v>
      </c>
      <c r="X1232">
        <v>1713294</v>
      </c>
      <c r="Y1232">
        <v>188462.34</v>
      </c>
      <c r="Z1232">
        <v>512424</v>
      </c>
      <c r="AA1232">
        <v>56366.64</v>
      </c>
      <c r="AB1232">
        <v>1901756.34</v>
      </c>
      <c r="AC1232">
        <v>1</v>
      </c>
      <c r="AD1232" t="s">
        <v>134</v>
      </c>
      <c r="AE1232">
        <v>4</v>
      </c>
      <c r="AF1232" t="s">
        <v>522</v>
      </c>
      <c r="AG1232">
        <f>IFERROR(VLOOKUP(AF1232,[1]STOK!J:O,6,0),"")</f>
        <v>4</v>
      </c>
      <c r="AH1232" s="2">
        <f t="shared" si="38"/>
        <v>1</v>
      </c>
      <c r="AI1232" t="s">
        <v>522</v>
      </c>
      <c r="AJ1232" t="s">
        <v>523</v>
      </c>
      <c r="AK1232" t="s">
        <v>524</v>
      </c>
      <c r="AL1232" t="s">
        <v>86</v>
      </c>
      <c r="AM1232">
        <v>574536</v>
      </c>
      <c r="AN1232">
        <f t="shared" si="39"/>
        <v>568790.64</v>
      </c>
      <c r="AO1232" t="s">
        <v>66</v>
      </c>
      <c r="AP1232">
        <v>1</v>
      </c>
      <c r="AQ1232" t="s">
        <v>66</v>
      </c>
      <c r="AR1232">
        <v>0</v>
      </c>
      <c r="AS1232" t="s">
        <v>66</v>
      </c>
      <c r="AT1232">
        <v>0</v>
      </c>
      <c r="AU1232" t="s">
        <v>66</v>
      </c>
      <c r="AV1232">
        <v>0</v>
      </c>
      <c r="AW1232" t="s">
        <v>66</v>
      </c>
      <c r="AX1232">
        <v>0</v>
      </c>
      <c r="AY1232" t="s">
        <v>66</v>
      </c>
      <c r="AZ1232">
        <v>0</v>
      </c>
      <c r="BA1232" t="s">
        <v>66</v>
      </c>
      <c r="BB1232">
        <v>0</v>
      </c>
      <c r="BC1232">
        <v>0</v>
      </c>
      <c r="BD1232">
        <v>568790.64</v>
      </c>
      <c r="BE1232">
        <v>110461.05</v>
      </c>
      <c r="BF1232">
        <v>0</v>
      </c>
      <c r="BG1232" t="s">
        <v>87</v>
      </c>
      <c r="BH1232" t="s">
        <v>66</v>
      </c>
      <c r="BI1232">
        <v>0</v>
      </c>
      <c r="BJ1232" t="s">
        <v>66</v>
      </c>
      <c r="BK1232" t="s">
        <v>88</v>
      </c>
      <c r="BL1232" t="s">
        <v>66</v>
      </c>
      <c r="BM1232" t="s">
        <v>159</v>
      </c>
    </row>
    <row r="1233" spans="1:65" x14ac:dyDescent="0.25">
      <c r="A1233">
        <v>1231</v>
      </c>
      <c r="B1233" t="s">
        <v>1479</v>
      </c>
      <c r="C1233" t="s">
        <v>66</v>
      </c>
      <c r="D1233" s="1">
        <v>46218</v>
      </c>
      <c r="E1233" t="s">
        <v>1480</v>
      </c>
      <c r="F1233" t="s">
        <v>68</v>
      </c>
      <c r="G1233" t="s">
        <v>69</v>
      </c>
      <c r="H1233" t="s">
        <v>70</v>
      </c>
      <c r="I1233" t="s">
        <v>71</v>
      </c>
      <c r="J1233" t="s">
        <v>72</v>
      </c>
      <c r="K1233" t="s">
        <v>73</v>
      </c>
      <c r="L1233" t="s">
        <v>74</v>
      </c>
      <c r="M1233" t="s">
        <v>638</v>
      </c>
      <c r="N1233" t="s">
        <v>111</v>
      </c>
      <c r="O1233" t="s">
        <v>639</v>
      </c>
      <c r="P1233" t="s">
        <v>640</v>
      </c>
      <c r="Q1233" t="s">
        <v>1481</v>
      </c>
      <c r="R1233" s="1">
        <v>46220</v>
      </c>
      <c r="S1233" t="s">
        <v>642</v>
      </c>
      <c r="T1233" t="s">
        <v>643</v>
      </c>
      <c r="U1233" t="s">
        <v>644</v>
      </c>
      <c r="V1233" t="s">
        <v>66</v>
      </c>
      <c r="W1233" t="s">
        <v>66</v>
      </c>
      <c r="X1233">
        <v>1713294</v>
      </c>
      <c r="Y1233">
        <v>188462.34</v>
      </c>
      <c r="Z1233">
        <v>158004</v>
      </c>
      <c r="AA1233">
        <v>17380.439999999999</v>
      </c>
      <c r="AB1233">
        <v>1901756.34</v>
      </c>
      <c r="AC1233">
        <v>1</v>
      </c>
      <c r="AD1233" t="s">
        <v>134</v>
      </c>
      <c r="AE1233">
        <v>12</v>
      </c>
      <c r="AF1233" t="s">
        <v>135</v>
      </c>
      <c r="AG1233">
        <f>IFERROR(VLOOKUP(AF1233,[1]STOK!J:O,6,0),"")</f>
        <v>12</v>
      </c>
      <c r="AH1233" s="2">
        <f t="shared" si="38"/>
        <v>1</v>
      </c>
      <c r="AI1233" t="s">
        <v>135</v>
      </c>
      <c r="AJ1233" t="s">
        <v>136</v>
      </c>
      <c r="AK1233" t="s">
        <v>137</v>
      </c>
      <c r="AL1233" t="s">
        <v>86</v>
      </c>
      <c r="AM1233">
        <v>177156</v>
      </c>
      <c r="AN1233">
        <f t="shared" si="39"/>
        <v>175384.44</v>
      </c>
      <c r="AO1233" t="s">
        <v>66</v>
      </c>
      <c r="AP1233">
        <v>1</v>
      </c>
      <c r="AQ1233" t="s">
        <v>66</v>
      </c>
      <c r="AR1233">
        <v>0</v>
      </c>
      <c r="AS1233" t="s">
        <v>66</v>
      </c>
      <c r="AT1233">
        <v>0</v>
      </c>
      <c r="AU1233" t="s">
        <v>66</v>
      </c>
      <c r="AV1233">
        <v>0</v>
      </c>
      <c r="AW1233" t="s">
        <v>66</v>
      </c>
      <c r="AX1233">
        <v>0</v>
      </c>
      <c r="AY1233" t="s">
        <v>66</v>
      </c>
      <c r="AZ1233">
        <v>0</v>
      </c>
      <c r="BA1233" t="s">
        <v>66</v>
      </c>
      <c r="BB1233">
        <v>0</v>
      </c>
      <c r="BC1233">
        <v>0</v>
      </c>
      <c r="BD1233">
        <v>175384.44</v>
      </c>
      <c r="BE1233">
        <v>12032.04</v>
      </c>
      <c r="BF1233">
        <v>0</v>
      </c>
      <c r="BG1233" t="s">
        <v>87</v>
      </c>
      <c r="BH1233" t="s">
        <v>66</v>
      </c>
      <c r="BI1233">
        <v>0</v>
      </c>
      <c r="BJ1233" t="s">
        <v>66</v>
      </c>
      <c r="BK1233" t="s">
        <v>88</v>
      </c>
      <c r="BL1233" t="s">
        <v>66</v>
      </c>
      <c r="BM1233" t="s">
        <v>159</v>
      </c>
    </row>
    <row r="1234" spans="1:65" x14ac:dyDescent="0.25">
      <c r="A1234">
        <v>1232</v>
      </c>
      <c r="B1234" t="s">
        <v>1479</v>
      </c>
      <c r="C1234" t="s">
        <v>66</v>
      </c>
      <c r="D1234" s="1">
        <v>46218</v>
      </c>
      <c r="E1234" t="s">
        <v>1480</v>
      </c>
      <c r="F1234" t="s">
        <v>68</v>
      </c>
      <c r="G1234" t="s">
        <v>69</v>
      </c>
      <c r="H1234" t="s">
        <v>70</v>
      </c>
      <c r="I1234" t="s">
        <v>71</v>
      </c>
      <c r="J1234" t="s">
        <v>72</v>
      </c>
      <c r="K1234" t="s">
        <v>73</v>
      </c>
      <c r="L1234" t="s">
        <v>74</v>
      </c>
      <c r="M1234" t="s">
        <v>638</v>
      </c>
      <c r="N1234" t="s">
        <v>111</v>
      </c>
      <c r="O1234" t="s">
        <v>639</v>
      </c>
      <c r="P1234" t="s">
        <v>640</v>
      </c>
      <c r="Q1234" t="s">
        <v>1481</v>
      </c>
      <c r="R1234" s="1">
        <v>46220</v>
      </c>
      <c r="S1234" t="s">
        <v>642</v>
      </c>
      <c r="T1234" t="s">
        <v>643</v>
      </c>
      <c r="U1234" t="s">
        <v>644</v>
      </c>
      <c r="V1234" t="s">
        <v>66</v>
      </c>
      <c r="W1234" t="s">
        <v>66</v>
      </c>
      <c r="X1234">
        <v>1713294</v>
      </c>
      <c r="Y1234">
        <v>188462.34</v>
      </c>
      <c r="Z1234">
        <v>158004</v>
      </c>
      <c r="AA1234">
        <v>17380.439999999999</v>
      </c>
      <c r="AB1234">
        <v>1901756.34</v>
      </c>
      <c r="AC1234">
        <v>1</v>
      </c>
      <c r="AD1234" t="s">
        <v>134</v>
      </c>
      <c r="AE1234">
        <v>12</v>
      </c>
      <c r="AF1234" t="s">
        <v>210</v>
      </c>
      <c r="AG1234">
        <f>IFERROR(VLOOKUP(AF1234,[1]STOK!J:O,6,0),"")</f>
        <v>12</v>
      </c>
      <c r="AH1234" s="2">
        <f t="shared" si="38"/>
        <v>1</v>
      </c>
      <c r="AI1234" t="s">
        <v>210</v>
      </c>
      <c r="AJ1234" t="s">
        <v>211</v>
      </c>
      <c r="AK1234" t="s">
        <v>212</v>
      </c>
      <c r="AL1234" t="s">
        <v>86</v>
      </c>
      <c r="AM1234">
        <v>177156</v>
      </c>
      <c r="AN1234">
        <f t="shared" si="39"/>
        <v>175384.44</v>
      </c>
      <c r="AO1234" t="s">
        <v>66</v>
      </c>
      <c r="AP1234">
        <v>1</v>
      </c>
      <c r="AQ1234" t="s">
        <v>66</v>
      </c>
      <c r="AR1234">
        <v>0</v>
      </c>
      <c r="AS1234" t="s">
        <v>66</v>
      </c>
      <c r="AT1234">
        <v>0</v>
      </c>
      <c r="AU1234" t="s">
        <v>66</v>
      </c>
      <c r="AV1234">
        <v>0</v>
      </c>
      <c r="AW1234" t="s">
        <v>66</v>
      </c>
      <c r="AX1234">
        <v>0</v>
      </c>
      <c r="AY1234" t="s">
        <v>66</v>
      </c>
      <c r="AZ1234">
        <v>0</v>
      </c>
      <c r="BA1234" t="s">
        <v>66</v>
      </c>
      <c r="BB1234">
        <v>0</v>
      </c>
      <c r="BC1234">
        <v>0</v>
      </c>
      <c r="BD1234">
        <v>175384.44</v>
      </c>
      <c r="BE1234">
        <v>11818.77</v>
      </c>
      <c r="BF1234">
        <v>0</v>
      </c>
      <c r="BG1234" t="s">
        <v>87</v>
      </c>
      <c r="BH1234" t="s">
        <v>66</v>
      </c>
      <c r="BI1234">
        <v>0</v>
      </c>
      <c r="BJ1234" t="s">
        <v>66</v>
      </c>
      <c r="BK1234" t="s">
        <v>88</v>
      </c>
      <c r="BL1234" t="s">
        <v>66</v>
      </c>
      <c r="BM1234" t="s">
        <v>159</v>
      </c>
    </row>
    <row r="1235" spans="1:65" x14ac:dyDescent="0.25">
      <c r="A1235">
        <v>1233</v>
      </c>
      <c r="B1235" t="s">
        <v>1479</v>
      </c>
      <c r="C1235" t="s">
        <v>66</v>
      </c>
      <c r="D1235" s="1">
        <v>46218</v>
      </c>
      <c r="E1235" t="s">
        <v>1480</v>
      </c>
      <c r="F1235" t="s">
        <v>68</v>
      </c>
      <c r="G1235" t="s">
        <v>69</v>
      </c>
      <c r="H1235" t="s">
        <v>70</v>
      </c>
      <c r="I1235" t="s">
        <v>71</v>
      </c>
      <c r="J1235" t="s">
        <v>72</v>
      </c>
      <c r="K1235" t="s">
        <v>73</v>
      </c>
      <c r="L1235" t="s">
        <v>74</v>
      </c>
      <c r="M1235" t="s">
        <v>638</v>
      </c>
      <c r="N1235" t="s">
        <v>111</v>
      </c>
      <c r="O1235" t="s">
        <v>639</v>
      </c>
      <c r="P1235" t="s">
        <v>640</v>
      </c>
      <c r="Q1235" t="s">
        <v>1481</v>
      </c>
      <c r="R1235" s="1">
        <v>46220</v>
      </c>
      <c r="S1235" t="s">
        <v>642</v>
      </c>
      <c r="T1235" t="s">
        <v>643</v>
      </c>
      <c r="U1235" t="s">
        <v>644</v>
      </c>
      <c r="V1235" t="s">
        <v>66</v>
      </c>
      <c r="W1235" t="s">
        <v>66</v>
      </c>
      <c r="X1235">
        <v>1713294</v>
      </c>
      <c r="Y1235">
        <v>188462.34</v>
      </c>
      <c r="Z1235">
        <v>171072</v>
      </c>
      <c r="AA1235">
        <v>18817.919999999998</v>
      </c>
      <c r="AB1235">
        <v>1901756.34</v>
      </c>
      <c r="AC1235">
        <v>1</v>
      </c>
      <c r="AD1235" t="s">
        <v>134</v>
      </c>
      <c r="AE1235">
        <v>12</v>
      </c>
      <c r="AF1235" t="s">
        <v>141</v>
      </c>
      <c r="AG1235">
        <f>IFERROR(VLOOKUP(AF1235,[1]STOK!J:O,6,0),"")</f>
        <v>12</v>
      </c>
      <c r="AH1235" s="2">
        <f t="shared" si="38"/>
        <v>1</v>
      </c>
      <c r="AI1235" t="s">
        <v>141</v>
      </c>
      <c r="AJ1235" t="s">
        <v>142</v>
      </c>
      <c r="AK1235" t="s">
        <v>143</v>
      </c>
      <c r="AL1235" t="s">
        <v>86</v>
      </c>
      <c r="AM1235">
        <v>191808</v>
      </c>
      <c r="AN1235">
        <f t="shared" si="39"/>
        <v>189889.92000000001</v>
      </c>
      <c r="AO1235" t="s">
        <v>66</v>
      </c>
      <c r="AP1235">
        <v>1</v>
      </c>
      <c r="AQ1235" t="s">
        <v>66</v>
      </c>
      <c r="AR1235">
        <v>0</v>
      </c>
      <c r="AS1235" t="s">
        <v>66</v>
      </c>
      <c r="AT1235">
        <v>0</v>
      </c>
      <c r="AU1235" t="s">
        <v>66</v>
      </c>
      <c r="AV1235">
        <v>0</v>
      </c>
      <c r="AW1235" t="s">
        <v>66</v>
      </c>
      <c r="AX1235">
        <v>0</v>
      </c>
      <c r="AY1235" t="s">
        <v>66</v>
      </c>
      <c r="AZ1235">
        <v>0</v>
      </c>
      <c r="BA1235" t="s">
        <v>66</v>
      </c>
      <c r="BB1235">
        <v>0</v>
      </c>
      <c r="BC1235">
        <v>0</v>
      </c>
      <c r="BD1235">
        <v>189889.92000000001</v>
      </c>
      <c r="BE1235">
        <v>12915.05</v>
      </c>
      <c r="BF1235">
        <v>0</v>
      </c>
      <c r="BG1235" t="s">
        <v>87</v>
      </c>
      <c r="BH1235" t="s">
        <v>66</v>
      </c>
      <c r="BI1235">
        <v>0</v>
      </c>
      <c r="BJ1235" t="s">
        <v>66</v>
      </c>
      <c r="BK1235" t="s">
        <v>88</v>
      </c>
      <c r="BL1235" t="s">
        <v>66</v>
      </c>
      <c r="BM1235" t="s">
        <v>159</v>
      </c>
    </row>
    <row r="1236" spans="1:65" x14ac:dyDescent="0.25">
      <c r="A1236">
        <v>1234</v>
      </c>
      <c r="B1236" t="s">
        <v>1482</v>
      </c>
      <c r="C1236" t="s">
        <v>66</v>
      </c>
      <c r="D1236" s="1">
        <v>46218</v>
      </c>
      <c r="E1236" t="s">
        <v>1483</v>
      </c>
      <c r="F1236" t="s">
        <v>68</v>
      </c>
      <c r="G1236" t="s">
        <v>69</v>
      </c>
      <c r="H1236" t="s">
        <v>70</v>
      </c>
      <c r="I1236" t="s">
        <v>71</v>
      </c>
      <c r="J1236" t="s">
        <v>72</v>
      </c>
      <c r="K1236" t="s">
        <v>73</v>
      </c>
      <c r="L1236" t="s">
        <v>74</v>
      </c>
      <c r="M1236" t="s">
        <v>1484</v>
      </c>
      <c r="N1236" t="s">
        <v>76</v>
      </c>
      <c r="O1236" t="s">
        <v>1485</v>
      </c>
      <c r="P1236" t="s">
        <v>1486</v>
      </c>
      <c r="Q1236" t="s">
        <v>1487</v>
      </c>
      <c r="R1236" s="1">
        <v>46220</v>
      </c>
      <c r="S1236" t="s">
        <v>1488</v>
      </c>
      <c r="T1236" t="s">
        <v>1489</v>
      </c>
      <c r="U1236" t="s">
        <v>1490</v>
      </c>
      <c r="V1236" t="s">
        <v>66</v>
      </c>
      <c r="W1236" t="s">
        <v>66</v>
      </c>
      <c r="X1236">
        <v>685953</v>
      </c>
      <c r="Y1236">
        <v>75454.83</v>
      </c>
      <c r="Z1236">
        <v>685953</v>
      </c>
      <c r="AA1236">
        <v>75454.83</v>
      </c>
      <c r="AB1236">
        <v>761407.83</v>
      </c>
      <c r="AC1236">
        <v>3</v>
      </c>
      <c r="AD1236" t="s">
        <v>134</v>
      </c>
      <c r="AE1236">
        <v>18</v>
      </c>
      <c r="AF1236" t="s">
        <v>138</v>
      </c>
      <c r="AG1236">
        <f>IFERROR(VLOOKUP(AF1236,[1]STOK!J:O,6,0),"")</f>
        <v>6</v>
      </c>
      <c r="AH1236" s="2">
        <f t="shared" si="38"/>
        <v>3</v>
      </c>
      <c r="AI1236" t="s">
        <v>138</v>
      </c>
      <c r="AJ1236" t="s">
        <v>139</v>
      </c>
      <c r="AK1236" t="s">
        <v>140</v>
      </c>
      <c r="AL1236" t="s">
        <v>86</v>
      </c>
      <c r="AM1236">
        <v>255078</v>
      </c>
      <c r="AN1236">
        <f t="shared" si="39"/>
        <v>253802.61</v>
      </c>
      <c r="AO1236" t="s">
        <v>66</v>
      </c>
      <c r="AP1236">
        <v>0.5</v>
      </c>
      <c r="AQ1236" t="s">
        <v>66</v>
      </c>
      <c r="AR1236">
        <v>0</v>
      </c>
      <c r="AS1236" t="s">
        <v>66</v>
      </c>
      <c r="AT1236">
        <v>0</v>
      </c>
      <c r="AU1236" t="s">
        <v>66</v>
      </c>
      <c r="AV1236">
        <v>0</v>
      </c>
      <c r="AW1236" t="s">
        <v>66</v>
      </c>
      <c r="AX1236">
        <v>0</v>
      </c>
      <c r="AY1236" t="s">
        <v>66</v>
      </c>
      <c r="AZ1236">
        <v>0</v>
      </c>
      <c r="BA1236" t="s">
        <v>66</v>
      </c>
      <c r="BB1236">
        <v>0</v>
      </c>
      <c r="BC1236">
        <v>0</v>
      </c>
      <c r="BD1236">
        <v>761407.83</v>
      </c>
      <c r="BE1236">
        <v>34619.379999999997</v>
      </c>
      <c r="BF1236">
        <v>0</v>
      </c>
      <c r="BG1236" t="s">
        <v>87</v>
      </c>
      <c r="BH1236" t="s">
        <v>66</v>
      </c>
      <c r="BI1236">
        <v>0</v>
      </c>
      <c r="BJ1236" t="s">
        <v>66</v>
      </c>
      <c r="BK1236" t="s">
        <v>88</v>
      </c>
      <c r="BL1236" t="s">
        <v>66</v>
      </c>
      <c r="BM1236" t="s">
        <v>159</v>
      </c>
    </row>
    <row r="1237" spans="1:65" x14ac:dyDescent="0.25">
      <c r="A1237">
        <v>1235</v>
      </c>
      <c r="B1237" t="s">
        <v>1491</v>
      </c>
      <c r="C1237" t="s">
        <v>68</v>
      </c>
      <c r="D1237" s="1">
        <v>46218</v>
      </c>
      <c r="E1237" t="s">
        <v>1492</v>
      </c>
      <c r="F1237" t="s">
        <v>68</v>
      </c>
      <c r="G1237" t="s">
        <v>69</v>
      </c>
      <c r="H1237" t="s">
        <v>70</v>
      </c>
      <c r="I1237" t="s">
        <v>71</v>
      </c>
      <c r="J1237" t="s">
        <v>72</v>
      </c>
      <c r="K1237" t="s">
        <v>73</v>
      </c>
      <c r="L1237" t="s">
        <v>74</v>
      </c>
      <c r="M1237" t="s">
        <v>627</v>
      </c>
      <c r="N1237" t="s">
        <v>111</v>
      </c>
      <c r="O1237" t="s">
        <v>628</v>
      </c>
      <c r="P1237" t="s">
        <v>629</v>
      </c>
      <c r="Q1237" t="s">
        <v>1493</v>
      </c>
      <c r="R1237" s="1">
        <v>46220</v>
      </c>
      <c r="S1237" t="s">
        <v>628</v>
      </c>
      <c r="T1237" t="s">
        <v>631</v>
      </c>
      <c r="U1237" t="s">
        <v>632</v>
      </c>
      <c r="V1237" t="s">
        <v>66</v>
      </c>
      <c r="W1237" t="s">
        <v>66</v>
      </c>
      <c r="X1237">
        <v>1134300</v>
      </c>
      <c r="Y1237">
        <v>124773</v>
      </c>
      <c r="Z1237">
        <v>907440</v>
      </c>
      <c r="AA1237">
        <v>99818.4</v>
      </c>
      <c r="AB1237">
        <v>1259073</v>
      </c>
      <c r="AC1237">
        <v>4</v>
      </c>
      <c r="AD1237" t="s">
        <v>134</v>
      </c>
      <c r="AE1237">
        <v>48</v>
      </c>
      <c r="AF1237" t="s">
        <v>290</v>
      </c>
      <c r="AG1237">
        <f>IFERROR(VLOOKUP(AF1237,[1]STOK!J:O,6,0),"")</f>
        <v>12</v>
      </c>
      <c r="AH1237" s="2">
        <f t="shared" si="38"/>
        <v>4</v>
      </c>
      <c r="AI1237" t="s">
        <v>290</v>
      </c>
      <c r="AJ1237" t="s">
        <v>291</v>
      </c>
      <c r="AK1237" t="s">
        <v>292</v>
      </c>
      <c r="AL1237" t="s">
        <v>86</v>
      </c>
      <c r="AM1237">
        <v>266400</v>
      </c>
      <c r="AN1237">
        <f t="shared" si="39"/>
        <v>251814.6</v>
      </c>
      <c r="AO1237" t="s">
        <v>66</v>
      </c>
      <c r="AP1237">
        <v>0.5</v>
      </c>
      <c r="AQ1237" t="s">
        <v>66</v>
      </c>
      <c r="AR1237">
        <v>0</v>
      </c>
      <c r="AS1237" t="s">
        <v>66</v>
      </c>
      <c r="AT1237">
        <v>0</v>
      </c>
      <c r="AU1237" t="s">
        <v>66</v>
      </c>
      <c r="AV1237">
        <v>5</v>
      </c>
      <c r="AW1237" t="s">
        <v>66</v>
      </c>
      <c r="AX1237">
        <v>0</v>
      </c>
      <c r="AY1237" t="s">
        <v>66</v>
      </c>
      <c r="AZ1237">
        <v>0</v>
      </c>
      <c r="BA1237" t="s">
        <v>66</v>
      </c>
      <c r="BB1237">
        <v>0</v>
      </c>
      <c r="BC1237">
        <v>0</v>
      </c>
      <c r="BD1237">
        <v>1007258.4</v>
      </c>
      <c r="BE1237">
        <v>18155.62</v>
      </c>
      <c r="BF1237">
        <v>0</v>
      </c>
      <c r="BG1237" t="s">
        <v>87</v>
      </c>
      <c r="BH1237" t="s">
        <v>66</v>
      </c>
      <c r="BI1237">
        <v>0</v>
      </c>
      <c r="BJ1237" t="s">
        <v>66</v>
      </c>
      <c r="BK1237" t="s">
        <v>88</v>
      </c>
      <c r="BL1237" t="s">
        <v>66</v>
      </c>
      <c r="BM1237" t="s">
        <v>159</v>
      </c>
    </row>
    <row r="1238" spans="1:65" x14ac:dyDescent="0.25">
      <c r="A1238">
        <v>1236</v>
      </c>
      <c r="B1238" t="s">
        <v>1491</v>
      </c>
      <c r="C1238" t="s">
        <v>68</v>
      </c>
      <c r="D1238" s="1">
        <v>46218</v>
      </c>
      <c r="E1238" t="s">
        <v>1492</v>
      </c>
      <c r="F1238" t="s">
        <v>68</v>
      </c>
      <c r="G1238" t="s">
        <v>69</v>
      </c>
      <c r="H1238" t="s">
        <v>70</v>
      </c>
      <c r="I1238" t="s">
        <v>71</v>
      </c>
      <c r="J1238" t="s">
        <v>72</v>
      </c>
      <c r="K1238" t="s">
        <v>73</v>
      </c>
      <c r="L1238" t="s">
        <v>74</v>
      </c>
      <c r="M1238" t="s">
        <v>627</v>
      </c>
      <c r="N1238" t="s">
        <v>111</v>
      </c>
      <c r="O1238" t="s">
        <v>628</v>
      </c>
      <c r="P1238" t="s">
        <v>629</v>
      </c>
      <c r="Q1238" t="s">
        <v>1493</v>
      </c>
      <c r="R1238" s="1">
        <v>46220</v>
      </c>
      <c r="S1238" t="s">
        <v>628</v>
      </c>
      <c r="T1238" t="s">
        <v>631</v>
      </c>
      <c r="U1238" t="s">
        <v>632</v>
      </c>
      <c r="V1238" t="s">
        <v>66</v>
      </c>
      <c r="W1238" t="s">
        <v>66</v>
      </c>
      <c r="X1238">
        <v>1134300</v>
      </c>
      <c r="Y1238">
        <v>124773</v>
      </c>
      <c r="Z1238">
        <v>226860</v>
      </c>
      <c r="AA1238">
        <v>24954.6</v>
      </c>
      <c r="AB1238">
        <v>1259073</v>
      </c>
      <c r="AC1238">
        <v>1</v>
      </c>
      <c r="AD1238" t="s">
        <v>134</v>
      </c>
      <c r="AE1238">
        <v>12</v>
      </c>
      <c r="AF1238" t="s">
        <v>102</v>
      </c>
      <c r="AG1238">
        <f>IFERROR(VLOOKUP(AF1238,[1]STOK!J:O,6,0),"")</f>
        <v>12</v>
      </c>
      <c r="AH1238" s="2">
        <f t="shared" si="38"/>
        <v>1</v>
      </c>
      <c r="AI1238" t="s">
        <v>102</v>
      </c>
      <c r="AJ1238" t="s">
        <v>103</v>
      </c>
      <c r="AK1238" t="s">
        <v>104</v>
      </c>
      <c r="AL1238" t="s">
        <v>86</v>
      </c>
      <c r="AM1238">
        <v>266400</v>
      </c>
      <c r="AN1238">
        <f t="shared" si="39"/>
        <v>251814.6</v>
      </c>
      <c r="AO1238" t="s">
        <v>66</v>
      </c>
      <c r="AP1238">
        <v>0.5</v>
      </c>
      <c r="AQ1238" t="s">
        <v>66</v>
      </c>
      <c r="AR1238">
        <v>0</v>
      </c>
      <c r="AS1238" t="s">
        <v>66</v>
      </c>
      <c r="AT1238">
        <v>0</v>
      </c>
      <c r="AU1238" t="s">
        <v>66</v>
      </c>
      <c r="AV1238">
        <v>5</v>
      </c>
      <c r="AW1238" t="s">
        <v>66</v>
      </c>
      <c r="AX1238">
        <v>0</v>
      </c>
      <c r="AY1238" t="s">
        <v>66</v>
      </c>
      <c r="AZ1238">
        <v>0</v>
      </c>
      <c r="BA1238" t="s">
        <v>66</v>
      </c>
      <c r="BB1238">
        <v>0</v>
      </c>
      <c r="BC1238">
        <v>0</v>
      </c>
      <c r="BD1238">
        <v>251814.6</v>
      </c>
      <c r="BE1238">
        <v>17828.62</v>
      </c>
      <c r="BF1238">
        <v>0</v>
      </c>
      <c r="BG1238" t="s">
        <v>87</v>
      </c>
      <c r="BH1238" t="s">
        <v>66</v>
      </c>
      <c r="BI1238">
        <v>0</v>
      </c>
      <c r="BJ1238" t="s">
        <v>66</v>
      </c>
      <c r="BK1238" t="s">
        <v>88</v>
      </c>
      <c r="BL1238" t="s">
        <v>66</v>
      </c>
      <c r="BM1238" t="s">
        <v>159</v>
      </c>
    </row>
    <row r="1239" spans="1:65" x14ac:dyDescent="0.25">
      <c r="A1239">
        <v>1237</v>
      </c>
      <c r="B1239" t="s">
        <v>1494</v>
      </c>
      <c r="C1239" t="s">
        <v>68</v>
      </c>
      <c r="D1239" s="1">
        <v>46218</v>
      </c>
      <c r="E1239" t="s">
        <v>1495</v>
      </c>
      <c r="F1239" t="s">
        <v>68</v>
      </c>
      <c r="G1239" t="s">
        <v>295</v>
      </c>
      <c r="H1239" t="s">
        <v>296</v>
      </c>
      <c r="I1239" t="s">
        <v>71</v>
      </c>
      <c r="J1239" t="s">
        <v>72</v>
      </c>
      <c r="K1239" t="s">
        <v>73</v>
      </c>
      <c r="L1239" t="s">
        <v>74</v>
      </c>
      <c r="M1239" t="s">
        <v>503</v>
      </c>
      <c r="N1239" t="s">
        <v>111</v>
      </c>
      <c r="O1239" t="s">
        <v>504</v>
      </c>
      <c r="P1239" t="s">
        <v>505</v>
      </c>
      <c r="Q1239" t="s">
        <v>1496</v>
      </c>
      <c r="R1239" s="1">
        <v>46219</v>
      </c>
      <c r="S1239" t="s">
        <v>507</v>
      </c>
      <c r="T1239" t="s">
        <v>508</v>
      </c>
      <c r="U1239" t="s">
        <v>509</v>
      </c>
      <c r="V1239" t="s">
        <v>66</v>
      </c>
      <c r="W1239" t="s">
        <v>66</v>
      </c>
      <c r="X1239">
        <v>2036232</v>
      </c>
      <c r="Y1239">
        <v>223985.52</v>
      </c>
      <c r="Z1239">
        <v>81081</v>
      </c>
      <c r="AA1239">
        <v>8918.91</v>
      </c>
      <c r="AB1239">
        <v>2260217.52</v>
      </c>
      <c r="AC1239">
        <v>3</v>
      </c>
      <c r="AD1239" t="s">
        <v>82</v>
      </c>
      <c r="AE1239">
        <v>3</v>
      </c>
      <c r="AF1239" t="s">
        <v>309</v>
      </c>
      <c r="AG1239">
        <f>IFERROR(VLOOKUP(AF1239,[1]STOK!J:O,6,0),"")</f>
        <v>12</v>
      </c>
      <c r="AH1239" s="2">
        <f t="shared" si="38"/>
        <v>0.25</v>
      </c>
      <c r="AI1239" t="s">
        <v>309</v>
      </c>
      <c r="AJ1239" t="s">
        <v>310</v>
      </c>
      <c r="AK1239" t="s">
        <v>311</v>
      </c>
      <c r="AL1239" t="s">
        <v>86</v>
      </c>
      <c r="AM1239">
        <v>30303</v>
      </c>
      <c r="AN1239">
        <f t="shared" si="39"/>
        <v>29999.97</v>
      </c>
      <c r="AO1239" t="s">
        <v>66</v>
      </c>
      <c r="AP1239">
        <v>1</v>
      </c>
      <c r="AQ1239" t="s">
        <v>66</v>
      </c>
      <c r="AR1239">
        <v>0</v>
      </c>
      <c r="AS1239" t="s">
        <v>66</v>
      </c>
      <c r="AT1239">
        <v>0</v>
      </c>
      <c r="AU1239" t="s">
        <v>66</v>
      </c>
      <c r="AV1239">
        <v>0</v>
      </c>
      <c r="AW1239" t="s">
        <v>66</v>
      </c>
      <c r="AX1239">
        <v>0</v>
      </c>
      <c r="AY1239" t="s">
        <v>66</v>
      </c>
      <c r="AZ1239">
        <v>0</v>
      </c>
      <c r="BA1239" t="s">
        <v>66</v>
      </c>
      <c r="BB1239">
        <v>0</v>
      </c>
      <c r="BC1239">
        <v>0</v>
      </c>
      <c r="BD1239">
        <v>89999.91</v>
      </c>
      <c r="BE1239">
        <v>24593.3</v>
      </c>
      <c r="BF1239">
        <v>0</v>
      </c>
      <c r="BG1239" t="s">
        <v>87</v>
      </c>
      <c r="BH1239" t="s">
        <v>66</v>
      </c>
      <c r="BI1239">
        <v>0</v>
      </c>
      <c r="BJ1239" t="s">
        <v>66</v>
      </c>
      <c r="BK1239" t="s">
        <v>88</v>
      </c>
      <c r="BL1239" t="s">
        <v>66</v>
      </c>
      <c r="BM1239" t="s">
        <v>159</v>
      </c>
    </row>
    <row r="1240" spans="1:65" x14ac:dyDescent="0.25">
      <c r="A1240">
        <v>1238</v>
      </c>
      <c r="B1240" t="s">
        <v>1494</v>
      </c>
      <c r="C1240" t="s">
        <v>68</v>
      </c>
      <c r="D1240" s="1">
        <v>46218</v>
      </c>
      <c r="E1240" t="s">
        <v>1495</v>
      </c>
      <c r="F1240" t="s">
        <v>68</v>
      </c>
      <c r="G1240" t="s">
        <v>295</v>
      </c>
      <c r="H1240" t="s">
        <v>296</v>
      </c>
      <c r="I1240" t="s">
        <v>71</v>
      </c>
      <c r="J1240" t="s">
        <v>72</v>
      </c>
      <c r="K1240" t="s">
        <v>73</v>
      </c>
      <c r="L1240" t="s">
        <v>74</v>
      </c>
      <c r="M1240" t="s">
        <v>503</v>
      </c>
      <c r="N1240" t="s">
        <v>111</v>
      </c>
      <c r="O1240" t="s">
        <v>504</v>
      </c>
      <c r="P1240" t="s">
        <v>505</v>
      </c>
      <c r="Q1240" t="s">
        <v>1496</v>
      </c>
      <c r="R1240" s="1">
        <v>46219</v>
      </c>
      <c r="S1240" t="s">
        <v>507</v>
      </c>
      <c r="T1240" t="s">
        <v>508</v>
      </c>
      <c r="U1240" t="s">
        <v>509</v>
      </c>
      <c r="V1240" t="s">
        <v>66</v>
      </c>
      <c r="W1240" t="s">
        <v>66</v>
      </c>
      <c r="X1240">
        <v>2036232</v>
      </c>
      <c r="Y1240">
        <v>223985.52</v>
      </c>
      <c r="Z1240">
        <v>81081</v>
      </c>
      <c r="AA1240">
        <v>8918.91</v>
      </c>
      <c r="AB1240">
        <v>2260217.52</v>
      </c>
      <c r="AC1240">
        <v>3</v>
      </c>
      <c r="AD1240" t="s">
        <v>82</v>
      </c>
      <c r="AE1240">
        <v>3</v>
      </c>
      <c r="AF1240" t="s">
        <v>563</v>
      </c>
      <c r="AG1240">
        <f>IFERROR(VLOOKUP(AF1240,[1]STOK!J:O,6,0),"")</f>
        <v>12</v>
      </c>
      <c r="AH1240" s="2">
        <f t="shared" si="38"/>
        <v>0.25</v>
      </c>
      <c r="AI1240" t="s">
        <v>563</v>
      </c>
      <c r="AJ1240" t="s">
        <v>564</v>
      </c>
      <c r="AK1240" t="s">
        <v>565</v>
      </c>
      <c r="AL1240" t="s">
        <v>86</v>
      </c>
      <c r="AM1240">
        <v>30303</v>
      </c>
      <c r="AN1240">
        <f t="shared" si="39"/>
        <v>29999.97</v>
      </c>
      <c r="AO1240" t="s">
        <v>66</v>
      </c>
      <c r="AP1240">
        <v>1</v>
      </c>
      <c r="AQ1240" t="s">
        <v>66</v>
      </c>
      <c r="AR1240">
        <v>0</v>
      </c>
      <c r="AS1240" t="s">
        <v>66</v>
      </c>
      <c r="AT1240">
        <v>0</v>
      </c>
      <c r="AU1240" t="s">
        <v>66</v>
      </c>
      <c r="AV1240">
        <v>0</v>
      </c>
      <c r="AW1240" t="s">
        <v>66</v>
      </c>
      <c r="AX1240">
        <v>0</v>
      </c>
      <c r="AY1240" t="s">
        <v>66</v>
      </c>
      <c r="AZ1240">
        <v>0</v>
      </c>
      <c r="BA1240" t="s">
        <v>66</v>
      </c>
      <c r="BB1240">
        <v>0</v>
      </c>
      <c r="BC1240">
        <v>0</v>
      </c>
      <c r="BD1240">
        <v>89999.91</v>
      </c>
      <c r="BE1240">
        <v>24584.37</v>
      </c>
      <c r="BF1240">
        <v>0</v>
      </c>
      <c r="BG1240" t="s">
        <v>87</v>
      </c>
      <c r="BH1240" t="s">
        <v>66</v>
      </c>
      <c r="BI1240">
        <v>0</v>
      </c>
      <c r="BJ1240" t="s">
        <v>66</v>
      </c>
      <c r="BK1240" t="s">
        <v>88</v>
      </c>
      <c r="BL1240" t="s">
        <v>66</v>
      </c>
      <c r="BM1240" t="s">
        <v>159</v>
      </c>
    </row>
    <row r="1241" spans="1:65" x14ac:dyDescent="0.25">
      <c r="A1241">
        <v>1239</v>
      </c>
      <c r="B1241" t="s">
        <v>1494</v>
      </c>
      <c r="C1241" t="s">
        <v>68</v>
      </c>
      <c r="D1241" s="1">
        <v>46218</v>
      </c>
      <c r="E1241" t="s">
        <v>1495</v>
      </c>
      <c r="F1241" t="s">
        <v>68</v>
      </c>
      <c r="G1241" t="s">
        <v>295</v>
      </c>
      <c r="H1241" t="s">
        <v>296</v>
      </c>
      <c r="I1241" t="s">
        <v>71</v>
      </c>
      <c r="J1241" t="s">
        <v>72</v>
      </c>
      <c r="K1241" t="s">
        <v>73</v>
      </c>
      <c r="L1241" t="s">
        <v>74</v>
      </c>
      <c r="M1241" t="s">
        <v>503</v>
      </c>
      <c r="N1241" t="s">
        <v>111</v>
      </c>
      <c r="O1241" t="s">
        <v>504</v>
      </c>
      <c r="P1241" t="s">
        <v>505</v>
      </c>
      <c r="Q1241" t="s">
        <v>1496</v>
      </c>
      <c r="R1241" s="1">
        <v>46219</v>
      </c>
      <c r="S1241" t="s">
        <v>507</v>
      </c>
      <c r="T1241" t="s">
        <v>508</v>
      </c>
      <c r="U1241" t="s">
        <v>509</v>
      </c>
      <c r="V1241" t="s">
        <v>66</v>
      </c>
      <c r="W1241" t="s">
        <v>66</v>
      </c>
      <c r="X1241">
        <v>2036232</v>
      </c>
      <c r="Y1241">
        <v>223985.52</v>
      </c>
      <c r="Z1241">
        <v>460944</v>
      </c>
      <c r="AA1241">
        <v>50703.839999999997</v>
      </c>
      <c r="AB1241">
        <v>2260217.52</v>
      </c>
      <c r="AC1241">
        <v>1</v>
      </c>
      <c r="AD1241" t="s">
        <v>134</v>
      </c>
      <c r="AE1241">
        <v>24</v>
      </c>
      <c r="AF1241" t="s">
        <v>467</v>
      </c>
      <c r="AG1241">
        <f>IFERROR(VLOOKUP(AF1241,[1]STOK!J:O,6,0),"")</f>
        <v>24</v>
      </c>
      <c r="AH1241" s="2">
        <f t="shared" si="38"/>
        <v>1</v>
      </c>
      <c r="AI1241" t="s">
        <v>467</v>
      </c>
      <c r="AJ1241" t="s">
        <v>468</v>
      </c>
      <c r="AK1241" t="s">
        <v>469</v>
      </c>
      <c r="AL1241" t="s">
        <v>86</v>
      </c>
      <c r="AM1241">
        <v>516816</v>
      </c>
      <c r="AN1241">
        <f t="shared" si="39"/>
        <v>511647.84</v>
      </c>
      <c r="AO1241" t="s">
        <v>66</v>
      </c>
      <c r="AP1241">
        <v>1</v>
      </c>
      <c r="AQ1241" t="s">
        <v>66</v>
      </c>
      <c r="AR1241">
        <v>0</v>
      </c>
      <c r="AS1241" t="s">
        <v>66</v>
      </c>
      <c r="AT1241">
        <v>0</v>
      </c>
      <c r="AU1241" t="s">
        <v>66</v>
      </c>
      <c r="AV1241">
        <v>0</v>
      </c>
      <c r="AW1241" t="s">
        <v>66</v>
      </c>
      <c r="AX1241">
        <v>0</v>
      </c>
      <c r="AY1241" t="s">
        <v>66</v>
      </c>
      <c r="AZ1241">
        <v>0</v>
      </c>
      <c r="BA1241" t="s">
        <v>66</v>
      </c>
      <c r="BB1241">
        <v>0</v>
      </c>
      <c r="BC1241">
        <v>0</v>
      </c>
      <c r="BD1241">
        <v>511647.84</v>
      </c>
      <c r="BE1241">
        <v>16865.669999999998</v>
      </c>
      <c r="BF1241">
        <v>0</v>
      </c>
      <c r="BG1241" t="s">
        <v>87</v>
      </c>
      <c r="BH1241" t="s">
        <v>66</v>
      </c>
      <c r="BI1241">
        <v>0</v>
      </c>
      <c r="BJ1241" t="s">
        <v>66</v>
      </c>
      <c r="BK1241" t="s">
        <v>88</v>
      </c>
      <c r="BL1241" t="s">
        <v>66</v>
      </c>
      <c r="BM1241" t="s">
        <v>159</v>
      </c>
    </row>
    <row r="1242" spans="1:65" x14ac:dyDescent="0.25">
      <c r="A1242">
        <v>1240</v>
      </c>
      <c r="B1242" t="s">
        <v>1494</v>
      </c>
      <c r="C1242" t="s">
        <v>68</v>
      </c>
      <c r="D1242" s="1">
        <v>46218</v>
      </c>
      <c r="E1242" t="s">
        <v>1495</v>
      </c>
      <c r="F1242" t="s">
        <v>68</v>
      </c>
      <c r="G1242" t="s">
        <v>295</v>
      </c>
      <c r="H1242" t="s">
        <v>296</v>
      </c>
      <c r="I1242" t="s">
        <v>71</v>
      </c>
      <c r="J1242" t="s">
        <v>72</v>
      </c>
      <c r="K1242" t="s">
        <v>73</v>
      </c>
      <c r="L1242" t="s">
        <v>74</v>
      </c>
      <c r="M1242" t="s">
        <v>503</v>
      </c>
      <c r="N1242" t="s">
        <v>111</v>
      </c>
      <c r="O1242" t="s">
        <v>504</v>
      </c>
      <c r="P1242" t="s">
        <v>505</v>
      </c>
      <c r="Q1242" t="s">
        <v>1496</v>
      </c>
      <c r="R1242" s="1">
        <v>46219</v>
      </c>
      <c r="S1242" t="s">
        <v>507</v>
      </c>
      <c r="T1242" t="s">
        <v>508</v>
      </c>
      <c r="U1242" t="s">
        <v>509</v>
      </c>
      <c r="V1242" t="s">
        <v>66</v>
      </c>
      <c r="W1242" t="s">
        <v>66</v>
      </c>
      <c r="X1242">
        <v>2036232</v>
      </c>
      <c r="Y1242">
        <v>223985.52</v>
      </c>
      <c r="Z1242">
        <v>460944</v>
      </c>
      <c r="AA1242">
        <v>50703.839999999997</v>
      </c>
      <c r="AB1242">
        <v>2260217.52</v>
      </c>
      <c r="AC1242">
        <v>1</v>
      </c>
      <c r="AD1242" t="s">
        <v>134</v>
      </c>
      <c r="AE1242">
        <v>24</v>
      </c>
      <c r="AF1242" t="s">
        <v>470</v>
      </c>
      <c r="AG1242">
        <f>IFERROR(VLOOKUP(AF1242,[1]STOK!J:O,6,0),"")</f>
        <v>24</v>
      </c>
      <c r="AH1242" s="2">
        <f t="shared" si="38"/>
        <v>1</v>
      </c>
      <c r="AI1242" t="s">
        <v>470</v>
      </c>
      <c r="AJ1242" t="s">
        <v>471</v>
      </c>
      <c r="AK1242" t="s">
        <v>472</v>
      </c>
      <c r="AL1242" t="s">
        <v>86</v>
      </c>
      <c r="AM1242">
        <v>516816</v>
      </c>
      <c r="AN1242">
        <f t="shared" si="39"/>
        <v>511647.84</v>
      </c>
      <c r="AO1242" t="s">
        <v>66</v>
      </c>
      <c r="AP1242">
        <v>1</v>
      </c>
      <c r="AQ1242" t="s">
        <v>66</v>
      </c>
      <c r="AR1242">
        <v>0</v>
      </c>
      <c r="AS1242" t="s">
        <v>66</v>
      </c>
      <c r="AT1242">
        <v>0</v>
      </c>
      <c r="AU1242" t="s">
        <v>66</v>
      </c>
      <c r="AV1242">
        <v>0</v>
      </c>
      <c r="AW1242" t="s">
        <v>66</v>
      </c>
      <c r="AX1242">
        <v>0</v>
      </c>
      <c r="AY1242" t="s">
        <v>66</v>
      </c>
      <c r="AZ1242">
        <v>0</v>
      </c>
      <c r="BA1242" t="s">
        <v>66</v>
      </c>
      <c r="BB1242">
        <v>0</v>
      </c>
      <c r="BC1242">
        <v>0</v>
      </c>
      <c r="BD1242">
        <v>511647.84</v>
      </c>
      <c r="BE1242">
        <v>17046.02</v>
      </c>
      <c r="BF1242">
        <v>0</v>
      </c>
      <c r="BG1242" t="s">
        <v>87</v>
      </c>
      <c r="BH1242" t="s">
        <v>66</v>
      </c>
      <c r="BI1242">
        <v>0</v>
      </c>
      <c r="BJ1242" t="s">
        <v>66</v>
      </c>
      <c r="BK1242" t="s">
        <v>88</v>
      </c>
      <c r="BL1242" t="s">
        <v>66</v>
      </c>
      <c r="BM1242" t="s">
        <v>159</v>
      </c>
    </row>
    <row r="1243" spans="1:65" x14ac:dyDescent="0.25">
      <c r="A1243">
        <v>1241</v>
      </c>
      <c r="B1243" t="s">
        <v>1494</v>
      </c>
      <c r="C1243" t="s">
        <v>68</v>
      </c>
      <c r="D1243" s="1">
        <v>46218</v>
      </c>
      <c r="E1243" t="s">
        <v>1495</v>
      </c>
      <c r="F1243" t="s">
        <v>68</v>
      </c>
      <c r="G1243" t="s">
        <v>295</v>
      </c>
      <c r="H1243" t="s">
        <v>296</v>
      </c>
      <c r="I1243" t="s">
        <v>71</v>
      </c>
      <c r="J1243" t="s">
        <v>72</v>
      </c>
      <c r="K1243" t="s">
        <v>73</v>
      </c>
      <c r="L1243" t="s">
        <v>74</v>
      </c>
      <c r="M1243" t="s">
        <v>503</v>
      </c>
      <c r="N1243" t="s">
        <v>111</v>
      </c>
      <c r="O1243" t="s">
        <v>504</v>
      </c>
      <c r="P1243" t="s">
        <v>505</v>
      </c>
      <c r="Q1243" t="s">
        <v>1496</v>
      </c>
      <c r="R1243" s="1">
        <v>46219</v>
      </c>
      <c r="S1243" t="s">
        <v>507</v>
      </c>
      <c r="T1243" t="s">
        <v>508</v>
      </c>
      <c r="U1243" t="s">
        <v>509</v>
      </c>
      <c r="V1243" t="s">
        <v>66</v>
      </c>
      <c r="W1243" t="s">
        <v>66</v>
      </c>
      <c r="X1243">
        <v>2036232</v>
      </c>
      <c r="Y1243">
        <v>223985.52</v>
      </c>
      <c r="Z1243">
        <v>200772</v>
      </c>
      <c r="AA1243">
        <v>22084.92</v>
      </c>
      <c r="AB1243">
        <v>2260217.52</v>
      </c>
      <c r="AC1243">
        <v>6</v>
      </c>
      <c r="AD1243" t="s">
        <v>82</v>
      </c>
      <c r="AE1243">
        <v>6</v>
      </c>
      <c r="AF1243" t="s">
        <v>1356</v>
      </c>
      <c r="AG1243">
        <f>IFERROR(VLOOKUP(AF1243,[1]STOK!J:O,6,0),"")</f>
        <v>12</v>
      </c>
      <c r="AH1243" s="2">
        <f t="shared" si="38"/>
        <v>0.5</v>
      </c>
      <c r="AI1243" t="s">
        <v>1356</v>
      </c>
      <c r="AJ1243" t="s">
        <v>1357</v>
      </c>
      <c r="AK1243" t="s">
        <v>1358</v>
      </c>
      <c r="AL1243" t="s">
        <v>86</v>
      </c>
      <c r="AM1243">
        <v>37518</v>
      </c>
      <c r="AN1243">
        <f t="shared" si="39"/>
        <v>37142.82</v>
      </c>
      <c r="AO1243" t="s">
        <v>66</v>
      </c>
      <c r="AP1243">
        <v>1</v>
      </c>
      <c r="AQ1243" t="s">
        <v>66</v>
      </c>
      <c r="AR1243">
        <v>0</v>
      </c>
      <c r="AS1243" t="s">
        <v>66</v>
      </c>
      <c r="AT1243">
        <v>0</v>
      </c>
      <c r="AU1243" t="s">
        <v>66</v>
      </c>
      <c r="AV1243">
        <v>0</v>
      </c>
      <c r="AW1243" t="s">
        <v>66</v>
      </c>
      <c r="AX1243">
        <v>0</v>
      </c>
      <c r="AY1243" t="s">
        <v>66</v>
      </c>
      <c r="AZ1243">
        <v>0</v>
      </c>
      <c r="BA1243" t="s">
        <v>66</v>
      </c>
      <c r="BB1243">
        <v>0</v>
      </c>
      <c r="BC1243">
        <v>0</v>
      </c>
      <c r="BD1243">
        <v>222856.92</v>
      </c>
      <c r="BE1243">
        <v>29820.47</v>
      </c>
      <c r="BF1243">
        <v>0</v>
      </c>
      <c r="BG1243" t="s">
        <v>87</v>
      </c>
      <c r="BH1243" t="s">
        <v>66</v>
      </c>
      <c r="BI1243">
        <v>0</v>
      </c>
      <c r="BJ1243" t="s">
        <v>66</v>
      </c>
      <c r="BK1243" t="s">
        <v>88</v>
      </c>
      <c r="BL1243" t="s">
        <v>66</v>
      </c>
      <c r="BM1243" t="s">
        <v>159</v>
      </c>
    </row>
    <row r="1244" spans="1:65" x14ac:dyDescent="0.25">
      <c r="A1244">
        <v>1242</v>
      </c>
      <c r="B1244" t="s">
        <v>1494</v>
      </c>
      <c r="C1244" t="s">
        <v>68</v>
      </c>
      <c r="D1244" s="1">
        <v>46218</v>
      </c>
      <c r="E1244" t="s">
        <v>1495</v>
      </c>
      <c r="F1244" t="s">
        <v>68</v>
      </c>
      <c r="G1244" t="s">
        <v>295</v>
      </c>
      <c r="H1244" t="s">
        <v>296</v>
      </c>
      <c r="I1244" t="s">
        <v>71</v>
      </c>
      <c r="J1244" t="s">
        <v>72</v>
      </c>
      <c r="K1244" t="s">
        <v>73</v>
      </c>
      <c r="L1244" t="s">
        <v>74</v>
      </c>
      <c r="M1244" t="s">
        <v>503</v>
      </c>
      <c r="N1244" t="s">
        <v>111</v>
      </c>
      <c r="O1244" t="s">
        <v>504</v>
      </c>
      <c r="P1244" t="s">
        <v>505</v>
      </c>
      <c r="Q1244" t="s">
        <v>1496</v>
      </c>
      <c r="R1244" s="1">
        <v>46219</v>
      </c>
      <c r="S1244" t="s">
        <v>507</v>
      </c>
      <c r="T1244" t="s">
        <v>508</v>
      </c>
      <c r="U1244" t="s">
        <v>509</v>
      </c>
      <c r="V1244" t="s">
        <v>66</v>
      </c>
      <c r="W1244" t="s">
        <v>66</v>
      </c>
      <c r="X1244">
        <v>2036232</v>
      </c>
      <c r="Y1244">
        <v>223985.52</v>
      </c>
      <c r="Z1244">
        <v>100386</v>
      </c>
      <c r="AA1244">
        <v>11042.46</v>
      </c>
      <c r="AB1244">
        <v>2260217.52</v>
      </c>
      <c r="AC1244">
        <v>3</v>
      </c>
      <c r="AD1244" t="s">
        <v>82</v>
      </c>
      <c r="AE1244">
        <v>3</v>
      </c>
      <c r="AF1244" t="s">
        <v>771</v>
      </c>
      <c r="AG1244">
        <f>IFERROR(VLOOKUP(AF1244,[1]STOK!J:O,6,0),"")</f>
        <v>12</v>
      </c>
      <c r="AH1244" s="2">
        <f t="shared" si="38"/>
        <v>0.25</v>
      </c>
      <c r="AI1244" t="s">
        <v>771</v>
      </c>
      <c r="AJ1244" t="s">
        <v>772</v>
      </c>
      <c r="AK1244" t="s">
        <v>773</v>
      </c>
      <c r="AL1244" t="s">
        <v>86</v>
      </c>
      <c r="AM1244">
        <v>37518</v>
      </c>
      <c r="AN1244">
        <f t="shared" si="39"/>
        <v>37142.82</v>
      </c>
      <c r="AO1244" t="s">
        <v>66</v>
      </c>
      <c r="AP1244">
        <v>1</v>
      </c>
      <c r="AQ1244" t="s">
        <v>66</v>
      </c>
      <c r="AR1244">
        <v>0</v>
      </c>
      <c r="AS1244" t="s">
        <v>66</v>
      </c>
      <c r="AT1244">
        <v>0</v>
      </c>
      <c r="AU1244" t="s">
        <v>66</v>
      </c>
      <c r="AV1244">
        <v>0</v>
      </c>
      <c r="AW1244" t="s">
        <v>66</v>
      </c>
      <c r="AX1244">
        <v>0</v>
      </c>
      <c r="AY1244" t="s">
        <v>66</v>
      </c>
      <c r="AZ1244">
        <v>0</v>
      </c>
      <c r="BA1244" t="s">
        <v>66</v>
      </c>
      <c r="BB1244">
        <v>0</v>
      </c>
      <c r="BC1244">
        <v>0</v>
      </c>
      <c r="BD1244">
        <v>111428.46</v>
      </c>
      <c r="BE1244">
        <v>28313.13</v>
      </c>
      <c r="BF1244">
        <v>0</v>
      </c>
      <c r="BG1244" t="s">
        <v>87</v>
      </c>
      <c r="BH1244" t="s">
        <v>66</v>
      </c>
      <c r="BI1244">
        <v>0</v>
      </c>
      <c r="BJ1244" t="s">
        <v>66</v>
      </c>
      <c r="BK1244" t="s">
        <v>88</v>
      </c>
      <c r="BL1244" t="s">
        <v>66</v>
      </c>
      <c r="BM1244" t="s">
        <v>159</v>
      </c>
    </row>
    <row r="1245" spans="1:65" x14ac:dyDescent="0.25">
      <c r="A1245">
        <v>1243</v>
      </c>
      <c r="B1245" t="s">
        <v>1494</v>
      </c>
      <c r="C1245" t="s">
        <v>68</v>
      </c>
      <c r="D1245" s="1">
        <v>46218</v>
      </c>
      <c r="E1245" t="s">
        <v>1495</v>
      </c>
      <c r="F1245" t="s">
        <v>68</v>
      </c>
      <c r="G1245" t="s">
        <v>295</v>
      </c>
      <c r="H1245" t="s">
        <v>296</v>
      </c>
      <c r="I1245" t="s">
        <v>71</v>
      </c>
      <c r="J1245" t="s">
        <v>72</v>
      </c>
      <c r="K1245" t="s">
        <v>73</v>
      </c>
      <c r="L1245" t="s">
        <v>74</v>
      </c>
      <c r="M1245" t="s">
        <v>503</v>
      </c>
      <c r="N1245" t="s">
        <v>111</v>
      </c>
      <c r="O1245" t="s">
        <v>504</v>
      </c>
      <c r="P1245" t="s">
        <v>505</v>
      </c>
      <c r="Q1245" t="s">
        <v>1496</v>
      </c>
      <c r="R1245" s="1">
        <v>46219</v>
      </c>
      <c r="S1245" t="s">
        <v>507</v>
      </c>
      <c r="T1245" t="s">
        <v>508</v>
      </c>
      <c r="U1245" t="s">
        <v>509</v>
      </c>
      <c r="V1245" t="s">
        <v>66</v>
      </c>
      <c r="W1245" t="s">
        <v>66</v>
      </c>
      <c r="X1245">
        <v>2036232</v>
      </c>
      <c r="Y1245">
        <v>223985.52</v>
      </c>
      <c r="Z1245">
        <v>292248</v>
      </c>
      <c r="AA1245">
        <v>32147.279999999999</v>
      </c>
      <c r="AB1245">
        <v>2260217.52</v>
      </c>
      <c r="AC1245">
        <v>1</v>
      </c>
      <c r="AD1245" t="s">
        <v>134</v>
      </c>
      <c r="AE1245">
        <v>12</v>
      </c>
      <c r="AF1245" t="s">
        <v>534</v>
      </c>
      <c r="AG1245">
        <f>IFERROR(VLOOKUP(AF1245,[1]STOK!J:O,6,0),"")</f>
        <v>12</v>
      </c>
      <c r="AH1245" s="2">
        <f t="shared" si="38"/>
        <v>1</v>
      </c>
      <c r="AI1245" t="s">
        <v>534</v>
      </c>
      <c r="AJ1245" t="s">
        <v>535</v>
      </c>
      <c r="AK1245" t="s">
        <v>536</v>
      </c>
      <c r="AL1245" t="s">
        <v>86</v>
      </c>
      <c r="AM1245">
        <v>327672</v>
      </c>
      <c r="AN1245">
        <f t="shared" si="39"/>
        <v>324395.28000000003</v>
      </c>
      <c r="AO1245" t="s">
        <v>66</v>
      </c>
      <c r="AP1245">
        <v>1</v>
      </c>
      <c r="AQ1245" t="s">
        <v>66</v>
      </c>
      <c r="AR1245">
        <v>0</v>
      </c>
      <c r="AS1245" t="s">
        <v>66</v>
      </c>
      <c r="AT1245">
        <v>0</v>
      </c>
      <c r="AU1245" t="s">
        <v>66</v>
      </c>
      <c r="AV1245">
        <v>0</v>
      </c>
      <c r="AW1245" t="s">
        <v>66</v>
      </c>
      <c r="AX1245">
        <v>0</v>
      </c>
      <c r="AY1245" t="s">
        <v>66</v>
      </c>
      <c r="AZ1245">
        <v>0</v>
      </c>
      <c r="BA1245" t="s">
        <v>66</v>
      </c>
      <c r="BB1245">
        <v>0</v>
      </c>
      <c r="BC1245">
        <v>0</v>
      </c>
      <c r="BD1245">
        <v>324395.28000000003</v>
      </c>
      <c r="BE1245">
        <v>21512.9</v>
      </c>
      <c r="BF1245">
        <v>0</v>
      </c>
      <c r="BG1245" t="s">
        <v>87</v>
      </c>
      <c r="BH1245" t="s">
        <v>66</v>
      </c>
      <c r="BI1245">
        <v>0</v>
      </c>
      <c r="BJ1245" t="s">
        <v>66</v>
      </c>
      <c r="BK1245" t="s">
        <v>88</v>
      </c>
      <c r="BL1245" t="s">
        <v>66</v>
      </c>
      <c r="BM1245" t="s">
        <v>159</v>
      </c>
    </row>
    <row r="1246" spans="1:65" x14ac:dyDescent="0.25">
      <c r="A1246">
        <v>1244</v>
      </c>
      <c r="B1246" t="s">
        <v>1494</v>
      </c>
      <c r="C1246" t="s">
        <v>68</v>
      </c>
      <c r="D1246" s="1">
        <v>46218</v>
      </c>
      <c r="E1246" t="s">
        <v>1495</v>
      </c>
      <c r="F1246" t="s">
        <v>68</v>
      </c>
      <c r="G1246" t="s">
        <v>295</v>
      </c>
      <c r="H1246" t="s">
        <v>296</v>
      </c>
      <c r="I1246" t="s">
        <v>71</v>
      </c>
      <c r="J1246" t="s">
        <v>72</v>
      </c>
      <c r="K1246" t="s">
        <v>73</v>
      </c>
      <c r="L1246" t="s">
        <v>74</v>
      </c>
      <c r="M1246" t="s">
        <v>503</v>
      </c>
      <c r="N1246" t="s">
        <v>111</v>
      </c>
      <c r="O1246" t="s">
        <v>504</v>
      </c>
      <c r="P1246" t="s">
        <v>505</v>
      </c>
      <c r="Q1246" t="s">
        <v>1496</v>
      </c>
      <c r="R1246" s="1">
        <v>46219</v>
      </c>
      <c r="S1246" t="s">
        <v>507</v>
      </c>
      <c r="T1246" t="s">
        <v>508</v>
      </c>
      <c r="U1246" t="s">
        <v>509</v>
      </c>
      <c r="V1246" t="s">
        <v>66</v>
      </c>
      <c r="W1246" t="s">
        <v>66</v>
      </c>
      <c r="X1246">
        <v>2036232</v>
      </c>
      <c r="Y1246">
        <v>223985.52</v>
      </c>
      <c r="Z1246">
        <v>358776</v>
      </c>
      <c r="AA1246">
        <v>39465.360000000001</v>
      </c>
      <c r="AB1246">
        <v>2260217.52</v>
      </c>
      <c r="AC1246">
        <v>1</v>
      </c>
      <c r="AD1246" t="s">
        <v>134</v>
      </c>
      <c r="AE1246">
        <v>24</v>
      </c>
      <c r="AF1246" t="s">
        <v>1359</v>
      </c>
      <c r="AG1246">
        <f>IFERROR(VLOOKUP(AF1246,[1]STOK!J:O,6,0),"")</f>
        <v>24</v>
      </c>
      <c r="AH1246" s="2">
        <f t="shared" si="38"/>
        <v>1</v>
      </c>
      <c r="AI1246" t="s">
        <v>1359</v>
      </c>
      <c r="AJ1246" t="s">
        <v>1360</v>
      </c>
      <c r="AK1246" t="s">
        <v>1361</v>
      </c>
      <c r="AL1246" t="s">
        <v>86</v>
      </c>
      <c r="AM1246">
        <v>402264</v>
      </c>
      <c r="AN1246">
        <f t="shared" si="39"/>
        <v>398241.36</v>
      </c>
      <c r="AO1246" t="s">
        <v>66</v>
      </c>
      <c r="AP1246">
        <v>1</v>
      </c>
      <c r="AQ1246" t="s">
        <v>66</v>
      </c>
      <c r="AR1246">
        <v>0</v>
      </c>
      <c r="AS1246" t="s">
        <v>66</v>
      </c>
      <c r="AT1246">
        <v>0</v>
      </c>
      <c r="AU1246" t="s">
        <v>66</v>
      </c>
      <c r="AV1246">
        <v>0</v>
      </c>
      <c r="AW1246" t="s">
        <v>66</v>
      </c>
      <c r="AX1246">
        <v>0</v>
      </c>
      <c r="AY1246" t="s">
        <v>66</v>
      </c>
      <c r="AZ1246">
        <v>0</v>
      </c>
      <c r="BA1246" t="s">
        <v>66</v>
      </c>
      <c r="BB1246">
        <v>0</v>
      </c>
      <c r="BC1246">
        <v>0</v>
      </c>
      <c r="BD1246">
        <v>398241.36</v>
      </c>
      <c r="BE1246">
        <v>13575.37</v>
      </c>
      <c r="BF1246">
        <v>0</v>
      </c>
      <c r="BG1246" t="s">
        <v>87</v>
      </c>
      <c r="BH1246" t="s">
        <v>66</v>
      </c>
      <c r="BI1246">
        <v>0</v>
      </c>
      <c r="BJ1246" t="s">
        <v>66</v>
      </c>
      <c r="BK1246" t="s">
        <v>88</v>
      </c>
      <c r="BL1246" t="s">
        <v>66</v>
      </c>
      <c r="BM1246" t="s">
        <v>159</v>
      </c>
    </row>
    <row r="1247" spans="1:65" x14ac:dyDescent="0.25">
      <c r="A1247">
        <v>1245</v>
      </c>
      <c r="B1247" t="s">
        <v>1497</v>
      </c>
      <c r="C1247" t="s">
        <v>68</v>
      </c>
      <c r="D1247" s="1">
        <v>46218</v>
      </c>
      <c r="E1247" t="s">
        <v>1498</v>
      </c>
      <c r="F1247" t="s">
        <v>68</v>
      </c>
      <c r="G1247" t="s">
        <v>295</v>
      </c>
      <c r="H1247" t="s">
        <v>296</v>
      </c>
      <c r="I1247" t="s">
        <v>71</v>
      </c>
      <c r="J1247" t="s">
        <v>72</v>
      </c>
      <c r="K1247" t="s">
        <v>73</v>
      </c>
      <c r="L1247" t="s">
        <v>74</v>
      </c>
      <c r="M1247" t="s">
        <v>503</v>
      </c>
      <c r="N1247" t="s">
        <v>111</v>
      </c>
      <c r="O1247" t="s">
        <v>504</v>
      </c>
      <c r="P1247" t="s">
        <v>505</v>
      </c>
      <c r="Q1247" t="s">
        <v>1499</v>
      </c>
      <c r="R1247" s="1">
        <v>46219</v>
      </c>
      <c r="S1247" t="s">
        <v>507</v>
      </c>
      <c r="T1247" t="s">
        <v>508</v>
      </c>
      <c r="U1247" t="s">
        <v>509</v>
      </c>
      <c r="V1247" t="s">
        <v>66</v>
      </c>
      <c r="W1247" t="s">
        <v>66</v>
      </c>
      <c r="X1247">
        <v>4519152</v>
      </c>
      <c r="Y1247">
        <v>497106.72</v>
      </c>
      <c r="Z1247">
        <v>392040</v>
      </c>
      <c r="AA1247">
        <v>43124.4</v>
      </c>
      <c r="AB1247">
        <v>5016258.72</v>
      </c>
      <c r="AC1247">
        <v>1</v>
      </c>
      <c r="AD1247" t="s">
        <v>134</v>
      </c>
      <c r="AE1247">
        <v>24</v>
      </c>
      <c r="AF1247" t="s">
        <v>128</v>
      </c>
      <c r="AG1247">
        <f>IFERROR(VLOOKUP(AF1247,[1]STOK!J:O,6,0),"")</f>
        <v>24</v>
      </c>
      <c r="AH1247" s="2">
        <f t="shared" si="38"/>
        <v>1</v>
      </c>
      <c r="AI1247" t="s">
        <v>128</v>
      </c>
      <c r="AJ1247" t="s">
        <v>129</v>
      </c>
      <c r="AK1247" t="s">
        <v>130</v>
      </c>
      <c r="AL1247" t="s">
        <v>86</v>
      </c>
      <c r="AM1247">
        <v>439560</v>
      </c>
      <c r="AN1247">
        <f t="shared" si="39"/>
        <v>435164.4</v>
      </c>
      <c r="AO1247" t="s">
        <v>66</v>
      </c>
      <c r="AP1247">
        <v>1</v>
      </c>
      <c r="AQ1247" t="s">
        <v>66</v>
      </c>
      <c r="AR1247">
        <v>0</v>
      </c>
      <c r="AS1247" t="s">
        <v>66</v>
      </c>
      <c r="AT1247">
        <v>0</v>
      </c>
      <c r="AU1247" t="s">
        <v>66</v>
      </c>
      <c r="AV1247">
        <v>0</v>
      </c>
      <c r="AW1247" t="s">
        <v>66</v>
      </c>
      <c r="AX1247">
        <v>0</v>
      </c>
      <c r="AY1247" t="s">
        <v>66</v>
      </c>
      <c r="AZ1247">
        <v>0</v>
      </c>
      <c r="BA1247" t="s">
        <v>66</v>
      </c>
      <c r="BB1247">
        <v>0</v>
      </c>
      <c r="BC1247">
        <v>0</v>
      </c>
      <c r="BD1247">
        <v>435164.4</v>
      </c>
      <c r="BE1247">
        <v>14619.11</v>
      </c>
      <c r="BF1247">
        <v>0</v>
      </c>
      <c r="BG1247" t="s">
        <v>87</v>
      </c>
      <c r="BH1247" t="s">
        <v>66</v>
      </c>
      <c r="BI1247">
        <v>0</v>
      </c>
      <c r="BJ1247" t="s">
        <v>66</v>
      </c>
      <c r="BK1247" t="s">
        <v>88</v>
      </c>
      <c r="BL1247" t="s">
        <v>66</v>
      </c>
      <c r="BM1247" t="s">
        <v>159</v>
      </c>
    </row>
    <row r="1248" spans="1:65" x14ac:dyDescent="0.25">
      <c r="A1248">
        <v>1246</v>
      </c>
      <c r="B1248" t="s">
        <v>1497</v>
      </c>
      <c r="C1248" t="s">
        <v>68</v>
      </c>
      <c r="D1248" s="1">
        <v>46218</v>
      </c>
      <c r="E1248" t="s">
        <v>1498</v>
      </c>
      <c r="F1248" t="s">
        <v>68</v>
      </c>
      <c r="G1248" t="s">
        <v>295</v>
      </c>
      <c r="H1248" t="s">
        <v>296</v>
      </c>
      <c r="I1248" t="s">
        <v>71</v>
      </c>
      <c r="J1248" t="s">
        <v>72</v>
      </c>
      <c r="K1248" t="s">
        <v>73</v>
      </c>
      <c r="L1248" t="s">
        <v>74</v>
      </c>
      <c r="M1248" t="s">
        <v>503</v>
      </c>
      <c r="N1248" t="s">
        <v>111</v>
      </c>
      <c r="O1248" t="s">
        <v>504</v>
      </c>
      <c r="P1248" t="s">
        <v>505</v>
      </c>
      <c r="Q1248" t="s">
        <v>1499</v>
      </c>
      <c r="R1248" s="1">
        <v>46219</v>
      </c>
      <c r="S1248" t="s">
        <v>507</v>
      </c>
      <c r="T1248" t="s">
        <v>508</v>
      </c>
      <c r="U1248" t="s">
        <v>509</v>
      </c>
      <c r="V1248" t="s">
        <v>66</v>
      </c>
      <c r="W1248" t="s">
        <v>66</v>
      </c>
      <c r="X1248">
        <v>4519152</v>
      </c>
      <c r="Y1248">
        <v>497106.72</v>
      </c>
      <c r="Z1248">
        <v>392040</v>
      </c>
      <c r="AA1248">
        <v>43124.4</v>
      </c>
      <c r="AB1248">
        <v>5016258.72</v>
      </c>
      <c r="AC1248">
        <v>1</v>
      </c>
      <c r="AD1248" t="s">
        <v>134</v>
      </c>
      <c r="AE1248">
        <v>24</v>
      </c>
      <c r="AF1248" t="s">
        <v>93</v>
      </c>
      <c r="AG1248">
        <f>IFERROR(VLOOKUP(AF1248,[1]STOK!J:O,6,0),"")</f>
        <v>24</v>
      </c>
      <c r="AH1248" s="2">
        <f t="shared" si="38"/>
        <v>1</v>
      </c>
      <c r="AI1248" t="s">
        <v>93</v>
      </c>
      <c r="AJ1248" t="s">
        <v>94</v>
      </c>
      <c r="AK1248" t="s">
        <v>95</v>
      </c>
      <c r="AL1248" t="s">
        <v>86</v>
      </c>
      <c r="AM1248">
        <v>439560</v>
      </c>
      <c r="AN1248">
        <f t="shared" si="39"/>
        <v>435164.4</v>
      </c>
      <c r="AO1248" t="s">
        <v>66</v>
      </c>
      <c r="AP1248">
        <v>1</v>
      </c>
      <c r="AQ1248" t="s">
        <v>66</v>
      </c>
      <c r="AR1248">
        <v>0</v>
      </c>
      <c r="AS1248" t="s">
        <v>66</v>
      </c>
      <c r="AT1248">
        <v>0</v>
      </c>
      <c r="AU1248" t="s">
        <v>66</v>
      </c>
      <c r="AV1248">
        <v>0</v>
      </c>
      <c r="AW1248" t="s">
        <v>66</v>
      </c>
      <c r="AX1248">
        <v>0</v>
      </c>
      <c r="AY1248" t="s">
        <v>66</v>
      </c>
      <c r="AZ1248">
        <v>0</v>
      </c>
      <c r="BA1248" t="s">
        <v>66</v>
      </c>
      <c r="BB1248">
        <v>0</v>
      </c>
      <c r="BC1248">
        <v>0</v>
      </c>
      <c r="BD1248">
        <v>435164.4</v>
      </c>
      <c r="BE1248">
        <v>14878.51</v>
      </c>
      <c r="BF1248">
        <v>0</v>
      </c>
      <c r="BG1248" t="s">
        <v>87</v>
      </c>
      <c r="BH1248" t="s">
        <v>66</v>
      </c>
      <c r="BI1248">
        <v>0</v>
      </c>
      <c r="BJ1248" t="s">
        <v>66</v>
      </c>
      <c r="BK1248" t="s">
        <v>88</v>
      </c>
      <c r="BL1248" t="s">
        <v>66</v>
      </c>
      <c r="BM1248" t="s">
        <v>159</v>
      </c>
    </row>
    <row r="1249" spans="1:65" x14ac:dyDescent="0.25">
      <c r="A1249">
        <v>1247</v>
      </c>
      <c r="B1249" t="s">
        <v>1497</v>
      </c>
      <c r="C1249" t="s">
        <v>68</v>
      </c>
      <c r="D1249" s="1">
        <v>46218</v>
      </c>
      <c r="E1249" t="s">
        <v>1498</v>
      </c>
      <c r="F1249" t="s">
        <v>68</v>
      </c>
      <c r="G1249" t="s">
        <v>295</v>
      </c>
      <c r="H1249" t="s">
        <v>296</v>
      </c>
      <c r="I1249" t="s">
        <v>71</v>
      </c>
      <c r="J1249" t="s">
        <v>72</v>
      </c>
      <c r="K1249" t="s">
        <v>73</v>
      </c>
      <c r="L1249" t="s">
        <v>74</v>
      </c>
      <c r="M1249" t="s">
        <v>503</v>
      </c>
      <c r="N1249" t="s">
        <v>111</v>
      </c>
      <c r="O1249" t="s">
        <v>504</v>
      </c>
      <c r="P1249" t="s">
        <v>505</v>
      </c>
      <c r="Q1249" t="s">
        <v>1499</v>
      </c>
      <c r="R1249" s="1">
        <v>46219</v>
      </c>
      <c r="S1249" t="s">
        <v>507</v>
      </c>
      <c r="T1249" t="s">
        <v>508</v>
      </c>
      <c r="U1249" t="s">
        <v>509</v>
      </c>
      <c r="V1249" t="s">
        <v>66</v>
      </c>
      <c r="W1249" t="s">
        <v>66</v>
      </c>
      <c r="X1249">
        <v>4519152</v>
      </c>
      <c r="Y1249">
        <v>497106.72</v>
      </c>
      <c r="Z1249">
        <v>784080</v>
      </c>
      <c r="AA1249">
        <v>86248.8</v>
      </c>
      <c r="AB1249">
        <v>5016258.72</v>
      </c>
      <c r="AC1249">
        <v>2</v>
      </c>
      <c r="AD1249" t="s">
        <v>134</v>
      </c>
      <c r="AE1249">
        <v>48</v>
      </c>
      <c r="AF1249" t="s">
        <v>205</v>
      </c>
      <c r="AG1249">
        <f>IFERROR(VLOOKUP(AF1249,[1]STOK!J:O,6,0),"")</f>
        <v>24</v>
      </c>
      <c r="AH1249" s="2">
        <f t="shared" si="38"/>
        <v>2</v>
      </c>
      <c r="AI1249" t="s">
        <v>205</v>
      </c>
      <c r="AJ1249" t="s">
        <v>206</v>
      </c>
      <c r="AK1249" t="s">
        <v>207</v>
      </c>
      <c r="AL1249" t="s">
        <v>86</v>
      </c>
      <c r="AM1249">
        <v>439560</v>
      </c>
      <c r="AN1249">
        <f t="shared" si="39"/>
        <v>435164.4</v>
      </c>
      <c r="AO1249" t="s">
        <v>66</v>
      </c>
      <c r="AP1249">
        <v>1</v>
      </c>
      <c r="AQ1249" t="s">
        <v>66</v>
      </c>
      <c r="AR1249">
        <v>0</v>
      </c>
      <c r="AS1249" t="s">
        <v>66</v>
      </c>
      <c r="AT1249">
        <v>0</v>
      </c>
      <c r="AU1249" t="s">
        <v>66</v>
      </c>
      <c r="AV1249">
        <v>0</v>
      </c>
      <c r="AW1249" t="s">
        <v>66</v>
      </c>
      <c r="AX1249">
        <v>0</v>
      </c>
      <c r="AY1249" t="s">
        <v>66</v>
      </c>
      <c r="AZ1249">
        <v>0</v>
      </c>
      <c r="BA1249" t="s">
        <v>66</v>
      </c>
      <c r="BB1249">
        <v>0</v>
      </c>
      <c r="BC1249">
        <v>0</v>
      </c>
      <c r="BD1249">
        <v>870328.8</v>
      </c>
      <c r="BE1249">
        <v>14876.63</v>
      </c>
      <c r="BF1249">
        <v>0</v>
      </c>
      <c r="BG1249" t="s">
        <v>87</v>
      </c>
      <c r="BH1249" t="s">
        <v>66</v>
      </c>
      <c r="BI1249">
        <v>0</v>
      </c>
      <c r="BJ1249" t="s">
        <v>66</v>
      </c>
      <c r="BK1249" t="s">
        <v>88</v>
      </c>
      <c r="BL1249" t="s">
        <v>66</v>
      </c>
      <c r="BM1249" t="s">
        <v>159</v>
      </c>
    </row>
    <row r="1250" spans="1:65" x14ac:dyDescent="0.25">
      <c r="A1250">
        <v>1248</v>
      </c>
      <c r="B1250" t="s">
        <v>1497</v>
      </c>
      <c r="C1250" t="s">
        <v>68</v>
      </c>
      <c r="D1250" s="1">
        <v>46218</v>
      </c>
      <c r="E1250" t="s">
        <v>1498</v>
      </c>
      <c r="F1250" t="s">
        <v>68</v>
      </c>
      <c r="G1250" t="s">
        <v>295</v>
      </c>
      <c r="H1250" t="s">
        <v>296</v>
      </c>
      <c r="I1250" t="s">
        <v>71</v>
      </c>
      <c r="J1250" t="s">
        <v>72</v>
      </c>
      <c r="K1250" t="s">
        <v>73</v>
      </c>
      <c r="L1250" t="s">
        <v>74</v>
      </c>
      <c r="M1250" t="s">
        <v>503</v>
      </c>
      <c r="N1250" t="s">
        <v>111</v>
      </c>
      <c r="O1250" t="s">
        <v>504</v>
      </c>
      <c r="P1250" t="s">
        <v>505</v>
      </c>
      <c r="Q1250" t="s">
        <v>1499</v>
      </c>
      <c r="R1250" s="1">
        <v>46219</v>
      </c>
      <c r="S1250" t="s">
        <v>507</v>
      </c>
      <c r="T1250" t="s">
        <v>508</v>
      </c>
      <c r="U1250" t="s">
        <v>509</v>
      </c>
      <c r="V1250" t="s">
        <v>66</v>
      </c>
      <c r="W1250" t="s">
        <v>66</v>
      </c>
      <c r="X1250">
        <v>4519152</v>
      </c>
      <c r="Y1250">
        <v>497106.72</v>
      </c>
      <c r="Z1250">
        <v>392040</v>
      </c>
      <c r="AA1250">
        <v>43124.4</v>
      </c>
      <c r="AB1250">
        <v>5016258.72</v>
      </c>
      <c r="AC1250">
        <v>1</v>
      </c>
      <c r="AD1250" t="s">
        <v>134</v>
      </c>
      <c r="AE1250">
        <v>24</v>
      </c>
      <c r="AF1250" t="s">
        <v>99</v>
      </c>
      <c r="AG1250">
        <f>IFERROR(VLOOKUP(AF1250,[1]STOK!J:O,6,0),"")</f>
        <v>24</v>
      </c>
      <c r="AH1250" s="2">
        <f t="shared" si="38"/>
        <v>1</v>
      </c>
      <c r="AI1250" t="s">
        <v>99</v>
      </c>
      <c r="AJ1250" t="s">
        <v>100</v>
      </c>
      <c r="AK1250" t="s">
        <v>101</v>
      </c>
      <c r="AL1250" t="s">
        <v>86</v>
      </c>
      <c r="AM1250">
        <v>439560</v>
      </c>
      <c r="AN1250">
        <f t="shared" si="39"/>
        <v>435164.4</v>
      </c>
      <c r="AO1250" t="s">
        <v>66</v>
      </c>
      <c r="AP1250">
        <v>1</v>
      </c>
      <c r="AQ1250" t="s">
        <v>66</v>
      </c>
      <c r="AR1250">
        <v>0</v>
      </c>
      <c r="AS1250" t="s">
        <v>66</v>
      </c>
      <c r="AT1250">
        <v>0</v>
      </c>
      <c r="AU1250" t="s">
        <v>66</v>
      </c>
      <c r="AV1250">
        <v>0</v>
      </c>
      <c r="AW1250" t="s">
        <v>66</v>
      </c>
      <c r="AX1250">
        <v>0</v>
      </c>
      <c r="AY1250" t="s">
        <v>66</v>
      </c>
      <c r="AZ1250">
        <v>0</v>
      </c>
      <c r="BA1250" t="s">
        <v>66</v>
      </c>
      <c r="BB1250">
        <v>0</v>
      </c>
      <c r="BC1250">
        <v>0</v>
      </c>
      <c r="BD1250">
        <v>435164.4</v>
      </c>
      <c r="BE1250">
        <v>14924.93</v>
      </c>
      <c r="BF1250">
        <v>0</v>
      </c>
      <c r="BG1250" t="s">
        <v>87</v>
      </c>
      <c r="BH1250" t="s">
        <v>66</v>
      </c>
      <c r="BI1250">
        <v>0</v>
      </c>
      <c r="BJ1250" t="s">
        <v>66</v>
      </c>
      <c r="BK1250" t="s">
        <v>88</v>
      </c>
      <c r="BL1250" t="s">
        <v>66</v>
      </c>
      <c r="BM1250" t="s">
        <v>159</v>
      </c>
    </row>
    <row r="1251" spans="1:65" x14ac:dyDescent="0.25">
      <c r="A1251">
        <v>1249</v>
      </c>
      <c r="B1251" t="s">
        <v>1497</v>
      </c>
      <c r="C1251" t="s">
        <v>68</v>
      </c>
      <c r="D1251" s="1">
        <v>46218</v>
      </c>
      <c r="E1251" t="s">
        <v>1498</v>
      </c>
      <c r="F1251" t="s">
        <v>68</v>
      </c>
      <c r="G1251" t="s">
        <v>295</v>
      </c>
      <c r="H1251" t="s">
        <v>296</v>
      </c>
      <c r="I1251" t="s">
        <v>71</v>
      </c>
      <c r="J1251" t="s">
        <v>72</v>
      </c>
      <c r="K1251" t="s">
        <v>73</v>
      </c>
      <c r="L1251" t="s">
        <v>74</v>
      </c>
      <c r="M1251" t="s">
        <v>503</v>
      </c>
      <c r="N1251" t="s">
        <v>111</v>
      </c>
      <c r="O1251" t="s">
        <v>504</v>
      </c>
      <c r="P1251" t="s">
        <v>505</v>
      </c>
      <c r="Q1251" t="s">
        <v>1499</v>
      </c>
      <c r="R1251" s="1">
        <v>46219</v>
      </c>
      <c r="S1251" t="s">
        <v>507</v>
      </c>
      <c r="T1251" t="s">
        <v>508</v>
      </c>
      <c r="U1251" t="s">
        <v>509</v>
      </c>
      <c r="V1251" t="s">
        <v>66</v>
      </c>
      <c r="W1251" t="s">
        <v>66</v>
      </c>
      <c r="X1251">
        <v>4519152</v>
      </c>
      <c r="Y1251">
        <v>497106.72</v>
      </c>
      <c r="Z1251">
        <v>460944</v>
      </c>
      <c r="AA1251">
        <v>50703.839999999997</v>
      </c>
      <c r="AB1251">
        <v>5016258.72</v>
      </c>
      <c r="AC1251">
        <v>1</v>
      </c>
      <c r="AD1251" t="s">
        <v>134</v>
      </c>
      <c r="AE1251">
        <v>24</v>
      </c>
      <c r="AF1251" t="s">
        <v>281</v>
      </c>
      <c r="AG1251">
        <f>IFERROR(VLOOKUP(AF1251,[1]STOK!J:O,6,0),"")</f>
        <v>24</v>
      </c>
      <c r="AH1251" s="2">
        <f t="shared" si="38"/>
        <v>1</v>
      </c>
      <c r="AI1251" t="s">
        <v>281</v>
      </c>
      <c r="AJ1251" t="s">
        <v>282</v>
      </c>
      <c r="AK1251" t="s">
        <v>283</v>
      </c>
      <c r="AL1251" t="s">
        <v>86</v>
      </c>
      <c r="AM1251">
        <v>516816</v>
      </c>
      <c r="AN1251">
        <f t="shared" si="39"/>
        <v>511647.84</v>
      </c>
      <c r="AO1251" t="s">
        <v>66</v>
      </c>
      <c r="AP1251">
        <v>1</v>
      </c>
      <c r="AQ1251" t="s">
        <v>66</v>
      </c>
      <c r="AR1251">
        <v>0</v>
      </c>
      <c r="AS1251" t="s">
        <v>66</v>
      </c>
      <c r="AT1251">
        <v>0</v>
      </c>
      <c r="AU1251" t="s">
        <v>66</v>
      </c>
      <c r="AV1251">
        <v>0</v>
      </c>
      <c r="AW1251" t="s">
        <v>66</v>
      </c>
      <c r="AX1251">
        <v>0</v>
      </c>
      <c r="AY1251" t="s">
        <v>66</v>
      </c>
      <c r="AZ1251">
        <v>0</v>
      </c>
      <c r="BA1251" t="s">
        <v>66</v>
      </c>
      <c r="BB1251">
        <v>0</v>
      </c>
      <c r="BC1251">
        <v>0</v>
      </c>
      <c r="BD1251">
        <v>511647.84</v>
      </c>
      <c r="BE1251">
        <v>16784.46</v>
      </c>
      <c r="BF1251">
        <v>0</v>
      </c>
      <c r="BG1251" t="s">
        <v>87</v>
      </c>
      <c r="BH1251" t="s">
        <v>66</v>
      </c>
      <c r="BI1251">
        <v>0</v>
      </c>
      <c r="BJ1251" t="s">
        <v>66</v>
      </c>
      <c r="BK1251" t="s">
        <v>88</v>
      </c>
      <c r="BL1251" t="s">
        <v>66</v>
      </c>
      <c r="BM1251" t="s">
        <v>159</v>
      </c>
    </row>
    <row r="1252" spans="1:65" x14ac:dyDescent="0.25">
      <c r="A1252">
        <v>1250</v>
      </c>
      <c r="B1252" t="s">
        <v>1497</v>
      </c>
      <c r="C1252" t="s">
        <v>68</v>
      </c>
      <c r="D1252" s="1">
        <v>46218</v>
      </c>
      <c r="E1252" t="s">
        <v>1498</v>
      </c>
      <c r="F1252" t="s">
        <v>68</v>
      </c>
      <c r="G1252" t="s">
        <v>295</v>
      </c>
      <c r="H1252" t="s">
        <v>296</v>
      </c>
      <c r="I1252" t="s">
        <v>71</v>
      </c>
      <c r="J1252" t="s">
        <v>72</v>
      </c>
      <c r="K1252" t="s">
        <v>73</v>
      </c>
      <c r="L1252" t="s">
        <v>74</v>
      </c>
      <c r="M1252" t="s">
        <v>503</v>
      </c>
      <c r="N1252" t="s">
        <v>111</v>
      </c>
      <c r="O1252" t="s">
        <v>504</v>
      </c>
      <c r="P1252" t="s">
        <v>505</v>
      </c>
      <c r="Q1252" t="s">
        <v>1499</v>
      </c>
      <c r="R1252" s="1">
        <v>46219</v>
      </c>
      <c r="S1252" t="s">
        <v>507</v>
      </c>
      <c r="T1252" t="s">
        <v>508</v>
      </c>
      <c r="U1252" t="s">
        <v>509</v>
      </c>
      <c r="V1252" t="s">
        <v>66</v>
      </c>
      <c r="W1252" t="s">
        <v>66</v>
      </c>
      <c r="X1252">
        <v>4519152</v>
      </c>
      <c r="Y1252">
        <v>497106.72</v>
      </c>
      <c r="Z1252">
        <v>639144</v>
      </c>
      <c r="AA1252">
        <v>70305.84</v>
      </c>
      <c r="AB1252">
        <v>5016258.72</v>
      </c>
      <c r="AC1252">
        <v>2</v>
      </c>
      <c r="AD1252" t="s">
        <v>134</v>
      </c>
      <c r="AE1252">
        <v>12</v>
      </c>
      <c r="AF1252" t="s">
        <v>525</v>
      </c>
      <c r="AG1252">
        <f>IFERROR(VLOOKUP(AF1252,[1]STOK!J:O,6,0),"")</f>
        <v>6</v>
      </c>
      <c r="AH1252" s="2">
        <f t="shared" si="38"/>
        <v>2</v>
      </c>
      <c r="AI1252" t="s">
        <v>525</v>
      </c>
      <c r="AJ1252" t="s">
        <v>526</v>
      </c>
      <c r="AK1252" t="s">
        <v>527</v>
      </c>
      <c r="AL1252" t="s">
        <v>86</v>
      </c>
      <c r="AM1252">
        <v>358308</v>
      </c>
      <c r="AN1252">
        <f t="shared" si="39"/>
        <v>354724.92</v>
      </c>
      <c r="AO1252" t="s">
        <v>66</v>
      </c>
      <c r="AP1252">
        <v>1</v>
      </c>
      <c r="AQ1252" t="s">
        <v>66</v>
      </c>
      <c r="AR1252">
        <v>0</v>
      </c>
      <c r="AS1252" t="s">
        <v>66</v>
      </c>
      <c r="AT1252">
        <v>0</v>
      </c>
      <c r="AU1252" t="s">
        <v>66</v>
      </c>
      <c r="AV1252">
        <v>0</v>
      </c>
      <c r="AW1252" t="s">
        <v>66</v>
      </c>
      <c r="AX1252">
        <v>0</v>
      </c>
      <c r="AY1252" t="s">
        <v>66</v>
      </c>
      <c r="AZ1252">
        <v>0</v>
      </c>
      <c r="BA1252" t="s">
        <v>66</v>
      </c>
      <c r="BB1252">
        <v>0</v>
      </c>
      <c r="BC1252">
        <v>0</v>
      </c>
      <c r="BD1252">
        <v>709449.84</v>
      </c>
      <c r="BE1252">
        <v>46255.85</v>
      </c>
      <c r="BF1252">
        <v>0</v>
      </c>
      <c r="BG1252" t="s">
        <v>87</v>
      </c>
      <c r="BH1252" t="s">
        <v>66</v>
      </c>
      <c r="BI1252">
        <v>0</v>
      </c>
      <c r="BJ1252" t="s">
        <v>66</v>
      </c>
      <c r="BK1252" t="s">
        <v>88</v>
      </c>
      <c r="BL1252" t="s">
        <v>66</v>
      </c>
      <c r="BM1252" t="s">
        <v>159</v>
      </c>
    </row>
    <row r="1253" spans="1:65" x14ac:dyDescent="0.25">
      <c r="A1253">
        <v>1251</v>
      </c>
      <c r="B1253" t="s">
        <v>1497</v>
      </c>
      <c r="C1253" t="s">
        <v>68</v>
      </c>
      <c r="D1253" s="1">
        <v>46218</v>
      </c>
      <c r="E1253" t="s">
        <v>1498</v>
      </c>
      <c r="F1253" t="s">
        <v>68</v>
      </c>
      <c r="G1253" t="s">
        <v>295</v>
      </c>
      <c r="H1253" t="s">
        <v>296</v>
      </c>
      <c r="I1253" t="s">
        <v>71</v>
      </c>
      <c r="J1253" t="s">
        <v>72</v>
      </c>
      <c r="K1253" t="s">
        <v>73</v>
      </c>
      <c r="L1253" t="s">
        <v>74</v>
      </c>
      <c r="M1253" t="s">
        <v>503</v>
      </c>
      <c r="N1253" t="s">
        <v>111</v>
      </c>
      <c r="O1253" t="s">
        <v>504</v>
      </c>
      <c r="P1253" t="s">
        <v>505</v>
      </c>
      <c r="Q1253" t="s">
        <v>1499</v>
      </c>
      <c r="R1253" s="1">
        <v>46219</v>
      </c>
      <c r="S1253" t="s">
        <v>507</v>
      </c>
      <c r="T1253" t="s">
        <v>508</v>
      </c>
      <c r="U1253" t="s">
        <v>509</v>
      </c>
      <c r="V1253" t="s">
        <v>66</v>
      </c>
      <c r="W1253" t="s">
        <v>66</v>
      </c>
      <c r="X1253">
        <v>4519152</v>
      </c>
      <c r="Y1253">
        <v>497106.72</v>
      </c>
      <c r="Z1253">
        <v>639144</v>
      </c>
      <c r="AA1253">
        <v>70305.84</v>
      </c>
      <c r="AB1253">
        <v>5016258.72</v>
      </c>
      <c r="AC1253">
        <v>2</v>
      </c>
      <c r="AD1253" t="s">
        <v>134</v>
      </c>
      <c r="AE1253">
        <v>12</v>
      </c>
      <c r="AF1253" t="s">
        <v>878</v>
      </c>
      <c r="AG1253">
        <f>IFERROR(VLOOKUP(AF1253,[1]STOK!J:O,6,0),"")</f>
        <v>6</v>
      </c>
      <c r="AH1253" s="2">
        <f t="shared" si="38"/>
        <v>2</v>
      </c>
      <c r="AI1253" t="s">
        <v>878</v>
      </c>
      <c r="AJ1253" t="s">
        <v>879</v>
      </c>
      <c r="AK1253" t="s">
        <v>880</v>
      </c>
      <c r="AL1253" t="s">
        <v>86</v>
      </c>
      <c r="AM1253">
        <v>358308</v>
      </c>
      <c r="AN1253">
        <f t="shared" si="39"/>
        <v>354724.92</v>
      </c>
      <c r="AO1253" t="s">
        <v>66</v>
      </c>
      <c r="AP1253">
        <v>1</v>
      </c>
      <c r="AQ1253" t="s">
        <v>66</v>
      </c>
      <c r="AR1253">
        <v>0</v>
      </c>
      <c r="AS1253" t="s">
        <v>66</v>
      </c>
      <c r="AT1253">
        <v>0</v>
      </c>
      <c r="AU1253" t="s">
        <v>66</v>
      </c>
      <c r="AV1253">
        <v>0</v>
      </c>
      <c r="AW1253" t="s">
        <v>66</v>
      </c>
      <c r="AX1253">
        <v>0</v>
      </c>
      <c r="AY1253" t="s">
        <v>66</v>
      </c>
      <c r="AZ1253">
        <v>0</v>
      </c>
      <c r="BA1253" t="s">
        <v>66</v>
      </c>
      <c r="BB1253">
        <v>0</v>
      </c>
      <c r="BC1253">
        <v>0</v>
      </c>
      <c r="BD1253">
        <v>709449.84</v>
      </c>
      <c r="BE1253">
        <v>45239.06</v>
      </c>
      <c r="BF1253">
        <v>0</v>
      </c>
      <c r="BG1253" t="s">
        <v>87</v>
      </c>
      <c r="BH1253" t="s">
        <v>66</v>
      </c>
      <c r="BI1253">
        <v>0</v>
      </c>
      <c r="BJ1253" t="s">
        <v>66</v>
      </c>
      <c r="BK1253" t="s">
        <v>88</v>
      </c>
      <c r="BL1253" t="s">
        <v>66</v>
      </c>
      <c r="BM1253" t="s">
        <v>159</v>
      </c>
    </row>
    <row r="1254" spans="1:65" x14ac:dyDescent="0.25">
      <c r="A1254">
        <v>1252</v>
      </c>
      <c r="B1254" t="s">
        <v>1497</v>
      </c>
      <c r="C1254" t="s">
        <v>68</v>
      </c>
      <c r="D1254" s="1">
        <v>46218</v>
      </c>
      <c r="E1254" t="s">
        <v>1498</v>
      </c>
      <c r="F1254" t="s">
        <v>68</v>
      </c>
      <c r="G1254" t="s">
        <v>295</v>
      </c>
      <c r="H1254" t="s">
        <v>296</v>
      </c>
      <c r="I1254" t="s">
        <v>71</v>
      </c>
      <c r="J1254" t="s">
        <v>72</v>
      </c>
      <c r="K1254" t="s">
        <v>73</v>
      </c>
      <c r="L1254" t="s">
        <v>74</v>
      </c>
      <c r="M1254" t="s">
        <v>503</v>
      </c>
      <c r="N1254" t="s">
        <v>111</v>
      </c>
      <c r="O1254" t="s">
        <v>504</v>
      </c>
      <c r="P1254" t="s">
        <v>505</v>
      </c>
      <c r="Q1254" t="s">
        <v>1499</v>
      </c>
      <c r="R1254" s="1">
        <v>46219</v>
      </c>
      <c r="S1254" t="s">
        <v>507</v>
      </c>
      <c r="T1254" t="s">
        <v>508</v>
      </c>
      <c r="U1254" t="s">
        <v>509</v>
      </c>
      <c r="V1254" t="s">
        <v>66</v>
      </c>
      <c r="W1254" t="s">
        <v>66</v>
      </c>
      <c r="X1254">
        <v>4519152</v>
      </c>
      <c r="Y1254">
        <v>497106.72</v>
      </c>
      <c r="Z1254">
        <v>639144</v>
      </c>
      <c r="AA1254">
        <v>70305.84</v>
      </c>
      <c r="AB1254">
        <v>5016258.72</v>
      </c>
      <c r="AC1254">
        <v>2</v>
      </c>
      <c r="AD1254" t="s">
        <v>134</v>
      </c>
      <c r="AE1254">
        <v>12</v>
      </c>
      <c r="AF1254" t="s">
        <v>528</v>
      </c>
      <c r="AG1254">
        <f>IFERROR(VLOOKUP(AF1254,[1]STOK!J:O,6,0),"")</f>
        <v>6</v>
      </c>
      <c r="AH1254" s="2">
        <f t="shared" si="38"/>
        <v>2</v>
      </c>
      <c r="AI1254" t="s">
        <v>528</v>
      </c>
      <c r="AJ1254" t="s">
        <v>529</v>
      </c>
      <c r="AK1254" t="s">
        <v>530</v>
      </c>
      <c r="AL1254" t="s">
        <v>86</v>
      </c>
      <c r="AM1254">
        <v>358308</v>
      </c>
      <c r="AN1254">
        <f t="shared" si="39"/>
        <v>354724.92</v>
      </c>
      <c r="AO1254" t="s">
        <v>66</v>
      </c>
      <c r="AP1254">
        <v>1</v>
      </c>
      <c r="AQ1254" t="s">
        <v>66</v>
      </c>
      <c r="AR1254">
        <v>0</v>
      </c>
      <c r="AS1254" t="s">
        <v>66</v>
      </c>
      <c r="AT1254">
        <v>0</v>
      </c>
      <c r="AU1254" t="s">
        <v>66</v>
      </c>
      <c r="AV1254">
        <v>0</v>
      </c>
      <c r="AW1254" t="s">
        <v>66</v>
      </c>
      <c r="AX1254">
        <v>0</v>
      </c>
      <c r="AY1254" t="s">
        <v>66</v>
      </c>
      <c r="AZ1254">
        <v>0</v>
      </c>
      <c r="BA1254" t="s">
        <v>66</v>
      </c>
      <c r="BB1254">
        <v>0</v>
      </c>
      <c r="BC1254">
        <v>0</v>
      </c>
      <c r="BD1254">
        <v>709449.84</v>
      </c>
      <c r="BE1254">
        <v>47467.87</v>
      </c>
      <c r="BF1254">
        <v>0</v>
      </c>
      <c r="BG1254" t="s">
        <v>87</v>
      </c>
      <c r="BH1254" t="s">
        <v>66</v>
      </c>
      <c r="BI1254">
        <v>0</v>
      </c>
      <c r="BJ1254" t="s">
        <v>66</v>
      </c>
      <c r="BK1254" t="s">
        <v>88</v>
      </c>
      <c r="BL1254" t="s">
        <v>66</v>
      </c>
      <c r="BM1254" t="s">
        <v>159</v>
      </c>
    </row>
    <row r="1255" spans="1:65" x14ac:dyDescent="0.25">
      <c r="A1255">
        <v>1253</v>
      </c>
      <c r="B1255" t="s">
        <v>1497</v>
      </c>
      <c r="C1255" t="s">
        <v>68</v>
      </c>
      <c r="D1255" s="1">
        <v>46218</v>
      </c>
      <c r="E1255" t="s">
        <v>1498</v>
      </c>
      <c r="F1255" t="s">
        <v>68</v>
      </c>
      <c r="G1255" t="s">
        <v>295</v>
      </c>
      <c r="H1255" t="s">
        <v>296</v>
      </c>
      <c r="I1255" t="s">
        <v>71</v>
      </c>
      <c r="J1255" t="s">
        <v>72</v>
      </c>
      <c r="K1255" t="s">
        <v>73</v>
      </c>
      <c r="L1255" t="s">
        <v>74</v>
      </c>
      <c r="M1255" t="s">
        <v>503</v>
      </c>
      <c r="N1255" t="s">
        <v>111</v>
      </c>
      <c r="O1255" t="s">
        <v>504</v>
      </c>
      <c r="P1255" t="s">
        <v>505</v>
      </c>
      <c r="Q1255" t="s">
        <v>1499</v>
      </c>
      <c r="R1255" s="1">
        <v>46219</v>
      </c>
      <c r="S1255" t="s">
        <v>507</v>
      </c>
      <c r="T1255" t="s">
        <v>508</v>
      </c>
      <c r="U1255" t="s">
        <v>509</v>
      </c>
      <c r="V1255" t="s">
        <v>66</v>
      </c>
      <c r="W1255" t="s">
        <v>66</v>
      </c>
      <c r="X1255">
        <v>4519152</v>
      </c>
      <c r="Y1255">
        <v>497106.72</v>
      </c>
      <c r="Z1255">
        <v>180576</v>
      </c>
      <c r="AA1255">
        <v>19863.36</v>
      </c>
      <c r="AB1255">
        <v>5016258.72</v>
      </c>
      <c r="AC1255">
        <v>1</v>
      </c>
      <c r="AD1255" t="s">
        <v>134</v>
      </c>
      <c r="AE1255">
        <v>12</v>
      </c>
      <c r="AF1255" t="s">
        <v>531</v>
      </c>
      <c r="AG1255">
        <f>IFERROR(VLOOKUP(AF1255,[1]STOK!J:O,6,0),"")</f>
        <v>12</v>
      </c>
      <c r="AH1255" s="2">
        <f t="shared" si="38"/>
        <v>1</v>
      </c>
      <c r="AI1255" t="s">
        <v>531</v>
      </c>
      <c r="AJ1255" t="s">
        <v>532</v>
      </c>
      <c r="AK1255" t="s">
        <v>533</v>
      </c>
      <c r="AL1255" t="s">
        <v>86</v>
      </c>
      <c r="AM1255">
        <v>202464</v>
      </c>
      <c r="AN1255">
        <f t="shared" si="39"/>
        <v>200439.36</v>
      </c>
      <c r="AO1255" t="s">
        <v>66</v>
      </c>
      <c r="AP1255">
        <v>1</v>
      </c>
      <c r="AQ1255" t="s">
        <v>66</v>
      </c>
      <c r="AR1255">
        <v>0</v>
      </c>
      <c r="AS1255" t="s">
        <v>66</v>
      </c>
      <c r="AT1255">
        <v>0</v>
      </c>
      <c r="AU1255" t="s">
        <v>66</v>
      </c>
      <c r="AV1255">
        <v>0</v>
      </c>
      <c r="AW1255" t="s">
        <v>66</v>
      </c>
      <c r="AX1255">
        <v>0</v>
      </c>
      <c r="AY1255" t="s">
        <v>66</v>
      </c>
      <c r="AZ1255">
        <v>0</v>
      </c>
      <c r="BA1255" t="s">
        <v>66</v>
      </c>
      <c r="BB1255">
        <v>0</v>
      </c>
      <c r="BC1255">
        <v>0</v>
      </c>
      <c r="BD1255">
        <v>200439.36</v>
      </c>
      <c r="BE1255">
        <v>12788.76</v>
      </c>
      <c r="BF1255">
        <v>0</v>
      </c>
      <c r="BG1255" t="s">
        <v>87</v>
      </c>
      <c r="BH1255" t="s">
        <v>66</v>
      </c>
      <c r="BI1255">
        <v>0</v>
      </c>
      <c r="BJ1255" t="s">
        <v>66</v>
      </c>
      <c r="BK1255" t="s">
        <v>88</v>
      </c>
      <c r="BL1255" t="s">
        <v>66</v>
      </c>
      <c r="BM1255" t="s">
        <v>159</v>
      </c>
    </row>
    <row r="1256" spans="1:65" x14ac:dyDescent="0.25">
      <c r="A1256">
        <v>1254</v>
      </c>
      <c r="B1256" t="s">
        <v>1500</v>
      </c>
      <c r="C1256" t="s">
        <v>68</v>
      </c>
      <c r="D1256" s="1">
        <v>46218</v>
      </c>
      <c r="E1256" t="s">
        <v>1501</v>
      </c>
      <c r="F1256" t="s">
        <v>68</v>
      </c>
      <c r="G1256" t="s">
        <v>295</v>
      </c>
      <c r="H1256" t="s">
        <v>296</v>
      </c>
      <c r="I1256" t="s">
        <v>71</v>
      </c>
      <c r="J1256" t="s">
        <v>72</v>
      </c>
      <c r="K1256" t="s">
        <v>73</v>
      </c>
      <c r="L1256" t="s">
        <v>74</v>
      </c>
      <c r="M1256" t="s">
        <v>503</v>
      </c>
      <c r="N1256" t="s">
        <v>111</v>
      </c>
      <c r="O1256" t="s">
        <v>504</v>
      </c>
      <c r="P1256" t="s">
        <v>505</v>
      </c>
      <c r="Q1256" t="s">
        <v>1502</v>
      </c>
      <c r="R1256" s="1">
        <v>46219</v>
      </c>
      <c r="S1256" t="s">
        <v>507</v>
      </c>
      <c r="T1256" t="s">
        <v>508</v>
      </c>
      <c r="U1256" t="s">
        <v>509</v>
      </c>
      <c r="V1256" t="s">
        <v>66</v>
      </c>
      <c r="W1256" t="s">
        <v>66</v>
      </c>
      <c r="X1256">
        <v>3146814</v>
      </c>
      <c r="Y1256">
        <v>346149.54</v>
      </c>
      <c r="Z1256">
        <v>23463</v>
      </c>
      <c r="AA1256">
        <v>2580.9299999999998</v>
      </c>
      <c r="AB1256">
        <v>3492963.54</v>
      </c>
      <c r="AC1256">
        <v>3</v>
      </c>
      <c r="AD1256" t="s">
        <v>82</v>
      </c>
      <c r="AE1256">
        <v>3</v>
      </c>
      <c r="AF1256" t="s">
        <v>199</v>
      </c>
      <c r="AG1256">
        <f>IFERROR(VLOOKUP(AF1256,[1]STOK!J:O,6,0),"")</f>
        <v>24</v>
      </c>
      <c r="AH1256" s="2">
        <f t="shared" si="38"/>
        <v>0.125</v>
      </c>
      <c r="AI1256" t="s">
        <v>199</v>
      </c>
      <c r="AJ1256" t="s">
        <v>200</v>
      </c>
      <c r="AK1256" t="s">
        <v>201</v>
      </c>
      <c r="AL1256" t="s">
        <v>86</v>
      </c>
      <c r="AM1256">
        <v>8769</v>
      </c>
      <c r="AN1256">
        <f t="shared" si="39"/>
        <v>8681.31</v>
      </c>
      <c r="AO1256" t="s">
        <v>66</v>
      </c>
      <c r="AP1256">
        <v>1</v>
      </c>
      <c r="AQ1256" t="s">
        <v>66</v>
      </c>
      <c r="AR1256">
        <v>0</v>
      </c>
      <c r="AS1256" t="s">
        <v>66</v>
      </c>
      <c r="AT1256">
        <v>0</v>
      </c>
      <c r="AU1256" t="s">
        <v>66</v>
      </c>
      <c r="AV1256">
        <v>0</v>
      </c>
      <c r="AW1256" t="s">
        <v>66</v>
      </c>
      <c r="AX1256">
        <v>0</v>
      </c>
      <c r="AY1256" t="s">
        <v>66</v>
      </c>
      <c r="AZ1256">
        <v>0</v>
      </c>
      <c r="BA1256" t="s">
        <v>66</v>
      </c>
      <c r="BB1256">
        <v>0</v>
      </c>
      <c r="BC1256">
        <v>0</v>
      </c>
      <c r="BD1256">
        <v>26043.93</v>
      </c>
      <c r="BE1256">
        <v>6637.67</v>
      </c>
      <c r="BF1256">
        <v>0</v>
      </c>
      <c r="BG1256" t="s">
        <v>87</v>
      </c>
      <c r="BH1256" t="s">
        <v>66</v>
      </c>
      <c r="BI1256">
        <v>0</v>
      </c>
      <c r="BJ1256" t="s">
        <v>66</v>
      </c>
      <c r="BK1256" t="s">
        <v>88</v>
      </c>
      <c r="BL1256" t="s">
        <v>66</v>
      </c>
      <c r="BM1256" t="s">
        <v>159</v>
      </c>
    </row>
    <row r="1257" spans="1:65" x14ac:dyDescent="0.25">
      <c r="A1257">
        <v>1255</v>
      </c>
      <c r="B1257" t="s">
        <v>1500</v>
      </c>
      <c r="C1257" t="s">
        <v>68</v>
      </c>
      <c r="D1257" s="1">
        <v>46218</v>
      </c>
      <c r="E1257" t="s">
        <v>1501</v>
      </c>
      <c r="F1257" t="s">
        <v>68</v>
      </c>
      <c r="G1257" t="s">
        <v>295</v>
      </c>
      <c r="H1257" t="s">
        <v>296</v>
      </c>
      <c r="I1257" t="s">
        <v>71</v>
      </c>
      <c r="J1257" t="s">
        <v>72</v>
      </c>
      <c r="K1257" t="s">
        <v>73</v>
      </c>
      <c r="L1257" t="s">
        <v>74</v>
      </c>
      <c r="M1257" t="s">
        <v>503</v>
      </c>
      <c r="N1257" t="s">
        <v>111</v>
      </c>
      <c r="O1257" t="s">
        <v>504</v>
      </c>
      <c r="P1257" t="s">
        <v>505</v>
      </c>
      <c r="Q1257" t="s">
        <v>1502</v>
      </c>
      <c r="R1257" s="1">
        <v>46219</v>
      </c>
      <c r="S1257" t="s">
        <v>507</v>
      </c>
      <c r="T1257" t="s">
        <v>508</v>
      </c>
      <c r="U1257" t="s">
        <v>509</v>
      </c>
      <c r="V1257" t="s">
        <v>66</v>
      </c>
      <c r="W1257" t="s">
        <v>66</v>
      </c>
      <c r="X1257">
        <v>3146814</v>
      </c>
      <c r="Y1257">
        <v>346149.54</v>
      </c>
      <c r="Z1257">
        <v>23463</v>
      </c>
      <c r="AA1257">
        <v>2580.9299999999998</v>
      </c>
      <c r="AB1257">
        <v>3492963.54</v>
      </c>
      <c r="AC1257">
        <v>3</v>
      </c>
      <c r="AD1257" t="s">
        <v>82</v>
      </c>
      <c r="AE1257">
        <v>3</v>
      </c>
      <c r="AF1257" t="s">
        <v>344</v>
      </c>
      <c r="AG1257">
        <f>IFERROR(VLOOKUP(AF1257,[1]STOK!J:O,6,0),"")</f>
        <v>24</v>
      </c>
      <c r="AH1257" s="2">
        <f t="shared" si="38"/>
        <v>0.125</v>
      </c>
      <c r="AI1257" t="s">
        <v>344</v>
      </c>
      <c r="AJ1257" t="s">
        <v>345</v>
      </c>
      <c r="AK1257" t="s">
        <v>346</v>
      </c>
      <c r="AL1257" t="s">
        <v>86</v>
      </c>
      <c r="AM1257">
        <v>8769</v>
      </c>
      <c r="AN1257">
        <f t="shared" si="39"/>
        <v>8681.31</v>
      </c>
      <c r="AO1257" t="s">
        <v>66</v>
      </c>
      <c r="AP1257">
        <v>1</v>
      </c>
      <c r="AQ1257" t="s">
        <v>66</v>
      </c>
      <c r="AR1257">
        <v>0</v>
      </c>
      <c r="AS1257" t="s">
        <v>66</v>
      </c>
      <c r="AT1257">
        <v>0</v>
      </c>
      <c r="AU1257" t="s">
        <v>66</v>
      </c>
      <c r="AV1257">
        <v>0</v>
      </c>
      <c r="AW1257" t="s">
        <v>66</v>
      </c>
      <c r="AX1257">
        <v>0</v>
      </c>
      <c r="AY1257" t="s">
        <v>66</v>
      </c>
      <c r="AZ1257">
        <v>0</v>
      </c>
      <c r="BA1257" t="s">
        <v>66</v>
      </c>
      <c r="BB1257">
        <v>0</v>
      </c>
      <c r="BC1257">
        <v>0</v>
      </c>
      <c r="BD1257">
        <v>26043.93</v>
      </c>
      <c r="BE1257">
        <v>6916.14</v>
      </c>
      <c r="BF1257">
        <v>0</v>
      </c>
      <c r="BG1257" t="s">
        <v>87</v>
      </c>
      <c r="BH1257" t="s">
        <v>66</v>
      </c>
      <c r="BI1257">
        <v>0</v>
      </c>
      <c r="BJ1257" t="s">
        <v>66</v>
      </c>
      <c r="BK1257" t="s">
        <v>88</v>
      </c>
      <c r="BL1257" t="s">
        <v>66</v>
      </c>
      <c r="BM1257" t="s">
        <v>159</v>
      </c>
    </row>
    <row r="1258" spans="1:65" x14ac:dyDescent="0.25">
      <c r="A1258">
        <v>1256</v>
      </c>
      <c r="B1258" t="s">
        <v>1500</v>
      </c>
      <c r="C1258" t="s">
        <v>68</v>
      </c>
      <c r="D1258" s="1">
        <v>46218</v>
      </c>
      <c r="E1258" t="s">
        <v>1501</v>
      </c>
      <c r="F1258" t="s">
        <v>68</v>
      </c>
      <c r="G1258" t="s">
        <v>295</v>
      </c>
      <c r="H1258" t="s">
        <v>296</v>
      </c>
      <c r="I1258" t="s">
        <v>71</v>
      </c>
      <c r="J1258" t="s">
        <v>72</v>
      </c>
      <c r="K1258" t="s">
        <v>73</v>
      </c>
      <c r="L1258" t="s">
        <v>74</v>
      </c>
      <c r="M1258" t="s">
        <v>503</v>
      </c>
      <c r="N1258" t="s">
        <v>111</v>
      </c>
      <c r="O1258" t="s">
        <v>504</v>
      </c>
      <c r="P1258" t="s">
        <v>505</v>
      </c>
      <c r="Q1258" t="s">
        <v>1502</v>
      </c>
      <c r="R1258" s="1">
        <v>46219</v>
      </c>
      <c r="S1258" t="s">
        <v>507</v>
      </c>
      <c r="T1258" t="s">
        <v>508</v>
      </c>
      <c r="U1258" t="s">
        <v>509</v>
      </c>
      <c r="V1258" t="s">
        <v>66</v>
      </c>
      <c r="W1258" t="s">
        <v>66</v>
      </c>
      <c r="X1258">
        <v>3146814</v>
      </c>
      <c r="Y1258">
        <v>346149.54</v>
      </c>
      <c r="Z1258">
        <v>691416</v>
      </c>
      <c r="AA1258">
        <v>76055.759999999995</v>
      </c>
      <c r="AB1258">
        <v>3492963.54</v>
      </c>
      <c r="AC1258">
        <v>3</v>
      </c>
      <c r="AD1258" t="s">
        <v>134</v>
      </c>
      <c r="AE1258">
        <v>36</v>
      </c>
      <c r="AF1258" t="s">
        <v>284</v>
      </c>
      <c r="AG1258">
        <f>IFERROR(VLOOKUP(AF1258,[1]STOK!J:O,6,0),"")</f>
        <v>12</v>
      </c>
      <c r="AH1258" s="2">
        <f t="shared" si="38"/>
        <v>3</v>
      </c>
      <c r="AI1258" t="s">
        <v>284</v>
      </c>
      <c r="AJ1258" t="s">
        <v>285</v>
      </c>
      <c r="AK1258" t="s">
        <v>286</v>
      </c>
      <c r="AL1258" t="s">
        <v>86</v>
      </c>
      <c r="AM1258">
        <v>258408</v>
      </c>
      <c r="AN1258">
        <f t="shared" si="39"/>
        <v>255823.92</v>
      </c>
      <c r="AO1258" t="s">
        <v>66</v>
      </c>
      <c r="AP1258">
        <v>1</v>
      </c>
      <c r="AQ1258" t="s">
        <v>66</v>
      </c>
      <c r="AR1258">
        <v>0</v>
      </c>
      <c r="AS1258" t="s">
        <v>66</v>
      </c>
      <c r="AT1258">
        <v>0</v>
      </c>
      <c r="AU1258" t="s">
        <v>66</v>
      </c>
      <c r="AV1258">
        <v>0</v>
      </c>
      <c r="AW1258" t="s">
        <v>66</v>
      </c>
      <c r="AX1258">
        <v>0</v>
      </c>
      <c r="AY1258" t="s">
        <v>66</v>
      </c>
      <c r="AZ1258">
        <v>0</v>
      </c>
      <c r="BA1258" t="s">
        <v>66</v>
      </c>
      <c r="BB1258">
        <v>0</v>
      </c>
      <c r="BC1258">
        <v>0</v>
      </c>
      <c r="BD1258">
        <v>767471.76</v>
      </c>
      <c r="BE1258">
        <v>17160.12</v>
      </c>
      <c r="BF1258">
        <v>0</v>
      </c>
      <c r="BG1258" t="s">
        <v>87</v>
      </c>
      <c r="BH1258" t="s">
        <v>66</v>
      </c>
      <c r="BI1258">
        <v>0</v>
      </c>
      <c r="BJ1258" t="s">
        <v>66</v>
      </c>
      <c r="BK1258" t="s">
        <v>88</v>
      </c>
      <c r="BL1258" t="s">
        <v>66</v>
      </c>
      <c r="BM1258" t="s">
        <v>159</v>
      </c>
    </row>
    <row r="1259" spans="1:65" x14ac:dyDescent="0.25">
      <c r="A1259">
        <v>1257</v>
      </c>
      <c r="B1259" t="s">
        <v>1500</v>
      </c>
      <c r="C1259" t="s">
        <v>68</v>
      </c>
      <c r="D1259" s="1">
        <v>46218</v>
      </c>
      <c r="E1259" t="s">
        <v>1501</v>
      </c>
      <c r="F1259" t="s">
        <v>68</v>
      </c>
      <c r="G1259" t="s">
        <v>295</v>
      </c>
      <c r="H1259" t="s">
        <v>296</v>
      </c>
      <c r="I1259" t="s">
        <v>71</v>
      </c>
      <c r="J1259" t="s">
        <v>72</v>
      </c>
      <c r="K1259" t="s">
        <v>73</v>
      </c>
      <c r="L1259" t="s">
        <v>74</v>
      </c>
      <c r="M1259" t="s">
        <v>503</v>
      </c>
      <c r="N1259" t="s">
        <v>111</v>
      </c>
      <c r="O1259" t="s">
        <v>504</v>
      </c>
      <c r="P1259" t="s">
        <v>505</v>
      </c>
      <c r="Q1259" t="s">
        <v>1502</v>
      </c>
      <c r="R1259" s="1">
        <v>46219</v>
      </c>
      <c r="S1259" t="s">
        <v>507</v>
      </c>
      <c r="T1259" t="s">
        <v>508</v>
      </c>
      <c r="U1259" t="s">
        <v>509</v>
      </c>
      <c r="V1259" t="s">
        <v>66</v>
      </c>
      <c r="W1259" t="s">
        <v>66</v>
      </c>
      <c r="X1259">
        <v>3146814</v>
      </c>
      <c r="Y1259">
        <v>346149.54</v>
      </c>
      <c r="Z1259">
        <v>691416</v>
      </c>
      <c r="AA1259">
        <v>76055.759999999995</v>
      </c>
      <c r="AB1259">
        <v>3492963.54</v>
      </c>
      <c r="AC1259">
        <v>3</v>
      </c>
      <c r="AD1259" t="s">
        <v>134</v>
      </c>
      <c r="AE1259">
        <v>36</v>
      </c>
      <c r="AF1259" t="s">
        <v>287</v>
      </c>
      <c r="AG1259">
        <f>IFERROR(VLOOKUP(AF1259,[1]STOK!J:O,6,0),"")</f>
        <v>12</v>
      </c>
      <c r="AH1259" s="2">
        <f t="shared" si="38"/>
        <v>3</v>
      </c>
      <c r="AI1259" t="s">
        <v>287</v>
      </c>
      <c r="AJ1259" t="s">
        <v>288</v>
      </c>
      <c r="AK1259" t="s">
        <v>289</v>
      </c>
      <c r="AL1259" t="s">
        <v>86</v>
      </c>
      <c r="AM1259">
        <v>258408</v>
      </c>
      <c r="AN1259">
        <f t="shared" si="39"/>
        <v>255823.92</v>
      </c>
      <c r="AO1259" t="s">
        <v>66</v>
      </c>
      <c r="AP1259">
        <v>1</v>
      </c>
      <c r="AQ1259" t="s">
        <v>66</v>
      </c>
      <c r="AR1259">
        <v>0</v>
      </c>
      <c r="AS1259" t="s">
        <v>66</v>
      </c>
      <c r="AT1259">
        <v>0</v>
      </c>
      <c r="AU1259" t="s">
        <v>66</v>
      </c>
      <c r="AV1259">
        <v>0</v>
      </c>
      <c r="AW1259" t="s">
        <v>66</v>
      </c>
      <c r="AX1259">
        <v>0</v>
      </c>
      <c r="AY1259" t="s">
        <v>66</v>
      </c>
      <c r="AZ1259">
        <v>0</v>
      </c>
      <c r="BA1259" t="s">
        <v>66</v>
      </c>
      <c r="BB1259">
        <v>0</v>
      </c>
      <c r="BC1259">
        <v>0</v>
      </c>
      <c r="BD1259">
        <v>767471.76</v>
      </c>
      <c r="BE1259">
        <v>17175.11</v>
      </c>
      <c r="BF1259">
        <v>0</v>
      </c>
      <c r="BG1259" t="s">
        <v>87</v>
      </c>
      <c r="BH1259" t="s">
        <v>66</v>
      </c>
      <c r="BI1259">
        <v>0</v>
      </c>
      <c r="BJ1259" t="s">
        <v>66</v>
      </c>
      <c r="BK1259" t="s">
        <v>88</v>
      </c>
      <c r="BL1259" t="s">
        <v>66</v>
      </c>
      <c r="BM1259" t="s">
        <v>159</v>
      </c>
    </row>
    <row r="1260" spans="1:65" x14ac:dyDescent="0.25">
      <c r="A1260">
        <v>1258</v>
      </c>
      <c r="B1260" t="s">
        <v>1500</v>
      </c>
      <c r="C1260" t="s">
        <v>68</v>
      </c>
      <c r="D1260" s="1">
        <v>46218</v>
      </c>
      <c r="E1260" t="s">
        <v>1501</v>
      </c>
      <c r="F1260" t="s">
        <v>68</v>
      </c>
      <c r="G1260" t="s">
        <v>295</v>
      </c>
      <c r="H1260" t="s">
        <v>296</v>
      </c>
      <c r="I1260" t="s">
        <v>71</v>
      </c>
      <c r="J1260" t="s">
        <v>72</v>
      </c>
      <c r="K1260" t="s">
        <v>73</v>
      </c>
      <c r="L1260" t="s">
        <v>74</v>
      </c>
      <c r="M1260" t="s">
        <v>503</v>
      </c>
      <c r="N1260" t="s">
        <v>111</v>
      </c>
      <c r="O1260" t="s">
        <v>504</v>
      </c>
      <c r="P1260" t="s">
        <v>505</v>
      </c>
      <c r="Q1260" t="s">
        <v>1502</v>
      </c>
      <c r="R1260" s="1">
        <v>46219</v>
      </c>
      <c r="S1260" t="s">
        <v>507</v>
      </c>
      <c r="T1260" t="s">
        <v>508</v>
      </c>
      <c r="U1260" t="s">
        <v>509</v>
      </c>
      <c r="V1260" t="s">
        <v>66</v>
      </c>
      <c r="W1260" t="s">
        <v>66</v>
      </c>
      <c r="X1260">
        <v>3146814</v>
      </c>
      <c r="Y1260">
        <v>346149.54</v>
      </c>
      <c r="Z1260">
        <v>174636</v>
      </c>
      <c r="AA1260">
        <v>19209.96</v>
      </c>
      <c r="AB1260">
        <v>3492963.54</v>
      </c>
      <c r="AC1260">
        <v>1</v>
      </c>
      <c r="AD1260" t="s">
        <v>134</v>
      </c>
      <c r="AE1260">
        <v>12</v>
      </c>
      <c r="AF1260" t="s">
        <v>473</v>
      </c>
      <c r="AG1260">
        <f>IFERROR(VLOOKUP(AF1260,[1]STOK!J:O,6,0),"")</f>
        <v>12</v>
      </c>
      <c r="AH1260" s="2">
        <f t="shared" si="38"/>
        <v>1</v>
      </c>
      <c r="AI1260" t="s">
        <v>473</v>
      </c>
      <c r="AJ1260" t="s">
        <v>474</v>
      </c>
      <c r="AK1260" t="s">
        <v>475</v>
      </c>
      <c r="AL1260" t="s">
        <v>86</v>
      </c>
      <c r="AM1260">
        <v>195804</v>
      </c>
      <c r="AN1260">
        <f t="shared" si="39"/>
        <v>193845.96</v>
      </c>
      <c r="AO1260" t="s">
        <v>66</v>
      </c>
      <c r="AP1260">
        <v>1</v>
      </c>
      <c r="AQ1260" t="s">
        <v>66</v>
      </c>
      <c r="AR1260">
        <v>0</v>
      </c>
      <c r="AS1260" t="s">
        <v>66</v>
      </c>
      <c r="AT1260">
        <v>0</v>
      </c>
      <c r="AU1260" t="s">
        <v>66</v>
      </c>
      <c r="AV1260">
        <v>0</v>
      </c>
      <c r="AW1260" t="s">
        <v>66</v>
      </c>
      <c r="AX1260">
        <v>0</v>
      </c>
      <c r="AY1260" t="s">
        <v>66</v>
      </c>
      <c r="AZ1260">
        <v>0</v>
      </c>
      <c r="BA1260" t="s">
        <v>66</v>
      </c>
      <c r="BB1260">
        <v>0</v>
      </c>
      <c r="BC1260">
        <v>0</v>
      </c>
      <c r="BD1260">
        <v>193845.96</v>
      </c>
      <c r="BE1260">
        <v>12750.39</v>
      </c>
      <c r="BF1260">
        <v>0</v>
      </c>
      <c r="BG1260" t="s">
        <v>87</v>
      </c>
      <c r="BH1260" t="s">
        <v>66</v>
      </c>
      <c r="BI1260">
        <v>0</v>
      </c>
      <c r="BJ1260" t="s">
        <v>66</v>
      </c>
      <c r="BK1260" t="s">
        <v>88</v>
      </c>
      <c r="BL1260" t="s">
        <v>66</v>
      </c>
      <c r="BM1260" t="s">
        <v>159</v>
      </c>
    </row>
    <row r="1261" spans="1:65" x14ac:dyDescent="0.25">
      <c r="A1261">
        <v>1259</v>
      </c>
      <c r="B1261" t="s">
        <v>1500</v>
      </c>
      <c r="C1261" t="s">
        <v>68</v>
      </c>
      <c r="D1261" s="1">
        <v>46218</v>
      </c>
      <c r="E1261" t="s">
        <v>1501</v>
      </c>
      <c r="F1261" t="s">
        <v>68</v>
      </c>
      <c r="G1261" t="s">
        <v>295</v>
      </c>
      <c r="H1261" t="s">
        <v>296</v>
      </c>
      <c r="I1261" t="s">
        <v>71</v>
      </c>
      <c r="J1261" t="s">
        <v>72</v>
      </c>
      <c r="K1261" t="s">
        <v>73</v>
      </c>
      <c r="L1261" t="s">
        <v>74</v>
      </c>
      <c r="M1261" t="s">
        <v>503</v>
      </c>
      <c r="N1261" t="s">
        <v>111</v>
      </c>
      <c r="O1261" t="s">
        <v>504</v>
      </c>
      <c r="P1261" t="s">
        <v>505</v>
      </c>
      <c r="Q1261" t="s">
        <v>1502</v>
      </c>
      <c r="R1261" s="1">
        <v>46219</v>
      </c>
      <c r="S1261" t="s">
        <v>507</v>
      </c>
      <c r="T1261" t="s">
        <v>508</v>
      </c>
      <c r="U1261" t="s">
        <v>509</v>
      </c>
      <c r="V1261" t="s">
        <v>66</v>
      </c>
      <c r="W1261" t="s">
        <v>66</v>
      </c>
      <c r="X1261">
        <v>3146814</v>
      </c>
      <c r="Y1261">
        <v>346149.54</v>
      </c>
      <c r="Z1261">
        <v>185328</v>
      </c>
      <c r="AA1261">
        <v>20386.080000000002</v>
      </c>
      <c r="AB1261">
        <v>3492963.54</v>
      </c>
      <c r="AC1261">
        <v>1</v>
      </c>
      <c r="AD1261" t="s">
        <v>134</v>
      </c>
      <c r="AE1261">
        <v>12</v>
      </c>
      <c r="AF1261" t="s">
        <v>1189</v>
      </c>
      <c r="AG1261">
        <f>IFERROR(VLOOKUP(AF1261,[1]STOK!J:O,6,0),"")</f>
        <v>12</v>
      </c>
      <c r="AH1261" s="2">
        <f t="shared" si="38"/>
        <v>1</v>
      </c>
      <c r="AI1261" t="s">
        <v>1189</v>
      </c>
      <c r="AJ1261" t="s">
        <v>1190</v>
      </c>
      <c r="AK1261" t="s">
        <v>1191</v>
      </c>
      <c r="AL1261" t="s">
        <v>86</v>
      </c>
      <c r="AM1261">
        <v>207792</v>
      </c>
      <c r="AN1261">
        <f t="shared" si="39"/>
        <v>205714.08</v>
      </c>
      <c r="AO1261" t="s">
        <v>66</v>
      </c>
      <c r="AP1261">
        <v>1</v>
      </c>
      <c r="AQ1261" t="s">
        <v>66</v>
      </c>
      <c r="AR1261">
        <v>0</v>
      </c>
      <c r="AS1261" t="s">
        <v>66</v>
      </c>
      <c r="AT1261">
        <v>0</v>
      </c>
      <c r="AU1261" t="s">
        <v>66</v>
      </c>
      <c r="AV1261">
        <v>0</v>
      </c>
      <c r="AW1261" t="s">
        <v>66</v>
      </c>
      <c r="AX1261">
        <v>0</v>
      </c>
      <c r="AY1261" t="s">
        <v>66</v>
      </c>
      <c r="AZ1261">
        <v>0</v>
      </c>
      <c r="BA1261" t="s">
        <v>66</v>
      </c>
      <c r="BB1261">
        <v>0</v>
      </c>
      <c r="BC1261">
        <v>0</v>
      </c>
      <c r="BD1261">
        <v>205714.08</v>
      </c>
      <c r="BE1261">
        <v>13989.83</v>
      </c>
      <c r="BF1261">
        <v>0</v>
      </c>
      <c r="BG1261" t="s">
        <v>87</v>
      </c>
      <c r="BH1261" t="s">
        <v>66</v>
      </c>
      <c r="BI1261">
        <v>0</v>
      </c>
      <c r="BJ1261" t="s">
        <v>66</v>
      </c>
      <c r="BK1261" t="s">
        <v>88</v>
      </c>
      <c r="BL1261" t="s">
        <v>66</v>
      </c>
      <c r="BM1261" t="s">
        <v>159</v>
      </c>
    </row>
    <row r="1262" spans="1:65" x14ac:dyDescent="0.25">
      <c r="A1262">
        <v>1260</v>
      </c>
      <c r="B1262" t="s">
        <v>1500</v>
      </c>
      <c r="C1262" t="s">
        <v>68</v>
      </c>
      <c r="D1262" s="1">
        <v>46218</v>
      </c>
      <c r="E1262" t="s">
        <v>1501</v>
      </c>
      <c r="F1262" t="s">
        <v>68</v>
      </c>
      <c r="G1262" t="s">
        <v>295</v>
      </c>
      <c r="H1262" t="s">
        <v>296</v>
      </c>
      <c r="I1262" t="s">
        <v>71</v>
      </c>
      <c r="J1262" t="s">
        <v>72</v>
      </c>
      <c r="K1262" t="s">
        <v>73</v>
      </c>
      <c r="L1262" t="s">
        <v>74</v>
      </c>
      <c r="M1262" t="s">
        <v>503</v>
      </c>
      <c r="N1262" t="s">
        <v>111</v>
      </c>
      <c r="O1262" t="s">
        <v>504</v>
      </c>
      <c r="P1262" t="s">
        <v>505</v>
      </c>
      <c r="Q1262" t="s">
        <v>1502</v>
      </c>
      <c r="R1262" s="1">
        <v>46219</v>
      </c>
      <c r="S1262" t="s">
        <v>507</v>
      </c>
      <c r="T1262" t="s">
        <v>508</v>
      </c>
      <c r="U1262" t="s">
        <v>509</v>
      </c>
      <c r="V1262" t="s">
        <v>66</v>
      </c>
      <c r="W1262" t="s">
        <v>66</v>
      </c>
      <c r="X1262">
        <v>3146814</v>
      </c>
      <c r="Y1262">
        <v>346149.54</v>
      </c>
      <c r="Z1262">
        <v>255420</v>
      </c>
      <c r="AA1262">
        <v>28096.2</v>
      </c>
      <c r="AB1262">
        <v>3492963.54</v>
      </c>
      <c r="AC1262">
        <v>1</v>
      </c>
      <c r="AD1262" t="s">
        <v>134</v>
      </c>
      <c r="AE1262">
        <v>12</v>
      </c>
      <c r="AF1262" t="s">
        <v>1370</v>
      </c>
      <c r="AG1262">
        <f>IFERROR(VLOOKUP(AF1262,[1]STOK!J:O,6,0),"")</f>
        <v>12</v>
      </c>
      <c r="AH1262" s="2">
        <f t="shared" si="38"/>
        <v>1</v>
      </c>
      <c r="AI1262" t="s">
        <v>1370</v>
      </c>
      <c r="AJ1262" t="s">
        <v>1371</v>
      </c>
      <c r="AK1262" t="s">
        <v>1372</v>
      </c>
      <c r="AL1262" t="s">
        <v>86</v>
      </c>
      <c r="AM1262">
        <v>286380</v>
      </c>
      <c r="AN1262">
        <f t="shared" si="39"/>
        <v>283516.2</v>
      </c>
      <c r="AO1262" t="s">
        <v>66</v>
      </c>
      <c r="AP1262">
        <v>1</v>
      </c>
      <c r="AQ1262" t="s">
        <v>66</v>
      </c>
      <c r="AR1262">
        <v>0</v>
      </c>
      <c r="AS1262" t="s">
        <v>66</v>
      </c>
      <c r="AT1262">
        <v>0</v>
      </c>
      <c r="AU1262" t="s">
        <v>66</v>
      </c>
      <c r="AV1262">
        <v>0</v>
      </c>
      <c r="AW1262" t="s">
        <v>66</v>
      </c>
      <c r="AX1262">
        <v>0</v>
      </c>
      <c r="AY1262" t="s">
        <v>66</v>
      </c>
      <c r="AZ1262">
        <v>0</v>
      </c>
      <c r="BA1262" t="s">
        <v>66</v>
      </c>
      <c r="BB1262">
        <v>0</v>
      </c>
      <c r="BC1262">
        <v>0</v>
      </c>
      <c r="BD1262">
        <v>283516.2</v>
      </c>
      <c r="BE1262">
        <v>18026.63</v>
      </c>
      <c r="BF1262">
        <v>0</v>
      </c>
      <c r="BG1262" t="s">
        <v>87</v>
      </c>
      <c r="BH1262" t="s">
        <v>66</v>
      </c>
      <c r="BI1262">
        <v>0</v>
      </c>
      <c r="BJ1262" t="s">
        <v>66</v>
      </c>
      <c r="BK1262" t="s">
        <v>88</v>
      </c>
      <c r="BL1262" t="s">
        <v>66</v>
      </c>
      <c r="BM1262" t="s">
        <v>159</v>
      </c>
    </row>
    <row r="1263" spans="1:65" x14ac:dyDescent="0.25">
      <c r="A1263">
        <v>1261</v>
      </c>
      <c r="B1263" t="s">
        <v>1500</v>
      </c>
      <c r="C1263" t="s">
        <v>68</v>
      </c>
      <c r="D1263" s="1">
        <v>46218</v>
      </c>
      <c r="E1263" t="s">
        <v>1501</v>
      </c>
      <c r="F1263" t="s">
        <v>68</v>
      </c>
      <c r="G1263" t="s">
        <v>295</v>
      </c>
      <c r="H1263" t="s">
        <v>296</v>
      </c>
      <c r="I1263" t="s">
        <v>71</v>
      </c>
      <c r="J1263" t="s">
        <v>72</v>
      </c>
      <c r="K1263" t="s">
        <v>73</v>
      </c>
      <c r="L1263" t="s">
        <v>74</v>
      </c>
      <c r="M1263" t="s">
        <v>503</v>
      </c>
      <c r="N1263" t="s">
        <v>111</v>
      </c>
      <c r="O1263" t="s">
        <v>504</v>
      </c>
      <c r="P1263" t="s">
        <v>505</v>
      </c>
      <c r="Q1263" t="s">
        <v>1502</v>
      </c>
      <c r="R1263" s="1">
        <v>46219</v>
      </c>
      <c r="S1263" t="s">
        <v>507</v>
      </c>
      <c r="T1263" t="s">
        <v>508</v>
      </c>
      <c r="U1263" t="s">
        <v>509</v>
      </c>
      <c r="V1263" t="s">
        <v>66</v>
      </c>
      <c r="W1263" t="s">
        <v>66</v>
      </c>
      <c r="X1263">
        <v>3146814</v>
      </c>
      <c r="Y1263">
        <v>346149.54</v>
      </c>
      <c r="Z1263">
        <v>417384</v>
      </c>
      <c r="AA1263">
        <v>45912.24</v>
      </c>
      <c r="AB1263">
        <v>3492963.54</v>
      </c>
      <c r="AC1263">
        <v>1</v>
      </c>
      <c r="AD1263" t="s">
        <v>134</v>
      </c>
      <c r="AE1263">
        <v>4</v>
      </c>
      <c r="AF1263" t="s">
        <v>1192</v>
      </c>
      <c r="AG1263">
        <f>IFERROR(VLOOKUP(AF1263,[1]STOK!J:O,6,0),"")</f>
        <v>4</v>
      </c>
      <c r="AH1263" s="2">
        <f t="shared" si="38"/>
        <v>1</v>
      </c>
      <c r="AI1263" t="s">
        <v>1192</v>
      </c>
      <c r="AJ1263" t="s">
        <v>1193</v>
      </c>
      <c r="AK1263" t="s">
        <v>1194</v>
      </c>
      <c r="AL1263" t="s">
        <v>86</v>
      </c>
      <c r="AM1263">
        <v>467976</v>
      </c>
      <c r="AN1263">
        <f t="shared" si="39"/>
        <v>463296.24</v>
      </c>
      <c r="AO1263" t="s">
        <v>66</v>
      </c>
      <c r="AP1263">
        <v>1</v>
      </c>
      <c r="AQ1263" t="s">
        <v>66</v>
      </c>
      <c r="AR1263">
        <v>0</v>
      </c>
      <c r="AS1263" t="s">
        <v>66</v>
      </c>
      <c r="AT1263">
        <v>0</v>
      </c>
      <c r="AU1263" t="s">
        <v>66</v>
      </c>
      <c r="AV1263">
        <v>0</v>
      </c>
      <c r="AW1263" t="s">
        <v>66</v>
      </c>
      <c r="AX1263">
        <v>0</v>
      </c>
      <c r="AY1263" t="s">
        <v>66</v>
      </c>
      <c r="AZ1263">
        <v>0</v>
      </c>
      <c r="BA1263" t="s">
        <v>66</v>
      </c>
      <c r="BB1263">
        <v>0</v>
      </c>
      <c r="BC1263">
        <v>0</v>
      </c>
      <c r="BD1263">
        <v>463296.24</v>
      </c>
      <c r="BE1263">
        <v>87348.37</v>
      </c>
      <c r="BF1263">
        <v>0</v>
      </c>
      <c r="BG1263" t="s">
        <v>87</v>
      </c>
      <c r="BH1263" t="s">
        <v>66</v>
      </c>
      <c r="BI1263">
        <v>0</v>
      </c>
      <c r="BJ1263" t="s">
        <v>66</v>
      </c>
      <c r="BK1263" t="s">
        <v>88</v>
      </c>
      <c r="BL1263" t="s">
        <v>66</v>
      </c>
      <c r="BM1263" t="s">
        <v>159</v>
      </c>
    </row>
    <row r="1264" spans="1:65" x14ac:dyDescent="0.25">
      <c r="A1264">
        <v>1262</v>
      </c>
      <c r="B1264" t="s">
        <v>1500</v>
      </c>
      <c r="C1264" t="s">
        <v>68</v>
      </c>
      <c r="D1264" s="1">
        <v>46218</v>
      </c>
      <c r="E1264" t="s">
        <v>1501</v>
      </c>
      <c r="F1264" t="s">
        <v>68</v>
      </c>
      <c r="G1264" t="s">
        <v>295</v>
      </c>
      <c r="H1264" t="s">
        <v>296</v>
      </c>
      <c r="I1264" t="s">
        <v>71</v>
      </c>
      <c r="J1264" t="s">
        <v>72</v>
      </c>
      <c r="K1264" t="s">
        <v>73</v>
      </c>
      <c r="L1264" t="s">
        <v>74</v>
      </c>
      <c r="M1264" t="s">
        <v>503</v>
      </c>
      <c r="N1264" t="s">
        <v>111</v>
      </c>
      <c r="O1264" t="s">
        <v>504</v>
      </c>
      <c r="P1264" t="s">
        <v>505</v>
      </c>
      <c r="Q1264" t="s">
        <v>1502</v>
      </c>
      <c r="R1264" s="1">
        <v>46219</v>
      </c>
      <c r="S1264" t="s">
        <v>507</v>
      </c>
      <c r="T1264" t="s">
        <v>508</v>
      </c>
      <c r="U1264" t="s">
        <v>509</v>
      </c>
      <c r="V1264" t="s">
        <v>66</v>
      </c>
      <c r="W1264" t="s">
        <v>66</v>
      </c>
      <c r="X1264">
        <v>3146814</v>
      </c>
      <c r="Y1264">
        <v>346149.54</v>
      </c>
      <c r="Z1264">
        <v>342144</v>
      </c>
      <c r="AA1264">
        <v>37635.839999999997</v>
      </c>
      <c r="AB1264">
        <v>3492963.54</v>
      </c>
      <c r="AC1264">
        <v>2</v>
      </c>
      <c r="AD1264" t="s">
        <v>134</v>
      </c>
      <c r="AE1264">
        <v>24</v>
      </c>
      <c r="AF1264" t="s">
        <v>141</v>
      </c>
      <c r="AG1264">
        <f>IFERROR(VLOOKUP(AF1264,[1]STOK!J:O,6,0),"")</f>
        <v>12</v>
      </c>
      <c r="AH1264" s="2">
        <f t="shared" si="38"/>
        <v>2</v>
      </c>
      <c r="AI1264" t="s">
        <v>141</v>
      </c>
      <c r="AJ1264" t="s">
        <v>142</v>
      </c>
      <c r="AK1264" t="s">
        <v>143</v>
      </c>
      <c r="AL1264" t="s">
        <v>86</v>
      </c>
      <c r="AM1264">
        <v>191808</v>
      </c>
      <c r="AN1264">
        <f t="shared" si="39"/>
        <v>189889.92000000001</v>
      </c>
      <c r="AO1264" t="s">
        <v>66</v>
      </c>
      <c r="AP1264">
        <v>1</v>
      </c>
      <c r="AQ1264" t="s">
        <v>66</v>
      </c>
      <c r="AR1264">
        <v>0</v>
      </c>
      <c r="AS1264" t="s">
        <v>66</v>
      </c>
      <c r="AT1264">
        <v>0</v>
      </c>
      <c r="AU1264" t="s">
        <v>66</v>
      </c>
      <c r="AV1264">
        <v>0</v>
      </c>
      <c r="AW1264" t="s">
        <v>66</v>
      </c>
      <c r="AX1264">
        <v>0</v>
      </c>
      <c r="AY1264" t="s">
        <v>66</v>
      </c>
      <c r="AZ1264">
        <v>0</v>
      </c>
      <c r="BA1264" t="s">
        <v>66</v>
      </c>
      <c r="BB1264">
        <v>0</v>
      </c>
      <c r="BC1264">
        <v>0</v>
      </c>
      <c r="BD1264">
        <v>379779.84000000003</v>
      </c>
      <c r="BE1264">
        <v>12915.05</v>
      </c>
      <c r="BF1264">
        <v>0</v>
      </c>
      <c r="BG1264" t="s">
        <v>87</v>
      </c>
      <c r="BH1264" t="s">
        <v>66</v>
      </c>
      <c r="BI1264">
        <v>0</v>
      </c>
      <c r="BJ1264" t="s">
        <v>66</v>
      </c>
      <c r="BK1264" t="s">
        <v>88</v>
      </c>
      <c r="BL1264" t="s">
        <v>66</v>
      </c>
      <c r="BM1264" t="s">
        <v>159</v>
      </c>
    </row>
    <row r="1265" spans="1:65" x14ac:dyDescent="0.25">
      <c r="A1265">
        <v>1263</v>
      </c>
      <c r="B1265" t="s">
        <v>1500</v>
      </c>
      <c r="C1265" t="s">
        <v>68</v>
      </c>
      <c r="D1265" s="1">
        <v>46218</v>
      </c>
      <c r="E1265" t="s">
        <v>1501</v>
      </c>
      <c r="F1265" t="s">
        <v>68</v>
      </c>
      <c r="G1265" t="s">
        <v>295</v>
      </c>
      <c r="H1265" t="s">
        <v>296</v>
      </c>
      <c r="I1265" t="s">
        <v>71</v>
      </c>
      <c r="J1265" t="s">
        <v>72</v>
      </c>
      <c r="K1265" t="s">
        <v>73</v>
      </c>
      <c r="L1265" t="s">
        <v>74</v>
      </c>
      <c r="M1265" t="s">
        <v>503</v>
      </c>
      <c r="N1265" t="s">
        <v>111</v>
      </c>
      <c r="O1265" t="s">
        <v>504</v>
      </c>
      <c r="P1265" t="s">
        <v>505</v>
      </c>
      <c r="Q1265" t="s">
        <v>1502</v>
      </c>
      <c r="R1265" s="1">
        <v>46219</v>
      </c>
      <c r="S1265" t="s">
        <v>507</v>
      </c>
      <c r="T1265" t="s">
        <v>508</v>
      </c>
      <c r="U1265" t="s">
        <v>509</v>
      </c>
      <c r="V1265" t="s">
        <v>66</v>
      </c>
      <c r="W1265" t="s">
        <v>66</v>
      </c>
      <c r="X1265">
        <v>3146814</v>
      </c>
      <c r="Y1265">
        <v>346149.54</v>
      </c>
      <c r="Z1265">
        <v>342144</v>
      </c>
      <c r="AA1265">
        <v>37635.839999999997</v>
      </c>
      <c r="AB1265">
        <v>3492963.54</v>
      </c>
      <c r="AC1265">
        <v>2</v>
      </c>
      <c r="AD1265" t="s">
        <v>134</v>
      </c>
      <c r="AE1265">
        <v>24</v>
      </c>
      <c r="AF1265" t="s">
        <v>213</v>
      </c>
      <c r="AG1265">
        <f>IFERROR(VLOOKUP(AF1265,[1]STOK!J:O,6,0),"")</f>
        <v>12</v>
      </c>
      <c r="AH1265" s="2">
        <f t="shared" si="38"/>
        <v>2</v>
      </c>
      <c r="AI1265" t="s">
        <v>213</v>
      </c>
      <c r="AJ1265" t="s">
        <v>214</v>
      </c>
      <c r="AK1265" t="s">
        <v>215</v>
      </c>
      <c r="AL1265" t="s">
        <v>86</v>
      </c>
      <c r="AM1265">
        <v>191808</v>
      </c>
      <c r="AN1265">
        <f t="shared" si="39"/>
        <v>189889.92000000001</v>
      </c>
      <c r="AO1265" t="s">
        <v>66</v>
      </c>
      <c r="AP1265">
        <v>1</v>
      </c>
      <c r="AQ1265" t="s">
        <v>66</v>
      </c>
      <c r="AR1265">
        <v>0</v>
      </c>
      <c r="AS1265" t="s">
        <v>66</v>
      </c>
      <c r="AT1265">
        <v>0</v>
      </c>
      <c r="AU1265" t="s">
        <v>66</v>
      </c>
      <c r="AV1265">
        <v>0</v>
      </c>
      <c r="AW1265" t="s">
        <v>66</v>
      </c>
      <c r="AX1265">
        <v>0</v>
      </c>
      <c r="AY1265" t="s">
        <v>66</v>
      </c>
      <c r="AZ1265">
        <v>0</v>
      </c>
      <c r="BA1265" t="s">
        <v>66</v>
      </c>
      <c r="BB1265">
        <v>0</v>
      </c>
      <c r="BC1265">
        <v>0</v>
      </c>
      <c r="BD1265">
        <v>379779.84000000003</v>
      </c>
      <c r="BE1265">
        <v>12609.82</v>
      </c>
      <c r="BF1265">
        <v>0</v>
      </c>
      <c r="BG1265" t="s">
        <v>87</v>
      </c>
      <c r="BH1265" t="s">
        <v>66</v>
      </c>
      <c r="BI1265">
        <v>0</v>
      </c>
      <c r="BJ1265" t="s">
        <v>66</v>
      </c>
      <c r="BK1265" t="s">
        <v>88</v>
      </c>
      <c r="BL1265" t="s">
        <v>66</v>
      </c>
      <c r="BM1265" t="s">
        <v>159</v>
      </c>
    </row>
    <row r="1266" spans="1:65" x14ac:dyDescent="0.25">
      <c r="A1266">
        <v>1264</v>
      </c>
      <c r="B1266" t="s">
        <v>1503</v>
      </c>
      <c r="C1266" t="s">
        <v>68</v>
      </c>
      <c r="D1266" s="1">
        <v>46218</v>
      </c>
      <c r="E1266" t="s">
        <v>1504</v>
      </c>
      <c r="F1266" t="s">
        <v>68</v>
      </c>
      <c r="G1266" t="s">
        <v>295</v>
      </c>
      <c r="H1266" t="s">
        <v>296</v>
      </c>
      <c r="I1266" t="s">
        <v>71</v>
      </c>
      <c r="J1266" t="s">
        <v>72</v>
      </c>
      <c r="K1266" t="s">
        <v>73</v>
      </c>
      <c r="L1266" t="s">
        <v>74</v>
      </c>
      <c r="M1266" t="s">
        <v>503</v>
      </c>
      <c r="N1266" t="s">
        <v>111</v>
      </c>
      <c r="O1266" t="s">
        <v>504</v>
      </c>
      <c r="P1266" t="s">
        <v>505</v>
      </c>
      <c r="Q1266" t="s">
        <v>1505</v>
      </c>
      <c r="R1266" s="1">
        <v>46219</v>
      </c>
      <c r="S1266" t="s">
        <v>507</v>
      </c>
      <c r="T1266" t="s">
        <v>508</v>
      </c>
      <c r="U1266" t="s">
        <v>509</v>
      </c>
      <c r="V1266" t="s">
        <v>66</v>
      </c>
      <c r="W1266" t="s">
        <v>66</v>
      </c>
      <c r="X1266">
        <v>3219480</v>
      </c>
      <c r="Y1266">
        <v>354142.8</v>
      </c>
      <c r="Z1266">
        <v>254232</v>
      </c>
      <c r="AA1266">
        <v>27965.52</v>
      </c>
      <c r="AB1266">
        <v>3573622.8</v>
      </c>
      <c r="AC1266">
        <v>2</v>
      </c>
      <c r="AD1266" t="s">
        <v>134</v>
      </c>
      <c r="AE1266">
        <v>24</v>
      </c>
      <c r="AF1266" t="s">
        <v>418</v>
      </c>
      <c r="AG1266">
        <f>IFERROR(VLOOKUP(AF1266,[1]STOK!J:O,6,0),"")</f>
        <v>12</v>
      </c>
      <c r="AH1266" s="2">
        <f t="shared" si="38"/>
        <v>2</v>
      </c>
      <c r="AI1266" t="s">
        <v>418</v>
      </c>
      <c r="AJ1266" t="s">
        <v>419</v>
      </c>
      <c r="AK1266" t="s">
        <v>420</v>
      </c>
      <c r="AL1266" t="s">
        <v>86</v>
      </c>
      <c r="AM1266">
        <v>142524</v>
      </c>
      <c r="AN1266">
        <f t="shared" si="39"/>
        <v>141098.76</v>
      </c>
      <c r="AO1266" t="s">
        <v>66</v>
      </c>
      <c r="AP1266">
        <v>1</v>
      </c>
      <c r="AQ1266" t="s">
        <v>66</v>
      </c>
      <c r="AR1266">
        <v>0</v>
      </c>
      <c r="AS1266" t="s">
        <v>66</v>
      </c>
      <c r="AT1266">
        <v>0</v>
      </c>
      <c r="AU1266" t="s">
        <v>66</v>
      </c>
      <c r="AV1266">
        <v>0</v>
      </c>
      <c r="AW1266" t="s">
        <v>66</v>
      </c>
      <c r="AX1266">
        <v>0</v>
      </c>
      <c r="AY1266" t="s">
        <v>66</v>
      </c>
      <c r="AZ1266">
        <v>0</v>
      </c>
      <c r="BA1266" t="s">
        <v>66</v>
      </c>
      <c r="BB1266">
        <v>0</v>
      </c>
      <c r="BC1266">
        <v>0</v>
      </c>
      <c r="BD1266">
        <v>282197.52</v>
      </c>
      <c r="BE1266">
        <v>9247.7099999999991</v>
      </c>
      <c r="BF1266">
        <v>0</v>
      </c>
      <c r="BG1266" t="s">
        <v>87</v>
      </c>
      <c r="BH1266" t="s">
        <v>1506</v>
      </c>
      <c r="BI1266">
        <v>12</v>
      </c>
      <c r="BJ1266" t="s">
        <v>209</v>
      </c>
      <c r="BK1266" t="s">
        <v>88</v>
      </c>
      <c r="BL1266" t="s">
        <v>66</v>
      </c>
      <c r="BM1266" t="s">
        <v>159</v>
      </c>
    </row>
    <row r="1267" spans="1:65" x14ac:dyDescent="0.25">
      <c r="A1267">
        <v>1265</v>
      </c>
      <c r="B1267" t="s">
        <v>1503</v>
      </c>
      <c r="C1267" t="s">
        <v>68</v>
      </c>
      <c r="D1267" s="1">
        <v>46218</v>
      </c>
      <c r="E1267" t="s">
        <v>1504</v>
      </c>
      <c r="F1267" t="s">
        <v>68</v>
      </c>
      <c r="G1267" t="s">
        <v>295</v>
      </c>
      <c r="H1267" t="s">
        <v>296</v>
      </c>
      <c r="I1267" t="s">
        <v>71</v>
      </c>
      <c r="J1267" t="s">
        <v>72</v>
      </c>
      <c r="K1267" t="s">
        <v>73</v>
      </c>
      <c r="L1267" t="s">
        <v>74</v>
      </c>
      <c r="M1267" t="s">
        <v>503</v>
      </c>
      <c r="N1267" t="s">
        <v>111</v>
      </c>
      <c r="O1267" t="s">
        <v>504</v>
      </c>
      <c r="P1267" t="s">
        <v>505</v>
      </c>
      <c r="Q1267" t="s">
        <v>1505</v>
      </c>
      <c r="R1267" s="1">
        <v>46219</v>
      </c>
      <c r="S1267" t="s">
        <v>507</v>
      </c>
      <c r="T1267" t="s">
        <v>508</v>
      </c>
      <c r="U1267" t="s">
        <v>509</v>
      </c>
      <c r="V1267" t="s">
        <v>66</v>
      </c>
      <c r="W1267" t="s">
        <v>66</v>
      </c>
      <c r="X1267">
        <v>3219480</v>
      </c>
      <c r="Y1267">
        <v>354142.8</v>
      </c>
      <c r="Z1267">
        <v>254232</v>
      </c>
      <c r="AA1267">
        <v>27965.52</v>
      </c>
      <c r="AB1267">
        <v>3573622.8</v>
      </c>
      <c r="AC1267">
        <v>2</v>
      </c>
      <c r="AD1267" t="s">
        <v>134</v>
      </c>
      <c r="AE1267">
        <v>24</v>
      </c>
      <c r="AF1267" t="s">
        <v>578</v>
      </c>
      <c r="AG1267">
        <f>IFERROR(VLOOKUP(AF1267,[1]STOK!J:O,6,0),"")</f>
        <v>12</v>
      </c>
      <c r="AH1267" s="2">
        <f t="shared" si="38"/>
        <v>2</v>
      </c>
      <c r="AI1267" t="s">
        <v>578</v>
      </c>
      <c r="AJ1267" t="s">
        <v>579</v>
      </c>
      <c r="AK1267" t="s">
        <v>580</v>
      </c>
      <c r="AL1267" t="s">
        <v>86</v>
      </c>
      <c r="AM1267">
        <v>142524</v>
      </c>
      <c r="AN1267">
        <f t="shared" si="39"/>
        <v>141098.76</v>
      </c>
      <c r="AO1267" t="s">
        <v>66</v>
      </c>
      <c r="AP1267">
        <v>1</v>
      </c>
      <c r="AQ1267" t="s">
        <v>66</v>
      </c>
      <c r="AR1267">
        <v>0</v>
      </c>
      <c r="AS1267" t="s">
        <v>66</v>
      </c>
      <c r="AT1267">
        <v>0</v>
      </c>
      <c r="AU1267" t="s">
        <v>66</v>
      </c>
      <c r="AV1267">
        <v>0</v>
      </c>
      <c r="AW1267" t="s">
        <v>66</v>
      </c>
      <c r="AX1267">
        <v>0</v>
      </c>
      <c r="AY1267" t="s">
        <v>66</v>
      </c>
      <c r="AZ1267">
        <v>0</v>
      </c>
      <c r="BA1267" t="s">
        <v>66</v>
      </c>
      <c r="BB1267">
        <v>0</v>
      </c>
      <c r="BC1267">
        <v>0</v>
      </c>
      <c r="BD1267">
        <v>282197.52</v>
      </c>
      <c r="BE1267">
        <v>9532.17</v>
      </c>
      <c r="BF1267">
        <v>0</v>
      </c>
      <c r="BG1267" t="s">
        <v>87</v>
      </c>
      <c r="BH1267" t="s">
        <v>66</v>
      </c>
      <c r="BI1267">
        <v>0</v>
      </c>
      <c r="BJ1267" t="s">
        <v>66</v>
      </c>
      <c r="BK1267" t="s">
        <v>88</v>
      </c>
      <c r="BL1267" t="s">
        <v>66</v>
      </c>
      <c r="BM1267" t="s">
        <v>159</v>
      </c>
    </row>
    <row r="1268" spans="1:65" x14ac:dyDescent="0.25">
      <c r="A1268">
        <v>1266</v>
      </c>
      <c r="B1268" t="s">
        <v>1503</v>
      </c>
      <c r="C1268" t="s">
        <v>68</v>
      </c>
      <c r="D1268" s="1">
        <v>46218</v>
      </c>
      <c r="E1268" t="s">
        <v>1504</v>
      </c>
      <c r="F1268" t="s">
        <v>68</v>
      </c>
      <c r="G1268" t="s">
        <v>295</v>
      </c>
      <c r="H1268" t="s">
        <v>296</v>
      </c>
      <c r="I1268" t="s">
        <v>71</v>
      </c>
      <c r="J1268" t="s">
        <v>72</v>
      </c>
      <c r="K1268" t="s">
        <v>73</v>
      </c>
      <c r="L1268" t="s">
        <v>74</v>
      </c>
      <c r="M1268" t="s">
        <v>503</v>
      </c>
      <c r="N1268" t="s">
        <v>111</v>
      </c>
      <c r="O1268" t="s">
        <v>504</v>
      </c>
      <c r="P1268" t="s">
        <v>505</v>
      </c>
      <c r="Q1268" t="s">
        <v>1505</v>
      </c>
      <c r="R1268" s="1">
        <v>46219</v>
      </c>
      <c r="S1268" t="s">
        <v>507</v>
      </c>
      <c r="T1268" t="s">
        <v>508</v>
      </c>
      <c r="U1268" t="s">
        <v>509</v>
      </c>
      <c r="V1268" t="s">
        <v>66</v>
      </c>
      <c r="W1268" t="s">
        <v>66</v>
      </c>
      <c r="X1268">
        <v>3219480</v>
      </c>
      <c r="Y1268">
        <v>354142.8</v>
      </c>
      <c r="Z1268">
        <v>168102</v>
      </c>
      <c r="AA1268">
        <v>18491.22</v>
      </c>
      <c r="AB1268">
        <v>3573622.8</v>
      </c>
      <c r="AC1268">
        <v>1</v>
      </c>
      <c r="AD1268" t="s">
        <v>134</v>
      </c>
      <c r="AE1268">
        <v>6</v>
      </c>
      <c r="AF1268" t="s">
        <v>510</v>
      </c>
      <c r="AG1268">
        <f>IFERROR(VLOOKUP(AF1268,[1]STOK!J:O,6,0),"")</f>
        <v>6</v>
      </c>
      <c r="AH1268" s="2">
        <f t="shared" si="38"/>
        <v>1</v>
      </c>
      <c r="AI1268" t="s">
        <v>510</v>
      </c>
      <c r="AJ1268" t="s">
        <v>511</v>
      </c>
      <c r="AK1268" t="s">
        <v>512</v>
      </c>
      <c r="AL1268" t="s">
        <v>86</v>
      </c>
      <c r="AM1268">
        <v>188478</v>
      </c>
      <c r="AN1268">
        <f t="shared" si="39"/>
        <v>186593.22</v>
      </c>
      <c r="AO1268" t="s">
        <v>66</v>
      </c>
      <c r="AP1268">
        <v>1</v>
      </c>
      <c r="AQ1268" t="s">
        <v>66</v>
      </c>
      <c r="AR1268">
        <v>0</v>
      </c>
      <c r="AS1268" t="s">
        <v>66</v>
      </c>
      <c r="AT1268">
        <v>0</v>
      </c>
      <c r="AU1268" t="s">
        <v>66</v>
      </c>
      <c r="AV1268">
        <v>0</v>
      </c>
      <c r="AW1268" t="s">
        <v>66</v>
      </c>
      <c r="AX1268">
        <v>0</v>
      </c>
      <c r="AY1268" t="s">
        <v>66</v>
      </c>
      <c r="AZ1268">
        <v>0</v>
      </c>
      <c r="BA1268" t="s">
        <v>66</v>
      </c>
      <c r="BB1268">
        <v>0</v>
      </c>
      <c r="BC1268">
        <v>0</v>
      </c>
      <c r="BD1268">
        <v>186593.22</v>
      </c>
      <c r="BE1268">
        <v>23710.400000000001</v>
      </c>
      <c r="BF1268">
        <v>0</v>
      </c>
      <c r="BG1268" t="s">
        <v>87</v>
      </c>
      <c r="BH1268" t="s">
        <v>66</v>
      </c>
      <c r="BI1268">
        <v>0</v>
      </c>
      <c r="BJ1268" t="s">
        <v>66</v>
      </c>
      <c r="BK1268" t="s">
        <v>88</v>
      </c>
      <c r="BL1268" t="s">
        <v>66</v>
      </c>
      <c r="BM1268" t="s">
        <v>159</v>
      </c>
    </row>
    <row r="1269" spans="1:65" x14ac:dyDescent="0.25">
      <c r="A1269">
        <v>1267</v>
      </c>
      <c r="B1269" t="s">
        <v>1503</v>
      </c>
      <c r="C1269" t="s">
        <v>68</v>
      </c>
      <c r="D1269" s="1">
        <v>46218</v>
      </c>
      <c r="E1269" t="s">
        <v>1504</v>
      </c>
      <c r="F1269" t="s">
        <v>68</v>
      </c>
      <c r="G1269" t="s">
        <v>295</v>
      </c>
      <c r="H1269" t="s">
        <v>296</v>
      </c>
      <c r="I1269" t="s">
        <v>71</v>
      </c>
      <c r="J1269" t="s">
        <v>72</v>
      </c>
      <c r="K1269" t="s">
        <v>73</v>
      </c>
      <c r="L1269" t="s">
        <v>74</v>
      </c>
      <c r="M1269" t="s">
        <v>503</v>
      </c>
      <c r="N1269" t="s">
        <v>111</v>
      </c>
      <c r="O1269" t="s">
        <v>504</v>
      </c>
      <c r="P1269" t="s">
        <v>505</v>
      </c>
      <c r="Q1269" t="s">
        <v>1505</v>
      </c>
      <c r="R1269" s="1">
        <v>46219</v>
      </c>
      <c r="S1269" t="s">
        <v>507</v>
      </c>
      <c r="T1269" t="s">
        <v>508</v>
      </c>
      <c r="U1269" t="s">
        <v>509</v>
      </c>
      <c r="V1269" t="s">
        <v>66</v>
      </c>
      <c r="W1269" t="s">
        <v>66</v>
      </c>
      <c r="X1269">
        <v>3219480</v>
      </c>
      <c r="Y1269">
        <v>354142.8</v>
      </c>
      <c r="Z1269">
        <v>158004</v>
      </c>
      <c r="AA1269">
        <v>17380.439999999999</v>
      </c>
      <c r="AB1269">
        <v>3573622.8</v>
      </c>
      <c r="AC1269">
        <v>1</v>
      </c>
      <c r="AD1269" t="s">
        <v>134</v>
      </c>
      <c r="AE1269">
        <v>12</v>
      </c>
      <c r="AF1269" t="s">
        <v>210</v>
      </c>
      <c r="AG1269">
        <f>IFERROR(VLOOKUP(AF1269,[1]STOK!J:O,6,0),"")</f>
        <v>12</v>
      </c>
      <c r="AH1269" s="2">
        <f t="shared" si="38"/>
        <v>1</v>
      </c>
      <c r="AI1269" t="s">
        <v>210</v>
      </c>
      <c r="AJ1269" t="s">
        <v>211</v>
      </c>
      <c r="AK1269" t="s">
        <v>212</v>
      </c>
      <c r="AL1269" t="s">
        <v>86</v>
      </c>
      <c r="AM1269">
        <v>177156</v>
      </c>
      <c r="AN1269">
        <f t="shared" si="39"/>
        <v>175384.44</v>
      </c>
      <c r="AO1269" t="s">
        <v>66</v>
      </c>
      <c r="AP1269">
        <v>1</v>
      </c>
      <c r="AQ1269" t="s">
        <v>66</v>
      </c>
      <c r="AR1269">
        <v>0</v>
      </c>
      <c r="AS1269" t="s">
        <v>66</v>
      </c>
      <c r="AT1269">
        <v>0</v>
      </c>
      <c r="AU1269" t="s">
        <v>66</v>
      </c>
      <c r="AV1269">
        <v>0</v>
      </c>
      <c r="AW1269" t="s">
        <v>66</v>
      </c>
      <c r="AX1269">
        <v>0</v>
      </c>
      <c r="AY1269" t="s">
        <v>66</v>
      </c>
      <c r="AZ1269">
        <v>0</v>
      </c>
      <c r="BA1269" t="s">
        <v>66</v>
      </c>
      <c r="BB1269">
        <v>0</v>
      </c>
      <c r="BC1269">
        <v>0</v>
      </c>
      <c r="BD1269">
        <v>175384.44</v>
      </c>
      <c r="BE1269">
        <v>11818.77</v>
      </c>
      <c r="BF1269">
        <v>0</v>
      </c>
      <c r="BG1269" t="s">
        <v>87</v>
      </c>
      <c r="BH1269" t="s">
        <v>66</v>
      </c>
      <c r="BI1269">
        <v>0</v>
      </c>
      <c r="BJ1269" t="s">
        <v>66</v>
      </c>
      <c r="BK1269" t="s">
        <v>88</v>
      </c>
      <c r="BL1269" t="s">
        <v>66</v>
      </c>
      <c r="BM1269" t="s">
        <v>159</v>
      </c>
    </row>
    <row r="1270" spans="1:65" x14ac:dyDescent="0.25">
      <c r="A1270">
        <v>1268</v>
      </c>
      <c r="B1270" t="s">
        <v>1503</v>
      </c>
      <c r="C1270" t="s">
        <v>68</v>
      </c>
      <c r="D1270" s="1">
        <v>46218</v>
      </c>
      <c r="E1270" t="s">
        <v>1504</v>
      </c>
      <c r="F1270" t="s">
        <v>68</v>
      </c>
      <c r="G1270" t="s">
        <v>295</v>
      </c>
      <c r="H1270" t="s">
        <v>296</v>
      </c>
      <c r="I1270" t="s">
        <v>71</v>
      </c>
      <c r="J1270" t="s">
        <v>72</v>
      </c>
      <c r="K1270" t="s">
        <v>73</v>
      </c>
      <c r="L1270" t="s">
        <v>74</v>
      </c>
      <c r="M1270" t="s">
        <v>503</v>
      </c>
      <c r="N1270" t="s">
        <v>111</v>
      </c>
      <c r="O1270" t="s">
        <v>504</v>
      </c>
      <c r="P1270" t="s">
        <v>505</v>
      </c>
      <c r="Q1270" t="s">
        <v>1505</v>
      </c>
      <c r="R1270" s="1">
        <v>46219</v>
      </c>
      <c r="S1270" t="s">
        <v>507</v>
      </c>
      <c r="T1270" t="s">
        <v>508</v>
      </c>
      <c r="U1270" t="s">
        <v>509</v>
      </c>
      <c r="V1270" t="s">
        <v>66</v>
      </c>
      <c r="W1270" t="s">
        <v>66</v>
      </c>
      <c r="X1270">
        <v>3219480</v>
      </c>
      <c r="Y1270">
        <v>354142.8</v>
      </c>
      <c r="Z1270">
        <v>712800</v>
      </c>
      <c r="AA1270">
        <v>78408</v>
      </c>
      <c r="AB1270">
        <v>3573622.8</v>
      </c>
      <c r="AC1270">
        <v>3</v>
      </c>
      <c r="AD1270" t="s">
        <v>134</v>
      </c>
      <c r="AE1270">
        <v>36</v>
      </c>
      <c r="AF1270" t="s">
        <v>290</v>
      </c>
      <c r="AG1270">
        <f>IFERROR(VLOOKUP(AF1270,[1]STOK!J:O,6,0),"")</f>
        <v>12</v>
      </c>
      <c r="AH1270" s="2">
        <f t="shared" si="38"/>
        <v>3</v>
      </c>
      <c r="AI1270" t="s">
        <v>290</v>
      </c>
      <c r="AJ1270" t="s">
        <v>291</v>
      </c>
      <c r="AK1270" t="s">
        <v>292</v>
      </c>
      <c r="AL1270" t="s">
        <v>86</v>
      </c>
      <c r="AM1270">
        <v>266400</v>
      </c>
      <c r="AN1270">
        <f t="shared" si="39"/>
        <v>263736</v>
      </c>
      <c r="AO1270" t="s">
        <v>66</v>
      </c>
      <c r="AP1270">
        <v>1</v>
      </c>
      <c r="AQ1270" t="s">
        <v>66</v>
      </c>
      <c r="AR1270">
        <v>0</v>
      </c>
      <c r="AS1270" t="s">
        <v>66</v>
      </c>
      <c r="AT1270">
        <v>0</v>
      </c>
      <c r="AU1270" t="s">
        <v>66</v>
      </c>
      <c r="AV1270">
        <v>0</v>
      </c>
      <c r="AW1270" t="s">
        <v>66</v>
      </c>
      <c r="AX1270">
        <v>0</v>
      </c>
      <c r="AY1270" t="s">
        <v>66</v>
      </c>
      <c r="AZ1270">
        <v>0</v>
      </c>
      <c r="BA1270" t="s">
        <v>66</v>
      </c>
      <c r="BB1270">
        <v>0</v>
      </c>
      <c r="BC1270">
        <v>0</v>
      </c>
      <c r="BD1270">
        <v>791208</v>
      </c>
      <c r="BE1270">
        <v>18155.62</v>
      </c>
      <c r="BF1270">
        <v>0</v>
      </c>
      <c r="BG1270" t="s">
        <v>87</v>
      </c>
      <c r="BH1270" t="s">
        <v>66</v>
      </c>
      <c r="BI1270">
        <v>0</v>
      </c>
      <c r="BJ1270" t="s">
        <v>66</v>
      </c>
      <c r="BK1270" t="s">
        <v>88</v>
      </c>
      <c r="BL1270" t="s">
        <v>66</v>
      </c>
      <c r="BM1270" t="s">
        <v>159</v>
      </c>
    </row>
    <row r="1271" spans="1:65" x14ac:dyDescent="0.25">
      <c r="A1271">
        <v>1269</v>
      </c>
      <c r="B1271" t="s">
        <v>1503</v>
      </c>
      <c r="C1271" t="s">
        <v>68</v>
      </c>
      <c r="D1271" s="1">
        <v>46218</v>
      </c>
      <c r="E1271" t="s">
        <v>1504</v>
      </c>
      <c r="F1271" t="s">
        <v>68</v>
      </c>
      <c r="G1271" t="s">
        <v>295</v>
      </c>
      <c r="H1271" t="s">
        <v>296</v>
      </c>
      <c r="I1271" t="s">
        <v>71</v>
      </c>
      <c r="J1271" t="s">
        <v>72</v>
      </c>
      <c r="K1271" t="s">
        <v>73</v>
      </c>
      <c r="L1271" t="s">
        <v>74</v>
      </c>
      <c r="M1271" t="s">
        <v>503</v>
      </c>
      <c r="N1271" t="s">
        <v>111</v>
      </c>
      <c r="O1271" t="s">
        <v>504</v>
      </c>
      <c r="P1271" t="s">
        <v>505</v>
      </c>
      <c r="Q1271" t="s">
        <v>1505</v>
      </c>
      <c r="R1271" s="1">
        <v>46219</v>
      </c>
      <c r="S1271" t="s">
        <v>507</v>
      </c>
      <c r="T1271" t="s">
        <v>508</v>
      </c>
      <c r="U1271" t="s">
        <v>509</v>
      </c>
      <c r="V1271" t="s">
        <v>66</v>
      </c>
      <c r="W1271" t="s">
        <v>66</v>
      </c>
      <c r="X1271">
        <v>3219480</v>
      </c>
      <c r="Y1271">
        <v>354142.8</v>
      </c>
      <c r="Z1271">
        <v>682506</v>
      </c>
      <c r="AA1271">
        <v>75075.66</v>
      </c>
      <c r="AB1271">
        <v>3573622.8</v>
      </c>
      <c r="AC1271">
        <v>3</v>
      </c>
      <c r="AD1271" t="s">
        <v>134</v>
      </c>
      <c r="AE1271">
        <v>18</v>
      </c>
      <c r="AF1271" t="s">
        <v>138</v>
      </c>
      <c r="AG1271">
        <f>IFERROR(VLOOKUP(AF1271,[1]STOK!J:O,6,0),"")</f>
        <v>6</v>
      </c>
      <c r="AH1271" s="2">
        <f t="shared" si="38"/>
        <v>3</v>
      </c>
      <c r="AI1271" t="s">
        <v>138</v>
      </c>
      <c r="AJ1271" t="s">
        <v>139</v>
      </c>
      <c r="AK1271" t="s">
        <v>140</v>
      </c>
      <c r="AL1271" t="s">
        <v>86</v>
      </c>
      <c r="AM1271">
        <v>255078</v>
      </c>
      <c r="AN1271">
        <f t="shared" si="39"/>
        <v>252527.22</v>
      </c>
      <c r="AO1271" t="s">
        <v>66</v>
      </c>
      <c r="AP1271">
        <v>1</v>
      </c>
      <c r="AQ1271" t="s">
        <v>66</v>
      </c>
      <c r="AR1271">
        <v>0</v>
      </c>
      <c r="AS1271" t="s">
        <v>66</v>
      </c>
      <c r="AT1271">
        <v>0</v>
      </c>
      <c r="AU1271" t="s">
        <v>66</v>
      </c>
      <c r="AV1271">
        <v>0</v>
      </c>
      <c r="AW1271" t="s">
        <v>66</v>
      </c>
      <c r="AX1271">
        <v>0</v>
      </c>
      <c r="AY1271" t="s">
        <v>66</v>
      </c>
      <c r="AZ1271">
        <v>0</v>
      </c>
      <c r="BA1271" t="s">
        <v>66</v>
      </c>
      <c r="BB1271">
        <v>0</v>
      </c>
      <c r="BC1271">
        <v>0</v>
      </c>
      <c r="BD1271">
        <v>757581.66</v>
      </c>
      <c r="BE1271">
        <v>34619.379999999997</v>
      </c>
      <c r="BF1271">
        <v>0</v>
      </c>
      <c r="BG1271" t="s">
        <v>87</v>
      </c>
      <c r="BH1271" t="s">
        <v>66</v>
      </c>
      <c r="BI1271">
        <v>0</v>
      </c>
      <c r="BJ1271" t="s">
        <v>66</v>
      </c>
      <c r="BK1271" t="s">
        <v>88</v>
      </c>
      <c r="BL1271" t="s">
        <v>66</v>
      </c>
      <c r="BM1271" t="s">
        <v>159</v>
      </c>
    </row>
    <row r="1272" spans="1:65" x14ac:dyDescent="0.25">
      <c r="A1272">
        <v>1270</v>
      </c>
      <c r="B1272" t="s">
        <v>1503</v>
      </c>
      <c r="C1272" t="s">
        <v>68</v>
      </c>
      <c r="D1272" s="1">
        <v>46218</v>
      </c>
      <c r="E1272" t="s">
        <v>1504</v>
      </c>
      <c r="F1272" t="s">
        <v>68</v>
      </c>
      <c r="G1272" t="s">
        <v>295</v>
      </c>
      <c r="H1272" t="s">
        <v>296</v>
      </c>
      <c r="I1272" t="s">
        <v>71</v>
      </c>
      <c r="J1272" t="s">
        <v>72</v>
      </c>
      <c r="K1272" t="s">
        <v>73</v>
      </c>
      <c r="L1272" t="s">
        <v>74</v>
      </c>
      <c r="M1272" t="s">
        <v>503</v>
      </c>
      <c r="N1272" t="s">
        <v>111</v>
      </c>
      <c r="O1272" t="s">
        <v>504</v>
      </c>
      <c r="P1272" t="s">
        <v>505</v>
      </c>
      <c r="Q1272" t="s">
        <v>1505</v>
      </c>
      <c r="R1272" s="1">
        <v>46219</v>
      </c>
      <c r="S1272" t="s">
        <v>507</v>
      </c>
      <c r="T1272" t="s">
        <v>508</v>
      </c>
      <c r="U1272" t="s">
        <v>509</v>
      </c>
      <c r="V1272" t="s">
        <v>66</v>
      </c>
      <c r="W1272" t="s">
        <v>66</v>
      </c>
      <c r="X1272">
        <v>3219480</v>
      </c>
      <c r="Y1272">
        <v>354142.8</v>
      </c>
      <c r="Z1272">
        <v>455004</v>
      </c>
      <c r="AA1272">
        <v>50050.44</v>
      </c>
      <c r="AB1272">
        <v>3573622.8</v>
      </c>
      <c r="AC1272">
        <v>2</v>
      </c>
      <c r="AD1272" t="s">
        <v>134</v>
      </c>
      <c r="AE1272">
        <v>12</v>
      </c>
      <c r="AF1272" t="s">
        <v>323</v>
      </c>
      <c r="AG1272">
        <f>IFERROR(VLOOKUP(AF1272,[1]STOK!J:O,6,0),"")</f>
        <v>6</v>
      </c>
      <c r="AH1272" s="2">
        <f t="shared" si="38"/>
        <v>2</v>
      </c>
      <c r="AI1272" t="s">
        <v>323</v>
      </c>
      <c r="AJ1272" t="s">
        <v>324</v>
      </c>
      <c r="AK1272" t="s">
        <v>325</v>
      </c>
      <c r="AL1272" t="s">
        <v>86</v>
      </c>
      <c r="AM1272">
        <v>255078</v>
      </c>
      <c r="AN1272">
        <f t="shared" si="39"/>
        <v>252527.22</v>
      </c>
      <c r="AO1272" t="s">
        <v>66</v>
      </c>
      <c r="AP1272">
        <v>1</v>
      </c>
      <c r="AQ1272" t="s">
        <v>66</v>
      </c>
      <c r="AR1272">
        <v>0</v>
      </c>
      <c r="AS1272" t="s">
        <v>66</v>
      </c>
      <c r="AT1272">
        <v>0</v>
      </c>
      <c r="AU1272" t="s">
        <v>66</v>
      </c>
      <c r="AV1272">
        <v>0</v>
      </c>
      <c r="AW1272" t="s">
        <v>66</v>
      </c>
      <c r="AX1272">
        <v>0</v>
      </c>
      <c r="AY1272" t="s">
        <v>66</v>
      </c>
      <c r="AZ1272">
        <v>0</v>
      </c>
      <c r="BA1272" t="s">
        <v>66</v>
      </c>
      <c r="BB1272">
        <v>0</v>
      </c>
      <c r="BC1272">
        <v>0</v>
      </c>
      <c r="BD1272">
        <v>505054.44</v>
      </c>
      <c r="BE1272">
        <v>33824.949999999997</v>
      </c>
      <c r="BF1272">
        <v>0</v>
      </c>
      <c r="BG1272" t="s">
        <v>87</v>
      </c>
      <c r="BH1272" t="s">
        <v>66</v>
      </c>
      <c r="BI1272">
        <v>0</v>
      </c>
      <c r="BJ1272" t="s">
        <v>66</v>
      </c>
      <c r="BK1272" t="s">
        <v>88</v>
      </c>
      <c r="BL1272" t="s">
        <v>66</v>
      </c>
      <c r="BM1272" t="s">
        <v>159</v>
      </c>
    </row>
    <row r="1273" spans="1:65" x14ac:dyDescent="0.25">
      <c r="A1273">
        <v>1271</v>
      </c>
      <c r="B1273" t="s">
        <v>1503</v>
      </c>
      <c r="C1273" t="s">
        <v>68</v>
      </c>
      <c r="D1273" s="1">
        <v>46218</v>
      </c>
      <c r="E1273" t="s">
        <v>1504</v>
      </c>
      <c r="F1273" t="s">
        <v>68</v>
      </c>
      <c r="G1273" t="s">
        <v>295</v>
      </c>
      <c r="H1273" t="s">
        <v>296</v>
      </c>
      <c r="I1273" t="s">
        <v>71</v>
      </c>
      <c r="J1273" t="s">
        <v>72</v>
      </c>
      <c r="K1273" t="s">
        <v>73</v>
      </c>
      <c r="L1273" t="s">
        <v>74</v>
      </c>
      <c r="M1273" t="s">
        <v>503</v>
      </c>
      <c r="N1273" t="s">
        <v>111</v>
      </c>
      <c r="O1273" t="s">
        <v>504</v>
      </c>
      <c r="P1273" t="s">
        <v>505</v>
      </c>
      <c r="Q1273" t="s">
        <v>1505</v>
      </c>
      <c r="R1273" s="1">
        <v>46219</v>
      </c>
      <c r="S1273" t="s">
        <v>507</v>
      </c>
      <c r="T1273" t="s">
        <v>508</v>
      </c>
      <c r="U1273" t="s">
        <v>509</v>
      </c>
      <c r="V1273" t="s">
        <v>66</v>
      </c>
      <c r="W1273" t="s">
        <v>66</v>
      </c>
      <c r="X1273">
        <v>3219480</v>
      </c>
      <c r="Y1273">
        <v>354142.8</v>
      </c>
      <c r="Z1273">
        <v>267300</v>
      </c>
      <c r="AA1273">
        <v>29403</v>
      </c>
      <c r="AB1273">
        <v>3573622.8</v>
      </c>
      <c r="AC1273">
        <v>1</v>
      </c>
      <c r="AD1273" t="s">
        <v>134</v>
      </c>
      <c r="AE1273">
        <v>4</v>
      </c>
      <c r="AF1273" t="s">
        <v>312</v>
      </c>
      <c r="AG1273">
        <f>IFERROR(VLOOKUP(AF1273,[1]STOK!J:O,6,0),"")</f>
        <v>4</v>
      </c>
      <c r="AH1273" s="2">
        <f t="shared" si="38"/>
        <v>1</v>
      </c>
      <c r="AI1273" t="s">
        <v>312</v>
      </c>
      <c r="AJ1273" t="s">
        <v>313</v>
      </c>
      <c r="AK1273" t="s">
        <v>314</v>
      </c>
      <c r="AL1273" t="s">
        <v>86</v>
      </c>
      <c r="AM1273">
        <v>299700</v>
      </c>
      <c r="AN1273">
        <f t="shared" si="39"/>
        <v>296703</v>
      </c>
      <c r="AO1273" t="s">
        <v>66</v>
      </c>
      <c r="AP1273">
        <v>1</v>
      </c>
      <c r="AQ1273" t="s">
        <v>66</v>
      </c>
      <c r="AR1273">
        <v>0</v>
      </c>
      <c r="AS1273" t="s">
        <v>66</v>
      </c>
      <c r="AT1273">
        <v>0</v>
      </c>
      <c r="AU1273" t="s">
        <v>66</v>
      </c>
      <c r="AV1273">
        <v>0</v>
      </c>
      <c r="AW1273" t="s">
        <v>66</v>
      </c>
      <c r="AX1273">
        <v>0</v>
      </c>
      <c r="AY1273" t="s">
        <v>66</v>
      </c>
      <c r="AZ1273">
        <v>0</v>
      </c>
      <c r="BA1273" t="s">
        <v>66</v>
      </c>
      <c r="BB1273">
        <v>0</v>
      </c>
      <c r="BC1273">
        <v>0</v>
      </c>
      <c r="BD1273">
        <v>296703</v>
      </c>
      <c r="BE1273">
        <v>60250.95</v>
      </c>
      <c r="BF1273">
        <v>0</v>
      </c>
      <c r="BG1273" t="s">
        <v>87</v>
      </c>
      <c r="BH1273" t="s">
        <v>66</v>
      </c>
      <c r="BI1273">
        <v>0</v>
      </c>
      <c r="BJ1273" t="s">
        <v>66</v>
      </c>
      <c r="BK1273" t="s">
        <v>88</v>
      </c>
      <c r="BL1273" t="s">
        <v>66</v>
      </c>
      <c r="BM1273" t="s">
        <v>159</v>
      </c>
    </row>
    <row r="1274" spans="1:65" x14ac:dyDescent="0.25">
      <c r="A1274">
        <v>1272</v>
      </c>
      <c r="B1274" t="s">
        <v>1503</v>
      </c>
      <c r="C1274" t="s">
        <v>68</v>
      </c>
      <c r="D1274" s="1">
        <v>46218</v>
      </c>
      <c r="E1274" t="s">
        <v>1504</v>
      </c>
      <c r="F1274" t="s">
        <v>68</v>
      </c>
      <c r="G1274" t="s">
        <v>295</v>
      </c>
      <c r="H1274" t="s">
        <v>296</v>
      </c>
      <c r="I1274" t="s">
        <v>71</v>
      </c>
      <c r="J1274" t="s">
        <v>72</v>
      </c>
      <c r="K1274" t="s">
        <v>73</v>
      </c>
      <c r="L1274" t="s">
        <v>74</v>
      </c>
      <c r="M1274" t="s">
        <v>503</v>
      </c>
      <c r="N1274" t="s">
        <v>111</v>
      </c>
      <c r="O1274" t="s">
        <v>504</v>
      </c>
      <c r="P1274" t="s">
        <v>505</v>
      </c>
      <c r="Q1274" t="s">
        <v>1505</v>
      </c>
      <c r="R1274" s="1">
        <v>46219</v>
      </c>
      <c r="S1274" t="s">
        <v>507</v>
      </c>
      <c r="T1274" t="s">
        <v>508</v>
      </c>
      <c r="U1274" t="s">
        <v>509</v>
      </c>
      <c r="V1274" t="s">
        <v>66</v>
      </c>
      <c r="W1274" t="s">
        <v>66</v>
      </c>
      <c r="X1274">
        <v>3219480</v>
      </c>
      <c r="Y1274">
        <v>354142.8</v>
      </c>
      <c r="Z1274">
        <v>267300</v>
      </c>
      <c r="AA1274">
        <v>29403</v>
      </c>
      <c r="AB1274">
        <v>3573622.8</v>
      </c>
      <c r="AC1274">
        <v>1</v>
      </c>
      <c r="AD1274" t="s">
        <v>134</v>
      </c>
      <c r="AE1274">
        <v>4</v>
      </c>
      <c r="AF1274" t="s">
        <v>476</v>
      </c>
      <c r="AG1274">
        <f>IFERROR(VLOOKUP(AF1274,[1]STOK!J:O,6,0),"")</f>
        <v>4</v>
      </c>
      <c r="AH1274" s="2">
        <f t="shared" si="38"/>
        <v>1</v>
      </c>
      <c r="AI1274" t="s">
        <v>476</v>
      </c>
      <c r="AJ1274" t="s">
        <v>477</v>
      </c>
      <c r="AK1274" t="s">
        <v>478</v>
      </c>
      <c r="AL1274" t="s">
        <v>86</v>
      </c>
      <c r="AM1274">
        <v>299700</v>
      </c>
      <c r="AN1274">
        <f t="shared" si="39"/>
        <v>296703</v>
      </c>
      <c r="AO1274" t="s">
        <v>66</v>
      </c>
      <c r="AP1274">
        <v>1</v>
      </c>
      <c r="AQ1274" t="s">
        <v>66</v>
      </c>
      <c r="AR1274">
        <v>0</v>
      </c>
      <c r="AS1274" t="s">
        <v>66</v>
      </c>
      <c r="AT1274">
        <v>0</v>
      </c>
      <c r="AU1274" t="s">
        <v>66</v>
      </c>
      <c r="AV1274">
        <v>0</v>
      </c>
      <c r="AW1274" t="s">
        <v>66</v>
      </c>
      <c r="AX1274">
        <v>0</v>
      </c>
      <c r="AY1274" t="s">
        <v>66</v>
      </c>
      <c r="AZ1274">
        <v>0</v>
      </c>
      <c r="BA1274" t="s">
        <v>66</v>
      </c>
      <c r="BB1274">
        <v>0</v>
      </c>
      <c r="BC1274">
        <v>0</v>
      </c>
      <c r="BD1274">
        <v>296703</v>
      </c>
      <c r="BE1274">
        <v>58650.42</v>
      </c>
      <c r="BF1274">
        <v>0</v>
      </c>
      <c r="BG1274" t="s">
        <v>87</v>
      </c>
      <c r="BH1274" t="s">
        <v>66</v>
      </c>
      <c r="BI1274">
        <v>0</v>
      </c>
      <c r="BJ1274" t="s">
        <v>66</v>
      </c>
      <c r="BK1274" t="s">
        <v>88</v>
      </c>
      <c r="BL1274" t="s">
        <v>66</v>
      </c>
      <c r="BM1274" t="s">
        <v>159</v>
      </c>
    </row>
    <row r="1275" spans="1:65" x14ac:dyDescent="0.25">
      <c r="A1275">
        <v>1273</v>
      </c>
      <c r="B1275" t="s">
        <v>1507</v>
      </c>
      <c r="C1275" t="s">
        <v>68</v>
      </c>
      <c r="D1275" s="1">
        <v>46218</v>
      </c>
      <c r="E1275" t="s">
        <v>1508</v>
      </c>
      <c r="F1275" t="s">
        <v>68</v>
      </c>
      <c r="G1275" t="s">
        <v>295</v>
      </c>
      <c r="H1275" t="s">
        <v>296</v>
      </c>
      <c r="I1275" t="s">
        <v>71</v>
      </c>
      <c r="J1275" t="s">
        <v>72</v>
      </c>
      <c r="K1275" t="s">
        <v>73</v>
      </c>
      <c r="L1275" t="s">
        <v>74</v>
      </c>
      <c r="M1275" t="s">
        <v>1509</v>
      </c>
      <c r="N1275" t="s">
        <v>76</v>
      </c>
      <c r="O1275" t="s">
        <v>1510</v>
      </c>
      <c r="P1275" t="s">
        <v>1511</v>
      </c>
      <c r="Q1275" t="s">
        <v>1512</v>
      </c>
      <c r="R1275" s="1">
        <v>46220</v>
      </c>
      <c r="S1275" t="s">
        <v>841</v>
      </c>
      <c r="T1275" t="s">
        <v>842</v>
      </c>
      <c r="U1275" t="s">
        <v>843</v>
      </c>
      <c r="V1275" t="s">
        <v>66</v>
      </c>
      <c r="W1275" t="s">
        <v>66</v>
      </c>
      <c r="X1275">
        <v>473046</v>
      </c>
      <c r="Y1275">
        <v>52035.06</v>
      </c>
      <c r="Z1275">
        <v>54096</v>
      </c>
      <c r="AA1275">
        <v>5950.56</v>
      </c>
      <c r="AB1275">
        <v>525081.06000000006</v>
      </c>
      <c r="AC1275">
        <v>3</v>
      </c>
      <c r="AD1275" t="s">
        <v>82</v>
      </c>
      <c r="AE1275">
        <v>3</v>
      </c>
      <c r="AF1275" t="s">
        <v>160</v>
      </c>
      <c r="AG1275">
        <f>IFERROR(VLOOKUP(AF1275,[1]STOK!J:O,6,0),"")</f>
        <v>12</v>
      </c>
      <c r="AH1275" s="2">
        <f t="shared" si="38"/>
        <v>0.25</v>
      </c>
      <c r="AI1275" t="s">
        <v>160</v>
      </c>
      <c r="AJ1275" t="s">
        <v>161</v>
      </c>
      <c r="AK1275" t="s">
        <v>162</v>
      </c>
      <c r="AL1275" t="s">
        <v>86</v>
      </c>
      <c r="AM1275">
        <v>20424</v>
      </c>
      <c r="AN1275">
        <f t="shared" si="39"/>
        <v>20015.52</v>
      </c>
      <c r="AO1275" t="s">
        <v>66</v>
      </c>
      <c r="AP1275">
        <v>2</v>
      </c>
      <c r="AQ1275" t="s">
        <v>66</v>
      </c>
      <c r="AR1275">
        <v>0</v>
      </c>
      <c r="AS1275" t="s">
        <v>66</v>
      </c>
      <c r="AT1275">
        <v>0</v>
      </c>
      <c r="AU1275" t="s">
        <v>66</v>
      </c>
      <c r="AV1275">
        <v>0</v>
      </c>
      <c r="AW1275" t="s">
        <v>66</v>
      </c>
      <c r="AX1275">
        <v>0</v>
      </c>
      <c r="AY1275" t="s">
        <v>66</v>
      </c>
      <c r="AZ1275">
        <v>0</v>
      </c>
      <c r="BA1275" t="s">
        <v>66</v>
      </c>
      <c r="BB1275">
        <v>0</v>
      </c>
      <c r="BC1275">
        <v>0</v>
      </c>
      <c r="BD1275">
        <v>60046.559999999998</v>
      </c>
      <c r="BE1275">
        <v>15433.08</v>
      </c>
      <c r="BF1275">
        <v>0</v>
      </c>
      <c r="BG1275" t="s">
        <v>87</v>
      </c>
      <c r="BH1275" t="s">
        <v>66</v>
      </c>
      <c r="BI1275">
        <v>0</v>
      </c>
      <c r="BJ1275" t="s">
        <v>66</v>
      </c>
      <c r="BK1275" t="s">
        <v>88</v>
      </c>
      <c r="BL1275" t="s">
        <v>719</v>
      </c>
      <c r="BM1275" t="s">
        <v>159</v>
      </c>
    </row>
    <row r="1276" spans="1:65" x14ac:dyDescent="0.25">
      <c r="A1276">
        <v>1274</v>
      </c>
      <c r="B1276" t="s">
        <v>1507</v>
      </c>
      <c r="C1276" t="s">
        <v>68</v>
      </c>
      <c r="D1276" s="1">
        <v>46218</v>
      </c>
      <c r="E1276" t="s">
        <v>1508</v>
      </c>
      <c r="F1276" t="s">
        <v>68</v>
      </c>
      <c r="G1276" t="s">
        <v>295</v>
      </c>
      <c r="H1276" t="s">
        <v>296</v>
      </c>
      <c r="I1276" t="s">
        <v>71</v>
      </c>
      <c r="J1276" t="s">
        <v>72</v>
      </c>
      <c r="K1276" t="s">
        <v>73</v>
      </c>
      <c r="L1276" t="s">
        <v>74</v>
      </c>
      <c r="M1276" t="s">
        <v>1509</v>
      </c>
      <c r="N1276" t="s">
        <v>76</v>
      </c>
      <c r="O1276" t="s">
        <v>1510</v>
      </c>
      <c r="P1276" t="s">
        <v>1511</v>
      </c>
      <c r="Q1276" t="s">
        <v>1512</v>
      </c>
      <c r="R1276" s="1">
        <v>46220</v>
      </c>
      <c r="S1276" t="s">
        <v>841</v>
      </c>
      <c r="T1276" t="s">
        <v>842</v>
      </c>
      <c r="U1276" t="s">
        <v>843</v>
      </c>
      <c r="V1276" t="s">
        <v>66</v>
      </c>
      <c r="W1276" t="s">
        <v>66</v>
      </c>
      <c r="X1276">
        <v>473046</v>
      </c>
      <c r="Y1276">
        <v>52035.06</v>
      </c>
      <c r="Z1276">
        <v>21756</v>
      </c>
      <c r="AA1276">
        <v>2393.16</v>
      </c>
      <c r="AB1276">
        <v>525081.06000000006</v>
      </c>
      <c r="AC1276">
        <v>3</v>
      </c>
      <c r="AD1276" t="s">
        <v>82</v>
      </c>
      <c r="AE1276">
        <v>3</v>
      </c>
      <c r="AF1276" t="s">
        <v>83</v>
      </c>
      <c r="AG1276">
        <f>IFERROR(VLOOKUP(AF1276,[1]STOK!J:O,6,0),"")</f>
        <v>24</v>
      </c>
      <c r="AH1276" s="2">
        <f t="shared" si="38"/>
        <v>0.125</v>
      </c>
      <c r="AI1276" t="s">
        <v>83</v>
      </c>
      <c r="AJ1276" t="s">
        <v>84</v>
      </c>
      <c r="AK1276" t="s">
        <v>85</v>
      </c>
      <c r="AL1276" t="s">
        <v>86</v>
      </c>
      <c r="AM1276">
        <v>8214</v>
      </c>
      <c r="AN1276">
        <f t="shared" si="39"/>
        <v>8049.72</v>
      </c>
      <c r="AO1276" t="s">
        <v>66</v>
      </c>
      <c r="AP1276">
        <v>2</v>
      </c>
      <c r="AQ1276" t="s">
        <v>66</v>
      </c>
      <c r="AR1276">
        <v>0</v>
      </c>
      <c r="AS1276" t="s">
        <v>66</v>
      </c>
      <c r="AT1276">
        <v>0</v>
      </c>
      <c r="AU1276" t="s">
        <v>66</v>
      </c>
      <c r="AV1276">
        <v>0</v>
      </c>
      <c r="AW1276" t="s">
        <v>66</v>
      </c>
      <c r="AX1276">
        <v>0</v>
      </c>
      <c r="AY1276" t="s">
        <v>66</v>
      </c>
      <c r="AZ1276">
        <v>0</v>
      </c>
      <c r="BA1276" t="s">
        <v>66</v>
      </c>
      <c r="BB1276">
        <v>0</v>
      </c>
      <c r="BC1276">
        <v>0</v>
      </c>
      <c r="BD1276">
        <v>24149.16</v>
      </c>
      <c r="BE1276">
        <v>6590.47</v>
      </c>
      <c r="BF1276">
        <v>0</v>
      </c>
      <c r="BG1276" t="s">
        <v>87</v>
      </c>
      <c r="BH1276" t="s">
        <v>66</v>
      </c>
      <c r="BI1276">
        <v>0</v>
      </c>
      <c r="BJ1276" t="s">
        <v>66</v>
      </c>
      <c r="BK1276" t="s">
        <v>88</v>
      </c>
      <c r="BL1276" t="s">
        <v>719</v>
      </c>
      <c r="BM1276" t="s">
        <v>159</v>
      </c>
    </row>
    <row r="1277" spans="1:65" x14ac:dyDescent="0.25">
      <c r="A1277">
        <v>1275</v>
      </c>
      <c r="B1277" t="s">
        <v>1507</v>
      </c>
      <c r="C1277" t="s">
        <v>68</v>
      </c>
      <c r="D1277" s="1">
        <v>46218</v>
      </c>
      <c r="E1277" t="s">
        <v>1508</v>
      </c>
      <c r="F1277" t="s">
        <v>68</v>
      </c>
      <c r="G1277" t="s">
        <v>295</v>
      </c>
      <c r="H1277" t="s">
        <v>296</v>
      </c>
      <c r="I1277" t="s">
        <v>71</v>
      </c>
      <c r="J1277" t="s">
        <v>72</v>
      </c>
      <c r="K1277" t="s">
        <v>73</v>
      </c>
      <c r="L1277" t="s">
        <v>74</v>
      </c>
      <c r="M1277" t="s">
        <v>1509</v>
      </c>
      <c r="N1277" t="s">
        <v>76</v>
      </c>
      <c r="O1277" t="s">
        <v>1510</v>
      </c>
      <c r="P1277" t="s">
        <v>1511</v>
      </c>
      <c r="Q1277" t="s">
        <v>1512</v>
      </c>
      <c r="R1277" s="1">
        <v>46220</v>
      </c>
      <c r="S1277" t="s">
        <v>841</v>
      </c>
      <c r="T1277" t="s">
        <v>842</v>
      </c>
      <c r="U1277" t="s">
        <v>843</v>
      </c>
      <c r="V1277" t="s">
        <v>66</v>
      </c>
      <c r="W1277" t="s">
        <v>66</v>
      </c>
      <c r="X1277">
        <v>473046</v>
      </c>
      <c r="Y1277">
        <v>52035.06</v>
      </c>
      <c r="Z1277">
        <v>23226</v>
      </c>
      <c r="AA1277">
        <v>2554.86</v>
      </c>
      <c r="AB1277">
        <v>525081.06000000006</v>
      </c>
      <c r="AC1277">
        <v>3</v>
      </c>
      <c r="AD1277" t="s">
        <v>82</v>
      </c>
      <c r="AE1277">
        <v>3</v>
      </c>
      <c r="AF1277" t="s">
        <v>344</v>
      </c>
      <c r="AG1277">
        <f>IFERROR(VLOOKUP(AF1277,[1]STOK!J:O,6,0),"")</f>
        <v>24</v>
      </c>
      <c r="AH1277" s="2">
        <f t="shared" si="38"/>
        <v>0.125</v>
      </c>
      <c r="AI1277" t="s">
        <v>344</v>
      </c>
      <c r="AJ1277" t="s">
        <v>345</v>
      </c>
      <c r="AK1277" t="s">
        <v>346</v>
      </c>
      <c r="AL1277" t="s">
        <v>86</v>
      </c>
      <c r="AM1277">
        <v>8769</v>
      </c>
      <c r="AN1277">
        <f t="shared" si="39"/>
        <v>8593.6200000000008</v>
      </c>
      <c r="AO1277" t="s">
        <v>66</v>
      </c>
      <c r="AP1277">
        <v>2</v>
      </c>
      <c r="AQ1277" t="s">
        <v>66</v>
      </c>
      <c r="AR1277">
        <v>0</v>
      </c>
      <c r="AS1277" t="s">
        <v>66</v>
      </c>
      <c r="AT1277">
        <v>0</v>
      </c>
      <c r="AU1277" t="s">
        <v>66</v>
      </c>
      <c r="AV1277">
        <v>0</v>
      </c>
      <c r="AW1277" t="s">
        <v>66</v>
      </c>
      <c r="AX1277">
        <v>0</v>
      </c>
      <c r="AY1277" t="s">
        <v>66</v>
      </c>
      <c r="AZ1277">
        <v>0</v>
      </c>
      <c r="BA1277" t="s">
        <v>66</v>
      </c>
      <c r="BB1277">
        <v>0</v>
      </c>
      <c r="BC1277">
        <v>0</v>
      </c>
      <c r="BD1277">
        <v>25780.86</v>
      </c>
      <c r="BE1277">
        <v>6916.14</v>
      </c>
      <c r="BF1277">
        <v>0</v>
      </c>
      <c r="BG1277" t="s">
        <v>87</v>
      </c>
      <c r="BH1277" t="s">
        <v>66</v>
      </c>
      <c r="BI1277">
        <v>0</v>
      </c>
      <c r="BJ1277" t="s">
        <v>66</v>
      </c>
      <c r="BK1277" t="s">
        <v>88</v>
      </c>
      <c r="BL1277" t="s">
        <v>719</v>
      </c>
      <c r="BM1277" t="s">
        <v>159</v>
      </c>
    </row>
    <row r="1278" spans="1:65" x14ac:dyDescent="0.25">
      <c r="A1278">
        <v>1276</v>
      </c>
      <c r="B1278" t="s">
        <v>1507</v>
      </c>
      <c r="C1278" t="s">
        <v>68</v>
      </c>
      <c r="D1278" s="1">
        <v>46218</v>
      </c>
      <c r="E1278" t="s">
        <v>1508</v>
      </c>
      <c r="F1278" t="s">
        <v>68</v>
      </c>
      <c r="G1278" t="s">
        <v>295</v>
      </c>
      <c r="H1278" t="s">
        <v>296</v>
      </c>
      <c r="I1278" t="s">
        <v>71</v>
      </c>
      <c r="J1278" t="s">
        <v>72</v>
      </c>
      <c r="K1278" t="s">
        <v>73</v>
      </c>
      <c r="L1278" t="s">
        <v>74</v>
      </c>
      <c r="M1278" t="s">
        <v>1509</v>
      </c>
      <c r="N1278" t="s">
        <v>76</v>
      </c>
      <c r="O1278" t="s">
        <v>1510</v>
      </c>
      <c r="P1278" t="s">
        <v>1511</v>
      </c>
      <c r="Q1278" t="s">
        <v>1512</v>
      </c>
      <c r="R1278" s="1">
        <v>46220</v>
      </c>
      <c r="S1278" t="s">
        <v>841</v>
      </c>
      <c r="T1278" t="s">
        <v>842</v>
      </c>
      <c r="U1278" t="s">
        <v>843</v>
      </c>
      <c r="V1278" t="s">
        <v>66</v>
      </c>
      <c r="W1278" t="s">
        <v>66</v>
      </c>
      <c r="X1278">
        <v>473046</v>
      </c>
      <c r="Y1278">
        <v>52035.06</v>
      </c>
      <c r="Z1278">
        <v>33516</v>
      </c>
      <c r="AA1278">
        <v>3686.76</v>
      </c>
      <c r="AB1278">
        <v>525081.06000000006</v>
      </c>
      <c r="AC1278">
        <v>6</v>
      </c>
      <c r="AD1278" t="s">
        <v>82</v>
      </c>
      <c r="AE1278">
        <v>6</v>
      </c>
      <c r="AF1278" t="s">
        <v>350</v>
      </c>
      <c r="AG1278">
        <f>IFERROR(VLOOKUP(AF1278,[1]STOK!J:O,6,0),"")</f>
        <v>48</v>
      </c>
      <c r="AH1278" s="2">
        <f t="shared" si="38"/>
        <v>0.125</v>
      </c>
      <c r="AI1278" t="s">
        <v>350</v>
      </c>
      <c r="AJ1278" t="s">
        <v>351</v>
      </c>
      <c r="AK1278" t="s">
        <v>352</v>
      </c>
      <c r="AL1278" t="s">
        <v>86</v>
      </c>
      <c r="AM1278">
        <v>6327</v>
      </c>
      <c r="AN1278">
        <f t="shared" si="39"/>
        <v>6200.46</v>
      </c>
      <c r="AO1278" t="s">
        <v>66</v>
      </c>
      <c r="AP1278">
        <v>2</v>
      </c>
      <c r="AQ1278" t="s">
        <v>66</v>
      </c>
      <c r="AR1278">
        <v>0</v>
      </c>
      <c r="AS1278" t="s">
        <v>66</v>
      </c>
      <c r="AT1278">
        <v>0</v>
      </c>
      <c r="AU1278" t="s">
        <v>66</v>
      </c>
      <c r="AV1278">
        <v>0</v>
      </c>
      <c r="AW1278" t="s">
        <v>66</v>
      </c>
      <c r="AX1278">
        <v>0</v>
      </c>
      <c r="AY1278" t="s">
        <v>66</v>
      </c>
      <c r="AZ1278">
        <v>0</v>
      </c>
      <c r="BA1278" t="s">
        <v>66</v>
      </c>
      <c r="BB1278">
        <v>0</v>
      </c>
      <c r="BC1278">
        <v>0</v>
      </c>
      <c r="BD1278">
        <v>37202.76</v>
      </c>
      <c r="BE1278">
        <v>4985.16</v>
      </c>
      <c r="BF1278">
        <v>0</v>
      </c>
      <c r="BG1278" t="s">
        <v>87</v>
      </c>
      <c r="BH1278" t="s">
        <v>66</v>
      </c>
      <c r="BI1278">
        <v>0</v>
      </c>
      <c r="BJ1278" t="s">
        <v>66</v>
      </c>
      <c r="BK1278" t="s">
        <v>88</v>
      </c>
      <c r="BL1278" t="s">
        <v>719</v>
      </c>
      <c r="BM1278" t="s">
        <v>159</v>
      </c>
    </row>
    <row r="1279" spans="1:65" x14ac:dyDescent="0.25">
      <c r="A1279">
        <v>1277</v>
      </c>
      <c r="B1279" t="s">
        <v>1507</v>
      </c>
      <c r="C1279" t="s">
        <v>68</v>
      </c>
      <c r="D1279" s="1">
        <v>46218</v>
      </c>
      <c r="E1279" t="s">
        <v>1508</v>
      </c>
      <c r="F1279" t="s">
        <v>68</v>
      </c>
      <c r="G1279" t="s">
        <v>295</v>
      </c>
      <c r="H1279" t="s">
        <v>296</v>
      </c>
      <c r="I1279" t="s">
        <v>71</v>
      </c>
      <c r="J1279" t="s">
        <v>72</v>
      </c>
      <c r="K1279" t="s">
        <v>73</v>
      </c>
      <c r="L1279" t="s">
        <v>74</v>
      </c>
      <c r="M1279" t="s">
        <v>1509</v>
      </c>
      <c r="N1279" t="s">
        <v>76</v>
      </c>
      <c r="O1279" t="s">
        <v>1510</v>
      </c>
      <c r="P1279" t="s">
        <v>1511</v>
      </c>
      <c r="Q1279" t="s">
        <v>1512</v>
      </c>
      <c r="R1279" s="1">
        <v>46220</v>
      </c>
      <c r="S1279" t="s">
        <v>841</v>
      </c>
      <c r="T1279" t="s">
        <v>842</v>
      </c>
      <c r="U1279" t="s">
        <v>843</v>
      </c>
      <c r="V1279" t="s">
        <v>66</v>
      </c>
      <c r="W1279" t="s">
        <v>66</v>
      </c>
      <c r="X1279">
        <v>473046</v>
      </c>
      <c r="Y1279">
        <v>52035.06</v>
      </c>
      <c r="Z1279">
        <v>48510</v>
      </c>
      <c r="AA1279">
        <v>5336.1</v>
      </c>
      <c r="AB1279">
        <v>525081.06000000006</v>
      </c>
      <c r="AC1279">
        <v>3</v>
      </c>
      <c r="AD1279" t="s">
        <v>82</v>
      </c>
      <c r="AE1279">
        <v>3</v>
      </c>
      <c r="AF1279" t="s">
        <v>128</v>
      </c>
      <c r="AG1279">
        <f>IFERROR(VLOOKUP(AF1279,[1]STOK!J:O,6,0),"")</f>
        <v>24</v>
      </c>
      <c r="AH1279" s="2">
        <f t="shared" si="38"/>
        <v>0.125</v>
      </c>
      <c r="AI1279" t="s">
        <v>128</v>
      </c>
      <c r="AJ1279" t="s">
        <v>129</v>
      </c>
      <c r="AK1279" t="s">
        <v>130</v>
      </c>
      <c r="AL1279" t="s">
        <v>86</v>
      </c>
      <c r="AM1279">
        <v>18315</v>
      </c>
      <c r="AN1279">
        <f t="shared" si="39"/>
        <v>17948.7</v>
      </c>
      <c r="AO1279" t="s">
        <v>66</v>
      </c>
      <c r="AP1279">
        <v>2</v>
      </c>
      <c r="AQ1279" t="s">
        <v>66</v>
      </c>
      <c r="AR1279">
        <v>0</v>
      </c>
      <c r="AS1279" t="s">
        <v>66</v>
      </c>
      <c r="AT1279">
        <v>0</v>
      </c>
      <c r="AU1279" t="s">
        <v>66</v>
      </c>
      <c r="AV1279">
        <v>0</v>
      </c>
      <c r="AW1279" t="s">
        <v>66</v>
      </c>
      <c r="AX1279">
        <v>0</v>
      </c>
      <c r="AY1279" t="s">
        <v>66</v>
      </c>
      <c r="AZ1279">
        <v>0</v>
      </c>
      <c r="BA1279" t="s">
        <v>66</v>
      </c>
      <c r="BB1279">
        <v>0</v>
      </c>
      <c r="BC1279">
        <v>0</v>
      </c>
      <c r="BD1279">
        <v>53846.1</v>
      </c>
      <c r="BE1279">
        <v>14619.11</v>
      </c>
      <c r="BF1279">
        <v>0</v>
      </c>
      <c r="BG1279" t="s">
        <v>87</v>
      </c>
      <c r="BH1279" t="s">
        <v>66</v>
      </c>
      <c r="BI1279">
        <v>0</v>
      </c>
      <c r="BJ1279" t="s">
        <v>66</v>
      </c>
      <c r="BK1279" t="s">
        <v>88</v>
      </c>
      <c r="BL1279" t="s">
        <v>719</v>
      </c>
      <c r="BM1279" t="s">
        <v>159</v>
      </c>
    </row>
    <row r="1280" spans="1:65" x14ac:dyDescent="0.25">
      <c r="A1280">
        <v>1278</v>
      </c>
      <c r="B1280" t="s">
        <v>1507</v>
      </c>
      <c r="C1280" t="s">
        <v>68</v>
      </c>
      <c r="D1280" s="1">
        <v>46218</v>
      </c>
      <c r="E1280" t="s">
        <v>1508</v>
      </c>
      <c r="F1280" t="s">
        <v>68</v>
      </c>
      <c r="G1280" t="s">
        <v>295</v>
      </c>
      <c r="H1280" t="s">
        <v>296</v>
      </c>
      <c r="I1280" t="s">
        <v>71</v>
      </c>
      <c r="J1280" t="s">
        <v>72</v>
      </c>
      <c r="K1280" t="s">
        <v>73</v>
      </c>
      <c r="L1280" t="s">
        <v>74</v>
      </c>
      <c r="M1280" t="s">
        <v>1509</v>
      </c>
      <c r="N1280" t="s">
        <v>76</v>
      </c>
      <c r="O1280" t="s">
        <v>1510</v>
      </c>
      <c r="P1280" t="s">
        <v>1511</v>
      </c>
      <c r="Q1280" t="s">
        <v>1512</v>
      </c>
      <c r="R1280" s="1">
        <v>46220</v>
      </c>
      <c r="S1280" t="s">
        <v>841</v>
      </c>
      <c r="T1280" t="s">
        <v>842</v>
      </c>
      <c r="U1280" t="s">
        <v>843</v>
      </c>
      <c r="V1280" t="s">
        <v>66</v>
      </c>
      <c r="W1280" t="s">
        <v>66</v>
      </c>
      <c r="X1280">
        <v>473046</v>
      </c>
      <c r="Y1280">
        <v>52035.06</v>
      </c>
      <c r="Z1280">
        <v>48510</v>
      </c>
      <c r="AA1280">
        <v>5336.1</v>
      </c>
      <c r="AB1280">
        <v>525081.06000000006</v>
      </c>
      <c r="AC1280">
        <v>3</v>
      </c>
      <c r="AD1280" t="s">
        <v>82</v>
      </c>
      <c r="AE1280">
        <v>3</v>
      </c>
      <c r="AF1280" t="s">
        <v>93</v>
      </c>
      <c r="AG1280">
        <f>IFERROR(VLOOKUP(AF1280,[1]STOK!J:O,6,0),"")</f>
        <v>24</v>
      </c>
      <c r="AH1280" s="2">
        <f t="shared" si="38"/>
        <v>0.125</v>
      </c>
      <c r="AI1280" t="s">
        <v>93</v>
      </c>
      <c r="AJ1280" t="s">
        <v>94</v>
      </c>
      <c r="AK1280" t="s">
        <v>95</v>
      </c>
      <c r="AL1280" t="s">
        <v>86</v>
      </c>
      <c r="AM1280">
        <v>18315</v>
      </c>
      <c r="AN1280">
        <f t="shared" si="39"/>
        <v>17948.7</v>
      </c>
      <c r="AO1280" t="s">
        <v>66</v>
      </c>
      <c r="AP1280">
        <v>2</v>
      </c>
      <c r="AQ1280" t="s">
        <v>66</v>
      </c>
      <c r="AR1280">
        <v>0</v>
      </c>
      <c r="AS1280" t="s">
        <v>66</v>
      </c>
      <c r="AT1280">
        <v>0</v>
      </c>
      <c r="AU1280" t="s">
        <v>66</v>
      </c>
      <c r="AV1280">
        <v>0</v>
      </c>
      <c r="AW1280" t="s">
        <v>66</v>
      </c>
      <c r="AX1280">
        <v>0</v>
      </c>
      <c r="AY1280" t="s">
        <v>66</v>
      </c>
      <c r="AZ1280">
        <v>0</v>
      </c>
      <c r="BA1280" t="s">
        <v>66</v>
      </c>
      <c r="BB1280">
        <v>0</v>
      </c>
      <c r="BC1280">
        <v>0</v>
      </c>
      <c r="BD1280">
        <v>53846.1</v>
      </c>
      <c r="BE1280">
        <v>14878.51</v>
      </c>
      <c r="BF1280">
        <v>0</v>
      </c>
      <c r="BG1280" t="s">
        <v>87</v>
      </c>
      <c r="BH1280" t="s">
        <v>66</v>
      </c>
      <c r="BI1280">
        <v>0</v>
      </c>
      <c r="BJ1280" t="s">
        <v>66</v>
      </c>
      <c r="BK1280" t="s">
        <v>88</v>
      </c>
      <c r="BL1280" t="s">
        <v>719</v>
      </c>
      <c r="BM1280" t="s">
        <v>159</v>
      </c>
    </row>
    <row r="1281" spans="1:65" x14ac:dyDescent="0.25">
      <c r="A1281">
        <v>1279</v>
      </c>
      <c r="B1281" t="s">
        <v>1507</v>
      </c>
      <c r="C1281" t="s">
        <v>68</v>
      </c>
      <c r="D1281" s="1">
        <v>46218</v>
      </c>
      <c r="E1281" t="s">
        <v>1508</v>
      </c>
      <c r="F1281" t="s">
        <v>68</v>
      </c>
      <c r="G1281" t="s">
        <v>295</v>
      </c>
      <c r="H1281" t="s">
        <v>296</v>
      </c>
      <c r="I1281" t="s">
        <v>71</v>
      </c>
      <c r="J1281" t="s">
        <v>72</v>
      </c>
      <c r="K1281" t="s">
        <v>73</v>
      </c>
      <c r="L1281" t="s">
        <v>74</v>
      </c>
      <c r="M1281" t="s">
        <v>1509</v>
      </c>
      <c r="N1281" t="s">
        <v>76</v>
      </c>
      <c r="O1281" t="s">
        <v>1510</v>
      </c>
      <c r="P1281" t="s">
        <v>1511</v>
      </c>
      <c r="Q1281" t="s">
        <v>1512</v>
      </c>
      <c r="R1281" s="1">
        <v>46220</v>
      </c>
      <c r="S1281" t="s">
        <v>841</v>
      </c>
      <c r="T1281" t="s">
        <v>842</v>
      </c>
      <c r="U1281" t="s">
        <v>843</v>
      </c>
      <c r="V1281" t="s">
        <v>66</v>
      </c>
      <c r="W1281" t="s">
        <v>66</v>
      </c>
      <c r="X1281">
        <v>473046</v>
      </c>
      <c r="Y1281">
        <v>52035.06</v>
      </c>
      <c r="Z1281">
        <v>97020</v>
      </c>
      <c r="AA1281">
        <v>10672.2</v>
      </c>
      <c r="AB1281">
        <v>525081.06000000006</v>
      </c>
      <c r="AC1281">
        <v>6</v>
      </c>
      <c r="AD1281" t="s">
        <v>82</v>
      </c>
      <c r="AE1281">
        <v>6</v>
      </c>
      <c r="AF1281" t="s">
        <v>205</v>
      </c>
      <c r="AG1281">
        <f>IFERROR(VLOOKUP(AF1281,[1]STOK!J:O,6,0),"")</f>
        <v>24</v>
      </c>
      <c r="AH1281" s="2">
        <f t="shared" si="38"/>
        <v>0.25</v>
      </c>
      <c r="AI1281" t="s">
        <v>205</v>
      </c>
      <c r="AJ1281" t="s">
        <v>206</v>
      </c>
      <c r="AK1281" t="s">
        <v>207</v>
      </c>
      <c r="AL1281" t="s">
        <v>86</v>
      </c>
      <c r="AM1281">
        <v>18315</v>
      </c>
      <c r="AN1281">
        <f t="shared" si="39"/>
        <v>17948.7</v>
      </c>
      <c r="AO1281" t="s">
        <v>66</v>
      </c>
      <c r="AP1281">
        <v>2</v>
      </c>
      <c r="AQ1281" t="s">
        <v>66</v>
      </c>
      <c r="AR1281">
        <v>0</v>
      </c>
      <c r="AS1281" t="s">
        <v>66</v>
      </c>
      <c r="AT1281">
        <v>0</v>
      </c>
      <c r="AU1281" t="s">
        <v>66</v>
      </c>
      <c r="AV1281">
        <v>0</v>
      </c>
      <c r="AW1281" t="s">
        <v>66</v>
      </c>
      <c r="AX1281">
        <v>0</v>
      </c>
      <c r="AY1281" t="s">
        <v>66</v>
      </c>
      <c r="AZ1281">
        <v>0</v>
      </c>
      <c r="BA1281" t="s">
        <v>66</v>
      </c>
      <c r="BB1281">
        <v>0</v>
      </c>
      <c r="BC1281">
        <v>0</v>
      </c>
      <c r="BD1281">
        <v>107692.2</v>
      </c>
      <c r="BE1281">
        <v>14876.63</v>
      </c>
      <c r="BF1281">
        <v>0</v>
      </c>
      <c r="BG1281" t="s">
        <v>87</v>
      </c>
      <c r="BH1281" t="s">
        <v>66</v>
      </c>
      <c r="BI1281">
        <v>0</v>
      </c>
      <c r="BJ1281" t="s">
        <v>66</v>
      </c>
      <c r="BK1281" t="s">
        <v>88</v>
      </c>
      <c r="BL1281" t="s">
        <v>719</v>
      </c>
      <c r="BM1281" t="s">
        <v>159</v>
      </c>
    </row>
    <row r="1282" spans="1:65" x14ac:dyDescent="0.25">
      <c r="A1282">
        <v>1280</v>
      </c>
      <c r="B1282" t="s">
        <v>1507</v>
      </c>
      <c r="C1282" t="s">
        <v>68</v>
      </c>
      <c r="D1282" s="1">
        <v>46218</v>
      </c>
      <c r="E1282" t="s">
        <v>1508</v>
      </c>
      <c r="F1282" t="s">
        <v>68</v>
      </c>
      <c r="G1282" t="s">
        <v>295</v>
      </c>
      <c r="H1282" t="s">
        <v>296</v>
      </c>
      <c r="I1282" t="s">
        <v>71</v>
      </c>
      <c r="J1282" t="s">
        <v>72</v>
      </c>
      <c r="K1282" t="s">
        <v>73</v>
      </c>
      <c r="L1282" t="s">
        <v>74</v>
      </c>
      <c r="M1282" t="s">
        <v>1509</v>
      </c>
      <c r="N1282" t="s">
        <v>76</v>
      </c>
      <c r="O1282" t="s">
        <v>1510</v>
      </c>
      <c r="P1282" t="s">
        <v>1511</v>
      </c>
      <c r="Q1282" t="s">
        <v>1512</v>
      </c>
      <c r="R1282" s="1">
        <v>46220</v>
      </c>
      <c r="S1282" t="s">
        <v>841</v>
      </c>
      <c r="T1282" t="s">
        <v>842</v>
      </c>
      <c r="U1282" t="s">
        <v>843</v>
      </c>
      <c r="V1282" t="s">
        <v>66</v>
      </c>
      <c r="W1282" t="s">
        <v>66</v>
      </c>
      <c r="X1282">
        <v>473046</v>
      </c>
      <c r="Y1282">
        <v>52035.06</v>
      </c>
      <c r="Z1282">
        <v>48510</v>
      </c>
      <c r="AA1282">
        <v>5336.1</v>
      </c>
      <c r="AB1282">
        <v>525081.06000000006</v>
      </c>
      <c r="AC1282">
        <v>3</v>
      </c>
      <c r="AD1282" t="s">
        <v>82</v>
      </c>
      <c r="AE1282">
        <v>3</v>
      </c>
      <c r="AF1282" t="s">
        <v>99</v>
      </c>
      <c r="AG1282">
        <f>IFERROR(VLOOKUP(AF1282,[1]STOK!J:O,6,0),"")</f>
        <v>24</v>
      </c>
      <c r="AH1282" s="2">
        <f t="shared" si="38"/>
        <v>0.125</v>
      </c>
      <c r="AI1282" t="s">
        <v>99</v>
      </c>
      <c r="AJ1282" t="s">
        <v>100</v>
      </c>
      <c r="AK1282" t="s">
        <v>101</v>
      </c>
      <c r="AL1282" t="s">
        <v>86</v>
      </c>
      <c r="AM1282">
        <v>18315</v>
      </c>
      <c r="AN1282">
        <f t="shared" si="39"/>
        <v>17948.7</v>
      </c>
      <c r="AO1282" t="s">
        <v>66</v>
      </c>
      <c r="AP1282">
        <v>2</v>
      </c>
      <c r="AQ1282" t="s">
        <v>66</v>
      </c>
      <c r="AR1282">
        <v>0</v>
      </c>
      <c r="AS1282" t="s">
        <v>66</v>
      </c>
      <c r="AT1282">
        <v>0</v>
      </c>
      <c r="AU1282" t="s">
        <v>66</v>
      </c>
      <c r="AV1282">
        <v>0</v>
      </c>
      <c r="AW1282" t="s">
        <v>66</v>
      </c>
      <c r="AX1282">
        <v>0</v>
      </c>
      <c r="AY1282" t="s">
        <v>66</v>
      </c>
      <c r="AZ1282">
        <v>0</v>
      </c>
      <c r="BA1282" t="s">
        <v>66</v>
      </c>
      <c r="BB1282">
        <v>0</v>
      </c>
      <c r="BC1282">
        <v>0</v>
      </c>
      <c r="BD1282">
        <v>53846.1</v>
      </c>
      <c r="BE1282">
        <v>14924.93</v>
      </c>
      <c r="BF1282">
        <v>0</v>
      </c>
      <c r="BG1282" t="s">
        <v>87</v>
      </c>
      <c r="BH1282" t="s">
        <v>66</v>
      </c>
      <c r="BI1282">
        <v>0</v>
      </c>
      <c r="BJ1282" t="s">
        <v>66</v>
      </c>
      <c r="BK1282" t="s">
        <v>88</v>
      </c>
      <c r="BL1282" t="s">
        <v>719</v>
      </c>
      <c r="BM1282" t="s">
        <v>159</v>
      </c>
    </row>
    <row r="1283" spans="1:65" x14ac:dyDescent="0.25">
      <c r="A1283">
        <v>1281</v>
      </c>
      <c r="B1283" t="s">
        <v>1507</v>
      </c>
      <c r="C1283" t="s">
        <v>68</v>
      </c>
      <c r="D1283" s="1">
        <v>46218</v>
      </c>
      <c r="E1283" t="s">
        <v>1508</v>
      </c>
      <c r="F1283" t="s">
        <v>68</v>
      </c>
      <c r="G1283" t="s">
        <v>295</v>
      </c>
      <c r="H1283" t="s">
        <v>296</v>
      </c>
      <c r="I1283" t="s">
        <v>71</v>
      </c>
      <c r="J1283" t="s">
        <v>72</v>
      </c>
      <c r="K1283" t="s">
        <v>73</v>
      </c>
      <c r="L1283" t="s">
        <v>74</v>
      </c>
      <c r="M1283" t="s">
        <v>1509</v>
      </c>
      <c r="N1283" t="s">
        <v>76</v>
      </c>
      <c r="O1283" t="s">
        <v>1510</v>
      </c>
      <c r="P1283" t="s">
        <v>1511</v>
      </c>
      <c r="Q1283" t="s">
        <v>1512</v>
      </c>
      <c r="R1283" s="1">
        <v>46220</v>
      </c>
      <c r="S1283" t="s">
        <v>841</v>
      </c>
      <c r="T1283" t="s">
        <v>842</v>
      </c>
      <c r="U1283" t="s">
        <v>843</v>
      </c>
      <c r="V1283" t="s">
        <v>66</v>
      </c>
      <c r="W1283" t="s">
        <v>66</v>
      </c>
      <c r="X1283">
        <v>473046</v>
      </c>
      <c r="Y1283">
        <v>52035.06</v>
      </c>
      <c r="Z1283">
        <v>39102</v>
      </c>
      <c r="AA1283">
        <v>4301.22</v>
      </c>
      <c r="AB1283">
        <v>525081.06000000006</v>
      </c>
      <c r="AC1283">
        <v>3</v>
      </c>
      <c r="AD1283" t="s">
        <v>82</v>
      </c>
      <c r="AE1283">
        <v>3</v>
      </c>
      <c r="AF1283" t="s">
        <v>135</v>
      </c>
      <c r="AG1283">
        <f>IFERROR(VLOOKUP(AF1283,[1]STOK!J:O,6,0),"")</f>
        <v>12</v>
      </c>
      <c r="AH1283" s="2">
        <f t="shared" si="38"/>
        <v>0.25</v>
      </c>
      <c r="AI1283" t="s">
        <v>135</v>
      </c>
      <c r="AJ1283" t="s">
        <v>136</v>
      </c>
      <c r="AK1283" t="s">
        <v>137</v>
      </c>
      <c r="AL1283" t="s">
        <v>86</v>
      </c>
      <c r="AM1283">
        <v>14763</v>
      </c>
      <c r="AN1283">
        <f t="shared" si="39"/>
        <v>14467.74</v>
      </c>
      <c r="AO1283" t="s">
        <v>66</v>
      </c>
      <c r="AP1283">
        <v>2</v>
      </c>
      <c r="AQ1283" t="s">
        <v>66</v>
      </c>
      <c r="AR1283">
        <v>0</v>
      </c>
      <c r="AS1283" t="s">
        <v>66</v>
      </c>
      <c r="AT1283">
        <v>0</v>
      </c>
      <c r="AU1283" t="s">
        <v>66</v>
      </c>
      <c r="AV1283">
        <v>0</v>
      </c>
      <c r="AW1283" t="s">
        <v>66</v>
      </c>
      <c r="AX1283">
        <v>0</v>
      </c>
      <c r="AY1283" t="s">
        <v>66</v>
      </c>
      <c r="AZ1283">
        <v>0</v>
      </c>
      <c r="BA1283" t="s">
        <v>66</v>
      </c>
      <c r="BB1283">
        <v>0</v>
      </c>
      <c r="BC1283">
        <v>0</v>
      </c>
      <c r="BD1283">
        <v>43403.22</v>
      </c>
      <c r="BE1283">
        <v>12032.04</v>
      </c>
      <c r="BF1283">
        <v>0</v>
      </c>
      <c r="BG1283" t="s">
        <v>87</v>
      </c>
      <c r="BH1283" t="s">
        <v>66</v>
      </c>
      <c r="BI1283">
        <v>0</v>
      </c>
      <c r="BJ1283" t="s">
        <v>66</v>
      </c>
      <c r="BK1283" t="s">
        <v>88</v>
      </c>
      <c r="BL1283" t="s">
        <v>719</v>
      </c>
      <c r="BM1283" t="s">
        <v>159</v>
      </c>
    </row>
    <row r="1284" spans="1:65" x14ac:dyDescent="0.25">
      <c r="A1284">
        <v>1282</v>
      </c>
      <c r="B1284" t="s">
        <v>1507</v>
      </c>
      <c r="C1284" t="s">
        <v>68</v>
      </c>
      <c r="D1284" s="1">
        <v>46218</v>
      </c>
      <c r="E1284" t="s">
        <v>1508</v>
      </c>
      <c r="F1284" t="s">
        <v>68</v>
      </c>
      <c r="G1284" t="s">
        <v>295</v>
      </c>
      <c r="H1284" t="s">
        <v>296</v>
      </c>
      <c r="I1284" t="s">
        <v>71</v>
      </c>
      <c r="J1284" t="s">
        <v>72</v>
      </c>
      <c r="K1284" t="s">
        <v>73</v>
      </c>
      <c r="L1284" t="s">
        <v>74</v>
      </c>
      <c r="M1284" t="s">
        <v>1509</v>
      </c>
      <c r="N1284" t="s">
        <v>76</v>
      </c>
      <c r="O1284" t="s">
        <v>1510</v>
      </c>
      <c r="P1284" t="s">
        <v>1511</v>
      </c>
      <c r="Q1284" t="s">
        <v>1512</v>
      </c>
      <c r="R1284" s="1">
        <v>46220</v>
      </c>
      <c r="S1284" t="s">
        <v>841</v>
      </c>
      <c r="T1284" t="s">
        <v>842</v>
      </c>
      <c r="U1284" t="s">
        <v>843</v>
      </c>
      <c r="V1284" t="s">
        <v>66</v>
      </c>
      <c r="W1284" t="s">
        <v>66</v>
      </c>
      <c r="X1284">
        <v>473046</v>
      </c>
      <c r="Y1284">
        <v>52035.06</v>
      </c>
      <c r="Z1284">
        <v>58800</v>
      </c>
      <c r="AA1284">
        <v>6468</v>
      </c>
      <c r="AB1284">
        <v>525081.06000000006</v>
      </c>
      <c r="AC1284">
        <v>3</v>
      </c>
      <c r="AD1284" t="s">
        <v>82</v>
      </c>
      <c r="AE1284">
        <v>3</v>
      </c>
      <c r="AF1284" t="s">
        <v>290</v>
      </c>
      <c r="AG1284">
        <f>IFERROR(VLOOKUP(AF1284,[1]STOK!J:O,6,0),"")</f>
        <v>12</v>
      </c>
      <c r="AH1284" s="2">
        <f t="shared" ref="AH1284:AH1347" si="40">AE1284/AG1284</f>
        <v>0.25</v>
      </c>
      <c r="AI1284" t="s">
        <v>290</v>
      </c>
      <c r="AJ1284" t="s">
        <v>291</v>
      </c>
      <c r="AK1284" t="s">
        <v>292</v>
      </c>
      <c r="AL1284" t="s">
        <v>86</v>
      </c>
      <c r="AM1284">
        <v>22200</v>
      </c>
      <c r="AN1284">
        <f t="shared" ref="AN1284:AN1347" si="41">BD1284/AC1284</f>
        <v>21756</v>
      </c>
      <c r="AO1284" t="s">
        <v>66</v>
      </c>
      <c r="AP1284">
        <v>2</v>
      </c>
      <c r="AQ1284" t="s">
        <v>66</v>
      </c>
      <c r="AR1284">
        <v>0</v>
      </c>
      <c r="AS1284" t="s">
        <v>66</v>
      </c>
      <c r="AT1284">
        <v>0</v>
      </c>
      <c r="AU1284" t="s">
        <v>66</v>
      </c>
      <c r="AV1284">
        <v>0</v>
      </c>
      <c r="AW1284" t="s">
        <v>66</v>
      </c>
      <c r="AX1284">
        <v>0</v>
      </c>
      <c r="AY1284" t="s">
        <v>66</v>
      </c>
      <c r="AZ1284">
        <v>0</v>
      </c>
      <c r="BA1284" t="s">
        <v>66</v>
      </c>
      <c r="BB1284">
        <v>0</v>
      </c>
      <c r="BC1284">
        <v>0</v>
      </c>
      <c r="BD1284">
        <v>65268</v>
      </c>
      <c r="BE1284">
        <v>18155.62</v>
      </c>
      <c r="BF1284">
        <v>0</v>
      </c>
      <c r="BG1284" t="s">
        <v>87</v>
      </c>
      <c r="BH1284" t="s">
        <v>66</v>
      </c>
      <c r="BI1284">
        <v>0</v>
      </c>
      <c r="BJ1284" t="s">
        <v>66</v>
      </c>
      <c r="BK1284" t="s">
        <v>88</v>
      </c>
      <c r="BL1284" t="s">
        <v>719</v>
      </c>
      <c r="BM1284" t="s">
        <v>159</v>
      </c>
    </row>
    <row r="1285" spans="1:65" x14ac:dyDescent="0.25">
      <c r="A1285">
        <v>1283</v>
      </c>
      <c r="B1285" t="s">
        <v>1513</v>
      </c>
      <c r="C1285" t="s">
        <v>68</v>
      </c>
      <c r="D1285" s="1">
        <v>46218</v>
      </c>
      <c r="E1285" t="s">
        <v>1514</v>
      </c>
      <c r="F1285" t="s">
        <v>68</v>
      </c>
      <c r="G1285" t="s">
        <v>295</v>
      </c>
      <c r="H1285" t="s">
        <v>296</v>
      </c>
      <c r="I1285" t="s">
        <v>71</v>
      </c>
      <c r="J1285" t="s">
        <v>72</v>
      </c>
      <c r="K1285" t="s">
        <v>73</v>
      </c>
      <c r="L1285" t="s">
        <v>74</v>
      </c>
      <c r="M1285" t="s">
        <v>1515</v>
      </c>
      <c r="N1285" t="s">
        <v>111</v>
      </c>
      <c r="O1285" t="s">
        <v>1516</v>
      </c>
      <c r="P1285" t="s">
        <v>1517</v>
      </c>
      <c r="Q1285" t="s">
        <v>1518</v>
      </c>
      <c r="R1285" s="1">
        <v>46219</v>
      </c>
      <c r="S1285" t="s">
        <v>1519</v>
      </c>
      <c r="T1285" t="s">
        <v>1520</v>
      </c>
      <c r="U1285" t="s">
        <v>1521</v>
      </c>
      <c r="V1285" t="s">
        <v>66</v>
      </c>
      <c r="W1285" t="s">
        <v>66</v>
      </c>
      <c r="X1285">
        <v>510600</v>
      </c>
      <c r="Y1285">
        <v>56166</v>
      </c>
      <c r="Z1285">
        <v>99000</v>
      </c>
      <c r="AA1285">
        <v>10890</v>
      </c>
      <c r="AB1285">
        <v>566766</v>
      </c>
      <c r="AC1285">
        <v>6</v>
      </c>
      <c r="AD1285" t="s">
        <v>82</v>
      </c>
      <c r="AE1285">
        <v>6</v>
      </c>
      <c r="AF1285" t="s">
        <v>93</v>
      </c>
      <c r="AG1285">
        <f>IFERROR(VLOOKUP(AF1285,[1]STOK!J:O,6,0),"")</f>
        <v>24</v>
      </c>
      <c r="AH1285" s="2">
        <f t="shared" si="40"/>
        <v>0.25</v>
      </c>
      <c r="AI1285" t="s">
        <v>93</v>
      </c>
      <c r="AJ1285" t="s">
        <v>94</v>
      </c>
      <c r="AK1285" t="s">
        <v>95</v>
      </c>
      <c r="AL1285" t="s">
        <v>86</v>
      </c>
      <c r="AM1285">
        <v>18315</v>
      </c>
      <c r="AN1285">
        <f t="shared" si="41"/>
        <v>18315</v>
      </c>
      <c r="AO1285" t="s">
        <v>66</v>
      </c>
      <c r="AP1285">
        <v>0</v>
      </c>
      <c r="AQ1285" t="s">
        <v>66</v>
      </c>
      <c r="AR1285">
        <v>0</v>
      </c>
      <c r="AS1285" t="s">
        <v>66</v>
      </c>
      <c r="AT1285">
        <v>0</v>
      </c>
      <c r="AU1285" t="s">
        <v>66</v>
      </c>
      <c r="AV1285">
        <v>0</v>
      </c>
      <c r="AW1285" t="s">
        <v>66</v>
      </c>
      <c r="AX1285">
        <v>0</v>
      </c>
      <c r="AY1285" t="s">
        <v>66</v>
      </c>
      <c r="AZ1285">
        <v>0</v>
      </c>
      <c r="BA1285" t="s">
        <v>66</v>
      </c>
      <c r="BB1285">
        <v>0</v>
      </c>
      <c r="BC1285">
        <v>0</v>
      </c>
      <c r="BD1285">
        <v>109890</v>
      </c>
      <c r="BE1285">
        <v>14878.51</v>
      </c>
      <c r="BF1285">
        <v>0</v>
      </c>
      <c r="BG1285" t="s">
        <v>87</v>
      </c>
      <c r="BH1285" t="s">
        <v>66</v>
      </c>
      <c r="BI1285">
        <v>0</v>
      </c>
      <c r="BJ1285" t="s">
        <v>66</v>
      </c>
      <c r="BK1285" t="s">
        <v>88</v>
      </c>
      <c r="BL1285" t="s">
        <v>66</v>
      </c>
      <c r="BM1285" t="s">
        <v>159</v>
      </c>
    </row>
    <row r="1286" spans="1:65" x14ac:dyDescent="0.25">
      <c r="A1286">
        <v>1284</v>
      </c>
      <c r="B1286" t="s">
        <v>1513</v>
      </c>
      <c r="C1286" t="s">
        <v>68</v>
      </c>
      <c r="D1286" s="1">
        <v>46218</v>
      </c>
      <c r="E1286" t="s">
        <v>1514</v>
      </c>
      <c r="F1286" t="s">
        <v>68</v>
      </c>
      <c r="G1286" t="s">
        <v>295</v>
      </c>
      <c r="H1286" t="s">
        <v>296</v>
      </c>
      <c r="I1286" t="s">
        <v>71</v>
      </c>
      <c r="J1286" t="s">
        <v>72</v>
      </c>
      <c r="K1286" t="s">
        <v>73</v>
      </c>
      <c r="L1286" t="s">
        <v>74</v>
      </c>
      <c r="M1286" t="s">
        <v>1515</v>
      </c>
      <c r="N1286" t="s">
        <v>111</v>
      </c>
      <c r="O1286" t="s">
        <v>1516</v>
      </c>
      <c r="P1286" t="s">
        <v>1517</v>
      </c>
      <c r="Q1286" t="s">
        <v>1518</v>
      </c>
      <c r="R1286" s="1">
        <v>46219</v>
      </c>
      <c r="S1286" t="s">
        <v>1519</v>
      </c>
      <c r="T1286" t="s">
        <v>1520</v>
      </c>
      <c r="U1286" t="s">
        <v>1521</v>
      </c>
      <c r="V1286" t="s">
        <v>66</v>
      </c>
      <c r="W1286" t="s">
        <v>66</v>
      </c>
      <c r="X1286">
        <v>510600</v>
      </c>
      <c r="Y1286">
        <v>56166</v>
      </c>
      <c r="Z1286">
        <v>99000</v>
      </c>
      <c r="AA1286">
        <v>10890</v>
      </c>
      <c r="AB1286">
        <v>566766</v>
      </c>
      <c r="AC1286">
        <v>6</v>
      </c>
      <c r="AD1286" t="s">
        <v>82</v>
      </c>
      <c r="AE1286">
        <v>6</v>
      </c>
      <c r="AF1286" t="s">
        <v>205</v>
      </c>
      <c r="AG1286">
        <f>IFERROR(VLOOKUP(AF1286,[1]STOK!J:O,6,0),"")</f>
        <v>24</v>
      </c>
      <c r="AH1286" s="2">
        <f t="shared" si="40"/>
        <v>0.25</v>
      </c>
      <c r="AI1286" t="s">
        <v>205</v>
      </c>
      <c r="AJ1286" t="s">
        <v>206</v>
      </c>
      <c r="AK1286" t="s">
        <v>207</v>
      </c>
      <c r="AL1286" t="s">
        <v>86</v>
      </c>
      <c r="AM1286">
        <v>18315</v>
      </c>
      <c r="AN1286">
        <f t="shared" si="41"/>
        <v>18315</v>
      </c>
      <c r="AO1286" t="s">
        <v>66</v>
      </c>
      <c r="AP1286">
        <v>0</v>
      </c>
      <c r="AQ1286" t="s">
        <v>66</v>
      </c>
      <c r="AR1286">
        <v>0</v>
      </c>
      <c r="AS1286" t="s">
        <v>66</v>
      </c>
      <c r="AT1286">
        <v>0</v>
      </c>
      <c r="AU1286" t="s">
        <v>66</v>
      </c>
      <c r="AV1286">
        <v>0</v>
      </c>
      <c r="AW1286" t="s">
        <v>66</v>
      </c>
      <c r="AX1286">
        <v>0</v>
      </c>
      <c r="AY1286" t="s">
        <v>66</v>
      </c>
      <c r="AZ1286">
        <v>0</v>
      </c>
      <c r="BA1286" t="s">
        <v>66</v>
      </c>
      <c r="BB1286">
        <v>0</v>
      </c>
      <c r="BC1286">
        <v>0</v>
      </c>
      <c r="BD1286">
        <v>109890</v>
      </c>
      <c r="BE1286">
        <v>14876.63</v>
      </c>
      <c r="BF1286">
        <v>0</v>
      </c>
      <c r="BG1286" t="s">
        <v>87</v>
      </c>
      <c r="BH1286" t="s">
        <v>66</v>
      </c>
      <c r="BI1286">
        <v>0</v>
      </c>
      <c r="BJ1286" t="s">
        <v>66</v>
      </c>
      <c r="BK1286" t="s">
        <v>88</v>
      </c>
      <c r="BL1286" t="s">
        <v>66</v>
      </c>
      <c r="BM1286" t="s">
        <v>159</v>
      </c>
    </row>
    <row r="1287" spans="1:65" x14ac:dyDescent="0.25">
      <c r="A1287">
        <v>1285</v>
      </c>
      <c r="B1287" t="s">
        <v>1513</v>
      </c>
      <c r="C1287" t="s">
        <v>68</v>
      </c>
      <c r="D1287" s="1">
        <v>46218</v>
      </c>
      <c r="E1287" t="s">
        <v>1514</v>
      </c>
      <c r="F1287" t="s">
        <v>68</v>
      </c>
      <c r="G1287" t="s">
        <v>295</v>
      </c>
      <c r="H1287" t="s">
        <v>296</v>
      </c>
      <c r="I1287" t="s">
        <v>71</v>
      </c>
      <c r="J1287" t="s">
        <v>72</v>
      </c>
      <c r="K1287" t="s">
        <v>73</v>
      </c>
      <c r="L1287" t="s">
        <v>74</v>
      </c>
      <c r="M1287" t="s">
        <v>1515</v>
      </c>
      <c r="N1287" t="s">
        <v>111</v>
      </c>
      <c r="O1287" t="s">
        <v>1516</v>
      </c>
      <c r="P1287" t="s">
        <v>1517</v>
      </c>
      <c r="Q1287" t="s">
        <v>1518</v>
      </c>
      <c r="R1287" s="1">
        <v>46219</v>
      </c>
      <c r="S1287" t="s">
        <v>1519</v>
      </c>
      <c r="T1287" t="s">
        <v>1520</v>
      </c>
      <c r="U1287" t="s">
        <v>1521</v>
      </c>
      <c r="V1287" t="s">
        <v>66</v>
      </c>
      <c r="W1287" t="s">
        <v>66</v>
      </c>
      <c r="X1287">
        <v>510600</v>
      </c>
      <c r="Y1287">
        <v>56166</v>
      </c>
      <c r="Z1287">
        <v>99000</v>
      </c>
      <c r="AA1287">
        <v>10890</v>
      </c>
      <c r="AB1287">
        <v>566766</v>
      </c>
      <c r="AC1287">
        <v>6</v>
      </c>
      <c r="AD1287" t="s">
        <v>82</v>
      </c>
      <c r="AE1287">
        <v>6</v>
      </c>
      <c r="AF1287" t="s">
        <v>96</v>
      </c>
      <c r="AG1287">
        <f>IFERROR(VLOOKUP(AF1287,[1]STOK!J:O,6,0),"")</f>
        <v>24</v>
      </c>
      <c r="AH1287" s="2">
        <f t="shared" si="40"/>
        <v>0.25</v>
      </c>
      <c r="AI1287" t="s">
        <v>96</v>
      </c>
      <c r="AJ1287" t="s">
        <v>97</v>
      </c>
      <c r="AK1287" t="s">
        <v>98</v>
      </c>
      <c r="AL1287" t="s">
        <v>86</v>
      </c>
      <c r="AM1287">
        <v>18315</v>
      </c>
      <c r="AN1287">
        <f t="shared" si="41"/>
        <v>18315</v>
      </c>
      <c r="AO1287" t="s">
        <v>66</v>
      </c>
      <c r="AP1287">
        <v>0</v>
      </c>
      <c r="AQ1287" t="s">
        <v>66</v>
      </c>
      <c r="AR1287">
        <v>0</v>
      </c>
      <c r="AS1287" t="s">
        <v>66</v>
      </c>
      <c r="AT1287">
        <v>0</v>
      </c>
      <c r="AU1287" t="s">
        <v>66</v>
      </c>
      <c r="AV1287">
        <v>0</v>
      </c>
      <c r="AW1287" t="s">
        <v>66</v>
      </c>
      <c r="AX1287">
        <v>0</v>
      </c>
      <c r="AY1287" t="s">
        <v>66</v>
      </c>
      <c r="AZ1287">
        <v>0</v>
      </c>
      <c r="BA1287" t="s">
        <v>66</v>
      </c>
      <c r="BB1287">
        <v>0</v>
      </c>
      <c r="BC1287">
        <v>0</v>
      </c>
      <c r="BD1287">
        <v>109890</v>
      </c>
      <c r="BE1287">
        <v>14881.93</v>
      </c>
      <c r="BF1287">
        <v>0</v>
      </c>
      <c r="BG1287" t="s">
        <v>87</v>
      </c>
      <c r="BH1287" t="s">
        <v>66</v>
      </c>
      <c r="BI1287">
        <v>0</v>
      </c>
      <c r="BJ1287" t="s">
        <v>66</v>
      </c>
      <c r="BK1287" t="s">
        <v>88</v>
      </c>
      <c r="BL1287" t="s">
        <v>66</v>
      </c>
      <c r="BM1287" t="s">
        <v>159</v>
      </c>
    </row>
    <row r="1288" spans="1:65" x14ac:dyDescent="0.25">
      <c r="A1288">
        <v>1286</v>
      </c>
      <c r="B1288" t="s">
        <v>1513</v>
      </c>
      <c r="C1288" t="s">
        <v>68</v>
      </c>
      <c r="D1288" s="1">
        <v>46218</v>
      </c>
      <c r="E1288" t="s">
        <v>1514</v>
      </c>
      <c r="F1288" t="s">
        <v>68</v>
      </c>
      <c r="G1288" t="s">
        <v>295</v>
      </c>
      <c r="H1288" t="s">
        <v>296</v>
      </c>
      <c r="I1288" t="s">
        <v>71</v>
      </c>
      <c r="J1288" t="s">
        <v>72</v>
      </c>
      <c r="K1288" t="s">
        <v>73</v>
      </c>
      <c r="L1288" t="s">
        <v>74</v>
      </c>
      <c r="M1288" t="s">
        <v>1515</v>
      </c>
      <c r="N1288" t="s">
        <v>111</v>
      </c>
      <c r="O1288" t="s">
        <v>1516</v>
      </c>
      <c r="P1288" t="s">
        <v>1517</v>
      </c>
      <c r="Q1288" t="s">
        <v>1518</v>
      </c>
      <c r="R1288" s="1">
        <v>46219</v>
      </c>
      <c r="S1288" t="s">
        <v>1519</v>
      </c>
      <c r="T1288" t="s">
        <v>1520</v>
      </c>
      <c r="U1288" t="s">
        <v>1521</v>
      </c>
      <c r="V1288" t="s">
        <v>66</v>
      </c>
      <c r="W1288" t="s">
        <v>66</v>
      </c>
      <c r="X1288">
        <v>510600</v>
      </c>
      <c r="Y1288">
        <v>56166</v>
      </c>
      <c r="Z1288">
        <v>99000</v>
      </c>
      <c r="AA1288">
        <v>10890</v>
      </c>
      <c r="AB1288">
        <v>566766</v>
      </c>
      <c r="AC1288">
        <v>6</v>
      </c>
      <c r="AD1288" t="s">
        <v>82</v>
      </c>
      <c r="AE1288">
        <v>6</v>
      </c>
      <c r="AF1288" t="s">
        <v>99</v>
      </c>
      <c r="AG1288">
        <f>IFERROR(VLOOKUP(AF1288,[1]STOK!J:O,6,0),"")</f>
        <v>24</v>
      </c>
      <c r="AH1288" s="2">
        <f t="shared" si="40"/>
        <v>0.25</v>
      </c>
      <c r="AI1288" t="s">
        <v>99</v>
      </c>
      <c r="AJ1288" t="s">
        <v>100</v>
      </c>
      <c r="AK1288" t="s">
        <v>101</v>
      </c>
      <c r="AL1288" t="s">
        <v>86</v>
      </c>
      <c r="AM1288">
        <v>18315</v>
      </c>
      <c r="AN1288">
        <f t="shared" si="41"/>
        <v>18315</v>
      </c>
      <c r="AO1288" t="s">
        <v>66</v>
      </c>
      <c r="AP1288">
        <v>0</v>
      </c>
      <c r="AQ1288" t="s">
        <v>66</v>
      </c>
      <c r="AR1288">
        <v>0</v>
      </c>
      <c r="AS1288" t="s">
        <v>66</v>
      </c>
      <c r="AT1288">
        <v>0</v>
      </c>
      <c r="AU1288" t="s">
        <v>66</v>
      </c>
      <c r="AV1288">
        <v>0</v>
      </c>
      <c r="AW1288" t="s">
        <v>66</v>
      </c>
      <c r="AX1288">
        <v>0</v>
      </c>
      <c r="AY1288" t="s">
        <v>66</v>
      </c>
      <c r="AZ1288">
        <v>0</v>
      </c>
      <c r="BA1288" t="s">
        <v>66</v>
      </c>
      <c r="BB1288">
        <v>0</v>
      </c>
      <c r="BC1288">
        <v>0</v>
      </c>
      <c r="BD1288">
        <v>109890</v>
      </c>
      <c r="BE1288">
        <v>14924.93</v>
      </c>
      <c r="BF1288">
        <v>0</v>
      </c>
      <c r="BG1288" t="s">
        <v>87</v>
      </c>
      <c r="BH1288" t="s">
        <v>66</v>
      </c>
      <c r="BI1288">
        <v>0</v>
      </c>
      <c r="BJ1288" t="s">
        <v>66</v>
      </c>
      <c r="BK1288" t="s">
        <v>88</v>
      </c>
      <c r="BL1288" t="s">
        <v>66</v>
      </c>
      <c r="BM1288" t="s">
        <v>159</v>
      </c>
    </row>
    <row r="1289" spans="1:65" x14ac:dyDescent="0.25">
      <c r="A1289">
        <v>1287</v>
      </c>
      <c r="B1289" t="s">
        <v>1513</v>
      </c>
      <c r="C1289" t="s">
        <v>68</v>
      </c>
      <c r="D1289" s="1">
        <v>46218</v>
      </c>
      <c r="E1289" t="s">
        <v>1514</v>
      </c>
      <c r="F1289" t="s">
        <v>68</v>
      </c>
      <c r="G1289" t="s">
        <v>295</v>
      </c>
      <c r="H1289" t="s">
        <v>296</v>
      </c>
      <c r="I1289" t="s">
        <v>71</v>
      </c>
      <c r="J1289" t="s">
        <v>72</v>
      </c>
      <c r="K1289" t="s">
        <v>73</v>
      </c>
      <c r="L1289" t="s">
        <v>74</v>
      </c>
      <c r="M1289" t="s">
        <v>1515</v>
      </c>
      <c r="N1289" t="s">
        <v>111</v>
      </c>
      <c r="O1289" t="s">
        <v>1516</v>
      </c>
      <c r="P1289" t="s">
        <v>1517</v>
      </c>
      <c r="Q1289" t="s">
        <v>1518</v>
      </c>
      <c r="R1289" s="1">
        <v>46219</v>
      </c>
      <c r="S1289" t="s">
        <v>1519</v>
      </c>
      <c r="T1289" t="s">
        <v>1520</v>
      </c>
      <c r="U1289" t="s">
        <v>1521</v>
      </c>
      <c r="V1289" t="s">
        <v>66</v>
      </c>
      <c r="W1289" t="s">
        <v>66</v>
      </c>
      <c r="X1289">
        <v>510600</v>
      </c>
      <c r="Y1289">
        <v>56166</v>
      </c>
      <c r="Z1289">
        <v>54600</v>
      </c>
      <c r="AA1289">
        <v>6006</v>
      </c>
      <c r="AB1289">
        <v>566766</v>
      </c>
      <c r="AC1289">
        <v>2</v>
      </c>
      <c r="AD1289" t="s">
        <v>82</v>
      </c>
      <c r="AE1289">
        <v>2</v>
      </c>
      <c r="AF1289" t="s">
        <v>306</v>
      </c>
      <c r="AG1289">
        <f>IFERROR(VLOOKUP(AF1289,[1]STOK!J:O,6,0),"")</f>
        <v>12</v>
      </c>
      <c r="AH1289" s="2">
        <f t="shared" si="40"/>
        <v>0.16666666666666666</v>
      </c>
      <c r="AI1289" t="s">
        <v>306</v>
      </c>
      <c r="AJ1289" t="s">
        <v>307</v>
      </c>
      <c r="AK1289" t="s">
        <v>308</v>
      </c>
      <c r="AL1289" t="s">
        <v>86</v>
      </c>
      <c r="AM1289">
        <v>30303</v>
      </c>
      <c r="AN1289">
        <f t="shared" si="41"/>
        <v>30303</v>
      </c>
      <c r="AO1289" t="s">
        <v>66</v>
      </c>
      <c r="AP1289">
        <v>0</v>
      </c>
      <c r="AQ1289" t="s">
        <v>66</v>
      </c>
      <c r="AR1289">
        <v>0</v>
      </c>
      <c r="AS1289" t="s">
        <v>66</v>
      </c>
      <c r="AT1289">
        <v>0</v>
      </c>
      <c r="AU1289" t="s">
        <v>66</v>
      </c>
      <c r="AV1289">
        <v>0</v>
      </c>
      <c r="AW1289" t="s">
        <v>66</v>
      </c>
      <c r="AX1289">
        <v>0</v>
      </c>
      <c r="AY1289" t="s">
        <v>66</v>
      </c>
      <c r="AZ1289">
        <v>0</v>
      </c>
      <c r="BA1289" t="s">
        <v>66</v>
      </c>
      <c r="BB1289">
        <v>0</v>
      </c>
      <c r="BC1289">
        <v>0</v>
      </c>
      <c r="BD1289">
        <v>60606</v>
      </c>
      <c r="BE1289">
        <v>24657.27</v>
      </c>
      <c r="BF1289">
        <v>0</v>
      </c>
      <c r="BG1289" t="s">
        <v>87</v>
      </c>
      <c r="BH1289" t="s">
        <v>66</v>
      </c>
      <c r="BI1289">
        <v>0</v>
      </c>
      <c r="BJ1289" t="s">
        <v>66</v>
      </c>
      <c r="BK1289" t="s">
        <v>88</v>
      </c>
      <c r="BL1289" t="s">
        <v>66</v>
      </c>
      <c r="BM1289" t="s">
        <v>159</v>
      </c>
    </row>
    <row r="1290" spans="1:65" x14ac:dyDescent="0.25">
      <c r="A1290">
        <v>1288</v>
      </c>
      <c r="B1290" t="s">
        <v>1513</v>
      </c>
      <c r="C1290" t="s">
        <v>68</v>
      </c>
      <c r="D1290" s="1">
        <v>46218</v>
      </c>
      <c r="E1290" t="s">
        <v>1514</v>
      </c>
      <c r="F1290" t="s">
        <v>68</v>
      </c>
      <c r="G1290" t="s">
        <v>295</v>
      </c>
      <c r="H1290" t="s">
        <v>296</v>
      </c>
      <c r="I1290" t="s">
        <v>71</v>
      </c>
      <c r="J1290" t="s">
        <v>72</v>
      </c>
      <c r="K1290" t="s">
        <v>73</v>
      </c>
      <c r="L1290" t="s">
        <v>74</v>
      </c>
      <c r="M1290" t="s">
        <v>1515</v>
      </c>
      <c r="N1290" t="s">
        <v>111</v>
      </c>
      <c r="O1290" t="s">
        <v>1516</v>
      </c>
      <c r="P1290" t="s">
        <v>1517</v>
      </c>
      <c r="Q1290" t="s">
        <v>1518</v>
      </c>
      <c r="R1290" s="1">
        <v>46219</v>
      </c>
      <c r="S1290" t="s">
        <v>1519</v>
      </c>
      <c r="T1290" t="s">
        <v>1520</v>
      </c>
      <c r="U1290" t="s">
        <v>1521</v>
      </c>
      <c r="V1290" t="s">
        <v>66</v>
      </c>
      <c r="W1290" t="s">
        <v>66</v>
      </c>
      <c r="X1290">
        <v>510600</v>
      </c>
      <c r="Y1290">
        <v>56166</v>
      </c>
      <c r="Z1290">
        <v>60000</v>
      </c>
      <c r="AA1290">
        <v>6600</v>
      </c>
      <c r="AB1290">
        <v>566766</v>
      </c>
      <c r="AC1290">
        <v>3</v>
      </c>
      <c r="AD1290" t="s">
        <v>82</v>
      </c>
      <c r="AE1290">
        <v>3</v>
      </c>
      <c r="AF1290" t="s">
        <v>102</v>
      </c>
      <c r="AG1290">
        <f>IFERROR(VLOOKUP(AF1290,[1]STOK!J:O,6,0),"")</f>
        <v>12</v>
      </c>
      <c r="AH1290" s="2">
        <f t="shared" si="40"/>
        <v>0.25</v>
      </c>
      <c r="AI1290" t="s">
        <v>102</v>
      </c>
      <c r="AJ1290" t="s">
        <v>103</v>
      </c>
      <c r="AK1290" t="s">
        <v>104</v>
      </c>
      <c r="AL1290" t="s">
        <v>86</v>
      </c>
      <c r="AM1290">
        <v>22200</v>
      </c>
      <c r="AN1290">
        <f t="shared" si="41"/>
        <v>22200</v>
      </c>
      <c r="AO1290" t="s">
        <v>66</v>
      </c>
      <c r="AP1290">
        <v>0</v>
      </c>
      <c r="AQ1290" t="s">
        <v>66</v>
      </c>
      <c r="AR1290">
        <v>0</v>
      </c>
      <c r="AS1290" t="s">
        <v>66</v>
      </c>
      <c r="AT1290">
        <v>0</v>
      </c>
      <c r="AU1290" t="s">
        <v>66</v>
      </c>
      <c r="AV1290">
        <v>0</v>
      </c>
      <c r="AW1290" t="s">
        <v>66</v>
      </c>
      <c r="AX1290">
        <v>0</v>
      </c>
      <c r="AY1290" t="s">
        <v>66</v>
      </c>
      <c r="AZ1290">
        <v>0</v>
      </c>
      <c r="BA1290" t="s">
        <v>66</v>
      </c>
      <c r="BB1290">
        <v>0</v>
      </c>
      <c r="BC1290">
        <v>0</v>
      </c>
      <c r="BD1290">
        <v>66600</v>
      </c>
      <c r="BE1290">
        <v>17828.62</v>
      </c>
      <c r="BF1290">
        <v>0</v>
      </c>
      <c r="BG1290" t="s">
        <v>87</v>
      </c>
      <c r="BH1290" t="s">
        <v>66</v>
      </c>
      <c r="BI1290">
        <v>0</v>
      </c>
      <c r="BJ1290" t="s">
        <v>66</v>
      </c>
      <c r="BK1290" t="s">
        <v>88</v>
      </c>
      <c r="BL1290" t="s">
        <v>66</v>
      </c>
      <c r="BM1290" t="s">
        <v>159</v>
      </c>
    </row>
    <row r="1291" spans="1:65" x14ac:dyDescent="0.25">
      <c r="A1291">
        <v>1289</v>
      </c>
      <c r="B1291" t="s">
        <v>1522</v>
      </c>
      <c r="C1291" t="s">
        <v>1523</v>
      </c>
      <c r="D1291" s="1">
        <v>46218</v>
      </c>
      <c r="E1291" t="s">
        <v>1524</v>
      </c>
      <c r="F1291" t="s">
        <v>1525</v>
      </c>
      <c r="G1291" t="s">
        <v>295</v>
      </c>
      <c r="H1291" t="s">
        <v>296</v>
      </c>
      <c r="I1291" t="s">
        <v>71</v>
      </c>
      <c r="J1291" t="s">
        <v>72</v>
      </c>
      <c r="K1291" t="s">
        <v>73</v>
      </c>
      <c r="L1291" t="s">
        <v>74</v>
      </c>
      <c r="M1291" t="s">
        <v>995</v>
      </c>
      <c r="N1291" t="s">
        <v>111</v>
      </c>
      <c r="O1291" t="s">
        <v>996</v>
      </c>
      <c r="P1291" t="s">
        <v>997</v>
      </c>
      <c r="Q1291" t="s">
        <v>1526</v>
      </c>
      <c r="R1291" s="1">
        <v>46221</v>
      </c>
      <c r="S1291" t="s">
        <v>999</v>
      </c>
      <c r="T1291" t="s">
        <v>1000</v>
      </c>
      <c r="U1291" t="s">
        <v>1001</v>
      </c>
      <c r="V1291" t="s">
        <v>66</v>
      </c>
      <c r="W1291" t="s">
        <v>66</v>
      </c>
      <c r="X1291">
        <v>425052.06</v>
      </c>
      <c r="Y1291">
        <v>46755.73</v>
      </c>
      <c r="Z1291">
        <v>224686.92</v>
      </c>
      <c r="AA1291">
        <v>24715.56</v>
      </c>
      <c r="AB1291">
        <v>471807.79</v>
      </c>
      <c r="AC1291">
        <v>1</v>
      </c>
      <c r="AD1291" t="s">
        <v>134</v>
      </c>
      <c r="AE1291">
        <v>12</v>
      </c>
      <c r="AF1291" t="s">
        <v>284</v>
      </c>
      <c r="AG1291">
        <f>IFERROR(VLOOKUP(AF1291,[1]STOK!J:O,6,0),"")</f>
        <v>12</v>
      </c>
      <c r="AH1291" s="2">
        <f t="shared" si="40"/>
        <v>1</v>
      </c>
      <c r="AI1291" t="s">
        <v>284</v>
      </c>
      <c r="AJ1291" t="s">
        <v>285</v>
      </c>
      <c r="AK1291" t="s">
        <v>286</v>
      </c>
      <c r="AL1291" t="s">
        <v>86</v>
      </c>
      <c r="AM1291">
        <v>258408</v>
      </c>
      <c r="AN1291">
        <f t="shared" si="41"/>
        <v>249402.48</v>
      </c>
      <c r="AO1291" t="s">
        <v>66</v>
      </c>
      <c r="AP1291">
        <v>3</v>
      </c>
      <c r="AQ1291" t="s">
        <v>66</v>
      </c>
      <c r="AR1291">
        <v>0</v>
      </c>
      <c r="AS1291" t="s">
        <v>66</v>
      </c>
      <c r="AT1291">
        <v>0</v>
      </c>
      <c r="AU1291" t="s">
        <v>66</v>
      </c>
      <c r="AV1291">
        <v>0.5</v>
      </c>
      <c r="AW1291" t="s">
        <v>66</v>
      </c>
      <c r="AX1291">
        <v>0</v>
      </c>
      <c r="AY1291" t="s">
        <v>66</v>
      </c>
      <c r="AZ1291">
        <v>0</v>
      </c>
      <c r="BA1291" t="s">
        <v>66</v>
      </c>
      <c r="BB1291">
        <v>0</v>
      </c>
      <c r="BC1291">
        <v>0</v>
      </c>
      <c r="BD1291">
        <v>249402.48</v>
      </c>
      <c r="BE1291">
        <v>17160.12</v>
      </c>
      <c r="BF1291">
        <v>0</v>
      </c>
      <c r="BG1291" t="s">
        <v>87</v>
      </c>
      <c r="BH1291" t="s">
        <v>66</v>
      </c>
      <c r="BI1291">
        <v>0</v>
      </c>
      <c r="BJ1291" t="s">
        <v>66</v>
      </c>
      <c r="BK1291" t="s">
        <v>88</v>
      </c>
      <c r="BL1291" t="s">
        <v>66</v>
      </c>
      <c r="BM1291" t="s">
        <v>159</v>
      </c>
    </row>
    <row r="1292" spans="1:65" x14ac:dyDescent="0.25">
      <c r="A1292">
        <v>1290</v>
      </c>
      <c r="B1292" t="s">
        <v>1522</v>
      </c>
      <c r="C1292" t="s">
        <v>1523</v>
      </c>
      <c r="D1292" s="1">
        <v>46218</v>
      </c>
      <c r="E1292" t="s">
        <v>1524</v>
      </c>
      <c r="F1292" t="s">
        <v>1525</v>
      </c>
      <c r="G1292" t="s">
        <v>295</v>
      </c>
      <c r="H1292" t="s">
        <v>296</v>
      </c>
      <c r="I1292" t="s">
        <v>71</v>
      </c>
      <c r="J1292" t="s">
        <v>72</v>
      </c>
      <c r="K1292" t="s">
        <v>73</v>
      </c>
      <c r="L1292" t="s">
        <v>74</v>
      </c>
      <c r="M1292" t="s">
        <v>995</v>
      </c>
      <c r="N1292" t="s">
        <v>111</v>
      </c>
      <c r="O1292" t="s">
        <v>996</v>
      </c>
      <c r="P1292" t="s">
        <v>997</v>
      </c>
      <c r="Q1292" t="s">
        <v>1526</v>
      </c>
      <c r="R1292" s="1">
        <v>46221</v>
      </c>
      <c r="S1292" t="s">
        <v>999</v>
      </c>
      <c r="T1292" t="s">
        <v>1000</v>
      </c>
      <c r="U1292" t="s">
        <v>1001</v>
      </c>
      <c r="V1292" t="s">
        <v>66</v>
      </c>
      <c r="W1292" t="s">
        <v>66</v>
      </c>
      <c r="X1292">
        <v>425052.06</v>
      </c>
      <c r="Y1292">
        <v>46755.73</v>
      </c>
      <c r="Z1292">
        <v>200365.14</v>
      </c>
      <c r="AA1292">
        <v>22040.17</v>
      </c>
      <c r="AB1292">
        <v>471807.79</v>
      </c>
      <c r="AC1292">
        <v>1</v>
      </c>
      <c r="AD1292" t="s">
        <v>134</v>
      </c>
      <c r="AE1292">
        <v>12</v>
      </c>
      <c r="AF1292" t="s">
        <v>359</v>
      </c>
      <c r="AG1292">
        <f>IFERROR(VLOOKUP(AF1292,[1]STOK!J:O,6,0),"")</f>
        <v>12</v>
      </c>
      <c r="AH1292" s="2">
        <f t="shared" si="40"/>
        <v>1</v>
      </c>
      <c r="AI1292" t="s">
        <v>359</v>
      </c>
      <c r="AJ1292" t="s">
        <v>360</v>
      </c>
      <c r="AK1292" t="s">
        <v>361</v>
      </c>
      <c r="AL1292" t="s">
        <v>86</v>
      </c>
      <c r="AM1292">
        <v>230436</v>
      </c>
      <c r="AN1292">
        <f t="shared" si="41"/>
        <v>222405.31</v>
      </c>
      <c r="AO1292" t="s">
        <v>66</v>
      </c>
      <c r="AP1292">
        <v>3</v>
      </c>
      <c r="AQ1292" t="s">
        <v>66</v>
      </c>
      <c r="AR1292">
        <v>0</v>
      </c>
      <c r="AS1292" t="s">
        <v>66</v>
      </c>
      <c r="AT1292">
        <v>0</v>
      </c>
      <c r="AU1292" t="s">
        <v>66</v>
      </c>
      <c r="AV1292">
        <v>0.5</v>
      </c>
      <c r="AW1292" t="s">
        <v>66</v>
      </c>
      <c r="AX1292">
        <v>0</v>
      </c>
      <c r="AY1292" t="s">
        <v>66</v>
      </c>
      <c r="AZ1292">
        <v>0</v>
      </c>
      <c r="BA1292" t="s">
        <v>66</v>
      </c>
      <c r="BB1292">
        <v>0</v>
      </c>
      <c r="BC1292">
        <v>0</v>
      </c>
      <c r="BD1292">
        <v>222405.31</v>
      </c>
      <c r="BE1292">
        <v>15490.24</v>
      </c>
      <c r="BF1292">
        <v>0</v>
      </c>
      <c r="BG1292" t="s">
        <v>87</v>
      </c>
      <c r="BH1292" t="s">
        <v>66</v>
      </c>
      <c r="BI1292">
        <v>0</v>
      </c>
      <c r="BJ1292" t="s">
        <v>66</v>
      </c>
      <c r="BK1292" t="s">
        <v>88</v>
      </c>
      <c r="BL1292" t="s">
        <v>66</v>
      </c>
      <c r="BM1292" t="s">
        <v>159</v>
      </c>
    </row>
    <row r="1293" spans="1:65" x14ac:dyDescent="0.25">
      <c r="A1293">
        <v>1291</v>
      </c>
      <c r="B1293" t="s">
        <v>1527</v>
      </c>
      <c r="C1293" t="s">
        <v>1528</v>
      </c>
      <c r="D1293" s="1">
        <v>46218</v>
      </c>
      <c r="E1293" t="s">
        <v>1529</v>
      </c>
      <c r="F1293" t="s">
        <v>1530</v>
      </c>
      <c r="G1293" t="s">
        <v>295</v>
      </c>
      <c r="H1293" t="s">
        <v>296</v>
      </c>
      <c r="I1293" t="s">
        <v>71</v>
      </c>
      <c r="J1293" t="s">
        <v>72</v>
      </c>
      <c r="K1293" t="s">
        <v>73</v>
      </c>
      <c r="L1293" t="s">
        <v>74</v>
      </c>
      <c r="M1293" t="s">
        <v>601</v>
      </c>
      <c r="N1293" t="s">
        <v>76</v>
      </c>
      <c r="O1293" t="s">
        <v>602</v>
      </c>
      <c r="P1293" t="s">
        <v>603</v>
      </c>
      <c r="Q1293" t="s">
        <v>1531</v>
      </c>
      <c r="R1293" s="1">
        <v>46219</v>
      </c>
      <c r="S1293" t="s">
        <v>605</v>
      </c>
      <c r="T1293" t="s">
        <v>606</v>
      </c>
      <c r="U1293" t="s">
        <v>607</v>
      </c>
      <c r="V1293" t="s">
        <v>66</v>
      </c>
      <c r="W1293" t="s">
        <v>66</v>
      </c>
      <c r="X1293">
        <v>737976</v>
      </c>
      <c r="Y1293">
        <v>81177.36</v>
      </c>
      <c r="Z1293">
        <v>402744</v>
      </c>
      <c r="AA1293">
        <v>44301.84</v>
      </c>
      <c r="AB1293">
        <v>819153.36</v>
      </c>
      <c r="AC1293">
        <v>24</v>
      </c>
      <c r="AD1293" t="s">
        <v>82</v>
      </c>
      <c r="AE1293">
        <v>24</v>
      </c>
      <c r="AF1293" t="s">
        <v>359</v>
      </c>
      <c r="AG1293">
        <f>IFERROR(VLOOKUP(AF1293,[1]STOK!J:O,6,0),"")</f>
        <v>12</v>
      </c>
      <c r="AH1293" s="2">
        <f t="shared" si="40"/>
        <v>2</v>
      </c>
      <c r="AI1293" t="s">
        <v>359</v>
      </c>
      <c r="AJ1293" t="s">
        <v>360</v>
      </c>
      <c r="AK1293" t="s">
        <v>361</v>
      </c>
      <c r="AL1293" t="s">
        <v>86</v>
      </c>
      <c r="AM1293">
        <v>19203</v>
      </c>
      <c r="AN1293">
        <f t="shared" si="41"/>
        <v>18626.91</v>
      </c>
      <c r="AO1293" t="s">
        <v>66</v>
      </c>
      <c r="AP1293">
        <v>0</v>
      </c>
      <c r="AQ1293" t="s">
        <v>66</v>
      </c>
      <c r="AR1293">
        <v>0</v>
      </c>
      <c r="AS1293" t="s">
        <v>66</v>
      </c>
      <c r="AT1293">
        <v>0</v>
      </c>
      <c r="AU1293" t="s">
        <v>66</v>
      </c>
      <c r="AV1293">
        <v>3</v>
      </c>
      <c r="AW1293" t="s">
        <v>66</v>
      </c>
      <c r="AX1293">
        <v>0</v>
      </c>
      <c r="AY1293" t="s">
        <v>66</v>
      </c>
      <c r="AZ1293">
        <v>0</v>
      </c>
      <c r="BA1293" t="s">
        <v>66</v>
      </c>
      <c r="BB1293">
        <v>0</v>
      </c>
      <c r="BC1293">
        <v>0</v>
      </c>
      <c r="BD1293">
        <v>447045.84</v>
      </c>
      <c r="BE1293">
        <v>15490.24</v>
      </c>
      <c r="BF1293">
        <v>0</v>
      </c>
      <c r="BG1293" t="s">
        <v>87</v>
      </c>
      <c r="BH1293" t="s">
        <v>66</v>
      </c>
      <c r="BI1293">
        <v>0</v>
      </c>
      <c r="BJ1293" t="s">
        <v>66</v>
      </c>
      <c r="BK1293" t="s">
        <v>88</v>
      </c>
      <c r="BL1293" t="s">
        <v>608</v>
      </c>
      <c r="BM1293" t="s">
        <v>159</v>
      </c>
    </row>
    <row r="1294" spans="1:65" x14ac:dyDescent="0.25">
      <c r="A1294">
        <v>1292</v>
      </c>
      <c r="B1294" t="s">
        <v>1527</v>
      </c>
      <c r="C1294" t="s">
        <v>1528</v>
      </c>
      <c r="D1294" s="1">
        <v>46218</v>
      </c>
      <c r="E1294" t="s">
        <v>1529</v>
      </c>
      <c r="F1294" t="s">
        <v>1530</v>
      </c>
      <c r="G1294" t="s">
        <v>295</v>
      </c>
      <c r="H1294" t="s">
        <v>296</v>
      </c>
      <c r="I1294" t="s">
        <v>71</v>
      </c>
      <c r="J1294" t="s">
        <v>72</v>
      </c>
      <c r="K1294" t="s">
        <v>73</v>
      </c>
      <c r="L1294" t="s">
        <v>74</v>
      </c>
      <c r="M1294" t="s">
        <v>601</v>
      </c>
      <c r="N1294" t="s">
        <v>76</v>
      </c>
      <c r="O1294" t="s">
        <v>602</v>
      </c>
      <c r="P1294" t="s">
        <v>603</v>
      </c>
      <c r="Q1294" t="s">
        <v>1531</v>
      </c>
      <c r="R1294" s="1">
        <v>46219</v>
      </c>
      <c r="S1294" t="s">
        <v>605</v>
      </c>
      <c r="T1294" t="s">
        <v>606</v>
      </c>
      <c r="U1294" t="s">
        <v>607</v>
      </c>
      <c r="V1294" t="s">
        <v>66</v>
      </c>
      <c r="W1294" t="s">
        <v>66</v>
      </c>
      <c r="X1294">
        <v>737976</v>
      </c>
      <c r="Y1294">
        <v>81177.36</v>
      </c>
      <c r="Z1294">
        <v>335232</v>
      </c>
      <c r="AA1294">
        <v>36875.519999999997</v>
      </c>
      <c r="AB1294">
        <v>819153.36</v>
      </c>
      <c r="AC1294">
        <v>24</v>
      </c>
      <c r="AD1294" t="s">
        <v>82</v>
      </c>
      <c r="AE1294">
        <v>24</v>
      </c>
      <c r="AF1294" t="s">
        <v>141</v>
      </c>
      <c r="AG1294">
        <f>IFERROR(VLOOKUP(AF1294,[1]STOK!J:O,6,0),"")</f>
        <v>12</v>
      </c>
      <c r="AH1294" s="2">
        <f t="shared" si="40"/>
        <v>2</v>
      </c>
      <c r="AI1294" t="s">
        <v>141</v>
      </c>
      <c r="AJ1294" t="s">
        <v>142</v>
      </c>
      <c r="AK1294" t="s">
        <v>143</v>
      </c>
      <c r="AL1294" t="s">
        <v>86</v>
      </c>
      <c r="AM1294">
        <v>15984</v>
      </c>
      <c r="AN1294">
        <f t="shared" si="41"/>
        <v>15504.480000000001</v>
      </c>
      <c r="AO1294" t="s">
        <v>66</v>
      </c>
      <c r="AP1294">
        <v>0</v>
      </c>
      <c r="AQ1294" t="s">
        <v>66</v>
      </c>
      <c r="AR1294">
        <v>0</v>
      </c>
      <c r="AS1294" t="s">
        <v>66</v>
      </c>
      <c r="AT1294">
        <v>0</v>
      </c>
      <c r="AU1294" t="s">
        <v>66</v>
      </c>
      <c r="AV1294">
        <v>3</v>
      </c>
      <c r="AW1294" t="s">
        <v>66</v>
      </c>
      <c r="AX1294">
        <v>0</v>
      </c>
      <c r="AY1294" t="s">
        <v>66</v>
      </c>
      <c r="AZ1294">
        <v>0</v>
      </c>
      <c r="BA1294" t="s">
        <v>66</v>
      </c>
      <c r="BB1294">
        <v>0</v>
      </c>
      <c r="BC1294">
        <v>0</v>
      </c>
      <c r="BD1294">
        <v>372107.52000000002</v>
      </c>
      <c r="BE1294">
        <v>12915.05</v>
      </c>
      <c r="BF1294">
        <v>0</v>
      </c>
      <c r="BG1294" t="s">
        <v>87</v>
      </c>
      <c r="BH1294" t="s">
        <v>66</v>
      </c>
      <c r="BI1294">
        <v>0</v>
      </c>
      <c r="BJ1294" t="s">
        <v>66</v>
      </c>
      <c r="BK1294" t="s">
        <v>88</v>
      </c>
      <c r="BL1294" t="s">
        <v>608</v>
      </c>
      <c r="BM1294" t="s">
        <v>159</v>
      </c>
    </row>
    <row r="1295" spans="1:65" x14ac:dyDescent="0.25">
      <c r="A1295">
        <v>1293</v>
      </c>
      <c r="B1295" t="s">
        <v>1532</v>
      </c>
      <c r="C1295" t="s">
        <v>68</v>
      </c>
      <c r="D1295" s="1">
        <v>46218</v>
      </c>
      <c r="E1295" t="s">
        <v>1533</v>
      </c>
      <c r="F1295" t="s">
        <v>1534</v>
      </c>
      <c r="G1295" t="s">
        <v>295</v>
      </c>
      <c r="H1295" t="s">
        <v>296</v>
      </c>
      <c r="I1295" t="s">
        <v>71</v>
      </c>
      <c r="J1295" t="s">
        <v>72</v>
      </c>
      <c r="K1295" t="s">
        <v>73</v>
      </c>
      <c r="L1295" t="s">
        <v>74</v>
      </c>
      <c r="M1295" t="s">
        <v>1535</v>
      </c>
      <c r="N1295" t="s">
        <v>111</v>
      </c>
      <c r="O1295" t="s">
        <v>1536</v>
      </c>
      <c r="P1295" t="s">
        <v>1537</v>
      </c>
      <c r="Q1295" t="s">
        <v>1538</v>
      </c>
      <c r="R1295" s="1">
        <v>46221</v>
      </c>
      <c r="S1295" t="s">
        <v>1539</v>
      </c>
      <c r="T1295" t="s">
        <v>1000</v>
      </c>
      <c r="U1295" t="s">
        <v>1001</v>
      </c>
      <c r="V1295" t="s">
        <v>66</v>
      </c>
      <c r="W1295" t="s">
        <v>66</v>
      </c>
      <c r="X1295">
        <v>456322.92</v>
      </c>
      <c r="Y1295">
        <v>50195.519999999997</v>
      </c>
      <c r="Z1295">
        <v>224686.92</v>
      </c>
      <c r="AA1295">
        <v>24715.56</v>
      </c>
      <c r="AB1295">
        <v>506518.44</v>
      </c>
      <c r="AC1295">
        <v>1</v>
      </c>
      <c r="AD1295" t="s">
        <v>134</v>
      </c>
      <c r="AE1295">
        <v>12</v>
      </c>
      <c r="AF1295" t="s">
        <v>284</v>
      </c>
      <c r="AG1295">
        <f>IFERROR(VLOOKUP(AF1295,[1]STOK!J:O,6,0),"")</f>
        <v>12</v>
      </c>
      <c r="AH1295" s="2">
        <f t="shared" si="40"/>
        <v>1</v>
      </c>
      <c r="AI1295" t="s">
        <v>284</v>
      </c>
      <c r="AJ1295" t="s">
        <v>285</v>
      </c>
      <c r="AK1295" t="s">
        <v>286</v>
      </c>
      <c r="AL1295" t="s">
        <v>86</v>
      </c>
      <c r="AM1295">
        <v>258408</v>
      </c>
      <c r="AN1295">
        <f t="shared" si="41"/>
        <v>249402.48</v>
      </c>
      <c r="AO1295" t="s">
        <v>66</v>
      </c>
      <c r="AP1295">
        <v>3</v>
      </c>
      <c r="AQ1295" t="s">
        <v>66</v>
      </c>
      <c r="AR1295">
        <v>0</v>
      </c>
      <c r="AS1295" t="s">
        <v>66</v>
      </c>
      <c r="AT1295">
        <v>0</v>
      </c>
      <c r="AU1295" t="s">
        <v>66</v>
      </c>
      <c r="AV1295">
        <v>0.5</v>
      </c>
      <c r="AW1295" t="s">
        <v>66</v>
      </c>
      <c r="AX1295">
        <v>0</v>
      </c>
      <c r="AY1295" t="s">
        <v>66</v>
      </c>
      <c r="AZ1295">
        <v>0</v>
      </c>
      <c r="BA1295" t="s">
        <v>66</v>
      </c>
      <c r="BB1295">
        <v>0</v>
      </c>
      <c r="BC1295">
        <v>0</v>
      </c>
      <c r="BD1295">
        <v>249402.48</v>
      </c>
      <c r="BE1295">
        <v>17160.12</v>
      </c>
      <c r="BF1295">
        <v>0</v>
      </c>
      <c r="BG1295" t="s">
        <v>87</v>
      </c>
      <c r="BH1295" t="s">
        <v>66</v>
      </c>
      <c r="BI1295">
        <v>0</v>
      </c>
      <c r="BJ1295" t="s">
        <v>66</v>
      </c>
      <c r="BK1295" t="s">
        <v>88</v>
      </c>
      <c r="BL1295" t="s">
        <v>66</v>
      </c>
      <c r="BM1295" t="s">
        <v>159</v>
      </c>
    </row>
    <row r="1296" spans="1:65" x14ac:dyDescent="0.25">
      <c r="A1296">
        <v>1294</v>
      </c>
      <c r="B1296" t="s">
        <v>1532</v>
      </c>
      <c r="C1296" t="s">
        <v>68</v>
      </c>
      <c r="D1296" s="1">
        <v>46218</v>
      </c>
      <c r="E1296" t="s">
        <v>1533</v>
      </c>
      <c r="F1296" t="s">
        <v>1534</v>
      </c>
      <c r="G1296" t="s">
        <v>295</v>
      </c>
      <c r="H1296" t="s">
        <v>296</v>
      </c>
      <c r="I1296" t="s">
        <v>71</v>
      </c>
      <c r="J1296" t="s">
        <v>72</v>
      </c>
      <c r="K1296" t="s">
        <v>73</v>
      </c>
      <c r="L1296" t="s">
        <v>74</v>
      </c>
      <c r="M1296" t="s">
        <v>1535</v>
      </c>
      <c r="N1296" t="s">
        <v>111</v>
      </c>
      <c r="O1296" t="s">
        <v>1536</v>
      </c>
      <c r="P1296" t="s">
        <v>1537</v>
      </c>
      <c r="Q1296" t="s">
        <v>1538</v>
      </c>
      <c r="R1296" s="1">
        <v>46221</v>
      </c>
      <c r="S1296" t="s">
        <v>1539</v>
      </c>
      <c r="T1296" t="s">
        <v>1000</v>
      </c>
      <c r="U1296" t="s">
        <v>1001</v>
      </c>
      <c r="V1296" t="s">
        <v>66</v>
      </c>
      <c r="W1296" t="s">
        <v>66</v>
      </c>
      <c r="X1296">
        <v>456322.92</v>
      </c>
      <c r="Y1296">
        <v>50195.519999999997</v>
      </c>
      <c r="Z1296">
        <v>231636</v>
      </c>
      <c r="AA1296">
        <v>25479.96</v>
      </c>
      <c r="AB1296">
        <v>506518.44</v>
      </c>
      <c r="AC1296">
        <v>1</v>
      </c>
      <c r="AD1296" t="s">
        <v>134</v>
      </c>
      <c r="AE1296">
        <v>12</v>
      </c>
      <c r="AF1296" t="s">
        <v>290</v>
      </c>
      <c r="AG1296">
        <f>IFERROR(VLOOKUP(AF1296,[1]STOK!J:O,6,0),"")</f>
        <v>12</v>
      </c>
      <c r="AH1296" s="2">
        <f t="shared" si="40"/>
        <v>1</v>
      </c>
      <c r="AI1296" t="s">
        <v>290</v>
      </c>
      <c r="AJ1296" t="s">
        <v>291</v>
      </c>
      <c r="AK1296" t="s">
        <v>292</v>
      </c>
      <c r="AL1296" t="s">
        <v>86</v>
      </c>
      <c r="AM1296">
        <v>266400</v>
      </c>
      <c r="AN1296">
        <f t="shared" si="41"/>
        <v>257115.96</v>
      </c>
      <c r="AO1296" t="s">
        <v>66</v>
      </c>
      <c r="AP1296">
        <v>3</v>
      </c>
      <c r="AQ1296" t="s">
        <v>66</v>
      </c>
      <c r="AR1296">
        <v>0</v>
      </c>
      <c r="AS1296" t="s">
        <v>66</v>
      </c>
      <c r="AT1296">
        <v>0</v>
      </c>
      <c r="AU1296" t="s">
        <v>66</v>
      </c>
      <c r="AV1296">
        <v>0.5</v>
      </c>
      <c r="AW1296" t="s">
        <v>66</v>
      </c>
      <c r="AX1296">
        <v>0</v>
      </c>
      <c r="AY1296" t="s">
        <v>66</v>
      </c>
      <c r="AZ1296">
        <v>0</v>
      </c>
      <c r="BA1296" t="s">
        <v>66</v>
      </c>
      <c r="BB1296">
        <v>0</v>
      </c>
      <c r="BC1296">
        <v>0</v>
      </c>
      <c r="BD1296">
        <v>257115.96</v>
      </c>
      <c r="BE1296">
        <v>18155.62</v>
      </c>
      <c r="BF1296">
        <v>0</v>
      </c>
      <c r="BG1296" t="s">
        <v>87</v>
      </c>
      <c r="BH1296" t="s">
        <v>66</v>
      </c>
      <c r="BI1296">
        <v>0</v>
      </c>
      <c r="BJ1296" t="s">
        <v>66</v>
      </c>
      <c r="BK1296" t="s">
        <v>88</v>
      </c>
      <c r="BL1296" t="s">
        <v>66</v>
      </c>
      <c r="BM1296" t="s">
        <v>159</v>
      </c>
    </row>
    <row r="1297" spans="1:65" x14ac:dyDescent="0.25">
      <c r="A1297">
        <v>1295</v>
      </c>
      <c r="B1297" t="s">
        <v>1540</v>
      </c>
      <c r="C1297" t="s">
        <v>68</v>
      </c>
      <c r="D1297" s="1">
        <v>46218</v>
      </c>
      <c r="E1297" t="s">
        <v>1541</v>
      </c>
      <c r="F1297" t="s">
        <v>68</v>
      </c>
      <c r="G1297" t="s">
        <v>295</v>
      </c>
      <c r="H1297" t="s">
        <v>296</v>
      </c>
      <c r="I1297" t="s">
        <v>71</v>
      </c>
      <c r="J1297" t="s">
        <v>72</v>
      </c>
      <c r="K1297" t="s">
        <v>73</v>
      </c>
      <c r="L1297" t="s">
        <v>74</v>
      </c>
      <c r="M1297" t="s">
        <v>1542</v>
      </c>
      <c r="N1297" t="s">
        <v>76</v>
      </c>
      <c r="O1297" t="s">
        <v>1543</v>
      </c>
      <c r="P1297" t="s">
        <v>1544</v>
      </c>
      <c r="Q1297" t="s">
        <v>1545</v>
      </c>
      <c r="R1297" s="1">
        <v>46221</v>
      </c>
      <c r="S1297" t="s">
        <v>716</v>
      </c>
      <c r="T1297" t="s">
        <v>717</v>
      </c>
      <c r="U1297" t="s">
        <v>718</v>
      </c>
      <c r="V1297" t="s">
        <v>66</v>
      </c>
      <c r="W1297" t="s">
        <v>66</v>
      </c>
      <c r="X1297">
        <v>756168</v>
      </c>
      <c r="Y1297">
        <v>83178.48</v>
      </c>
      <c r="Z1297">
        <v>108192</v>
      </c>
      <c r="AA1297">
        <v>11901.12</v>
      </c>
      <c r="AB1297">
        <v>839346.48</v>
      </c>
      <c r="AC1297">
        <v>6</v>
      </c>
      <c r="AD1297" t="s">
        <v>82</v>
      </c>
      <c r="AE1297">
        <v>6</v>
      </c>
      <c r="AF1297" t="s">
        <v>720</v>
      </c>
      <c r="AG1297">
        <f>IFERROR(VLOOKUP(AF1297,[1]STOK!J:O,6,0),"")</f>
        <v>12</v>
      </c>
      <c r="AH1297" s="2">
        <f t="shared" si="40"/>
        <v>0.5</v>
      </c>
      <c r="AI1297" t="s">
        <v>720</v>
      </c>
      <c r="AJ1297" t="s">
        <v>721</v>
      </c>
      <c r="AK1297" t="s">
        <v>722</v>
      </c>
      <c r="AL1297" t="s">
        <v>86</v>
      </c>
      <c r="AM1297">
        <v>20424</v>
      </c>
      <c r="AN1297">
        <f t="shared" si="41"/>
        <v>20015.52</v>
      </c>
      <c r="AO1297" t="s">
        <v>66</v>
      </c>
      <c r="AP1297">
        <v>2</v>
      </c>
      <c r="AQ1297" t="s">
        <v>66</v>
      </c>
      <c r="AR1297">
        <v>0</v>
      </c>
      <c r="AS1297" t="s">
        <v>66</v>
      </c>
      <c r="AT1297">
        <v>0</v>
      </c>
      <c r="AU1297" t="s">
        <v>66</v>
      </c>
      <c r="AV1297">
        <v>0</v>
      </c>
      <c r="AW1297" t="s">
        <v>66</v>
      </c>
      <c r="AX1297">
        <v>0</v>
      </c>
      <c r="AY1297" t="s">
        <v>66</v>
      </c>
      <c r="AZ1297">
        <v>0</v>
      </c>
      <c r="BA1297" t="s">
        <v>66</v>
      </c>
      <c r="BB1297">
        <v>0</v>
      </c>
      <c r="BC1297">
        <v>0</v>
      </c>
      <c r="BD1297">
        <v>120093.12</v>
      </c>
      <c r="BE1297">
        <v>15670.24</v>
      </c>
      <c r="BF1297">
        <v>0</v>
      </c>
      <c r="BG1297" t="s">
        <v>87</v>
      </c>
      <c r="BH1297" t="s">
        <v>66</v>
      </c>
      <c r="BI1297">
        <v>0</v>
      </c>
      <c r="BJ1297" t="s">
        <v>66</v>
      </c>
      <c r="BK1297" t="s">
        <v>88</v>
      </c>
      <c r="BL1297" t="s">
        <v>719</v>
      </c>
      <c r="BM1297" t="s">
        <v>159</v>
      </c>
    </row>
    <row r="1298" spans="1:65" x14ac:dyDescent="0.25">
      <c r="A1298">
        <v>1296</v>
      </c>
      <c r="B1298" t="s">
        <v>1540</v>
      </c>
      <c r="C1298" t="s">
        <v>68</v>
      </c>
      <c r="D1298" s="1">
        <v>46218</v>
      </c>
      <c r="E1298" t="s">
        <v>1541</v>
      </c>
      <c r="F1298" t="s">
        <v>68</v>
      </c>
      <c r="G1298" t="s">
        <v>295</v>
      </c>
      <c r="H1298" t="s">
        <v>296</v>
      </c>
      <c r="I1298" t="s">
        <v>71</v>
      </c>
      <c r="J1298" t="s">
        <v>72</v>
      </c>
      <c r="K1298" t="s">
        <v>73</v>
      </c>
      <c r="L1298" t="s">
        <v>74</v>
      </c>
      <c r="M1298" t="s">
        <v>1542</v>
      </c>
      <c r="N1298" t="s">
        <v>76</v>
      </c>
      <c r="O1298" t="s">
        <v>1543</v>
      </c>
      <c r="P1298" t="s">
        <v>1544</v>
      </c>
      <c r="Q1298" t="s">
        <v>1545</v>
      </c>
      <c r="R1298" s="1">
        <v>46221</v>
      </c>
      <c r="S1298" t="s">
        <v>716</v>
      </c>
      <c r="T1298" t="s">
        <v>717</v>
      </c>
      <c r="U1298" t="s">
        <v>718</v>
      </c>
      <c r="V1298" t="s">
        <v>66</v>
      </c>
      <c r="W1298" t="s">
        <v>66</v>
      </c>
      <c r="X1298">
        <v>756168</v>
      </c>
      <c r="Y1298">
        <v>83178.48</v>
      </c>
      <c r="Z1298">
        <v>43512</v>
      </c>
      <c r="AA1298">
        <v>4786.32</v>
      </c>
      <c r="AB1298">
        <v>839346.48</v>
      </c>
      <c r="AC1298">
        <v>6</v>
      </c>
      <c r="AD1298" t="s">
        <v>82</v>
      </c>
      <c r="AE1298">
        <v>6</v>
      </c>
      <c r="AF1298" t="s">
        <v>262</v>
      </c>
      <c r="AG1298">
        <f>IFERROR(VLOOKUP(AF1298,[1]STOK!J:O,6,0),"")</f>
        <v>24</v>
      </c>
      <c r="AH1298" s="2">
        <f t="shared" si="40"/>
        <v>0.25</v>
      </c>
      <c r="AI1298" t="s">
        <v>262</v>
      </c>
      <c r="AJ1298" t="s">
        <v>263</v>
      </c>
      <c r="AK1298" t="s">
        <v>264</v>
      </c>
      <c r="AL1298" t="s">
        <v>86</v>
      </c>
      <c r="AM1298">
        <v>8214</v>
      </c>
      <c r="AN1298">
        <f t="shared" si="41"/>
        <v>8049.72</v>
      </c>
      <c r="AO1298" t="s">
        <v>66</v>
      </c>
      <c r="AP1298">
        <v>2</v>
      </c>
      <c r="AQ1298" t="s">
        <v>66</v>
      </c>
      <c r="AR1298">
        <v>0</v>
      </c>
      <c r="AS1298" t="s">
        <v>66</v>
      </c>
      <c r="AT1298">
        <v>0</v>
      </c>
      <c r="AU1298" t="s">
        <v>66</v>
      </c>
      <c r="AV1298">
        <v>0</v>
      </c>
      <c r="AW1298" t="s">
        <v>66</v>
      </c>
      <c r="AX1298">
        <v>0</v>
      </c>
      <c r="AY1298" t="s">
        <v>66</v>
      </c>
      <c r="AZ1298">
        <v>0</v>
      </c>
      <c r="BA1298" t="s">
        <v>66</v>
      </c>
      <c r="BB1298">
        <v>0</v>
      </c>
      <c r="BC1298">
        <v>0</v>
      </c>
      <c r="BD1298">
        <v>48298.32</v>
      </c>
      <c r="BE1298">
        <v>6604.45</v>
      </c>
      <c r="BF1298">
        <v>0</v>
      </c>
      <c r="BG1298" t="s">
        <v>87</v>
      </c>
      <c r="BH1298" t="s">
        <v>66</v>
      </c>
      <c r="BI1298">
        <v>0</v>
      </c>
      <c r="BJ1298" t="s">
        <v>66</v>
      </c>
      <c r="BK1298" t="s">
        <v>88</v>
      </c>
      <c r="BL1298" t="s">
        <v>719</v>
      </c>
      <c r="BM1298" t="s">
        <v>159</v>
      </c>
    </row>
    <row r="1299" spans="1:65" x14ac:dyDescent="0.25">
      <c r="A1299">
        <v>1297</v>
      </c>
      <c r="B1299" t="s">
        <v>1540</v>
      </c>
      <c r="C1299" t="s">
        <v>68</v>
      </c>
      <c r="D1299" s="1">
        <v>46218</v>
      </c>
      <c r="E1299" t="s">
        <v>1541</v>
      </c>
      <c r="F1299" t="s">
        <v>68</v>
      </c>
      <c r="G1299" t="s">
        <v>295</v>
      </c>
      <c r="H1299" t="s">
        <v>296</v>
      </c>
      <c r="I1299" t="s">
        <v>71</v>
      </c>
      <c r="J1299" t="s">
        <v>72</v>
      </c>
      <c r="K1299" t="s">
        <v>73</v>
      </c>
      <c r="L1299" t="s">
        <v>74</v>
      </c>
      <c r="M1299" t="s">
        <v>1542</v>
      </c>
      <c r="N1299" t="s">
        <v>76</v>
      </c>
      <c r="O1299" t="s">
        <v>1543</v>
      </c>
      <c r="P1299" t="s">
        <v>1544</v>
      </c>
      <c r="Q1299" t="s">
        <v>1545</v>
      </c>
      <c r="R1299" s="1">
        <v>46221</v>
      </c>
      <c r="S1299" t="s">
        <v>716</v>
      </c>
      <c r="T1299" t="s">
        <v>717</v>
      </c>
      <c r="U1299" t="s">
        <v>718</v>
      </c>
      <c r="V1299" t="s">
        <v>66</v>
      </c>
      <c r="W1299" t="s">
        <v>66</v>
      </c>
      <c r="X1299">
        <v>756168</v>
      </c>
      <c r="Y1299">
        <v>83178.48</v>
      </c>
      <c r="Z1299">
        <v>43512</v>
      </c>
      <c r="AA1299">
        <v>4786.32</v>
      </c>
      <c r="AB1299">
        <v>839346.48</v>
      </c>
      <c r="AC1299">
        <v>6</v>
      </c>
      <c r="AD1299" t="s">
        <v>82</v>
      </c>
      <c r="AE1299">
        <v>6</v>
      </c>
      <c r="AF1299" t="s">
        <v>83</v>
      </c>
      <c r="AG1299">
        <f>IFERROR(VLOOKUP(AF1299,[1]STOK!J:O,6,0),"")</f>
        <v>24</v>
      </c>
      <c r="AH1299" s="2">
        <f t="shared" si="40"/>
        <v>0.25</v>
      </c>
      <c r="AI1299" t="s">
        <v>83</v>
      </c>
      <c r="AJ1299" t="s">
        <v>84</v>
      </c>
      <c r="AK1299" t="s">
        <v>85</v>
      </c>
      <c r="AL1299" t="s">
        <v>86</v>
      </c>
      <c r="AM1299">
        <v>8214</v>
      </c>
      <c r="AN1299">
        <f t="shared" si="41"/>
        <v>8049.72</v>
      </c>
      <c r="AO1299" t="s">
        <v>66</v>
      </c>
      <c r="AP1299">
        <v>2</v>
      </c>
      <c r="AQ1299" t="s">
        <v>66</v>
      </c>
      <c r="AR1299">
        <v>0</v>
      </c>
      <c r="AS1299" t="s">
        <v>66</v>
      </c>
      <c r="AT1299">
        <v>0</v>
      </c>
      <c r="AU1299" t="s">
        <v>66</v>
      </c>
      <c r="AV1299">
        <v>0</v>
      </c>
      <c r="AW1299" t="s">
        <v>66</v>
      </c>
      <c r="AX1299">
        <v>0</v>
      </c>
      <c r="AY1299" t="s">
        <v>66</v>
      </c>
      <c r="AZ1299">
        <v>0</v>
      </c>
      <c r="BA1299" t="s">
        <v>66</v>
      </c>
      <c r="BB1299">
        <v>0</v>
      </c>
      <c r="BC1299">
        <v>0</v>
      </c>
      <c r="BD1299">
        <v>48298.32</v>
      </c>
      <c r="BE1299">
        <v>6590.47</v>
      </c>
      <c r="BF1299">
        <v>0</v>
      </c>
      <c r="BG1299" t="s">
        <v>87</v>
      </c>
      <c r="BH1299" t="s">
        <v>66</v>
      </c>
      <c r="BI1299">
        <v>0</v>
      </c>
      <c r="BJ1299" t="s">
        <v>66</v>
      </c>
      <c r="BK1299" t="s">
        <v>88</v>
      </c>
      <c r="BL1299" t="s">
        <v>719</v>
      </c>
      <c r="BM1299" t="s">
        <v>159</v>
      </c>
    </row>
    <row r="1300" spans="1:65" x14ac:dyDescent="0.25">
      <c r="A1300">
        <v>1298</v>
      </c>
      <c r="B1300" t="s">
        <v>1540</v>
      </c>
      <c r="C1300" t="s">
        <v>68</v>
      </c>
      <c r="D1300" s="1">
        <v>46218</v>
      </c>
      <c r="E1300" t="s">
        <v>1541</v>
      </c>
      <c r="F1300" t="s">
        <v>68</v>
      </c>
      <c r="G1300" t="s">
        <v>295</v>
      </c>
      <c r="H1300" t="s">
        <v>296</v>
      </c>
      <c r="I1300" t="s">
        <v>71</v>
      </c>
      <c r="J1300" t="s">
        <v>72</v>
      </c>
      <c r="K1300" t="s">
        <v>73</v>
      </c>
      <c r="L1300" t="s">
        <v>74</v>
      </c>
      <c r="M1300" t="s">
        <v>1542</v>
      </c>
      <c r="N1300" t="s">
        <v>76</v>
      </c>
      <c r="O1300" t="s">
        <v>1543</v>
      </c>
      <c r="P1300" t="s">
        <v>1544</v>
      </c>
      <c r="Q1300" t="s">
        <v>1545</v>
      </c>
      <c r="R1300" s="1">
        <v>46221</v>
      </c>
      <c r="S1300" t="s">
        <v>716</v>
      </c>
      <c r="T1300" t="s">
        <v>717</v>
      </c>
      <c r="U1300" t="s">
        <v>718</v>
      </c>
      <c r="V1300" t="s">
        <v>66</v>
      </c>
      <c r="W1300" t="s">
        <v>66</v>
      </c>
      <c r="X1300">
        <v>756168</v>
      </c>
      <c r="Y1300">
        <v>83178.48</v>
      </c>
      <c r="Z1300">
        <v>46452</v>
      </c>
      <c r="AA1300">
        <v>5109.72</v>
      </c>
      <c r="AB1300">
        <v>839346.48</v>
      </c>
      <c r="AC1300">
        <v>6</v>
      </c>
      <c r="AD1300" t="s">
        <v>82</v>
      </c>
      <c r="AE1300">
        <v>6</v>
      </c>
      <c r="AF1300" t="s">
        <v>248</v>
      </c>
      <c r="AG1300">
        <f>IFERROR(VLOOKUP(AF1300,[1]STOK!J:O,6,0),"")</f>
        <v>24</v>
      </c>
      <c r="AH1300" s="2">
        <f t="shared" si="40"/>
        <v>0.25</v>
      </c>
      <c r="AI1300" t="s">
        <v>248</v>
      </c>
      <c r="AJ1300" t="s">
        <v>249</v>
      </c>
      <c r="AK1300" t="s">
        <v>250</v>
      </c>
      <c r="AL1300" t="s">
        <v>86</v>
      </c>
      <c r="AM1300">
        <v>8769</v>
      </c>
      <c r="AN1300">
        <f t="shared" si="41"/>
        <v>8593.6200000000008</v>
      </c>
      <c r="AO1300" t="s">
        <v>66</v>
      </c>
      <c r="AP1300">
        <v>2</v>
      </c>
      <c r="AQ1300" t="s">
        <v>66</v>
      </c>
      <c r="AR1300">
        <v>0</v>
      </c>
      <c r="AS1300" t="s">
        <v>66</v>
      </c>
      <c r="AT1300">
        <v>0</v>
      </c>
      <c r="AU1300" t="s">
        <v>66</v>
      </c>
      <c r="AV1300">
        <v>0</v>
      </c>
      <c r="AW1300" t="s">
        <v>66</v>
      </c>
      <c r="AX1300">
        <v>0</v>
      </c>
      <c r="AY1300" t="s">
        <v>66</v>
      </c>
      <c r="AZ1300">
        <v>0</v>
      </c>
      <c r="BA1300" t="s">
        <v>66</v>
      </c>
      <c r="BB1300">
        <v>0</v>
      </c>
      <c r="BC1300">
        <v>0</v>
      </c>
      <c r="BD1300">
        <v>51561.72</v>
      </c>
      <c r="BE1300">
        <v>6516.01</v>
      </c>
      <c r="BF1300">
        <v>0</v>
      </c>
      <c r="BG1300" t="s">
        <v>87</v>
      </c>
      <c r="BH1300" t="s">
        <v>66</v>
      </c>
      <c r="BI1300">
        <v>0</v>
      </c>
      <c r="BJ1300" t="s">
        <v>66</v>
      </c>
      <c r="BK1300" t="s">
        <v>88</v>
      </c>
      <c r="BL1300" t="s">
        <v>719</v>
      </c>
      <c r="BM1300" t="s">
        <v>159</v>
      </c>
    </row>
    <row r="1301" spans="1:65" x14ac:dyDescent="0.25">
      <c r="A1301">
        <v>1299</v>
      </c>
      <c r="B1301" t="s">
        <v>1540</v>
      </c>
      <c r="C1301" t="s">
        <v>68</v>
      </c>
      <c r="D1301" s="1">
        <v>46218</v>
      </c>
      <c r="E1301" t="s">
        <v>1541</v>
      </c>
      <c r="F1301" t="s">
        <v>68</v>
      </c>
      <c r="G1301" t="s">
        <v>295</v>
      </c>
      <c r="H1301" t="s">
        <v>296</v>
      </c>
      <c r="I1301" t="s">
        <v>71</v>
      </c>
      <c r="J1301" t="s">
        <v>72</v>
      </c>
      <c r="K1301" t="s">
        <v>73</v>
      </c>
      <c r="L1301" t="s">
        <v>74</v>
      </c>
      <c r="M1301" t="s">
        <v>1542</v>
      </c>
      <c r="N1301" t="s">
        <v>76</v>
      </c>
      <c r="O1301" t="s">
        <v>1543</v>
      </c>
      <c r="P1301" t="s">
        <v>1544</v>
      </c>
      <c r="Q1301" t="s">
        <v>1545</v>
      </c>
      <c r="R1301" s="1">
        <v>46221</v>
      </c>
      <c r="S1301" t="s">
        <v>716</v>
      </c>
      <c r="T1301" t="s">
        <v>717</v>
      </c>
      <c r="U1301" t="s">
        <v>718</v>
      </c>
      <c r="V1301" t="s">
        <v>66</v>
      </c>
      <c r="W1301" t="s">
        <v>66</v>
      </c>
      <c r="X1301">
        <v>756168</v>
      </c>
      <c r="Y1301">
        <v>83178.48</v>
      </c>
      <c r="Z1301">
        <v>46452</v>
      </c>
      <c r="AA1301">
        <v>5109.72</v>
      </c>
      <c r="AB1301">
        <v>839346.48</v>
      </c>
      <c r="AC1301">
        <v>6</v>
      </c>
      <c r="AD1301" t="s">
        <v>82</v>
      </c>
      <c r="AE1301">
        <v>6</v>
      </c>
      <c r="AF1301" t="s">
        <v>199</v>
      </c>
      <c r="AG1301">
        <f>IFERROR(VLOOKUP(AF1301,[1]STOK!J:O,6,0),"")</f>
        <v>24</v>
      </c>
      <c r="AH1301" s="2">
        <f t="shared" si="40"/>
        <v>0.25</v>
      </c>
      <c r="AI1301" t="s">
        <v>199</v>
      </c>
      <c r="AJ1301" t="s">
        <v>200</v>
      </c>
      <c r="AK1301" t="s">
        <v>201</v>
      </c>
      <c r="AL1301" t="s">
        <v>86</v>
      </c>
      <c r="AM1301">
        <v>8769</v>
      </c>
      <c r="AN1301">
        <f t="shared" si="41"/>
        <v>8593.6200000000008</v>
      </c>
      <c r="AO1301" t="s">
        <v>66</v>
      </c>
      <c r="AP1301">
        <v>2</v>
      </c>
      <c r="AQ1301" t="s">
        <v>66</v>
      </c>
      <c r="AR1301">
        <v>0</v>
      </c>
      <c r="AS1301" t="s">
        <v>66</v>
      </c>
      <c r="AT1301">
        <v>0</v>
      </c>
      <c r="AU1301" t="s">
        <v>66</v>
      </c>
      <c r="AV1301">
        <v>0</v>
      </c>
      <c r="AW1301" t="s">
        <v>66</v>
      </c>
      <c r="AX1301">
        <v>0</v>
      </c>
      <c r="AY1301" t="s">
        <v>66</v>
      </c>
      <c r="AZ1301">
        <v>0</v>
      </c>
      <c r="BA1301" t="s">
        <v>66</v>
      </c>
      <c r="BB1301">
        <v>0</v>
      </c>
      <c r="BC1301">
        <v>0</v>
      </c>
      <c r="BD1301">
        <v>51561.72</v>
      </c>
      <c r="BE1301">
        <v>6637.67</v>
      </c>
      <c r="BF1301">
        <v>0</v>
      </c>
      <c r="BG1301" t="s">
        <v>87</v>
      </c>
      <c r="BH1301" t="s">
        <v>66</v>
      </c>
      <c r="BI1301">
        <v>0</v>
      </c>
      <c r="BJ1301" t="s">
        <v>66</v>
      </c>
      <c r="BK1301" t="s">
        <v>88</v>
      </c>
      <c r="BL1301" t="s">
        <v>719</v>
      </c>
      <c r="BM1301" t="s">
        <v>159</v>
      </c>
    </row>
    <row r="1302" spans="1:65" x14ac:dyDescent="0.25">
      <c r="A1302">
        <v>1300</v>
      </c>
      <c r="B1302" t="s">
        <v>1540</v>
      </c>
      <c r="C1302" t="s">
        <v>68</v>
      </c>
      <c r="D1302" s="1">
        <v>46218</v>
      </c>
      <c r="E1302" t="s">
        <v>1541</v>
      </c>
      <c r="F1302" t="s">
        <v>68</v>
      </c>
      <c r="G1302" t="s">
        <v>295</v>
      </c>
      <c r="H1302" t="s">
        <v>296</v>
      </c>
      <c r="I1302" t="s">
        <v>71</v>
      </c>
      <c r="J1302" t="s">
        <v>72</v>
      </c>
      <c r="K1302" t="s">
        <v>73</v>
      </c>
      <c r="L1302" t="s">
        <v>74</v>
      </c>
      <c r="M1302" t="s">
        <v>1542</v>
      </c>
      <c r="N1302" t="s">
        <v>76</v>
      </c>
      <c r="O1302" t="s">
        <v>1543</v>
      </c>
      <c r="P1302" t="s">
        <v>1544</v>
      </c>
      <c r="Q1302" t="s">
        <v>1545</v>
      </c>
      <c r="R1302" s="1">
        <v>46221</v>
      </c>
      <c r="S1302" t="s">
        <v>716</v>
      </c>
      <c r="T1302" t="s">
        <v>717</v>
      </c>
      <c r="U1302" t="s">
        <v>718</v>
      </c>
      <c r="V1302" t="s">
        <v>66</v>
      </c>
      <c r="W1302" t="s">
        <v>66</v>
      </c>
      <c r="X1302">
        <v>756168</v>
      </c>
      <c r="Y1302">
        <v>83178.48</v>
      </c>
      <c r="Z1302">
        <v>33516</v>
      </c>
      <c r="AA1302">
        <v>3686.76</v>
      </c>
      <c r="AB1302">
        <v>839346.48</v>
      </c>
      <c r="AC1302">
        <v>6</v>
      </c>
      <c r="AD1302" t="s">
        <v>82</v>
      </c>
      <c r="AE1302">
        <v>6</v>
      </c>
      <c r="AF1302" t="s">
        <v>90</v>
      </c>
      <c r="AG1302">
        <f>IFERROR(VLOOKUP(AF1302,[1]STOK!J:O,6,0),"")</f>
        <v>48</v>
      </c>
      <c r="AH1302" s="2">
        <f t="shared" si="40"/>
        <v>0.125</v>
      </c>
      <c r="AI1302" t="s">
        <v>90</v>
      </c>
      <c r="AJ1302" t="s">
        <v>91</v>
      </c>
      <c r="AK1302" t="s">
        <v>92</v>
      </c>
      <c r="AL1302" t="s">
        <v>86</v>
      </c>
      <c r="AM1302">
        <v>6327</v>
      </c>
      <c r="AN1302">
        <f t="shared" si="41"/>
        <v>6200.46</v>
      </c>
      <c r="AO1302" t="s">
        <v>66</v>
      </c>
      <c r="AP1302">
        <v>2</v>
      </c>
      <c r="AQ1302" t="s">
        <v>66</v>
      </c>
      <c r="AR1302">
        <v>0</v>
      </c>
      <c r="AS1302" t="s">
        <v>66</v>
      </c>
      <c r="AT1302">
        <v>0</v>
      </c>
      <c r="AU1302" t="s">
        <v>66</v>
      </c>
      <c r="AV1302">
        <v>0</v>
      </c>
      <c r="AW1302" t="s">
        <v>66</v>
      </c>
      <c r="AX1302">
        <v>0</v>
      </c>
      <c r="AY1302" t="s">
        <v>66</v>
      </c>
      <c r="AZ1302">
        <v>0</v>
      </c>
      <c r="BA1302" t="s">
        <v>66</v>
      </c>
      <c r="BB1302">
        <v>0</v>
      </c>
      <c r="BC1302">
        <v>0</v>
      </c>
      <c r="BD1302">
        <v>37202.76</v>
      </c>
      <c r="BE1302">
        <v>4887.16</v>
      </c>
      <c r="BF1302">
        <v>0</v>
      </c>
      <c r="BG1302" t="s">
        <v>87</v>
      </c>
      <c r="BH1302" t="s">
        <v>66</v>
      </c>
      <c r="BI1302">
        <v>0</v>
      </c>
      <c r="BJ1302" t="s">
        <v>66</v>
      </c>
      <c r="BK1302" t="s">
        <v>88</v>
      </c>
      <c r="BL1302" t="s">
        <v>719</v>
      </c>
      <c r="BM1302" t="s">
        <v>159</v>
      </c>
    </row>
    <row r="1303" spans="1:65" x14ac:dyDescent="0.25">
      <c r="A1303">
        <v>1301</v>
      </c>
      <c r="B1303" t="s">
        <v>1540</v>
      </c>
      <c r="C1303" t="s">
        <v>68</v>
      </c>
      <c r="D1303" s="1">
        <v>46218</v>
      </c>
      <c r="E1303" t="s">
        <v>1541</v>
      </c>
      <c r="F1303" t="s">
        <v>68</v>
      </c>
      <c r="G1303" t="s">
        <v>295</v>
      </c>
      <c r="H1303" t="s">
        <v>296</v>
      </c>
      <c r="I1303" t="s">
        <v>71</v>
      </c>
      <c r="J1303" t="s">
        <v>72</v>
      </c>
      <c r="K1303" t="s">
        <v>73</v>
      </c>
      <c r="L1303" t="s">
        <v>74</v>
      </c>
      <c r="M1303" t="s">
        <v>1542</v>
      </c>
      <c r="N1303" t="s">
        <v>76</v>
      </c>
      <c r="O1303" t="s">
        <v>1543</v>
      </c>
      <c r="P1303" t="s">
        <v>1544</v>
      </c>
      <c r="Q1303" t="s">
        <v>1545</v>
      </c>
      <c r="R1303" s="1">
        <v>46221</v>
      </c>
      <c r="S1303" t="s">
        <v>716</v>
      </c>
      <c r="T1303" t="s">
        <v>717</v>
      </c>
      <c r="U1303" t="s">
        <v>718</v>
      </c>
      <c r="V1303" t="s">
        <v>66</v>
      </c>
      <c r="W1303" t="s">
        <v>66</v>
      </c>
      <c r="X1303">
        <v>756168</v>
      </c>
      <c r="Y1303">
        <v>83178.48</v>
      </c>
      <c r="Z1303">
        <v>33516</v>
      </c>
      <c r="AA1303">
        <v>3686.76</v>
      </c>
      <c r="AB1303">
        <v>839346.48</v>
      </c>
      <c r="AC1303">
        <v>6</v>
      </c>
      <c r="AD1303" t="s">
        <v>82</v>
      </c>
      <c r="AE1303">
        <v>6</v>
      </c>
      <c r="AF1303" t="s">
        <v>202</v>
      </c>
      <c r="AG1303">
        <f>IFERROR(VLOOKUP(AF1303,[1]STOK!J:O,6,0),"")</f>
        <v>48</v>
      </c>
      <c r="AH1303" s="2">
        <f t="shared" si="40"/>
        <v>0.125</v>
      </c>
      <c r="AI1303" t="s">
        <v>202</v>
      </c>
      <c r="AJ1303" t="s">
        <v>203</v>
      </c>
      <c r="AK1303" t="s">
        <v>204</v>
      </c>
      <c r="AL1303" t="s">
        <v>86</v>
      </c>
      <c r="AM1303">
        <v>6327</v>
      </c>
      <c r="AN1303">
        <f t="shared" si="41"/>
        <v>6200.46</v>
      </c>
      <c r="AO1303" t="s">
        <v>66</v>
      </c>
      <c r="AP1303">
        <v>2</v>
      </c>
      <c r="AQ1303" t="s">
        <v>66</v>
      </c>
      <c r="AR1303">
        <v>0</v>
      </c>
      <c r="AS1303" t="s">
        <v>66</v>
      </c>
      <c r="AT1303">
        <v>0</v>
      </c>
      <c r="AU1303" t="s">
        <v>66</v>
      </c>
      <c r="AV1303">
        <v>0</v>
      </c>
      <c r="AW1303" t="s">
        <v>66</v>
      </c>
      <c r="AX1303">
        <v>0</v>
      </c>
      <c r="AY1303" t="s">
        <v>66</v>
      </c>
      <c r="AZ1303">
        <v>0</v>
      </c>
      <c r="BA1303" t="s">
        <v>66</v>
      </c>
      <c r="BB1303">
        <v>0</v>
      </c>
      <c r="BC1303">
        <v>0</v>
      </c>
      <c r="BD1303">
        <v>37202.76</v>
      </c>
      <c r="BE1303">
        <v>4914.4399999999996</v>
      </c>
      <c r="BF1303">
        <v>0</v>
      </c>
      <c r="BG1303" t="s">
        <v>87</v>
      </c>
      <c r="BH1303" t="s">
        <v>66</v>
      </c>
      <c r="BI1303">
        <v>0</v>
      </c>
      <c r="BJ1303" t="s">
        <v>66</v>
      </c>
      <c r="BK1303" t="s">
        <v>88</v>
      </c>
      <c r="BL1303" t="s">
        <v>719</v>
      </c>
      <c r="BM1303" t="s">
        <v>159</v>
      </c>
    </row>
    <row r="1304" spans="1:65" x14ac:dyDescent="0.25">
      <c r="A1304">
        <v>1302</v>
      </c>
      <c r="B1304" t="s">
        <v>1540</v>
      </c>
      <c r="C1304" t="s">
        <v>68</v>
      </c>
      <c r="D1304" s="1">
        <v>46218</v>
      </c>
      <c r="E1304" t="s">
        <v>1541</v>
      </c>
      <c r="F1304" t="s">
        <v>68</v>
      </c>
      <c r="G1304" t="s">
        <v>295</v>
      </c>
      <c r="H1304" t="s">
        <v>296</v>
      </c>
      <c r="I1304" t="s">
        <v>71</v>
      </c>
      <c r="J1304" t="s">
        <v>72</v>
      </c>
      <c r="K1304" t="s">
        <v>73</v>
      </c>
      <c r="L1304" t="s">
        <v>74</v>
      </c>
      <c r="M1304" t="s">
        <v>1542</v>
      </c>
      <c r="N1304" t="s">
        <v>76</v>
      </c>
      <c r="O1304" t="s">
        <v>1543</v>
      </c>
      <c r="P1304" t="s">
        <v>1544</v>
      </c>
      <c r="Q1304" t="s">
        <v>1545</v>
      </c>
      <c r="R1304" s="1">
        <v>46221</v>
      </c>
      <c r="S1304" t="s">
        <v>716</v>
      </c>
      <c r="T1304" t="s">
        <v>717</v>
      </c>
      <c r="U1304" t="s">
        <v>718</v>
      </c>
      <c r="V1304" t="s">
        <v>66</v>
      </c>
      <c r="W1304" t="s">
        <v>66</v>
      </c>
      <c r="X1304">
        <v>756168</v>
      </c>
      <c r="Y1304">
        <v>83178.48</v>
      </c>
      <c r="Z1304">
        <v>48510</v>
      </c>
      <c r="AA1304">
        <v>5336.1</v>
      </c>
      <c r="AB1304">
        <v>839346.48</v>
      </c>
      <c r="AC1304">
        <v>3</v>
      </c>
      <c r="AD1304" t="s">
        <v>82</v>
      </c>
      <c r="AE1304">
        <v>3</v>
      </c>
      <c r="AF1304" t="s">
        <v>93</v>
      </c>
      <c r="AG1304">
        <f>IFERROR(VLOOKUP(AF1304,[1]STOK!J:O,6,0),"")</f>
        <v>24</v>
      </c>
      <c r="AH1304" s="2">
        <f t="shared" si="40"/>
        <v>0.125</v>
      </c>
      <c r="AI1304" t="s">
        <v>93</v>
      </c>
      <c r="AJ1304" t="s">
        <v>94</v>
      </c>
      <c r="AK1304" t="s">
        <v>95</v>
      </c>
      <c r="AL1304" t="s">
        <v>86</v>
      </c>
      <c r="AM1304">
        <v>18315</v>
      </c>
      <c r="AN1304">
        <f t="shared" si="41"/>
        <v>17948.7</v>
      </c>
      <c r="AO1304" t="s">
        <v>66</v>
      </c>
      <c r="AP1304">
        <v>2</v>
      </c>
      <c r="AQ1304" t="s">
        <v>66</v>
      </c>
      <c r="AR1304">
        <v>0</v>
      </c>
      <c r="AS1304" t="s">
        <v>66</v>
      </c>
      <c r="AT1304">
        <v>0</v>
      </c>
      <c r="AU1304" t="s">
        <v>66</v>
      </c>
      <c r="AV1304">
        <v>0</v>
      </c>
      <c r="AW1304" t="s">
        <v>66</v>
      </c>
      <c r="AX1304">
        <v>0</v>
      </c>
      <c r="AY1304" t="s">
        <v>66</v>
      </c>
      <c r="AZ1304">
        <v>0</v>
      </c>
      <c r="BA1304" t="s">
        <v>66</v>
      </c>
      <c r="BB1304">
        <v>0</v>
      </c>
      <c r="BC1304">
        <v>0</v>
      </c>
      <c r="BD1304">
        <v>53846.1</v>
      </c>
      <c r="BE1304">
        <v>14878.51</v>
      </c>
      <c r="BF1304">
        <v>0</v>
      </c>
      <c r="BG1304" t="s">
        <v>87</v>
      </c>
      <c r="BH1304" t="s">
        <v>66</v>
      </c>
      <c r="BI1304">
        <v>0</v>
      </c>
      <c r="BJ1304" t="s">
        <v>66</v>
      </c>
      <c r="BK1304" t="s">
        <v>88</v>
      </c>
      <c r="BL1304" t="s">
        <v>719</v>
      </c>
      <c r="BM1304" t="s">
        <v>159</v>
      </c>
    </row>
    <row r="1305" spans="1:65" x14ac:dyDescent="0.25">
      <c r="A1305">
        <v>1303</v>
      </c>
      <c r="B1305" t="s">
        <v>1540</v>
      </c>
      <c r="C1305" t="s">
        <v>68</v>
      </c>
      <c r="D1305" s="1">
        <v>46218</v>
      </c>
      <c r="E1305" t="s">
        <v>1541</v>
      </c>
      <c r="F1305" t="s">
        <v>68</v>
      </c>
      <c r="G1305" t="s">
        <v>295</v>
      </c>
      <c r="H1305" t="s">
        <v>296</v>
      </c>
      <c r="I1305" t="s">
        <v>71</v>
      </c>
      <c r="J1305" t="s">
        <v>72</v>
      </c>
      <c r="K1305" t="s">
        <v>73</v>
      </c>
      <c r="L1305" t="s">
        <v>74</v>
      </c>
      <c r="M1305" t="s">
        <v>1542</v>
      </c>
      <c r="N1305" t="s">
        <v>76</v>
      </c>
      <c r="O1305" t="s">
        <v>1543</v>
      </c>
      <c r="P1305" t="s">
        <v>1544</v>
      </c>
      <c r="Q1305" t="s">
        <v>1545</v>
      </c>
      <c r="R1305" s="1">
        <v>46221</v>
      </c>
      <c r="S1305" t="s">
        <v>716</v>
      </c>
      <c r="T1305" t="s">
        <v>717</v>
      </c>
      <c r="U1305" t="s">
        <v>718</v>
      </c>
      <c r="V1305" t="s">
        <v>66</v>
      </c>
      <c r="W1305" t="s">
        <v>66</v>
      </c>
      <c r="X1305">
        <v>756168</v>
      </c>
      <c r="Y1305">
        <v>83178.48</v>
      </c>
      <c r="Z1305">
        <v>78204</v>
      </c>
      <c r="AA1305">
        <v>8602.44</v>
      </c>
      <c r="AB1305">
        <v>839346.48</v>
      </c>
      <c r="AC1305">
        <v>6</v>
      </c>
      <c r="AD1305" t="s">
        <v>82</v>
      </c>
      <c r="AE1305">
        <v>6</v>
      </c>
      <c r="AF1305" t="s">
        <v>135</v>
      </c>
      <c r="AG1305">
        <f>IFERROR(VLOOKUP(AF1305,[1]STOK!J:O,6,0),"")</f>
        <v>12</v>
      </c>
      <c r="AH1305" s="2">
        <f t="shared" si="40"/>
        <v>0.5</v>
      </c>
      <c r="AI1305" t="s">
        <v>135</v>
      </c>
      <c r="AJ1305" t="s">
        <v>136</v>
      </c>
      <c r="AK1305" t="s">
        <v>137</v>
      </c>
      <c r="AL1305" t="s">
        <v>86</v>
      </c>
      <c r="AM1305">
        <v>14763</v>
      </c>
      <c r="AN1305">
        <f t="shared" si="41"/>
        <v>14467.74</v>
      </c>
      <c r="AO1305" t="s">
        <v>66</v>
      </c>
      <c r="AP1305">
        <v>2</v>
      </c>
      <c r="AQ1305" t="s">
        <v>66</v>
      </c>
      <c r="AR1305">
        <v>0</v>
      </c>
      <c r="AS1305" t="s">
        <v>66</v>
      </c>
      <c r="AT1305">
        <v>0</v>
      </c>
      <c r="AU1305" t="s">
        <v>66</v>
      </c>
      <c r="AV1305">
        <v>0</v>
      </c>
      <c r="AW1305" t="s">
        <v>66</v>
      </c>
      <c r="AX1305">
        <v>0</v>
      </c>
      <c r="AY1305" t="s">
        <v>66</v>
      </c>
      <c r="AZ1305">
        <v>0</v>
      </c>
      <c r="BA1305" t="s">
        <v>66</v>
      </c>
      <c r="BB1305">
        <v>0</v>
      </c>
      <c r="BC1305">
        <v>0</v>
      </c>
      <c r="BD1305">
        <v>86806.44</v>
      </c>
      <c r="BE1305">
        <v>12032.04</v>
      </c>
      <c r="BF1305">
        <v>0</v>
      </c>
      <c r="BG1305" t="s">
        <v>87</v>
      </c>
      <c r="BH1305" t="s">
        <v>66</v>
      </c>
      <c r="BI1305">
        <v>0</v>
      </c>
      <c r="BJ1305" t="s">
        <v>66</v>
      </c>
      <c r="BK1305" t="s">
        <v>88</v>
      </c>
      <c r="BL1305" t="s">
        <v>719</v>
      </c>
      <c r="BM1305" t="s">
        <v>159</v>
      </c>
    </row>
    <row r="1306" spans="1:65" x14ac:dyDescent="0.25">
      <c r="A1306">
        <v>1304</v>
      </c>
      <c r="B1306" t="s">
        <v>1540</v>
      </c>
      <c r="C1306" t="s">
        <v>68</v>
      </c>
      <c r="D1306" s="1">
        <v>46218</v>
      </c>
      <c r="E1306" t="s">
        <v>1541</v>
      </c>
      <c r="F1306" t="s">
        <v>68</v>
      </c>
      <c r="G1306" t="s">
        <v>295</v>
      </c>
      <c r="H1306" t="s">
        <v>296</v>
      </c>
      <c r="I1306" t="s">
        <v>71</v>
      </c>
      <c r="J1306" t="s">
        <v>72</v>
      </c>
      <c r="K1306" t="s">
        <v>73</v>
      </c>
      <c r="L1306" t="s">
        <v>74</v>
      </c>
      <c r="M1306" t="s">
        <v>1542</v>
      </c>
      <c r="N1306" t="s">
        <v>76</v>
      </c>
      <c r="O1306" t="s">
        <v>1543</v>
      </c>
      <c r="P1306" t="s">
        <v>1544</v>
      </c>
      <c r="Q1306" t="s">
        <v>1545</v>
      </c>
      <c r="R1306" s="1">
        <v>46221</v>
      </c>
      <c r="S1306" t="s">
        <v>716</v>
      </c>
      <c r="T1306" t="s">
        <v>717</v>
      </c>
      <c r="U1306" t="s">
        <v>718</v>
      </c>
      <c r="V1306" t="s">
        <v>66</v>
      </c>
      <c r="W1306" t="s">
        <v>66</v>
      </c>
      <c r="X1306">
        <v>756168</v>
      </c>
      <c r="Y1306">
        <v>83178.48</v>
      </c>
      <c r="Z1306">
        <v>39102</v>
      </c>
      <c r="AA1306">
        <v>4301.22</v>
      </c>
      <c r="AB1306">
        <v>839346.48</v>
      </c>
      <c r="AC1306">
        <v>3</v>
      </c>
      <c r="AD1306" t="s">
        <v>82</v>
      </c>
      <c r="AE1306">
        <v>3</v>
      </c>
      <c r="AF1306" t="s">
        <v>210</v>
      </c>
      <c r="AG1306">
        <f>IFERROR(VLOOKUP(AF1306,[1]STOK!J:O,6,0),"")</f>
        <v>12</v>
      </c>
      <c r="AH1306" s="2">
        <f t="shared" si="40"/>
        <v>0.25</v>
      </c>
      <c r="AI1306" t="s">
        <v>210</v>
      </c>
      <c r="AJ1306" t="s">
        <v>211</v>
      </c>
      <c r="AK1306" t="s">
        <v>212</v>
      </c>
      <c r="AL1306" t="s">
        <v>86</v>
      </c>
      <c r="AM1306">
        <v>14763</v>
      </c>
      <c r="AN1306">
        <f t="shared" si="41"/>
        <v>14467.74</v>
      </c>
      <c r="AO1306" t="s">
        <v>66</v>
      </c>
      <c r="AP1306">
        <v>2</v>
      </c>
      <c r="AQ1306" t="s">
        <v>66</v>
      </c>
      <c r="AR1306">
        <v>0</v>
      </c>
      <c r="AS1306" t="s">
        <v>66</v>
      </c>
      <c r="AT1306">
        <v>0</v>
      </c>
      <c r="AU1306" t="s">
        <v>66</v>
      </c>
      <c r="AV1306">
        <v>0</v>
      </c>
      <c r="AW1306" t="s">
        <v>66</v>
      </c>
      <c r="AX1306">
        <v>0</v>
      </c>
      <c r="AY1306" t="s">
        <v>66</v>
      </c>
      <c r="AZ1306">
        <v>0</v>
      </c>
      <c r="BA1306" t="s">
        <v>66</v>
      </c>
      <c r="BB1306">
        <v>0</v>
      </c>
      <c r="BC1306">
        <v>0</v>
      </c>
      <c r="BD1306">
        <v>43403.22</v>
      </c>
      <c r="BE1306">
        <v>11818.77</v>
      </c>
      <c r="BF1306">
        <v>0</v>
      </c>
      <c r="BG1306" t="s">
        <v>87</v>
      </c>
      <c r="BH1306" t="s">
        <v>66</v>
      </c>
      <c r="BI1306">
        <v>0</v>
      </c>
      <c r="BJ1306" t="s">
        <v>66</v>
      </c>
      <c r="BK1306" t="s">
        <v>88</v>
      </c>
      <c r="BL1306" t="s">
        <v>719</v>
      </c>
      <c r="BM1306" t="s">
        <v>159</v>
      </c>
    </row>
    <row r="1307" spans="1:65" x14ac:dyDescent="0.25">
      <c r="A1307">
        <v>1305</v>
      </c>
      <c r="B1307" t="s">
        <v>1540</v>
      </c>
      <c r="C1307" t="s">
        <v>68</v>
      </c>
      <c r="D1307" s="1">
        <v>46218</v>
      </c>
      <c r="E1307" t="s">
        <v>1541</v>
      </c>
      <c r="F1307" t="s">
        <v>68</v>
      </c>
      <c r="G1307" t="s">
        <v>295</v>
      </c>
      <c r="H1307" t="s">
        <v>296</v>
      </c>
      <c r="I1307" t="s">
        <v>71</v>
      </c>
      <c r="J1307" t="s">
        <v>72</v>
      </c>
      <c r="K1307" t="s">
        <v>73</v>
      </c>
      <c r="L1307" t="s">
        <v>74</v>
      </c>
      <c r="M1307" t="s">
        <v>1542</v>
      </c>
      <c r="N1307" t="s">
        <v>76</v>
      </c>
      <c r="O1307" t="s">
        <v>1543</v>
      </c>
      <c r="P1307" t="s">
        <v>1544</v>
      </c>
      <c r="Q1307" t="s">
        <v>1545</v>
      </c>
      <c r="R1307" s="1">
        <v>46221</v>
      </c>
      <c r="S1307" t="s">
        <v>716</v>
      </c>
      <c r="T1307" t="s">
        <v>717</v>
      </c>
      <c r="U1307" t="s">
        <v>718</v>
      </c>
      <c r="V1307" t="s">
        <v>66</v>
      </c>
      <c r="W1307" t="s">
        <v>66</v>
      </c>
      <c r="X1307">
        <v>756168</v>
      </c>
      <c r="Y1307">
        <v>83178.48</v>
      </c>
      <c r="Z1307">
        <v>117600</v>
      </c>
      <c r="AA1307">
        <v>12936</v>
      </c>
      <c r="AB1307">
        <v>839346.48</v>
      </c>
      <c r="AC1307">
        <v>6</v>
      </c>
      <c r="AD1307" t="s">
        <v>82</v>
      </c>
      <c r="AE1307">
        <v>6</v>
      </c>
      <c r="AF1307" t="s">
        <v>290</v>
      </c>
      <c r="AG1307">
        <f>IFERROR(VLOOKUP(AF1307,[1]STOK!J:O,6,0),"")</f>
        <v>12</v>
      </c>
      <c r="AH1307" s="2">
        <f t="shared" si="40"/>
        <v>0.5</v>
      </c>
      <c r="AI1307" t="s">
        <v>290</v>
      </c>
      <c r="AJ1307" t="s">
        <v>291</v>
      </c>
      <c r="AK1307" t="s">
        <v>292</v>
      </c>
      <c r="AL1307" t="s">
        <v>86</v>
      </c>
      <c r="AM1307">
        <v>22200</v>
      </c>
      <c r="AN1307">
        <f t="shared" si="41"/>
        <v>21756</v>
      </c>
      <c r="AO1307" t="s">
        <v>66</v>
      </c>
      <c r="AP1307">
        <v>2</v>
      </c>
      <c r="AQ1307" t="s">
        <v>66</v>
      </c>
      <c r="AR1307">
        <v>0</v>
      </c>
      <c r="AS1307" t="s">
        <v>66</v>
      </c>
      <c r="AT1307">
        <v>0</v>
      </c>
      <c r="AU1307" t="s">
        <v>66</v>
      </c>
      <c r="AV1307">
        <v>0</v>
      </c>
      <c r="AW1307" t="s">
        <v>66</v>
      </c>
      <c r="AX1307">
        <v>0</v>
      </c>
      <c r="AY1307" t="s">
        <v>66</v>
      </c>
      <c r="AZ1307">
        <v>0</v>
      </c>
      <c r="BA1307" t="s">
        <v>66</v>
      </c>
      <c r="BB1307">
        <v>0</v>
      </c>
      <c r="BC1307">
        <v>0</v>
      </c>
      <c r="BD1307">
        <v>130536</v>
      </c>
      <c r="BE1307">
        <v>18155.62</v>
      </c>
      <c r="BF1307">
        <v>0</v>
      </c>
      <c r="BG1307" t="s">
        <v>87</v>
      </c>
      <c r="BH1307" t="s">
        <v>66</v>
      </c>
      <c r="BI1307">
        <v>0</v>
      </c>
      <c r="BJ1307" t="s">
        <v>66</v>
      </c>
      <c r="BK1307" t="s">
        <v>88</v>
      </c>
      <c r="BL1307" t="s">
        <v>719</v>
      </c>
      <c r="BM1307" t="s">
        <v>159</v>
      </c>
    </row>
    <row r="1308" spans="1:65" x14ac:dyDescent="0.25">
      <c r="A1308">
        <v>1306</v>
      </c>
      <c r="B1308" t="s">
        <v>1540</v>
      </c>
      <c r="C1308" t="s">
        <v>68</v>
      </c>
      <c r="D1308" s="1">
        <v>46218</v>
      </c>
      <c r="E1308" t="s">
        <v>1541</v>
      </c>
      <c r="F1308" t="s">
        <v>68</v>
      </c>
      <c r="G1308" t="s">
        <v>295</v>
      </c>
      <c r="H1308" t="s">
        <v>296</v>
      </c>
      <c r="I1308" t="s">
        <v>71</v>
      </c>
      <c r="J1308" t="s">
        <v>72</v>
      </c>
      <c r="K1308" t="s">
        <v>73</v>
      </c>
      <c r="L1308" t="s">
        <v>74</v>
      </c>
      <c r="M1308" t="s">
        <v>1542</v>
      </c>
      <c r="N1308" t="s">
        <v>76</v>
      </c>
      <c r="O1308" t="s">
        <v>1543</v>
      </c>
      <c r="P1308" t="s">
        <v>1544</v>
      </c>
      <c r="Q1308" t="s">
        <v>1545</v>
      </c>
      <c r="R1308" s="1">
        <v>46221</v>
      </c>
      <c r="S1308" t="s">
        <v>716</v>
      </c>
      <c r="T1308" t="s">
        <v>717</v>
      </c>
      <c r="U1308" t="s">
        <v>718</v>
      </c>
      <c r="V1308" t="s">
        <v>66</v>
      </c>
      <c r="W1308" t="s">
        <v>66</v>
      </c>
      <c r="X1308">
        <v>756168</v>
      </c>
      <c r="Y1308">
        <v>83178.48</v>
      </c>
      <c r="Z1308">
        <v>117600</v>
      </c>
      <c r="AA1308">
        <v>12936</v>
      </c>
      <c r="AB1308">
        <v>839346.48</v>
      </c>
      <c r="AC1308">
        <v>6</v>
      </c>
      <c r="AD1308" t="s">
        <v>82</v>
      </c>
      <c r="AE1308">
        <v>6</v>
      </c>
      <c r="AF1308" t="s">
        <v>102</v>
      </c>
      <c r="AG1308">
        <f>IFERROR(VLOOKUP(AF1308,[1]STOK!J:O,6,0),"")</f>
        <v>12</v>
      </c>
      <c r="AH1308" s="2">
        <f t="shared" si="40"/>
        <v>0.5</v>
      </c>
      <c r="AI1308" t="s">
        <v>102</v>
      </c>
      <c r="AJ1308" t="s">
        <v>103</v>
      </c>
      <c r="AK1308" t="s">
        <v>104</v>
      </c>
      <c r="AL1308" t="s">
        <v>86</v>
      </c>
      <c r="AM1308">
        <v>22200</v>
      </c>
      <c r="AN1308">
        <f t="shared" si="41"/>
        <v>21756</v>
      </c>
      <c r="AO1308" t="s">
        <v>66</v>
      </c>
      <c r="AP1308">
        <v>2</v>
      </c>
      <c r="AQ1308" t="s">
        <v>66</v>
      </c>
      <c r="AR1308">
        <v>0</v>
      </c>
      <c r="AS1308" t="s">
        <v>66</v>
      </c>
      <c r="AT1308">
        <v>0</v>
      </c>
      <c r="AU1308" t="s">
        <v>66</v>
      </c>
      <c r="AV1308">
        <v>0</v>
      </c>
      <c r="AW1308" t="s">
        <v>66</v>
      </c>
      <c r="AX1308">
        <v>0</v>
      </c>
      <c r="AY1308" t="s">
        <v>66</v>
      </c>
      <c r="AZ1308">
        <v>0</v>
      </c>
      <c r="BA1308" t="s">
        <v>66</v>
      </c>
      <c r="BB1308">
        <v>0</v>
      </c>
      <c r="BC1308">
        <v>0</v>
      </c>
      <c r="BD1308">
        <v>130536</v>
      </c>
      <c r="BE1308">
        <v>17828.62</v>
      </c>
      <c r="BF1308">
        <v>0</v>
      </c>
      <c r="BG1308" t="s">
        <v>87</v>
      </c>
      <c r="BH1308" t="s">
        <v>66</v>
      </c>
      <c r="BI1308">
        <v>0</v>
      </c>
      <c r="BJ1308" t="s">
        <v>66</v>
      </c>
      <c r="BK1308" t="s">
        <v>88</v>
      </c>
      <c r="BL1308" t="s">
        <v>719</v>
      </c>
      <c r="BM1308" t="s">
        <v>159</v>
      </c>
    </row>
    <row r="1309" spans="1:65" x14ac:dyDescent="0.25">
      <c r="A1309">
        <v>1307</v>
      </c>
      <c r="B1309" t="s">
        <v>1546</v>
      </c>
      <c r="C1309" t="s">
        <v>66</v>
      </c>
      <c r="D1309" s="1">
        <v>46218</v>
      </c>
      <c r="E1309" t="s">
        <v>1547</v>
      </c>
      <c r="F1309" t="s">
        <v>68</v>
      </c>
      <c r="G1309" t="s">
        <v>69</v>
      </c>
      <c r="H1309" t="s">
        <v>70</v>
      </c>
      <c r="I1309" t="s">
        <v>71</v>
      </c>
      <c r="J1309" t="s">
        <v>72</v>
      </c>
      <c r="K1309" t="s">
        <v>73</v>
      </c>
      <c r="L1309" t="s">
        <v>74</v>
      </c>
      <c r="M1309" t="s">
        <v>627</v>
      </c>
      <c r="N1309" t="s">
        <v>111</v>
      </c>
      <c r="O1309" t="s">
        <v>628</v>
      </c>
      <c r="P1309" t="s">
        <v>629</v>
      </c>
      <c r="Q1309" t="s">
        <v>1548</v>
      </c>
      <c r="R1309" s="1">
        <v>46220</v>
      </c>
      <c r="S1309" t="s">
        <v>628</v>
      </c>
      <c r="T1309" t="s">
        <v>631</v>
      </c>
      <c r="U1309" t="s">
        <v>632</v>
      </c>
      <c r="V1309" t="s">
        <v>66</v>
      </c>
      <c r="W1309" t="s">
        <v>66</v>
      </c>
      <c r="X1309">
        <v>902763.5</v>
      </c>
      <c r="Y1309">
        <v>99303.99</v>
      </c>
      <c r="Z1309">
        <v>62685</v>
      </c>
      <c r="AA1309">
        <v>6895.35</v>
      </c>
      <c r="AB1309">
        <v>1002067.49</v>
      </c>
      <c r="AC1309">
        <v>6</v>
      </c>
      <c r="AD1309" t="s">
        <v>82</v>
      </c>
      <c r="AE1309">
        <v>6</v>
      </c>
      <c r="AF1309" t="s">
        <v>1549</v>
      </c>
      <c r="AG1309">
        <f>IFERROR(VLOOKUP(AF1309,[1]STOK!J:O,6,0),"")</f>
        <v>24</v>
      </c>
      <c r="AH1309" s="2">
        <f t="shared" si="40"/>
        <v>0.25</v>
      </c>
      <c r="AI1309" t="s">
        <v>1549</v>
      </c>
      <c r="AJ1309" t="s">
        <v>1550</v>
      </c>
      <c r="AK1309" t="s">
        <v>1551</v>
      </c>
      <c r="AL1309" t="s">
        <v>86</v>
      </c>
      <c r="AM1309">
        <v>11655</v>
      </c>
      <c r="AN1309">
        <f t="shared" si="41"/>
        <v>11596.725</v>
      </c>
      <c r="AO1309" t="s">
        <v>66</v>
      </c>
      <c r="AP1309">
        <v>0.5</v>
      </c>
      <c r="AQ1309" t="s">
        <v>66</v>
      </c>
      <c r="AR1309">
        <v>0</v>
      </c>
      <c r="AS1309" t="s">
        <v>66</v>
      </c>
      <c r="AT1309">
        <v>0</v>
      </c>
      <c r="AU1309" t="s">
        <v>66</v>
      </c>
      <c r="AV1309">
        <v>0</v>
      </c>
      <c r="AW1309" t="s">
        <v>66</v>
      </c>
      <c r="AX1309">
        <v>0</v>
      </c>
      <c r="AY1309" t="s">
        <v>66</v>
      </c>
      <c r="AZ1309">
        <v>0</v>
      </c>
      <c r="BA1309" t="s">
        <v>66</v>
      </c>
      <c r="BB1309">
        <v>0</v>
      </c>
      <c r="BC1309">
        <v>0</v>
      </c>
      <c r="BD1309">
        <v>69580.350000000006</v>
      </c>
      <c r="BE1309">
        <v>9247.99</v>
      </c>
      <c r="BF1309">
        <v>0</v>
      </c>
      <c r="BG1309" t="s">
        <v>87</v>
      </c>
      <c r="BH1309" t="s">
        <v>66</v>
      </c>
      <c r="BI1309">
        <v>0</v>
      </c>
      <c r="BJ1309" t="s">
        <v>66</v>
      </c>
      <c r="BK1309" t="s">
        <v>88</v>
      </c>
      <c r="BL1309" t="s">
        <v>66</v>
      </c>
      <c r="BM1309" t="s">
        <v>159</v>
      </c>
    </row>
    <row r="1310" spans="1:65" x14ac:dyDescent="0.25">
      <c r="A1310">
        <v>1308</v>
      </c>
      <c r="B1310" t="s">
        <v>1546</v>
      </c>
      <c r="C1310" t="s">
        <v>66</v>
      </c>
      <c r="D1310" s="1">
        <v>46218</v>
      </c>
      <c r="E1310" t="s">
        <v>1547</v>
      </c>
      <c r="F1310" t="s">
        <v>68</v>
      </c>
      <c r="G1310" t="s">
        <v>69</v>
      </c>
      <c r="H1310" t="s">
        <v>70</v>
      </c>
      <c r="I1310" t="s">
        <v>71</v>
      </c>
      <c r="J1310" t="s">
        <v>72</v>
      </c>
      <c r="K1310" t="s">
        <v>73</v>
      </c>
      <c r="L1310" t="s">
        <v>74</v>
      </c>
      <c r="M1310" t="s">
        <v>627</v>
      </c>
      <c r="N1310" t="s">
        <v>111</v>
      </c>
      <c r="O1310" t="s">
        <v>628</v>
      </c>
      <c r="P1310" t="s">
        <v>629</v>
      </c>
      <c r="Q1310" t="s">
        <v>1548</v>
      </c>
      <c r="R1310" s="1">
        <v>46220</v>
      </c>
      <c r="S1310" t="s">
        <v>628</v>
      </c>
      <c r="T1310" t="s">
        <v>631</v>
      </c>
      <c r="U1310" t="s">
        <v>632</v>
      </c>
      <c r="V1310" t="s">
        <v>66</v>
      </c>
      <c r="W1310" t="s">
        <v>66</v>
      </c>
      <c r="X1310">
        <v>902763.5</v>
      </c>
      <c r="Y1310">
        <v>99303.99</v>
      </c>
      <c r="Z1310">
        <v>62685</v>
      </c>
      <c r="AA1310">
        <v>6895.35</v>
      </c>
      <c r="AB1310">
        <v>1002067.49</v>
      </c>
      <c r="AC1310">
        <v>6</v>
      </c>
      <c r="AD1310" t="s">
        <v>82</v>
      </c>
      <c r="AE1310">
        <v>6</v>
      </c>
      <c r="AF1310" t="s">
        <v>874</v>
      </c>
      <c r="AG1310">
        <f>IFERROR(VLOOKUP(AF1310,[1]STOK!J:O,6,0),"")</f>
        <v>24</v>
      </c>
      <c r="AH1310" s="2">
        <f t="shared" si="40"/>
        <v>0.25</v>
      </c>
      <c r="AI1310" t="s">
        <v>874</v>
      </c>
      <c r="AJ1310" t="s">
        <v>875</v>
      </c>
      <c r="AK1310" t="s">
        <v>876</v>
      </c>
      <c r="AL1310" t="s">
        <v>86</v>
      </c>
      <c r="AM1310">
        <v>11655</v>
      </c>
      <c r="AN1310">
        <f t="shared" si="41"/>
        <v>11596.725</v>
      </c>
      <c r="AO1310" t="s">
        <v>66</v>
      </c>
      <c r="AP1310">
        <v>0.5</v>
      </c>
      <c r="AQ1310" t="s">
        <v>66</v>
      </c>
      <c r="AR1310">
        <v>0</v>
      </c>
      <c r="AS1310" t="s">
        <v>66</v>
      </c>
      <c r="AT1310">
        <v>0</v>
      </c>
      <c r="AU1310" t="s">
        <v>66</v>
      </c>
      <c r="AV1310">
        <v>0</v>
      </c>
      <c r="AW1310" t="s">
        <v>66</v>
      </c>
      <c r="AX1310">
        <v>0</v>
      </c>
      <c r="AY1310" t="s">
        <v>66</v>
      </c>
      <c r="AZ1310">
        <v>0</v>
      </c>
      <c r="BA1310" t="s">
        <v>66</v>
      </c>
      <c r="BB1310">
        <v>0</v>
      </c>
      <c r="BC1310">
        <v>0</v>
      </c>
      <c r="BD1310">
        <v>69580.350000000006</v>
      </c>
      <c r="BE1310">
        <v>8940.7999999999993</v>
      </c>
      <c r="BF1310">
        <v>0</v>
      </c>
      <c r="BG1310" t="s">
        <v>87</v>
      </c>
      <c r="BH1310" t="s">
        <v>66</v>
      </c>
      <c r="BI1310">
        <v>0</v>
      </c>
      <c r="BJ1310" t="s">
        <v>66</v>
      </c>
      <c r="BK1310" t="s">
        <v>88</v>
      </c>
      <c r="BL1310" t="s">
        <v>66</v>
      </c>
      <c r="BM1310" t="s">
        <v>159</v>
      </c>
    </row>
    <row r="1311" spans="1:65" x14ac:dyDescent="0.25">
      <c r="A1311">
        <v>1309</v>
      </c>
      <c r="B1311" t="s">
        <v>1546</v>
      </c>
      <c r="C1311" t="s">
        <v>66</v>
      </c>
      <c r="D1311" s="1">
        <v>46218</v>
      </c>
      <c r="E1311" t="s">
        <v>1547</v>
      </c>
      <c r="F1311" t="s">
        <v>68</v>
      </c>
      <c r="G1311" t="s">
        <v>69</v>
      </c>
      <c r="H1311" t="s">
        <v>70</v>
      </c>
      <c r="I1311" t="s">
        <v>71</v>
      </c>
      <c r="J1311" t="s">
        <v>72</v>
      </c>
      <c r="K1311" t="s">
        <v>73</v>
      </c>
      <c r="L1311" t="s">
        <v>74</v>
      </c>
      <c r="M1311" t="s">
        <v>627</v>
      </c>
      <c r="N1311" t="s">
        <v>111</v>
      </c>
      <c r="O1311" t="s">
        <v>628</v>
      </c>
      <c r="P1311" t="s">
        <v>629</v>
      </c>
      <c r="Q1311" t="s">
        <v>1548</v>
      </c>
      <c r="R1311" s="1">
        <v>46220</v>
      </c>
      <c r="S1311" t="s">
        <v>628</v>
      </c>
      <c r="T1311" t="s">
        <v>631</v>
      </c>
      <c r="U1311" t="s">
        <v>632</v>
      </c>
      <c r="V1311" t="s">
        <v>66</v>
      </c>
      <c r="W1311" t="s">
        <v>66</v>
      </c>
      <c r="X1311">
        <v>902763.5</v>
      </c>
      <c r="Y1311">
        <v>99303.99</v>
      </c>
      <c r="Z1311">
        <v>14925</v>
      </c>
      <c r="AA1311">
        <v>1641.75</v>
      </c>
      <c r="AB1311">
        <v>1002067.49</v>
      </c>
      <c r="AC1311">
        <v>6</v>
      </c>
      <c r="AD1311" t="s">
        <v>82</v>
      </c>
      <c r="AE1311">
        <v>6</v>
      </c>
      <c r="AF1311" t="s">
        <v>392</v>
      </c>
      <c r="AG1311">
        <f>IFERROR(VLOOKUP(AF1311,[1]STOK!J:O,6,0),"")</f>
        <v>72</v>
      </c>
      <c r="AH1311" s="2">
        <f t="shared" si="40"/>
        <v>8.3333333333333329E-2</v>
      </c>
      <c r="AI1311" t="s">
        <v>392</v>
      </c>
      <c r="AJ1311" t="s">
        <v>393</v>
      </c>
      <c r="AK1311" t="s">
        <v>394</v>
      </c>
      <c r="AL1311" t="s">
        <v>86</v>
      </c>
      <c r="AM1311">
        <v>2775</v>
      </c>
      <c r="AN1311">
        <f t="shared" si="41"/>
        <v>2761.125</v>
      </c>
      <c r="AO1311" t="s">
        <v>66</v>
      </c>
      <c r="AP1311">
        <v>0.5</v>
      </c>
      <c r="AQ1311" t="s">
        <v>66</v>
      </c>
      <c r="AR1311">
        <v>0</v>
      </c>
      <c r="AS1311" t="s">
        <v>66</v>
      </c>
      <c r="AT1311">
        <v>0</v>
      </c>
      <c r="AU1311" t="s">
        <v>66</v>
      </c>
      <c r="AV1311">
        <v>0</v>
      </c>
      <c r="AW1311" t="s">
        <v>66</v>
      </c>
      <c r="AX1311">
        <v>0</v>
      </c>
      <c r="AY1311" t="s">
        <v>66</v>
      </c>
      <c r="AZ1311">
        <v>0</v>
      </c>
      <c r="BA1311" t="s">
        <v>66</v>
      </c>
      <c r="BB1311">
        <v>0</v>
      </c>
      <c r="BC1311">
        <v>0</v>
      </c>
      <c r="BD1311">
        <v>16566.75</v>
      </c>
      <c r="BE1311">
        <v>2193.23</v>
      </c>
      <c r="BF1311">
        <v>0</v>
      </c>
      <c r="BG1311" t="s">
        <v>87</v>
      </c>
      <c r="BH1311" t="s">
        <v>66</v>
      </c>
      <c r="BI1311">
        <v>0</v>
      </c>
      <c r="BJ1311" t="s">
        <v>66</v>
      </c>
      <c r="BK1311" t="s">
        <v>88</v>
      </c>
      <c r="BL1311" t="s">
        <v>66</v>
      </c>
      <c r="BM1311" t="s">
        <v>159</v>
      </c>
    </row>
    <row r="1312" spans="1:65" x14ac:dyDescent="0.25">
      <c r="A1312">
        <v>1310</v>
      </c>
      <c r="B1312" t="s">
        <v>1546</v>
      </c>
      <c r="C1312" t="s">
        <v>66</v>
      </c>
      <c r="D1312" s="1">
        <v>46218</v>
      </c>
      <c r="E1312" t="s">
        <v>1547</v>
      </c>
      <c r="F1312" t="s">
        <v>68</v>
      </c>
      <c r="G1312" t="s">
        <v>69</v>
      </c>
      <c r="H1312" t="s">
        <v>70</v>
      </c>
      <c r="I1312" t="s">
        <v>71</v>
      </c>
      <c r="J1312" t="s">
        <v>72</v>
      </c>
      <c r="K1312" t="s">
        <v>73</v>
      </c>
      <c r="L1312" t="s">
        <v>74</v>
      </c>
      <c r="M1312" t="s">
        <v>627</v>
      </c>
      <c r="N1312" t="s">
        <v>111</v>
      </c>
      <c r="O1312" t="s">
        <v>628</v>
      </c>
      <c r="P1312" t="s">
        <v>629</v>
      </c>
      <c r="Q1312" t="s">
        <v>1548</v>
      </c>
      <c r="R1312" s="1">
        <v>46220</v>
      </c>
      <c r="S1312" t="s">
        <v>628</v>
      </c>
      <c r="T1312" t="s">
        <v>631</v>
      </c>
      <c r="U1312" t="s">
        <v>632</v>
      </c>
      <c r="V1312" t="s">
        <v>66</v>
      </c>
      <c r="W1312" t="s">
        <v>66</v>
      </c>
      <c r="X1312">
        <v>902763.5</v>
      </c>
      <c r="Y1312">
        <v>99303.99</v>
      </c>
      <c r="Z1312">
        <v>29850</v>
      </c>
      <c r="AA1312">
        <v>3283.5</v>
      </c>
      <c r="AB1312">
        <v>1002067.49</v>
      </c>
      <c r="AC1312">
        <v>12</v>
      </c>
      <c r="AD1312" t="s">
        <v>82</v>
      </c>
      <c r="AE1312">
        <v>12</v>
      </c>
      <c r="AF1312" t="s">
        <v>341</v>
      </c>
      <c r="AG1312">
        <f>IFERROR(VLOOKUP(AF1312,[1]STOK!J:O,6,0),"")</f>
        <v>72</v>
      </c>
      <c r="AH1312" s="2">
        <f t="shared" si="40"/>
        <v>0.16666666666666666</v>
      </c>
      <c r="AI1312" t="s">
        <v>341</v>
      </c>
      <c r="AJ1312" t="s">
        <v>342</v>
      </c>
      <c r="AK1312" t="s">
        <v>343</v>
      </c>
      <c r="AL1312" t="s">
        <v>86</v>
      </c>
      <c r="AM1312">
        <v>2775</v>
      </c>
      <c r="AN1312">
        <f t="shared" si="41"/>
        <v>2761.125</v>
      </c>
      <c r="AO1312" t="s">
        <v>66</v>
      </c>
      <c r="AP1312">
        <v>0.5</v>
      </c>
      <c r="AQ1312" t="s">
        <v>66</v>
      </c>
      <c r="AR1312">
        <v>0</v>
      </c>
      <c r="AS1312" t="s">
        <v>66</v>
      </c>
      <c r="AT1312">
        <v>0</v>
      </c>
      <c r="AU1312" t="s">
        <v>66</v>
      </c>
      <c r="AV1312">
        <v>0</v>
      </c>
      <c r="AW1312" t="s">
        <v>66</v>
      </c>
      <c r="AX1312">
        <v>0</v>
      </c>
      <c r="AY1312" t="s">
        <v>66</v>
      </c>
      <c r="AZ1312">
        <v>0</v>
      </c>
      <c r="BA1312" t="s">
        <v>66</v>
      </c>
      <c r="BB1312">
        <v>0</v>
      </c>
      <c r="BC1312">
        <v>0</v>
      </c>
      <c r="BD1312">
        <v>33133.5</v>
      </c>
      <c r="BE1312">
        <v>2206.12</v>
      </c>
      <c r="BF1312">
        <v>0</v>
      </c>
      <c r="BG1312" t="s">
        <v>87</v>
      </c>
      <c r="BH1312" t="s">
        <v>66</v>
      </c>
      <c r="BI1312">
        <v>0</v>
      </c>
      <c r="BJ1312" t="s">
        <v>66</v>
      </c>
      <c r="BK1312" t="s">
        <v>88</v>
      </c>
      <c r="BL1312" t="s">
        <v>66</v>
      </c>
      <c r="BM1312" t="s">
        <v>159</v>
      </c>
    </row>
    <row r="1313" spans="1:65" x14ac:dyDescent="0.25">
      <c r="A1313">
        <v>1311</v>
      </c>
      <c r="B1313" t="s">
        <v>1546</v>
      </c>
      <c r="C1313" t="s">
        <v>66</v>
      </c>
      <c r="D1313" s="1">
        <v>46218</v>
      </c>
      <c r="E1313" t="s">
        <v>1547</v>
      </c>
      <c r="F1313" t="s">
        <v>68</v>
      </c>
      <c r="G1313" t="s">
        <v>69</v>
      </c>
      <c r="H1313" t="s">
        <v>70</v>
      </c>
      <c r="I1313" t="s">
        <v>71</v>
      </c>
      <c r="J1313" t="s">
        <v>72</v>
      </c>
      <c r="K1313" t="s">
        <v>73</v>
      </c>
      <c r="L1313" t="s">
        <v>74</v>
      </c>
      <c r="M1313" t="s">
        <v>627</v>
      </c>
      <c r="N1313" t="s">
        <v>111</v>
      </c>
      <c r="O1313" t="s">
        <v>628</v>
      </c>
      <c r="P1313" t="s">
        <v>629</v>
      </c>
      <c r="Q1313" t="s">
        <v>1548</v>
      </c>
      <c r="R1313" s="1">
        <v>46220</v>
      </c>
      <c r="S1313" t="s">
        <v>628</v>
      </c>
      <c r="T1313" t="s">
        <v>631</v>
      </c>
      <c r="U1313" t="s">
        <v>632</v>
      </c>
      <c r="V1313" t="s">
        <v>66</v>
      </c>
      <c r="W1313" t="s">
        <v>66</v>
      </c>
      <c r="X1313">
        <v>902763.5</v>
      </c>
      <c r="Y1313">
        <v>99303.99</v>
      </c>
      <c r="Z1313">
        <v>44178</v>
      </c>
      <c r="AA1313">
        <v>4859.58</v>
      </c>
      <c r="AB1313">
        <v>1002067.49</v>
      </c>
      <c r="AC1313">
        <v>3</v>
      </c>
      <c r="AD1313" t="s">
        <v>82</v>
      </c>
      <c r="AE1313">
        <v>3</v>
      </c>
      <c r="AF1313" t="s">
        <v>548</v>
      </c>
      <c r="AG1313">
        <f>IFERROR(VLOOKUP(AF1313,[1]STOK!J:O,6,0),"")</f>
        <v>12</v>
      </c>
      <c r="AH1313" s="2">
        <f t="shared" si="40"/>
        <v>0.25</v>
      </c>
      <c r="AI1313" t="s">
        <v>548</v>
      </c>
      <c r="AJ1313" t="s">
        <v>549</v>
      </c>
      <c r="AK1313" t="s">
        <v>550</v>
      </c>
      <c r="AL1313" t="s">
        <v>86</v>
      </c>
      <c r="AM1313">
        <v>16428</v>
      </c>
      <c r="AN1313">
        <f t="shared" si="41"/>
        <v>16345.86</v>
      </c>
      <c r="AO1313" t="s">
        <v>66</v>
      </c>
      <c r="AP1313">
        <v>0.5</v>
      </c>
      <c r="AQ1313" t="s">
        <v>66</v>
      </c>
      <c r="AR1313">
        <v>0</v>
      </c>
      <c r="AS1313" t="s">
        <v>66</v>
      </c>
      <c r="AT1313">
        <v>0</v>
      </c>
      <c r="AU1313" t="s">
        <v>66</v>
      </c>
      <c r="AV1313">
        <v>0</v>
      </c>
      <c r="AW1313" t="s">
        <v>66</v>
      </c>
      <c r="AX1313">
        <v>0</v>
      </c>
      <c r="AY1313" t="s">
        <v>66</v>
      </c>
      <c r="AZ1313">
        <v>0</v>
      </c>
      <c r="BA1313" t="s">
        <v>66</v>
      </c>
      <c r="BB1313">
        <v>0</v>
      </c>
      <c r="BC1313">
        <v>0</v>
      </c>
      <c r="BD1313">
        <v>49037.58</v>
      </c>
      <c r="BE1313">
        <v>12235.75</v>
      </c>
      <c r="BF1313">
        <v>0</v>
      </c>
      <c r="BG1313" t="s">
        <v>87</v>
      </c>
      <c r="BH1313" t="s">
        <v>66</v>
      </c>
      <c r="BI1313">
        <v>0</v>
      </c>
      <c r="BJ1313" t="s">
        <v>66</v>
      </c>
      <c r="BK1313" t="s">
        <v>88</v>
      </c>
      <c r="BL1313" t="s">
        <v>66</v>
      </c>
      <c r="BM1313" t="s">
        <v>159</v>
      </c>
    </row>
    <row r="1314" spans="1:65" x14ac:dyDescent="0.25">
      <c r="A1314">
        <v>1312</v>
      </c>
      <c r="B1314" t="s">
        <v>1546</v>
      </c>
      <c r="C1314" t="s">
        <v>66</v>
      </c>
      <c r="D1314" s="1">
        <v>46218</v>
      </c>
      <c r="E1314" t="s">
        <v>1547</v>
      </c>
      <c r="F1314" t="s">
        <v>68</v>
      </c>
      <c r="G1314" t="s">
        <v>69</v>
      </c>
      <c r="H1314" t="s">
        <v>70</v>
      </c>
      <c r="I1314" t="s">
        <v>71</v>
      </c>
      <c r="J1314" t="s">
        <v>72</v>
      </c>
      <c r="K1314" t="s">
        <v>73</v>
      </c>
      <c r="L1314" t="s">
        <v>74</v>
      </c>
      <c r="M1314" t="s">
        <v>627</v>
      </c>
      <c r="N1314" t="s">
        <v>111</v>
      </c>
      <c r="O1314" t="s">
        <v>628</v>
      </c>
      <c r="P1314" t="s">
        <v>629</v>
      </c>
      <c r="Q1314" t="s">
        <v>1548</v>
      </c>
      <c r="R1314" s="1">
        <v>46220</v>
      </c>
      <c r="S1314" t="s">
        <v>628</v>
      </c>
      <c r="T1314" t="s">
        <v>631</v>
      </c>
      <c r="U1314" t="s">
        <v>632</v>
      </c>
      <c r="V1314" t="s">
        <v>66</v>
      </c>
      <c r="W1314" t="s">
        <v>66</v>
      </c>
      <c r="X1314">
        <v>902763.5</v>
      </c>
      <c r="Y1314">
        <v>99303.99</v>
      </c>
      <c r="Z1314">
        <v>47163</v>
      </c>
      <c r="AA1314">
        <v>5187.93</v>
      </c>
      <c r="AB1314">
        <v>1002067.49</v>
      </c>
      <c r="AC1314">
        <v>6</v>
      </c>
      <c r="AD1314" t="s">
        <v>82</v>
      </c>
      <c r="AE1314">
        <v>6</v>
      </c>
      <c r="AF1314" t="s">
        <v>199</v>
      </c>
      <c r="AG1314">
        <f>IFERROR(VLOOKUP(AF1314,[1]STOK!J:O,6,0),"")</f>
        <v>24</v>
      </c>
      <c r="AH1314" s="2">
        <f t="shared" si="40"/>
        <v>0.25</v>
      </c>
      <c r="AI1314" t="s">
        <v>199</v>
      </c>
      <c r="AJ1314" t="s">
        <v>200</v>
      </c>
      <c r="AK1314" t="s">
        <v>201</v>
      </c>
      <c r="AL1314" t="s">
        <v>86</v>
      </c>
      <c r="AM1314">
        <v>8769</v>
      </c>
      <c r="AN1314">
        <f t="shared" si="41"/>
        <v>8725.1550000000007</v>
      </c>
      <c r="AO1314" t="s">
        <v>66</v>
      </c>
      <c r="AP1314">
        <v>0.5</v>
      </c>
      <c r="AQ1314" t="s">
        <v>66</v>
      </c>
      <c r="AR1314">
        <v>0</v>
      </c>
      <c r="AS1314" t="s">
        <v>66</v>
      </c>
      <c r="AT1314">
        <v>0</v>
      </c>
      <c r="AU1314" t="s">
        <v>66</v>
      </c>
      <c r="AV1314">
        <v>0</v>
      </c>
      <c r="AW1314" t="s">
        <v>66</v>
      </c>
      <c r="AX1314">
        <v>0</v>
      </c>
      <c r="AY1314" t="s">
        <v>66</v>
      </c>
      <c r="AZ1314">
        <v>0</v>
      </c>
      <c r="BA1314" t="s">
        <v>66</v>
      </c>
      <c r="BB1314">
        <v>0</v>
      </c>
      <c r="BC1314">
        <v>0</v>
      </c>
      <c r="BD1314">
        <v>52350.93</v>
      </c>
      <c r="BE1314">
        <v>6637.67</v>
      </c>
      <c r="BF1314">
        <v>0</v>
      </c>
      <c r="BG1314" t="s">
        <v>87</v>
      </c>
      <c r="BH1314" t="s">
        <v>66</v>
      </c>
      <c r="BI1314">
        <v>0</v>
      </c>
      <c r="BJ1314" t="s">
        <v>66</v>
      </c>
      <c r="BK1314" t="s">
        <v>88</v>
      </c>
      <c r="BL1314" t="s">
        <v>66</v>
      </c>
      <c r="BM1314" t="s">
        <v>159</v>
      </c>
    </row>
    <row r="1315" spans="1:65" x14ac:dyDescent="0.25">
      <c r="A1315">
        <v>1313</v>
      </c>
      <c r="B1315" t="s">
        <v>1546</v>
      </c>
      <c r="C1315" t="s">
        <v>66</v>
      </c>
      <c r="D1315" s="1">
        <v>46218</v>
      </c>
      <c r="E1315" t="s">
        <v>1547</v>
      </c>
      <c r="F1315" t="s">
        <v>68</v>
      </c>
      <c r="G1315" t="s">
        <v>69</v>
      </c>
      <c r="H1315" t="s">
        <v>70</v>
      </c>
      <c r="I1315" t="s">
        <v>71</v>
      </c>
      <c r="J1315" t="s">
        <v>72</v>
      </c>
      <c r="K1315" t="s">
        <v>73</v>
      </c>
      <c r="L1315" t="s">
        <v>74</v>
      </c>
      <c r="M1315" t="s">
        <v>627</v>
      </c>
      <c r="N1315" t="s">
        <v>111</v>
      </c>
      <c r="O1315" t="s">
        <v>628</v>
      </c>
      <c r="P1315" t="s">
        <v>629</v>
      </c>
      <c r="Q1315" t="s">
        <v>1548</v>
      </c>
      <c r="R1315" s="1">
        <v>46220</v>
      </c>
      <c r="S1315" t="s">
        <v>628</v>
      </c>
      <c r="T1315" t="s">
        <v>631</v>
      </c>
      <c r="U1315" t="s">
        <v>632</v>
      </c>
      <c r="V1315" t="s">
        <v>66</v>
      </c>
      <c r="W1315" t="s">
        <v>66</v>
      </c>
      <c r="X1315">
        <v>902763.5</v>
      </c>
      <c r="Y1315">
        <v>99303.99</v>
      </c>
      <c r="Z1315">
        <v>47163</v>
      </c>
      <c r="AA1315">
        <v>5187.93</v>
      </c>
      <c r="AB1315">
        <v>1002067.49</v>
      </c>
      <c r="AC1315">
        <v>6</v>
      </c>
      <c r="AD1315" t="s">
        <v>82</v>
      </c>
      <c r="AE1315">
        <v>6</v>
      </c>
      <c r="AF1315" t="s">
        <v>248</v>
      </c>
      <c r="AG1315">
        <f>IFERROR(VLOOKUP(AF1315,[1]STOK!J:O,6,0),"")</f>
        <v>24</v>
      </c>
      <c r="AH1315" s="2">
        <f t="shared" si="40"/>
        <v>0.25</v>
      </c>
      <c r="AI1315" t="s">
        <v>248</v>
      </c>
      <c r="AJ1315" t="s">
        <v>249</v>
      </c>
      <c r="AK1315" t="s">
        <v>250</v>
      </c>
      <c r="AL1315" t="s">
        <v>86</v>
      </c>
      <c r="AM1315">
        <v>8769</v>
      </c>
      <c r="AN1315">
        <f t="shared" si="41"/>
        <v>8725.1550000000007</v>
      </c>
      <c r="AO1315" t="s">
        <v>66</v>
      </c>
      <c r="AP1315">
        <v>0.5</v>
      </c>
      <c r="AQ1315" t="s">
        <v>66</v>
      </c>
      <c r="AR1315">
        <v>0</v>
      </c>
      <c r="AS1315" t="s">
        <v>66</v>
      </c>
      <c r="AT1315">
        <v>0</v>
      </c>
      <c r="AU1315" t="s">
        <v>66</v>
      </c>
      <c r="AV1315">
        <v>0</v>
      </c>
      <c r="AW1315" t="s">
        <v>66</v>
      </c>
      <c r="AX1315">
        <v>0</v>
      </c>
      <c r="AY1315" t="s">
        <v>66</v>
      </c>
      <c r="AZ1315">
        <v>0</v>
      </c>
      <c r="BA1315" t="s">
        <v>66</v>
      </c>
      <c r="BB1315">
        <v>0</v>
      </c>
      <c r="BC1315">
        <v>0</v>
      </c>
      <c r="BD1315">
        <v>52350.93</v>
      </c>
      <c r="BE1315">
        <v>6516.01</v>
      </c>
      <c r="BF1315">
        <v>0</v>
      </c>
      <c r="BG1315" t="s">
        <v>87</v>
      </c>
      <c r="BH1315" t="s">
        <v>66</v>
      </c>
      <c r="BI1315">
        <v>0</v>
      </c>
      <c r="BJ1315" t="s">
        <v>66</v>
      </c>
      <c r="BK1315" t="s">
        <v>88</v>
      </c>
      <c r="BL1315" t="s">
        <v>66</v>
      </c>
      <c r="BM1315" t="s">
        <v>159</v>
      </c>
    </row>
    <row r="1316" spans="1:65" x14ac:dyDescent="0.25">
      <c r="A1316">
        <v>1314</v>
      </c>
      <c r="B1316" t="s">
        <v>1546</v>
      </c>
      <c r="C1316" t="s">
        <v>66</v>
      </c>
      <c r="D1316" s="1">
        <v>46218</v>
      </c>
      <c r="E1316" t="s">
        <v>1547</v>
      </c>
      <c r="F1316" t="s">
        <v>68</v>
      </c>
      <c r="G1316" t="s">
        <v>69</v>
      </c>
      <c r="H1316" t="s">
        <v>70</v>
      </c>
      <c r="I1316" t="s">
        <v>71</v>
      </c>
      <c r="J1316" t="s">
        <v>72</v>
      </c>
      <c r="K1316" t="s">
        <v>73</v>
      </c>
      <c r="L1316" t="s">
        <v>74</v>
      </c>
      <c r="M1316" t="s">
        <v>627</v>
      </c>
      <c r="N1316" t="s">
        <v>111</v>
      </c>
      <c r="O1316" t="s">
        <v>628</v>
      </c>
      <c r="P1316" t="s">
        <v>629</v>
      </c>
      <c r="Q1316" t="s">
        <v>1548</v>
      </c>
      <c r="R1316" s="1">
        <v>46220</v>
      </c>
      <c r="S1316" t="s">
        <v>628</v>
      </c>
      <c r="T1316" t="s">
        <v>631</v>
      </c>
      <c r="U1316" t="s">
        <v>632</v>
      </c>
      <c r="V1316" t="s">
        <v>66</v>
      </c>
      <c r="W1316" t="s">
        <v>66</v>
      </c>
      <c r="X1316">
        <v>902763.5</v>
      </c>
      <c r="Y1316">
        <v>99303.99</v>
      </c>
      <c r="Z1316">
        <v>47163</v>
      </c>
      <c r="AA1316">
        <v>5187.93</v>
      </c>
      <c r="AB1316">
        <v>1002067.49</v>
      </c>
      <c r="AC1316">
        <v>6</v>
      </c>
      <c r="AD1316" t="s">
        <v>82</v>
      </c>
      <c r="AE1316">
        <v>6</v>
      </c>
      <c r="AF1316" t="s">
        <v>344</v>
      </c>
      <c r="AG1316">
        <f>IFERROR(VLOOKUP(AF1316,[1]STOK!J:O,6,0),"")</f>
        <v>24</v>
      </c>
      <c r="AH1316" s="2">
        <f t="shared" si="40"/>
        <v>0.25</v>
      </c>
      <c r="AI1316" t="s">
        <v>344</v>
      </c>
      <c r="AJ1316" t="s">
        <v>345</v>
      </c>
      <c r="AK1316" t="s">
        <v>346</v>
      </c>
      <c r="AL1316" t="s">
        <v>86</v>
      </c>
      <c r="AM1316">
        <v>8769</v>
      </c>
      <c r="AN1316">
        <f t="shared" si="41"/>
        <v>8725.1550000000007</v>
      </c>
      <c r="AO1316" t="s">
        <v>66</v>
      </c>
      <c r="AP1316">
        <v>0.5</v>
      </c>
      <c r="AQ1316" t="s">
        <v>66</v>
      </c>
      <c r="AR1316">
        <v>0</v>
      </c>
      <c r="AS1316" t="s">
        <v>66</v>
      </c>
      <c r="AT1316">
        <v>0</v>
      </c>
      <c r="AU1316" t="s">
        <v>66</v>
      </c>
      <c r="AV1316">
        <v>0</v>
      </c>
      <c r="AW1316" t="s">
        <v>66</v>
      </c>
      <c r="AX1316">
        <v>0</v>
      </c>
      <c r="AY1316" t="s">
        <v>66</v>
      </c>
      <c r="AZ1316">
        <v>0</v>
      </c>
      <c r="BA1316" t="s">
        <v>66</v>
      </c>
      <c r="BB1316">
        <v>0</v>
      </c>
      <c r="BC1316">
        <v>0</v>
      </c>
      <c r="BD1316">
        <v>52350.93</v>
      </c>
      <c r="BE1316">
        <v>6916.14</v>
      </c>
      <c r="BF1316">
        <v>0</v>
      </c>
      <c r="BG1316" t="s">
        <v>87</v>
      </c>
      <c r="BH1316" t="s">
        <v>66</v>
      </c>
      <c r="BI1316">
        <v>0</v>
      </c>
      <c r="BJ1316" t="s">
        <v>66</v>
      </c>
      <c r="BK1316" t="s">
        <v>88</v>
      </c>
      <c r="BL1316" t="s">
        <v>66</v>
      </c>
      <c r="BM1316" t="s">
        <v>159</v>
      </c>
    </row>
    <row r="1317" spans="1:65" x14ac:dyDescent="0.25">
      <c r="A1317">
        <v>1315</v>
      </c>
      <c r="B1317" t="s">
        <v>1546</v>
      </c>
      <c r="C1317" t="s">
        <v>66</v>
      </c>
      <c r="D1317" s="1">
        <v>46218</v>
      </c>
      <c r="E1317" t="s">
        <v>1547</v>
      </c>
      <c r="F1317" t="s">
        <v>68</v>
      </c>
      <c r="G1317" t="s">
        <v>69</v>
      </c>
      <c r="H1317" t="s">
        <v>70</v>
      </c>
      <c r="I1317" t="s">
        <v>71</v>
      </c>
      <c r="J1317" t="s">
        <v>72</v>
      </c>
      <c r="K1317" t="s">
        <v>73</v>
      </c>
      <c r="L1317" t="s">
        <v>74</v>
      </c>
      <c r="M1317" t="s">
        <v>627</v>
      </c>
      <c r="N1317" t="s">
        <v>111</v>
      </c>
      <c r="O1317" t="s">
        <v>628</v>
      </c>
      <c r="P1317" t="s">
        <v>629</v>
      </c>
      <c r="Q1317" t="s">
        <v>1548</v>
      </c>
      <c r="R1317" s="1">
        <v>46220</v>
      </c>
      <c r="S1317" t="s">
        <v>628</v>
      </c>
      <c r="T1317" t="s">
        <v>631</v>
      </c>
      <c r="U1317" t="s">
        <v>632</v>
      </c>
      <c r="V1317" t="s">
        <v>66</v>
      </c>
      <c r="W1317" t="s">
        <v>66</v>
      </c>
      <c r="X1317">
        <v>902763.5</v>
      </c>
      <c r="Y1317">
        <v>99303.99</v>
      </c>
      <c r="Z1317">
        <v>515012</v>
      </c>
      <c r="AA1317">
        <v>56651.32</v>
      </c>
      <c r="AB1317">
        <v>1002067.49</v>
      </c>
      <c r="AC1317">
        <v>4</v>
      </c>
      <c r="AD1317" t="s">
        <v>82</v>
      </c>
      <c r="AE1317">
        <v>4</v>
      </c>
      <c r="AF1317" t="s">
        <v>522</v>
      </c>
      <c r="AG1317">
        <f>IFERROR(VLOOKUP(AF1317,[1]STOK!J:O,6,0),"")</f>
        <v>4</v>
      </c>
      <c r="AH1317" s="2">
        <f t="shared" si="40"/>
        <v>1</v>
      </c>
      <c r="AI1317" t="s">
        <v>522</v>
      </c>
      <c r="AJ1317" t="s">
        <v>523</v>
      </c>
      <c r="AK1317" t="s">
        <v>524</v>
      </c>
      <c r="AL1317" t="s">
        <v>86</v>
      </c>
      <c r="AM1317">
        <v>143634</v>
      </c>
      <c r="AN1317">
        <f t="shared" si="41"/>
        <v>142915.82999999999</v>
      </c>
      <c r="AO1317" t="s">
        <v>66</v>
      </c>
      <c r="AP1317">
        <v>0.5</v>
      </c>
      <c r="AQ1317" t="s">
        <v>66</v>
      </c>
      <c r="AR1317">
        <v>0</v>
      </c>
      <c r="AS1317" t="s">
        <v>66</v>
      </c>
      <c r="AT1317">
        <v>0</v>
      </c>
      <c r="AU1317" t="s">
        <v>66</v>
      </c>
      <c r="AV1317">
        <v>0</v>
      </c>
      <c r="AW1317" t="s">
        <v>66</v>
      </c>
      <c r="AX1317">
        <v>0</v>
      </c>
      <c r="AY1317" t="s">
        <v>66</v>
      </c>
      <c r="AZ1317">
        <v>0</v>
      </c>
      <c r="BA1317" t="s">
        <v>66</v>
      </c>
      <c r="BB1317">
        <v>0</v>
      </c>
      <c r="BC1317">
        <v>0</v>
      </c>
      <c r="BD1317">
        <v>571663.31999999995</v>
      </c>
      <c r="BE1317">
        <v>110461.05</v>
      </c>
      <c r="BF1317">
        <v>0</v>
      </c>
      <c r="BG1317" t="s">
        <v>87</v>
      </c>
      <c r="BH1317" t="s">
        <v>66</v>
      </c>
      <c r="BI1317">
        <v>0</v>
      </c>
      <c r="BJ1317" t="s">
        <v>66</v>
      </c>
      <c r="BK1317" t="s">
        <v>88</v>
      </c>
      <c r="BL1317" t="s">
        <v>66</v>
      </c>
      <c r="BM1317" t="s">
        <v>159</v>
      </c>
    </row>
    <row r="1318" spans="1:65" x14ac:dyDescent="0.25">
      <c r="A1318">
        <v>1316</v>
      </c>
      <c r="B1318" t="s">
        <v>1546</v>
      </c>
      <c r="C1318" t="s">
        <v>66</v>
      </c>
      <c r="D1318" s="1">
        <v>46218</v>
      </c>
      <c r="E1318" t="s">
        <v>1547</v>
      </c>
      <c r="F1318" t="s">
        <v>68</v>
      </c>
      <c r="G1318" t="s">
        <v>69</v>
      </c>
      <c r="H1318" t="s">
        <v>70</v>
      </c>
      <c r="I1318" t="s">
        <v>71</v>
      </c>
      <c r="J1318" t="s">
        <v>72</v>
      </c>
      <c r="K1318" t="s">
        <v>73</v>
      </c>
      <c r="L1318" t="s">
        <v>74</v>
      </c>
      <c r="M1318" t="s">
        <v>627</v>
      </c>
      <c r="N1318" t="s">
        <v>111</v>
      </c>
      <c r="O1318" t="s">
        <v>628</v>
      </c>
      <c r="P1318" t="s">
        <v>629</v>
      </c>
      <c r="Q1318" t="s">
        <v>1548</v>
      </c>
      <c r="R1318" s="1">
        <v>46220</v>
      </c>
      <c r="S1318" t="s">
        <v>628</v>
      </c>
      <c r="T1318" t="s">
        <v>631</v>
      </c>
      <c r="U1318" t="s">
        <v>632</v>
      </c>
      <c r="V1318" t="s">
        <v>66</v>
      </c>
      <c r="W1318" t="s">
        <v>66</v>
      </c>
      <c r="X1318">
        <v>902763.5</v>
      </c>
      <c r="Y1318">
        <v>99303.99</v>
      </c>
      <c r="Z1318">
        <v>31939.5</v>
      </c>
      <c r="AA1318">
        <v>3513.35</v>
      </c>
      <c r="AB1318">
        <v>1002067.49</v>
      </c>
      <c r="AC1318">
        <v>3</v>
      </c>
      <c r="AD1318" t="s">
        <v>82</v>
      </c>
      <c r="AE1318">
        <v>3</v>
      </c>
      <c r="AF1318" t="s">
        <v>421</v>
      </c>
      <c r="AG1318">
        <f>IFERROR(VLOOKUP(AF1318,[1]STOK!J:O,6,0),"")</f>
        <v>12</v>
      </c>
      <c r="AH1318" s="2">
        <f t="shared" si="40"/>
        <v>0.25</v>
      </c>
      <c r="AI1318" t="s">
        <v>421</v>
      </c>
      <c r="AJ1318" t="s">
        <v>422</v>
      </c>
      <c r="AK1318" t="s">
        <v>423</v>
      </c>
      <c r="AL1318" t="s">
        <v>86</v>
      </c>
      <c r="AM1318">
        <v>11877</v>
      </c>
      <c r="AN1318">
        <f t="shared" si="41"/>
        <v>11817.616666666667</v>
      </c>
      <c r="AO1318" t="s">
        <v>66</v>
      </c>
      <c r="AP1318">
        <v>0.5</v>
      </c>
      <c r="AQ1318" t="s">
        <v>66</v>
      </c>
      <c r="AR1318">
        <v>0</v>
      </c>
      <c r="AS1318" t="s">
        <v>66</v>
      </c>
      <c r="AT1318">
        <v>0</v>
      </c>
      <c r="AU1318" t="s">
        <v>66</v>
      </c>
      <c r="AV1318">
        <v>0</v>
      </c>
      <c r="AW1318" t="s">
        <v>66</v>
      </c>
      <c r="AX1318">
        <v>0</v>
      </c>
      <c r="AY1318" t="s">
        <v>66</v>
      </c>
      <c r="AZ1318">
        <v>0</v>
      </c>
      <c r="BA1318" t="s">
        <v>66</v>
      </c>
      <c r="BB1318">
        <v>0</v>
      </c>
      <c r="BC1318">
        <v>0</v>
      </c>
      <c r="BD1318">
        <v>35452.85</v>
      </c>
      <c r="BE1318">
        <v>9166.24</v>
      </c>
      <c r="BF1318">
        <v>0</v>
      </c>
      <c r="BG1318" t="s">
        <v>87</v>
      </c>
      <c r="BH1318" t="s">
        <v>66</v>
      </c>
      <c r="BI1318">
        <v>0</v>
      </c>
      <c r="BJ1318" t="s">
        <v>66</v>
      </c>
      <c r="BK1318" t="s">
        <v>88</v>
      </c>
      <c r="BL1318" t="s">
        <v>66</v>
      </c>
      <c r="BM1318" t="s">
        <v>159</v>
      </c>
    </row>
    <row r="1319" spans="1:65" x14ac:dyDescent="0.25">
      <c r="A1319">
        <v>1317</v>
      </c>
      <c r="B1319" t="s">
        <v>1552</v>
      </c>
      <c r="C1319" t="s">
        <v>66</v>
      </c>
      <c r="D1319" s="1">
        <v>46219</v>
      </c>
      <c r="E1319" t="s">
        <v>1553</v>
      </c>
      <c r="F1319" t="s">
        <v>68</v>
      </c>
      <c r="G1319" t="s">
        <v>69</v>
      </c>
      <c r="H1319" t="s">
        <v>70</v>
      </c>
      <c r="I1319" t="s">
        <v>71</v>
      </c>
      <c r="J1319" t="s">
        <v>72</v>
      </c>
      <c r="K1319" t="s">
        <v>73</v>
      </c>
      <c r="L1319" t="s">
        <v>74</v>
      </c>
      <c r="M1319" t="s">
        <v>1054</v>
      </c>
      <c r="N1319" t="s">
        <v>76</v>
      </c>
      <c r="O1319" t="s">
        <v>1055</v>
      </c>
      <c r="P1319" t="s">
        <v>1056</v>
      </c>
      <c r="Q1319" t="s">
        <v>1554</v>
      </c>
      <c r="R1319" s="1">
        <v>46220</v>
      </c>
      <c r="S1319" t="s">
        <v>278</v>
      </c>
      <c r="T1319" t="s">
        <v>279</v>
      </c>
      <c r="U1319" t="s">
        <v>280</v>
      </c>
      <c r="V1319" t="s">
        <v>66</v>
      </c>
      <c r="W1319" t="s">
        <v>66</v>
      </c>
      <c r="X1319">
        <v>2482791</v>
      </c>
      <c r="Y1319">
        <v>273107.01</v>
      </c>
      <c r="Z1319">
        <v>390060</v>
      </c>
      <c r="AA1319">
        <v>42906.6</v>
      </c>
      <c r="AB1319">
        <v>2755898.01</v>
      </c>
      <c r="AC1319">
        <v>1</v>
      </c>
      <c r="AD1319" t="s">
        <v>134</v>
      </c>
      <c r="AE1319">
        <v>24</v>
      </c>
      <c r="AF1319" t="s">
        <v>93</v>
      </c>
      <c r="AG1319">
        <f>IFERROR(VLOOKUP(AF1319,[1]STOK!J:O,6,0),"")</f>
        <v>24</v>
      </c>
      <c r="AH1319" s="2">
        <f t="shared" si="40"/>
        <v>1</v>
      </c>
      <c r="AI1319" t="s">
        <v>93</v>
      </c>
      <c r="AJ1319" t="s">
        <v>94</v>
      </c>
      <c r="AK1319" t="s">
        <v>95</v>
      </c>
      <c r="AL1319" t="s">
        <v>86</v>
      </c>
      <c r="AM1319">
        <v>439560</v>
      </c>
      <c r="AN1319">
        <f t="shared" si="41"/>
        <v>432966.6</v>
      </c>
      <c r="AO1319" t="s">
        <v>66</v>
      </c>
      <c r="AP1319">
        <v>1.5</v>
      </c>
      <c r="AQ1319" t="s">
        <v>66</v>
      </c>
      <c r="AR1319">
        <v>0</v>
      </c>
      <c r="AS1319" t="s">
        <v>66</v>
      </c>
      <c r="AT1319">
        <v>0</v>
      </c>
      <c r="AU1319" t="s">
        <v>66</v>
      </c>
      <c r="AV1319">
        <v>0</v>
      </c>
      <c r="AW1319" t="s">
        <v>66</v>
      </c>
      <c r="AX1319">
        <v>0</v>
      </c>
      <c r="AY1319" t="s">
        <v>66</v>
      </c>
      <c r="AZ1319">
        <v>0</v>
      </c>
      <c r="BA1319" t="s">
        <v>66</v>
      </c>
      <c r="BB1319">
        <v>0</v>
      </c>
      <c r="BC1319">
        <v>0</v>
      </c>
      <c r="BD1319">
        <v>432966.6</v>
      </c>
      <c r="BE1319">
        <v>14878.51</v>
      </c>
      <c r="BF1319">
        <v>0</v>
      </c>
      <c r="BG1319" t="s">
        <v>87</v>
      </c>
      <c r="BH1319" t="s">
        <v>66</v>
      </c>
      <c r="BI1319">
        <v>0</v>
      </c>
      <c r="BJ1319" t="s">
        <v>66</v>
      </c>
      <c r="BK1319" t="s">
        <v>88</v>
      </c>
      <c r="BL1319" t="s">
        <v>66</v>
      </c>
      <c r="BM1319" t="s">
        <v>159</v>
      </c>
    </row>
    <row r="1320" spans="1:65" x14ac:dyDescent="0.25">
      <c r="A1320">
        <v>1318</v>
      </c>
      <c r="B1320" t="s">
        <v>1552</v>
      </c>
      <c r="C1320" t="s">
        <v>66</v>
      </c>
      <c r="D1320" s="1">
        <v>46219</v>
      </c>
      <c r="E1320" t="s">
        <v>1553</v>
      </c>
      <c r="F1320" t="s">
        <v>68</v>
      </c>
      <c r="G1320" t="s">
        <v>69</v>
      </c>
      <c r="H1320" t="s">
        <v>70</v>
      </c>
      <c r="I1320" t="s">
        <v>71</v>
      </c>
      <c r="J1320" t="s">
        <v>72</v>
      </c>
      <c r="K1320" t="s">
        <v>73</v>
      </c>
      <c r="L1320" t="s">
        <v>74</v>
      </c>
      <c r="M1320" t="s">
        <v>1054</v>
      </c>
      <c r="N1320" t="s">
        <v>76</v>
      </c>
      <c r="O1320" t="s">
        <v>1055</v>
      </c>
      <c r="P1320" t="s">
        <v>1056</v>
      </c>
      <c r="Q1320" t="s">
        <v>1554</v>
      </c>
      <c r="R1320" s="1">
        <v>46220</v>
      </c>
      <c r="S1320" t="s">
        <v>278</v>
      </c>
      <c r="T1320" t="s">
        <v>279</v>
      </c>
      <c r="U1320" t="s">
        <v>280</v>
      </c>
      <c r="V1320" t="s">
        <v>66</v>
      </c>
      <c r="W1320" t="s">
        <v>66</v>
      </c>
      <c r="X1320">
        <v>2482791</v>
      </c>
      <c r="Y1320">
        <v>273107.01</v>
      </c>
      <c r="Z1320">
        <v>390060</v>
      </c>
      <c r="AA1320">
        <v>42906.6</v>
      </c>
      <c r="AB1320">
        <v>2755898.01</v>
      </c>
      <c r="AC1320">
        <v>1</v>
      </c>
      <c r="AD1320" t="s">
        <v>134</v>
      </c>
      <c r="AE1320">
        <v>24</v>
      </c>
      <c r="AF1320" t="s">
        <v>205</v>
      </c>
      <c r="AG1320">
        <f>IFERROR(VLOOKUP(AF1320,[1]STOK!J:O,6,0),"")</f>
        <v>24</v>
      </c>
      <c r="AH1320" s="2">
        <f t="shared" si="40"/>
        <v>1</v>
      </c>
      <c r="AI1320" t="s">
        <v>205</v>
      </c>
      <c r="AJ1320" t="s">
        <v>206</v>
      </c>
      <c r="AK1320" t="s">
        <v>207</v>
      </c>
      <c r="AL1320" t="s">
        <v>86</v>
      </c>
      <c r="AM1320">
        <v>439560</v>
      </c>
      <c r="AN1320">
        <f t="shared" si="41"/>
        <v>432966.6</v>
      </c>
      <c r="AO1320" t="s">
        <v>66</v>
      </c>
      <c r="AP1320">
        <v>1.5</v>
      </c>
      <c r="AQ1320" t="s">
        <v>66</v>
      </c>
      <c r="AR1320">
        <v>0</v>
      </c>
      <c r="AS1320" t="s">
        <v>66</v>
      </c>
      <c r="AT1320">
        <v>0</v>
      </c>
      <c r="AU1320" t="s">
        <v>66</v>
      </c>
      <c r="AV1320">
        <v>0</v>
      </c>
      <c r="AW1320" t="s">
        <v>66</v>
      </c>
      <c r="AX1320">
        <v>0</v>
      </c>
      <c r="AY1320" t="s">
        <v>66</v>
      </c>
      <c r="AZ1320">
        <v>0</v>
      </c>
      <c r="BA1320" t="s">
        <v>66</v>
      </c>
      <c r="BB1320">
        <v>0</v>
      </c>
      <c r="BC1320">
        <v>0</v>
      </c>
      <c r="BD1320">
        <v>432966.6</v>
      </c>
      <c r="BE1320">
        <v>14876.63</v>
      </c>
      <c r="BF1320">
        <v>0</v>
      </c>
      <c r="BG1320" t="s">
        <v>87</v>
      </c>
      <c r="BH1320" t="s">
        <v>66</v>
      </c>
      <c r="BI1320">
        <v>0</v>
      </c>
      <c r="BJ1320" t="s">
        <v>66</v>
      </c>
      <c r="BK1320" t="s">
        <v>88</v>
      </c>
      <c r="BL1320" t="s">
        <v>66</v>
      </c>
      <c r="BM1320" t="s">
        <v>159</v>
      </c>
    </row>
    <row r="1321" spans="1:65" x14ac:dyDescent="0.25">
      <c r="A1321">
        <v>1319</v>
      </c>
      <c r="B1321" t="s">
        <v>1552</v>
      </c>
      <c r="C1321" t="s">
        <v>66</v>
      </c>
      <c r="D1321" s="1">
        <v>46219</v>
      </c>
      <c r="E1321" t="s">
        <v>1553</v>
      </c>
      <c r="F1321" t="s">
        <v>68</v>
      </c>
      <c r="G1321" t="s">
        <v>69</v>
      </c>
      <c r="H1321" t="s">
        <v>70</v>
      </c>
      <c r="I1321" t="s">
        <v>71</v>
      </c>
      <c r="J1321" t="s">
        <v>72</v>
      </c>
      <c r="K1321" t="s">
        <v>73</v>
      </c>
      <c r="L1321" t="s">
        <v>74</v>
      </c>
      <c r="M1321" t="s">
        <v>1054</v>
      </c>
      <c r="N1321" t="s">
        <v>76</v>
      </c>
      <c r="O1321" t="s">
        <v>1055</v>
      </c>
      <c r="P1321" t="s">
        <v>1056</v>
      </c>
      <c r="Q1321" t="s">
        <v>1554</v>
      </c>
      <c r="R1321" s="1">
        <v>46220</v>
      </c>
      <c r="S1321" t="s">
        <v>278</v>
      </c>
      <c r="T1321" t="s">
        <v>279</v>
      </c>
      <c r="U1321" t="s">
        <v>280</v>
      </c>
      <c r="V1321" t="s">
        <v>66</v>
      </c>
      <c r="W1321" t="s">
        <v>66</v>
      </c>
      <c r="X1321">
        <v>2482791</v>
      </c>
      <c r="Y1321">
        <v>273107.01</v>
      </c>
      <c r="Z1321">
        <v>322686</v>
      </c>
      <c r="AA1321">
        <v>35495.46</v>
      </c>
      <c r="AB1321">
        <v>2755898.01</v>
      </c>
      <c r="AC1321">
        <v>1</v>
      </c>
      <c r="AD1321" t="s">
        <v>134</v>
      </c>
      <c r="AE1321">
        <v>12</v>
      </c>
      <c r="AF1321" t="s">
        <v>593</v>
      </c>
      <c r="AG1321">
        <f>IFERROR(VLOOKUP(AF1321,[1]STOK!J:O,6,0),"")</f>
        <v>12</v>
      </c>
      <c r="AH1321" s="2">
        <f t="shared" si="40"/>
        <v>1</v>
      </c>
      <c r="AI1321" t="s">
        <v>593</v>
      </c>
      <c r="AJ1321" t="s">
        <v>594</v>
      </c>
      <c r="AK1321" t="s">
        <v>595</v>
      </c>
      <c r="AL1321" t="s">
        <v>86</v>
      </c>
      <c r="AM1321">
        <v>363636</v>
      </c>
      <c r="AN1321">
        <f t="shared" si="41"/>
        <v>358181.46</v>
      </c>
      <c r="AO1321" t="s">
        <v>66</v>
      </c>
      <c r="AP1321">
        <v>1.5</v>
      </c>
      <c r="AQ1321" t="s">
        <v>66</v>
      </c>
      <c r="AR1321">
        <v>0</v>
      </c>
      <c r="AS1321" t="s">
        <v>66</v>
      </c>
      <c r="AT1321">
        <v>0</v>
      </c>
      <c r="AU1321" t="s">
        <v>66</v>
      </c>
      <c r="AV1321">
        <v>0</v>
      </c>
      <c r="AW1321" t="s">
        <v>66</v>
      </c>
      <c r="AX1321">
        <v>0</v>
      </c>
      <c r="AY1321" t="s">
        <v>66</v>
      </c>
      <c r="AZ1321">
        <v>0</v>
      </c>
      <c r="BA1321" t="s">
        <v>66</v>
      </c>
      <c r="BB1321">
        <v>0</v>
      </c>
      <c r="BC1321">
        <v>0</v>
      </c>
      <c r="BD1321">
        <v>358181.46</v>
      </c>
      <c r="BE1321">
        <v>24521.7</v>
      </c>
      <c r="BF1321">
        <v>0</v>
      </c>
      <c r="BG1321" t="s">
        <v>87</v>
      </c>
      <c r="BH1321" t="s">
        <v>66</v>
      </c>
      <c r="BI1321">
        <v>0</v>
      </c>
      <c r="BJ1321" t="s">
        <v>66</v>
      </c>
      <c r="BK1321" t="s">
        <v>88</v>
      </c>
      <c r="BL1321" t="s">
        <v>66</v>
      </c>
      <c r="BM1321" t="s">
        <v>159</v>
      </c>
    </row>
    <row r="1322" spans="1:65" x14ac:dyDescent="0.25">
      <c r="A1322">
        <v>1320</v>
      </c>
      <c r="B1322" t="s">
        <v>1552</v>
      </c>
      <c r="C1322" t="s">
        <v>66</v>
      </c>
      <c r="D1322" s="1">
        <v>46219</v>
      </c>
      <c r="E1322" t="s">
        <v>1553</v>
      </c>
      <c r="F1322" t="s">
        <v>68</v>
      </c>
      <c r="G1322" t="s">
        <v>69</v>
      </c>
      <c r="H1322" t="s">
        <v>70</v>
      </c>
      <c r="I1322" t="s">
        <v>71</v>
      </c>
      <c r="J1322" t="s">
        <v>72</v>
      </c>
      <c r="K1322" t="s">
        <v>73</v>
      </c>
      <c r="L1322" t="s">
        <v>74</v>
      </c>
      <c r="M1322" t="s">
        <v>1054</v>
      </c>
      <c r="N1322" t="s">
        <v>76</v>
      </c>
      <c r="O1322" t="s">
        <v>1055</v>
      </c>
      <c r="P1322" t="s">
        <v>1056</v>
      </c>
      <c r="Q1322" t="s">
        <v>1554</v>
      </c>
      <c r="R1322" s="1">
        <v>46220</v>
      </c>
      <c r="S1322" t="s">
        <v>278</v>
      </c>
      <c r="T1322" t="s">
        <v>279</v>
      </c>
      <c r="U1322" t="s">
        <v>280</v>
      </c>
      <c r="V1322" t="s">
        <v>66</v>
      </c>
      <c r="W1322" t="s">
        <v>66</v>
      </c>
      <c r="X1322">
        <v>2482791</v>
      </c>
      <c r="Y1322">
        <v>273107.01</v>
      </c>
      <c r="Z1322">
        <v>458616</v>
      </c>
      <c r="AA1322">
        <v>50447.76</v>
      </c>
      <c r="AB1322">
        <v>2755898.01</v>
      </c>
      <c r="AC1322">
        <v>1</v>
      </c>
      <c r="AD1322" t="s">
        <v>134</v>
      </c>
      <c r="AE1322">
        <v>24</v>
      </c>
      <c r="AF1322" t="s">
        <v>470</v>
      </c>
      <c r="AG1322">
        <f>IFERROR(VLOOKUP(AF1322,[1]STOK!J:O,6,0),"")</f>
        <v>24</v>
      </c>
      <c r="AH1322" s="2">
        <f t="shared" si="40"/>
        <v>1</v>
      </c>
      <c r="AI1322" t="s">
        <v>470</v>
      </c>
      <c r="AJ1322" t="s">
        <v>471</v>
      </c>
      <c r="AK1322" t="s">
        <v>472</v>
      </c>
      <c r="AL1322" t="s">
        <v>86</v>
      </c>
      <c r="AM1322">
        <v>516816</v>
      </c>
      <c r="AN1322">
        <f t="shared" si="41"/>
        <v>509063.76</v>
      </c>
      <c r="AO1322" t="s">
        <v>66</v>
      </c>
      <c r="AP1322">
        <v>1.5</v>
      </c>
      <c r="AQ1322" t="s">
        <v>66</v>
      </c>
      <c r="AR1322">
        <v>0</v>
      </c>
      <c r="AS1322" t="s">
        <v>66</v>
      </c>
      <c r="AT1322">
        <v>0</v>
      </c>
      <c r="AU1322" t="s">
        <v>66</v>
      </c>
      <c r="AV1322">
        <v>0</v>
      </c>
      <c r="AW1322" t="s">
        <v>66</v>
      </c>
      <c r="AX1322">
        <v>0</v>
      </c>
      <c r="AY1322" t="s">
        <v>66</v>
      </c>
      <c r="AZ1322">
        <v>0</v>
      </c>
      <c r="BA1322" t="s">
        <v>66</v>
      </c>
      <c r="BB1322">
        <v>0</v>
      </c>
      <c r="BC1322">
        <v>0</v>
      </c>
      <c r="BD1322">
        <v>509063.76</v>
      </c>
      <c r="BE1322">
        <v>17046.02</v>
      </c>
      <c r="BF1322">
        <v>0</v>
      </c>
      <c r="BG1322" t="s">
        <v>87</v>
      </c>
      <c r="BH1322" t="s">
        <v>66</v>
      </c>
      <c r="BI1322">
        <v>0</v>
      </c>
      <c r="BJ1322" t="s">
        <v>66</v>
      </c>
      <c r="BK1322" t="s">
        <v>88</v>
      </c>
      <c r="BL1322" t="s">
        <v>66</v>
      </c>
      <c r="BM1322" t="s">
        <v>159</v>
      </c>
    </row>
    <row r="1323" spans="1:65" x14ac:dyDescent="0.25">
      <c r="A1323">
        <v>1321</v>
      </c>
      <c r="B1323" t="s">
        <v>1552</v>
      </c>
      <c r="C1323" t="s">
        <v>66</v>
      </c>
      <c r="D1323" s="1">
        <v>46219</v>
      </c>
      <c r="E1323" t="s">
        <v>1553</v>
      </c>
      <c r="F1323" t="s">
        <v>68</v>
      </c>
      <c r="G1323" t="s">
        <v>69</v>
      </c>
      <c r="H1323" t="s">
        <v>70</v>
      </c>
      <c r="I1323" t="s">
        <v>71</v>
      </c>
      <c r="J1323" t="s">
        <v>72</v>
      </c>
      <c r="K1323" t="s">
        <v>73</v>
      </c>
      <c r="L1323" t="s">
        <v>74</v>
      </c>
      <c r="M1323" t="s">
        <v>1054</v>
      </c>
      <c r="N1323" t="s">
        <v>76</v>
      </c>
      <c r="O1323" t="s">
        <v>1055</v>
      </c>
      <c r="P1323" t="s">
        <v>1056</v>
      </c>
      <c r="Q1323" t="s">
        <v>1554</v>
      </c>
      <c r="R1323" s="1">
        <v>46220</v>
      </c>
      <c r="S1323" t="s">
        <v>278</v>
      </c>
      <c r="T1323" t="s">
        <v>279</v>
      </c>
      <c r="U1323" t="s">
        <v>280</v>
      </c>
      <c r="V1323" t="s">
        <v>66</v>
      </c>
      <c r="W1323" t="s">
        <v>66</v>
      </c>
      <c r="X1323">
        <v>2482791</v>
      </c>
      <c r="Y1323">
        <v>273107.01</v>
      </c>
      <c r="Z1323">
        <v>229308</v>
      </c>
      <c r="AA1323">
        <v>25223.88</v>
      </c>
      <c r="AB1323">
        <v>2755898.01</v>
      </c>
      <c r="AC1323">
        <v>1</v>
      </c>
      <c r="AD1323" t="s">
        <v>134</v>
      </c>
      <c r="AE1323">
        <v>12</v>
      </c>
      <c r="AF1323" t="s">
        <v>284</v>
      </c>
      <c r="AG1323">
        <f>IFERROR(VLOOKUP(AF1323,[1]STOK!J:O,6,0),"")</f>
        <v>12</v>
      </c>
      <c r="AH1323" s="2">
        <f t="shared" si="40"/>
        <v>1</v>
      </c>
      <c r="AI1323" t="s">
        <v>284</v>
      </c>
      <c r="AJ1323" t="s">
        <v>285</v>
      </c>
      <c r="AK1323" t="s">
        <v>286</v>
      </c>
      <c r="AL1323" t="s">
        <v>86</v>
      </c>
      <c r="AM1323">
        <v>258408</v>
      </c>
      <c r="AN1323">
        <f t="shared" si="41"/>
        <v>254531.88</v>
      </c>
      <c r="AO1323" t="s">
        <v>66</v>
      </c>
      <c r="AP1323">
        <v>1.5</v>
      </c>
      <c r="AQ1323" t="s">
        <v>66</v>
      </c>
      <c r="AR1323">
        <v>0</v>
      </c>
      <c r="AS1323" t="s">
        <v>66</v>
      </c>
      <c r="AT1323">
        <v>0</v>
      </c>
      <c r="AU1323" t="s">
        <v>66</v>
      </c>
      <c r="AV1323">
        <v>0</v>
      </c>
      <c r="AW1323" t="s">
        <v>66</v>
      </c>
      <c r="AX1323">
        <v>0</v>
      </c>
      <c r="AY1323" t="s">
        <v>66</v>
      </c>
      <c r="AZ1323">
        <v>0</v>
      </c>
      <c r="BA1323" t="s">
        <v>66</v>
      </c>
      <c r="BB1323">
        <v>0</v>
      </c>
      <c r="BC1323">
        <v>0</v>
      </c>
      <c r="BD1323">
        <v>254531.88</v>
      </c>
      <c r="BE1323">
        <v>17160.12</v>
      </c>
      <c r="BF1323">
        <v>0</v>
      </c>
      <c r="BG1323" t="s">
        <v>87</v>
      </c>
      <c r="BH1323" t="s">
        <v>66</v>
      </c>
      <c r="BI1323">
        <v>0</v>
      </c>
      <c r="BJ1323" t="s">
        <v>66</v>
      </c>
      <c r="BK1323" t="s">
        <v>88</v>
      </c>
      <c r="BL1323" t="s">
        <v>66</v>
      </c>
      <c r="BM1323" t="s">
        <v>159</v>
      </c>
    </row>
    <row r="1324" spans="1:65" x14ac:dyDescent="0.25">
      <c r="A1324">
        <v>1322</v>
      </c>
      <c r="B1324" t="s">
        <v>1552</v>
      </c>
      <c r="C1324" t="s">
        <v>66</v>
      </c>
      <c r="D1324" s="1">
        <v>46219</v>
      </c>
      <c r="E1324" t="s">
        <v>1553</v>
      </c>
      <c r="F1324" t="s">
        <v>68</v>
      </c>
      <c r="G1324" t="s">
        <v>69</v>
      </c>
      <c r="H1324" t="s">
        <v>70</v>
      </c>
      <c r="I1324" t="s">
        <v>71</v>
      </c>
      <c r="J1324" t="s">
        <v>72</v>
      </c>
      <c r="K1324" t="s">
        <v>73</v>
      </c>
      <c r="L1324" t="s">
        <v>74</v>
      </c>
      <c r="M1324" t="s">
        <v>1054</v>
      </c>
      <c r="N1324" t="s">
        <v>76</v>
      </c>
      <c r="O1324" t="s">
        <v>1055</v>
      </c>
      <c r="P1324" t="s">
        <v>1056</v>
      </c>
      <c r="Q1324" t="s">
        <v>1554</v>
      </c>
      <c r="R1324" s="1">
        <v>46220</v>
      </c>
      <c r="S1324" t="s">
        <v>278</v>
      </c>
      <c r="T1324" t="s">
        <v>279</v>
      </c>
      <c r="U1324" t="s">
        <v>280</v>
      </c>
      <c r="V1324" t="s">
        <v>66</v>
      </c>
      <c r="W1324" t="s">
        <v>66</v>
      </c>
      <c r="X1324">
        <v>2482791</v>
      </c>
      <c r="Y1324">
        <v>273107.01</v>
      </c>
      <c r="Z1324">
        <v>229308</v>
      </c>
      <c r="AA1324">
        <v>25223.88</v>
      </c>
      <c r="AB1324">
        <v>2755898.01</v>
      </c>
      <c r="AC1324">
        <v>1</v>
      </c>
      <c r="AD1324" t="s">
        <v>134</v>
      </c>
      <c r="AE1324">
        <v>12</v>
      </c>
      <c r="AF1324" t="s">
        <v>287</v>
      </c>
      <c r="AG1324">
        <f>IFERROR(VLOOKUP(AF1324,[1]STOK!J:O,6,0),"")</f>
        <v>12</v>
      </c>
      <c r="AH1324" s="2">
        <f t="shared" si="40"/>
        <v>1</v>
      </c>
      <c r="AI1324" t="s">
        <v>287</v>
      </c>
      <c r="AJ1324" t="s">
        <v>288</v>
      </c>
      <c r="AK1324" t="s">
        <v>289</v>
      </c>
      <c r="AL1324" t="s">
        <v>86</v>
      </c>
      <c r="AM1324">
        <v>258408</v>
      </c>
      <c r="AN1324">
        <f t="shared" si="41"/>
        <v>254531.88</v>
      </c>
      <c r="AO1324" t="s">
        <v>66</v>
      </c>
      <c r="AP1324">
        <v>1.5</v>
      </c>
      <c r="AQ1324" t="s">
        <v>66</v>
      </c>
      <c r="AR1324">
        <v>0</v>
      </c>
      <c r="AS1324" t="s">
        <v>66</v>
      </c>
      <c r="AT1324">
        <v>0</v>
      </c>
      <c r="AU1324" t="s">
        <v>66</v>
      </c>
      <c r="AV1324">
        <v>0</v>
      </c>
      <c r="AW1324" t="s">
        <v>66</v>
      </c>
      <c r="AX1324">
        <v>0</v>
      </c>
      <c r="AY1324" t="s">
        <v>66</v>
      </c>
      <c r="AZ1324">
        <v>0</v>
      </c>
      <c r="BA1324" t="s">
        <v>66</v>
      </c>
      <c r="BB1324">
        <v>0</v>
      </c>
      <c r="BC1324">
        <v>0</v>
      </c>
      <c r="BD1324">
        <v>254531.88</v>
      </c>
      <c r="BE1324">
        <v>17175.11</v>
      </c>
      <c r="BF1324">
        <v>0</v>
      </c>
      <c r="BG1324" t="s">
        <v>87</v>
      </c>
      <c r="BH1324" t="s">
        <v>66</v>
      </c>
      <c r="BI1324">
        <v>0</v>
      </c>
      <c r="BJ1324" t="s">
        <v>66</v>
      </c>
      <c r="BK1324" t="s">
        <v>88</v>
      </c>
      <c r="BL1324" t="s">
        <v>66</v>
      </c>
      <c r="BM1324" t="s">
        <v>159</v>
      </c>
    </row>
    <row r="1325" spans="1:65" x14ac:dyDescent="0.25">
      <c r="A1325">
        <v>1323</v>
      </c>
      <c r="B1325" t="s">
        <v>1552</v>
      </c>
      <c r="C1325" t="s">
        <v>66</v>
      </c>
      <c r="D1325" s="1">
        <v>46219</v>
      </c>
      <c r="E1325" t="s">
        <v>1553</v>
      </c>
      <c r="F1325" t="s">
        <v>68</v>
      </c>
      <c r="G1325" t="s">
        <v>69</v>
      </c>
      <c r="H1325" t="s">
        <v>70</v>
      </c>
      <c r="I1325" t="s">
        <v>71</v>
      </c>
      <c r="J1325" t="s">
        <v>72</v>
      </c>
      <c r="K1325" t="s">
        <v>73</v>
      </c>
      <c r="L1325" t="s">
        <v>74</v>
      </c>
      <c r="M1325" t="s">
        <v>1054</v>
      </c>
      <c r="N1325" t="s">
        <v>76</v>
      </c>
      <c r="O1325" t="s">
        <v>1055</v>
      </c>
      <c r="P1325" t="s">
        <v>1056</v>
      </c>
      <c r="Q1325" t="s">
        <v>1554</v>
      </c>
      <c r="R1325" s="1">
        <v>46220</v>
      </c>
      <c r="S1325" t="s">
        <v>278</v>
      </c>
      <c r="T1325" t="s">
        <v>279</v>
      </c>
      <c r="U1325" t="s">
        <v>280</v>
      </c>
      <c r="V1325" t="s">
        <v>66</v>
      </c>
      <c r="W1325" t="s">
        <v>66</v>
      </c>
      <c r="X1325">
        <v>2482791</v>
      </c>
      <c r="Y1325">
        <v>273107.01</v>
      </c>
      <c r="Z1325">
        <v>236400</v>
      </c>
      <c r="AA1325">
        <v>26004</v>
      </c>
      <c r="AB1325">
        <v>2755898.01</v>
      </c>
      <c r="AC1325">
        <v>1</v>
      </c>
      <c r="AD1325" t="s">
        <v>134</v>
      </c>
      <c r="AE1325">
        <v>12</v>
      </c>
      <c r="AF1325" t="s">
        <v>290</v>
      </c>
      <c r="AG1325">
        <f>IFERROR(VLOOKUP(AF1325,[1]STOK!J:O,6,0),"")</f>
        <v>12</v>
      </c>
      <c r="AH1325" s="2">
        <f t="shared" si="40"/>
        <v>1</v>
      </c>
      <c r="AI1325" t="s">
        <v>290</v>
      </c>
      <c r="AJ1325" t="s">
        <v>291</v>
      </c>
      <c r="AK1325" t="s">
        <v>292</v>
      </c>
      <c r="AL1325" t="s">
        <v>86</v>
      </c>
      <c r="AM1325">
        <v>266400</v>
      </c>
      <c r="AN1325">
        <f t="shared" si="41"/>
        <v>262404</v>
      </c>
      <c r="AO1325" t="s">
        <v>66</v>
      </c>
      <c r="AP1325">
        <v>1.5</v>
      </c>
      <c r="AQ1325" t="s">
        <v>66</v>
      </c>
      <c r="AR1325">
        <v>0</v>
      </c>
      <c r="AS1325" t="s">
        <v>66</v>
      </c>
      <c r="AT1325">
        <v>0</v>
      </c>
      <c r="AU1325" t="s">
        <v>66</v>
      </c>
      <c r="AV1325">
        <v>0</v>
      </c>
      <c r="AW1325" t="s">
        <v>66</v>
      </c>
      <c r="AX1325">
        <v>0</v>
      </c>
      <c r="AY1325" t="s">
        <v>66</v>
      </c>
      <c r="AZ1325">
        <v>0</v>
      </c>
      <c r="BA1325" t="s">
        <v>66</v>
      </c>
      <c r="BB1325">
        <v>0</v>
      </c>
      <c r="BC1325">
        <v>0</v>
      </c>
      <c r="BD1325">
        <v>262404</v>
      </c>
      <c r="BE1325">
        <v>18155.62</v>
      </c>
      <c r="BF1325">
        <v>0</v>
      </c>
      <c r="BG1325" t="s">
        <v>87</v>
      </c>
      <c r="BH1325" t="s">
        <v>66</v>
      </c>
      <c r="BI1325">
        <v>0</v>
      </c>
      <c r="BJ1325" t="s">
        <v>66</v>
      </c>
      <c r="BK1325" t="s">
        <v>88</v>
      </c>
      <c r="BL1325" t="s">
        <v>66</v>
      </c>
      <c r="BM1325" t="s">
        <v>159</v>
      </c>
    </row>
    <row r="1326" spans="1:65" x14ac:dyDescent="0.25">
      <c r="A1326">
        <v>1324</v>
      </c>
      <c r="B1326" t="s">
        <v>1552</v>
      </c>
      <c r="C1326" t="s">
        <v>66</v>
      </c>
      <c r="D1326" s="1">
        <v>46219</v>
      </c>
      <c r="E1326" t="s">
        <v>1553</v>
      </c>
      <c r="F1326" t="s">
        <v>68</v>
      </c>
      <c r="G1326" t="s">
        <v>69</v>
      </c>
      <c r="H1326" t="s">
        <v>70</v>
      </c>
      <c r="I1326" t="s">
        <v>71</v>
      </c>
      <c r="J1326" t="s">
        <v>72</v>
      </c>
      <c r="K1326" t="s">
        <v>73</v>
      </c>
      <c r="L1326" t="s">
        <v>74</v>
      </c>
      <c r="M1326" t="s">
        <v>1054</v>
      </c>
      <c r="N1326" t="s">
        <v>76</v>
      </c>
      <c r="O1326" t="s">
        <v>1055</v>
      </c>
      <c r="P1326" t="s">
        <v>1056</v>
      </c>
      <c r="Q1326" t="s">
        <v>1554</v>
      </c>
      <c r="R1326" s="1">
        <v>46220</v>
      </c>
      <c r="S1326" t="s">
        <v>278</v>
      </c>
      <c r="T1326" t="s">
        <v>279</v>
      </c>
      <c r="U1326" t="s">
        <v>280</v>
      </c>
      <c r="V1326" t="s">
        <v>66</v>
      </c>
      <c r="W1326" t="s">
        <v>66</v>
      </c>
      <c r="X1326">
        <v>2482791</v>
      </c>
      <c r="Y1326">
        <v>273107.01</v>
      </c>
      <c r="Z1326">
        <v>226353</v>
      </c>
      <c r="AA1326">
        <v>24898.83</v>
      </c>
      <c r="AB1326">
        <v>2755898.01</v>
      </c>
      <c r="AC1326">
        <v>1</v>
      </c>
      <c r="AD1326" t="s">
        <v>134</v>
      </c>
      <c r="AE1326">
        <v>6</v>
      </c>
      <c r="AF1326" t="s">
        <v>323</v>
      </c>
      <c r="AG1326">
        <f>IFERROR(VLOOKUP(AF1326,[1]STOK!J:O,6,0),"")</f>
        <v>6</v>
      </c>
      <c r="AH1326" s="2">
        <f t="shared" si="40"/>
        <v>1</v>
      </c>
      <c r="AI1326" t="s">
        <v>323</v>
      </c>
      <c r="AJ1326" t="s">
        <v>324</v>
      </c>
      <c r="AK1326" t="s">
        <v>325</v>
      </c>
      <c r="AL1326" t="s">
        <v>86</v>
      </c>
      <c r="AM1326">
        <v>255078</v>
      </c>
      <c r="AN1326">
        <f t="shared" si="41"/>
        <v>251251.83</v>
      </c>
      <c r="AO1326" t="s">
        <v>66</v>
      </c>
      <c r="AP1326">
        <v>1.5</v>
      </c>
      <c r="AQ1326" t="s">
        <v>66</v>
      </c>
      <c r="AR1326">
        <v>0</v>
      </c>
      <c r="AS1326" t="s">
        <v>66</v>
      </c>
      <c r="AT1326">
        <v>0</v>
      </c>
      <c r="AU1326" t="s">
        <v>66</v>
      </c>
      <c r="AV1326">
        <v>0</v>
      </c>
      <c r="AW1326" t="s">
        <v>66</v>
      </c>
      <c r="AX1326">
        <v>0</v>
      </c>
      <c r="AY1326" t="s">
        <v>66</v>
      </c>
      <c r="AZ1326">
        <v>0</v>
      </c>
      <c r="BA1326" t="s">
        <v>66</v>
      </c>
      <c r="BB1326">
        <v>0</v>
      </c>
      <c r="BC1326">
        <v>0</v>
      </c>
      <c r="BD1326">
        <v>251251.83</v>
      </c>
      <c r="BE1326">
        <v>33824.949999999997</v>
      </c>
      <c r="BF1326">
        <v>0</v>
      </c>
      <c r="BG1326" t="s">
        <v>87</v>
      </c>
      <c r="BH1326" t="s">
        <v>66</v>
      </c>
      <c r="BI1326">
        <v>0</v>
      </c>
      <c r="BJ1326" t="s">
        <v>66</v>
      </c>
      <c r="BK1326" t="s">
        <v>88</v>
      </c>
      <c r="BL1326" t="s">
        <v>66</v>
      </c>
      <c r="BM1326" t="s">
        <v>159</v>
      </c>
    </row>
    <row r="1327" spans="1:65" x14ac:dyDescent="0.25">
      <c r="A1327">
        <v>1325</v>
      </c>
      <c r="B1327" t="s">
        <v>1555</v>
      </c>
      <c r="C1327" t="s">
        <v>66</v>
      </c>
      <c r="D1327" s="1">
        <v>46219</v>
      </c>
      <c r="E1327" t="s">
        <v>1556</v>
      </c>
      <c r="F1327" t="s">
        <v>68</v>
      </c>
      <c r="G1327" t="s">
        <v>69</v>
      </c>
      <c r="H1327" t="s">
        <v>70</v>
      </c>
      <c r="I1327" t="s">
        <v>71</v>
      </c>
      <c r="J1327" t="s">
        <v>72</v>
      </c>
      <c r="K1327" t="s">
        <v>73</v>
      </c>
      <c r="L1327" t="s">
        <v>74</v>
      </c>
      <c r="M1327" t="s">
        <v>810</v>
      </c>
      <c r="N1327" t="s">
        <v>76</v>
      </c>
      <c r="O1327" t="s">
        <v>811</v>
      </c>
      <c r="P1327" t="s">
        <v>812</v>
      </c>
      <c r="Q1327" t="s">
        <v>1557</v>
      </c>
      <c r="R1327" s="1">
        <v>46221</v>
      </c>
      <c r="S1327" t="s">
        <v>814</v>
      </c>
      <c r="T1327" t="s">
        <v>815</v>
      </c>
      <c r="U1327" t="s">
        <v>816</v>
      </c>
      <c r="V1327" t="s">
        <v>817</v>
      </c>
      <c r="W1327" t="s">
        <v>66</v>
      </c>
      <c r="X1327">
        <v>1445796</v>
      </c>
      <c r="Y1327">
        <v>159037.56</v>
      </c>
      <c r="Z1327">
        <v>230472</v>
      </c>
      <c r="AA1327">
        <v>25351.919999999998</v>
      </c>
      <c r="AB1327">
        <v>1604833.56</v>
      </c>
      <c r="AC1327">
        <v>12</v>
      </c>
      <c r="AD1327" t="s">
        <v>82</v>
      </c>
      <c r="AE1327">
        <v>12</v>
      </c>
      <c r="AF1327" t="s">
        <v>467</v>
      </c>
      <c r="AG1327">
        <f>IFERROR(VLOOKUP(AF1327,[1]STOK!J:O,6,0),"")</f>
        <v>24</v>
      </c>
      <c r="AH1327" s="2">
        <f t="shared" si="40"/>
        <v>0.5</v>
      </c>
      <c r="AI1327" t="s">
        <v>467</v>
      </c>
      <c r="AJ1327" t="s">
        <v>468</v>
      </c>
      <c r="AK1327" t="s">
        <v>469</v>
      </c>
      <c r="AL1327" t="s">
        <v>86</v>
      </c>
      <c r="AM1327">
        <v>21534</v>
      </c>
      <c r="AN1327">
        <f t="shared" si="41"/>
        <v>21318.66</v>
      </c>
      <c r="AO1327" t="s">
        <v>66</v>
      </c>
      <c r="AP1327">
        <v>1</v>
      </c>
      <c r="AQ1327" t="s">
        <v>66</v>
      </c>
      <c r="AR1327">
        <v>0</v>
      </c>
      <c r="AS1327" t="s">
        <v>66</v>
      </c>
      <c r="AT1327">
        <v>0</v>
      </c>
      <c r="AU1327" t="s">
        <v>66</v>
      </c>
      <c r="AV1327">
        <v>0</v>
      </c>
      <c r="AW1327" t="s">
        <v>66</v>
      </c>
      <c r="AX1327">
        <v>0</v>
      </c>
      <c r="AY1327" t="s">
        <v>66</v>
      </c>
      <c r="AZ1327">
        <v>0</v>
      </c>
      <c r="BA1327" t="s">
        <v>66</v>
      </c>
      <c r="BB1327">
        <v>0</v>
      </c>
      <c r="BC1327">
        <v>0</v>
      </c>
      <c r="BD1327">
        <v>255823.92</v>
      </c>
      <c r="BE1327">
        <v>16865.669999999998</v>
      </c>
      <c r="BF1327">
        <v>0</v>
      </c>
      <c r="BG1327" t="s">
        <v>87</v>
      </c>
      <c r="BH1327" t="s">
        <v>66</v>
      </c>
      <c r="BI1327">
        <v>0</v>
      </c>
      <c r="BJ1327" t="s">
        <v>66</v>
      </c>
      <c r="BK1327" t="s">
        <v>88</v>
      </c>
      <c r="BL1327" t="s">
        <v>66</v>
      </c>
      <c r="BM1327" t="s">
        <v>89</v>
      </c>
    </row>
    <row r="1328" spans="1:65" x14ac:dyDescent="0.25">
      <c r="A1328">
        <v>1326</v>
      </c>
      <c r="B1328" t="s">
        <v>1555</v>
      </c>
      <c r="C1328" t="s">
        <v>66</v>
      </c>
      <c r="D1328" s="1">
        <v>46219</v>
      </c>
      <c r="E1328" t="s">
        <v>1556</v>
      </c>
      <c r="F1328" t="s">
        <v>68</v>
      </c>
      <c r="G1328" t="s">
        <v>69</v>
      </c>
      <c r="H1328" t="s">
        <v>70</v>
      </c>
      <c r="I1328" t="s">
        <v>71</v>
      </c>
      <c r="J1328" t="s">
        <v>72</v>
      </c>
      <c r="K1328" t="s">
        <v>73</v>
      </c>
      <c r="L1328" t="s">
        <v>74</v>
      </c>
      <c r="M1328" t="s">
        <v>810</v>
      </c>
      <c r="N1328" t="s">
        <v>76</v>
      </c>
      <c r="O1328" t="s">
        <v>811</v>
      </c>
      <c r="P1328" t="s">
        <v>812</v>
      </c>
      <c r="Q1328" t="s">
        <v>1557</v>
      </c>
      <c r="R1328" s="1">
        <v>46221</v>
      </c>
      <c r="S1328" t="s">
        <v>814</v>
      </c>
      <c r="T1328" t="s">
        <v>815</v>
      </c>
      <c r="U1328" t="s">
        <v>816</v>
      </c>
      <c r="V1328" t="s">
        <v>817</v>
      </c>
      <c r="W1328" t="s">
        <v>66</v>
      </c>
      <c r="X1328">
        <v>1445796</v>
      </c>
      <c r="Y1328">
        <v>159037.56</v>
      </c>
      <c r="Z1328">
        <v>691416</v>
      </c>
      <c r="AA1328">
        <v>76055.759999999995</v>
      </c>
      <c r="AB1328">
        <v>1604833.56</v>
      </c>
      <c r="AC1328">
        <v>36</v>
      </c>
      <c r="AD1328" t="s">
        <v>82</v>
      </c>
      <c r="AE1328">
        <v>36</v>
      </c>
      <c r="AF1328" t="s">
        <v>287</v>
      </c>
      <c r="AG1328">
        <f>IFERROR(VLOOKUP(AF1328,[1]STOK!J:O,6,0),"")</f>
        <v>12</v>
      </c>
      <c r="AH1328" s="2">
        <f t="shared" si="40"/>
        <v>3</v>
      </c>
      <c r="AI1328" t="s">
        <v>287</v>
      </c>
      <c r="AJ1328" t="s">
        <v>288</v>
      </c>
      <c r="AK1328" t="s">
        <v>289</v>
      </c>
      <c r="AL1328" t="s">
        <v>86</v>
      </c>
      <c r="AM1328">
        <v>21534</v>
      </c>
      <c r="AN1328">
        <f t="shared" si="41"/>
        <v>21318.66</v>
      </c>
      <c r="AO1328" t="s">
        <v>66</v>
      </c>
      <c r="AP1328">
        <v>1</v>
      </c>
      <c r="AQ1328" t="s">
        <v>66</v>
      </c>
      <c r="AR1328">
        <v>0</v>
      </c>
      <c r="AS1328" t="s">
        <v>66</v>
      </c>
      <c r="AT1328">
        <v>0</v>
      </c>
      <c r="AU1328" t="s">
        <v>66</v>
      </c>
      <c r="AV1328">
        <v>0</v>
      </c>
      <c r="AW1328" t="s">
        <v>66</v>
      </c>
      <c r="AX1328">
        <v>0</v>
      </c>
      <c r="AY1328" t="s">
        <v>66</v>
      </c>
      <c r="AZ1328">
        <v>0</v>
      </c>
      <c r="BA1328" t="s">
        <v>66</v>
      </c>
      <c r="BB1328">
        <v>0</v>
      </c>
      <c r="BC1328">
        <v>0</v>
      </c>
      <c r="BD1328">
        <v>767471.76</v>
      </c>
      <c r="BE1328">
        <v>17175.11</v>
      </c>
      <c r="BF1328">
        <v>0</v>
      </c>
      <c r="BG1328" t="s">
        <v>87</v>
      </c>
      <c r="BH1328" t="s">
        <v>66</v>
      </c>
      <c r="BI1328">
        <v>0</v>
      </c>
      <c r="BJ1328" t="s">
        <v>66</v>
      </c>
      <c r="BK1328" t="s">
        <v>88</v>
      </c>
      <c r="BL1328" t="s">
        <v>66</v>
      </c>
      <c r="BM1328" t="s">
        <v>89</v>
      </c>
    </row>
    <row r="1329" spans="1:65" x14ac:dyDescent="0.25">
      <c r="A1329">
        <v>1327</v>
      </c>
      <c r="B1329" t="s">
        <v>1555</v>
      </c>
      <c r="C1329" t="s">
        <v>66</v>
      </c>
      <c r="D1329" s="1">
        <v>46219</v>
      </c>
      <c r="E1329" t="s">
        <v>1556</v>
      </c>
      <c r="F1329" t="s">
        <v>68</v>
      </c>
      <c r="G1329" t="s">
        <v>69</v>
      </c>
      <c r="H1329" t="s">
        <v>70</v>
      </c>
      <c r="I1329" t="s">
        <v>71</v>
      </c>
      <c r="J1329" t="s">
        <v>72</v>
      </c>
      <c r="K1329" t="s">
        <v>73</v>
      </c>
      <c r="L1329" t="s">
        <v>74</v>
      </c>
      <c r="M1329" t="s">
        <v>810</v>
      </c>
      <c r="N1329" t="s">
        <v>76</v>
      </c>
      <c r="O1329" t="s">
        <v>811</v>
      </c>
      <c r="P1329" t="s">
        <v>812</v>
      </c>
      <c r="Q1329" t="s">
        <v>1557</v>
      </c>
      <c r="R1329" s="1">
        <v>46221</v>
      </c>
      <c r="S1329" t="s">
        <v>814</v>
      </c>
      <c r="T1329" t="s">
        <v>815</v>
      </c>
      <c r="U1329" t="s">
        <v>816</v>
      </c>
      <c r="V1329" t="s">
        <v>817</v>
      </c>
      <c r="W1329" t="s">
        <v>66</v>
      </c>
      <c r="X1329">
        <v>1445796</v>
      </c>
      <c r="Y1329">
        <v>159037.56</v>
      </c>
      <c r="Z1329">
        <v>523908</v>
      </c>
      <c r="AA1329">
        <v>57629.88</v>
      </c>
      <c r="AB1329">
        <v>1604833.56</v>
      </c>
      <c r="AC1329">
        <v>36</v>
      </c>
      <c r="AD1329" t="s">
        <v>82</v>
      </c>
      <c r="AE1329">
        <v>36</v>
      </c>
      <c r="AF1329" t="s">
        <v>1263</v>
      </c>
      <c r="AG1329">
        <f>IFERROR(VLOOKUP(AF1329,[1]STOK!J:O,6,0),"")</f>
        <v>12</v>
      </c>
      <c r="AH1329" s="2">
        <f t="shared" si="40"/>
        <v>3</v>
      </c>
      <c r="AI1329" t="s">
        <v>1263</v>
      </c>
      <c r="AJ1329" t="s">
        <v>1264</v>
      </c>
      <c r="AK1329" t="s">
        <v>1265</v>
      </c>
      <c r="AL1329" t="s">
        <v>86</v>
      </c>
      <c r="AM1329">
        <v>16317</v>
      </c>
      <c r="AN1329">
        <f t="shared" si="41"/>
        <v>16153.83</v>
      </c>
      <c r="AO1329" t="s">
        <v>66</v>
      </c>
      <c r="AP1329">
        <v>1</v>
      </c>
      <c r="AQ1329" t="s">
        <v>66</v>
      </c>
      <c r="AR1329">
        <v>0</v>
      </c>
      <c r="AS1329" t="s">
        <v>66</v>
      </c>
      <c r="AT1329">
        <v>0</v>
      </c>
      <c r="AU1329" t="s">
        <v>66</v>
      </c>
      <c r="AV1329">
        <v>0</v>
      </c>
      <c r="AW1329" t="s">
        <v>66</v>
      </c>
      <c r="AX1329">
        <v>0</v>
      </c>
      <c r="AY1329" t="s">
        <v>66</v>
      </c>
      <c r="AZ1329">
        <v>0</v>
      </c>
      <c r="BA1329" t="s">
        <v>66</v>
      </c>
      <c r="BB1329">
        <v>0</v>
      </c>
      <c r="BC1329">
        <v>0</v>
      </c>
      <c r="BD1329">
        <v>581537.88</v>
      </c>
      <c r="BE1329">
        <v>12968.32</v>
      </c>
      <c r="BF1329">
        <v>0</v>
      </c>
      <c r="BG1329" t="s">
        <v>87</v>
      </c>
      <c r="BH1329" t="s">
        <v>66</v>
      </c>
      <c r="BI1329">
        <v>0</v>
      </c>
      <c r="BJ1329" t="s">
        <v>66</v>
      </c>
      <c r="BK1329" t="s">
        <v>88</v>
      </c>
      <c r="BL1329" t="s">
        <v>66</v>
      </c>
      <c r="BM1329" t="s">
        <v>89</v>
      </c>
    </row>
    <row r="1330" spans="1:65" x14ac:dyDescent="0.25">
      <c r="A1330">
        <v>1328</v>
      </c>
      <c r="B1330" t="s">
        <v>1558</v>
      </c>
      <c r="C1330" t="s">
        <v>68</v>
      </c>
      <c r="D1330" s="1">
        <v>46219</v>
      </c>
      <c r="E1330" t="s">
        <v>1559</v>
      </c>
      <c r="F1330" t="s">
        <v>68</v>
      </c>
      <c r="G1330" t="s">
        <v>295</v>
      </c>
      <c r="H1330" t="s">
        <v>296</v>
      </c>
      <c r="I1330" t="s">
        <v>71</v>
      </c>
      <c r="J1330" t="s">
        <v>72</v>
      </c>
      <c r="K1330" t="s">
        <v>73</v>
      </c>
      <c r="L1330" t="s">
        <v>74</v>
      </c>
      <c r="M1330" t="s">
        <v>657</v>
      </c>
      <c r="N1330" t="s">
        <v>111</v>
      </c>
      <c r="O1330" t="s">
        <v>658</v>
      </c>
      <c r="P1330" t="s">
        <v>659</v>
      </c>
      <c r="Q1330" t="s">
        <v>1560</v>
      </c>
      <c r="R1330" s="1">
        <v>46221</v>
      </c>
      <c r="S1330" t="s">
        <v>661</v>
      </c>
      <c r="T1330" t="s">
        <v>662</v>
      </c>
      <c r="U1330" t="s">
        <v>663</v>
      </c>
      <c r="V1330" t="s">
        <v>66</v>
      </c>
      <c r="W1330" t="s">
        <v>66</v>
      </c>
      <c r="X1330">
        <v>2572614</v>
      </c>
      <c r="Y1330">
        <v>282987.53999999998</v>
      </c>
      <c r="Z1330">
        <v>7425</v>
      </c>
      <c r="AA1330">
        <v>816.75</v>
      </c>
      <c r="AB1330">
        <v>2855601.54</v>
      </c>
      <c r="AC1330">
        <v>3</v>
      </c>
      <c r="AD1330" t="s">
        <v>82</v>
      </c>
      <c r="AE1330">
        <v>3</v>
      </c>
      <c r="AF1330" t="s">
        <v>185</v>
      </c>
      <c r="AG1330">
        <f>IFERROR(VLOOKUP(AF1330,[1]STOK!J:O,6,0),"")</f>
        <v>72</v>
      </c>
      <c r="AH1330" s="2">
        <f t="shared" si="40"/>
        <v>4.1666666666666664E-2</v>
      </c>
      <c r="AI1330" t="s">
        <v>185</v>
      </c>
      <c r="AJ1330" t="s">
        <v>186</v>
      </c>
      <c r="AK1330" t="s">
        <v>187</v>
      </c>
      <c r="AL1330" t="s">
        <v>86</v>
      </c>
      <c r="AM1330">
        <v>2775</v>
      </c>
      <c r="AN1330">
        <f t="shared" si="41"/>
        <v>2747.25</v>
      </c>
      <c r="AO1330" t="s">
        <v>66</v>
      </c>
      <c r="AP1330">
        <v>1</v>
      </c>
      <c r="AQ1330" t="s">
        <v>66</v>
      </c>
      <c r="AR1330">
        <v>0</v>
      </c>
      <c r="AS1330" t="s">
        <v>66</v>
      </c>
      <c r="AT1330">
        <v>0</v>
      </c>
      <c r="AU1330" t="s">
        <v>66</v>
      </c>
      <c r="AV1330">
        <v>0</v>
      </c>
      <c r="AW1330" t="s">
        <v>66</v>
      </c>
      <c r="AX1330">
        <v>0</v>
      </c>
      <c r="AY1330" t="s">
        <v>66</v>
      </c>
      <c r="AZ1330">
        <v>0</v>
      </c>
      <c r="BA1330" t="s">
        <v>66</v>
      </c>
      <c r="BB1330">
        <v>0</v>
      </c>
      <c r="BC1330">
        <v>0</v>
      </c>
      <c r="BD1330">
        <v>8241.75</v>
      </c>
      <c r="BE1330">
        <v>2170.21</v>
      </c>
      <c r="BF1330">
        <v>0</v>
      </c>
      <c r="BG1330" t="s">
        <v>87</v>
      </c>
      <c r="BH1330" t="s">
        <v>66</v>
      </c>
      <c r="BI1330">
        <v>0</v>
      </c>
      <c r="BJ1330" t="s">
        <v>66</v>
      </c>
      <c r="BK1330" t="s">
        <v>88</v>
      </c>
      <c r="BL1330" t="s">
        <v>66</v>
      </c>
      <c r="BM1330" t="s">
        <v>159</v>
      </c>
    </row>
    <row r="1331" spans="1:65" x14ac:dyDescent="0.25">
      <c r="A1331">
        <v>1329</v>
      </c>
      <c r="B1331" t="s">
        <v>1558</v>
      </c>
      <c r="C1331" t="s">
        <v>68</v>
      </c>
      <c r="D1331" s="1">
        <v>46219</v>
      </c>
      <c r="E1331" t="s">
        <v>1559</v>
      </c>
      <c r="F1331" t="s">
        <v>68</v>
      </c>
      <c r="G1331" t="s">
        <v>295</v>
      </c>
      <c r="H1331" t="s">
        <v>296</v>
      </c>
      <c r="I1331" t="s">
        <v>71</v>
      </c>
      <c r="J1331" t="s">
        <v>72</v>
      </c>
      <c r="K1331" t="s">
        <v>73</v>
      </c>
      <c r="L1331" t="s">
        <v>74</v>
      </c>
      <c r="M1331" t="s">
        <v>657</v>
      </c>
      <c r="N1331" t="s">
        <v>111</v>
      </c>
      <c r="O1331" t="s">
        <v>658</v>
      </c>
      <c r="P1331" t="s">
        <v>659</v>
      </c>
      <c r="Q1331" t="s">
        <v>1560</v>
      </c>
      <c r="R1331" s="1">
        <v>46221</v>
      </c>
      <c r="S1331" t="s">
        <v>661</v>
      </c>
      <c r="T1331" t="s">
        <v>662</v>
      </c>
      <c r="U1331" t="s">
        <v>663</v>
      </c>
      <c r="V1331" t="s">
        <v>66</v>
      </c>
      <c r="W1331" t="s">
        <v>66</v>
      </c>
      <c r="X1331">
        <v>2572614</v>
      </c>
      <c r="Y1331">
        <v>282987.53999999998</v>
      </c>
      <c r="Z1331">
        <v>21978</v>
      </c>
      <c r="AA1331">
        <v>2417.58</v>
      </c>
      <c r="AB1331">
        <v>2855601.54</v>
      </c>
      <c r="AC1331">
        <v>3</v>
      </c>
      <c r="AD1331" t="s">
        <v>82</v>
      </c>
      <c r="AE1331">
        <v>3</v>
      </c>
      <c r="AF1331" t="s">
        <v>83</v>
      </c>
      <c r="AG1331">
        <f>IFERROR(VLOOKUP(AF1331,[1]STOK!J:O,6,0),"")</f>
        <v>24</v>
      </c>
      <c r="AH1331" s="2">
        <f t="shared" si="40"/>
        <v>0.125</v>
      </c>
      <c r="AI1331" t="s">
        <v>83</v>
      </c>
      <c r="AJ1331" t="s">
        <v>84</v>
      </c>
      <c r="AK1331" t="s">
        <v>85</v>
      </c>
      <c r="AL1331" t="s">
        <v>86</v>
      </c>
      <c r="AM1331">
        <v>8214</v>
      </c>
      <c r="AN1331">
        <f t="shared" si="41"/>
        <v>8131.8600000000006</v>
      </c>
      <c r="AO1331" t="s">
        <v>66</v>
      </c>
      <c r="AP1331">
        <v>1</v>
      </c>
      <c r="AQ1331" t="s">
        <v>66</v>
      </c>
      <c r="AR1331">
        <v>0</v>
      </c>
      <c r="AS1331" t="s">
        <v>66</v>
      </c>
      <c r="AT1331">
        <v>0</v>
      </c>
      <c r="AU1331" t="s">
        <v>66</v>
      </c>
      <c r="AV1331">
        <v>0</v>
      </c>
      <c r="AW1331" t="s">
        <v>66</v>
      </c>
      <c r="AX1331">
        <v>0</v>
      </c>
      <c r="AY1331" t="s">
        <v>66</v>
      </c>
      <c r="AZ1331">
        <v>0</v>
      </c>
      <c r="BA1331" t="s">
        <v>66</v>
      </c>
      <c r="BB1331">
        <v>0</v>
      </c>
      <c r="BC1331">
        <v>0</v>
      </c>
      <c r="BD1331">
        <v>24395.58</v>
      </c>
      <c r="BE1331">
        <v>6590.47</v>
      </c>
      <c r="BF1331">
        <v>0</v>
      </c>
      <c r="BG1331" t="s">
        <v>87</v>
      </c>
      <c r="BH1331" t="s">
        <v>66</v>
      </c>
      <c r="BI1331">
        <v>0</v>
      </c>
      <c r="BJ1331" t="s">
        <v>66</v>
      </c>
      <c r="BK1331" t="s">
        <v>88</v>
      </c>
      <c r="BL1331" t="s">
        <v>66</v>
      </c>
      <c r="BM1331" t="s">
        <v>159</v>
      </c>
    </row>
    <row r="1332" spans="1:65" x14ac:dyDescent="0.25">
      <c r="A1332">
        <v>1330</v>
      </c>
      <c r="B1332" t="s">
        <v>1558</v>
      </c>
      <c r="C1332" t="s">
        <v>68</v>
      </c>
      <c r="D1332" s="1">
        <v>46219</v>
      </c>
      <c r="E1332" t="s">
        <v>1559</v>
      </c>
      <c r="F1332" t="s">
        <v>68</v>
      </c>
      <c r="G1332" t="s">
        <v>295</v>
      </c>
      <c r="H1332" t="s">
        <v>296</v>
      </c>
      <c r="I1332" t="s">
        <v>71</v>
      </c>
      <c r="J1332" t="s">
        <v>72</v>
      </c>
      <c r="K1332" t="s">
        <v>73</v>
      </c>
      <c r="L1332" t="s">
        <v>74</v>
      </c>
      <c r="M1332" t="s">
        <v>657</v>
      </c>
      <c r="N1332" t="s">
        <v>111</v>
      </c>
      <c r="O1332" t="s">
        <v>658</v>
      </c>
      <c r="P1332" t="s">
        <v>659</v>
      </c>
      <c r="Q1332" t="s">
        <v>1560</v>
      </c>
      <c r="R1332" s="1">
        <v>46221</v>
      </c>
      <c r="S1332" t="s">
        <v>661</v>
      </c>
      <c r="T1332" t="s">
        <v>662</v>
      </c>
      <c r="U1332" t="s">
        <v>663</v>
      </c>
      <c r="V1332" t="s">
        <v>66</v>
      </c>
      <c r="W1332" t="s">
        <v>66</v>
      </c>
      <c r="X1332">
        <v>2572614</v>
      </c>
      <c r="Y1332">
        <v>282987.53999999998</v>
      </c>
      <c r="Z1332">
        <v>93852</v>
      </c>
      <c r="AA1332">
        <v>10323.719999999999</v>
      </c>
      <c r="AB1332">
        <v>2855601.54</v>
      </c>
      <c r="AC1332">
        <v>12</v>
      </c>
      <c r="AD1332" t="s">
        <v>82</v>
      </c>
      <c r="AE1332">
        <v>12</v>
      </c>
      <c r="AF1332" t="s">
        <v>248</v>
      </c>
      <c r="AG1332">
        <f>IFERROR(VLOOKUP(AF1332,[1]STOK!J:O,6,0),"")</f>
        <v>24</v>
      </c>
      <c r="AH1332" s="2">
        <f t="shared" si="40"/>
        <v>0.5</v>
      </c>
      <c r="AI1332" t="s">
        <v>248</v>
      </c>
      <c r="AJ1332" t="s">
        <v>249</v>
      </c>
      <c r="AK1332" t="s">
        <v>250</v>
      </c>
      <c r="AL1332" t="s">
        <v>86</v>
      </c>
      <c r="AM1332">
        <v>8769</v>
      </c>
      <c r="AN1332">
        <f t="shared" si="41"/>
        <v>8681.31</v>
      </c>
      <c r="AO1332" t="s">
        <v>66</v>
      </c>
      <c r="AP1332">
        <v>1</v>
      </c>
      <c r="AQ1332" t="s">
        <v>66</v>
      </c>
      <c r="AR1332">
        <v>0</v>
      </c>
      <c r="AS1332" t="s">
        <v>66</v>
      </c>
      <c r="AT1332">
        <v>0</v>
      </c>
      <c r="AU1332" t="s">
        <v>66</v>
      </c>
      <c r="AV1332">
        <v>0</v>
      </c>
      <c r="AW1332" t="s">
        <v>66</v>
      </c>
      <c r="AX1332">
        <v>0</v>
      </c>
      <c r="AY1332" t="s">
        <v>66</v>
      </c>
      <c r="AZ1332">
        <v>0</v>
      </c>
      <c r="BA1332" t="s">
        <v>66</v>
      </c>
      <c r="BB1332">
        <v>0</v>
      </c>
      <c r="BC1332">
        <v>0</v>
      </c>
      <c r="BD1332">
        <v>104175.72</v>
      </c>
      <c r="BE1332">
        <v>6516.01</v>
      </c>
      <c r="BF1332">
        <v>0</v>
      </c>
      <c r="BG1332" t="s">
        <v>87</v>
      </c>
      <c r="BH1332" t="s">
        <v>66</v>
      </c>
      <c r="BI1332">
        <v>0</v>
      </c>
      <c r="BJ1332" t="s">
        <v>66</v>
      </c>
      <c r="BK1332" t="s">
        <v>88</v>
      </c>
      <c r="BL1332" t="s">
        <v>66</v>
      </c>
      <c r="BM1332" t="s">
        <v>159</v>
      </c>
    </row>
    <row r="1333" spans="1:65" x14ac:dyDescent="0.25">
      <c r="A1333">
        <v>1331</v>
      </c>
      <c r="B1333" t="s">
        <v>1558</v>
      </c>
      <c r="C1333" t="s">
        <v>68</v>
      </c>
      <c r="D1333" s="1">
        <v>46219</v>
      </c>
      <c r="E1333" t="s">
        <v>1559</v>
      </c>
      <c r="F1333" t="s">
        <v>68</v>
      </c>
      <c r="G1333" t="s">
        <v>295</v>
      </c>
      <c r="H1333" t="s">
        <v>296</v>
      </c>
      <c r="I1333" t="s">
        <v>71</v>
      </c>
      <c r="J1333" t="s">
        <v>72</v>
      </c>
      <c r="K1333" t="s">
        <v>73</v>
      </c>
      <c r="L1333" t="s">
        <v>74</v>
      </c>
      <c r="M1333" t="s">
        <v>657</v>
      </c>
      <c r="N1333" t="s">
        <v>111</v>
      </c>
      <c r="O1333" t="s">
        <v>658</v>
      </c>
      <c r="P1333" t="s">
        <v>659</v>
      </c>
      <c r="Q1333" t="s">
        <v>1560</v>
      </c>
      <c r="R1333" s="1">
        <v>46221</v>
      </c>
      <c r="S1333" t="s">
        <v>661</v>
      </c>
      <c r="T1333" t="s">
        <v>662</v>
      </c>
      <c r="U1333" t="s">
        <v>663</v>
      </c>
      <c r="V1333" t="s">
        <v>66</v>
      </c>
      <c r="W1333" t="s">
        <v>66</v>
      </c>
      <c r="X1333">
        <v>2572614</v>
      </c>
      <c r="Y1333">
        <v>282987.53999999998</v>
      </c>
      <c r="Z1333">
        <v>46926</v>
      </c>
      <c r="AA1333">
        <v>5161.8599999999997</v>
      </c>
      <c r="AB1333">
        <v>2855601.54</v>
      </c>
      <c r="AC1333">
        <v>6</v>
      </c>
      <c r="AD1333" t="s">
        <v>82</v>
      </c>
      <c r="AE1333">
        <v>6</v>
      </c>
      <c r="AF1333" t="s">
        <v>199</v>
      </c>
      <c r="AG1333">
        <f>IFERROR(VLOOKUP(AF1333,[1]STOK!J:O,6,0),"")</f>
        <v>24</v>
      </c>
      <c r="AH1333" s="2">
        <f t="shared" si="40"/>
        <v>0.25</v>
      </c>
      <c r="AI1333" t="s">
        <v>199</v>
      </c>
      <c r="AJ1333" t="s">
        <v>200</v>
      </c>
      <c r="AK1333" t="s">
        <v>201</v>
      </c>
      <c r="AL1333" t="s">
        <v>86</v>
      </c>
      <c r="AM1333">
        <v>8769</v>
      </c>
      <c r="AN1333">
        <f t="shared" si="41"/>
        <v>8681.31</v>
      </c>
      <c r="AO1333" t="s">
        <v>66</v>
      </c>
      <c r="AP1333">
        <v>1</v>
      </c>
      <c r="AQ1333" t="s">
        <v>66</v>
      </c>
      <c r="AR1333">
        <v>0</v>
      </c>
      <c r="AS1333" t="s">
        <v>66</v>
      </c>
      <c r="AT1333">
        <v>0</v>
      </c>
      <c r="AU1333" t="s">
        <v>66</v>
      </c>
      <c r="AV1333">
        <v>0</v>
      </c>
      <c r="AW1333" t="s">
        <v>66</v>
      </c>
      <c r="AX1333">
        <v>0</v>
      </c>
      <c r="AY1333" t="s">
        <v>66</v>
      </c>
      <c r="AZ1333">
        <v>0</v>
      </c>
      <c r="BA1333" t="s">
        <v>66</v>
      </c>
      <c r="BB1333">
        <v>0</v>
      </c>
      <c r="BC1333">
        <v>0</v>
      </c>
      <c r="BD1333">
        <v>52087.86</v>
      </c>
      <c r="BE1333">
        <v>6637.67</v>
      </c>
      <c r="BF1333">
        <v>0</v>
      </c>
      <c r="BG1333" t="s">
        <v>87</v>
      </c>
      <c r="BH1333" t="s">
        <v>66</v>
      </c>
      <c r="BI1333">
        <v>0</v>
      </c>
      <c r="BJ1333" t="s">
        <v>66</v>
      </c>
      <c r="BK1333" t="s">
        <v>88</v>
      </c>
      <c r="BL1333" t="s">
        <v>66</v>
      </c>
      <c r="BM1333" t="s">
        <v>159</v>
      </c>
    </row>
    <row r="1334" spans="1:65" x14ac:dyDescent="0.25">
      <c r="A1334">
        <v>1332</v>
      </c>
      <c r="B1334" t="s">
        <v>1558</v>
      </c>
      <c r="C1334" t="s">
        <v>68</v>
      </c>
      <c r="D1334" s="1">
        <v>46219</v>
      </c>
      <c r="E1334" t="s">
        <v>1559</v>
      </c>
      <c r="F1334" t="s">
        <v>68</v>
      </c>
      <c r="G1334" t="s">
        <v>295</v>
      </c>
      <c r="H1334" t="s">
        <v>296</v>
      </c>
      <c r="I1334" t="s">
        <v>71</v>
      </c>
      <c r="J1334" t="s">
        <v>72</v>
      </c>
      <c r="K1334" t="s">
        <v>73</v>
      </c>
      <c r="L1334" t="s">
        <v>74</v>
      </c>
      <c r="M1334" t="s">
        <v>657</v>
      </c>
      <c r="N1334" t="s">
        <v>111</v>
      </c>
      <c r="O1334" t="s">
        <v>658</v>
      </c>
      <c r="P1334" t="s">
        <v>659</v>
      </c>
      <c r="Q1334" t="s">
        <v>1560</v>
      </c>
      <c r="R1334" s="1">
        <v>46221</v>
      </c>
      <c r="S1334" t="s">
        <v>661</v>
      </c>
      <c r="T1334" t="s">
        <v>662</v>
      </c>
      <c r="U1334" t="s">
        <v>663</v>
      </c>
      <c r="V1334" t="s">
        <v>66</v>
      </c>
      <c r="W1334" t="s">
        <v>66</v>
      </c>
      <c r="X1334">
        <v>2572614</v>
      </c>
      <c r="Y1334">
        <v>282987.53999999998</v>
      </c>
      <c r="Z1334">
        <v>70389</v>
      </c>
      <c r="AA1334">
        <v>7742.79</v>
      </c>
      <c r="AB1334">
        <v>2855601.54</v>
      </c>
      <c r="AC1334">
        <v>9</v>
      </c>
      <c r="AD1334" t="s">
        <v>82</v>
      </c>
      <c r="AE1334">
        <v>9</v>
      </c>
      <c r="AF1334" t="s">
        <v>344</v>
      </c>
      <c r="AG1334">
        <f>IFERROR(VLOOKUP(AF1334,[1]STOK!J:O,6,0),"")</f>
        <v>24</v>
      </c>
      <c r="AH1334" s="2">
        <f t="shared" si="40"/>
        <v>0.375</v>
      </c>
      <c r="AI1334" t="s">
        <v>344</v>
      </c>
      <c r="AJ1334" t="s">
        <v>345</v>
      </c>
      <c r="AK1334" t="s">
        <v>346</v>
      </c>
      <c r="AL1334" t="s">
        <v>86</v>
      </c>
      <c r="AM1334">
        <v>8769</v>
      </c>
      <c r="AN1334">
        <f t="shared" si="41"/>
        <v>8681.31</v>
      </c>
      <c r="AO1334" t="s">
        <v>66</v>
      </c>
      <c r="AP1334">
        <v>1</v>
      </c>
      <c r="AQ1334" t="s">
        <v>66</v>
      </c>
      <c r="AR1334">
        <v>0</v>
      </c>
      <c r="AS1334" t="s">
        <v>66</v>
      </c>
      <c r="AT1334">
        <v>0</v>
      </c>
      <c r="AU1334" t="s">
        <v>66</v>
      </c>
      <c r="AV1334">
        <v>0</v>
      </c>
      <c r="AW1334" t="s">
        <v>66</v>
      </c>
      <c r="AX1334">
        <v>0</v>
      </c>
      <c r="AY1334" t="s">
        <v>66</v>
      </c>
      <c r="AZ1334">
        <v>0</v>
      </c>
      <c r="BA1334" t="s">
        <v>66</v>
      </c>
      <c r="BB1334">
        <v>0</v>
      </c>
      <c r="BC1334">
        <v>0</v>
      </c>
      <c r="BD1334">
        <v>78131.789999999994</v>
      </c>
      <c r="BE1334">
        <v>6916.14</v>
      </c>
      <c r="BF1334">
        <v>0</v>
      </c>
      <c r="BG1334" t="s">
        <v>87</v>
      </c>
      <c r="BH1334" t="s">
        <v>66</v>
      </c>
      <c r="BI1334">
        <v>0</v>
      </c>
      <c r="BJ1334" t="s">
        <v>66</v>
      </c>
      <c r="BK1334" t="s">
        <v>88</v>
      </c>
      <c r="BL1334" t="s">
        <v>66</v>
      </c>
      <c r="BM1334" t="s">
        <v>159</v>
      </c>
    </row>
    <row r="1335" spans="1:65" x14ac:dyDescent="0.25">
      <c r="A1335">
        <v>1333</v>
      </c>
      <c r="B1335" t="s">
        <v>1558</v>
      </c>
      <c r="C1335" t="s">
        <v>68</v>
      </c>
      <c r="D1335" s="1">
        <v>46219</v>
      </c>
      <c r="E1335" t="s">
        <v>1559</v>
      </c>
      <c r="F1335" t="s">
        <v>68</v>
      </c>
      <c r="G1335" t="s">
        <v>295</v>
      </c>
      <c r="H1335" t="s">
        <v>296</v>
      </c>
      <c r="I1335" t="s">
        <v>71</v>
      </c>
      <c r="J1335" t="s">
        <v>72</v>
      </c>
      <c r="K1335" t="s">
        <v>73</v>
      </c>
      <c r="L1335" t="s">
        <v>74</v>
      </c>
      <c r="M1335" t="s">
        <v>657</v>
      </c>
      <c r="N1335" t="s">
        <v>111</v>
      </c>
      <c r="O1335" t="s">
        <v>658</v>
      </c>
      <c r="P1335" t="s">
        <v>659</v>
      </c>
      <c r="Q1335" t="s">
        <v>1560</v>
      </c>
      <c r="R1335" s="1">
        <v>46221</v>
      </c>
      <c r="S1335" t="s">
        <v>661</v>
      </c>
      <c r="T1335" t="s">
        <v>662</v>
      </c>
      <c r="U1335" t="s">
        <v>663</v>
      </c>
      <c r="V1335" t="s">
        <v>66</v>
      </c>
      <c r="W1335" t="s">
        <v>66</v>
      </c>
      <c r="X1335">
        <v>2572614</v>
      </c>
      <c r="Y1335">
        <v>282987.53999999998</v>
      </c>
      <c r="Z1335">
        <v>30294</v>
      </c>
      <c r="AA1335">
        <v>3332.34</v>
      </c>
      <c r="AB1335">
        <v>2855601.54</v>
      </c>
      <c r="AC1335">
        <v>3</v>
      </c>
      <c r="AD1335" t="s">
        <v>82</v>
      </c>
      <c r="AE1335">
        <v>3</v>
      </c>
      <c r="AF1335" t="s">
        <v>667</v>
      </c>
      <c r="AG1335">
        <f>IFERROR(VLOOKUP(AF1335,[1]STOK!J:O,6,0),"")</f>
        <v>24</v>
      </c>
      <c r="AH1335" s="2">
        <f t="shared" si="40"/>
        <v>0.125</v>
      </c>
      <c r="AI1335" t="s">
        <v>667</v>
      </c>
      <c r="AJ1335" t="s">
        <v>668</v>
      </c>
      <c r="AK1335" t="s">
        <v>669</v>
      </c>
      <c r="AL1335" t="s">
        <v>86</v>
      </c>
      <c r="AM1335">
        <v>11322</v>
      </c>
      <c r="AN1335">
        <f t="shared" si="41"/>
        <v>11208.779999999999</v>
      </c>
      <c r="AO1335" t="s">
        <v>66</v>
      </c>
      <c r="AP1335">
        <v>1</v>
      </c>
      <c r="AQ1335" t="s">
        <v>66</v>
      </c>
      <c r="AR1335">
        <v>0</v>
      </c>
      <c r="AS1335" t="s">
        <v>66</v>
      </c>
      <c r="AT1335">
        <v>0</v>
      </c>
      <c r="AU1335" t="s">
        <v>66</v>
      </c>
      <c r="AV1335">
        <v>0</v>
      </c>
      <c r="AW1335" t="s">
        <v>66</v>
      </c>
      <c r="AX1335">
        <v>0</v>
      </c>
      <c r="AY1335" t="s">
        <v>66</v>
      </c>
      <c r="AZ1335">
        <v>0</v>
      </c>
      <c r="BA1335" t="s">
        <v>66</v>
      </c>
      <c r="BB1335">
        <v>0</v>
      </c>
      <c r="BC1335">
        <v>0</v>
      </c>
      <c r="BD1335">
        <v>33626.339999999997</v>
      </c>
      <c r="BE1335">
        <v>8850.9500000000007</v>
      </c>
      <c r="BF1335">
        <v>0</v>
      </c>
      <c r="BG1335" t="s">
        <v>87</v>
      </c>
      <c r="BH1335" t="s">
        <v>66</v>
      </c>
      <c r="BI1335">
        <v>0</v>
      </c>
      <c r="BJ1335" t="s">
        <v>66</v>
      </c>
      <c r="BK1335" t="s">
        <v>88</v>
      </c>
      <c r="BL1335" t="s">
        <v>66</v>
      </c>
      <c r="BM1335" t="s">
        <v>159</v>
      </c>
    </row>
    <row r="1336" spans="1:65" x14ac:dyDescent="0.25">
      <c r="A1336">
        <v>1334</v>
      </c>
      <c r="B1336" t="s">
        <v>1558</v>
      </c>
      <c r="C1336" t="s">
        <v>68</v>
      </c>
      <c r="D1336" s="1">
        <v>46219</v>
      </c>
      <c r="E1336" t="s">
        <v>1559</v>
      </c>
      <c r="F1336" t="s">
        <v>68</v>
      </c>
      <c r="G1336" t="s">
        <v>295</v>
      </c>
      <c r="H1336" t="s">
        <v>296</v>
      </c>
      <c r="I1336" t="s">
        <v>71</v>
      </c>
      <c r="J1336" t="s">
        <v>72</v>
      </c>
      <c r="K1336" t="s">
        <v>73</v>
      </c>
      <c r="L1336" t="s">
        <v>74</v>
      </c>
      <c r="M1336" t="s">
        <v>657</v>
      </c>
      <c r="N1336" t="s">
        <v>111</v>
      </c>
      <c r="O1336" t="s">
        <v>658</v>
      </c>
      <c r="P1336" t="s">
        <v>659</v>
      </c>
      <c r="Q1336" t="s">
        <v>1560</v>
      </c>
      <c r="R1336" s="1">
        <v>46221</v>
      </c>
      <c r="S1336" t="s">
        <v>661</v>
      </c>
      <c r="T1336" t="s">
        <v>662</v>
      </c>
      <c r="U1336" t="s">
        <v>663</v>
      </c>
      <c r="V1336" t="s">
        <v>66</v>
      </c>
      <c r="W1336" t="s">
        <v>66</v>
      </c>
      <c r="X1336">
        <v>2572614</v>
      </c>
      <c r="Y1336">
        <v>282987.53999999998</v>
      </c>
      <c r="Z1336">
        <v>98010</v>
      </c>
      <c r="AA1336">
        <v>10781.1</v>
      </c>
      <c r="AB1336">
        <v>2855601.54</v>
      </c>
      <c r="AC1336">
        <v>6</v>
      </c>
      <c r="AD1336" t="s">
        <v>82</v>
      </c>
      <c r="AE1336">
        <v>6</v>
      </c>
      <c r="AF1336" t="s">
        <v>128</v>
      </c>
      <c r="AG1336">
        <f>IFERROR(VLOOKUP(AF1336,[1]STOK!J:O,6,0),"")</f>
        <v>24</v>
      </c>
      <c r="AH1336" s="2">
        <f t="shared" si="40"/>
        <v>0.25</v>
      </c>
      <c r="AI1336" t="s">
        <v>128</v>
      </c>
      <c r="AJ1336" t="s">
        <v>129</v>
      </c>
      <c r="AK1336" t="s">
        <v>130</v>
      </c>
      <c r="AL1336" t="s">
        <v>86</v>
      </c>
      <c r="AM1336">
        <v>18315</v>
      </c>
      <c r="AN1336">
        <f t="shared" si="41"/>
        <v>18131.850000000002</v>
      </c>
      <c r="AO1336" t="s">
        <v>66</v>
      </c>
      <c r="AP1336">
        <v>1</v>
      </c>
      <c r="AQ1336" t="s">
        <v>66</v>
      </c>
      <c r="AR1336">
        <v>0</v>
      </c>
      <c r="AS1336" t="s">
        <v>66</v>
      </c>
      <c r="AT1336">
        <v>0</v>
      </c>
      <c r="AU1336" t="s">
        <v>66</v>
      </c>
      <c r="AV1336">
        <v>0</v>
      </c>
      <c r="AW1336" t="s">
        <v>66</v>
      </c>
      <c r="AX1336">
        <v>0</v>
      </c>
      <c r="AY1336" t="s">
        <v>66</v>
      </c>
      <c r="AZ1336">
        <v>0</v>
      </c>
      <c r="BA1336" t="s">
        <v>66</v>
      </c>
      <c r="BB1336">
        <v>0</v>
      </c>
      <c r="BC1336">
        <v>0</v>
      </c>
      <c r="BD1336">
        <v>108791.1</v>
      </c>
      <c r="BE1336">
        <v>14619.11</v>
      </c>
      <c r="BF1336">
        <v>0</v>
      </c>
      <c r="BG1336" t="s">
        <v>87</v>
      </c>
      <c r="BH1336" t="s">
        <v>66</v>
      </c>
      <c r="BI1336">
        <v>0</v>
      </c>
      <c r="BJ1336" t="s">
        <v>66</v>
      </c>
      <c r="BK1336" t="s">
        <v>88</v>
      </c>
      <c r="BL1336" t="s">
        <v>66</v>
      </c>
      <c r="BM1336" t="s">
        <v>159</v>
      </c>
    </row>
    <row r="1337" spans="1:65" x14ac:dyDescent="0.25">
      <c r="A1337">
        <v>1335</v>
      </c>
      <c r="B1337" t="s">
        <v>1558</v>
      </c>
      <c r="C1337" t="s">
        <v>68</v>
      </c>
      <c r="D1337" s="1">
        <v>46219</v>
      </c>
      <c r="E1337" t="s">
        <v>1559</v>
      </c>
      <c r="F1337" t="s">
        <v>68</v>
      </c>
      <c r="G1337" t="s">
        <v>295</v>
      </c>
      <c r="H1337" t="s">
        <v>296</v>
      </c>
      <c r="I1337" t="s">
        <v>71</v>
      </c>
      <c r="J1337" t="s">
        <v>72</v>
      </c>
      <c r="K1337" t="s">
        <v>73</v>
      </c>
      <c r="L1337" t="s">
        <v>74</v>
      </c>
      <c r="M1337" t="s">
        <v>657</v>
      </c>
      <c r="N1337" t="s">
        <v>111</v>
      </c>
      <c r="O1337" t="s">
        <v>658</v>
      </c>
      <c r="P1337" t="s">
        <v>659</v>
      </c>
      <c r="Q1337" t="s">
        <v>1560</v>
      </c>
      <c r="R1337" s="1">
        <v>46221</v>
      </c>
      <c r="S1337" t="s">
        <v>661</v>
      </c>
      <c r="T1337" t="s">
        <v>662</v>
      </c>
      <c r="U1337" t="s">
        <v>663</v>
      </c>
      <c r="V1337" t="s">
        <v>66</v>
      </c>
      <c r="W1337" t="s">
        <v>66</v>
      </c>
      <c r="X1337">
        <v>2572614</v>
      </c>
      <c r="Y1337">
        <v>282987.53999999998</v>
      </c>
      <c r="Z1337">
        <v>98010</v>
      </c>
      <c r="AA1337">
        <v>10781.1</v>
      </c>
      <c r="AB1337">
        <v>2855601.54</v>
      </c>
      <c r="AC1337">
        <v>6</v>
      </c>
      <c r="AD1337" t="s">
        <v>82</v>
      </c>
      <c r="AE1337">
        <v>6</v>
      </c>
      <c r="AF1337" t="s">
        <v>93</v>
      </c>
      <c r="AG1337">
        <f>IFERROR(VLOOKUP(AF1337,[1]STOK!J:O,6,0),"")</f>
        <v>24</v>
      </c>
      <c r="AH1337" s="2">
        <f t="shared" si="40"/>
        <v>0.25</v>
      </c>
      <c r="AI1337" t="s">
        <v>93</v>
      </c>
      <c r="AJ1337" t="s">
        <v>94</v>
      </c>
      <c r="AK1337" t="s">
        <v>95</v>
      </c>
      <c r="AL1337" t="s">
        <v>86</v>
      </c>
      <c r="AM1337">
        <v>18315</v>
      </c>
      <c r="AN1337">
        <f t="shared" si="41"/>
        <v>18131.850000000002</v>
      </c>
      <c r="AO1337" t="s">
        <v>66</v>
      </c>
      <c r="AP1337">
        <v>1</v>
      </c>
      <c r="AQ1337" t="s">
        <v>66</v>
      </c>
      <c r="AR1337">
        <v>0</v>
      </c>
      <c r="AS1337" t="s">
        <v>66</v>
      </c>
      <c r="AT1337">
        <v>0</v>
      </c>
      <c r="AU1337" t="s">
        <v>66</v>
      </c>
      <c r="AV1337">
        <v>0</v>
      </c>
      <c r="AW1337" t="s">
        <v>66</v>
      </c>
      <c r="AX1337">
        <v>0</v>
      </c>
      <c r="AY1337" t="s">
        <v>66</v>
      </c>
      <c r="AZ1337">
        <v>0</v>
      </c>
      <c r="BA1337" t="s">
        <v>66</v>
      </c>
      <c r="BB1337">
        <v>0</v>
      </c>
      <c r="BC1337">
        <v>0</v>
      </c>
      <c r="BD1337">
        <v>108791.1</v>
      </c>
      <c r="BE1337">
        <v>14878.51</v>
      </c>
      <c r="BF1337">
        <v>0</v>
      </c>
      <c r="BG1337" t="s">
        <v>87</v>
      </c>
      <c r="BH1337" t="s">
        <v>66</v>
      </c>
      <c r="BI1337">
        <v>0</v>
      </c>
      <c r="BJ1337" t="s">
        <v>66</v>
      </c>
      <c r="BK1337" t="s">
        <v>88</v>
      </c>
      <c r="BL1337" t="s">
        <v>66</v>
      </c>
      <c r="BM1337" t="s">
        <v>159</v>
      </c>
    </row>
    <row r="1338" spans="1:65" x14ac:dyDescent="0.25">
      <c r="A1338">
        <v>1336</v>
      </c>
      <c r="B1338" t="s">
        <v>1558</v>
      </c>
      <c r="C1338" t="s">
        <v>68</v>
      </c>
      <c r="D1338" s="1">
        <v>46219</v>
      </c>
      <c r="E1338" t="s">
        <v>1559</v>
      </c>
      <c r="F1338" t="s">
        <v>68</v>
      </c>
      <c r="G1338" t="s">
        <v>295</v>
      </c>
      <c r="H1338" t="s">
        <v>296</v>
      </c>
      <c r="I1338" t="s">
        <v>71</v>
      </c>
      <c r="J1338" t="s">
        <v>72</v>
      </c>
      <c r="K1338" t="s">
        <v>73</v>
      </c>
      <c r="L1338" t="s">
        <v>74</v>
      </c>
      <c r="M1338" t="s">
        <v>657</v>
      </c>
      <c r="N1338" t="s">
        <v>111</v>
      </c>
      <c r="O1338" t="s">
        <v>658</v>
      </c>
      <c r="P1338" t="s">
        <v>659</v>
      </c>
      <c r="Q1338" t="s">
        <v>1560</v>
      </c>
      <c r="R1338" s="1">
        <v>46221</v>
      </c>
      <c r="S1338" t="s">
        <v>661</v>
      </c>
      <c r="T1338" t="s">
        <v>662</v>
      </c>
      <c r="U1338" t="s">
        <v>663</v>
      </c>
      <c r="V1338" t="s">
        <v>66</v>
      </c>
      <c r="W1338" t="s">
        <v>66</v>
      </c>
      <c r="X1338">
        <v>2572614</v>
      </c>
      <c r="Y1338">
        <v>282987.53999999998</v>
      </c>
      <c r="Z1338">
        <v>98010</v>
      </c>
      <c r="AA1338">
        <v>10781.1</v>
      </c>
      <c r="AB1338">
        <v>2855601.54</v>
      </c>
      <c r="AC1338">
        <v>6</v>
      </c>
      <c r="AD1338" t="s">
        <v>82</v>
      </c>
      <c r="AE1338">
        <v>6</v>
      </c>
      <c r="AF1338" t="s">
        <v>205</v>
      </c>
      <c r="AG1338">
        <f>IFERROR(VLOOKUP(AF1338,[1]STOK!J:O,6,0),"")</f>
        <v>24</v>
      </c>
      <c r="AH1338" s="2">
        <f t="shared" si="40"/>
        <v>0.25</v>
      </c>
      <c r="AI1338" t="s">
        <v>205</v>
      </c>
      <c r="AJ1338" t="s">
        <v>206</v>
      </c>
      <c r="AK1338" t="s">
        <v>207</v>
      </c>
      <c r="AL1338" t="s">
        <v>86</v>
      </c>
      <c r="AM1338">
        <v>18315</v>
      </c>
      <c r="AN1338">
        <f t="shared" si="41"/>
        <v>18131.850000000002</v>
      </c>
      <c r="AO1338" t="s">
        <v>66</v>
      </c>
      <c r="AP1338">
        <v>1</v>
      </c>
      <c r="AQ1338" t="s">
        <v>66</v>
      </c>
      <c r="AR1338">
        <v>0</v>
      </c>
      <c r="AS1338" t="s">
        <v>66</v>
      </c>
      <c r="AT1338">
        <v>0</v>
      </c>
      <c r="AU1338" t="s">
        <v>66</v>
      </c>
      <c r="AV1338">
        <v>0</v>
      </c>
      <c r="AW1338" t="s">
        <v>66</v>
      </c>
      <c r="AX1338">
        <v>0</v>
      </c>
      <c r="AY1338" t="s">
        <v>66</v>
      </c>
      <c r="AZ1338">
        <v>0</v>
      </c>
      <c r="BA1338" t="s">
        <v>66</v>
      </c>
      <c r="BB1338">
        <v>0</v>
      </c>
      <c r="BC1338">
        <v>0</v>
      </c>
      <c r="BD1338">
        <v>108791.1</v>
      </c>
      <c r="BE1338">
        <v>14876.63</v>
      </c>
      <c r="BF1338">
        <v>0</v>
      </c>
      <c r="BG1338" t="s">
        <v>87</v>
      </c>
      <c r="BH1338" t="s">
        <v>66</v>
      </c>
      <c r="BI1338">
        <v>0</v>
      </c>
      <c r="BJ1338" t="s">
        <v>66</v>
      </c>
      <c r="BK1338" t="s">
        <v>88</v>
      </c>
      <c r="BL1338" t="s">
        <v>66</v>
      </c>
      <c r="BM1338" t="s">
        <v>159</v>
      </c>
    </row>
    <row r="1339" spans="1:65" x14ac:dyDescent="0.25">
      <c r="A1339">
        <v>1337</v>
      </c>
      <c r="B1339" t="s">
        <v>1558</v>
      </c>
      <c r="C1339" t="s">
        <v>68</v>
      </c>
      <c r="D1339" s="1">
        <v>46219</v>
      </c>
      <c r="E1339" t="s">
        <v>1559</v>
      </c>
      <c r="F1339" t="s">
        <v>68</v>
      </c>
      <c r="G1339" t="s">
        <v>295</v>
      </c>
      <c r="H1339" t="s">
        <v>296</v>
      </c>
      <c r="I1339" t="s">
        <v>71</v>
      </c>
      <c r="J1339" t="s">
        <v>72</v>
      </c>
      <c r="K1339" t="s">
        <v>73</v>
      </c>
      <c r="L1339" t="s">
        <v>74</v>
      </c>
      <c r="M1339" t="s">
        <v>657</v>
      </c>
      <c r="N1339" t="s">
        <v>111</v>
      </c>
      <c r="O1339" t="s">
        <v>658</v>
      </c>
      <c r="P1339" t="s">
        <v>659</v>
      </c>
      <c r="Q1339" t="s">
        <v>1560</v>
      </c>
      <c r="R1339" s="1">
        <v>46221</v>
      </c>
      <c r="S1339" t="s">
        <v>661</v>
      </c>
      <c r="T1339" t="s">
        <v>662</v>
      </c>
      <c r="U1339" t="s">
        <v>663</v>
      </c>
      <c r="V1339" t="s">
        <v>66</v>
      </c>
      <c r="W1339" t="s">
        <v>66</v>
      </c>
      <c r="X1339">
        <v>2572614</v>
      </c>
      <c r="Y1339">
        <v>282987.53999999998</v>
      </c>
      <c r="Z1339">
        <v>115236</v>
      </c>
      <c r="AA1339">
        <v>12675.96</v>
      </c>
      <c r="AB1339">
        <v>2855601.54</v>
      </c>
      <c r="AC1339">
        <v>6</v>
      </c>
      <c r="AD1339" t="s">
        <v>82</v>
      </c>
      <c r="AE1339">
        <v>6</v>
      </c>
      <c r="AF1339" t="s">
        <v>470</v>
      </c>
      <c r="AG1339">
        <f>IFERROR(VLOOKUP(AF1339,[1]STOK!J:O,6,0),"")</f>
        <v>24</v>
      </c>
      <c r="AH1339" s="2">
        <f t="shared" si="40"/>
        <v>0.25</v>
      </c>
      <c r="AI1339" t="s">
        <v>470</v>
      </c>
      <c r="AJ1339" t="s">
        <v>471</v>
      </c>
      <c r="AK1339" t="s">
        <v>472</v>
      </c>
      <c r="AL1339" t="s">
        <v>86</v>
      </c>
      <c r="AM1339">
        <v>21534</v>
      </c>
      <c r="AN1339">
        <f t="shared" si="41"/>
        <v>21318.66</v>
      </c>
      <c r="AO1339" t="s">
        <v>66</v>
      </c>
      <c r="AP1339">
        <v>1</v>
      </c>
      <c r="AQ1339" t="s">
        <v>66</v>
      </c>
      <c r="AR1339">
        <v>0</v>
      </c>
      <c r="AS1339" t="s">
        <v>66</v>
      </c>
      <c r="AT1339">
        <v>0</v>
      </c>
      <c r="AU1339" t="s">
        <v>66</v>
      </c>
      <c r="AV1339">
        <v>0</v>
      </c>
      <c r="AW1339" t="s">
        <v>66</v>
      </c>
      <c r="AX1339">
        <v>0</v>
      </c>
      <c r="AY1339" t="s">
        <v>66</v>
      </c>
      <c r="AZ1339">
        <v>0</v>
      </c>
      <c r="BA1339" t="s">
        <v>66</v>
      </c>
      <c r="BB1339">
        <v>0</v>
      </c>
      <c r="BC1339">
        <v>0</v>
      </c>
      <c r="BD1339">
        <v>127911.96</v>
      </c>
      <c r="BE1339">
        <v>17046.02</v>
      </c>
      <c r="BF1339">
        <v>0</v>
      </c>
      <c r="BG1339" t="s">
        <v>87</v>
      </c>
      <c r="BH1339" t="s">
        <v>66</v>
      </c>
      <c r="BI1339">
        <v>0</v>
      </c>
      <c r="BJ1339" t="s">
        <v>66</v>
      </c>
      <c r="BK1339" t="s">
        <v>88</v>
      </c>
      <c r="BL1339" t="s">
        <v>66</v>
      </c>
      <c r="BM1339" t="s">
        <v>159</v>
      </c>
    </row>
    <row r="1340" spans="1:65" x14ac:dyDescent="0.25">
      <c r="A1340">
        <v>1338</v>
      </c>
      <c r="B1340" t="s">
        <v>1558</v>
      </c>
      <c r="C1340" t="s">
        <v>68</v>
      </c>
      <c r="D1340" s="1">
        <v>46219</v>
      </c>
      <c r="E1340" t="s">
        <v>1559</v>
      </c>
      <c r="F1340" t="s">
        <v>68</v>
      </c>
      <c r="G1340" t="s">
        <v>295</v>
      </c>
      <c r="H1340" t="s">
        <v>296</v>
      </c>
      <c r="I1340" t="s">
        <v>71</v>
      </c>
      <c r="J1340" t="s">
        <v>72</v>
      </c>
      <c r="K1340" t="s">
        <v>73</v>
      </c>
      <c r="L1340" t="s">
        <v>74</v>
      </c>
      <c r="M1340" t="s">
        <v>657</v>
      </c>
      <c r="N1340" t="s">
        <v>111</v>
      </c>
      <c r="O1340" t="s">
        <v>658</v>
      </c>
      <c r="P1340" t="s">
        <v>659</v>
      </c>
      <c r="Q1340" t="s">
        <v>1560</v>
      </c>
      <c r="R1340" s="1">
        <v>46221</v>
      </c>
      <c r="S1340" t="s">
        <v>661</v>
      </c>
      <c r="T1340" t="s">
        <v>662</v>
      </c>
      <c r="U1340" t="s">
        <v>663</v>
      </c>
      <c r="V1340" t="s">
        <v>66</v>
      </c>
      <c r="W1340" t="s">
        <v>66</v>
      </c>
      <c r="X1340">
        <v>2572614</v>
      </c>
      <c r="Y1340">
        <v>282987.53999999998</v>
      </c>
      <c r="Z1340">
        <v>474012</v>
      </c>
      <c r="AA1340">
        <v>52141.32</v>
      </c>
      <c r="AB1340">
        <v>2855601.54</v>
      </c>
      <c r="AC1340">
        <v>3</v>
      </c>
      <c r="AD1340" t="s">
        <v>134</v>
      </c>
      <c r="AE1340">
        <v>36</v>
      </c>
      <c r="AF1340" t="s">
        <v>135</v>
      </c>
      <c r="AG1340">
        <f>IFERROR(VLOOKUP(AF1340,[1]STOK!J:O,6,0),"")</f>
        <v>12</v>
      </c>
      <c r="AH1340" s="2">
        <f t="shared" si="40"/>
        <v>3</v>
      </c>
      <c r="AI1340" t="s">
        <v>135</v>
      </c>
      <c r="AJ1340" t="s">
        <v>136</v>
      </c>
      <c r="AK1340" t="s">
        <v>137</v>
      </c>
      <c r="AL1340" t="s">
        <v>86</v>
      </c>
      <c r="AM1340">
        <v>177156</v>
      </c>
      <c r="AN1340">
        <f t="shared" si="41"/>
        <v>175384.43999999997</v>
      </c>
      <c r="AO1340" t="s">
        <v>66</v>
      </c>
      <c r="AP1340">
        <v>1</v>
      </c>
      <c r="AQ1340" t="s">
        <v>66</v>
      </c>
      <c r="AR1340">
        <v>0</v>
      </c>
      <c r="AS1340" t="s">
        <v>66</v>
      </c>
      <c r="AT1340">
        <v>0</v>
      </c>
      <c r="AU1340" t="s">
        <v>66</v>
      </c>
      <c r="AV1340">
        <v>0</v>
      </c>
      <c r="AW1340" t="s">
        <v>66</v>
      </c>
      <c r="AX1340">
        <v>0</v>
      </c>
      <c r="AY1340" t="s">
        <v>66</v>
      </c>
      <c r="AZ1340">
        <v>0</v>
      </c>
      <c r="BA1340" t="s">
        <v>66</v>
      </c>
      <c r="BB1340">
        <v>0</v>
      </c>
      <c r="BC1340">
        <v>0</v>
      </c>
      <c r="BD1340">
        <v>526153.31999999995</v>
      </c>
      <c r="BE1340">
        <v>12032.04</v>
      </c>
      <c r="BF1340">
        <v>0</v>
      </c>
      <c r="BG1340" t="s">
        <v>87</v>
      </c>
      <c r="BH1340" t="s">
        <v>66</v>
      </c>
      <c r="BI1340">
        <v>0</v>
      </c>
      <c r="BJ1340" t="s">
        <v>66</v>
      </c>
      <c r="BK1340" t="s">
        <v>88</v>
      </c>
      <c r="BL1340" t="s">
        <v>66</v>
      </c>
      <c r="BM1340" t="s">
        <v>159</v>
      </c>
    </row>
    <row r="1341" spans="1:65" x14ac:dyDescent="0.25">
      <c r="A1341">
        <v>1339</v>
      </c>
      <c r="B1341" t="s">
        <v>1558</v>
      </c>
      <c r="C1341" t="s">
        <v>68</v>
      </c>
      <c r="D1341" s="1">
        <v>46219</v>
      </c>
      <c r="E1341" t="s">
        <v>1559</v>
      </c>
      <c r="F1341" t="s">
        <v>68</v>
      </c>
      <c r="G1341" t="s">
        <v>295</v>
      </c>
      <c r="H1341" t="s">
        <v>296</v>
      </c>
      <c r="I1341" t="s">
        <v>71</v>
      </c>
      <c r="J1341" t="s">
        <v>72</v>
      </c>
      <c r="K1341" t="s">
        <v>73</v>
      </c>
      <c r="L1341" t="s">
        <v>74</v>
      </c>
      <c r="M1341" t="s">
        <v>657</v>
      </c>
      <c r="N1341" t="s">
        <v>111</v>
      </c>
      <c r="O1341" t="s">
        <v>658</v>
      </c>
      <c r="P1341" t="s">
        <v>659</v>
      </c>
      <c r="Q1341" t="s">
        <v>1560</v>
      </c>
      <c r="R1341" s="1">
        <v>46221</v>
      </c>
      <c r="S1341" t="s">
        <v>661</v>
      </c>
      <c r="T1341" t="s">
        <v>662</v>
      </c>
      <c r="U1341" t="s">
        <v>663</v>
      </c>
      <c r="V1341" t="s">
        <v>66</v>
      </c>
      <c r="W1341" t="s">
        <v>66</v>
      </c>
      <c r="X1341">
        <v>2572614</v>
      </c>
      <c r="Y1341">
        <v>282987.53999999998</v>
      </c>
      <c r="Z1341">
        <v>158004</v>
      </c>
      <c r="AA1341">
        <v>17380.439999999999</v>
      </c>
      <c r="AB1341">
        <v>2855601.54</v>
      </c>
      <c r="AC1341">
        <v>1</v>
      </c>
      <c r="AD1341" t="s">
        <v>134</v>
      </c>
      <c r="AE1341">
        <v>12</v>
      </c>
      <c r="AF1341" t="s">
        <v>210</v>
      </c>
      <c r="AG1341">
        <f>IFERROR(VLOOKUP(AF1341,[1]STOK!J:O,6,0),"")</f>
        <v>12</v>
      </c>
      <c r="AH1341" s="2">
        <f t="shared" si="40"/>
        <v>1</v>
      </c>
      <c r="AI1341" t="s">
        <v>210</v>
      </c>
      <c r="AJ1341" t="s">
        <v>211</v>
      </c>
      <c r="AK1341" t="s">
        <v>212</v>
      </c>
      <c r="AL1341" t="s">
        <v>86</v>
      </c>
      <c r="AM1341">
        <v>177156</v>
      </c>
      <c r="AN1341">
        <f t="shared" si="41"/>
        <v>175384.44</v>
      </c>
      <c r="AO1341" t="s">
        <v>66</v>
      </c>
      <c r="AP1341">
        <v>1</v>
      </c>
      <c r="AQ1341" t="s">
        <v>66</v>
      </c>
      <c r="AR1341">
        <v>0</v>
      </c>
      <c r="AS1341" t="s">
        <v>66</v>
      </c>
      <c r="AT1341">
        <v>0</v>
      </c>
      <c r="AU1341" t="s">
        <v>66</v>
      </c>
      <c r="AV1341">
        <v>0</v>
      </c>
      <c r="AW1341" t="s">
        <v>66</v>
      </c>
      <c r="AX1341">
        <v>0</v>
      </c>
      <c r="AY1341" t="s">
        <v>66</v>
      </c>
      <c r="AZ1341">
        <v>0</v>
      </c>
      <c r="BA1341" t="s">
        <v>66</v>
      </c>
      <c r="BB1341">
        <v>0</v>
      </c>
      <c r="BC1341">
        <v>0</v>
      </c>
      <c r="BD1341">
        <v>175384.44</v>
      </c>
      <c r="BE1341">
        <v>11818.77</v>
      </c>
      <c r="BF1341">
        <v>0</v>
      </c>
      <c r="BG1341" t="s">
        <v>87</v>
      </c>
      <c r="BH1341" t="s">
        <v>66</v>
      </c>
      <c r="BI1341">
        <v>0</v>
      </c>
      <c r="BJ1341" t="s">
        <v>66</v>
      </c>
      <c r="BK1341" t="s">
        <v>88</v>
      </c>
      <c r="BL1341" t="s">
        <v>66</v>
      </c>
      <c r="BM1341" t="s">
        <v>159</v>
      </c>
    </row>
    <row r="1342" spans="1:65" x14ac:dyDescent="0.25">
      <c r="A1342">
        <v>1340</v>
      </c>
      <c r="B1342" t="s">
        <v>1558</v>
      </c>
      <c r="C1342" t="s">
        <v>68</v>
      </c>
      <c r="D1342" s="1">
        <v>46219</v>
      </c>
      <c r="E1342" t="s">
        <v>1559</v>
      </c>
      <c r="F1342" t="s">
        <v>68</v>
      </c>
      <c r="G1342" t="s">
        <v>295</v>
      </c>
      <c r="H1342" t="s">
        <v>296</v>
      </c>
      <c r="I1342" t="s">
        <v>71</v>
      </c>
      <c r="J1342" t="s">
        <v>72</v>
      </c>
      <c r="K1342" t="s">
        <v>73</v>
      </c>
      <c r="L1342" t="s">
        <v>74</v>
      </c>
      <c r="M1342" t="s">
        <v>657</v>
      </c>
      <c r="N1342" t="s">
        <v>111</v>
      </c>
      <c r="O1342" t="s">
        <v>658</v>
      </c>
      <c r="P1342" t="s">
        <v>659</v>
      </c>
      <c r="Q1342" t="s">
        <v>1560</v>
      </c>
      <c r="R1342" s="1">
        <v>46221</v>
      </c>
      <c r="S1342" t="s">
        <v>661</v>
      </c>
      <c r="T1342" t="s">
        <v>662</v>
      </c>
      <c r="U1342" t="s">
        <v>663</v>
      </c>
      <c r="V1342" t="s">
        <v>66</v>
      </c>
      <c r="W1342" t="s">
        <v>66</v>
      </c>
      <c r="X1342">
        <v>2572614</v>
      </c>
      <c r="Y1342">
        <v>282987.53999999998</v>
      </c>
      <c r="Z1342">
        <v>205524</v>
      </c>
      <c r="AA1342">
        <v>22607.64</v>
      </c>
      <c r="AB1342">
        <v>2855601.54</v>
      </c>
      <c r="AC1342">
        <v>1</v>
      </c>
      <c r="AD1342" t="s">
        <v>134</v>
      </c>
      <c r="AE1342">
        <v>12</v>
      </c>
      <c r="AF1342" t="s">
        <v>359</v>
      </c>
      <c r="AG1342">
        <f>IFERROR(VLOOKUP(AF1342,[1]STOK!J:O,6,0),"")</f>
        <v>12</v>
      </c>
      <c r="AH1342" s="2">
        <f t="shared" si="40"/>
        <v>1</v>
      </c>
      <c r="AI1342" t="s">
        <v>359</v>
      </c>
      <c r="AJ1342" t="s">
        <v>360</v>
      </c>
      <c r="AK1342" t="s">
        <v>361</v>
      </c>
      <c r="AL1342" t="s">
        <v>86</v>
      </c>
      <c r="AM1342">
        <v>230436</v>
      </c>
      <c r="AN1342">
        <f t="shared" si="41"/>
        <v>228131.64</v>
      </c>
      <c r="AO1342" t="s">
        <v>66</v>
      </c>
      <c r="AP1342">
        <v>1</v>
      </c>
      <c r="AQ1342" t="s">
        <v>66</v>
      </c>
      <c r="AR1342">
        <v>0</v>
      </c>
      <c r="AS1342" t="s">
        <v>66</v>
      </c>
      <c r="AT1342">
        <v>0</v>
      </c>
      <c r="AU1342" t="s">
        <v>66</v>
      </c>
      <c r="AV1342">
        <v>0</v>
      </c>
      <c r="AW1342" t="s">
        <v>66</v>
      </c>
      <c r="AX1342">
        <v>0</v>
      </c>
      <c r="AY1342" t="s">
        <v>66</v>
      </c>
      <c r="AZ1342">
        <v>0</v>
      </c>
      <c r="BA1342" t="s">
        <v>66</v>
      </c>
      <c r="BB1342">
        <v>0</v>
      </c>
      <c r="BC1342">
        <v>0</v>
      </c>
      <c r="BD1342">
        <v>228131.64</v>
      </c>
      <c r="BE1342">
        <v>15490.24</v>
      </c>
      <c r="BF1342">
        <v>0</v>
      </c>
      <c r="BG1342" t="s">
        <v>87</v>
      </c>
      <c r="BH1342" t="s">
        <v>66</v>
      </c>
      <c r="BI1342">
        <v>0</v>
      </c>
      <c r="BJ1342" t="s">
        <v>66</v>
      </c>
      <c r="BK1342" t="s">
        <v>88</v>
      </c>
      <c r="BL1342" t="s">
        <v>66</v>
      </c>
      <c r="BM1342" t="s">
        <v>159</v>
      </c>
    </row>
    <row r="1343" spans="1:65" x14ac:dyDescent="0.25">
      <c r="A1343">
        <v>1341</v>
      </c>
      <c r="B1343" t="s">
        <v>1558</v>
      </c>
      <c r="C1343" t="s">
        <v>68</v>
      </c>
      <c r="D1343" s="1">
        <v>46219</v>
      </c>
      <c r="E1343" t="s">
        <v>1559</v>
      </c>
      <c r="F1343" t="s">
        <v>68</v>
      </c>
      <c r="G1343" t="s">
        <v>295</v>
      </c>
      <c r="H1343" t="s">
        <v>296</v>
      </c>
      <c r="I1343" t="s">
        <v>71</v>
      </c>
      <c r="J1343" t="s">
        <v>72</v>
      </c>
      <c r="K1343" t="s">
        <v>73</v>
      </c>
      <c r="L1343" t="s">
        <v>74</v>
      </c>
      <c r="M1343" t="s">
        <v>657</v>
      </c>
      <c r="N1343" t="s">
        <v>111</v>
      </c>
      <c r="O1343" t="s">
        <v>658</v>
      </c>
      <c r="P1343" t="s">
        <v>659</v>
      </c>
      <c r="Q1343" t="s">
        <v>1560</v>
      </c>
      <c r="R1343" s="1">
        <v>46221</v>
      </c>
      <c r="S1343" t="s">
        <v>661</v>
      </c>
      <c r="T1343" t="s">
        <v>662</v>
      </c>
      <c r="U1343" t="s">
        <v>663</v>
      </c>
      <c r="V1343" t="s">
        <v>66</v>
      </c>
      <c r="W1343" t="s">
        <v>66</v>
      </c>
      <c r="X1343">
        <v>2572614</v>
      </c>
      <c r="Y1343">
        <v>282987.53999999998</v>
      </c>
      <c r="Z1343">
        <v>712800</v>
      </c>
      <c r="AA1343">
        <v>78408</v>
      </c>
      <c r="AB1343">
        <v>2855601.54</v>
      </c>
      <c r="AC1343">
        <v>3</v>
      </c>
      <c r="AD1343" t="s">
        <v>134</v>
      </c>
      <c r="AE1343">
        <v>36</v>
      </c>
      <c r="AF1343" t="s">
        <v>290</v>
      </c>
      <c r="AG1343">
        <f>IFERROR(VLOOKUP(AF1343,[1]STOK!J:O,6,0),"")</f>
        <v>12</v>
      </c>
      <c r="AH1343" s="2">
        <f t="shared" si="40"/>
        <v>3</v>
      </c>
      <c r="AI1343" t="s">
        <v>290</v>
      </c>
      <c r="AJ1343" t="s">
        <v>291</v>
      </c>
      <c r="AK1343" t="s">
        <v>292</v>
      </c>
      <c r="AL1343" t="s">
        <v>86</v>
      </c>
      <c r="AM1343">
        <v>266400</v>
      </c>
      <c r="AN1343">
        <f t="shared" si="41"/>
        <v>263736</v>
      </c>
      <c r="AO1343" t="s">
        <v>66</v>
      </c>
      <c r="AP1343">
        <v>1</v>
      </c>
      <c r="AQ1343" t="s">
        <v>66</v>
      </c>
      <c r="AR1343">
        <v>0</v>
      </c>
      <c r="AS1343" t="s">
        <v>66</v>
      </c>
      <c r="AT1343">
        <v>0</v>
      </c>
      <c r="AU1343" t="s">
        <v>66</v>
      </c>
      <c r="AV1343">
        <v>0</v>
      </c>
      <c r="AW1343" t="s">
        <v>66</v>
      </c>
      <c r="AX1343">
        <v>0</v>
      </c>
      <c r="AY1343" t="s">
        <v>66</v>
      </c>
      <c r="AZ1343">
        <v>0</v>
      </c>
      <c r="BA1343" t="s">
        <v>66</v>
      </c>
      <c r="BB1343">
        <v>0</v>
      </c>
      <c r="BC1343">
        <v>0</v>
      </c>
      <c r="BD1343">
        <v>791208</v>
      </c>
      <c r="BE1343">
        <v>18155.62</v>
      </c>
      <c r="BF1343">
        <v>0</v>
      </c>
      <c r="BG1343" t="s">
        <v>87</v>
      </c>
      <c r="BH1343" t="s">
        <v>66</v>
      </c>
      <c r="BI1343">
        <v>0</v>
      </c>
      <c r="BJ1343" t="s">
        <v>66</v>
      </c>
      <c r="BK1343" t="s">
        <v>88</v>
      </c>
      <c r="BL1343" t="s">
        <v>66</v>
      </c>
      <c r="BM1343" t="s">
        <v>159</v>
      </c>
    </row>
    <row r="1344" spans="1:65" x14ac:dyDescent="0.25">
      <c r="A1344">
        <v>1342</v>
      </c>
      <c r="B1344" t="s">
        <v>1558</v>
      </c>
      <c r="C1344" t="s">
        <v>68</v>
      </c>
      <c r="D1344" s="1">
        <v>46219</v>
      </c>
      <c r="E1344" t="s">
        <v>1559</v>
      </c>
      <c r="F1344" t="s">
        <v>68</v>
      </c>
      <c r="G1344" t="s">
        <v>295</v>
      </c>
      <c r="H1344" t="s">
        <v>296</v>
      </c>
      <c r="I1344" t="s">
        <v>71</v>
      </c>
      <c r="J1344" t="s">
        <v>72</v>
      </c>
      <c r="K1344" t="s">
        <v>73</v>
      </c>
      <c r="L1344" t="s">
        <v>74</v>
      </c>
      <c r="M1344" t="s">
        <v>657</v>
      </c>
      <c r="N1344" t="s">
        <v>111</v>
      </c>
      <c r="O1344" t="s">
        <v>658</v>
      </c>
      <c r="P1344" t="s">
        <v>659</v>
      </c>
      <c r="Q1344" t="s">
        <v>1560</v>
      </c>
      <c r="R1344" s="1">
        <v>46221</v>
      </c>
      <c r="S1344" t="s">
        <v>661</v>
      </c>
      <c r="T1344" t="s">
        <v>662</v>
      </c>
      <c r="U1344" t="s">
        <v>663</v>
      </c>
      <c r="V1344" t="s">
        <v>66</v>
      </c>
      <c r="W1344" t="s">
        <v>66</v>
      </c>
      <c r="X1344">
        <v>2572614</v>
      </c>
      <c r="Y1344">
        <v>282987.53999999998</v>
      </c>
      <c r="Z1344">
        <v>342144</v>
      </c>
      <c r="AA1344">
        <v>37635.839999999997</v>
      </c>
      <c r="AB1344">
        <v>2855601.54</v>
      </c>
      <c r="AC1344">
        <v>2</v>
      </c>
      <c r="AD1344" t="s">
        <v>134</v>
      </c>
      <c r="AE1344">
        <v>24</v>
      </c>
      <c r="AF1344" t="s">
        <v>213</v>
      </c>
      <c r="AG1344">
        <f>IFERROR(VLOOKUP(AF1344,[1]STOK!J:O,6,0),"")</f>
        <v>12</v>
      </c>
      <c r="AH1344" s="2">
        <f t="shared" si="40"/>
        <v>2</v>
      </c>
      <c r="AI1344" t="s">
        <v>213</v>
      </c>
      <c r="AJ1344" t="s">
        <v>214</v>
      </c>
      <c r="AK1344" t="s">
        <v>215</v>
      </c>
      <c r="AL1344" t="s">
        <v>86</v>
      </c>
      <c r="AM1344">
        <v>191808</v>
      </c>
      <c r="AN1344">
        <f t="shared" si="41"/>
        <v>189889.92000000001</v>
      </c>
      <c r="AO1344" t="s">
        <v>66</v>
      </c>
      <c r="AP1344">
        <v>1</v>
      </c>
      <c r="AQ1344" t="s">
        <v>66</v>
      </c>
      <c r="AR1344">
        <v>0</v>
      </c>
      <c r="AS1344" t="s">
        <v>66</v>
      </c>
      <c r="AT1344">
        <v>0</v>
      </c>
      <c r="AU1344" t="s">
        <v>66</v>
      </c>
      <c r="AV1344">
        <v>0</v>
      </c>
      <c r="AW1344" t="s">
        <v>66</v>
      </c>
      <c r="AX1344">
        <v>0</v>
      </c>
      <c r="AY1344" t="s">
        <v>66</v>
      </c>
      <c r="AZ1344">
        <v>0</v>
      </c>
      <c r="BA1344" t="s">
        <v>66</v>
      </c>
      <c r="BB1344">
        <v>0</v>
      </c>
      <c r="BC1344">
        <v>0</v>
      </c>
      <c r="BD1344">
        <v>379779.84000000003</v>
      </c>
      <c r="BE1344">
        <v>12609.82</v>
      </c>
      <c r="BF1344">
        <v>0</v>
      </c>
      <c r="BG1344" t="s">
        <v>87</v>
      </c>
      <c r="BH1344" t="s">
        <v>66</v>
      </c>
      <c r="BI1344">
        <v>0</v>
      </c>
      <c r="BJ1344" t="s">
        <v>66</v>
      </c>
      <c r="BK1344" t="s">
        <v>88</v>
      </c>
      <c r="BL1344" t="s">
        <v>66</v>
      </c>
      <c r="BM1344" t="s">
        <v>159</v>
      </c>
    </row>
    <row r="1345" spans="1:65" x14ac:dyDescent="0.25">
      <c r="A1345">
        <v>1343</v>
      </c>
      <c r="B1345" t="s">
        <v>1561</v>
      </c>
      <c r="C1345" t="s">
        <v>68</v>
      </c>
      <c r="D1345" s="1">
        <v>46219</v>
      </c>
      <c r="E1345" t="s">
        <v>1562</v>
      </c>
      <c r="F1345" t="s">
        <v>68</v>
      </c>
      <c r="G1345" t="s">
        <v>295</v>
      </c>
      <c r="H1345" t="s">
        <v>296</v>
      </c>
      <c r="I1345" t="s">
        <v>71</v>
      </c>
      <c r="J1345" t="s">
        <v>72</v>
      </c>
      <c r="K1345" t="s">
        <v>73</v>
      </c>
      <c r="L1345" t="s">
        <v>74</v>
      </c>
      <c r="M1345" t="s">
        <v>657</v>
      </c>
      <c r="N1345" t="s">
        <v>111</v>
      </c>
      <c r="O1345" t="s">
        <v>658</v>
      </c>
      <c r="P1345" t="s">
        <v>659</v>
      </c>
      <c r="Q1345" t="s">
        <v>1563</v>
      </c>
      <c r="R1345" s="1">
        <v>46220</v>
      </c>
      <c r="S1345" t="s">
        <v>661</v>
      </c>
      <c r="T1345" t="s">
        <v>662</v>
      </c>
      <c r="U1345" t="s">
        <v>663</v>
      </c>
      <c r="V1345" t="s">
        <v>66</v>
      </c>
      <c r="W1345" t="s">
        <v>66</v>
      </c>
      <c r="X1345">
        <v>2250600</v>
      </c>
      <c r="Y1345">
        <v>247566</v>
      </c>
      <c r="Z1345">
        <v>79800</v>
      </c>
      <c r="AA1345">
        <v>8778</v>
      </c>
      <c r="AB1345">
        <v>2498166</v>
      </c>
      <c r="AC1345">
        <v>6</v>
      </c>
      <c r="AD1345" t="s">
        <v>82</v>
      </c>
      <c r="AE1345">
        <v>6</v>
      </c>
      <c r="AF1345" t="s">
        <v>210</v>
      </c>
      <c r="AG1345">
        <f>IFERROR(VLOOKUP(AF1345,[1]STOK!J:O,6,0),"")</f>
        <v>12</v>
      </c>
      <c r="AH1345" s="2">
        <f t="shared" si="40"/>
        <v>0.5</v>
      </c>
      <c r="AI1345" t="s">
        <v>210</v>
      </c>
      <c r="AJ1345" t="s">
        <v>211</v>
      </c>
      <c r="AK1345" t="s">
        <v>212</v>
      </c>
      <c r="AL1345" t="s">
        <v>86</v>
      </c>
      <c r="AM1345">
        <v>14763</v>
      </c>
      <c r="AN1345">
        <f t="shared" si="41"/>
        <v>14763</v>
      </c>
      <c r="AO1345" t="s">
        <v>66</v>
      </c>
      <c r="AP1345">
        <v>0</v>
      </c>
      <c r="AQ1345" t="s">
        <v>66</v>
      </c>
      <c r="AR1345">
        <v>0</v>
      </c>
      <c r="AS1345" t="s">
        <v>66</v>
      </c>
      <c r="AT1345">
        <v>0</v>
      </c>
      <c r="AU1345" t="s">
        <v>66</v>
      </c>
      <c r="AV1345">
        <v>0</v>
      </c>
      <c r="AW1345" t="s">
        <v>66</v>
      </c>
      <c r="AX1345">
        <v>0</v>
      </c>
      <c r="AY1345" t="s">
        <v>66</v>
      </c>
      <c r="AZ1345">
        <v>0</v>
      </c>
      <c r="BA1345" t="s">
        <v>66</v>
      </c>
      <c r="BB1345">
        <v>0</v>
      </c>
      <c r="BC1345">
        <v>0</v>
      </c>
      <c r="BD1345">
        <v>88578</v>
      </c>
      <c r="BE1345">
        <v>11818.77</v>
      </c>
      <c r="BF1345">
        <v>0</v>
      </c>
      <c r="BG1345" t="s">
        <v>87</v>
      </c>
      <c r="BH1345" t="s">
        <v>66</v>
      </c>
      <c r="BI1345">
        <v>0</v>
      </c>
      <c r="BJ1345" t="s">
        <v>66</v>
      </c>
      <c r="BK1345" t="s">
        <v>88</v>
      </c>
      <c r="BL1345" t="s">
        <v>66</v>
      </c>
      <c r="BM1345" t="s">
        <v>159</v>
      </c>
    </row>
    <row r="1346" spans="1:65" x14ac:dyDescent="0.25">
      <c r="A1346">
        <v>1344</v>
      </c>
      <c r="B1346" t="s">
        <v>1561</v>
      </c>
      <c r="C1346" t="s">
        <v>68</v>
      </c>
      <c r="D1346" s="1">
        <v>46219</v>
      </c>
      <c r="E1346" t="s">
        <v>1562</v>
      </c>
      <c r="F1346" t="s">
        <v>68</v>
      </c>
      <c r="G1346" t="s">
        <v>295</v>
      </c>
      <c r="H1346" t="s">
        <v>296</v>
      </c>
      <c r="I1346" t="s">
        <v>71</v>
      </c>
      <c r="J1346" t="s">
        <v>72</v>
      </c>
      <c r="K1346" t="s">
        <v>73</v>
      </c>
      <c r="L1346" t="s">
        <v>74</v>
      </c>
      <c r="M1346" t="s">
        <v>657</v>
      </c>
      <c r="N1346" t="s">
        <v>111</v>
      </c>
      <c r="O1346" t="s">
        <v>658</v>
      </c>
      <c r="P1346" t="s">
        <v>659</v>
      </c>
      <c r="Q1346" t="s">
        <v>1563</v>
      </c>
      <c r="R1346" s="1">
        <v>46220</v>
      </c>
      <c r="S1346" t="s">
        <v>661</v>
      </c>
      <c r="T1346" t="s">
        <v>662</v>
      </c>
      <c r="U1346" t="s">
        <v>663</v>
      </c>
      <c r="V1346" t="s">
        <v>66</v>
      </c>
      <c r="W1346" t="s">
        <v>66</v>
      </c>
      <c r="X1346">
        <v>2250600</v>
      </c>
      <c r="Y1346">
        <v>247566</v>
      </c>
      <c r="Z1346">
        <v>480000</v>
      </c>
      <c r="AA1346">
        <v>52800</v>
      </c>
      <c r="AB1346">
        <v>2498166</v>
      </c>
      <c r="AC1346">
        <v>2</v>
      </c>
      <c r="AD1346" t="s">
        <v>134</v>
      </c>
      <c r="AE1346">
        <v>24</v>
      </c>
      <c r="AF1346" t="s">
        <v>290</v>
      </c>
      <c r="AG1346">
        <f>IFERROR(VLOOKUP(AF1346,[1]STOK!J:O,6,0),"")</f>
        <v>12</v>
      </c>
      <c r="AH1346" s="2">
        <f t="shared" si="40"/>
        <v>2</v>
      </c>
      <c r="AI1346" t="s">
        <v>290</v>
      </c>
      <c r="AJ1346" t="s">
        <v>291</v>
      </c>
      <c r="AK1346" t="s">
        <v>292</v>
      </c>
      <c r="AL1346" t="s">
        <v>86</v>
      </c>
      <c r="AM1346">
        <v>266400</v>
      </c>
      <c r="AN1346">
        <f t="shared" si="41"/>
        <v>266400</v>
      </c>
      <c r="AO1346" t="s">
        <v>66</v>
      </c>
      <c r="AP1346">
        <v>0</v>
      </c>
      <c r="AQ1346" t="s">
        <v>66</v>
      </c>
      <c r="AR1346">
        <v>0</v>
      </c>
      <c r="AS1346" t="s">
        <v>66</v>
      </c>
      <c r="AT1346">
        <v>0</v>
      </c>
      <c r="AU1346" t="s">
        <v>66</v>
      </c>
      <c r="AV1346">
        <v>0</v>
      </c>
      <c r="AW1346" t="s">
        <v>66</v>
      </c>
      <c r="AX1346">
        <v>0</v>
      </c>
      <c r="AY1346" t="s">
        <v>66</v>
      </c>
      <c r="AZ1346">
        <v>0</v>
      </c>
      <c r="BA1346" t="s">
        <v>66</v>
      </c>
      <c r="BB1346">
        <v>0</v>
      </c>
      <c r="BC1346">
        <v>0</v>
      </c>
      <c r="BD1346">
        <v>532800</v>
      </c>
      <c r="BE1346">
        <v>18155.62</v>
      </c>
      <c r="BF1346">
        <v>0</v>
      </c>
      <c r="BG1346" t="s">
        <v>87</v>
      </c>
      <c r="BH1346" t="s">
        <v>66</v>
      </c>
      <c r="BI1346">
        <v>0</v>
      </c>
      <c r="BJ1346" t="s">
        <v>66</v>
      </c>
      <c r="BK1346" t="s">
        <v>88</v>
      </c>
      <c r="BL1346" t="s">
        <v>66</v>
      </c>
      <c r="BM1346" t="s">
        <v>159</v>
      </c>
    </row>
    <row r="1347" spans="1:65" x14ac:dyDescent="0.25">
      <c r="A1347">
        <v>1345</v>
      </c>
      <c r="B1347" t="s">
        <v>1561</v>
      </c>
      <c r="C1347" t="s">
        <v>68</v>
      </c>
      <c r="D1347" s="1">
        <v>46219</v>
      </c>
      <c r="E1347" t="s">
        <v>1562</v>
      </c>
      <c r="F1347" t="s">
        <v>68</v>
      </c>
      <c r="G1347" t="s">
        <v>295</v>
      </c>
      <c r="H1347" t="s">
        <v>296</v>
      </c>
      <c r="I1347" t="s">
        <v>71</v>
      </c>
      <c r="J1347" t="s">
        <v>72</v>
      </c>
      <c r="K1347" t="s">
        <v>73</v>
      </c>
      <c r="L1347" t="s">
        <v>74</v>
      </c>
      <c r="M1347" t="s">
        <v>657</v>
      </c>
      <c r="N1347" t="s">
        <v>111</v>
      </c>
      <c r="O1347" t="s">
        <v>658</v>
      </c>
      <c r="P1347" t="s">
        <v>659</v>
      </c>
      <c r="Q1347" t="s">
        <v>1563</v>
      </c>
      <c r="R1347" s="1">
        <v>46220</v>
      </c>
      <c r="S1347" t="s">
        <v>661</v>
      </c>
      <c r="T1347" t="s">
        <v>662</v>
      </c>
      <c r="U1347" t="s">
        <v>663</v>
      </c>
      <c r="V1347" t="s">
        <v>66</v>
      </c>
      <c r="W1347" t="s">
        <v>66</v>
      </c>
      <c r="X1347">
        <v>2250600</v>
      </c>
      <c r="Y1347">
        <v>247566</v>
      </c>
      <c r="Z1347">
        <v>459600</v>
      </c>
      <c r="AA1347">
        <v>50556</v>
      </c>
      <c r="AB1347">
        <v>2498166</v>
      </c>
      <c r="AC1347">
        <v>2</v>
      </c>
      <c r="AD1347" t="s">
        <v>134</v>
      </c>
      <c r="AE1347">
        <v>12</v>
      </c>
      <c r="AF1347" t="s">
        <v>138</v>
      </c>
      <c r="AG1347">
        <f>IFERROR(VLOOKUP(AF1347,[1]STOK!J:O,6,0),"")</f>
        <v>6</v>
      </c>
      <c r="AH1347" s="2">
        <f t="shared" si="40"/>
        <v>2</v>
      </c>
      <c r="AI1347" t="s">
        <v>138</v>
      </c>
      <c r="AJ1347" t="s">
        <v>139</v>
      </c>
      <c r="AK1347" t="s">
        <v>140</v>
      </c>
      <c r="AL1347" t="s">
        <v>86</v>
      </c>
      <c r="AM1347">
        <v>255078</v>
      </c>
      <c r="AN1347">
        <f t="shared" si="41"/>
        <v>255078</v>
      </c>
      <c r="AO1347" t="s">
        <v>66</v>
      </c>
      <c r="AP1347">
        <v>0</v>
      </c>
      <c r="AQ1347" t="s">
        <v>66</v>
      </c>
      <c r="AR1347">
        <v>0</v>
      </c>
      <c r="AS1347" t="s">
        <v>66</v>
      </c>
      <c r="AT1347">
        <v>0</v>
      </c>
      <c r="AU1347" t="s">
        <v>66</v>
      </c>
      <c r="AV1347">
        <v>0</v>
      </c>
      <c r="AW1347" t="s">
        <v>66</v>
      </c>
      <c r="AX1347">
        <v>0</v>
      </c>
      <c r="AY1347" t="s">
        <v>66</v>
      </c>
      <c r="AZ1347">
        <v>0</v>
      </c>
      <c r="BA1347" t="s">
        <v>66</v>
      </c>
      <c r="BB1347">
        <v>0</v>
      </c>
      <c r="BC1347">
        <v>0</v>
      </c>
      <c r="BD1347">
        <v>510156</v>
      </c>
      <c r="BE1347">
        <v>34619.379999999997</v>
      </c>
      <c r="BF1347">
        <v>0</v>
      </c>
      <c r="BG1347" t="s">
        <v>87</v>
      </c>
      <c r="BH1347" t="s">
        <v>66</v>
      </c>
      <c r="BI1347">
        <v>0</v>
      </c>
      <c r="BJ1347" t="s">
        <v>66</v>
      </c>
      <c r="BK1347" t="s">
        <v>88</v>
      </c>
      <c r="BL1347" t="s">
        <v>66</v>
      </c>
      <c r="BM1347" t="s">
        <v>159</v>
      </c>
    </row>
    <row r="1348" spans="1:65" x14ac:dyDescent="0.25">
      <c r="A1348">
        <v>1346</v>
      </c>
      <c r="B1348" t="s">
        <v>1561</v>
      </c>
      <c r="C1348" t="s">
        <v>68</v>
      </c>
      <c r="D1348" s="1">
        <v>46219</v>
      </c>
      <c r="E1348" t="s">
        <v>1562</v>
      </c>
      <c r="F1348" t="s">
        <v>68</v>
      </c>
      <c r="G1348" t="s">
        <v>295</v>
      </c>
      <c r="H1348" t="s">
        <v>296</v>
      </c>
      <c r="I1348" t="s">
        <v>71</v>
      </c>
      <c r="J1348" t="s">
        <v>72</v>
      </c>
      <c r="K1348" t="s">
        <v>73</v>
      </c>
      <c r="L1348" t="s">
        <v>74</v>
      </c>
      <c r="M1348" t="s">
        <v>657</v>
      </c>
      <c r="N1348" t="s">
        <v>111</v>
      </c>
      <c r="O1348" t="s">
        <v>658</v>
      </c>
      <c r="P1348" t="s">
        <v>659</v>
      </c>
      <c r="Q1348" t="s">
        <v>1563</v>
      </c>
      <c r="R1348" s="1">
        <v>46220</v>
      </c>
      <c r="S1348" t="s">
        <v>661</v>
      </c>
      <c r="T1348" t="s">
        <v>662</v>
      </c>
      <c r="U1348" t="s">
        <v>663</v>
      </c>
      <c r="V1348" t="s">
        <v>66</v>
      </c>
      <c r="W1348" t="s">
        <v>66</v>
      </c>
      <c r="X1348">
        <v>2250600</v>
      </c>
      <c r="Y1348">
        <v>247566</v>
      </c>
      <c r="Z1348">
        <v>540000</v>
      </c>
      <c r="AA1348">
        <v>59400</v>
      </c>
      <c r="AB1348">
        <v>2498166</v>
      </c>
      <c r="AC1348">
        <v>2</v>
      </c>
      <c r="AD1348" t="s">
        <v>134</v>
      </c>
      <c r="AE1348">
        <v>8</v>
      </c>
      <c r="AF1348" t="s">
        <v>312</v>
      </c>
      <c r="AG1348">
        <f>IFERROR(VLOOKUP(AF1348,[1]STOK!J:O,6,0),"")</f>
        <v>4</v>
      </c>
      <c r="AH1348" s="2">
        <f t="shared" ref="AH1348:AH1411" si="42">AE1348/AG1348</f>
        <v>2</v>
      </c>
      <c r="AI1348" t="s">
        <v>312</v>
      </c>
      <c r="AJ1348" t="s">
        <v>313</v>
      </c>
      <c r="AK1348" t="s">
        <v>314</v>
      </c>
      <c r="AL1348" t="s">
        <v>86</v>
      </c>
      <c r="AM1348">
        <v>299700</v>
      </c>
      <c r="AN1348">
        <f t="shared" ref="AN1348:AN1411" si="43">BD1348/AC1348</f>
        <v>299700</v>
      </c>
      <c r="AO1348" t="s">
        <v>66</v>
      </c>
      <c r="AP1348">
        <v>0</v>
      </c>
      <c r="AQ1348" t="s">
        <v>66</v>
      </c>
      <c r="AR1348">
        <v>0</v>
      </c>
      <c r="AS1348" t="s">
        <v>66</v>
      </c>
      <c r="AT1348">
        <v>0</v>
      </c>
      <c r="AU1348" t="s">
        <v>66</v>
      </c>
      <c r="AV1348">
        <v>0</v>
      </c>
      <c r="AW1348" t="s">
        <v>66</v>
      </c>
      <c r="AX1348">
        <v>0</v>
      </c>
      <c r="AY1348" t="s">
        <v>66</v>
      </c>
      <c r="AZ1348">
        <v>0</v>
      </c>
      <c r="BA1348" t="s">
        <v>66</v>
      </c>
      <c r="BB1348">
        <v>0</v>
      </c>
      <c r="BC1348">
        <v>0</v>
      </c>
      <c r="BD1348">
        <v>599400</v>
      </c>
      <c r="BE1348">
        <v>60250.95</v>
      </c>
      <c r="BF1348">
        <v>0</v>
      </c>
      <c r="BG1348" t="s">
        <v>87</v>
      </c>
      <c r="BH1348" t="s">
        <v>66</v>
      </c>
      <c r="BI1348">
        <v>0</v>
      </c>
      <c r="BJ1348" t="s">
        <v>66</v>
      </c>
      <c r="BK1348" t="s">
        <v>88</v>
      </c>
      <c r="BL1348" t="s">
        <v>66</v>
      </c>
      <c r="BM1348" t="s">
        <v>159</v>
      </c>
    </row>
    <row r="1349" spans="1:65" x14ac:dyDescent="0.25">
      <c r="A1349">
        <v>1347</v>
      </c>
      <c r="B1349" t="s">
        <v>1561</v>
      </c>
      <c r="C1349" t="s">
        <v>68</v>
      </c>
      <c r="D1349" s="1">
        <v>46219</v>
      </c>
      <c r="E1349" t="s">
        <v>1562</v>
      </c>
      <c r="F1349" t="s">
        <v>68</v>
      </c>
      <c r="G1349" t="s">
        <v>295</v>
      </c>
      <c r="H1349" t="s">
        <v>296</v>
      </c>
      <c r="I1349" t="s">
        <v>71</v>
      </c>
      <c r="J1349" t="s">
        <v>72</v>
      </c>
      <c r="K1349" t="s">
        <v>73</v>
      </c>
      <c r="L1349" t="s">
        <v>74</v>
      </c>
      <c r="M1349" t="s">
        <v>657</v>
      </c>
      <c r="N1349" t="s">
        <v>111</v>
      </c>
      <c r="O1349" t="s">
        <v>658</v>
      </c>
      <c r="P1349" t="s">
        <v>659</v>
      </c>
      <c r="Q1349" t="s">
        <v>1563</v>
      </c>
      <c r="R1349" s="1">
        <v>46220</v>
      </c>
      <c r="S1349" t="s">
        <v>661</v>
      </c>
      <c r="T1349" t="s">
        <v>662</v>
      </c>
      <c r="U1349" t="s">
        <v>663</v>
      </c>
      <c r="V1349" t="s">
        <v>66</v>
      </c>
      <c r="W1349" t="s">
        <v>66</v>
      </c>
      <c r="X1349">
        <v>2250600</v>
      </c>
      <c r="Y1349">
        <v>247566</v>
      </c>
      <c r="Z1349">
        <v>172800</v>
      </c>
      <c r="AA1349">
        <v>19008</v>
      </c>
      <c r="AB1349">
        <v>2498166</v>
      </c>
      <c r="AC1349">
        <v>1</v>
      </c>
      <c r="AD1349" t="s">
        <v>134</v>
      </c>
      <c r="AE1349">
        <v>12</v>
      </c>
      <c r="AF1349" t="s">
        <v>141</v>
      </c>
      <c r="AG1349">
        <f>IFERROR(VLOOKUP(AF1349,[1]STOK!J:O,6,0),"")</f>
        <v>12</v>
      </c>
      <c r="AH1349" s="2">
        <f t="shared" si="42"/>
        <v>1</v>
      </c>
      <c r="AI1349" t="s">
        <v>141</v>
      </c>
      <c r="AJ1349" t="s">
        <v>142</v>
      </c>
      <c r="AK1349" t="s">
        <v>143</v>
      </c>
      <c r="AL1349" t="s">
        <v>86</v>
      </c>
      <c r="AM1349">
        <v>191808</v>
      </c>
      <c r="AN1349">
        <f t="shared" si="43"/>
        <v>191808</v>
      </c>
      <c r="AO1349" t="s">
        <v>66</v>
      </c>
      <c r="AP1349">
        <v>0</v>
      </c>
      <c r="AQ1349" t="s">
        <v>66</v>
      </c>
      <c r="AR1349">
        <v>0</v>
      </c>
      <c r="AS1349" t="s">
        <v>66</v>
      </c>
      <c r="AT1349">
        <v>0</v>
      </c>
      <c r="AU1349" t="s">
        <v>66</v>
      </c>
      <c r="AV1349">
        <v>0</v>
      </c>
      <c r="AW1349" t="s">
        <v>66</v>
      </c>
      <c r="AX1349">
        <v>0</v>
      </c>
      <c r="AY1349" t="s">
        <v>66</v>
      </c>
      <c r="AZ1349">
        <v>0</v>
      </c>
      <c r="BA1349" t="s">
        <v>66</v>
      </c>
      <c r="BB1349">
        <v>0</v>
      </c>
      <c r="BC1349">
        <v>0</v>
      </c>
      <c r="BD1349">
        <v>191808</v>
      </c>
      <c r="BE1349">
        <v>12915.05</v>
      </c>
      <c r="BF1349">
        <v>0</v>
      </c>
      <c r="BG1349" t="s">
        <v>87</v>
      </c>
      <c r="BH1349" t="s">
        <v>66</v>
      </c>
      <c r="BI1349">
        <v>0</v>
      </c>
      <c r="BJ1349" t="s">
        <v>66</v>
      </c>
      <c r="BK1349" t="s">
        <v>88</v>
      </c>
      <c r="BL1349" t="s">
        <v>66</v>
      </c>
      <c r="BM1349" t="s">
        <v>159</v>
      </c>
    </row>
    <row r="1350" spans="1:65" x14ac:dyDescent="0.25">
      <c r="A1350">
        <v>1348</v>
      </c>
      <c r="B1350" t="s">
        <v>1561</v>
      </c>
      <c r="C1350" t="s">
        <v>68</v>
      </c>
      <c r="D1350" s="1">
        <v>46219</v>
      </c>
      <c r="E1350" t="s">
        <v>1562</v>
      </c>
      <c r="F1350" t="s">
        <v>68</v>
      </c>
      <c r="G1350" t="s">
        <v>295</v>
      </c>
      <c r="H1350" t="s">
        <v>296</v>
      </c>
      <c r="I1350" t="s">
        <v>71</v>
      </c>
      <c r="J1350" t="s">
        <v>72</v>
      </c>
      <c r="K1350" t="s">
        <v>73</v>
      </c>
      <c r="L1350" t="s">
        <v>74</v>
      </c>
      <c r="M1350" t="s">
        <v>657</v>
      </c>
      <c r="N1350" t="s">
        <v>111</v>
      </c>
      <c r="O1350" t="s">
        <v>658</v>
      </c>
      <c r="P1350" t="s">
        <v>659</v>
      </c>
      <c r="Q1350" t="s">
        <v>1563</v>
      </c>
      <c r="R1350" s="1">
        <v>46220</v>
      </c>
      <c r="S1350" t="s">
        <v>661</v>
      </c>
      <c r="T1350" t="s">
        <v>662</v>
      </c>
      <c r="U1350" t="s">
        <v>663</v>
      </c>
      <c r="V1350" t="s">
        <v>66</v>
      </c>
      <c r="W1350" t="s">
        <v>66</v>
      </c>
      <c r="X1350">
        <v>2250600</v>
      </c>
      <c r="Y1350">
        <v>247566</v>
      </c>
      <c r="Z1350">
        <v>518400</v>
      </c>
      <c r="AA1350">
        <v>57024</v>
      </c>
      <c r="AB1350">
        <v>2498166</v>
      </c>
      <c r="AC1350">
        <v>3</v>
      </c>
      <c r="AD1350" t="s">
        <v>134</v>
      </c>
      <c r="AE1350">
        <v>36</v>
      </c>
      <c r="AF1350" t="s">
        <v>213</v>
      </c>
      <c r="AG1350">
        <f>IFERROR(VLOOKUP(AF1350,[1]STOK!J:O,6,0),"")</f>
        <v>12</v>
      </c>
      <c r="AH1350" s="2">
        <f t="shared" si="42"/>
        <v>3</v>
      </c>
      <c r="AI1350" t="s">
        <v>213</v>
      </c>
      <c r="AJ1350" t="s">
        <v>214</v>
      </c>
      <c r="AK1350" t="s">
        <v>215</v>
      </c>
      <c r="AL1350" t="s">
        <v>86</v>
      </c>
      <c r="AM1350">
        <v>191808</v>
      </c>
      <c r="AN1350">
        <f t="shared" si="43"/>
        <v>191808</v>
      </c>
      <c r="AO1350" t="s">
        <v>66</v>
      </c>
      <c r="AP1350">
        <v>0</v>
      </c>
      <c r="AQ1350" t="s">
        <v>66</v>
      </c>
      <c r="AR1350">
        <v>0</v>
      </c>
      <c r="AS1350" t="s">
        <v>66</v>
      </c>
      <c r="AT1350">
        <v>0</v>
      </c>
      <c r="AU1350" t="s">
        <v>66</v>
      </c>
      <c r="AV1350">
        <v>0</v>
      </c>
      <c r="AW1350" t="s">
        <v>66</v>
      </c>
      <c r="AX1350">
        <v>0</v>
      </c>
      <c r="AY1350" t="s">
        <v>66</v>
      </c>
      <c r="AZ1350">
        <v>0</v>
      </c>
      <c r="BA1350" t="s">
        <v>66</v>
      </c>
      <c r="BB1350">
        <v>0</v>
      </c>
      <c r="BC1350">
        <v>0</v>
      </c>
      <c r="BD1350">
        <v>575424</v>
      </c>
      <c r="BE1350">
        <v>12609.82</v>
      </c>
      <c r="BF1350">
        <v>0</v>
      </c>
      <c r="BG1350" t="s">
        <v>87</v>
      </c>
      <c r="BH1350" t="s">
        <v>66</v>
      </c>
      <c r="BI1350">
        <v>0</v>
      </c>
      <c r="BJ1350" t="s">
        <v>66</v>
      </c>
      <c r="BK1350" t="s">
        <v>88</v>
      </c>
      <c r="BL1350" t="s">
        <v>66</v>
      </c>
      <c r="BM1350" t="s">
        <v>159</v>
      </c>
    </row>
    <row r="1351" spans="1:65" x14ac:dyDescent="0.25">
      <c r="A1351">
        <v>1349</v>
      </c>
      <c r="B1351" t="s">
        <v>1564</v>
      </c>
      <c r="C1351" t="s">
        <v>68</v>
      </c>
      <c r="D1351" s="1">
        <v>46219</v>
      </c>
      <c r="E1351" t="s">
        <v>1565</v>
      </c>
      <c r="F1351" t="s">
        <v>68</v>
      </c>
      <c r="G1351" t="s">
        <v>295</v>
      </c>
      <c r="H1351" t="s">
        <v>296</v>
      </c>
      <c r="I1351" t="s">
        <v>71</v>
      </c>
      <c r="J1351" t="s">
        <v>72</v>
      </c>
      <c r="K1351" t="s">
        <v>73</v>
      </c>
      <c r="L1351" t="s">
        <v>74</v>
      </c>
      <c r="M1351" t="s">
        <v>1125</v>
      </c>
      <c r="N1351" t="s">
        <v>274</v>
      </c>
      <c r="O1351" t="s">
        <v>1126</v>
      </c>
      <c r="P1351" t="s">
        <v>1127</v>
      </c>
      <c r="Q1351" t="s">
        <v>1566</v>
      </c>
      <c r="R1351" s="1">
        <v>46220</v>
      </c>
      <c r="S1351" t="s">
        <v>1129</v>
      </c>
      <c r="T1351" t="s">
        <v>1130</v>
      </c>
      <c r="U1351" t="s">
        <v>1131</v>
      </c>
      <c r="V1351" t="s">
        <v>66</v>
      </c>
      <c r="W1351" t="s">
        <v>66</v>
      </c>
      <c r="X1351">
        <v>804600</v>
      </c>
      <c r="Y1351">
        <v>88506</v>
      </c>
      <c r="Z1351">
        <v>47400</v>
      </c>
      <c r="AA1351">
        <v>5214</v>
      </c>
      <c r="AB1351">
        <v>893106</v>
      </c>
      <c r="AC1351">
        <v>6</v>
      </c>
      <c r="AD1351" t="s">
        <v>82</v>
      </c>
      <c r="AE1351">
        <v>6</v>
      </c>
      <c r="AF1351" t="s">
        <v>344</v>
      </c>
      <c r="AG1351">
        <f>IFERROR(VLOOKUP(AF1351,[1]STOK!J:O,6,0),"")</f>
        <v>24</v>
      </c>
      <c r="AH1351" s="2">
        <f t="shared" si="42"/>
        <v>0.25</v>
      </c>
      <c r="AI1351" t="s">
        <v>344</v>
      </c>
      <c r="AJ1351" t="s">
        <v>345</v>
      </c>
      <c r="AK1351" t="s">
        <v>346</v>
      </c>
      <c r="AL1351" t="s">
        <v>86</v>
      </c>
      <c r="AM1351">
        <v>8769</v>
      </c>
      <c r="AN1351">
        <f t="shared" si="43"/>
        <v>8769</v>
      </c>
      <c r="AO1351" t="s">
        <v>66</v>
      </c>
      <c r="AP1351">
        <v>0</v>
      </c>
      <c r="AQ1351" t="s">
        <v>66</v>
      </c>
      <c r="AR1351">
        <v>0</v>
      </c>
      <c r="AS1351" t="s">
        <v>66</v>
      </c>
      <c r="AT1351">
        <v>0</v>
      </c>
      <c r="AU1351" t="s">
        <v>66</v>
      </c>
      <c r="AV1351">
        <v>0</v>
      </c>
      <c r="AW1351" t="s">
        <v>66</v>
      </c>
      <c r="AX1351">
        <v>0</v>
      </c>
      <c r="AY1351" t="s">
        <v>66</v>
      </c>
      <c r="AZ1351">
        <v>0</v>
      </c>
      <c r="BA1351" t="s">
        <v>66</v>
      </c>
      <c r="BB1351">
        <v>0</v>
      </c>
      <c r="BC1351">
        <v>0</v>
      </c>
      <c r="BD1351">
        <v>52614</v>
      </c>
      <c r="BE1351">
        <v>6916.14</v>
      </c>
      <c r="BF1351">
        <v>0</v>
      </c>
      <c r="BG1351" t="s">
        <v>87</v>
      </c>
      <c r="BH1351" t="s">
        <v>66</v>
      </c>
      <c r="BI1351">
        <v>0</v>
      </c>
      <c r="BJ1351" t="s">
        <v>66</v>
      </c>
      <c r="BK1351" t="s">
        <v>88</v>
      </c>
      <c r="BL1351" t="s">
        <v>66</v>
      </c>
      <c r="BM1351" t="s">
        <v>159</v>
      </c>
    </row>
    <row r="1352" spans="1:65" x14ac:dyDescent="0.25">
      <c r="A1352">
        <v>1350</v>
      </c>
      <c r="B1352" t="s">
        <v>1564</v>
      </c>
      <c r="C1352" t="s">
        <v>68</v>
      </c>
      <c r="D1352" s="1">
        <v>46219</v>
      </c>
      <c r="E1352" t="s">
        <v>1565</v>
      </c>
      <c r="F1352" t="s">
        <v>68</v>
      </c>
      <c r="G1352" t="s">
        <v>295</v>
      </c>
      <c r="H1352" t="s">
        <v>296</v>
      </c>
      <c r="I1352" t="s">
        <v>71</v>
      </c>
      <c r="J1352" t="s">
        <v>72</v>
      </c>
      <c r="K1352" t="s">
        <v>73</v>
      </c>
      <c r="L1352" t="s">
        <v>74</v>
      </c>
      <c r="M1352" t="s">
        <v>1125</v>
      </c>
      <c r="N1352" t="s">
        <v>274</v>
      </c>
      <c r="O1352" t="s">
        <v>1126</v>
      </c>
      <c r="P1352" t="s">
        <v>1127</v>
      </c>
      <c r="Q1352" t="s">
        <v>1566</v>
      </c>
      <c r="R1352" s="1">
        <v>46220</v>
      </c>
      <c r="S1352" t="s">
        <v>1129</v>
      </c>
      <c r="T1352" t="s">
        <v>1130</v>
      </c>
      <c r="U1352" t="s">
        <v>1131</v>
      </c>
      <c r="V1352" t="s">
        <v>66</v>
      </c>
      <c r="W1352" t="s">
        <v>66</v>
      </c>
      <c r="X1352">
        <v>804600</v>
      </c>
      <c r="Y1352">
        <v>88506</v>
      </c>
      <c r="Z1352">
        <v>99000</v>
      </c>
      <c r="AA1352">
        <v>10890</v>
      </c>
      <c r="AB1352">
        <v>893106</v>
      </c>
      <c r="AC1352">
        <v>6</v>
      </c>
      <c r="AD1352" t="s">
        <v>82</v>
      </c>
      <c r="AE1352">
        <v>6</v>
      </c>
      <c r="AF1352" t="s">
        <v>96</v>
      </c>
      <c r="AG1352">
        <f>IFERROR(VLOOKUP(AF1352,[1]STOK!J:O,6,0),"")</f>
        <v>24</v>
      </c>
      <c r="AH1352" s="2">
        <f t="shared" si="42"/>
        <v>0.25</v>
      </c>
      <c r="AI1352" t="s">
        <v>96</v>
      </c>
      <c r="AJ1352" t="s">
        <v>97</v>
      </c>
      <c r="AK1352" t="s">
        <v>98</v>
      </c>
      <c r="AL1352" t="s">
        <v>86</v>
      </c>
      <c r="AM1352">
        <v>18315</v>
      </c>
      <c r="AN1352">
        <f t="shared" si="43"/>
        <v>18315</v>
      </c>
      <c r="AO1352" t="s">
        <v>66</v>
      </c>
      <c r="AP1352">
        <v>0</v>
      </c>
      <c r="AQ1352" t="s">
        <v>66</v>
      </c>
      <c r="AR1352">
        <v>0</v>
      </c>
      <c r="AS1352" t="s">
        <v>66</v>
      </c>
      <c r="AT1352">
        <v>0</v>
      </c>
      <c r="AU1352" t="s">
        <v>66</v>
      </c>
      <c r="AV1352">
        <v>0</v>
      </c>
      <c r="AW1352" t="s">
        <v>66</v>
      </c>
      <c r="AX1352">
        <v>0</v>
      </c>
      <c r="AY1352" t="s">
        <v>66</v>
      </c>
      <c r="AZ1352">
        <v>0</v>
      </c>
      <c r="BA1352" t="s">
        <v>66</v>
      </c>
      <c r="BB1352">
        <v>0</v>
      </c>
      <c r="BC1352">
        <v>0</v>
      </c>
      <c r="BD1352">
        <v>109890</v>
      </c>
      <c r="BE1352">
        <v>14881.93</v>
      </c>
      <c r="BF1352">
        <v>0</v>
      </c>
      <c r="BG1352" t="s">
        <v>87</v>
      </c>
      <c r="BH1352" t="s">
        <v>66</v>
      </c>
      <c r="BI1352">
        <v>0</v>
      </c>
      <c r="BJ1352" t="s">
        <v>66</v>
      </c>
      <c r="BK1352" t="s">
        <v>88</v>
      </c>
      <c r="BL1352" t="s">
        <v>66</v>
      </c>
      <c r="BM1352" t="s">
        <v>159</v>
      </c>
    </row>
    <row r="1353" spans="1:65" x14ac:dyDescent="0.25">
      <c r="A1353">
        <v>1351</v>
      </c>
      <c r="B1353" t="s">
        <v>1564</v>
      </c>
      <c r="C1353" t="s">
        <v>68</v>
      </c>
      <c r="D1353" s="1">
        <v>46219</v>
      </c>
      <c r="E1353" t="s">
        <v>1565</v>
      </c>
      <c r="F1353" t="s">
        <v>68</v>
      </c>
      <c r="G1353" t="s">
        <v>295</v>
      </c>
      <c r="H1353" t="s">
        <v>296</v>
      </c>
      <c r="I1353" t="s">
        <v>71</v>
      </c>
      <c r="J1353" t="s">
        <v>72</v>
      </c>
      <c r="K1353" t="s">
        <v>73</v>
      </c>
      <c r="L1353" t="s">
        <v>74</v>
      </c>
      <c r="M1353" t="s">
        <v>1125</v>
      </c>
      <c r="N1353" t="s">
        <v>274</v>
      </c>
      <c r="O1353" t="s">
        <v>1126</v>
      </c>
      <c r="P1353" t="s">
        <v>1127</v>
      </c>
      <c r="Q1353" t="s">
        <v>1566</v>
      </c>
      <c r="R1353" s="1">
        <v>46220</v>
      </c>
      <c r="S1353" t="s">
        <v>1129</v>
      </c>
      <c r="T1353" t="s">
        <v>1130</v>
      </c>
      <c r="U1353" t="s">
        <v>1131</v>
      </c>
      <c r="V1353" t="s">
        <v>66</v>
      </c>
      <c r="W1353" t="s">
        <v>66</v>
      </c>
      <c r="X1353">
        <v>804600</v>
      </c>
      <c r="Y1353">
        <v>88506</v>
      </c>
      <c r="Z1353">
        <v>99000</v>
      </c>
      <c r="AA1353">
        <v>10890</v>
      </c>
      <c r="AB1353">
        <v>893106</v>
      </c>
      <c r="AC1353">
        <v>6</v>
      </c>
      <c r="AD1353" t="s">
        <v>82</v>
      </c>
      <c r="AE1353">
        <v>6</v>
      </c>
      <c r="AF1353" t="s">
        <v>99</v>
      </c>
      <c r="AG1353">
        <f>IFERROR(VLOOKUP(AF1353,[1]STOK!J:O,6,0),"")</f>
        <v>24</v>
      </c>
      <c r="AH1353" s="2">
        <f t="shared" si="42"/>
        <v>0.25</v>
      </c>
      <c r="AI1353" t="s">
        <v>99</v>
      </c>
      <c r="AJ1353" t="s">
        <v>100</v>
      </c>
      <c r="AK1353" t="s">
        <v>101</v>
      </c>
      <c r="AL1353" t="s">
        <v>86</v>
      </c>
      <c r="AM1353">
        <v>18315</v>
      </c>
      <c r="AN1353">
        <f t="shared" si="43"/>
        <v>18315</v>
      </c>
      <c r="AO1353" t="s">
        <v>66</v>
      </c>
      <c r="AP1353">
        <v>0</v>
      </c>
      <c r="AQ1353" t="s">
        <v>66</v>
      </c>
      <c r="AR1353">
        <v>0</v>
      </c>
      <c r="AS1353" t="s">
        <v>66</v>
      </c>
      <c r="AT1353">
        <v>0</v>
      </c>
      <c r="AU1353" t="s">
        <v>66</v>
      </c>
      <c r="AV1353">
        <v>0</v>
      </c>
      <c r="AW1353" t="s">
        <v>66</v>
      </c>
      <c r="AX1353">
        <v>0</v>
      </c>
      <c r="AY1353" t="s">
        <v>66</v>
      </c>
      <c r="AZ1353">
        <v>0</v>
      </c>
      <c r="BA1353" t="s">
        <v>66</v>
      </c>
      <c r="BB1353">
        <v>0</v>
      </c>
      <c r="BC1353">
        <v>0</v>
      </c>
      <c r="BD1353">
        <v>109890</v>
      </c>
      <c r="BE1353">
        <v>14924.93</v>
      </c>
      <c r="BF1353">
        <v>0</v>
      </c>
      <c r="BG1353" t="s">
        <v>87</v>
      </c>
      <c r="BH1353" t="s">
        <v>66</v>
      </c>
      <c r="BI1353">
        <v>0</v>
      </c>
      <c r="BJ1353" t="s">
        <v>66</v>
      </c>
      <c r="BK1353" t="s">
        <v>88</v>
      </c>
      <c r="BL1353" t="s">
        <v>66</v>
      </c>
      <c r="BM1353" t="s">
        <v>159</v>
      </c>
    </row>
    <row r="1354" spans="1:65" x14ac:dyDescent="0.25">
      <c r="A1354">
        <v>1352</v>
      </c>
      <c r="B1354" t="s">
        <v>1564</v>
      </c>
      <c r="C1354" t="s">
        <v>68</v>
      </c>
      <c r="D1354" s="1">
        <v>46219</v>
      </c>
      <c r="E1354" t="s">
        <v>1565</v>
      </c>
      <c r="F1354" t="s">
        <v>68</v>
      </c>
      <c r="G1354" t="s">
        <v>295</v>
      </c>
      <c r="H1354" t="s">
        <v>296</v>
      </c>
      <c r="I1354" t="s">
        <v>71</v>
      </c>
      <c r="J1354" t="s">
        <v>72</v>
      </c>
      <c r="K1354" t="s">
        <v>73</v>
      </c>
      <c r="L1354" t="s">
        <v>74</v>
      </c>
      <c r="M1354" t="s">
        <v>1125</v>
      </c>
      <c r="N1354" t="s">
        <v>274</v>
      </c>
      <c r="O1354" t="s">
        <v>1126</v>
      </c>
      <c r="P1354" t="s">
        <v>1127</v>
      </c>
      <c r="Q1354" t="s">
        <v>1566</v>
      </c>
      <c r="R1354" s="1">
        <v>46220</v>
      </c>
      <c r="S1354" t="s">
        <v>1129</v>
      </c>
      <c r="T1354" t="s">
        <v>1130</v>
      </c>
      <c r="U1354" t="s">
        <v>1131</v>
      </c>
      <c r="V1354" t="s">
        <v>66</v>
      </c>
      <c r="W1354" t="s">
        <v>66</v>
      </c>
      <c r="X1354">
        <v>804600</v>
      </c>
      <c r="Y1354">
        <v>88506</v>
      </c>
      <c r="Z1354">
        <v>319200</v>
      </c>
      <c r="AA1354">
        <v>35112</v>
      </c>
      <c r="AB1354">
        <v>893106</v>
      </c>
      <c r="AC1354">
        <v>2</v>
      </c>
      <c r="AD1354" t="s">
        <v>134</v>
      </c>
      <c r="AE1354">
        <v>24</v>
      </c>
      <c r="AF1354" t="s">
        <v>135</v>
      </c>
      <c r="AG1354">
        <f>IFERROR(VLOOKUP(AF1354,[1]STOK!J:O,6,0),"")</f>
        <v>12</v>
      </c>
      <c r="AH1354" s="2">
        <f t="shared" si="42"/>
        <v>2</v>
      </c>
      <c r="AI1354" t="s">
        <v>135</v>
      </c>
      <c r="AJ1354" t="s">
        <v>136</v>
      </c>
      <c r="AK1354" t="s">
        <v>137</v>
      </c>
      <c r="AL1354" t="s">
        <v>86</v>
      </c>
      <c r="AM1354">
        <v>177156</v>
      </c>
      <c r="AN1354">
        <f t="shared" si="43"/>
        <v>177156</v>
      </c>
      <c r="AO1354" t="s">
        <v>66</v>
      </c>
      <c r="AP1354">
        <v>0</v>
      </c>
      <c r="AQ1354" t="s">
        <v>66</v>
      </c>
      <c r="AR1354">
        <v>0</v>
      </c>
      <c r="AS1354" t="s">
        <v>66</v>
      </c>
      <c r="AT1354">
        <v>0</v>
      </c>
      <c r="AU1354" t="s">
        <v>66</v>
      </c>
      <c r="AV1354">
        <v>0</v>
      </c>
      <c r="AW1354" t="s">
        <v>66</v>
      </c>
      <c r="AX1354">
        <v>0</v>
      </c>
      <c r="AY1354" t="s">
        <v>66</v>
      </c>
      <c r="AZ1354">
        <v>0</v>
      </c>
      <c r="BA1354" t="s">
        <v>66</v>
      </c>
      <c r="BB1354">
        <v>0</v>
      </c>
      <c r="BC1354">
        <v>0</v>
      </c>
      <c r="BD1354">
        <v>354312</v>
      </c>
      <c r="BE1354">
        <v>12032.04</v>
      </c>
      <c r="BF1354">
        <v>0</v>
      </c>
      <c r="BG1354" t="s">
        <v>87</v>
      </c>
      <c r="BH1354" t="s">
        <v>66</v>
      </c>
      <c r="BI1354">
        <v>0</v>
      </c>
      <c r="BJ1354" t="s">
        <v>66</v>
      </c>
      <c r="BK1354" t="s">
        <v>88</v>
      </c>
      <c r="BL1354" t="s">
        <v>66</v>
      </c>
      <c r="BM1354" t="s">
        <v>159</v>
      </c>
    </row>
    <row r="1355" spans="1:65" x14ac:dyDescent="0.25">
      <c r="A1355">
        <v>1353</v>
      </c>
      <c r="B1355" t="s">
        <v>1564</v>
      </c>
      <c r="C1355" t="s">
        <v>68</v>
      </c>
      <c r="D1355" s="1">
        <v>46219</v>
      </c>
      <c r="E1355" t="s">
        <v>1565</v>
      </c>
      <c r="F1355" t="s">
        <v>68</v>
      </c>
      <c r="G1355" t="s">
        <v>295</v>
      </c>
      <c r="H1355" t="s">
        <v>296</v>
      </c>
      <c r="I1355" t="s">
        <v>71</v>
      </c>
      <c r="J1355" t="s">
        <v>72</v>
      </c>
      <c r="K1355" t="s">
        <v>73</v>
      </c>
      <c r="L1355" t="s">
        <v>74</v>
      </c>
      <c r="M1355" t="s">
        <v>1125</v>
      </c>
      <c r="N1355" t="s">
        <v>274</v>
      </c>
      <c r="O1355" t="s">
        <v>1126</v>
      </c>
      <c r="P1355" t="s">
        <v>1127</v>
      </c>
      <c r="Q1355" t="s">
        <v>1566</v>
      </c>
      <c r="R1355" s="1">
        <v>46220</v>
      </c>
      <c r="S1355" t="s">
        <v>1129</v>
      </c>
      <c r="T1355" t="s">
        <v>1130</v>
      </c>
      <c r="U1355" t="s">
        <v>1131</v>
      </c>
      <c r="V1355" t="s">
        <v>66</v>
      </c>
      <c r="W1355" t="s">
        <v>66</v>
      </c>
      <c r="X1355">
        <v>804600</v>
      </c>
      <c r="Y1355">
        <v>88506</v>
      </c>
      <c r="Z1355">
        <v>240000</v>
      </c>
      <c r="AA1355">
        <v>26400</v>
      </c>
      <c r="AB1355">
        <v>893106</v>
      </c>
      <c r="AC1355">
        <v>1</v>
      </c>
      <c r="AD1355" t="s">
        <v>134</v>
      </c>
      <c r="AE1355">
        <v>12</v>
      </c>
      <c r="AF1355" t="s">
        <v>290</v>
      </c>
      <c r="AG1355">
        <f>IFERROR(VLOOKUP(AF1355,[1]STOK!J:O,6,0),"")</f>
        <v>12</v>
      </c>
      <c r="AH1355" s="2">
        <f t="shared" si="42"/>
        <v>1</v>
      </c>
      <c r="AI1355" t="s">
        <v>290</v>
      </c>
      <c r="AJ1355" t="s">
        <v>291</v>
      </c>
      <c r="AK1355" t="s">
        <v>292</v>
      </c>
      <c r="AL1355" t="s">
        <v>86</v>
      </c>
      <c r="AM1355">
        <v>266400</v>
      </c>
      <c r="AN1355">
        <f t="shared" si="43"/>
        <v>266400</v>
      </c>
      <c r="AO1355" t="s">
        <v>66</v>
      </c>
      <c r="AP1355">
        <v>0</v>
      </c>
      <c r="AQ1355" t="s">
        <v>66</v>
      </c>
      <c r="AR1355">
        <v>0</v>
      </c>
      <c r="AS1355" t="s">
        <v>66</v>
      </c>
      <c r="AT1355">
        <v>0</v>
      </c>
      <c r="AU1355" t="s">
        <v>66</v>
      </c>
      <c r="AV1355">
        <v>0</v>
      </c>
      <c r="AW1355" t="s">
        <v>66</v>
      </c>
      <c r="AX1355">
        <v>0</v>
      </c>
      <c r="AY1355" t="s">
        <v>66</v>
      </c>
      <c r="AZ1355">
        <v>0</v>
      </c>
      <c r="BA1355" t="s">
        <v>66</v>
      </c>
      <c r="BB1355">
        <v>0</v>
      </c>
      <c r="BC1355">
        <v>0</v>
      </c>
      <c r="BD1355">
        <v>266400</v>
      </c>
      <c r="BE1355">
        <v>18155.62</v>
      </c>
      <c r="BF1355">
        <v>0</v>
      </c>
      <c r="BG1355" t="s">
        <v>87</v>
      </c>
      <c r="BH1355" t="s">
        <v>66</v>
      </c>
      <c r="BI1355">
        <v>0</v>
      </c>
      <c r="BJ1355" t="s">
        <v>66</v>
      </c>
      <c r="BK1355" t="s">
        <v>88</v>
      </c>
      <c r="BL1355" t="s">
        <v>66</v>
      </c>
      <c r="BM1355" t="s">
        <v>159</v>
      </c>
    </row>
    <row r="1356" spans="1:65" x14ac:dyDescent="0.25">
      <c r="A1356">
        <v>1354</v>
      </c>
      <c r="B1356" t="s">
        <v>1567</v>
      </c>
      <c r="C1356" t="s">
        <v>68</v>
      </c>
      <c r="D1356" s="1">
        <v>46219</v>
      </c>
      <c r="E1356" t="s">
        <v>1568</v>
      </c>
      <c r="F1356" t="s">
        <v>68</v>
      </c>
      <c r="G1356" t="s">
        <v>295</v>
      </c>
      <c r="H1356" t="s">
        <v>296</v>
      </c>
      <c r="I1356" t="s">
        <v>71</v>
      </c>
      <c r="J1356" t="s">
        <v>72</v>
      </c>
      <c r="K1356" t="s">
        <v>73</v>
      </c>
      <c r="L1356" t="s">
        <v>74</v>
      </c>
      <c r="M1356" t="s">
        <v>684</v>
      </c>
      <c r="N1356" t="s">
        <v>274</v>
      </c>
      <c r="O1356" t="s">
        <v>685</v>
      </c>
      <c r="P1356" t="s">
        <v>686</v>
      </c>
      <c r="Q1356" t="s">
        <v>1569</v>
      </c>
      <c r="R1356" s="1">
        <v>46220</v>
      </c>
      <c r="S1356" t="s">
        <v>688</v>
      </c>
      <c r="T1356" t="s">
        <v>689</v>
      </c>
      <c r="U1356" t="s">
        <v>690</v>
      </c>
      <c r="V1356" t="s">
        <v>66</v>
      </c>
      <c r="W1356" t="s">
        <v>66</v>
      </c>
      <c r="X1356">
        <v>631200</v>
      </c>
      <c r="Y1356">
        <v>69432</v>
      </c>
      <c r="Z1356">
        <v>25200</v>
      </c>
      <c r="AA1356">
        <v>2772</v>
      </c>
      <c r="AB1356">
        <v>700632</v>
      </c>
      <c r="AC1356">
        <v>6</v>
      </c>
      <c r="AD1356" t="s">
        <v>82</v>
      </c>
      <c r="AE1356">
        <v>6</v>
      </c>
      <c r="AF1356" t="s">
        <v>131</v>
      </c>
      <c r="AG1356">
        <f>IFERROR(VLOOKUP(AF1356,[1]STOK!J:O,6,0),"")</f>
        <v>24</v>
      </c>
      <c r="AH1356" s="2">
        <f t="shared" si="42"/>
        <v>0.25</v>
      </c>
      <c r="AI1356" t="s">
        <v>131</v>
      </c>
      <c r="AJ1356" t="s">
        <v>132</v>
      </c>
      <c r="AK1356" t="s">
        <v>133</v>
      </c>
      <c r="AL1356" t="s">
        <v>86</v>
      </c>
      <c r="AM1356">
        <v>4662</v>
      </c>
      <c r="AN1356">
        <f t="shared" si="43"/>
        <v>4662</v>
      </c>
      <c r="AO1356" t="s">
        <v>66</v>
      </c>
      <c r="AP1356">
        <v>0</v>
      </c>
      <c r="AQ1356" t="s">
        <v>66</v>
      </c>
      <c r="AR1356">
        <v>0</v>
      </c>
      <c r="AS1356" t="s">
        <v>66</v>
      </c>
      <c r="AT1356">
        <v>0</v>
      </c>
      <c r="AU1356" t="s">
        <v>66</v>
      </c>
      <c r="AV1356">
        <v>0</v>
      </c>
      <c r="AW1356" t="s">
        <v>66</v>
      </c>
      <c r="AX1356">
        <v>0</v>
      </c>
      <c r="AY1356" t="s">
        <v>66</v>
      </c>
      <c r="AZ1356">
        <v>0</v>
      </c>
      <c r="BA1356" t="s">
        <v>66</v>
      </c>
      <c r="BB1356">
        <v>0</v>
      </c>
      <c r="BC1356">
        <v>0</v>
      </c>
      <c r="BD1356">
        <v>27972</v>
      </c>
      <c r="BE1356">
        <v>3657.11</v>
      </c>
      <c r="BF1356">
        <v>0</v>
      </c>
      <c r="BG1356" t="s">
        <v>87</v>
      </c>
      <c r="BH1356" t="s">
        <v>66</v>
      </c>
      <c r="BI1356">
        <v>0</v>
      </c>
      <c r="BJ1356" t="s">
        <v>66</v>
      </c>
      <c r="BK1356" t="s">
        <v>88</v>
      </c>
      <c r="BL1356" t="s">
        <v>66</v>
      </c>
      <c r="BM1356" t="s">
        <v>159</v>
      </c>
    </row>
    <row r="1357" spans="1:65" x14ac:dyDescent="0.25">
      <c r="A1357">
        <v>1355</v>
      </c>
      <c r="B1357" t="s">
        <v>1567</v>
      </c>
      <c r="C1357" t="s">
        <v>68</v>
      </c>
      <c r="D1357" s="1">
        <v>46219</v>
      </c>
      <c r="E1357" t="s">
        <v>1568</v>
      </c>
      <c r="F1357" t="s">
        <v>68</v>
      </c>
      <c r="G1357" t="s">
        <v>295</v>
      </c>
      <c r="H1357" t="s">
        <v>296</v>
      </c>
      <c r="I1357" t="s">
        <v>71</v>
      </c>
      <c r="J1357" t="s">
        <v>72</v>
      </c>
      <c r="K1357" t="s">
        <v>73</v>
      </c>
      <c r="L1357" t="s">
        <v>74</v>
      </c>
      <c r="M1357" t="s">
        <v>684</v>
      </c>
      <c r="N1357" t="s">
        <v>274</v>
      </c>
      <c r="O1357" t="s">
        <v>685</v>
      </c>
      <c r="P1357" t="s">
        <v>686</v>
      </c>
      <c r="Q1357" t="s">
        <v>1569</v>
      </c>
      <c r="R1357" s="1">
        <v>46220</v>
      </c>
      <c r="S1357" t="s">
        <v>688</v>
      </c>
      <c r="T1357" t="s">
        <v>689</v>
      </c>
      <c r="U1357" t="s">
        <v>690</v>
      </c>
      <c r="V1357" t="s">
        <v>66</v>
      </c>
      <c r="W1357" t="s">
        <v>66</v>
      </c>
      <c r="X1357">
        <v>631200</v>
      </c>
      <c r="Y1357">
        <v>69432</v>
      </c>
      <c r="Z1357">
        <v>159600</v>
      </c>
      <c r="AA1357">
        <v>17556</v>
      </c>
      <c r="AB1357">
        <v>700632</v>
      </c>
      <c r="AC1357">
        <v>12</v>
      </c>
      <c r="AD1357" t="s">
        <v>82</v>
      </c>
      <c r="AE1357">
        <v>12</v>
      </c>
      <c r="AF1357" t="s">
        <v>135</v>
      </c>
      <c r="AG1357">
        <f>IFERROR(VLOOKUP(AF1357,[1]STOK!J:O,6,0),"")</f>
        <v>12</v>
      </c>
      <c r="AH1357" s="2">
        <f t="shared" si="42"/>
        <v>1</v>
      </c>
      <c r="AI1357" t="s">
        <v>135</v>
      </c>
      <c r="AJ1357" t="s">
        <v>136</v>
      </c>
      <c r="AK1357" t="s">
        <v>137</v>
      </c>
      <c r="AL1357" t="s">
        <v>86</v>
      </c>
      <c r="AM1357">
        <v>14763</v>
      </c>
      <c r="AN1357">
        <f t="shared" si="43"/>
        <v>14763</v>
      </c>
      <c r="AO1357" t="s">
        <v>66</v>
      </c>
      <c r="AP1357">
        <v>0</v>
      </c>
      <c r="AQ1357" t="s">
        <v>66</v>
      </c>
      <c r="AR1357">
        <v>0</v>
      </c>
      <c r="AS1357" t="s">
        <v>66</v>
      </c>
      <c r="AT1357">
        <v>0</v>
      </c>
      <c r="AU1357" t="s">
        <v>66</v>
      </c>
      <c r="AV1357">
        <v>0</v>
      </c>
      <c r="AW1357" t="s">
        <v>66</v>
      </c>
      <c r="AX1357">
        <v>0</v>
      </c>
      <c r="AY1357" t="s">
        <v>66</v>
      </c>
      <c r="AZ1357">
        <v>0</v>
      </c>
      <c r="BA1357" t="s">
        <v>66</v>
      </c>
      <c r="BB1357">
        <v>0</v>
      </c>
      <c r="BC1357">
        <v>0</v>
      </c>
      <c r="BD1357">
        <v>177156</v>
      </c>
      <c r="BE1357">
        <v>12032.04</v>
      </c>
      <c r="BF1357">
        <v>0</v>
      </c>
      <c r="BG1357" t="s">
        <v>87</v>
      </c>
      <c r="BH1357" t="s">
        <v>66</v>
      </c>
      <c r="BI1357">
        <v>0</v>
      </c>
      <c r="BJ1357" t="s">
        <v>66</v>
      </c>
      <c r="BK1357" t="s">
        <v>88</v>
      </c>
      <c r="BL1357" t="s">
        <v>66</v>
      </c>
      <c r="BM1357" t="s">
        <v>159</v>
      </c>
    </row>
    <row r="1358" spans="1:65" x14ac:dyDescent="0.25">
      <c r="A1358">
        <v>1356</v>
      </c>
      <c r="B1358" t="s">
        <v>1567</v>
      </c>
      <c r="C1358" t="s">
        <v>68</v>
      </c>
      <c r="D1358" s="1">
        <v>46219</v>
      </c>
      <c r="E1358" t="s">
        <v>1568</v>
      </c>
      <c r="F1358" t="s">
        <v>68</v>
      </c>
      <c r="G1358" t="s">
        <v>295</v>
      </c>
      <c r="H1358" t="s">
        <v>296</v>
      </c>
      <c r="I1358" t="s">
        <v>71</v>
      </c>
      <c r="J1358" t="s">
        <v>72</v>
      </c>
      <c r="K1358" t="s">
        <v>73</v>
      </c>
      <c r="L1358" t="s">
        <v>74</v>
      </c>
      <c r="M1358" t="s">
        <v>684</v>
      </c>
      <c r="N1358" t="s">
        <v>274</v>
      </c>
      <c r="O1358" t="s">
        <v>685</v>
      </c>
      <c r="P1358" t="s">
        <v>686</v>
      </c>
      <c r="Q1358" t="s">
        <v>1569</v>
      </c>
      <c r="R1358" s="1">
        <v>46220</v>
      </c>
      <c r="S1358" t="s">
        <v>688</v>
      </c>
      <c r="T1358" t="s">
        <v>689</v>
      </c>
      <c r="U1358" t="s">
        <v>690</v>
      </c>
      <c r="V1358" t="s">
        <v>66</v>
      </c>
      <c r="W1358" t="s">
        <v>66</v>
      </c>
      <c r="X1358">
        <v>631200</v>
      </c>
      <c r="Y1358">
        <v>69432</v>
      </c>
      <c r="Z1358">
        <v>240000</v>
      </c>
      <c r="AA1358">
        <v>26400</v>
      </c>
      <c r="AB1358">
        <v>700632</v>
      </c>
      <c r="AC1358">
        <v>12</v>
      </c>
      <c r="AD1358" t="s">
        <v>82</v>
      </c>
      <c r="AE1358">
        <v>12</v>
      </c>
      <c r="AF1358" t="s">
        <v>290</v>
      </c>
      <c r="AG1358">
        <f>IFERROR(VLOOKUP(AF1358,[1]STOK!J:O,6,0),"")</f>
        <v>12</v>
      </c>
      <c r="AH1358" s="2">
        <f t="shared" si="42"/>
        <v>1</v>
      </c>
      <c r="AI1358" t="s">
        <v>290</v>
      </c>
      <c r="AJ1358" t="s">
        <v>291</v>
      </c>
      <c r="AK1358" t="s">
        <v>292</v>
      </c>
      <c r="AL1358" t="s">
        <v>86</v>
      </c>
      <c r="AM1358">
        <v>22200</v>
      </c>
      <c r="AN1358">
        <f t="shared" si="43"/>
        <v>22200</v>
      </c>
      <c r="AO1358" t="s">
        <v>66</v>
      </c>
      <c r="AP1358">
        <v>0</v>
      </c>
      <c r="AQ1358" t="s">
        <v>66</v>
      </c>
      <c r="AR1358">
        <v>0</v>
      </c>
      <c r="AS1358" t="s">
        <v>66</v>
      </c>
      <c r="AT1358">
        <v>0</v>
      </c>
      <c r="AU1358" t="s">
        <v>66</v>
      </c>
      <c r="AV1358">
        <v>0</v>
      </c>
      <c r="AW1358" t="s">
        <v>66</v>
      </c>
      <c r="AX1358">
        <v>0</v>
      </c>
      <c r="AY1358" t="s">
        <v>66</v>
      </c>
      <c r="AZ1358">
        <v>0</v>
      </c>
      <c r="BA1358" t="s">
        <v>66</v>
      </c>
      <c r="BB1358">
        <v>0</v>
      </c>
      <c r="BC1358">
        <v>0</v>
      </c>
      <c r="BD1358">
        <v>266400</v>
      </c>
      <c r="BE1358">
        <v>18155.62</v>
      </c>
      <c r="BF1358">
        <v>0</v>
      </c>
      <c r="BG1358" t="s">
        <v>87</v>
      </c>
      <c r="BH1358" t="s">
        <v>66</v>
      </c>
      <c r="BI1358">
        <v>0</v>
      </c>
      <c r="BJ1358" t="s">
        <v>66</v>
      </c>
      <c r="BK1358" t="s">
        <v>88</v>
      </c>
      <c r="BL1358" t="s">
        <v>66</v>
      </c>
      <c r="BM1358" t="s">
        <v>159</v>
      </c>
    </row>
    <row r="1359" spans="1:65" x14ac:dyDescent="0.25">
      <c r="A1359">
        <v>1357</v>
      </c>
      <c r="B1359" t="s">
        <v>1567</v>
      </c>
      <c r="C1359" t="s">
        <v>68</v>
      </c>
      <c r="D1359" s="1">
        <v>46219</v>
      </c>
      <c r="E1359" t="s">
        <v>1568</v>
      </c>
      <c r="F1359" t="s">
        <v>68</v>
      </c>
      <c r="G1359" t="s">
        <v>295</v>
      </c>
      <c r="H1359" t="s">
        <v>296</v>
      </c>
      <c r="I1359" t="s">
        <v>71</v>
      </c>
      <c r="J1359" t="s">
        <v>72</v>
      </c>
      <c r="K1359" t="s">
        <v>73</v>
      </c>
      <c r="L1359" t="s">
        <v>74</v>
      </c>
      <c r="M1359" t="s">
        <v>684</v>
      </c>
      <c r="N1359" t="s">
        <v>274</v>
      </c>
      <c r="O1359" t="s">
        <v>685</v>
      </c>
      <c r="P1359" t="s">
        <v>686</v>
      </c>
      <c r="Q1359" t="s">
        <v>1569</v>
      </c>
      <c r="R1359" s="1">
        <v>46220</v>
      </c>
      <c r="S1359" t="s">
        <v>688</v>
      </c>
      <c r="T1359" t="s">
        <v>689</v>
      </c>
      <c r="U1359" t="s">
        <v>690</v>
      </c>
      <c r="V1359" t="s">
        <v>66</v>
      </c>
      <c r="W1359" t="s">
        <v>66</v>
      </c>
      <c r="X1359">
        <v>631200</v>
      </c>
      <c r="Y1359">
        <v>69432</v>
      </c>
      <c r="Z1359">
        <v>120000</v>
      </c>
      <c r="AA1359">
        <v>13200</v>
      </c>
      <c r="AB1359">
        <v>700632</v>
      </c>
      <c r="AC1359">
        <v>6</v>
      </c>
      <c r="AD1359" t="s">
        <v>82</v>
      </c>
      <c r="AE1359">
        <v>6</v>
      </c>
      <c r="AF1359" t="s">
        <v>102</v>
      </c>
      <c r="AG1359">
        <f>IFERROR(VLOOKUP(AF1359,[1]STOK!J:O,6,0),"")</f>
        <v>12</v>
      </c>
      <c r="AH1359" s="2">
        <f t="shared" si="42"/>
        <v>0.5</v>
      </c>
      <c r="AI1359" t="s">
        <v>102</v>
      </c>
      <c r="AJ1359" t="s">
        <v>103</v>
      </c>
      <c r="AK1359" t="s">
        <v>104</v>
      </c>
      <c r="AL1359" t="s">
        <v>86</v>
      </c>
      <c r="AM1359">
        <v>22200</v>
      </c>
      <c r="AN1359">
        <f t="shared" si="43"/>
        <v>22200</v>
      </c>
      <c r="AO1359" t="s">
        <v>66</v>
      </c>
      <c r="AP1359">
        <v>0</v>
      </c>
      <c r="AQ1359" t="s">
        <v>66</v>
      </c>
      <c r="AR1359">
        <v>0</v>
      </c>
      <c r="AS1359" t="s">
        <v>66</v>
      </c>
      <c r="AT1359">
        <v>0</v>
      </c>
      <c r="AU1359" t="s">
        <v>66</v>
      </c>
      <c r="AV1359">
        <v>0</v>
      </c>
      <c r="AW1359" t="s">
        <v>66</v>
      </c>
      <c r="AX1359">
        <v>0</v>
      </c>
      <c r="AY1359" t="s">
        <v>66</v>
      </c>
      <c r="AZ1359">
        <v>0</v>
      </c>
      <c r="BA1359" t="s">
        <v>66</v>
      </c>
      <c r="BB1359">
        <v>0</v>
      </c>
      <c r="BC1359">
        <v>0</v>
      </c>
      <c r="BD1359">
        <v>133200</v>
      </c>
      <c r="BE1359">
        <v>17828.62</v>
      </c>
      <c r="BF1359">
        <v>0</v>
      </c>
      <c r="BG1359" t="s">
        <v>87</v>
      </c>
      <c r="BH1359" t="s">
        <v>66</v>
      </c>
      <c r="BI1359">
        <v>0</v>
      </c>
      <c r="BJ1359" t="s">
        <v>66</v>
      </c>
      <c r="BK1359" t="s">
        <v>88</v>
      </c>
      <c r="BL1359" t="s">
        <v>66</v>
      </c>
      <c r="BM1359" t="s">
        <v>159</v>
      </c>
    </row>
    <row r="1360" spans="1:65" x14ac:dyDescent="0.25">
      <c r="A1360">
        <v>1358</v>
      </c>
      <c r="B1360" t="s">
        <v>1567</v>
      </c>
      <c r="C1360" t="s">
        <v>68</v>
      </c>
      <c r="D1360" s="1">
        <v>46219</v>
      </c>
      <c r="E1360" t="s">
        <v>1568</v>
      </c>
      <c r="F1360" t="s">
        <v>68</v>
      </c>
      <c r="G1360" t="s">
        <v>295</v>
      </c>
      <c r="H1360" t="s">
        <v>296</v>
      </c>
      <c r="I1360" t="s">
        <v>71</v>
      </c>
      <c r="J1360" t="s">
        <v>72</v>
      </c>
      <c r="K1360" t="s">
        <v>73</v>
      </c>
      <c r="L1360" t="s">
        <v>74</v>
      </c>
      <c r="M1360" t="s">
        <v>684</v>
      </c>
      <c r="N1360" t="s">
        <v>274</v>
      </c>
      <c r="O1360" t="s">
        <v>685</v>
      </c>
      <c r="P1360" t="s">
        <v>686</v>
      </c>
      <c r="Q1360" t="s">
        <v>1569</v>
      </c>
      <c r="R1360" s="1">
        <v>46220</v>
      </c>
      <c r="S1360" t="s">
        <v>688</v>
      </c>
      <c r="T1360" t="s">
        <v>689</v>
      </c>
      <c r="U1360" t="s">
        <v>690</v>
      </c>
      <c r="V1360" t="s">
        <v>66</v>
      </c>
      <c r="W1360" t="s">
        <v>66</v>
      </c>
      <c r="X1360">
        <v>631200</v>
      </c>
      <c r="Y1360">
        <v>69432</v>
      </c>
      <c r="Z1360">
        <v>86400</v>
      </c>
      <c r="AA1360">
        <v>9504</v>
      </c>
      <c r="AB1360">
        <v>700632</v>
      </c>
      <c r="AC1360">
        <v>6</v>
      </c>
      <c r="AD1360" t="s">
        <v>82</v>
      </c>
      <c r="AE1360">
        <v>6</v>
      </c>
      <c r="AF1360" t="s">
        <v>141</v>
      </c>
      <c r="AG1360">
        <f>IFERROR(VLOOKUP(AF1360,[1]STOK!J:O,6,0),"")</f>
        <v>12</v>
      </c>
      <c r="AH1360" s="2">
        <f t="shared" si="42"/>
        <v>0.5</v>
      </c>
      <c r="AI1360" t="s">
        <v>141</v>
      </c>
      <c r="AJ1360" t="s">
        <v>142</v>
      </c>
      <c r="AK1360" t="s">
        <v>143</v>
      </c>
      <c r="AL1360" t="s">
        <v>86</v>
      </c>
      <c r="AM1360">
        <v>15984</v>
      </c>
      <c r="AN1360">
        <f t="shared" si="43"/>
        <v>15984</v>
      </c>
      <c r="AO1360" t="s">
        <v>66</v>
      </c>
      <c r="AP1360">
        <v>0</v>
      </c>
      <c r="AQ1360" t="s">
        <v>66</v>
      </c>
      <c r="AR1360">
        <v>0</v>
      </c>
      <c r="AS1360" t="s">
        <v>66</v>
      </c>
      <c r="AT1360">
        <v>0</v>
      </c>
      <c r="AU1360" t="s">
        <v>66</v>
      </c>
      <c r="AV1360">
        <v>0</v>
      </c>
      <c r="AW1360" t="s">
        <v>66</v>
      </c>
      <c r="AX1360">
        <v>0</v>
      </c>
      <c r="AY1360" t="s">
        <v>66</v>
      </c>
      <c r="AZ1360">
        <v>0</v>
      </c>
      <c r="BA1360" t="s">
        <v>66</v>
      </c>
      <c r="BB1360">
        <v>0</v>
      </c>
      <c r="BC1360">
        <v>0</v>
      </c>
      <c r="BD1360">
        <v>95904</v>
      </c>
      <c r="BE1360">
        <v>12915.05</v>
      </c>
      <c r="BF1360">
        <v>0</v>
      </c>
      <c r="BG1360" t="s">
        <v>87</v>
      </c>
      <c r="BH1360" t="s">
        <v>66</v>
      </c>
      <c r="BI1360">
        <v>0</v>
      </c>
      <c r="BJ1360" t="s">
        <v>66</v>
      </c>
      <c r="BK1360" t="s">
        <v>88</v>
      </c>
      <c r="BL1360" t="s">
        <v>66</v>
      </c>
      <c r="BM1360" t="s">
        <v>159</v>
      </c>
    </row>
    <row r="1361" spans="1:65" x14ac:dyDescent="0.25">
      <c r="A1361">
        <v>1359</v>
      </c>
      <c r="B1361" t="s">
        <v>1570</v>
      </c>
      <c r="C1361" t="s">
        <v>68</v>
      </c>
      <c r="D1361" s="1">
        <v>46219</v>
      </c>
      <c r="E1361" t="s">
        <v>1571</v>
      </c>
      <c r="F1361" t="s">
        <v>68</v>
      </c>
      <c r="G1361" t="s">
        <v>295</v>
      </c>
      <c r="H1361" t="s">
        <v>296</v>
      </c>
      <c r="I1361" t="s">
        <v>71</v>
      </c>
      <c r="J1361" t="s">
        <v>72</v>
      </c>
      <c r="K1361" t="s">
        <v>73</v>
      </c>
      <c r="L1361" t="s">
        <v>74</v>
      </c>
      <c r="M1361" t="s">
        <v>1205</v>
      </c>
      <c r="N1361" t="s">
        <v>274</v>
      </c>
      <c r="O1361" t="s">
        <v>1206</v>
      </c>
      <c r="P1361" t="s">
        <v>1207</v>
      </c>
      <c r="Q1361" t="s">
        <v>1572</v>
      </c>
      <c r="R1361" s="1">
        <v>46221</v>
      </c>
      <c r="S1361" t="s">
        <v>1209</v>
      </c>
      <c r="T1361" t="s">
        <v>1210</v>
      </c>
      <c r="U1361" t="s">
        <v>1211</v>
      </c>
      <c r="V1361" t="s">
        <v>66</v>
      </c>
      <c r="W1361" t="s">
        <v>66</v>
      </c>
      <c r="X1361">
        <v>2530440</v>
      </c>
      <c r="Y1361">
        <v>278348.40000000002</v>
      </c>
      <c r="Z1361">
        <v>392040</v>
      </c>
      <c r="AA1361">
        <v>43124.4</v>
      </c>
      <c r="AB1361">
        <v>2808788.4</v>
      </c>
      <c r="AC1361">
        <v>24</v>
      </c>
      <c r="AD1361" t="s">
        <v>82</v>
      </c>
      <c r="AE1361">
        <v>24</v>
      </c>
      <c r="AF1361" t="s">
        <v>93</v>
      </c>
      <c r="AG1361">
        <f>IFERROR(VLOOKUP(AF1361,[1]STOK!J:O,6,0),"")</f>
        <v>24</v>
      </c>
      <c r="AH1361" s="2">
        <f t="shared" si="42"/>
        <v>1</v>
      </c>
      <c r="AI1361" t="s">
        <v>93</v>
      </c>
      <c r="AJ1361" t="s">
        <v>94</v>
      </c>
      <c r="AK1361" t="s">
        <v>95</v>
      </c>
      <c r="AL1361" t="s">
        <v>86</v>
      </c>
      <c r="AM1361">
        <v>18315</v>
      </c>
      <c r="AN1361">
        <f t="shared" si="43"/>
        <v>18131.850000000002</v>
      </c>
      <c r="AO1361" t="s">
        <v>66</v>
      </c>
      <c r="AP1361">
        <v>1</v>
      </c>
      <c r="AQ1361" t="s">
        <v>66</v>
      </c>
      <c r="AR1361">
        <v>0</v>
      </c>
      <c r="AS1361" t="s">
        <v>66</v>
      </c>
      <c r="AT1361">
        <v>0</v>
      </c>
      <c r="AU1361" t="s">
        <v>66</v>
      </c>
      <c r="AV1361">
        <v>0</v>
      </c>
      <c r="AW1361" t="s">
        <v>66</v>
      </c>
      <c r="AX1361">
        <v>0</v>
      </c>
      <c r="AY1361" t="s">
        <v>66</v>
      </c>
      <c r="AZ1361">
        <v>0</v>
      </c>
      <c r="BA1361" t="s">
        <v>66</v>
      </c>
      <c r="BB1361">
        <v>0</v>
      </c>
      <c r="BC1361">
        <v>0</v>
      </c>
      <c r="BD1361">
        <v>435164.4</v>
      </c>
      <c r="BE1361">
        <v>14878.51</v>
      </c>
      <c r="BF1361">
        <v>0</v>
      </c>
      <c r="BG1361" t="s">
        <v>87</v>
      </c>
      <c r="BH1361" t="s">
        <v>66</v>
      </c>
      <c r="BI1361">
        <v>0</v>
      </c>
      <c r="BJ1361" t="s">
        <v>66</v>
      </c>
      <c r="BK1361" t="s">
        <v>88</v>
      </c>
      <c r="BL1361" t="s">
        <v>66</v>
      </c>
      <c r="BM1361" t="s">
        <v>159</v>
      </c>
    </row>
    <row r="1362" spans="1:65" x14ac:dyDescent="0.25">
      <c r="A1362">
        <v>1360</v>
      </c>
      <c r="B1362" t="s">
        <v>1570</v>
      </c>
      <c r="C1362" t="s">
        <v>68</v>
      </c>
      <c r="D1362" s="1">
        <v>46219</v>
      </c>
      <c r="E1362" t="s">
        <v>1571</v>
      </c>
      <c r="F1362" t="s">
        <v>68</v>
      </c>
      <c r="G1362" t="s">
        <v>295</v>
      </c>
      <c r="H1362" t="s">
        <v>296</v>
      </c>
      <c r="I1362" t="s">
        <v>71</v>
      </c>
      <c r="J1362" t="s">
        <v>72</v>
      </c>
      <c r="K1362" t="s">
        <v>73</v>
      </c>
      <c r="L1362" t="s">
        <v>74</v>
      </c>
      <c r="M1362" t="s">
        <v>1205</v>
      </c>
      <c r="N1362" t="s">
        <v>274</v>
      </c>
      <c r="O1362" t="s">
        <v>1206</v>
      </c>
      <c r="P1362" t="s">
        <v>1207</v>
      </c>
      <c r="Q1362" t="s">
        <v>1572</v>
      </c>
      <c r="R1362" s="1">
        <v>46221</v>
      </c>
      <c r="S1362" t="s">
        <v>1209</v>
      </c>
      <c r="T1362" t="s">
        <v>1210</v>
      </c>
      <c r="U1362" t="s">
        <v>1211</v>
      </c>
      <c r="V1362" t="s">
        <v>66</v>
      </c>
      <c r="W1362" t="s">
        <v>66</v>
      </c>
      <c r="X1362">
        <v>2530440</v>
      </c>
      <c r="Y1362">
        <v>278348.40000000002</v>
      </c>
      <c r="Z1362">
        <v>2138400</v>
      </c>
      <c r="AA1362">
        <v>235224</v>
      </c>
      <c r="AB1362">
        <v>2808788.4</v>
      </c>
      <c r="AC1362">
        <v>108</v>
      </c>
      <c r="AD1362" t="s">
        <v>82</v>
      </c>
      <c r="AE1362">
        <v>108</v>
      </c>
      <c r="AF1362" t="s">
        <v>290</v>
      </c>
      <c r="AG1362">
        <f>IFERROR(VLOOKUP(AF1362,[1]STOK!J:O,6,0),"")</f>
        <v>12</v>
      </c>
      <c r="AH1362" s="2">
        <f t="shared" si="42"/>
        <v>9</v>
      </c>
      <c r="AI1362" t="s">
        <v>290</v>
      </c>
      <c r="AJ1362" t="s">
        <v>291</v>
      </c>
      <c r="AK1362" t="s">
        <v>292</v>
      </c>
      <c r="AL1362" t="s">
        <v>86</v>
      </c>
      <c r="AM1362">
        <v>22200</v>
      </c>
      <c r="AN1362">
        <f t="shared" si="43"/>
        <v>21978</v>
      </c>
      <c r="AO1362" t="s">
        <v>66</v>
      </c>
      <c r="AP1362">
        <v>1</v>
      </c>
      <c r="AQ1362" t="s">
        <v>66</v>
      </c>
      <c r="AR1362">
        <v>0</v>
      </c>
      <c r="AS1362" t="s">
        <v>66</v>
      </c>
      <c r="AT1362">
        <v>0</v>
      </c>
      <c r="AU1362" t="s">
        <v>66</v>
      </c>
      <c r="AV1362">
        <v>0</v>
      </c>
      <c r="AW1362" t="s">
        <v>66</v>
      </c>
      <c r="AX1362">
        <v>0</v>
      </c>
      <c r="AY1362" t="s">
        <v>66</v>
      </c>
      <c r="AZ1362">
        <v>0</v>
      </c>
      <c r="BA1362" t="s">
        <v>66</v>
      </c>
      <c r="BB1362">
        <v>0</v>
      </c>
      <c r="BC1362">
        <v>0</v>
      </c>
      <c r="BD1362">
        <v>2373624</v>
      </c>
      <c r="BE1362">
        <v>18155.62</v>
      </c>
      <c r="BF1362">
        <v>0</v>
      </c>
      <c r="BG1362" t="s">
        <v>87</v>
      </c>
      <c r="BH1362" t="s">
        <v>66</v>
      </c>
      <c r="BI1362">
        <v>0</v>
      </c>
      <c r="BJ1362" t="s">
        <v>66</v>
      </c>
      <c r="BK1362" t="s">
        <v>88</v>
      </c>
      <c r="BL1362" t="s">
        <v>66</v>
      </c>
      <c r="BM1362" t="s">
        <v>159</v>
      </c>
    </row>
    <row r="1363" spans="1:65" x14ac:dyDescent="0.25">
      <c r="A1363">
        <v>1361</v>
      </c>
      <c r="B1363" t="s">
        <v>1573</v>
      </c>
      <c r="C1363" t="s">
        <v>68</v>
      </c>
      <c r="D1363" s="1">
        <v>46219</v>
      </c>
      <c r="E1363" t="s">
        <v>1574</v>
      </c>
      <c r="F1363" t="s">
        <v>68</v>
      </c>
      <c r="G1363" t="s">
        <v>295</v>
      </c>
      <c r="H1363" t="s">
        <v>296</v>
      </c>
      <c r="I1363" t="s">
        <v>71</v>
      </c>
      <c r="J1363" t="s">
        <v>72</v>
      </c>
      <c r="K1363" t="s">
        <v>73</v>
      </c>
      <c r="L1363" t="s">
        <v>74</v>
      </c>
      <c r="M1363" t="s">
        <v>1134</v>
      </c>
      <c r="N1363" t="s">
        <v>111</v>
      </c>
      <c r="O1363" t="s">
        <v>1135</v>
      </c>
      <c r="P1363" t="s">
        <v>1136</v>
      </c>
      <c r="Q1363" t="s">
        <v>1575</v>
      </c>
      <c r="R1363" s="1">
        <v>46220</v>
      </c>
      <c r="S1363" t="s">
        <v>1138</v>
      </c>
      <c r="T1363" t="s">
        <v>1139</v>
      </c>
      <c r="U1363" t="s">
        <v>1140</v>
      </c>
      <c r="V1363" t="s">
        <v>66</v>
      </c>
      <c r="W1363" t="s">
        <v>66</v>
      </c>
      <c r="X1363">
        <v>4575522</v>
      </c>
      <c r="Y1363">
        <v>503307.42</v>
      </c>
      <c r="Z1363">
        <v>108744</v>
      </c>
      <c r="AA1363">
        <v>11961.84</v>
      </c>
      <c r="AB1363">
        <v>5078829.42</v>
      </c>
      <c r="AC1363">
        <v>6</v>
      </c>
      <c r="AD1363" t="s">
        <v>82</v>
      </c>
      <c r="AE1363">
        <v>6</v>
      </c>
      <c r="AF1363" t="s">
        <v>160</v>
      </c>
      <c r="AG1363">
        <f>IFERROR(VLOOKUP(AF1363,[1]STOK!J:O,6,0),"")</f>
        <v>12</v>
      </c>
      <c r="AH1363" s="2">
        <f t="shared" si="42"/>
        <v>0.5</v>
      </c>
      <c r="AI1363" t="s">
        <v>160</v>
      </c>
      <c r="AJ1363" t="s">
        <v>161</v>
      </c>
      <c r="AK1363" t="s">
        <v>162</v>
      </c>
      <c r="AL1363" t="s">
        <v>86</v>
      </c>
      <c r="AM1363">
        <v>20424</v>
      </c>
      <c r="AN1363">
        <f t="shared" si="43"/>
        <v>20117.64</v>
      </c>
      <c r="AO1363" t="s">
        <v>66</v>
      </c>
      <c r="AP1363">
        <v>1.5</v>
      </c>
      <c r="AQ1363" t="s">
        <v>66</v>
      </c>
      <c r="AR1363">
        <v>0</v>
      </c>
      <c r="AS1363" t="s">
        <v>66</v>
      </c>
      <c r="AT1363">
        <v>0</v>
      </c>
      <c r="AU1363" t="s">
        <v>66</v>
      </c>
      <c r="AV1363">
        <v>0</v>
      </c>
      <c r="AW1363" t="s">
        <v>66</v>
      </c>
      <c r="AX1363">
        <v>0</v>
      </c>
      <c r="AY1363" t="s">
        <v>66</v>
      </c>
      <c r="AZ1363">
        <v>0</v>
      </c>
      <c r="BA1363" t="s">
        <v>66</v>
      </c>
      <c r="BB1363">
        <v>0</v>
      </c>
      <c r="BC1363">
        <v>0</v>
      </c>
      <c r="BD1363">
        <v>120705.84</v>
      </c>
      <c r="BE1363">
        <v>15433.08</v>
      </c>
      <c r="BF1363">
        <v>0</v>
      </c>
      <c r="BG1363" t="s">
        <v>87</v>
      </c>
      <c r="BH1363" t="s">
        <v>66</v>
      </c>
      <c r="BI1363">
        <v>0</v>
      </c>
      <c r="BJ1363" t="s">
        <v>66</v>
      </c>
      <c r="BK1363" t="s">
        <v>88</v>
      </c>
      <c r="BL1363" t="s">
        <v>66</v>
      </c>
      <c r="BM1363" t="s">
        <v>159</v>
      </c>
    </row>
    <row r="1364" spans="1:65" x14ac:dyDescent="0.25">
      <c r="A1364">
        <v>1362</v>
      </c>
      <c r="B1364" t="s">
        <v>1573</v>
      </c>
      <c r="C1364" t="s">
        <v>68</v>
      </c>
      <c r="D1364" s="1">
        <v>46219</v>
      </c>
      <c r="E1364" t="s">
        <v>1574</v>
      </c>
      <c r="F1364" t="s">
        <v>68</v>
      </c>
      <c r="G1364" t="s">
        <v>295</v>
      </c>
      <c r="H1364" t="s">
        <v>296</v>
      </c>
      <c r="I1364" t="s">
        <v>71</v>
      </c>
      <c r="J1364" t="s">
        <v>72</v>
      </c>
      <c r="K1364" t="s">
        <v>73</v>
      </c>
      <c r="L1364" t="s">
        <v>74</v>
      </c>
      <c r="M1364" t="s">
        <v>1134</v>
      </c>
      <c r="N1364" t="s">
        <v>111</v>
      </c>
      <c r="O1364" t="s">
        <v>1135</v>
      </c>
      <c r="P1364" t="s">
        <v>1136</v>
      </c>
      <c r="Q1364" t="s">
        <v>1575</v>
      </c>
      <c r="R1364" s="1">
        <v>46220</v>
      </c>
      <c r="S1364" t="s">
        <v>1138</v>
      </c>
      <c r="T1364" t="s">
        <v>1139</v>
      </c>
      <c r="U1364" t="s">
        <v>1140</v>
      </c>
      <c r="V1364" t="s">
        <v>66</v>
      </c>
      <c r="W1364" t="s">
        <v>66</v>
      </c>
      <c r="X1364">
        <v>4575522</v>
      </c>
      <c r="Y1364">
        <v>503307.42</v>
      </c>
      <c r="Z1364">
        <v>108744</v>
      </c>
      <c r="AA1364">
        <v>11961.84</v>
      </c>
      <c r="AB1364">
        <v>5078829.42</v>
      </c>
      <c r="AC1364">
        <v>6</v>
      </c>
      <c r="AD1364" t="s">
        <v>82</v>
      </c>
      <c r="AE1364">
        <v>6</v>
      </c>
      <c r="AF1364" t="s">
        <v>116</v>
      </c>
      <c r="AG1364">
        <f>IFERROR(VLOOKUP(AF1364,[1]STOK!J:O,6,0),"")</f>
        <v>12</v>
      </c>
      <c r="AH1364" s="2">
        <f t="shared" si="42"/>
        <v>0.5</v>
      </c>
      <c r="AI1364" t="s">
        <v>116</v>
      </c>
      <c r="AJ1364" t="s">
        <v>117</v>
      </c>
      <c r="AK1364" t="s">
        <v>118</v>
      </c>
      <c r="AL1364" t="s">
        <v>86</v>
      </c>
      <c r="AM1364">
        <v>20424</v>
      </c>
      <c r="AN1364">
        <f t="shared" si="43"/>
        <v>20117.64</v>
      </c>
      <c r="AO1364" t="s">
        <v>66</v>
      </c>
      <c r="AP1364">
        <v>1.5</v>
      </c>
      <c r="AQ1364" t="s">
        <v>66</v>
      </c>
      <c r="AR1364">
        <v>0</v>
      </c>
      <c r="AS1364" t="s">
        <v>66</v>
      </c>
      <c r="AT1364">
        <v>0</v>
      </c>
      <c r="AU1364" t="s">
        <v>66</v>
      </c>
      <c r="AV1364">
        <v>0</v>
      </c>
      <c r="AW1364" t="s">
        <v>66</v>
      </c>
      <c r="AX1364">
        <v>0</v>
      </c>
      <c r="AY1364" t="s">
        <v>66</v>
      </c>
      <c r="AZ1364">
        <v>0</v>
      </c>
      <c r="BA1364" t="s">
        <v>66</v>
      </c>
      <c r="BB1364">
        <v>0</v>
      </c>
      <c r="BC1364">
        <v>0</v>
      </c>
      <c r="BD1364">
        <v>120705.84</v>
      </c>
      <c r="BE1364">
        <v>16396.03</v>
      </c>
      <c r="BF1364">
        <v>0</v>
      </c>
      <c r="BG1364" t="s">
        <v>87</v>
      </c>
      <c r="BH1364" t="s">
        <v>66</v>
      </c>
      <c r="BI1364">
        <v>0</v>
      </c>
      <c r="BJ1364" t="s">
        <v>66</v>
      </c>
      <c r="BK1364" t="s">
        <v>88</v>
      </c>
      <c r="BL1364" t="s">
        <v>66</v>
      </c>
      <c r="BM1364" t="s">
        <v>159</v>
      </c>
    </row>
    <row r="1365" spans="1:65" x14ac:dyDescent="0.25">
      <c r="A1365">
        <v>1363</v>
      </c>
      <c r="B1365" t="s">
        <v>1573</v>
      </c>
      <c r="C1365" t="s">
        <v>68</v>
      </c>
      <c r="D1365" s="1">
        <v>46219</v>
      </c>
      <c r="E1365" t="s">
        <v>1574</v>
      </c>
      <c r="F1365" t="s">
        <v>68</v>
      </c>
      <c r="G1365" t="s">
        <v>295</v>
      </c>
      <c r="H1365" t="s">
        <v>296</v>
      </c>
      <c r="I1365" t="s">
        <v>71</v>
      </c>
      <c r="J1365" t="s">
        <v>72</v>
      </c>
      <c r="K1365" t="s">
        <v>73</v>
      </c>
      <c r="L1365" t="s">
        <v>74</v>
      </c>
      <c r="M1365" t="s">
        <v>1134</v>
      </c>
      <c r="N1365" t="s">
        <v>111</v>
      </c>
      <c r="O1365" t="s">
        <v>1135</v>
      </c>
      <c r="P1365" t="s">
        <v>1136</v>
      </c>
      <c r="Q1365" t="s">
        <v>1575</v>
      </c>
      <c r="R1365" s="1">
        <v>46220</v>
      </c>
      <c r="S1365" t="s">
        <v>1138</v>
      </c>
      <c r="T1365" t="s">
        <v>1139</v>
      </c>
      <c r="U1365" t="s">
        <v>1140</v>
      </c>
      <c r="V1365" t="s">
        <v>66</v>
      </c>
      <c r="W1365" t="s">
        <v>66</v>
      </c>
      <c r="X1365">
        <v>4575522</v>
      </c>
      <c r="Y1365">
        <v>503307.42</v>
      </c>
      <c r="Z1365">
        <v>390060</v>
      </c>
      <c r="AA1365">
        <v>42906.6</v>
      </c>
      <c r="AB1365">
        <v>5078829.42</v>
      </c>
      <c r="AC1365">
        <v>24</v>
      </c>
      <c r="AD1365" t="s">
        <v>82</v>
      </c>
      <c r="AE1365">
        <v>24</v>
      </c>
      <c r="AF1365" t="s">
        <v>128</v>
      </c>
      <c r="AG1365">
        <f>IFERROR(VLOOKUP(AF1365,[1]STOK!J:O,6,0),"")</f>
        <v>24</v>
      </c>
      <c r="AH1365" s="2">
        <f t="shared" si="42"/>
        <v>1</v>
      </c>
      <c r="AI1365" t="s">
        <v>128</v>
      </c>
      <c r="AJ1365" t="s">
        <v>129</v>
      </c>
      <c r="AK1365" t="s">
        <v>130</v>
      </c>
      <c r="AL1365" t="s">
        <v>86</v>
      </c>
      <c r="AM1365">
        <v>18315</v>
      </c>
      <c r="AN1365">
        <f t="shared" si="43"/>
        <v>18040.274999999998</v>
      </c>
      <c r="AO1365" t="s">
        <v>66</v>
      </c>
      <c r="AP1365">
        <v>1.5</v>
      </c>
      <c r="AQ1365" t="s">
        <v>66</v>
      </c>
      <c r="AR1365">
        <v>0</v>
      </c>
      <c r="AS1365" t="s">
        <v>66</v>
      </c>
      <c r="AT1365">
        <v>0</v>
      </c>
      <c r="AU1365" t="s">
        <v>66</v>
      </c>
      <c r="AV1365">
        <v>0</v>
      </c>
      <c r="AW1365" t="s">
        <v>66</v>
      </c>
      <c r="AX1365">
        <v>0</v>
      </c>
      <c r="AY1365" t="s">
        <v>66</v>
      </c>
      <c r="AZ1365">
        <v>0</v>
      </c>
      <c r="BA1365" t="s">
        <v>66</v>
      </c>
      <c r="BB1365">
        <v>0</v>
      </c>
      <c r="BC1365">
        <v>0</v>
      </c>
      <c r="BD1365">
        <v>432966.6</v>
      </c>
      <c r="BE1365">
        <v>14619.11</v>
      </c>
      <c r="BF1365">
        <v>0</v>
      </c>
      <c r="BG1365" t="s">
        <v>87</v>
      </c>
      <c r="BH1365" t="s">
        <v>66</v>
      </c>
      <c r="BI1365">
        <v>0</v>
      </c>
      <c r="BJ1365" t="s">
        <v>66</v>
      </c>
      <c r="BK1365" t="s">
        <v>88</v>
      </c>
      <c r="BL1365" t="s">
        <v>66</v>
      </c>
      <c r="BM1365" t="s">
        <v>159</v>
      </c>
    </row>
    <row r="1366" spans="1:65" x14ac:dyDescent="0.25">
      <c r="A1366">
        <v>1364</v>
      </c>
      <c r="B1366" t="s">
        <v>1573</v>
      </c>
      <c r="C1366" t="s">
        <v>68</v>
      </c>
      <c r="D1366" s="1">
        <v>46219</v>
      </c>
      <c r="E1366" t="s">
        <v>1574</v>
      </c>
      <c r="F1366" t="s">
        <v>68</v>
      </c>
      <c r="G1366" t="s">
        <v>295</v>
      </c>
      <c r="H1366" t="s">
        <v>296</v>
      </c>
      <c r="I1366" t="s">
        <v>71</v>
      </c>
      <c r="J1366" t="s">
        <v>72</v>
      </c>
      <c r="K1366" t="s">
        <v>73</v>
      </c>
      <c r="L1366" t="s">
        <v>74</v>
      </c>
      <c r="M1366" t="s">
        <v>1134</v>
      </c>
      <c r="N1366" t="s">
        <v>111</v>
      </c>
      <c r="O1366" t="s">
        <v>1135</v>
      </c>
      <c r="P1366" t="s">
        <v>1136</v>
      </c>
      <c r="Q1366" t="s">
        <v>1575</v>
      </c>
      <c r="R1366" s="1">
        <v>46220</v>
      </c>
      <c r="S1366" t="s">
        <v>1138</v>
      </c>
      <c r="T1366" t="s">
        <v>1139</v>
      </c>
      <c r="U1366" t="s">
        <v>1140</v>
      </c>
      <c r="V1366" t="s">
        <v>66</v>
      </c>
      <c r="W1366" t="s">
        <v>66</v>
      </c>
      <c r="X1366">
        <v>4575522</v>
      </c>
      <c r="Y1366">
        <v>503307.42</v>
      </c>
      <c r="Z1366">
        <v>390060</v>
      </c>
      <c r="AA1366">
        <v>42906.6</v>
      </c>
      <c r="AB1366">
        <v>5078829.42</v>
      </c>
      <c r="AC1366">
        <v>24</v>
      </c>
      <c r="AD1366" t="s">
        <v>82</v>
      </c>
      <c r="AE1366">
        <v>24</v>
      </c>
      <c r="AF1366" t="s">
        <v>93</v>
      </c>
      <c r="AG1366">
        <f>IFERROR(VLOOKUP(AF1366,[1]STOK!J:O,6,0),"")</f>
        <v>24</v>
      </c>
      <c r="AH1366" s="2">
        <f t="shared" si="42"/>
        <v>1</v>
      </c>
      <c r="AI1366" t="s">
        <v>93</v>
      </c>
      <c r="AJ1366" t="s">
        <v>94</v>
      </c>
      <c r="AK1366" t="s">
        <v>95</v>
      </c>
      <c r="AL1366" t="s">
        <v>86</v>
      </c>
      <c r="AM1366">
        <v>18315</v>
      </c>
      <c r="AN1366">
        <f t="shared" si="43"/>
        <v>18040.274999999998</v>
      </c>
      <c r="AO1366" t="s">
        <v>66</v>
      </c>
      <c r="AP1366">
        <v>1.5</v>
      </c>
      <c r="AQ1366" t="s">
        <v>66</v>
      </c>
      <c r="AR1366">
        <v>0</v>
      </c>
      <c r="AS1366" t="s">
        <v>66</v>
      </c>
      <c r="AT1366">
        <v>0</v>
      </c>
      <c r="AU1366" t="s">
        <v>66</v>
      </c>
      <c r="AV1366">
        <v>0</v>
      </c>
      <c r="AW1366" t="s">
        <v>66</v>
      </c>
      <c r="AX1366">
        <v>0</v>
      </c>
      <c r="AY1366" t="s">
        <v>66</v>
      </c>
      <c r="AZ1366">
        <v>0</v>
      </c>
      <c r="BA1366" t="s">
        <v>66</v>
      </c>
      <c r="BB1366">
        <v>0</v>
      </c>
      <c r="BC1366">
        <v>0</v>
      </c>
      <c r="BD1366">
        <v>432966.6</v>
      </c>
      <c r="BE1366">
        <v>14878.51</v>
      </c>
      <c r="BF1366">
        <v>0</v>
      </c>
      <c r="BG1366" t="s">
        <v>87</v>
      </c>
      <c r="BH1366" t="s">
        <v>66</v>
      </c>
      <c r="BI1366">
        <v>0</v>
      </c>
      <c r="BJ1366" t="s">
        <v>66</v>
      </c>
      <c r="BK1366" t="s">
        <v>88</v>
      </c>
      <c r="BL1366" t="s">
        <v>66</v>
      </c>
      <c r="BM1366" t="s">
        <v>159</v>
      </c>
    </row>
    <row r="1367" spans="1:65" x14ac:dyDescent="0.25">
      <c r="A1367">
        <v>1365</v>
      </c>
      <c r="B1367" t="s">
        <v>1573</v>
      </c>
      <c r="C1367" t="s">
        <v>68</v>
      </c>
      <c r="D1367" s="1">
        <v>46219</v>
      </c>
      <c r="E1367" t="s">
        <v>1574</v>
      </c>
      <c r="F1367" t="s">
        <v>68</v>
      </c>
      <c r="G1367" t="s">
        <v>295</v>
      </c>
      <c r="H1367" t="s">
        <v>296</v>
      </c>
      <c r="I1367" t="s">
        <v>71</v>
      </c>
      <c r="J1367" t="s">
        <v>72</v>
      </c>
      <c r="K1367" t="s">
        <v>73</v>
      </c>
      <c r="L1367" t="s">
        <v>74</v>
      </c>
      <c r="M1367" t="s">
        <v>1134</v>
      </c>
      <c r="N1367" t="s">
        <v>111</v>
      </c>
      <c r="O1367" t="s">
        <v>1135</v>
      </c>
      <c r="P1367" t="s">
        <v>1136</v>
      </c>
      <c r="Q1367" t="s">
        <v>1575</v>
      </c>
      <c r="R1367" s="1">
        <v>46220</v>
      </c>
      <c r="S1367" t="s">
        <v>1138</v>
      </c>
      <c r="T1367" t="s">
        <v>1139</v>
      </c>
      <c r="U1367" t="s">
        <v>1140</v>
      </c>
      <c r="V1367" t="s">
        <v>66</v>
      </c>
      <c r="W1367" t="s">
        <v>66</v>
      </c>
      <c r="X1367">
        <v>4575522</v>
      </c>
      <c r="Y1367">
        <v>503307.42</v>
      </c>
      <c r="Z1367">
        <v>458616</v>
      </c>
      <c r="AA1367">
        <v>50447.76</v>
      </c>
      <c r="AB1367">
        <v>5078829.42</v>
      </c>
      <c r="AC1367">
        <v>24</v>
      </c>
      <c r="AD1367" t="s">
        <v>82</v>
      </c>
      <c r="AE1367">
        <v>24</v>
      </c>
      <c r="AF1367" t="s">
        <v>470</v>
      </c>
      <c r="AG1367">
        <f>IFERROR(VLOOKUP(AF1367,[1]STOK!J:O,6,0),"")</f>
        <v>24</v>
      </c>
      <c r="AH1367" s="2">
        <f t="shared" si="42"/>
        <v>1</v>
      </c>
      <c r="AI1367" t="s">
        <v>470</v>
      </c>
      <c r="AJ1367" t="s">
        <v>471</v>
      </c>
      <c r="AK1367" t="s">
        <v>472</v>
      </c>
      <c r="AL1367" t="s">
        <v>86</v>
      </c>
      <c r="AM1367">
        <v>21534</v>
      </c>
      <c r="AN1367">
        <f t="shared" si="43"/>
        <v>21210.99</v>
      </c>
      <c r="AO1367" t="s">
        <v>66</v>
      </c>
      <c r="AP1367">
        <v>1.5</v>
      </c>
      <c r="AQ1367" t="s">
        <v>66</v>
      </c>
      <c r="AR1367">
        <v>0</v>
      </c>
      <c r="AS1367" t="s">
        <v>66</v>
      </c>
      <c r="AT1367">
        <v>0</v>
      </c>
      <c r="AU1367" t="s">
        <v>66</v>
      </c>
      <c r="AV1367">
        <v>0</v>
      </c>
      <c r="AW1367" t="s">
        <v>66</v>
      </c>
      <c r="AX1367">
        <v>0</v>
      </c>
      <c r="AY1367" t="s">
        <v>66</v>
      </c>
      <c r="AZ1367">
        <v>0</v>
      </c>
      <c r="BA1367" t="s">
        <v>66</v>
      </c>
      <c r="BB1367">
        <v>0</v>
      </c>
      <c r="BC1367">
        <v>0</v>
      </c>
      <c r="BD1367">
        <v>509063.76</v>
      </c>
      <c r="BE1367">
        <v>17046.02</v>
      </c>
      <c r="BF1367">
        <v>0</v>
      </c>
      <c r="BG1367" t="s">
        <v>87</v>
      </c>
      <c r="BH1367" t="s">
        <v>66</v>
      </c>
      <c r="BI1367">
        <v>0</v>
      </c>
      <c r="BJ1367" t="s">
        <v>66</v>
      </c>
      <c r="BK1367" t="s">
        <v>88</v>
      </c>
      <c r="BL1367" t="s">
        <v>66</v>
      </c>
      <c r="BM1367" t="s">
        <v>159</v>
      </c>
    </row>
    <row r="1368" spans="1:65" x14ac:dyDescent="0.25">
      <c r="A1368">
        <v>1366</v>
      </c>
      <c r="B1368" t="s">
        <v>1573</v>
      </c>
      <c r="C1368" t="s">
        <v>68</v>
      </c>
      <c r="D1368" s="1">
        <v>46219</v>
      </c>
      <c r="E1368" t="s">
        <v>1574</v>
      </c>
      <c r="F1368" t="s">
        <v>68</v>
      </c>
      <c r="G1368" t="s">
        <v>295</v>
      </c>
      <c r="H1368" t="s">
        <v>296</v>
      </c>
      <c r="I1368" t="s">
        <v>71</v>
      </c>
      <c r="J1368" t="s">
        <v>72</v>
      </c>
      <c r="K1368" t="s">
        <v>73</v>
      </c>
      <c r="L1368" t="s">
        <v>74</v>
      </c>
      <c r="M1368" t="s">
        <v>1134</v>
      </c>
      <c r="N1368" t="s">
        <v>111</v>
      </c>
      <c r="O1368" t="s">
        <v>1135</v>
      </c>
      <c r="P1368" t="s">
        <v>1136</v>
      </c>
      <c r="Q1368" t="s">
        <v>1575</v>
      </c>
      <c r="R1368" s="1">
        <v>46220</v>
      </c>
      <c r="S1368" t="s">
        <v>1138</v>
      </c>
      <c r="T1368" t="s">
        <v>1139</v>
      </c>
      <c r="U1368" t="s">
        <v>1140</v>
      </c>
      <c r="V1368" t="s">
        <v>66</v>
      </c>
      <c r="W1368" t="s">
        <v>66</v>
      </c>
      <c r="X1368">
        <v>4575522</v>
      </c>
      <c r="Y1368">
        <v>503307.42</v>
      </c>
      <c r="Z1368">
        <v>458616</v>
      </c>
      <c r="AA1368">
        <v>50447.76</v>
      </c>
      <c r="AB1368">
        <v>5078829.42</v>
      </c>
      <c r="AC1368">
        <v>24</v>
      </c>
      <c r="AD1368" t="s">
        <v>82</v>
      </c>
      <c r="AE1368">
        <v>24</v>
      </c>
      <c r="AF1368" t="s">
        <v>281</v>
      </c>
      <c r="AG1368">
        <f>IFERROR(VLOOKUP(AF1368,[1]STOK!J:O,6,0),"")</f>
        <v>24</v>
      </c>
      <c r="AH1368" s="2">
        <f t="shared" si="42"/>
        <v>1</v>
      </c>
      <c r="AI1368" t="s">
        <v>281</v>
      </c>
      <c r="AJ1368" t="s">
        <v>282</v>
      </c>
      <c r="AK1368" t="s">
        <v>283</v>
      </c>
      <c r="AL1368" t="s">
        <v>86</v>
      </c>
      <c r="AM1368">
        <v>21534</v>
      </c>
      <c r="AN1368">
        <f t="shared" si="43"/>
        <v>21210.99</v>
      </c>
      <c r="AO1368" t="s">
        <v>66</v>
      </c>
      <c r="AP1368">
        <v>1.5</v>
      </c>
      <c r="AQ1368" t="s">
        <v>66</v>
      </c>
      <c r="AR1368">
        <v>0</v>
      </c>
      <c r="AS1368" t="s">
        <v>66</v>
      </c>
      <c r="AT1368">
        <v>0</v>
      </c>
      <c r="AU1368" t="s">
        <v>66</v>
      </c>
      <c r="AV1368">
        <v>0</v>
      </c>
      <c r="AW1368" t="s">
        <v>66</v>
      </c>
      <c r="AX1368">
        <v>0</v>
      </c>
      <c r="AY1368" t="s">
        <v>66</v>
      </c>
      <c r="AZ1368">
        <v>0</v>
      </c>
      <c r="BA1368" t="s">
        <v>66</v>
      </c>
      <c r="BB1368">
        <v>0</v>
      </c>
      <c r="BC1368">
        <v>0</v>
      </c>
      <c r="BD1368">
        <v>509063.76</v>
      </c>
      <c r="BE1368">
        <v>16784.46</v>
      </c>
      <c r="BF1368">
        <v>0</v>
      </c>
      <c r="BG1368" t="s">
        <v>87</v>
      </c>
      <c r="BH1368" t="s">
        <v>66</v>
      </c>
      <c r="BI1368">
        <v>0</v>
      </c>
      <c r="BJ1368" t="s">
        <v>66</v>
      </c>
      <c r="BK1368" t="s">
        <v>88</v>
      </c>
      <c r="BL1368" t="s">
        <v>66</v>
      </c>
      <c r="BM1368" t="s">
        <v>159</v>
      </c>
    </row>
    <row r="1369" spans="1:65" x14ac:dyDescent="0.25">
      <c r="A1369">
        <v>1367</v>
      </c>
      <c r="B1369" t="s">
        <v>1573</v>
      </c>
      <c r="C1369" t="s">
        <v>68</v>
      </c>
      <c r="D1369" s="1">
        <v>46219</v>
      </c>
      <c r="E1369" t="s">
        <v>1574</v>
      </c>
      <c r="F1369" t="s">
        <v>68</v>
      </c>
      <c r="G1369" t="s">
        <v>295</v>
      </c>
      <c r="H1369" t="s">
        <v>296</v>
      </c>
      <c r="I1369" t="s">
        <v>71</v>
      </c>
      <c r="J1369" t="s">
        <v>72</v>
      </c>
      <c r="K1369" t="s">
        <v>73</v>
      </c>
      <c r="L1369" t="s">
        <v>74</v>
      </c>
      <c r="M1369" t="s">
        <v>1134</v>
      </c>
      <c r="N1369" t="s">
        <v>111</v>
      </c>
      <c r="O1369" t="s">
        <v>1135</v>
      </c>
      <c r="P1369" t="s">
        <v>1136</v>
      </c>
      <c r="Q1369" t="s">
        <v>1575</v>
      </c>
      <c r="R1369" s="1">
        <v>46220</v>
      </c>
      <c r="S1369" t="s">
        <v>1138</v>
      </c>
      <c r="T1369" t="s">
        <v>1139</v>
      </c>
      <c r="U1369" t="s">
        <v>1140</v>
      </c>
      <c r="V1369" t="s">
        <v>66</v>
      </c>
      <c r="W1369" t="s">
        <v>66</v>
      </c>
      <c r="X1369">
        <v>4575522</v>
      </c>
      <c r="Y1369">
        <v>503307.42</v>
      </c>
      <c r="Z1369">
        <v>458616</v>
      </c>
      <c r="AA1369">
        <v>50447.76</v>
      </c>
      <c r="AB1369">
        <v>5078829.42</v>
      </c>
      <c r="AC1369">
        <v>24</v>
      </c>
      <c r="AD1369" t="s">
        <v>82</v>
      </c>
      <c r="AE1369">
        <v>24</v>
      </c>
      <c r="AF1369" t="s">
        <v>284</v>
      </c>
      <c r="AG1369">
        <f>IFERROR(VLOOKUP(AF1369,[1]STOK!J:O,6,0),"")</f>
        <v>12</v>
      </c>
      <c r="AH1369" s="2">
        <f t="shared" si="42"/>
        <v>2</v>
      </c>
      <c r="AI1369" t="s">
        <v>284</v>
      </c>
      <c r="AJ1369" t="s">
        <v>285</v>
      </c>
      <c r="AK1369" t="s">
        <v>286</v>
      </c>
      <c r="AL1369" t="s">
        <v>86</v>
      </c>
      <c r="AM1369">
        <v>21534</v>
      </c>
      <c r="AN1369">
        <f t="shared" si="43"/>
        <v>21210.99</v>
      </c>
      <c r="AO1369" t="s">
        <v>66</v>
      </c>
      <c r="AP1369">
        <v>1.5</v>
      </c>
      <c r="AQ1369" t="s">
        <v>66</v>
      </c>
      <c r="AR1369">
        <v>0</v>
      </c>
      <c r="AS1369" t="s">
        <v>66</v>
      </c>
      <c r="AT1369">
        <v>0</v>
      </c>
      <c r="AU1369" t="s">
        <v>66</v>
      </c>
      <c r="AV1369">
        <v>0</v>
      </c>
      <c r="AW1369" t="s">
        <v>66</v>
      </c>
      <c r="AX1369">
        <v>0</v>
      </c>
      <c r="AY1369" t="s">
        <v>66</v>
      </c>
      <c r="AZ1369">
        <v>0</v>
      </c>
      <c r="BA1369" t="s">
        <v>66</v>
      </c>
      <c r="BB1369">
        <v>0</v>
      </c>
      <c r="BC1369">
        <v>0</v>
      </c>
      <c r="BD1369">
        <v>509063.76</v>
      </c>
      <c r="BE1369">
        <v>17160.12</v>
      </c>
      <c r="BF1369">
        <v>0</v>
      </c>
      <c r="BG1369" t="s">
        <v>87</v>
      </c>
      <c r="BH1369" t="s">
        <v>66</v>
      </c>
      <c r="BI1369">
        <v>0</v>
      </c>
      <c r="BJ1369" t="s">
        <v>66</v>
      </c>
      <c r="BK1369" t="s">
        <v>88</v>
      </c>
      <c r="BL1369" t="s">
        <v>66</v>
      </c>
      <c r="BM1369" t="s">
        <v>159</v>
      </c>
    </row>
    <row r="1370" spans="1:65" x14ac:dyDescent="0.25">
      <c r="A1370">
        <v>1368</v>
      </c>
      <c r="B1370" t="s">
        <v>1573</v>
      </c>
      <c r="C1370" t="s">
        <v>68</v>
      </c>
      <c r="D1370" s="1">
        <v>46219</v>
      </c>
      <c r="E1370" t="s">
        <v>1574</v>
      </c>
      <c r="F1370" t="s">
        <v>68</v>
      </c>
      <c r="G1370" t="s">
        <v>295</v>
      </c>
      <c r="H1370" t="s">
        <v>296</v>
      </c>
      <c r="I1370" t="s">
        <v>71</v>
      </c>
      <c r="J1370" t="s">
        <v>72</v>
      </c>
      <c r="K1370" t="s">
        <v>73</v>
      </c>
      <c r="L1370" t="s">
        <v>74</v>
      </c>
      <c r="M1370" t="s">
        <v>1134</v>
      </c>
      <c r="N1370" t="s">
        <v>111</v>
      </c>
      <c r="O1370" t="s">
        <v>1135</v>
      </c>
      <c r="P1370" t="s">
        <v>1136</v>
      </c>
      <c r="Q1370" t="s">
        <v>1575</v>
      </c>
      <c r="R1370" s="1">
        <v>46220</v>
      </c>
      <c r="S1370" t="s">
        <v>1138</v>
      </c>
      <c r="T1370" t="s">
        <v>1139</v>
      </c>
      <c r="U1370" t="s">
        <v>1140</v>
      </c>
      <c r="V1370" t="s">
        <v>66</v>
      </c>
      <c r="W1370" t="s">
        <v>66</v>
      </c>
      <c r="X1370">
        <v>4575522</v>
      </c>
      <c r="Y1370">
        <v>503307.42</v>
      </c>
      <c r="Z1370">
        <v>184392</v>
      </c>
      <c r="AA1370">
        <v>20283.12</v>
      </c>
      <c r="AB1370">
        <v>5078829.42</v>
      </c>
      <c r="AC1370">
        <v>12</v>
      </c>
      <c r="AD1370" t="s">
        <v>82</v>
      </c>
      <c r="AE1370">
        <v>12</v>
      </c>
      <c r="AF1370" t="s">
        <v>1189</v>
      </c>
      <c r="AG1370">
        <f>IFERROR(VLOOKUP(AF1370,[1]STOK!J:O,6,0),"")</f>
        <v>12</v>
      </c>
      <c r="AH1370" s="2">
        <f t="shared" si="42"/>
        <v>1</v>
      </c>
      <c r="AI1370" t="s">
        <v>1189</v>
      </c>
      <c r="AJ1370" t="s">
        <v>1190</v>
      </c>
      <c r="AK1370" t="s">
        <v>1191</v>
      </c>
      <c r="AL1370" t="s">
        <v>86</v>
      </c>
      <c r="AM1370">
        <v>17316</v>
      </c>
      <c r="AN1370">
        <f t="shared" si="43"/>
        <v>17056.259999999998</v>
      </c>
      <c r="AO1370" t="s">
        <v>66</v>
      </c>
      <c r="AP1370">
        <v>1.5</v>
      </c>
      <c r="AQ1370" t="s">
        <v>66</v>
      </c>
      <c r="AR1370">
        <v>0</v>
      </c>
      <c r="AS1370" t="s">
        <v>66</v>
      </c>
      <c r="AT1370">
        <v>0</v>
      </c>
      <c r="AU1370" t="s">
        <v>66</v>
      </c>
      <c r="AV1370">
        <v>0</v>
      </c>
      <c r="AW1370" t="s">
        <v>66</v>
      </c>
      <c r="AX1370">
        <v>0</v>
      </c>
      <c r="AY1370" t="s">
        <v>66</v>
      </c>
      <c r="AZ1370">
        <v>0</v>
      </c>
      <c r="BA1370" t="s">
        <v>66</v>
      </c>
      <c r="BB1370">
        <v>0</v>
      </c>
      <c r="BC1370">
        <v>0</v>
      </c>
      <c r="BD1370">
        <v>204675.12</v>
      </c>
      <c r="BE1370">
        <v>13989.83</v>
      </c>
      <c r="BF1370">
        <v>0</v>
      </c>
      <c r="BG1370" t="s">
        <v>87</v>
      </c>
      <c r="BH1370" t="s">
        <v>66</v>
      </c>
      <c r="BI1370">
        <v>0</v>
      </c>
      <c r="BJ1370" t="s">
        <v>66</v>
      </c>
      <c r="BK1370" t="s">
        <v>88</v>
      </c>
      <c r="BL1370" t="s">
        <v>66</v>
      </c>
      <c r="BM1370" t="s">
        <v>159</v>
      </c>
    </row>
    <row r="1371" spans="1:65" x14ac:dyDescent="0.25">
      <c r="A1371">
        <v>1369</v>
      </c>
      <c r="B1371" t="s">
        <v>1573</v>
      </c>
      <c r="C1371" t="s">
        <v>68</v>
      </c>
      <c r="D1371" s="1">
        <v>46219</v>
      </c>
      <c r="E1371" t="s">
        <v>1574</v>
      </c>
      <c r="F1371" t="s">
        <v>68</v>
      </c>
      <c r="G1371" t="s">
        <v>295</v>
      </c>
      <c r="H1371" t="s">
        <v>296</v>
      </c>
      <c r="I1371" t="s">
        <v>71</v>
      </c>
      <c r="J1371" t="s">
        <v>72</v>
      </c>
      <c r="K1371" t="s">
        <v>73</v>
      </c>
      <c r="L1371" t="s">
        <v>74</v>
      </c>
      <c r="M1371" t="s">
        <v>1134</v>
      </c>
      <c r="N1371" t="s">
        <v>111</v>
      </c>
      <c r="O1371" t="s">
        <v>1135</v>
      </c>
      <c r="P1371" t="s">
        <v>1136</v>
      </c>
      <c r="Q1371" t="s">
        <v>1575</v>
      </c>
      <c r="R1371" s="1">
        <v>46220</v>
      </c>
      <c r="S1371" t="s">
        <v>1138</v>
      </c>
      <c r="T1371" t="s">
        <v>1139</v>
      </c>
      <c r="U1371" t="s">
        <v>1140</v>
      </c>
      <c r="V1371" t="s">
        <v>66</v>
      </c>
      <c r="W1371" t="s">
        <v>66</v>
      </c>
      <c r="X1371">
        <v>4575522</v>
      </c>
      <c r="Y1371">
        <v>503307.42</v>
      </c>
      <c r="Z1371">
        <v>635916</v>
      </c>
      <c r="AA1371">
        <v>69950.759999999995</v>
      </c>
      <c r="AB1371">
        <v>5078829.42</v>
      </c>
      <c r="AC1371">
        <v>12</v>
      </c>
      <c r="AD1371" t="s">
        <v>82</v>
      </c>
      <c r="AE1371">
        <v>12</v>
      </c>
      <c r="AF1371" t="s">
        <v>878</v>
      </c>
      <c r="AG1371">
        <f>IFERROR(VLOOKUP(AF1371,[1]STOK!J:O,6,0),"")</f>
        <v>6</v>
      </c>
      <c r="AH1371" s="2">
        <f t="shared" si="42"/>
        <v>2</v>
      </c>
      <c r="AI1371" t="s">
        <v>878</v>
      </c>
      <c r="AJ1371" t="s">
        <v>879</v>
      </c>
      <c r="AK1371" t="s">
        <v>880</v>
      </c>
      <c r="AL1371" t="s">
        <v>86</v>
      </c>
      <c r="AM1371">
        <v>59718</v>
      </c>
      <c r="AN1371">
        <f t="shared" si="43"/>
        <v>58822.23</v>
      </c>
      <c r="AO1371" t="s">
        <v>66</v>
      </c>
      <c r="AP1371">
        <v>1.5</v>
      </c>
      <c r="AQ1371" t="s">
        <v>66</v>
      </c>
      <c r="AR1371">
        <v>0</v>
      </c>
      <c r="AS1371" t="s">
        <v>66</v>
      </c>
      <c r="AT1371">
        <v>0</v>
      </c>
      <c r="AU1371" t="s">
        <v>66</v>
      </c>
      <c r="AV1371">
        <v>0</v>
      </c>
      <c r="AW1371" t="s">
        <v>66</v>
      </c>
      <c r="AX1371">
        <v>0</v>
      </c>
      <c r="AY1371" t="s">
        <v>66</v>
      </c>
      <c r="AZ1371">
        <v>0</v>
      </c>
      <c r="BA1371" t="s">
        <v>66</v>
      </c>
      <c r="BB1371">
        <v>0</v>
      </c>
      <c r="BC1371">
        <v>0</v>
      </c>
      <c r="BD1371">
        <v>705866.76</v>
      </c>
      <c r="BE1371">
        <v>45239.06</v>
      </c>
      <c r="BF1371">
        <v>0</v>
      </c>
      <c r="BG1371" t="s">
        <v>87</v>
      </c>
      <c r="BH1371" t="s">
        <v>66</v>
      </c>
      <c r="BI1371">
        <v>0</v>
      </c>
      <c r="BJ1371" t="s">
        <v>66</v>
      </c>
      <c r="BK1371" t="s">
        <v>88</v>
      </c>
      <c r="BL1371" t="s">
        <v>66</v>
      </c>
      <c r="BM1371" t="s">
        <v>159</v>
      </c>
    </row>
    <row r="1372" spans="1:65" x14ac:dyDescent="0.25">
      <c r="A1372">
        <v>1370</v>
      </c>
      <c r="B1372" t="s">
        <v>1573</v>
      </c>
      <c r="C1372" t="s">
        <v>68</v>
      </c>
      <c r="D1372" s="1">
        <v>46219</v>
      </c>
      <c r="E1372" t="s">
        <v>1574</v>
      </c>
      <c r="F1372" t="s">
        <v>68</v>
      </c>
      <c r="G1372" t="s">
        <v>295</v>
      </c>
      <c r="H1372" t="s">
        <v>296</v>
      </c>
      <c r="I1372" t="s">
        <v>71</v>
      </c>
      <c r="J1372" t="s">
        <v>72</v>
      </c>
      <c r="K1372" t="s">
        <v>73</v>
      </c>
      <c r="L1372" t="s">
        <v>74</v>
      </c>
      <c r="M1372" t="s">
        <v>1134</v>
      </c>
      <c r="N1372" t="s">
        <v>111</v>
      </c>
      <c r="O1372" t="s">
        <v>1135</v>
      </c>
      <c r="P1372" t="s">
        <v>1136</v>
      </c>
      <c r="Q1372" t="s">
        <v>1575</v>
      </c>
      <c r="R1372" s="1">
        <v>46220</v>
      </c>
      <c r="S1372" t="s">
        <v>1138</v>
      </c>
      <c r="T1372" t="s">
        <v>1139</v>
      </c>
      <c r="U1372" t="s">
        <v>1140</v>
      </c>
      <c r="V1372" t="s">
        <v>66</v>
      </c>
      <c r="W1372" t="s">
        <v>66</v>
      </c>
      <c r="X1372">
        <v>4575522</v>
      </c>
      <c r="Y1372">
        <v>503307.42</v>
      </c>
      <c r="Z1372">
        <v>317958</v>
      </c>
      <c r="AA1372">
        <v>34975.379999999997</v>
      </c>
      <c r="AB1372">
        <v>5078829.42</v>
      </c>
      <c r="AC1372">
        <v>6</v>
      </c>
      <c r="AD1372" t="s">
        <v>82</v>
      </c>
      <c r="AE1372">
        <v>6</v>
      </c>
      <c r="AF1372" t="s">
        <v>528</v>
      </c>
      <c r="AG1372">
        <f>IFERROR(VLOOKUP(AF1372,[1]STOK!J:O,6,0),"")</f>
        <v>6</v>
      </c>
      <c r="AH1372" s="2">
        <f t="shared" si="42"/>
        <v>1</v>
      </c>
      <c r="AI1372" t="s">
        <v>528</v>
      </c>
      <c r="AJ1372" t="s">
        <v>529</v>
      </c>
      <c r="AK1372" t="s">
        <v>530</v>
      </c>
      <c r="AL1372" t="s">
        <v>86</v>
      </c>
      <c r="AM1372">
        <v>59718</v>
      </c>
      <c r="AN1372">
        <f t="shared" si="43"/>
        <v>58822.23</v>
      </c>
      <c r="AO1372" t="s">
        <v>66</v>
      </c>
      <c r="AP1372">
        <v>1.5</v>
      </c>
      <c r="AQ1372" t="s">
        <v>66</v>
      </c>
      <c r="AR1372">
        <v>0</v>
      </c>
      <c r="AS1372" t="s">
        <v>66</v>
      </c>
      <c r="AT1372">
        <v>0</v>
      </c>
      <c r="AU1372" t="s">
        <v>66</v>
      </c>
      <c r="AV1372">
        <v>0</v>
      </c>
      <c r="AW1372" t="s">
        <v>66</v>
      </c>
      <c r="AX1372">
        <v>0</v>
      </c>
      <c r="AY1372" t="s">
        <v>66</v>
      </c>
      <c r="AZ1372">
        <v>0</v>
      </c>
      <c r="BA1372" t="s">
        <v>66</v>
      </c>
      <c r="BB1372">
        <v>0</v>
      </c>
      <c r="BC1372">
        <v>0</v>
      </c>
      <c r="BD1372">
        <v>352933.38</v>
      </c>
      <c r="BE1372">
        <v>47467.87</v>
      </c>
      <c r="BF1372">
        <v>0</v>
      </c>
      <c r="BG1372" t="s">
        <v>87</v>
      </c>
      <c r="BH1372" t="s">
        <v>66</v>
      </c>
      <c r="BI1372">
        <v>0</v>
      </c>
      <c r="BJ1372" t="s">
        <v>66</v>
      </c>
      <c r="BK1372" t="s">
        <v>88</v>
      </c>
      <c r="BL1372" t="s">
        <v>66</v>
      </c>
      <c r="BM1372" t="s">
        <v>159</v>
      </c>
    </row>
    <row r="1373" spans="1:65" x14ac:dyDescent="0.25">
      <c r="A1373">
        <v>1371</v>
      </c>
      <c r="B1373" t="s">
        <v>1573</v>
      </c>
      <c r="C1373" t="s">
        <v>68</v>
      </c>
      <c r="D1373" s="1">
        <v>46219</v>
      </c>
      <c r="E1373" t="s">
        <v>1574</v>
      </c>
      <c r="F1373" t="s">
        <v>68</v>
      </c>
      <c r="G1373" t="s">
        <v>295</v>
      </c>
      <c r="H1373" t="s">
        <v>296</v>
      </c>
      <c r="I1373" t="s">
        <v>71</v>
      </c>
      <c r="J1373" t="s">
        <v>72</v>
      </c>
      <c r="K1373" t="s">
        <v>73</v>
      </c>
      <c r="L1373" t="s">
        <v>74</v>
      </c>
      <c r="M1373" t="s">
        <v>1134</v>
      </c>
      <c r="N1373" t="s">
        <v>111</v>
      </c>
      <c r="O1373" t="s">
        <v>1135</v>
      </c>
      <c r="P1373" t="s">
        <v>1136</v>
      </c>
      <c r="Q1373" t="s">
        <v>1575</v>
      </c>
      <c r="R1373" s="1">
        <v>46220</v>
      </c>
      <c r="S1373" t="s">
        <v>1138</v>
      </c>
      <c r="T1373" t="s">
        <v>1139</v>
      </c>
      <c r="U1373" t="s">
        <v>1140</v>
      </c>
      <c r="V1373" t="s">
        <v>66</v>
      </c>
      <c r="W1373" t="s">
        <v>66</v>
      </c>
      <c r="X1373">
        <v>4575522</v>
      </c>
      <c r="Y1373">
        <v>503307.42</v>
      </c>
      <c r="Z1373">
        <v>356964</v>
      </c>
      <c r="AA1373">
        <v>39266.04</v>
      </c>
      <c r="AB1373">
        <v>5078829.42</v>
      </c>
      <c r="AC1373">
        <v>24</v>
      </c>
      <c r="AD1373" t="s">
        <v>82</v>
      </c>
      <c r="AE1373">
        <v>24</v>
      </c>
      <c r="AF1373" t="s">
        <v>1359</v>
      </c>
      <c r="AG1373">
        <f>IFERROR(VLOOKUP(AF1373,[1]STOK!J:O,6,0),"")</f>
        <v>24</v>
      </c>
      <c r="AH1373" s="2">
        <f t="shared" si="42"/>
        <v>1</v>
      </c>
      <c r="AI1373" t="s">
        <v>1359</v>
      </c>
      <c r="AJ1373" t="s">
        <v>1360</v>
      </c>
      <c r="AK1373" t="s">
        <v>1361</v>
      </c>
      <c r="AL1373" t="s">
        <v>86</v>
      </c>
      <c r="AM1373">
        <v>16761</v>
      </c>
      <c r="AN1373">
        <f t="shared" si="43"/>
        <v>16509.584999999999</v>
      </c>
      <c r="AO1373" t="s">
        <v>66</v>
      </c>
      <c r="AP1373">
        <v>1.5</v>
      </c>
      <c r="AQ1373" t="s">
        <v>66</v>
      </c>
      <c r="AR1373">
        <v>0</v>
      </c>
      <c r="AS1373" t="s">
        <v>66</v>
      </c>
      <c r="AT1373">
        <v>0</v>
      </c>
      <c r="AU1373" t="s">
        <v>66</v>
      </c>
      <c r="AV1373">
        <v>0</v>
      </c>
      <c r="AW1373" t="s">
        <v>66</v>
      </c>
      <c r="AX1373">
        <v>0</v>
      </c>
      <c r="AY1373" t="s">
        <v>66</v>
      </c>
      <c r="AZ1373">
        <v>0</v>
      </c>
      <c r="BA1373" t="s">
        <v>66</v>
      </c>
      <c r="BB1373">
        <v>0</v>
      </c>
      <c r="BC1373">
        <v>0</v>
      </c>
      <c r="BD1373">
        <v>396230.04</v>
      </c>
      <c r="BE1373">
        <v>13575.37</v>
      </c>
      <c r="BF1373">
        <v>0</v>
      </c>
      <c r="BG1373" t="s">
        <v>87</v>
      </c>
      <c r="BH1373" t="s">
        <v>66</v>
      </c>
      <c r="BI1373">
        <v>0</v>
      </c>
      <c r="BJ1373" t="s">
        <v>66</v>
      </c>
      <c r="BK1373" t="s">
        <v>88</v>
      </c>
      <c r="BL1373" t="s">
        <v>66</v>
      </c>
      <c r="BM1373" t="s">
        <v>159</v>
      </c>
    </row>
    <row r="1374" spans="1:65" x14ac:dyDescent="0.25">
      <c r="A1374">
        <v>1372</v>
      </c>
      <c r="B1374" t="s">
        <v>1573</v>
      </c>
      <c r="C1374" t="s">
        <v>68</v>
      </c>
      <c r="D1374" s="1">
        <v>46219</v>
      </c>
      <c r="E1374" t="s">
        <v>1574</v>
      </c>
      <c r="F1374" t="s">
        <v>68</v>
      </c>
      <c r="G1374" t="s">
        <v>295</v>
      </c>
      <c r="H1374" t="s">
        <v>296</v>
      </c>
      <c r="I1374" t="s">
        <v>71</v>
      </c>
      <c r="J1374" t="s">
        <v>72</v>
      </c>
      <c r="K1374" t="s">
        <v>73</v>
      </c>
      <c r="L1374" t="s">
        <v>74</v>
      </c>
      <c r="M1374" t="s">
        <v>1134</v>
      </c>
      <c r="N1374" t="s">
        <v>111</v>
      </c>
      <c r="O1374" t="s">
        <v>1135</v>
      </c>
      <c r="P1374" t="s">
        <v>1136</v>
      </c>
      <c r="Q1374" t="s">
        <v>1575</v>
      </c>
      <c r="R1374" s="1">
        <v>46220</v>
      </c>
      <c r="S1374" t="s">
        <v>1138</v>
      </c>
      <c r="T1374" t="s">
        <v>1139</v>
      </c>
      <c r="U1374" t="s">
        <v>1140</v>
      </c>
      <c r="V1374" t="s">
        <v>66</v>
      </c>
      <c r="W1374" t="s">
        <v>66</v>
      </c>
      <c r="X1374">
        <v>4575522</v>
      </c>
      <c r="Y1374">
        <v>503307.42</v>
      </c>
      <c r="Z1374">
        <v>126474</v>
      </c>
      <c r="AA1374">
        <v>13912.14</v>
      </c>
      <c r="AB1374">
        <v>5078829.42</v>
      </c>
      <c r="AC1374">
        <v>12</v>
      </c>
      <c r="AD1374" t="s">
        <v>82</v>
      </c>
      <c r="AE1374">
        <v>12</v>
      </c>
      <c r="AF1374" t="s">
        <v>1049</v>
      </c>
      <c r="AG1374">
        <f>IFERROR(VLOOKUP(AF1374,[1]STOK!J:O,6,0),"")</f>
        <v>12</v>
      </c>
      <c r="AH1374" s="2">
        <f t="shared" si="42"/>
        <v>1</v>
      </c>
      <c r="AI1374" t="s">
        <v>1049</v>
      </c>
      <c r="AJ1374" t="s">
        <v>1050</v>
      </c>
      <c r="AK1374" t="s">
        <v>1051</v>
      </c>
      <c r="AL1374" t="s">
        <v>86</v>
      </c>
      <c r="AM1374">
        <v>11877</v>
      </c>
      <c r="AN1374">
        <f t="shared" si="43"/>
        <v>11698.845000000001</v>
      </c>
      <c r="AO1374" t="s">
        <v>66</v>
      </c>
      <c r="AP1374">
        <v>1.5</v>
      </c>
      <c r="AQ1374" t="s">
        <v>66</v>
      </c>
      <c r="AR1374">
        <v>0</v>
      </c>
      <c r="AS1374" t="s">
        <v>66</v>
      </c>
      <c r="AT1374">
        <v>0</v>
      </c>
      <c r="AU1374" t="s">
        <v>66</v>
      </c>
      <c r="AV1374">
        <v>0</v>
      </c>
      <c r="AW1374" t="s">
        <v>66</v>
      </c>
      <c r="AX1374">
        <v>0</v>
      </c>
      <c r="AY1374" t="s">
        <v>66</v>
      </c>
      <c r="AZ1374">
        <v>0</v>
      </c>
      <c r="BA1374" t="s">
        <v>66</v>
      </c>
      <c r="BB1374">
        <v>0</v>
      </c>
      <c r="BC1374">
        <v>0</v>
      </c>
      <c r="BD1374">
        <v>140386.14000000001</v>
      </c>
      <c r="BE1374">
        <v>9295.2199999999993</v>
      </c>
      <c r="BF1374">
        <v>0</v>
      </c>
      <c r="BG1374" t="s">
        <v>87</v>
      </c>
      <c r="BH1374" t="s">
        <v>66</v>
      </c>
      <c r="BI1374">
        <v>0</v>
      </c>
      <c r="BJ1374" t="s">
        <v>66</v>
      </c>
      <c r="BK1374" t="s">
        <v>88</v>
      </c>
      <c r="BL1374" t="s">
        <v>66</v>
      </c>
      <c r="BM1374" t="s">
        <v>159</v>
      </c>
    </row>
    <row r="1375" spans="1:65" x14ac:dyDescent="0.25">
      <c r="A1375">
        <v>1373</v>
      </c>
      <c r="B1375" t="s">
        <v>1573</v>
      </c>
      <c r="C1375" t="s">
        <v>68</v>
      </c>
      <c r="D1375" s="1">
        <v>46219</v>
      </c>
      <c r="E1375" t="s">
        <v>1574</v>
      </c>
      <c r="F1375" t="s">
        <v>68</v>
      </c>
      <c r="G1375" t="s">
        <v>295</v>
      </c>
      <c r="H1375" t="s">
        <v>296</v>
      </c>
      <c r="I1375" t="s">
        <v>71</v>
      </c>
      <c r="J1375" t="s">
        <v>72</v>
      </c>
      <c r="K1375" t="s">
        <v>73</v>
      </c>
      <c r="L1375" t="s">
        <v>74</v>
      </c>
      <c r="M1375" t="s">
        <v>1134</v>
      </c>
      <c r="N1375" t="s">
        <v>111</v>
      </c>
      <c r="O1375" t="s">
        <v>1135</v>
      </c>
      <c r="P1375" t="s">
        <v>1136</v>
      </c>
      <c r="Q1375" t="s">
        <v>1575</v>
      </c>
      <c r="R1375" s="1">
        <v>46220</v>
      </c>
      <c r="S1375" t="s">
        <v>1138</v>
      </c>
      <c r="T1375" t="s">
        <v>1139</v>
      </c>
      <c r="U1375" t="s">
        <v>1140</v>
      </c>
      <c r="V1375" t="s">
        <v>66</v>
      </c>
      <c r="W1375" t="s">
        <v>66</v>
      </c>
      <c r="X1375">
        <v>4575522</v>
      </c>
      <c r="Y1375">
        <v>503307.42</v>
      </c>
      <c r="Z1375">
        <v>314412</v>
      </c>
      <c r="AA1375">
        <v>34585.32</v>
      </c>
      <c r="AB1375">
        <v>5078829.42</v>
      </c>
      <c r="AC1375">
        <v>24</v>
      </c>
      <c r="AD1375" t="s">
        <v>82</v>
      </c>
      <c r="AE1375">
        <v>24</v>
      </c>
      <c r="AF1375" t="s">
        <v>135</v>
      </c>
      <c r="AG1375">
        <f>IFERROR(VLOOKUP(AF1375,[1]STOK!J:O,6,0),"")</f>
        <v>12</v>
      </c>
      <c r="AH1375" s="2">
        <f t="shared" si="42"/>
        <v>2</v>
      </c>
      <c r="AI1375" t="s">
        <v>135</v>
      </c>
      <c r="AJ1375" t="s">
        <v>136</v>
      </c>
      <c r="AK1375" t="s">
        <v>137</v>
      </c>
      <c r="AL1375" t="s">
        <v>86</v>
      </c>
      <c r="AM1375">
        <v>14763</v>
      </c>
      <c r="AN1375">
        <f t="shared" si="43"/>
        <v>14541.555</v>
      </c>
      <c r="AO1375" t="s">
        <v>66</v>
      </c>
      <c r="AP1375">
        <v>1.5</v>
      </c>
      <c r="AQ1375" t="s">
        <v>66</v>
      </c>
      <c r="AR1375">
        <v>0</v>
      </c>
      <c r="AS1375" t="s">
        <v>66</v>
      </c>
      <c r="AT1375">
        <v>0</v>
      </c>
      <c r="AU1375" t="s">
        <v>66</v>
      </c>
      <c r="AV1375">
        <v>0</v>
      </c>
      <c r="AW1375" t="s">
        <v>66</v>
      </c>
      <c r="AX1375">
        <v>0</v>
      </c>
      <c r="AY1375" t="s">
        <v>66</v>
      </c>
      <c r="AZ1375">
        <v>0</v>
      </c>
      <c r="BA1375" t="s">
        <v>66</v>
      </c>
      <c r="BB1375">
        <v>0</v>
      </c>
      <c r="BC1375">
        <v>0</v>
      </c>
      <c r="BD1375">
        <v>348997.32</v>
      </c>
      <c r="BE1375">
        <v>12032.04</v>
      </c>
      <c r="BF1375">
        <v>0</v>
      </c>
      <c r="BG1375" t="s">
        <v>87</v>
      </c>
      <c r="BH1375" t="s">
        <v>66</v>
      </c>
      <c r="BI1375">
        <v>0</v>
      </c>
      <c r="BJ1375" t="s">
        <v>66</v>
      </c>
      <c r="BK1375" t="s">
        <v>88</v>
      </c>
      <c r="BL1375" t="s">
        <v>66</v>
      </c>
      <c r="BM1375" t="s">
        <v>159</v>
      </c>
    </row>
    <row r="1376" spans="1:65" x14ac:dyDescent="0.25">
      <c r="A1376">
        <v>1374</v>
      </c>
      <c r="B1376" t="s">
        <v>1573</v>
      </c>
      <c r="C1376" t="s">
        <v>68</v>
      </c>
      <c r="D1376" s="1">
        <v>46219</v>
      </c>
      <c r="E1376" t="s">
        <v>1574</v>
      </c>
      <c r="F1376" t="s">
        <v>68</v>
      </c>
      <c r="G1376" t="s">
        <v>295</v>
      </c>
      <c r="H1376" t="s">
        <v>296</v>
      </c>
      <c r="I1376" t="s">
        <v>71</v>
      </c>
      <c r="J1376" t="s">
        <v>72</v>
      </c>
      <c r="K1376" t="s">
        <v>73</v>
      </c>
      <c r="L1376" t="s">
        <v>74</v>
      </c>
      <c r="M1376" t="s">
        <v>1134</v>
      </c>
      <c r="N1376" t="s">
        <v>111</v>
      </c>
      <c r="O1376" t="s">
        <v>1135</v>
      </c>
      <c r="P1376" t="s">
        <v>1136</v>
      </c>
      <c r="Q1376" t="s">
        <v>1575</v>
      </c>
      <c r="R1376" s="1">
        <v>46220</v>
      </c>
      <c r="S1376" t="s">
        <v>1138</v>
      </c>
      <c r="T1376" t="s">
        <v>1139</v>
      </c>
      <c r="U1376" t="s">
        <v>1140</v>
      </c>
      <c r="V1376" t="s">
        <v>66</v>
      </c>
      <c r="W1376" t="s">
        <v>66</v>
      </c>
      <c r="X1376">
        <v>4575522</v>
      </c>
      <c r="Y1376">
        <v>503307.42</v>
      </c>
      <c r="Z1376">
        <v>265950</v>
      </c>
      <c r="AA1376">
        <v>29254.5</v>
      </c>
      <c r="AB1376">
        <v>5078829.42</v>
      </c>
      <c r="AC1376">
        <v>4</v>
      </c>
      <c r="AD1376" t="s">
        <v>82</v>
      </c>
      <c r="AE1376">
        <v>4</v>
      </c>
      <c r="AF1376" t="s">
        <v>312</v>
      </c>
      <c r="AG1376">
        <f>IFERROR(VLOOKUP(AF1376,[1]STOK!J:O,6,0),"")</f>
        <v>4</v>
      </c>
      <c r="AH1376" s="2">
        <f t="shared" si="42"/>
        <v>1</v>
      </c>
      <c r="AI1376" t="s">
        <v>312</v>
      </c>
      <c r="AJ1376" t="s">
        <v>313</v>
      </c>
      <c r="AK1376" t="s">
        <v>314</v>
      </c>
      <c r="AL1376" t="s">
        <v>86</v>
      </c>
      <c r="AM1376">
        <v>74925</v>
      </c>
      <c r="AN1376">
        <f t="shared" si="43"/>
        <v>73801.125</v>
      </c>
      <c r="AO1376" t="s">
        <v>66</v>
      </c>
      <c r="AP1376">
        <v>1.5</v>
      </c>
      <c r="AQ1376" t="s">
        <v>66</v>
      </c>
      <c r="AR1376">
        <v>0</v>
      </c>
      <c r="AS1376" t="s">
        <v>66</v>
      </c>
      <c r="AT1376">
        <v>0</v>
      </c>
      <c r="AU1376" t="s">
        <v>66</v>
      </c>
      <c r="AV1376">
        <v>0</v>
      </c>
      <c r="AW1376" t="s">
        <v>66</v>
      </c>
      <c r="AX1376">
        <v>0</v>
      </c>
      <c r="AY1376" t="s">
        <v>66</v>
      </c>
      <c r="AZ1376">
        <v>0</v>
      </c>
      <c r="BA1376" t="s">
        <v>66</v>
      </c>
      <c r="BB1376">
        <v>0</v>
      </c>
      <c r="BC1376">
        <v>0</v>
      </c>
      <c r="BD1376">
        <v>295204.5</v>
      </c>
      <c r="BE1376">
        <v>60250.95</v>
      </c>
      <c r="BF1376">
        <v>0</v>
      </c>
      <c r="BG1376" t="s">
        <v>87</v>
      </c>
      <c r="BH1376" t="s">
        <v>66</v>
      </c>
      <c r="BI1376">
        <v>0</v>
      </c>
      <c r="BJ1376" t="s">
        <v>66</v>
      </c>
      <c r="BK1376" t="s">
        <v>88</v>
      </c>
      <c r="BL1376" t="s">
        <v>66</v>
      </c>
      <c r="BM1376" t="s">
        <v>159</v>
      </c>
    </row>
    <row r="1377" spans="1:65" x14ac:dyDescent="0.25">
      <c r="A1377">
        <v>1375</v>
      </c>
      <c r="B1377" t="s">
        <v>1576</v>
      </c>
      <c r="C1377" t="s">
        <v>68</v>
      </c>
      <c r="D1377" s="1">
        <v>46219</v>
      </c>
      <c r="E1377" t="s">
        <v>1577</v>
      </c>
      <c r="F1377" t="s">
        <v>68</v>
      </c>
      <c r="G1377" t="s">
        <v>295</v>
      </c>
      <c r="H1377" t="s">
        <v>296</v>
      </c>
      <c r="I1377" t="s">
        <v>71</v>
      </c>
      <c r="J1377" t="s">
        <v>72</v>
      </c>
      <c r="K1377" t="s">
        <v>73</v>
      </c>
      <c r="L1377" t="s">
        <v>74</v>
      </c>
      <c r="M1377" t="s">
        <v>1182</v>
      </c>
      <c r="N1377" t="s">
        <v>111</v>
      </c>
      <c r="O1377" t="s">
        <v>1183</v>
      </c>
      <c r="P1377" t="s">
        <v>1184</v>
      </c>
      <c r="Q1377" t="s">
        <v>1578</v>
      </c>
      <c r="R1377" s="1">
        <v>46220</v>
      </c>
      <c r="S1377" t="s">
        <v>1186</v>
      </c>
      <c r="T1377" t="s">
        <v>1187</v>
      </c>
      <c r="U1377" t="s">
        <v>1188</v>
      </c>
      <c r="V1377" t="s">
        <v>66</v>
      </c>
      <c r="W1377" t="s">
        <v>66</v>
      </c>
      <c r="X1377">
        <v>7075728</v>
      </c>
      <c r="Y1377">
        <v>778330.08</v>
      </c>
      <c r="Z1377">
        <v>46926</v>
      </c>
      <c r="AA1377">
        <v>5161.8599999999997</v>
      </c>
      <c r="AB1377">
        <v>7854058.0800000001</v>
      </c>
      <c r="AC1377">
        <v>6</v>
      </c>
      <c r="AD1377" t="s">
        <v>82</v>
      </c>
      <c r="AE1377">
        <v>6</v>
      </c>
      <c r="AF1377" t="s">
        <v>344</v>
      </c>
      <c r="AG1377">
        <f>IFERROR(VLOOKUP(AF1377,[1]STOK!J:O,6,0),"")</f>
        <v>24</v>
      </c>
      <c r="AH1377" s="2">
        <f t="shared" si="42"/>
        <v>0.25</v>
      </c>
      <c r="AI1377" t="s">
        <v>344</v>
      </c>
      <c r="AJ1377" t="s">
        <v>345</v>
      </c>
      <c r="AK1377" t="s">
        <v>346</v>
      </c>
      <c r="AL1377" t="s">
        <v>86</v>
      </c>
      <c r="AM1377">
        <v>8769</v>
      </c>
      <c r="AN1377">
        <f t="shared" si="43"/>
        <v>8681.31</v>
      </c>
      <c r="AO1377" t="s">
        <v>66</v>
      </c>
      <c r="AP1377">
        <v>1</v>
      </c>
      <c r="AQ1377" t="s">
        <v>66</v>
      </c>
      <c r="AR1377">
        <v>0</v>
      </c>
      <c r="AS1377" t="s">
        <v>66</v>
      </c>
      <c r="AT1377">
        <v>0</v>
      </c>
      <c r="AU1377" t="s">
        <v>66</v>
      </c>
      <c r="AV1377">
        <v>0</v>
      </c>
      <c r="AW1377" t="s">
        <v>66</v>
      </c>
      <c r="AX1377">
        <v>0</v>
      </c>
      <c r="AY1377" t="s">
        <v>66</v>
      </c>
      <c r="AZ1377">
        <v>0</v>
      </c>
      <c r="BA1377" t="s">
        <v>66</v>
      </c>
      <c r="BB1377">
        <v>0</v>
      </c>
      <c r="BC1377">
        <v>0</v>
      </c>
      <c r="BD1377">
        <v>52087.86</v>
      </c>
      <c r="BE1377">
        <v>6916.14</v>
      </c>
      <c r="BF1377">
        <v>0</v>
      </c>
      <c r="BG1377" t="s">
        <v>87</v>
      </c>
      <c r="BH1377" t="s">
        <v>66</v>
      </c>
      <c r="BI1377">
        <v>0</v>
      </c>
      <c r="BJ1377" t="s">
        <v>66</v>
      </c>
      <c r="BK1377" t="s">
        <v>88</v>
      </c>
      <c r="BL1377" t="s">
        <v>66</v>
      </c>
      <c r="BM1377" t="s">
        <v>159</v>
      </c>
    </row>
    <row r="1378" spans="1:65" x14ac:dyDescent="0.25">
      <c r="A1378">
        <v>1376</v>
      </c>
      <c r="B1378" t="s">
        <v>1576</v>
      </c>
      <c r="C1378" t="s">
        <v>68</v>
      </c>
      <c r="D1378" s="1">
        <v>46219</v>
      </c>
      <c r="E1378" t="s">
        <v>1577</v>
      </c>
      <c r="F1378" t="s">
        <v>68</v>
      </c>
      <c r="G1378" t="s">
        <v>295</v>
      </c>
      <c r="H1378" t="s">
        <v>296</v>
      </c>
      <c r="I1378" t="s">
        <v>71</v>
      </c>
      <c r="J1378" t="s">
        <v>72</v>
      </c>
      <c r="K1378" t="s">
        <v>73</v>
      </c>
      <c r="L1378" t="s">
        <v>74</v>
      </c>
      <c r="M1378" t="s">
        <v>1182</v>
      </c>
      <c r="N1378" t="s">
        <v>111</v>
      </c>
      <c r="O1378" t="s">
        <v>1183</v>
      </c>
      <c r="P1378" t="s">
        <v>1184</v>
      </c>
      <c r="Q1378" t="s">
        <v>1578</v>
      </c>
      <c r="R1378" s="1">
        <v>46220</v>
      </c>
      <c r="S1378" t="s">
        <v>1186</v>
      </c>
      <c r="T1378" t="s">
        <v>1187</v>
      </c>
      <c r="U1378" t="s">
        <v>1188</v>
      </c>
      <c r="V1378" t="s">
        <v>66</v>
      </c>
      <c r="W1378" t="s">
        <v>66</v>
      </c>
      <c r="X1378">
        <v>7075728</v>
      </c>
      <c r="Y1378">
        <v>778330.08</v>
      </c>
      <c r="Z1378">
        <v>196020</v>
      </c>
      <c r="AA1378">
        <v>21562.2</v>
      </c>
      <c r="AB1378">
        <v>7854058.0800000001</v>
      </c>
      <c r="AC1378">
        <v>12</v>
      </c>
      <c r="AD1378" t="s">
        <v>82</v>
      </c>
      <c r="AE1378">
        <v>12</v>
      </c>
      <c r="AF1378" t="s">
        <v>128</v>
      </c>
      <c r="AG1378">
        <f>IFERROR(VLOOKUP(AF1378,[1]STOK!J:O,6,0),"")</f>
        <v>24</v>
      </c>
      <c r="AH1378" s="2">
        <f t="shared" si="42"/>
        <v>0.5</v>
      </c>
      <c r="AI1378" t="s">
        <v>128</v>
      </c>
      <c r="AJ1378" t="s">
        <v>129</v>
      </c>
      <c r="AK1378" t="s">
        <v>130</v>
      </c>
      <c r="AL1378" t="s">
        <v>86</v>
      </c>
      <c r="AM1378">
        <v>18315</v>
      </c>
      <c r="AN1378">
        <f t="shared" si="43"/>
        <v>18131.850000000002</v>
      </c>
      <c r="AO1378" t="s">
        <v>66</v>
      </c>
      <c r="AP1378">
        <v>1</v>
      </c>
      <c r="AQ1378" t="s">
        <v>66</v>
      </c>
      <c r="AR1378">
        <v>0</v>
      </c>
      <c r="AS1378" t="s">
        <v>66</v>
      </c>
      <c r="AT1378">
        <v>0</v>
      </c>
      <c r="AU1378" t="s">
        <v>66</v>
      </c>
      <c r="AV1378">
        <v>0</v>
      </c>
      <c r="AW1378" t="s">
        <v>66</v>
      </c>
      <c r="AX1378">
        <v>0</v>
      </c>
      <c r="AY1378" t="s">
        <v>66</v>
      </c>
      <c r="AZ1378">
        <v>0</v>
      </c>
      <c r="BA1378" t="s">
        <v>66</v>
      </c>
      <c r="BB1378">
        <v>0</v>
      </c>
      <c r="BC1378">
        <v>0</v>
      </c>
      <c r="BD1378">
        <v>217582.2</v>
      </c>
      <c r="BE1378">
        <v>14619.11</v>
      </c>
      <c r="BF1378">
        <v>0</v>
      </c>
      <c r="BG1378" t="s">
        <v>87</v>
      </c>
      <c r="BH1378" t="s">
        <v>66</v>
      </c>
      <c r="BI1378">
        <v>0</v>
      </c>
      <c r="BJ1378" t="s">
        <v>66</v>
      </c>
      <c r="BK1378" t="s">
        <v>88</v>
      </c>
      <c r="BL1378" t="s">
        <v>66</v>
      </c>
      <c r="BM1378" t="s">
        <v>159</v>
      </c>
    </row>
    <row r="1379" spans="1:65" x14ac:dyDescent="0.25">
      <c r="A1379">
        <v>1377</v>
      </c>
      <c r="B1379" t="s">
        <v>1576</v>
      </c>
      <c r="C1379" t="s">
        <v>68</v>
      </c>
      <c r="D1379" s="1">
        <v>46219</v>
      </c>
      <c r="E1379" t="s">
        <v>1577</v>
      </c>
      <c r="F1379" t="s">
        <v>68</v>
      </c>
      <c r="G1379" t="s">
        <v>295</v>
      </c>
      <c r="H1379" t="s">
        <v>296</v>
      </c>
      <c r="I1379" t="s">
        <v>71</v>
      </c>
      <c r="J1379" t="s">
        <v>72</v>
      </c>
      <c r="K1379" t="s">
        <v>73</v>
      </c>
      <c r="L1379" t="s">
        <v>74</v>
      </c>
      <c r="M1379" t="s">
        <v>1182</v>
      </c>
      <c r="N1379" t="s">
        <v>111</v>
      </c>
      <c r="O1379" t="s">
        <v>1183</v>
      </c>
      <c r="P1379" t="s">
        <v>1184</v>
      </c>
      <c r="Q1379" t="s">
        <v>1578</v>
      </c>
      <c r="R1379" s="1">
        <v>46220</v>
      </c>
      <c r="S1379" t="s">
        <v>1186</v>
      </c>
      <c r="T1379" t="s">
        <v>1187</v>
      </c>
      <c r="U1379" t="s">
        <v>1188</v>
      </c>
      <c r="V1379" t="s">
        <v>66</v>
      </c>
      <c r="W1379" t="s">
        <v>66</v>
      </c>
      <c r="X1379">
        <v>7075728</v>
      </c>
      <c r="Y1379">
        <v>778330.08</v>
      </c>
      <c r="Z1379">
        <v>196020</v>
      </c>
      <c r="AA1379">
        <v>21562.2</v>
      </c>
      <c r="AB1379">
        <v>7854058.0800000001</v>
      </c>
      <c r="AC1379">
        <v>12</v>
      </c>
      <c r="AD1379" t="s">
        <v>82</v>
      </c>
      <c r="AE1379">
        <v>12</v>
      </c>
      <c r="AF1379" t="s">
        <v>96</v>
      </c>
      <c r="AG1379">
        <f>IFERROR(VLOOKUP(AF1379,[1]STOK!J:O,6,0),"")</f>
        <v>24</v>
      </c>
      <c r="AH1379" s="2">
        <f t="shared" si="42"/>
        <v>0.5</v>
      </c>
      <c r="AI1379" t="s">
        <v>96</v>
      </c>
      <c r="AJ1379" t="s">
        <v>97</v>
      </c>
      <c r="AK1379" t="s">
        <v>98</v>
      </c>
      <c r="AL1379" t="s">
        <v>86</v>
      </c>
      <c r="AM1379">
        <v>18315</v>
      </c>
      <c r="AN1379">
        <f t="shared" si="43"/>
        <v>18131.850000000002</v>
      </c>
      <c r="AO1379" t="s">
        <v>66</v>
      </c>
      <c r="AP1379">
        <v>1</v>
      </c>
      <c r="AQ1379" t="s">
        <v>66</v>
      </c>
      <c r="AR1379">
        <v>0</v>
      </c>
      <c r="AS1379" t="s">
        <v>66</v>
      </c>
      <c r="AT1379">
        <v>0</v>
      </c>
      <c r="AU1379" t="s">
        <v>66</v>
      </c>
      <c r="AV1379">
        <v>0</v>
      </c>
      <c r="AW1379" t="s">
        <v>66</v>
      </c>
      <c r="AX1379">
        <v>0</v>
      </c>
      <c r="AY1379" t="s">
        <v>66</v>
      </c>
      <c r="AZ1379">
        <v>0</v>
      </c>
      <c r="BA1379" t="s">
        <v>66</v>
      </c>
      <c r="BB1379">
        <v>0</v>
      </c>
      <c r="BC1379">
        <v>0</v>
      </c>
      <c r="BD1379">
        <v>217582.2</v>
      </c>
      <c r="BE1379">
        <v>14881.93</v>
      </c>
      <c r="BF1379">
        <v>0</v>
      </c>
      <c r="BG1379" t="s">
        <v>87</v>
      </c>
      <c r="BH1379" t="s">
        <v>66</v>
      </c>
      <c r="BI1379">
        <v>0</v>
      </c>
      <c r="BJ1379" t="s">
        <v>66</v>
      </c>
      <c r="BK1379" t="s">
        <v>88</v>
      </c>
      <c r="BL1379" t="s">
        <v>66</v>
      </c>
      <c r="BM1379" t="s">
        <v>159</v>
      </c>
    </row>
    <row r="1380" spans="1:65" x14ac:dyDescent="0.25">
      <c r="A1380">
        <v>1378</v>
      </c>
      <c r="B1380" t="s">
        <v>1576</v>
      </c>
      <c r="C1380" t="s">
        <v>68</v>
      </c>
      <c r="D1380" s="1">
        <v>46219</v>
      </c>
      <c r="E1380" t="s">
        <v>1577</v>
      </c>
      <c r="F1380" t="s">
        <v>68</v>
      </c>
      <c r="G1380" t="s">
        <v>295</v>
      </c>
      <c r="H1380" t="s">
        <v>296</v>
      </c>
      <c r="I1380" t="s">
        <v>71</v>
      </c>
      <c r="J1380" t="s">
        <v>72</v>
      </c>
      <c r="K1380" t="s">
        <v>73</v>
      </c>
      <c r="L1380" t="s">
        <v>74</v>
      </c>
      <c r="M1380" t="s">
        <v>1182</v>
      </c>
      <c r="N1380" t="s">
        <v>111</v>
      </c>
      <c r="O1380" t="s">
        <v>1183</v>
      </c>
      <c r="P1380" t="s">
        <v>1184</v>
      </c>
      <c r="Q1380" t="s">
        <v>1578</v>
      </c>
      <c r="R1380" s="1">
        <v>46220</v>
      </c>
      <c r="S1380" t="s">
        <v>1186</v>
      </c>
      <c r="T1380" t="s">
        <v>1187</v>
      </c>
      <c r="U1380" t="s">
        <v>1188</v>
      </c>
      <c r="V1380" t="s">
        <v>66</v>
      </c>
      <c r="W1380" t="s">
        <v>66</v>
      </c>
      <c r="X1380">
        <v>7075728</v>
      </c>
      <c r="Y1380">
        <v>778330.08</v>
      </c>
      <c r="Z1380">
        <v>162162</v>
      </c>
      <c r="AA1380">
        <v>17837.82</v>
      </c>
      <c r="AB1380">
        <v>7854058.0800000001</v>
      </c>
      <c r="AC1380">
        <v>6</v>
      </c>
      <c r="AD1380" t="s">
        <v>82</v>
      </c>
      <c r="AE1380">
        <v>6</v>
      </c>
      <c r="AF1380" t="s">
        <v>593</v>
      </c>
      <c r="AG1380">
        <f>IFERROR(VLOOKUP(AF1380,[1]STOK!J:O,6,0),"")</f>
        <v>12</v>
      </c>
      <c r="AH1380" s="2">
        <f t="shared" si="42"/>
        <v>0.5</v>
      </c>
      <c r="AI1380" t="s">
        <v>593</v>
      </c>
      <c r="AJ1380" t="s">
        <v>594</v>
      </c>
      <c r="AK1380" t="s">
        <v>595</v>
      </c>
      <c r="AL1380" t="s">
        <v>86</v>
      </c>
      <c r="AM1380">
        <v>30303</v>
      </c>
      <c r="AN1380">
        <f t="shared" si="43"/>
        <v>29999.97</v>
      </c>
      <c r="AO1380" t="s">
        <v>66</v>
      </c>
      <c r="AP1380">
        <v>1</v>
      </c>
      <c r="AQ1380" t="s">
        <v>66</v>
      </c>
      <c r="AR1380">
        <v>0</v>
      </c>
      <c r="AS1380" t="s">
        <v>66</v>
      </c>
      <c r="AT1380">
        <v>0</v>
      </c>
      <c r="AU1380" t="s">
        <v>66</v>
      </c>
      <c r="AV1380">
        <v>0</v>
      </c>
      <c r="AW1380" t="s">
        <v>66</v>
      </c>
      <c r="AX1380">
        <v>0</v>
      </c>
      <c r="AY1380" t="s">
        <v>66</v>
      </c>
      <c r="AZ1380">
        <v>0</v>
      </c>
      <c r="BA1380" t="s">
        <v>66</v>
      </c>
      <c r="BB1380">
        <v>0</v>
      </c>
      <c r="BC1380">
        <v>0</v>
      </c>
      <c r="BD1380">
        <v>179999.82</v>
      </c>
      <c r="BE1380">
        <v>24521.7</v>
      </c>
      <c r="BF1380">
        <v>0</v>
      </c>
      <c r="BG1380" t="s">
        <v>87</v>
      </c>
      <c r="BH1380" t="s">
        <v>66</v>
      </c>
      <c r="BI1380">
        <v>0</v>
      </c>
      <c r="BJ1380" t="s">
        <v>66</v>
      </c>
      <c r="BK1380" t="s">
        <v>88</v>
      </c>
      <c r="BL1380" t="s">
        <v>66</v>
      </c>
      <c r="BM1380" t="s">
        <v>159</v>
      </c>
    </row>
    <row r="1381" spans="1:65" x14ac:dyDescent="0.25">
      <c r="A1381">
        <v>1379</v>
      </c>
      <c r="B1381" t="s">
        <v>1576</v>
      </c>
      <c r="C1381" t="s">
        <v>68</v>
      </c>
      <c r="D1381" s="1">
        <v>46219</v>
      </c>
      <c r="E1381" t="s">
        <v>1577</v>
      </c>
      <c r="F1381" t="s">
        <v>68</v>
      </c>
      <c r="G1381" t="s">
        <v>295</v>
      </c>
      <c r="H1381" t="s">
        <v>296</v>
      </c>
      <c r="I1381" t="s">
        <v>71</v>
      </c>
      <c r="J1381" t="s">
        <v>72</v>
      </c>
      <c r="K1381" t="s">
        <v>73</v>
      </c>
      <c r="L1381" t="s">
        <v>74</v>
      </c>
      <c r="M1381" t="s">
        <v>1182</v>
      </c>
      <c r="N1381" t="s">
        <v>111</v>
      </c>
      <c r="O1381" t="s">
        <v>1183</v>
      </c>
      <c r="P1381" t="s">
        <v>1184</v>
      </c>
      <c r="Q1381" t="s">
        <v>1578</v>
      </c>
      <c r="R1381" s="1">
        <v>46220</v>
      </c>
      <c r="S1381" t="s">
        <v>1186</v>
      </c>
      <c r="T1381" t="s">
        <v>1187</v>
      </c>
      <c r="U1381" t="s">
        <v>1188</v>
      </c>
      <c r="V1381" t="s">
        <v>66</v>
      </c>
      <c r="W1381" t="s">
        <v>66</v>
      </c>
      <c r="X1381">
        <v>7075728</v>
      </c>
      <c r="Y1381">
        <v>778330.08</v>
      </c>
      <c r="Z1381">
        <v>162162</v>
      </c>
      <c r="AA1381">
        <v>17837.82</v>
      </c>
      <c r="AB1381">
        <v>7854058.0800000001</v>
      </c>
      <c r="AC1381">
        <v>6</v>
      </c>
      <c r="AD1381" t="s">
        <v>82</v>
      </c>
      <c r="AE1381">
        <v>6</v>
      </c>
      <c r="AF1381" t="s">
        <v>303</v>
      </c>
      <c r="AG1381">
        <f>IFERROR(VLOOKUP(AF1381,[1]STOK!J:O,6,0),"")</f>
        <v>12</v>
      </c>
      <c r="AH1381" s="2">
        <f t="shared" si="42"/>
        <v>0.5</v>
      </c>
      <c r="AI1381" t="s">
        <v>303</v>
      </c>
      <c r="AJ1381" t="s">
        <v>304</v>
      </c>
      <c r="AK1381" t="s">
        <v>305</v>
      </c>
      <c r="AL1381" t="s">
        <v>86</v>
      </c>
      <c r="AM1381">
        <v>30303</v>
      </c>
      <c r="AN1381">
        <f t="shared" si="43"/>
        <v>29999.97</v>
      </c>
      <c r="AO1381" t="s">
        <v>66</v>
      </c>
      <c r="AP1381">
        <v>1</v>
      </c>
      <c r="AQ1381" t="s">
        <v>66</v>
      </c>
      <c r="AR1381">
        <v>0</v>
      </c>
      <c r="AS1381" t="s">
        <v>66</v>
      </c>
      <c r="AT1381">
        <v>0</v>
      </c>
      <c r="AU1381" t="s">
        <v>66</v>
      </c>
      <c r="AV1381">
        <v>0</v>
      </c>
      <c r="AW1381" t="s">
        <v>66</v>
      </c>
      <c r="AX1381">
        <v>0</v>
      </c>
      <c r="AY1381" t="s">
        <v>66</v>
      </c>
      <c r="AZ1381">
        <v>0</v>
      </c>
      <c r="BA1381" t="s">
        <v>66</v>
      </c>
      <c r="BB1381">
        <v>0</v>
      </c>
      <c r="BC1381">
        <v>0</v>
      </c>
      <c r="BD1381">
        <v>179999.82</v>
      </c>
      <c r="BE1381">
        <v>24552.53</v>
      </c>
      <c r="BF1381">
        <v>0</v>
      </c>
      <c r="BG1381" t="s">
        <v>87</v>
      </c>
      <c r="BH1381" t="s">
        <v>66</v>
      </c>
      <c r="BI1381">
        <v>0</v>
      </c>
      <c r="BJ1381" t="s">
        <v>66</v>
      </c>
      <c r="BK1381" t="s">
        <v>88</v>
      </c>
      <c r="BL1381" t="s">
        <v>66</v>
      </c>
      <c r="BM1381" t="s">
        <v>159</v>
      </c>
    </row>
    <row r="1382" spans="1:65" x14ac:dyDescent="0.25">
      <c r="A1382">
        <v>1380</v>
      </c>
      <c r="B1382" t="s">
        <v>1576</v>
      </c>
      <c r="C1382" t="s">
        <v>68</v>
      </c>
      <c r="D1382" s="1">
        <v>46219</v>
      </c>
      <c r="E1382" t="s">
        <v>1577</v>
      </c>
      <c r="F1382" t="s">
        <v>68</v>
      </c>
      <c r="G1382" t="s">
        <v>295</v>
      </c>
      <c r="H1382" t="s">
        <v>296</v>
      </c>
      <c r="I1382" t="s">
        <v>71</v>
      </c>
      <c r="J1382" t="s">
        <v>72</v>
      </c>
      <c r="K1382" t="s">
        <v>73</v>
      </c>
      <c r="L1382" t="s">
        <v>74</v>
      </c>
      <c r="M1382" t="s">
        <v>1182</v>
      </c>
      <c r="N1382" t="s">
        <v>111</v>
      </c>
      <c r="O1382" t="s">
        <v>1183</v>
      </c>
      <c r="P1382" t="s">
        <v>1184</v>
      </c>
      <c r="Q1382" t="s">
        <v>1578</v>
      </c>
      <c r="R1382" s="1">
        <v>46220</v>
      </c>
      <c r="S1382" t="s">
        <v>1186</v>
      </c>
      <c r="T1382" t="s">
        <v>1187</v>
      </c>
      <c r="U1382" t="s">
        <v>1188</v>
      </c>
      <c r="V1382" t="s">
        <v>66</v>
      </c>
      <c r="W1382" t="s">
        <v>66</v>
      </c>
      <c r="X1382">
        <v>7075728</v>
      </c>
      <c r="Y1382">
        <v>778330.08</v>
      </c>
      <c r="Z1382">
        <v>162162</v>
      </c>
      <c r="AA1382">
        <v>17837.82</v>
      </c>
      <c r="AB1382">
        <v>7854058.0800000001</v>
      </c>
      <c r="AC1382">
        <v>6</v>
      </c>
      <c r="AD1382" t="s">
        <v>82</v>
      </c>
      <c r="AE1382">
        <v>6</v>
      </c>
      <c r="AF1382" t="s">
        <v>306</v>
      </c>
      <c r="AG1382">
        <f>IFERROR(VLOOKUP(AF1382,[1]STOK!J:O,6,0),"")</f>
        <v>12</v>
      </c>
      <c r="AH1382" s="2">
        <f t="shared" si="42"/>
        <v>0.5</v>
      </c>
      <c r="AI1382" t="s">
        <v>306</v>
      </c>
      <c r="AJ1382" t="s">
        <v>307</v>
      </c>
      <c r="AK1382" t="s">
        <v>308</v>
      </c>
      <c r="AL1382" t="s">
        <v>86</v>
      </c>
      <c r="AM1382">
        <v>30303</v>
      </c>
      <c r="AN1382">
        <f t="shared" si="43"/>
        <v>29999.97</v>
      </c>
      <c r="AO1382" t="s">
        <v>66</v>
      </c>
      <c r="AP1382">
        <v>1</v>
      </c>
      <c r="AQ1382" t="s">
        <v>66</v>
      </c>
      <c r="AR1382">
        <v>0</v>
      </c>
      <c r="AS1382" t="s">
        <v>66</v>
      </c>
      <c r="AT1382">
        <v>0</v>
      </c>
      <c r="AU1382" t="s">
        <v>66</v>
      </c>
      <c r="AV1382">
        <v>0</v>
      </c>
      <c r="AW1382" t="s">
        <v>66</v>
      </c>
      <c r="AX1382">
        <v>0</v>
      </c>
      <c r="AY1382" t="s">
        <v>66</v>
      </c>
      <c r="AZ1382">
        <v>0</v>
      </c>
      <c r="BA1382" t="s">
        <v>66</v>
      </c>
      <c r="BB1382">
        <v>0</v>
      </c>
      <c r="BC1382">
        <v>0</v>
      </c>
      <c r="BD1382">
        <v>179999.82</v>
      </c>
      <c r="BE1382">
        <v>24657.27</v>
      </c>
      <c r="BF1382">
        <v>0</v>
      </c>
      <c r="BG1382" t="s">
        <v>87</v>
      </c>
      <c r="BH1382" t="s">
        <v>66</v>
      </c>
      <c r="BI1382">
        <v>0</v>
      </c>
      <c r="BJ1382" t="s">
        <v>66</v>
      </c>
      <c r="BK1382" t="s">
        <v>88</v>
      </c>
      <c r="BL1382" t="s">
        <v>66</v>
      </c>
      <c r="BM1382" t="s">
        <v>159</v>
      </c>
    </row>
    <row r="1383" spans="1:65" x14ac:dyDescent="0.25">
      <c r="A1383">
        <v>1381</v>
      </c>
      <c r="B1383" t="s">
        <v>1576</v>
      </c>
      <c r="C1383" t="s">
        <v>68</v>
      </c>
      <c r="D1383" s="1">
        <v>46219</v>
      </c>
      <c r="E1383" t="s">
        <v>1577</v>
      </c>
      <c r="F1383" t="s">
        <v>68</v>
      </c>
      <c r="G1383" t="s">
        <v>295</v>
      </c>
      <c r="H1383" t="s">
        <v>296</v>
      </c>
      <c r="I1383" t="s">
        <v>71</v>
      </c>
      <c r="J1383" t="s">
        <v>72</v>
      </c>
      <c r="K1383" t="s">
        <v>73</v>
      </c>
      <c r="L1383" t="s">
        <v>74</v>
      </c>
      <c r="M1383" t="s">
        <v>1182</v>
      </c>
      <c r="N1383" t="s">
        <v>111</v>
      </c>
      <c r="O1383" t="s">
        <v>1183</v>
      </c>
      <c r="P1383" t="s">
        <v>1184</v>
      </c>
      <c r="Q1383" t="s">
        <v>1578</v>
      </c>
      <c r="R1383" s="1">
        <v>46220</v>
      </c>
      <c r="S1383" t="s">
        <v>1186</v>
      </c>
      <c r="T1383" t="s">
        <v>1187</v>
      </c>
      <c r="U1383" t="s">
        <v>1188</v>
      </c>
      <c r="V1383" t="s">
        <v>66</v>
      </c>
      <c r="W1383" t="s">
        <v>66</v>
      </c>
      <c r="X1383">
        <v>7075728</v>
      </c>
      <c r="Y1383">
        <v>778330.08</v>
      </c>
      <c r="Z1383">
        <v>162162</v>
      </c>
      <c r="AA1383">
        <v>17837.82</v>
      </c>
      <c r="AB1383">
        <v>7854058.0800000001</v>
      </c>
      <c r="AC1383">
        <v>6</v>
      </c>
      <c r="AD1383" t="s">
        <v>82</v>
      </c>
      <c r="AE1383">
        <v>6</v>
      </c>
      <c r="AF1383" t="s">
        <v>309</v>
      </c>
      <c r="AG1383">
        <f>IFERROR(VLOOKUP(AF1383,[1]STOK!J:O,6,0),"")</f>
        <v>12</v>
      </c>
      <c r="AH1383" s="2">
        <f t="shared" si="42"/>
        <v>0.5</v>
      </c>
      <c r="AI1383" t="s">
        <v>309</v>
      </c>
      <c r="AJ1383" t="s">
        <v>310</v>
      </c>
      <c r="AK1383" t="s">
        <v>311</v>
      </c>
      <c r="AL1383" t="s">
        <v>86</v>
      </c>
      <c r="AM1383">
        <v>30303</v>
      </c>
      <c r="AN1383">
        <f t="shared" si="43"/>
        <v>29999.97</v>
      </c>
      <c r="AO1383" t="s">
        <v>66</v>
      </c>
      <c r="AP1383">
        <v>1</v>
      </c>
      <c r="AQ1383" t="s">
        <v>66</v>
      </c>
      <c r="AR1383">
        <v>0</v>
      </c>
      <c r="AS1383" t="s">
        <v>66</v>
      </c>
      <c r="AT1383">
        <v>0</v>
      </c>
      <c r="AU1383" t="s">
        <v>66</v>
      </c>
      <c r="AV1383">
        <v>0</v>
      </c>
      <c r="AW1383" t="s">
        <v>66</v>
      </c>
      <c r="AX1383">
        <v>0</v>
      </c>
      <c r="AY1383" t="s">
        <v>66</v>
      </c>
      <c r="AZ1383">
        <v>0</v>
      </c>
      <c r="BA1383" t="s">
        <v>66</v>
      </c>
      <c r="BB1383">
        <v>0</v>
      </c>
      <c r="BC1383">
        <v>0</v>
      </c>
      <c r="BD1383">
        <v>179999.82</v>
      </c>
      <c r="BE1383">
        <v>24593.3</v>
      </c>
      <c r="BF1383">
        <v>0</v>
      </c>
      <c r="BG1383" t="s">
        <v>87</v>
      </c>
      <c r="BH1383" t="s">
        <v>66</v>
      </c>
      <c r="BI1383">
        <v>0</v>
      </c>
      <c r="BJ1383" t="s">
        <v>66</v>
      </c>
      <c r="BK1383" t="s">
        <v>88</v>
      </c>
      <c r="BL1383" t="s">
        <v>66</v>
      </c>
      <c r="BM1383" t="s">
        <v>159</v>
      </c>
    </row>
    <row r="1384" spans="1:65" x14ac:dyDescent="0.25">
      <c r="A1384">
        <v>1382</v>
      </c>
      <c r="B1384" t="s">
        <v>1576</v>
      </c>
      <c r="C1384" t="s">
        <v>68</v>
      </c>
      <c r="D1384" s="1">
        <v>46219</v>
      </c>
      <c r="E1384" t="s">
        <v>1577</v>
      </c>
      <c r="F1384" t="s">
        <v>68</v>
      </c>
      <c r="G1384" t="s">
        <v>295</v>
      </c>
      <c r="H1384" t="s">
        <v>296</v>
      </c>
      <c r="I1384" t="s">
        <v>71</v>
      </c>
      <c r="J1384" t="s">
        <v>72</v>
      </c>
      <c r="K1384" t="s">
        <v>73</v>
      </c>
      <c r="L1384" t="s">
        <v>74</v>
      </c>
      <c r="M1384" t="s">
        <v>1182</v>
      </c>
      <c r="N1384" t="s">
        <v>111</v>
      </c>
      <c r="O1384" t="s">
        <v>1183</v>
      </c>
      <c r="P1384" t="s">
        <v>1184</v>
      </c>
      <c r="Q1384" t="s">
        <v>1578</v>
      </c>
      <c r="R1384" s="1">
        <v>46220</v>
      </c>
      <c r="S1384" t="s">
        <v>1186</v>
      </c>
      <c r="T1384" t="s">
        <v>1187</v>
      </c>
      <c r="U1384" t="s">
        <v>1188</v>
      </c>
      <c r="V1384" t="s">
        <v>66</v>
      </c>
      <c r="W1384" t="s">
        <v>66</v>
      </c>
      <c r="X1384">
        <v>7075728</v>
      </c>
      <c r="Y1384">
        <v>778330.08</v>
      </c>
      <c r="Z1384">
        <v>230472</v>
      </c>
      <c r="AA1384">
        <v>25351.919999999998</v>
      </c>
      <c r="AB1384">
        <v>7854058.0800000001</v>
      </c>
      <c r="AC1384">
        <v>12</v>
      </c>
      <c r="AD1384" t="s">
        <v>82</v>
      </c>
      <c r="AE1384">
        <v>12</v>
      </c>
      <c r="AF1384" t="s">
        <v>284</v>
      </c>
      <c r="AG1384">
        <f>IFERROR(VLOOKUP(AF1384,[1]STOK!J:O,6,0),"")</f>
        <v>12</v>
      </c>
      <c r="AH1384" s="2">
        <f t="shared" si="42"/>
        <v>1</v>
      </c>
      <c r="AI1384" t="s">
        <v>284</v>
      </c>
      <c r="AJ1384" t="s">
        <v>285</v>
      </c>
      <c r="AK1384" t="s">
        <v>286</v>
      </c>
      <c r="AL1384" t="s">
        <v>86</v>
      </c>
      <c r="AM1384">
        <v>21534</v>
      </c>
      <c r="AN1384">
        <f t="shared" si="43"/>
        <v>21318.66</v>
      </c>
      <c r="AO1384" t="s">
        <v>66</v>
      </c>
      <c r="AP1384">
        <v>1</v>
      </c>
      <c r="AQ1384" t="s">
        <v>66</v>
      </c>
      <c r="AR1384">
        <v>0</v>
      </c>
      <c r="AS1384" t="s">
        <v>66</v>
      </c>
      <c r="AT1384">
        <v>0</v>
      </c>
      <c r="AU1384" t="s">
        <v>66</v>
      </c>
      <c r="AV1384">
        <v>0</v>
      </c>
      <c r="AW1384" t="s">
        <v>66</v>
      </c>
      <c r="AX1384">
        <v>0</v>
      </c>
      <c r="AY1384" t="s">
        <v>66</v>
      </c>
      <c r="AZ1384">
        <v>0</v>
      </c>
      <c r="BA1384" t="s">
        <v>66</v>
      </c>
      <c r="BB1384">
        <v>0</v>
      </c>
      <c r="BC1384">
        <v>0</v>
      </c>
      <c r="BD1384">
        <v>255823.92</v>
      </c>
      <c r="BE1384">
        <v>17160.12</v>
      </c>
      <c r="BF1384">
        <v>0</v>
      </c>
      <c r="BG1384" t="s">
        <v>87</v>
      </c>
      <c r="BH1384" t="s">
        <v>66</v>
      </c>
      <c r="BI1384">
        <v>0</v>
      </c>
      <c r="BJ1384" t="s">
        <v>66</v>
      </c>
      <c r="BK1384" t="s">
        <v>88</v>
      </c>
      <c r="BL1384" t="s">
        <v>66</v>
      </c>
      <c r="BM1384" t="s">
        <v>159</v>
      </c>
    </row>
    <row r="1385" spans="1:65" x14ac:dyDescent="0.25">
      <c r="A1385">
        <v>1383</v>
      </c>
      <c r="B1385" t="s">
        <v>1576</v>
      </c>
      <c r="C1385" t="s">
        <v>68</v>
      </c>
      <c r="D1385" s="1">
        <v>46219</v>
      </c>
      <c r="E1385" t="s">
        <v>1577</v>
      </c>
      <c r="F1385" t="s">
        <v>68</v>
      </c>
      <c r="G1385" t="s">
        <v>295</v>
      </c>
      <c r="H1385" t="s">
        <v>296</v>
      </c>
      <c r="I1385" t="s">
        <v>71</v>
      </c>
      <c r="J1385" t="s">
        <v>72</v>
      </c>
      <c r="K1385" t="s">
        <v>73</v>
      </c>
      <c r="L1385" t="s">
        <v>74</v>
      </c>
      <c r="M1385" t="s">
        <v>1182</v>
      </c>
      <c r="N1385" t="s">
        <v>111</v>
      </c>
      <c r="O1385" t="s">
        <v>1183</v>
      </c>
      <c r="P1385" t="s">
        <v>1184</v>
      </c>
      <c r="Q1385" t="s">
        <v>1578</v>
      </c>
      <c r="R1385" s="1">
        <v>46220</v>
      </c>
      <c r="S1385" t="s">
        <v>1186</v>
      </c>
      <c r="T1385" t="s">
        <v>1187</v>
      </c>
      <c r="U1385" t="s">
        <v>1188</v>
      </c>
      <c r="V1385" t="s">
        <v>66</v>
      </c>
      <c r="W1385" t="s">
        <v>66</v>
      </c>
      <c r="X1385">
        <v>7075728</v>
      </c>
      <c r="Y1385">
        <v>778330.08</v>
      </c>
      <c r="Z1385">
        <v>174636</v>
      </c>
      <c r="AA1385">
        <v>19209.96</v>
      </c>
      <c r="AB1385">
        <v>7854058.0800000001</v>
      </c>
      <c r="AC1385">
        <v>12</v>
      </c>
      <c r="AD1385" t="s">
        <v>82</v>
      </c>
      <c r="AE1385">
        <v>12</v>
      </c>
      <c r="AF1385" t="s">
        <v>1263</v>
      </c>
      <c r="AG1385">
        <f>IFERROR(VLOOKUP(AF1385,[1]STOK!J:O,6,0),"")</f>
        <v>12</v>
      </c>
      <c r="AH1385" s="2">
        <f t="shared" si="42"/>
        <v>1</v>
      </c>
      <c r="AI1385" t="s">
        <v>1263</v>
      </c>
      <c r="AJ1385" t="s">
        <v>1264</v>
      </c>
      <c r="AK1385" t="s">
        <v>1265</v>
      </c>
      <c r="AL1385" t="s">
        <v>86</v>
      </c>
      <c r="AM1385">
        <v>16317</v>
      </c>
      <c r="AN1385">
        <f t="shared" si="43"/>
        <v>16153.83</v>
      </c>
      <c r="AO1385" t="s">
        <v>66</v>
      </c>
      <c r="AP1385">
        <v>1</v>
      </c>
      <c r="AQ1385" t="s">
        <v>66</v>
      </c>
      <c r="AR1385">
        <v>0</v>
      </c>
      <c r="AS1385" t="s">
        <v>66</v>
      </c>
      <c r="AT1385">
        <v>0</v>
      </c>
      <c r="AU1385" t="s">
        <v>66</v>
      </c>
      <c r="AV1385">
        <v>0</v>
      </c>
      <c r="AW1385" t="s">
        <v>66</v>
      </c>
      <c r="AX1385">
        <v>0</v>
      </c>
      <c r="AY1385" t="s">
        <v>66</v>
      </c>
      <c r="AZ1385">
        <v>0</v>
      </c>
      <c r="BA1385" t="s">
        <v>66</v>
      </c>
      <c r="BB1385">
        <v>0</v>
      </c>
      <c r="BC1385">
        <v>0</v>
      </c>
      <c r="BD1385">
        <v>193845.96</v>
      </c>
      <c r="BE1385">
        <v>12968.32</v>
      </c>
      <c r="BF1385">
        <v>0</v>
      </c>
      <c r="BG1385" t="s">
        <v>87</v>
      </c>
      <c r="BH1385" t="s">
        <v>66</v>
      </c>
      <c r="BI1385">
        <v>0</v>
      </c>
      <c r="BJ1385" t="s">
        <v>66</v>
      </c>
      <c r="BK1385" t="s">
        <v>88</v>
      </c>
      <c r="BL1385" t="s">
        <v>66</v>
      </c>
      <c r="BM1385" t="s">
        <v>159</v>
      </c>
    </row>
    <row r="1386" spans="1:65" x14ac:dyDescent="0.25">
      <c r="A1386">
        <v>1384</v>
      </c>
      <c r="B1386" t="s">
        <v>1576</v>
      </c>
      <c r="C1386" t="s">
        <v>68</v>
      </c>
      <c r="D1386" s="1">
        <v>46219</v>
      </c>
      <c r="E1386" t="s">
        <v>1577</v>
      </c>
      <c r="F1386" t="s">
        <v>68</v>
      </c>
      <c r="G1386" t="s">
        <v>295</v>
      </c>
      <c r="H1386" t="s">
        <v>296</v>
      </c>
      <c r="I1386" t="s">
        <v>71</v>
      </c>
      <c r="J1386" t="s">
        <v>72</v>
      </c>
      <c r="K1386" t="s">
        <v>73</v>
      </c>
      <c r="L1386" t="s">
        <v>74</v>
      </c>
      <c r="M1386" t="s">
        <v>1182</v>
      </c>
      <c r="N1386" t="s">
        <v>111</v>
      </c>
      <c r="O1386" t="s">
        <v>1183</v>
      </c>
      <c r="P1386" t="s">
        <v>1184</v>
      </c>
      <c r="Q1386" t="s">
        <v>1578</v>
      </c>
      <c r="R1386" s="1">
        <v>46220</v>
      </c>
      <c r="S1386" t="s">
        <v>1186</v>
      </c>
      <c r="T1386" t="s">
        <v>1187</v>
      </c>
      <c r="U1386" t="s">
        <v>1188</v>
      </c>
      <c r="V1386" t="s">
        <v>66</v>
      </c>
      <c r="W1386" t="s">
        <v>66</v>
      </c>
      <c r="X1386">
        <v>7075728</v>
      </c>
      <c r="Y1386">
        <v>778330.08</v>
      </c>
      <c r="Z1386">
        <v>174636</v>
      </c>
      <c r="AA1386">
        <v>19209.96</v>
      </c>
      <c r="AB1386">
        <v>7854058.0800000001</v>
      </c>
      <c r="AC1386">
        <v>12</v>
      </c>
      <c r="AD1386" t="s">
        <v>82</v>
      </c>
      <c r="AE1386">
        <v>12</v>
      </c>
      <c r="AF1386" t="s">
        <v>473</v>
      </c>
      <c r="AG1386">
        <f>IFERROR(VLOOKUP(AF1386,[1]STOK!J:O,6,0),"")</f>
        <v>12</v>
      </c>
      <c r="AH1386" s="2">
        <f t="shared" si="42"/>
        <v>1</v>
      </c>
      <c r="AI1386" t="s">
        <v>473</v>
      </c>
      <c r="AJ1386" t="s">
        <v>474</v>
      </c>
      <c r="AK1386" t="s">
        <v>475</v>
      </c>
      <c r="AL1386" t="s">
        <v>86</v>
      </c>
      <c r="AM1386">
        <v>16317</v>
      </c>
      <c r="AN1386">
        <f t="shared" si="43"/>
        <v>16153.83</v>
      </c>
      <c r="AO1386" t="s">
        <v>66</v>
      </c>
      <c r="AP1386">
        <v>1</v>
      </c>
      <c r="AQ1386" t="s">
        <v>66</v>
      </c>
      <c r="AR1386">
        <v>0</v>
      </c>
      <c r="AS1386" t="s">
        <v>66</v>
      </c>
      <c r="AT1386">
        <v>0</v>
      </c>
      <c r="AU1386" t="s">
        <v>66</v>
      </c>
      <c r="AV1386">
        <v>0</v>
      </c>
      <c r="AW1386" t="s">
        <v>66</v>
      </c>
      <c r="AX1386">
        <v>0</v>
      </c>
      <c r="AY1386" t="s">
        <v>66</v>
      </c>
      <c r="AZ1386">
        <v>0</v>
      </c>
      <c r="BA1386" t="s">
        <v>66</v>
      </c>
      <c r="BB1386">
        <v>0</v>
      </c>
      <c r="BC1386">
        <v>0</v>
      </c>
      <c r="BD1386">
        <v>193845.96</v>
      </c>
      <c r="BE1386">
        <v>12750.39</v>
      </c>
      <c r="BF1386">
        <v>0</v>
      </c>
      <c r="BG1386" t="s">
        <v>87</v>
      </c>
      <c r="BH1386" t="s">
        <v>66</v>
      </c>
      <c r="BI1386">
        <v>0</v>
      </c>
      <c r="BJ1386" t="s">
        <v>66</v>
      </c>
      <c r="BK1386" t="s">
        <v>88</v>
      </c>
      <c r="BL1386" t="s">
        <v>66</v>
      </c>
      <c r="BM1386" t="s">
        <v>159</v>
      </c>
    </row>
    <row r="1387" spans="1:65" x14ac:dyDescent="0.25">
      <c r="A1387">
        <v>1385</v>
      </c>
      <c r="B1387" t="s">
        <v>1576</v>
      </c>
      <c r="C1387" t="s">
        <v>68</v>
      </c>
      <c r="D1387" s="1">
        <v>46219</v>
      </c>
      <c r="E1387" t="s">
        <v>1577</v>
      </c>
      <c r="F1387" t="s">
        <v>68</v>
      </c>
      <c r="G1387" t="s">
        <v>295</v>
      </c>
      <c r="H1387" t="s">
        <v>296</v>
      </c>
      <c r="I1387" t="s">
        <v>71</v>
      </c>
      <c r="J1387" t="s">
        <v>72</v>
      </c>
      <c r="K1387" t="s">
        <v>73</v>
      </c>
      <c r="L1387" t="s">
        <v>74</v>
      </c>
      <c r="M1387" t="s">
        <v>1182</v>
      </c>
      <c r="N1387" t="s">
        <v>111</v>
      </c>
      <c r="O1387" t="s">
        <v>1183</v>
      </c>
      <c r="P1387" t="s">
        <v>1184</v>
      </c>
      <c r="Q1387" t="s">
        <v>1578</v>
      </c>
      <c r="R1387" s="1">
        <v>46220</v>
      </c>
      <c r="S1387" t="s">
        <v>1186</v>
      </c>
      <c r="T1387" t="s">
        <v>1187</v>
      </c>
      <c r="U1387" t="s">
        <v>1188</v>
      </c>
      <c r="V1387" t="s">
        <v>66</v>
      </c>
      <c r="W1387" t="s">
        <v>66</v>
      </c>
      <c r="X1387">
        <v>7075728</v>
      </c>
      <c r="Y1387">
        <v>778330.08</v>
      </c>
      <c r="Z1387">
        <v>49896</v>
      </c>
      <c r="AA1387">
        <v>5488.56</v>
      </c>
      <c r="AB1387">
        <v>7854058.0800000001</v>
      </c>
      <c r="AC1387">
        <v>12</v>
      </c>
      <c r="AD1387" t="s">
        <v>82</v>
      </c>
      <c r="AE1387">
        <v>12</v>
      </c>
      <c r="AF1387" t="s">
        <v>131</v>
      </c>
      <c r="AG1387">
        <f>IFERROR(VLOOKUP(AF1387,[1]STOK!J:O,6,0),"")</f>
        <v>24</v>
      </c>
      <c r="AH1387" s="2">
        <f t="shared" si="42"/>
        <v>0.5</v>
      </c>
      <c r="AI1387" t="s">
        <v>131</v>
      </c>
      <c r="AJ1387" t="s">
        <v>132</v>
      </c>
      <c r="AK1387" t="s">
        <v>133</v>
      </c>
      <c r="AL1387" t="s">
        <v>86</v>
      </c>
      <c r="AM1387">
        <v>4662</v>
      </c>
      <c r="AN1387">
        <f t="shared" si="43"/>
        <v>4615.38</v>
      </c>
      <c r="AO1387" t="s">
        <v>66</v>
      </c>
      <c r="AP1387">
        <v>1</v>
      </c>
      <c r="AQ1387" t="s">
        <v>66</v>
      </c>
      <c r="AR1387">
        <v>0</v>
      </c>
      <c r="AS1387" t="s">
        <v>66</v>
      </c>
      <c r="AT1387">
        <v>0</v>
      </c>
      <c r="AU1387" t="s">
        <v>66</v>
      </c>
      <c r="AV1387">
        <v>0</v>
      </c>
      <c r="AW1387" t="s">
        <v>66</v>
      </c>
      <c r="AX1387">
        <v>0</v>
      </c>
      <c r="AY1387" t="s">
        <v>66</v>
      </c>
      <c r="AZ1387">
        <v>0</v>
      </c>
      <c r="BA1387" t="s">
        <v>66</v>
      </c>
      <c r="BB1387">
        <v>0</v>
      </c>
      <c r="BC1387">
        <v>0</v>
      </c>
      <c r="BD1387">
        <v>55384.56</v>
      </c>
      <c r="BE1387">
        <v>3657.11</v>
      </c>
      <c r="BF1387">
        <v>0</v>
      </c>
      <c r="BG1387" t="s">
        <v>87</v>
      </c>
      <c r="BH1387" t="s">
        <v>66</v>
      </c>
      <c r="BI1387">
        <v>0</v>
      </c>
      <c r="BJ1387" t="s">
        <v>66</v>
      </c>
      <c r="BK1387" t="s">
        <v>88</v>
      </c>
      <c r="BL1387" t="s">
        <v>66</v>
      </c>
      <c r="BM1387" t="s">
        <v>159</v>
      </c>
    </row>
    <row r="1388" spans="1:65" x14ac:dyDescent="0.25">
      <c r="A1388">
        <v>1386</v>
      </c>
      <c r="B1388" t="s">
        <v>1576</v>
      </c>
      <c r="C1388" t="s">
        <v>68</v>
      </c>
      <c r="D1388" s="1">
        <v>46219</v>
      </c>
      <c r="E1388" t="s">
        <v>1577</v>
      </c>
      <c r="F1388" t="s">
        <v>68</v>
      </c>
      <c r="G1388" t="s">
        <v>295</v>
      </c>
      <c r="H1388" t="s">
        <v>296</v>
      </c>
      <c r="I1388" t="s">
        <v>71</v>
      </c>
      <c r="J1388" t="s">
        <v>72</v>
      </c>
      <c r="K1388" t="s">
        <v>73</v>
      </c>
      <c r="L1388" t="s">
        <v>74</v>
      </c>
      <c r="M1388" t="s">
        <v>1182</v>
      </c>
      <c r="N1388" t="s">
        <v>111</v>
      </c>
      <c r="O1388" t="s">
        <v>1183</v>
      </c>
      <c r="P1388" t="s">
        <v>1184</v>
      </c>
      <c r="Q1388" t="s">
        <v>1578</v>
      </c>
      <c r="R1388" s="1">
        <v>46220</v>
      </c>
      <c r="S1388" t="s">
        <v>1186</v>
      </c>
      <c r="T1388" t="s">
        <v>1187</v>
      </c>
      <c r="U1388" t="s">
        <v>1188</v>
      </c>
      <c r="V1388" t="s">
        <v>66</v>
      </c>
      <c r="W1388" t="s">
        <v>66</v>
      </c>
      <c r="X1388">
        <v>7075728</v>
      </c>
      <c r="Y1388">
        <v>778330.08</v>
      </c>
      <c r="Z1388">
        <v>75438</v>
      </c>
      <c r="AA1388">
        <v>8298.18</v>
      </c>
      <c r="AB1388">
        <v>7854058.0800000001</v>
      </c>
      <c r="AC1388">
        <v>6</v>
      </c>
      <c r="AD1388" t="s">
        <v>82</v>
      </c>
      <c r="AE1388">
        <v>6</v>
      </c>
      <c r="AF1388" t="s">
        <v>827</v>
      </c>
      <c r="AG1388">
        <f>IFERROR(VLOOKUP(AF1388,[1]STOK!J:O,6,0),"")</f>
        <v>12</v>
      </c>
      <c r="AH1388" s="2">
        <f t="shared" si="42"/>
        <v>0.5</v>
      </c>
      <c r="AI1388" t="s">
        <v>827</v>
      </c>
      <c r="AJ1388" t="s">
        <v>828</v>
      </c>
      <c r="AK1388" t="s">
        <v>829</v>
      </c>
      <c r="AL1388" t="s">
        <v>86</v>
      </c>
      <c r="AM1388">
        <v>14097</v>
      </c>
      <c r="AN1388">
        <f t="shared" si="43"/>
        <v>13956.029999999999</v>
      </c>
      <c r="AO1388" t="s">
        <v>66</v>
      </c>
      <c r="AP1388">
        <v>1</v>
      </c>
      <c r="AQ1388" t="s">
        <v>66</v>
      </c>
      <c r="AR1388">
        <v>0</v>
      </c>
      <c r="AS1388" t="s">
        <v>66</v>
      </c>
      <c r="AT1388">
        <v>0</v>
      </c>
      <c r="AU1388" t="s">
        <v>66</v>
      </c>
      <c r="AV1388">
        <v>0</v>
      </c>
      <c r="AW1388" t="s">
        <v>66</v>
      </c>
      <c r="AX1388">
        <v>0</v>
      </c>
      <c r="AY1388" t="s">
        <v>66</v>
      </c>
      <c r="AZ1388">
        <v>0</v>
      </c>
      <c r="BA1388" t="s">
        <v>66</v>
      </c>
      <c r="BB1388">
        <v>0</v>
      </c>
      <c r="BC1388">
        <v>0</v>
      </c>
      <c r="BD1388">
        <v>83736.179999999993</v>
      </c>
      <c r="BE1388">
        <v>10795.09</v>
      </c>
      <c r="BF1388">
        <v>0</v>
      </c>
      <c r="BG1388" t="s">
        <v>87</v>
      </c>
      <c r="BH1388" t="s">
        <v>66</v>
      </c>
      <c r="BI1388">
        <v>0</v>
      </c>
      <c r="BJ1388" t="s">
        <v>66</v>
      </c>
      <c r="BK1388" t="s">
        <v>88</v>
      </c>
      <c r="BL1388" t="s">
        <v>66</v>
      </c>
      <c r="BM1388" t="s">
        <v>159</v>
      </c>
    </row>
    <row r="1389" spans="1:65" x14ac:dyDescent="0.25">
      <c r="A1389">
        <v>1387</v>
      </c>
      <c r="B1389" t="s">
        <v>1576</v>
      </c>
      <c r="C1389" t="s">
        <v>68</v>
      </c>
      <c r="D1389" s="1">
        <v>46219</v>
      </c>
      <c r="E1389" t="s">
        <v>1577</v>
      </c>
      <c r="F1389" t="s">
        <v>68</v>
      </c>
      <c r="G1389" t="s">
        <v>295</v>
      </c>
      <c r="H1389" t="s">
        <v>296</v>
      </c>
      <c r="I1389" t="s">
        <v>71</v>
      </c>
      <c r="J1389" t="s">
        <v>72</v>
      </c>
      <c r="K1389" t="s">
        <v>73</v>
      </c>
      <c r="L1389" t="s">
        <v>74</v>
      </c>
      <c r="M1389" t="s">
        <v>1182</v>
      </c>
      <c r="N1389" t="s">
        <v>111</v>
      </c>
      <c r="O1389" t="s">
        <v>1183</v>
      </c>
      <c r="P1389" t="s">
        <v>1184</v>
      </c>
      <c r="Q1389" t="s">
        <v>1578</v>
      </c>
      <c r="R1389" s="1">
        <v>46220</v>
      </c>
      <c r="S1389" t="s">
        <v>1186</v>
      </c>
      <c r="T1389" t="s">
        <v>1187</v>
      </c>
      <c r="U1389" t="s">
        <v>1188</v>
      </c>
      <c r="V1389" t="s">
        <v>66</v>
      </c>
      <c r="W1389" t="s">
        <v>66</v>
      </c>
      <c r="X1389">
        <v>7075728</v>
      </c>
      <c r="Y1389">
        <v>778330.08</v>
      </c>
      <c r="Z1389">
        <v>171072</v>
      </c>
      <c r="AA1389">
        <v>18817.919999999998</v>
      </c>
      <c r="AB1389">
        <v>7854058.0800000001</v>
      </c>
      <c r="AC1389">
        <v>12</v>
      </c>
      <c r="AD1389" t="s">
        <v>82</v>
      </c>
      <c r="AE1389">
        <v>12</v>
      </c>
      <c r="AF1389" t="s">
        <v>551</v>
      </c>
      <c r="AG1389">
        <f>IFERROR(VLOOKUP(AF1389,[1]STOK!J:O,6,0),"")</f>
        <v>12</v>
      </c>
      <c r="AH1389" s="2">
        <f t="shared" si="42"/>
        <v>1</v>
      </c>
      <c r="AI1389" t="s">
        <v>551</v>
      </c>
      <c r="AJ1389" t="s">
        <v>552</v>
      </c>
      <c r="AK1389" t="s">
        <v>553</v>
      </c>
      <c r="AL1389" t="s">
        <v>86</v>
      </c>
      <c r="AM1389">
        <v>15984</v>
      </c>
      <c r="AN1389">
        <f t="shared" si="43"/>
        <v>15824.160000000002</v>
      </c>
      <c r="AO1389" t="s">
        <v>66</v>
      </c>
      <c r="AP1389">
        <v>1</v>
      </c>
      <c r="AQ1389" t="s">
        <v>66</v>
      </c>
      <c r="AR1389">
        <v>0</v>
      </c>
      <c r="AS1389" t="s">
        <v>66</v>
      </c>
      <c r="AT1389">
        <v>0</v>
      </c>
      <c r="AU1389" t="s">
        <v>66</v>
      </c>
      <c r="AV1389">
        <v>0</v>
      </c>
      <c r="AW1389" t="s">
        <v>66</v>
      </c>
      <c r="AX1389">
        <v>0</v>
      </c>
      <c r="AY1389" t="s">
        <v>66</v>
      </c>
      <c r="AZ1389">
        <v>0</v>
      </c>
      <c r="BA1389" t="s">
        <v>66</v>
      </c>
      <c r="BB1389">
        <v>0</v>
      </c>
      <c r="BC1389">
        <v>0</v>
      </c>
      <c r="BD1389">
        <v>189889.92000000001</v>
      </c>
      <c r="BE1389">
        <v>12731.44</v>
      </c>
      <c r="BF1389">
        <v>0</v>
      </c>
      <c r="BG1389" t="s">
        <v>87</v>
      </c>
      <c r="BH1389" t="s">
        <v>66</v>
      </c>
      <c r="BI1389">
        <v>0</v>
      </c>
      <c r="BJ1389" t="s">
        <v>66</v>
      </c>
      <c r="BK1389" t="s">
        <v>88</v>
      </c>
      <c r="BL1389" t="s">
        <v>66</v>
      </c>
      <c r="BM1389" t="s">
        <v>159</v>
      </c>
    </row>
    <row r="1390" spans="1:65" x14ac:dyDescent="0.25">
      <c r="A1390">
        <v>1388</v>
      </c>
      <c r="B1390" t="s">
        <v>1576</v>
      </c>
      <c r="C1390" t="s">
        <v>68</v>
      </c>
      <c r="D1390" s="1">
        <v>46219</v>
      </c>
      <c r="E1390" t="s">
        <v>1577</v>
      </c>
      <c r="F1390" t="s">
        <v>68</v>
      </c>
      <c r="G1390" t="s">
        <v>295</v>
      </c>
      <c r="H1390" t="s">
        <v>296</v>
      </c>
      <c r="I1390" t="s">
        <v>71</v>
      </c>
      <c r="J1390" t="s">
        <v>72</v>
      </c>
      <c r="K1390" t="s">
        <v>73</v>
      </c>
      <c r="L1390" t="s">
        <v>74</v>
      </c>
      <c r="M1390" t="s">
        <v>1182</v>
      </c>
      <c r="N1390" t="s">
        <v>111</v>
      </c>
      <c r="O1390" t="s">
        <v>1183</v>
      </c>
      <c r="P1390" t="s">
        <v>1184</v>
      </c>
      <c r="Q1390" t="s">
        <v>1578</v>
      </c>
      <c r="R1390" s="1">
        <v>46220</v>
      </c>
      <c r="S1390" t="s">
        <v>1186</v>
      </c>
      <c r="T1390" t="s">
        <v>1187</v>
      </c>
      <c r="U1390" t="s">
        <v>1188</v>
      </c>
      <c r="V1390" t="s">
        <v>66</v>
      </c>
      <c r="W1390" t="s">
        <v>66</v>
      </c>
      <c r="X1390">
        <v>7075728</v>
      </c>
      <c r="Y1390">
        <v>778330.08</v>
      </c>
      <c r="Z1390">
        <v>171072</v>
      </c>
      <c r="AA1390">
        <v>18817.919999999998</v>
      </c>
      <c r="AB1390">
        <v>7854058.0800000001</v>
      </c>
      <c r="AC1390">
        <v>12</v>
      </c>
      <c r="AD1390" t="s">
        <v>82</v>
      </c>
      <c r="AE1390">
        <v>12</v>
      </c>
      <c r="AF1390" t="s">
        <v>172</v>
      </c>
      <c r="AG1390">
        <f>IFERROR(VLOOKUP(AF1390,[1]STOK!J:O,6,0),"")</f>
        <v>12</v>
      </c>
      <c r="AH1390" s="2">
        <f t="shared" si="42"/>
        <v>1</v>
      </c>
      <c r="AI1390" t="s">
        <v>172</v>
      </c>
      <c r="AJ1390" t="s">
        <v>173</v>
      </c>
      <c r="AK1390" t="s">
        <v>174</v>
      </c>
      <c r="AL1390" t="s">
        <v>86</v>
      </c>
      <c r="AM1390">
        <v>15984</v>
      </c>
      <c r="AN1390">
        <f t="shared" si="43"/>
        <v>15824.160000000002</v>
      </c>
      <c r="AO1390" t="s">
        <v>66</v>
      </c>
      <c r="AP1390">
        <v>1</v>
      </c>
      <c r="AQ1390" t="s">
        <v>66</v>
      </c>
      <c r="AR1390">
        <v>0</v>
      </c>
      <c r="AS1390" t="s">
        <v>66</v>
      </c>
      <c r="AT1390">
        <v>0</v>
      </c>
      <c r="AU1390" t="s">
        <v>66</v>
      </c>
      <c r="AV1390">
        <v>0</v>
      </c>
      <c r="AW1390" t="s">
        <v>66</v>
      </c>
      <c r="AX1390">
        <v>0</v>
      </c>
      <c r="AY1390" t="s">
        <v>66</v>
      </c>
      <c r="AZ1390">
        <v>0</v>
      </c>
      <c r="BA1390" t="s">
        <v>66</v>
      </c>
      <c r="BB1390">
        <v>0</v>
      </c>
      <c r="BC1390">
        <v>0</v>
      </c>
      <c r="BD1390">
        <v>189889.92000000001</v>
      </c>
      <c r="BE1390">
        <v>12824.8</v>
      </c>
      <c r="BF1390">
        <v>0</v>
      </c>
      <c r="BG1390" t="s">
        <v>87</v>
      </c>
      <c r="BH1390" t="s">
        <v>66</v>
      </c>
      <c r="BI1390">
        <v>0</v>
      </c>
      <c r="BJ1390" t="s">
        <v>66</v>
      </c>
      <c r="BK1390" t="s">
        <v>88</v>
      </c>
      <c r="BL1390" t="s">
        <v>66</v>
      </c>
      <c r="BM1390" t="s">
        <v>159</v>
      </c>
    </row>
    <row r="1391" spans="1:65" x14ac:dyDescent="0.25">
      <c r="A1391">
        <v>1389</v>
      </c>
      <c r="B1391" t="s">
        <v>1576</v>
      </c>
      <c r="C1391" t="s">
        <v>68</v>
      </c>
      <c r="D1391" s="1">
        <v>46219</v>
      </c>
      <c r="E1391" t="s">
        <v>1577</v>
      </c>
      <c r="F1391" t="s">
        <v>68</v>
      </c>
      <c r="G1391" t="s">
        <v>295</v>
      </c>
      <c r="H1391" t="s">
        <v>296</v>
      </c>
      <c r="I1391" t="s">
        <v>71</v>
      </c>
      <c r="J1391" t="s">
        <v>72</v>
      </c>
      <c r="K1391" t="s">
        <v>73</v>
      </c>
      <c r="L1391" t="s">
        <v>74</v>
      </c>
      <c r="M1391" t="s">
        <v>1182</v>
      </c>
      <c r="N1391" t="s">
        <v>111</v>
      </c>
      <c r="O1391" t="s">
        <v>1183</v>
      </c>
      <c r="P1391" t="s">
        <v>1184</v>
      </c>
      <c r="Q1391" t="s">
        <v>1578</v>
      </c>
      <c r="R1391" s="1">
        <v>46220</v>
      </c>
      <c r="S1391" t="s">
        <v>1186</v>
      </c>
      <c r="T1391" t="s">
        <v>1187</v>
      </c>
      <c r="U1391" t="s">
        <v>1188</v>
      </c>
      <c r="V1391" t="s">
        <v>66</v>
      </c>
      <c r="W1391" t="s">
        <v>66</v>
      </c>
      <c r="X1391">
        <v>7075728</v>
      </c>
      <c r="Y1391">
        <v>778330.08</v>
      </c>
      <c r="Z1391">
        <v>161568</v>
      </c>
      <c r="AA1391">
        <v>17772.48</v>
      </c>
      <c r="AB1391">
        <v>7854058.0800000001</v>
      </c>
      <c r="AC1391">
        <v>6</v>
      </c>
      <c r="AD1391" t="s">
        <v>82</v>
      </c>
      <c r="AE1391">
        <v>6</v>
      </c>
      <c r="AF1391" t="s">
        <v>774</v>
      </c>
      <c r="AG1391">
        <f>IFERROR(VLOOKUP(AF1391,[1]STOK!J:O,6,0),"")</f>
        <v>12</v>
      </c>
      <c r="AH1391" s="2">
        <f t="shared" si="42"/>
        <v>0.5</v>
      </c>
      <c r="AI1391" t="s">
        <v>774</v>
      </c>
      <c r="AJ1391" t="s">
        <v>775</v>
      </c>
      <c r="AK1391" t="s">
        <v>776</v>
      </c>
      <c r="AL1391" t="s">
        <v>86</v>
      </c>
      <c r="AM1391">
        <v>30192</v>
      </c>
      <c r="AN1391">
        <f t="shared" si="43"/>
        <v>29890.080000000002</v>
      </c>
      <c r="AO1391" t="s">
        <v>66</v>
      </c>
      <c r="AP1391">
        <v>1</v>
      </c>
      <c r="AQ1391" t="s">
        <v>66</v>
      </c>
      <c r="AR1391">
        <v>0</v>
      </c>
      <c r="AS1391" t="s">
        <v>66</v>
      </c>
      <c r="AT1391">
        <v>0</v>
      </c>
      <c r="AU1391" t="s">
        <v>66</v>
      </c>
      <c r="AV1391">
        <v>0</v>
      </c>
      <c r="AW1391" t="s">
        <v>66</v>
      </c>
      <c r="AX1391">
        <v>0</v>
      </c>
      <c r="AY1391" t="s">
        <v>66</v>
      </c>
      <c r="AZ1391">
        <v>0</v>
      </c>
      <c r="BA1391" t="s">
        <v>66</v>
      </c>
      <c r="BB1391">
        <v>0</v>
      </c>
      <c r="BC1391">
        <v>0</v>
      </c>
      <c r="BD1391">
        <v>179340.48</v>
      </c>
      <c r="BE1391">
        <v>23745.759999999998</v>
      </c>
      <c r="BF1391">
        <v>0</v>
      </c>
      <c r="BG1391" t="s">
        <v>87</v>
      </c>
      <c r="BH1391" t="s">
        <v>66</v>
      </c>
      <c r="BI1391">
        <v>0</v>
      </c>
      <c r="BJ1391" t="s">
        <v>66</v>
      </c>
      <c r="BK1391" t="s">
        <v>88</v>
      </c>
      <c r="BL1391" t="s">
        <v>66</v>
      </c>
      <c r="BM1391" t="s">
        <v>159</v>
      </c>
    </row>
    <row r="1392" spans="1:65" x14ac:dyDescent="0.25">
      <c r="A1392">
        <v>1390</v>
      </c>
      <c r="B1392" t="s">
        <v>1576</v>
      </c>
      <c r="C1392" t="s">
        <v>68</v>
      </c>
      <c r="D1392" s="1">
        <v>46219</v>
      </c>
      <c r="E1392" t="s">
        <v>1577</v>
      </c>
      <c r="F1392" t="s">
        <v>68</v>
      </c>
      <c r="G1392" t="s">
        <v>295</v>
      </c>
      <c r="H1392" t="s">
        <v>296</v>
      </c>
      <c r="I1392" t="s">
        <v>71</v>
      </c>
      <c r="J1392" t="s">
        <v>72</v>
      </c>
      <c r="K1392" t="s">
        <v>73</v>
      </c>
      <c r="L1392" t="s">
        <v>74</v>
      </c>
      <c r="M1392" t="s">
        <v>1182</v>
      </c>
      <c r="N1392" t="s">
        <v>111</v>
      </c>
      <c r="O1392" t="s">
        <v>1183</v>
      </c>
      <c r="P1392" t="s">
        <v>1184</v>
      </c>
      <c r="Q1392" t="s">
        <v>1578</v>
      </c>
      <c r="R1392" s="1">
        <v>46220</v>
      </c>
      <c r="S1392" t="s">
        <v>1186</v>
      </c>
      <c r="T1392" t="s">
        <v>1187</v>
      </c>
      <c r="U1392" t="s">
        <v>1188</v>
      </c>
      <c r="V1392" t="s">
        <v>66</v>
      </c>
      <c r="W1392" t="s">
        <v>66</v>
      </c>
      <c r="X1392">
        <v>7075728</v>
      </c>
      <c r="Y1392">
        <v>778330.08</v>
      </c>
      <c r="Z1392">
        <v>398574</v>
      </c>
      <c r="AA1392">
        <v>43843.14</v>
      </c>
      <c r="AB1392">
        <v>7854058.0800000001</v>
      </c>
      <c r="AC1392">
        <v>6</v>
      </c>
      <c r="AD1392" t="s">
        <v>82</v>
      </c>
      <c r="AE1392">
        <v>6</v>
      </c>
      <c r="AF1392" t="s">
        <v>1579</v>
      </c>
      <c r="AG1392">
        <f>IFERROR(VLOOKUP(AF1392,[1]STOK!J:O,6,0),"")</f>
        <v>4</v>
      </c>
      <c r="AH1392" s="2">
        <f t="shared" si="42"/>
        <v>1.5</v>
      </c>
      <c r="AI1392" t="s">
        <v>1579</v>
      </c>
      <c r="AJ1392" t="s">
        <v>1580</v>
      </c>
      <c r="AK1392" t="s">
        <v>1581</v>
      </c>
      <c r="AL1392" t="s">
        <v>86</v>
      </c>
      <c r="AM1392">
        <v>74481</v>
      </c>
      <c r="AN1392">
        <f t="shared" si="43"/>
        <v>73736.19</v>
      </c>
      <c r="AO1392" t="s">
        <v>66</v>
      </c>
      <c r="AP1392">
        <v>1</v>
      </c>
      <c r="AQ1392" t="s">
        <v>66</v>
      </c>
      <c r="AR1392">
        <v>0</v>
      </c>
      <c r="AS1392" t="s">
        <v>66</v>
      </c>
      <c r="AT1392">
        <v>0</v>
      </c>
      <c r="AU1392" t="s">
        <v>66</v>
      </c>
      <c r="AV1392">
        <v>0</v>
      </c>
      <c r="AW1392" t="s">
        <v>66</v>
      </c>
      <c r="AX1392">
        <v>0</v>
      </c>
      <c r="AY1392" t="s">
        <v>66</v>
      </c>
      <c r="AZ1392">
        <v>0</v>
      </c>
      <c r="BA1392" t="s">
        <v>66</v>
      </c>
      <c r="BB1392">
        <v>0</v>
      </c>
      <c r="BC1392">
        <v>0</v>
      </c>
      <c r="BD1392">
        <v>442417.14</v>
      </c>
      <c r="BE1392">
        <v>55577.89</v>
      </c>
      <c r="BF1392">
        <v>0</v>
      </c>
      <c r="BG1392" t="s">
        <v>87</v>
      </c>
      <c r="BH1392" t="s">
        <v>66</v>
      </c>
      <c r="BI1392">
        <v>0</v>
      </c>
      <c r="BJ1392" t="s">
        <v>66</v>
      </c>
      <c r="BK1392" t="s">
        <v>88</v>
      </c>
      <c r="BL1392" t="s">
        <v>66</v>
      </c>
      <c r="BM1392" t="s">
        <v>159</v>
      </c>
    </row>
    <row r="1393" spans="1:65" x14ac:dyDescent="0.25">
      <c r="A1393">
        <v>1391</v>
      </c>
      <c r="B1393" t="s">
        <v>1576</v>
      </c>
      <c r="C1393" t="s">
        <v>68</v>
      </c>
      <c r="D1393" s="1">
        <v>46219</v>
      </c>
      <c r="E1393" t="s">
        <v>1577</v>
      </c>
      <c r="F1393" t="s">
        <v>68</v>
      </c>
      <c r="G1393" t="s">
        <v>295</v>
      </c>
      <c r="H1393" t="s">
        <v>296</v>
      </c>
      <c r="I1393" t="s">
        <v>71</v>
      </c>
      <c r="J1393" t="s">
        <v>72</v>
      </c>
      <c r="K1393" t="s">
        <v>73</v>
      </c>
      <c r="L1393" t="s">
        <v>74</v>
      </c>
      <c r="M1393" t="s">
        <v>1182</v>
      </c>
      <c r="N1393" t="s">
        <v>111</v>
      </c>
      <c r="O1393" t="s">
        <v>1183</v>
      </c>
      <c r="P1393" t="s">
        <v>1184</v>
      </c>
      <c r="Q1393" t="s">
        <v>1578</v>
      </c>
      <c r="R1393" s="1">
        <v>46220</v>
      </c>
      <c r="S1393" t="s">
        <v>1186</v>
      </c>
      <c r="T1393" t="s">
        <v>1187</v>
      </c>
      <c r="U1393" t="s">
        <v>1188</v>
      </c>
      <c r="V1393" t="s">
        <v>66</v>
      </c>
      <c r="W1393" t="s">
        <v>66</v>
      </c>
      <c r="X1393">
        <v>7075728</v>
      </c>
      <c r="Y1393">
        <v>778330.08</v>
      </c>
      <c r="Z1393">
        <v>398574</v>
      </c>
      <c r="AA1393">
        <v>43843.14</v>
      </c>
      <c r="AB1393">
        <v>7854058.0800000001</v>
      </c>
      <c r="AC1393">
        <v>6</v>
      </c>
      <c r="AD1393" t="s">
        <v>82</v>
      </c>
      <c r="AE1393">
        <v>6</v>
      </c>
      <c r="AF1393" t="s">
        <v>894</v>
      </c>
      <c r="AG1393">
        <f>IFERROR(VLOOKUP(AF1393,[1]STOK!J:O,6,0),"")</f>
        <v>4</v>
      </c>
      <c r="AH1393" s="2">
        <f t="shared" si="42"/>
        <v>1.5</v>
      </c>
      <c r="AI1393" t="s">
        <v>894</v>
      </c>
      <c r="AJ1393" t="s">
        <v>895</v>
      </c>
      <c r="AK1393" t="s">
        <v>896</v>
      </c>
      <c r="AL1393" t="s">
        <v>86</v>
      </c>
      <c r="AM1393">
        <v>74481</v>
      </c>
      <c r="AN1393">
        <f t="shared" si="43"/>
        <v>73736.19</v>
      </c>
      <c r="AO1393" t="s">
        <v>66</v>
      </c>
      <c r="AP1393">
        <v>1</v>
      </c>
      <c r="AQ1393" t="s">
        <v>66</v>
      </c>
      <c r="AR1393">
        <v>0</v>
      </c>
      <c r="AS1393" t="s">
        <v>66</v>
      </c>
      <c r="AT1393">
        <v>0</v>
      </c>
      <c r="AU1393" t="s">
        <v>66</v>
      </c>
      <c r="AV1393">
        <v>0</v>
      </c>
      <c r="AW1393" t="s">
        <v>66</v>
      </c>
      <c r="AX1393">
        <v>0</v>
      </c>
      <c r="AY1393" t="s">
        <v>66</v>
      </c>
      <c r="AZ1393">
        <v>0</v>
      </c>
      <c r="BA1393" t="s">
        <v>66</v>
      </c>
      <c r="BB1393">
        <v>0</v>
      </c>
      <c r="BC1393">
        <v>0</v>
      </c>
      <c r="BD1393">
        <v>442417.14</v>
      </c>
      <c r="BE1393">
        <v>58831.83</v>
      </c>
      <c r="BF1393">
        <v>0</v>
      </c>
      <c r="BG1393" t="s">
        <v>87</v>
      </c>
      <c r="BH1393" t="s">
        <v>66</v>
      </c>
      <c r="BI1393">
        <v>0</v>
      </c>
      <c r="BJ1393" t="s">
        <v>66</v>
      </c>
      <c r="BK1393" t="s">
        <v>88</v>
      </c>
      <c r="BL1393" t="s">
        <v>66</v>
      </c>
      <c r="BM1393" t="s">
        <v>159</v>
      </c>
    </row>
    <row r="1394" spans="1:65" x14ac:dyDescent="0.25">
      <c r="A1394">
        <v>1392</v>
      </c>
      <c r="B1394" t="s">
        <v>1576</v>
      </c>
      <c r="C1394" t="s">
        <v>68</v>
      </c>
      <c r="D1394" s="1">
        <v>46219</v>
      </c>
      <c r="E1394" t="s">
        <v>1577</v>
      </c>
      <c r="F1394" t="s">
        <v>68</v>
      </c>
      <c r="G1394" t="s">
        <v>295</v>
      </c>
      <c r="H1394" t="s">
        <v>296</v>
      </c>
      <c r="I1394" t="s">
        <v>71</v>
      </c>
      <c r="J1394" t="s">
        <v>72</v>
      </c>
      <c r="K1394" t="s">
        <v>73</v>
      </c>
      <c r="L1394" t="s">
        <v>74</v>
      </c>
      <c r="M1394" t="s">
        <v>1182</v>
      </c>
      <c r="N1394" t="s">
        <v>111</v>
      </c>
      <c r="O1394" t="s">
        <v>1183</v>
      </c>
      <c r="P1394" t="s">
        <v>1184</v>
      </c>
      <c r="Q1394" t="s">
        <v>1578</v>
      </c>
      <c r="R1394" s="1">
        <v>46220</v>
      </c>
      <c r="S1394" t="s">
        <v>1186</v>
      </c>
      <c r="T1394" t="s">
        <v>1187</v>
      </c>
      <c r="U1394" t="s">
        <v>1188</v>
      </c>
      <c r="V1394" t="s">
        <v>66</v>
      </c>
      <c r="W1394" t="s">
        <v>66</v>
      </c>
      <c r="X1394">
        <v>7075728</v>
      </c>
      <c r="Y1394">
        <v>778330.08</v>
      </c>
      <c r="Z1394">
        <v>201366</v>
      </c>
      <c r="AA1394">
        <v>22150.26</v>
      </c>
      <c r="AB1394">
        <v>7854058.0800000001</v>
      </c>
      <c r="AC1394">
        <v>6</v>
      </c>
      <c r="AD1394" t="s">
        <v>82</v>
      </c>
      <c r="AE1394">
        <v>6</v>
      </c>
      <c r="AF1394" t="s">
        <v>1582</v>
      </c>
      <c r="AG1394">
        <f>IFERROR(VLOOKUP(AF1394,[1]STOK!J:O,6,0),"")</f>
        <v>12</v>
      </c>
      <c r="AH1394" s="2">
        <f t="shared" si="42"/>
        <v>0.5</v>
      </c>
      <c r="AI1394" t="s">
        <v>1582</v>
      </c>
      <c r="AJ1394" t="s">
        <v>1583</v>
      </c>
      <c r="AK1394" t="s">
        <v>1584</v>
      </c>
      <c r="AL1394" t="s">
        <v>86</v>
      </c>
      <c r="AM1394">
        <v>37629</v>
      </c>
      <c r="AN1394">
        <f t="shared" si="43"/>
        <v>37252.71</v>
      </c>
      <c r="AO1394" t="s">
        <v>66</v>
      </c>
      <c r="AP1394">
        <v>1</v>
      </c>
      <c r="AQ1394" t="s">
        <v>66</v>
      </c>
      <c r="AR1394">
        <v>0</v>
      </c>
      <c r="AS1394" t="s">
        <v>66</v>
      </c>
      <c r="AT1394">
        <v>0</v>
      </c>
      <c r="AU1394" t="s">
        <v>66</v>
      </c>
      <c r="AV1394">
        <v>0</v>
      </c>
      <c r="AW1394" t="s">
        <v>66</v>
      </c>
      <c r="AX1394">
        <v>0</v>
      </c>
      <c r="AY1394" t="s">
        <v>66</v>
      </c>
      <c r="AZ1394">
        <v>0</v>
      </c>
      <c r="BA1394" t="s">
        <v>66</v>
      </c>
      <c r="BB1394">
        <v>0</v>
      </c>
      <c r="BC1394">
        <v>0</v>
      </c>
      <c r="BD1394">
        <v>223516.26</v>
      </c>
      <c r="BE1394">
        <v>28408.1</v>
      </c>
      <c r="BF1394">
        <v>0</v>
      </c>
      <c r="BG1394" t="s">
        <v>87</v>
      </c>
      <c r="BH1394" t="s">
        <v>66</v>
      </c>
      <c r="BI1394">
        <v>0</v>
      </c>
      <c r="BJ1394" t="s">
        <v>66</v>
      </c>
      <c r="BK1394" t="s">
        <v>88</v>
      </c>
      <c r="BL1394" t="s">
        <v>66</v>
      </c>
      <c r="BM1394" t="s">
        <v>159</v>
      </c>
    </row>
    <row r="1395" spans="1:65" x14ac:dyDescent="0.25">
      <c r="A1395">
        <v>1393</v>
      </c>
      <c r="B1395" t="s">
        <v>1576</v>
      </c>
      <c r="C1395" t="s">
        <v>68</v>
      </c>
      <c r="D1395" s="1">
        <v>46219</v>
      </c>
      <c r="E1395" t="s">
        <v>1577</v>
      </c>
      <c r="F1395" t="s">
        <v>68</v>
      </c>
      <c r="G1395" t="s">
        <v>295</v>
      </c>
      <c r="H1395" t="s">
        <v>296</v>
      </c>
      <c r="I1395" t="s">
        <v>71</v>
      </c>
      <c r="J1395" t="s">
        <v>72</v>
      </c>
      <c r="K1395" t="s">
        <v>73</v>
      </c>
      <c r="L1395" t="s">
        <v>74</v>
      </c>
      <c r="M1395" t="s">
        <v>1182</v>
      </c>
      <c r="N1395" t="s">
        <v>111</v>
      </c>
      <c r="O1395" t="s">
        <v>1183</v>
      </c>
      <c r="P1395" t="s">
        <v>1184</v>
      </c>
      <c r="Q1395" t="s">
        <v>1578</v>
      </c>
      <c r="R1395" s="1">
        <v>46220</v>
      </c>
      <c r="S1395" t="s">
        <v>1186</v>
      </c>
      <c r="T1395" t="s">
        <v>1187</v>
      </c>
      <c r="U1395" t="s">
        <v>1188</v>
      </c>
      <c r="V1395" t="s">
        <v>66</v>
      </c>
      <c r="W1395" t="s">
        <v>66</v>
      </c>
      <c r="X1395">
        <v>7075728</v>
      </c>
      <c r="Y1395">
        <v>778330.08</v>
      </c>
      <c r="Z1395">
        <v>62964</v>
      </c>
      <c r="AA1395">
        <v>6926.04</v>
      </c>
      <c r="AB1395">
        <v>7854058.0800000001</v>
      </c>
      <c r="AC1395">
        <v>12</v>
      </c>
      <c r="AD1395" t="s">
        <v>82</v>
      </c>
      <c r="AE1395">
        <v>12</v>
      </c>
      <c r="AF1395" t="s">
        <v>633</v>
      </c>
      <c r="AG1395">
        <f>IFERROR(VLOOKUP(AF1395,[1]STOK!J:O,6,0),"")</f>
        <v>24</v>
      </c>
      <c r="AH1395" s="2">
        <f t="shared" si="42"/>
        <v>0.5</v>
      </c>
      <c r="AI1395" t="s">
        <v>633</v>
      </c>
      <c r="AJ1395" t="s">
        <v>634</v>
      </c>
      <c r="AK1395" t="s">
        <v>635</v>
      </c>
      <c r="AL1395" t="s">
        <v>86</v>
      </c>
      <c r="AM1395">
        <v>5883</v>
      </c>
      <c r="AN1395">
        <f t="shared" si="43"/>
        <v>5824.1699999999992</v>
      </c>
      <c r="AO1395" t="s">
        <v>66</v>
      </c>
      <c r="AP1395">
        <v>1</v>
      </c>
      <c r="AQ1395" t="s">
        <v>66</v>
      </c>
      <c r="AR1395">
        <v>0</v>
      </c>
      <c r="AS1395" t="s">
        <v>66</v>
      </c>
      <c r="AT1395">
        <v>0</v>
      </c>
      <c r="AU1395" t="s">
        <v>66</v>
      </c>
      <c r="AV1395">
        <v>0</v>
      </c>
      <c r="AW1395" t="s">
        <v>66</v>
      </c>
      <c r="AX1395">
        <v>0</v>
      </c>
      <c r="AY1395" t="s">
        <v>66</v>
      </c>
      <c r="AZ1395">
        <v>0</v>
      </c>
      <c r="BA1395" t="s">
        <v>66</v>
      </c>
      <c r="BB1395">
        <v>0</v>
      </c>
      <c r="BC1395">
        <v>0</v>
      </c>
      <c r="BD1395">
        <v>69890.039999999994</v>
      </c>
      <c r="BE1395">
        <v>4733.91</v>
      </c>
      <c r="BF1395">
        <v>0</v>
      </c>
      <c r="BG1395" t="s">
        <v>87</v>
      </c>
      <c r="BH1395" t="s">
        <v>66</v>
      </c>
      <c r="BI1395">
        <v>0</v>
      </c>
      <c r="BJ1395" t="s">
        <v>66</v>
      </c>
      <c r="BK1395" t="s">
        <v>88</v>
      </c>
      <c r="BL1395" t="s">
        <v>66</v>
      </c>
      <c r="BM1395" t="s">
        <v>159</v>
      </c>
    </row>
    <row r="1396" spans="1:65" x14ac:dyDescent="0.25">
      <c r="A1396">
        <v>1394</v>
      </c>
      <c r="B1396" t="s">
        <v>1576</v>
      </c>
      <c r="C1396" t="s">
        <v>68</v>
      </c>
      <c r="D1396" s="1">
        <v>46219</v>
      </c>
      <c r="E1396" t="s">
        <v>1577</v>
      </c>
      <c r="F1396" t="s">
        <v>68</v>
      </c>
      <c r="G1396" t="s">
        <v>295</v>
      </c>
      <c r="H1396" t="s">
        <v>296</v>
      </c>
      <c r="I1396" t="s">
        <v>71</v>
      </c>
      <c r="J1396" t="s">
        <v>72</v>
      </c>
      <c r="K1396" t="s">
        <v>73</v>
      </c>
      <c r="L1396" t="s">
        <v>74</v>
      </c>
      <c r="M1396" t="s">
        <v>1182</v>
      </c>
      <c r="N1396" t="s">
        <v>111</v>
      </c>
      <c r="O1396" t="s">
        <v>1183</v>
      </c>
      <c r="P1396" t="s">
        <v>1184</v>
      </c>
      <c r="Q1396" t="s">
        <v>1578</v>
      </c>
      <c r="R1396" s="1">
        <v>46220</v>
      </c>
      <c r="S1396" t="s">
        <v>1186</v>
      </c>
      <c r="T1396" t="s">
        <v>1187</v>
      </c>
      <c r="U1396" t="s">
        <v>1188</v>
      </c>
      <c r="V1396" t="s">
        <v>66</v>
      </c>
      <c r="W1396" t="s">
        <v>66</v>
      </c>
      <c r="X1396">
        <v>7075728</v>
      </c>
      <c r="Y1396">
        <v>778330.08</v>
      </c>
      <c r="Z1396">
        <v>313038</v>
      </c>
      <c r="AA1396">
        <v>34434.18</v>
      </c>
      <c r="AB1396">
        <v>7854058.0800000001</v>
      </c>
      <c r="AC1396">
        <v>3</v>
      </c>
      <c r="AD1396" t="s">
        <v>82</v>
      </c>
      <c r="AE1396">
        <v>3</v>
      </c>
      <c r="AF1396" t="s">
        <v>1046</v>
      </c>
      <c r="AG1396">
        <f>IFERROR(VLOOKUP(AF1396,[1]STOK!J:O,6,0),"")</f>
        <v>4</v>
      </c>
      <c r="AH1396" s="2">
        <f t="shared" si="42"/>
        <v>0.75</v>
      </c>
      <c r="AI1396" t="s">
        <v>1046</v>
      </c>
      <c r="AJ1396" t="s">
        <v>1047</v>
      </c>
      <c r="AK1396" t="s">
        <v>1048</v>
      </c>
      <c r="AL1396" t="s">
        <v>86</v>
      </c>
      <c r="AM1396">
        <v>116994</v>
      </c>
      <c r="AN1396">
        <f t="shared" si="43"/>
        <v>115824.06</v>
      </c>
      <c r="AO1396" t="s">
        <v>66</v>
      </c>
      <c r="AP1396">
        <v>1</v>
      </c>
      <c r="AQ1396" t="s">
        <v>66</v>
      </c>
      <c r="AR1396">
        <v>0</v>
      </c>
      <c r="AS1396" t="s">
        <v>66</v>
      </c>
      <c r="AT1396">
        <v>0</v>
      </c>
      <c r="AU1396" t="s">
        <v>66</v>
      </c>
      <c r="AV1396">
        <v>0</v>
      </c>
      <c r="AW1396" t="s">
        <v>66</v>
      </c>
      <c r="AX1396">
        <v>0</v>
      </c>
      <c r="AY1396" t="s">
        <v>66</v>
      </c>
      <c r="AZ1396">
        <v>0</v>
      </c>
      <c r="BA1396" t="s">
        <v>66</v>
      </c>
      <c r="BB1396">
        <v>0</v>
      </c>
      <c r="BC1396">
        <v>0</v>
      </c>
      <c r="BD1396">
        <v>347472.18</v>
      </c>
      <c r="BE1396">
        <v>87349.74</v>
      </c>
      <c r="BF1396">
        <v>0</v>
      </c>
      <c r="BG1396" t="s">
        <v>87</v>
      </c>
      <c r="BH1396" t="s">
        <v>66</v>
      </c>
      <c r="BI1396">
        <v>0</v>
      </c>
      <c r="BJ1396" t="s">
        <v>66</v>
      </c>
      <c r="BK1396" t="s">
        <v>88</v>
      </c>
      <c r="BL1396" t="s">
        <v>66</v>
      </c>
      <c r="BM1396" t="s">
        <v>159</v>
      </c>
    </row>
    <row r="1397" spans="1:65" x14ac:dyDescent="0.25">
      <c r="A1397">
        <v>1395</v>
      </c>
      <c r="B1397" t="s">
        <v>1576</v>
      </c>
      <c r="C1397" t="s">
        <v>68</v>
      </c>
      <c r="D1397" s="1">
        <v>46219</v>
      </c>
      <c r="E1397" t="s">
        <v>1577</v>
      </c>
      <c r="F1397" t="s">
        <v>68</v>
      </c>
      <c r="G1397" t="s">
        <v>295</v>
      </c>
      <c r="H1397" t="s">
        <v>296</v>
      </c>
      <c r="I1397" t="s">
        <v>71</v>
      </c>
      <c r="J1397" t="s">
        <v>72</v>
      </c>
      <c r="K1397" t="s">
        <v>73</v>
      </c>
      <c r="L1397" t="s">
        <v>74</v>
      </c>
      <c r="M1397" t="s">
        <v>1182</v>
      </c>
      <c r="N1397" t="s">
        <v>111</v>
      </c>
      <c r="O1397" t="s">
        <v>1183</v>
      </c>
      <c r="P1397" t="s">
        <v>1184</v>
      </c>
      <c r="Q1397" t="s">
        <v>1578</v>
      </c>
      <c r="R1397" s="1">
        <v>46220</v>
      </c>
      <c r="S1397" t="s">
        <v>1186</v>
      </c>
      <c r="T1397" t="s">
        <v>1187</v>
      </c>
      <c r="U1397" t="s">
        <v>1188</v>
      </c>
      <c r="V1397" t="s">
        <v>66</v>
      </c>
      <c r="W1397" t="s">
        <v>66</v>
      </c>
      <c r="X1397">
        <v>7075728</v>
      </c>
      <c r="Y1397">
        <v>778330.08</v>
      </c>
      <c r="Z1397">
        <v>398574</v>
      </c>
      <c r="AA1397">
        <v>43843.14</v>
      </c>
      <c r="AB1397">
        <v>7854058.0800000001</v>
      </c>
      <c r="AC1397">
        <v>6</v>
      </c>
      <c r="AD1397" t="s">
        <v>82</v>
      </c>
      <c r="AE1397">
        <v>6</v>
      </c>
      <c r="AF1397" t="s">
        <v>1585</v>
      </c>
      <c r="AG1397">
        <f>IFERROR(VLOOKUP(AF1397,[1]STOK!J:O,6,0),"")</f>
        <v>4</v>
      </c>
      <c r="AH1397" s="2">
        <f t="shared" si="42"/>
        <v>1.5</v>
      </c>
      <c r="AI1397" t="s">
        <v>1585</v>
      </c>
      <c r="AJ1397" t="s">
        <v>1586</v>
      </c>
      <c r="AK1397" t="s">
        <v>1587</v>
      </c>
      <c r="AL1397" t="s">
        <v>86</v>
      </c>
      <c r="AM1397">
        <v>74481</v>
      </c>
      <c r="AN1397">
        <f t="shared" si="43"/>
        <v>73736.19</v>
      </c>
      <c r="AO1397" t="s">
        <v>66</v>
      </c>
      <c r="AP1397">
        <v>1</v>
      </c>
      <c r="AQ1397" t="s">
        <v>66</v>
      </c>
      <c r="AR1397">
        <v>0</v>
      </c>
      <c r="AS1397" t="s">
        <v>66</v>
      </c>
      <c r="AT1397">
        <v>0</v>
      </c>
      <c r="AU1397" t="s">
        <v>66</v>
      </c>
      <c r="AV1397">
        <v>0</v>
      </c>
      <c r="AW1397" t="s">
        <v>66</v>
      </c>
      <c r="AX1397">
        <v>0</v>
      </c>
      <c r="AY1397" t="s">
        <v>66</v>
      </c>
      <c r="AZ1397">
        <v>0</v>
      </c>
      <c r="BA1397" t="s">
        <v>66</v>
      </c>
      <c r="BB1397">
        <v>0</v>
      </c>
      <c r="BC1397">
        <v>0</v>
      </c>
      <c r="BD1397">
        <v>442417.14</v>
      </c>
      <c r="BE1397">
        <v>55578.37</v>
      </c>
      <c r="BF1397">
        <v>0</v>
      </c>
      <c r="BG1397" t="s">
        <v>87</v>
      </c>
      <c r="BH1397" t="s">
        <v>66</v>
      </c>
      <c r="BI1397">
        <v>0</v>
      </c>
      <c r="BJ1397" t="s">
        <v>66</v>
      </c>
      <c r="BK1397" t="s">
        <v>88</v>
      </c>
      <c r="BL1397" t="s">
        <v>66</v>
      </c>
      <c r="BM1397" t="s">
        <v>159</v>
      </c>
    </row>
    <row r="1398" spans="1:65" x14ac:dyDescent="0.25">
      <c r="A1398">
        <v>1396</v>
      </c>
      <c r="B1398" t="s">
        <v>1576</v>
      </c>
      <c r="C1398" t="s">
        <v>68</v>
      </c>
      <c r="D1398" s="1">
        <v>46219</v>
      </c>
      <c r="E1398" t="s">
        <v>1577</v>
      </c>
      <c r="F1398" t="s">
        <v>68</v>
      </c>
      <c r="G1398" t="s">
        <v>295</v>
      </c>
      <c r="H1398" t="s">
        <v>296</v>
      </c>
      <c r="I1398" t="s">
        <v>71</v>
      </c>
      <c r="J1398" t="s">
        <v>72</v>
      </c>
      <c r="K1398" t="s">
        <v>73</v>
      </c>
      <c r="L1398" t="s">
        <v>74</v>
      </c>
      <c r="M1398" t="s">
        <v>1182</v>
      </c>
      <c r="N1398" t="s">
        <v>111</v>
      </c>
      <c r="O1398" t="s">
        <v>1183</v>
      </c>
      <c r="P1398" t="s">
        <v>1184</v>
      </c>
      <c r="Q1398" t="s">
        <v>1578</v>
      </c>
      <c r="R1398" s="1">
        <v>46220</v>
      </c>
      <c r="S1398" t="s">
        <v>1186</v>
      </c>
      <c r="T1398" t="s">
        <v>1187</v>
      </c>
      <c r="U1398" t="s">
        <v>1188</v>
      </c>
      <c r="V1398" t="s">
        <v>66</v>
      </c>
      <c r="W1398" t="s">
        <v>66</v>
      </c>
      <c r="X1398">
        <v>7075728</v>
      </c>
      <c r="Y1398">
        <v>778330.08</v>
      </c>
      <c r="Z1398">
        <v>48708</v>
      </c>
      <c r="AA1398">
        <v>5357.88</v>
      </c>
      <c r="AB1398">
        <v>7854058.0800000001</v>
      </c>
      <c r="AC1398">
        <v>6</v>
      </c>
      <c r="AD1398" t="s">
        <v>82</v>
      </c>
      <c r="AE1398">
        <v>6</v>
      </c>
      <c r="AF1398" t="s">
        <v>1588</v>
      </c>
      <c r="AG1398">
        <f>IFERROR(VLOOKUP(AF1398,[1]STOK!J:O,6,0),"")</f>
        <v>12</v>
      </c>
      <c r="AH1398" s="2">
        <f t="shared" si="42"/>
        <v>0.5</v>
      </c>
      <c r="AI1398" t="s">
        <v>1588</v>
      </c>
      <c r="AJ1398" t="s">
        <v>1589</v>
      </c>
      <c r="AK1398" t="s">
        <v>1590</v>
      </c>
      <c r="AL1398" t="s">
        <v>86</v>
      </c>
      <c r="AM1398">
        <v>9102</v>
      </c>
      <c r="AN1398">
        <f t="shared" si="43"/>
        <v>9010.98</v>
      </c>
      <c r="AO1398" t="s">
        <v>66</v>
      </c>
      <c r="AP1398">
        <v>1</v>
      </c>
      <c r="AQ1398" t="s">
        <v>66</v>
      </c>
      <c r="AR1398">
        <v>0</v>
      </c>
      <c r="AS1398" t="s">
        <v>66</v>
      </c>
      <c r="AT1398">
        <v>0</v>
      </c>
      <c r="AU1398" t="s">
        <v>66</v>
      </c>
      <c r="AV1398">
        <v>0</v>
      </c>
      <c r="AW1398" t="s">
        <v>66</v>
      </c>
      <c r="AX1398">
        <v>0</v>
      </c>
      <c r="AY1398" t="s">
        <v>66</v>
      </c>
      <c r="AZ1398">
        <v>0</v>
      </c>
      <c r="BA1398" t="s">
        <v>66</v>
      </c>
      <c r="BB1398">
        <v>0</v>
      </c>
      <c r="BC1398">
        <v>0</v>
      </c>
      <c r="BD1398">
        <v>54065.88</v>
      </c>
      <c r="BE1398">
        <v>6981.86</v>
      </c>
      <c r="BF1398">
        <v>0</v>
      </c>
      <c r="BG1398" t="s">
        <v>87</v>
      </c>
      <c r="BH1398" t="s">
        <v>66</v>
      </c>
      <c r="BI1398">
        <v>0</v>
      </c>
      <c r="BJ1398" t="s">
        <v>66</v>
      </c>
      <c r="BK1398" t="s">
        <v>88</v>
      </c>
      <c r="BL1398" t="s">
        <v>66</v>
      </c>
      <c r="BM1398" t="s">
        <v>159</v>
      </c>
    </row>
    <row r="1399" spans="1:65" x14ac:dyDescent="0.25">
      <c r="A1399">
        <v>1397</v>
      </c>
      <c r="B1399" t="s">
        <v>1576</v>
      </c>
      <c r="C1399" t="s">
        <v>68</v>
      </c>
      <c r="D1399" s="1">
        <v>46219</v>
      </c>
      <c r="E1399" t="s">
        <v>1577</v>
      </c>
      <c r="F1399" t="s">
        <v>68</v>
      </c>
      <c r="G1399" t="s">
        <v>295</v>
      </c>
      <c r="H1399" t="s">
        <v>296</v>
      </c>
      <c r="I1399" t="s">
        <v>71</v>
      </c>
      <c r="J1399" t="s">
        <v>72</v>
      </c>
      <c r="K1399" t="s">
        <v>73</v>
      </c>
      <c r="L1399" t="s">
        <v>74</v>
      </c>
      <c r="M1399" t="s">
        <v>1182</v>
      </c>
      <c r="N1399" t="s">
        <v>111</v>
      </c>
      <c r="O1399" t="s">
        <v>1183</v>
      </c>
      <c r="P1399" t="s">
        <v>1184</v>
      </c>
      <c r="Q1399" t="s">
        <v>1578</v>
      </c>
      <c r="R1399" s="1">
        <v>46220</v>
      </c>
      <c r="S1399" t="s">
        <v>1186</v>
      </c>
      <c r="T1399" t="s">
        <v>1187</v>
      </c>
      <c r="U1399" t="s">
        <v>1188</v>
      </c>
      <c r="V1399" t="s">
        <v>66</v>
      </c>
      <c r="W1399" t="s">
        <v>66</v>
      </c>
      <c r="X1399">
        <v>7075728</v>
      </c>
      <c r="Y1399">
        <v>778330.08</v>
      </c>
      <c r="Z1399">
        <v>63558</v>
      </c>
      <c r="AA1399">
        <v>6991.38</v>
      </c>
      <c r="AB1399">
        <v>7854058.0800000001</v>
      </c>
      <c r="AC1399">
        <v>6</v>
      </c>
      <c r="AD1399" t="s">
        <v>82</v>
      </c>
      <c r="AE1399">
        <v>6</v>
      </c>
      <c r="AF1399" t="s">
        <v>1049</v>
      </c>
      <c r="AG1399">
        <f>IFERROR(VLOOKUP(AF1399,[1]STOK!J:O,6,0),"")</f>
        <v>12</v>
      </c>
      <c r="AH1399" s="2">
        <f t="shared" si="42"/>
        <v>0.5</v>
      </c>
      <c r="AI1399" t="s">
        <v>1049</v>
      </c>
      <c r="AJ1399" t="s">
        <v>1050</v>
      </c>
      <c r="AK1399" t="s">
        <v>1051</v>
      </c>
      <c r="AL1399" t="s">
        <v>86</v>
      </c>
      <c r="AM1399">
        <v>11877</v>
      </c>
      <c r="AN1399">
        <f t="shared" si="43"/>
        <v>11758.230000000001</v>
      </c>
      <c r="AO1399" t="s">
        <v>66</v>
      </c>
      <c r="AP1399">
        <v>1</v>
      </c>
      <c r="AQ1399" t="s">
        <v>66</v>
      </c>
      <c r="AR1399">
        <v>0</v>
      </c>
      <c r="AS1399" t="s">
        <v>66</v>
      </c>
      <c r="AT1399">
        <v>0</v>
      </c>
      <c r="AU1399" t="s">
        <v>66</v>
      </c>
      <c r="AV1399">
        <v>0</v>
      </c>
      <c r="AW1399" t="s">
        <v>66</v>
      </c>
      <c r="AX1399">
        <v>0</v>
      </c>
      <c r="AY1399" t="s">
        <v>66</v>
      </c>
      <c r="AZ1399">
        <v>0</v>
      </c>
      <c r="BA1399" t="s">
        <v>66</v>
      </c>
      <c r="BB1399">
        <v>0</v>
      </c>
      <c r="BC1399">
        <v>0</v>
      </c>
      <c r="BD1399">
        <v>70549.38</v>
      </c>
      <c r="BE1399">
        <v>9295.2199999999993</v>
      </c>
      <c r="BF1399">
        <v>0</v>
      </c>
      <c r="BG1399" t="s">
        <v>87</v>
      </c>
      <c r="BH1399" t="s">
        <v>66</v>
      </c>
      <c r="BI1399">
        <v>0</v>
      </c>
      <c r="BJ1399" t="s">
        <v>66</v>
      </c>
      <c r="BK1399" t="s">
        <v>88</v>
      </c>
      <c r="BL1399" t="s">
        <v>66</v>
      </c>
      <c r="BM1399" t="s">
        <v>159</v>
      </c>
    </row>
    <row r="1400" spans="1:65" x14ac:dyDescent="0.25">
      <c r="A1400">
        <v>1398</v>
      </c>
      <c r="B1400" t="s">
        <v>1576</v>
      </c>
      <c r="C1400" t="s">
        <v>68</v>
      </c>
      <c r="D1400" s="1">
        <v>46219</v>
      </c>
      <c r="E1400" t="s">
        <v>1577</v>
      </c>
      <c r="F1400" t="s">
        <v>68</v>
      </c>
      <c r="G1400" t="s">
        <v>295</v>
      </c>
      <c r="H1400" t="s">
        <v>296</v>
      </c>
      <c r="I1400" t="s">
        <v>71</v>
      </c>
      <c r="J1400" t="s">
        <v>72</v>
      </c>
      <c r="K1400" t="s">
        <v>73</v>
      </c>
      <c r="L1400" t="s">
        <v>74</v>
      </c>
      <c r="M1400" t="s">
        <v>1182</v>
      </c>
      <c r="N1400" t="s">
        <v>111</v>
      </c>
      <c r="O1400" t="s">
        <v>1183</v>
      </c>
      <c r="P1400" t="s">
        <v>1184</v>
      </c>
      <c r="Q1400" t="s">
        <v>1578</v>
      </c>
      <c r="R1400" s="1">
        <v>46220</v>
      </c>
      <c r="S1400" t="s">
        <v>1186</v>
      </c>
      <c r="T1400" t="s">
        <v>1187</v>
      </c>
      <c r="U1400" t="s">
        <v>1188</v>
      </c>
      <c r="V1400" t="s">
        <v>66</v>
      </c>
      <c r="W1400" t="s">
        <v>66</v>
      </c>
      <c r="X1400">
        <v>7075728</v>
      </c>
      <c r="Y1400">
        <v>778330.08</v>
      </c>
      <c r="Z1400">
        <v>127116</v>
      </c>
      <c r="AA1400">
        <v>13982.76</v>
      </c>
      <c r="AB1400">
        <v>7854058.0800000001</v>
      </c>
      <c r="AC1400">
        <v>12</v>
      </c>
      <c r="AD1400" t="s">
        <v>82</v>
      </c>
      <c r="AE1400">
        <v>12</v>
      </c>
      <c r="AF1400" t="s">
        <v>578</v>
      </c>
      <c r="AG1400">
        <f>IFERROR(VLOOKUP(AF1400,[1]STOK!J:O,6,0),"")</f>
        <v>12</v>
      </c>
      <c r="AH1400" s="2">
        <f t="shared" si="42"/>
        <v>1</v>
      </c>
      <c r="AI1400" t="s">
        <v>578</v>
      </c>
      <c r="AJ1400" t="s">
        <v>579</v>
      </c>
      <c r="AK1400" t="s">
        <v>580</v>
      </c>
      <c r="AL1400" t="s">
        <v>86</v>
      </c>
      <c r="AM1400">
        <v>11877</v>
      </c>
      <c r="AN1400">
        <f t="shared" si="43"/>
        <v>11758.230000000001</v>
      </c>
      <c r="AO1400" t="s">
        <v>66</v>
      </c>
      <c r="AP1400">
        <v>1</v>
      </c>
      <c r="AQ1400" t="s">
        <v>66</v>
      </c>
      <c r="AR1400">
        <v>0</v>
      </c>
      <c r="AS1400" t="s">
        <v>66</v>
      </c>
      <c r="AT1400">
        <v>0</v>
      </c>
      <c r="AU1400" t="s">
        <v>66</v>
      </c>
      <c r="AV1400">
        <v>0</v>
      </c>
      <c r="AW1400" t="s">
        <v>66</v>
      </c>
      <c r="AX1400">
        <v>0</v>
      </c>
      <c r="AY1400" t="s">
        <v>66</v>
      </c>
      <c r="AZ1400">
        <v>0</v>
      </c>
      <c r="BA1400" t="s">
        <v>66</v>
      </c>
      <c r="BB1400">
        <v>0</v>
      </c>
      <c r="BC1400">
        <v>0</v>
      </c>
      <c r="BD1400">
        <v>141098.76</v>
      </c>
      <c r="BE1400">
        <v>9532.17</v>
      </c>
      <c r="BF1400">
        <v>0</v>
      </c>
      <c r="BG1400" t="s">
        <v>87</v>
      </c>
      <c r="BH1400" t="s">
        <v>66</v>
      </c>
      <c r="BI1400">
        <v>0</v>
      </c>
      <c r="BJ1400" t="s">
        <v>66</v>
      </c>
      <c r="BK1400" t="s">
        <v>88</v>
      </c>
      <c r="BL1400" t="s">
        <v>66</v>
      </c>
      <c r="BM1400" t="s">
        <v>159</v>
      </c>
    </row>
    <row r="1401" spans="1:65" x14ac:dyDescent="0.25">
      <c r="A1401">
        <v>1399</v>
      </c>
      <c r="B1401" t="s">
        <v>1576</v>
      </c>
      <c r="C1401" t="s">
        <v>68</v>
      </c>
      <c r="D1401" s="1">
        <v>46219</v>
      </c>
      <c r="E1401" t="s">
        <v>1577</v>
      </c>
      <c r="F1401" t="s">
        <v>68</v>
      </c>
      <c r="G1401" t="s">
        <v>295</v>
      </c>
      <c r="H1401" t="s">
        <v>296</v>
      </c>
      <c r="I1401" t="s">
        <v>71</v>
      </c>
      <c r="J1401" t="s">
        <v>72</v>
      </c>
      <c r="K1401" t="s">
        <v>73</v>
      </c>
      <c r="L1401" t="s">
        <v>74</v>
      </c>
      <c r="M1401" t="s">
        <v>1182</v>
      </c>
      <c r="N1401" t="s">
        <v>111</v>
      </c>
      <c r="O1401" t="s">
        <v>1183</v>
      </c>
      <c r="P1401" t="s">
        <v>1184</v>
      </c>
      <c r="Q1401" t="s">
        <v>1578</v>
      </c>
      <c r="R1401" s="1">
        <v>46220</v>
      </c>
      <c r="S1401" t="s">
        <v>1186</v>
      </c>
      <c r="T1401" t="s">
        <v>1187</v>
      </c>
      <c r="U1401" t="s">
        <v>1188</v>
      </c>
      <c r="V1401" t="s">
        <v>66</v>
      </c>
      <c r="W1401" t="s">
        <v>66</v>
      </c>
      <c r="X1401">
        <v>7075728</v>
      </c>
      <c r="Y1401">
        <v>778330.08</v>
      </c>
      <c r="Z1401">
        <v>215028</v>
      </c>
      <c r="AA1401">
        <v>23653.08</v>
      </c>
      <c r="AB1401">
        <v>7854058.0800000001</v>
      </c>
      <c r="AC1401">
        <v>12</v>
      </c>
      <c r="AD1401" t="s">
        <v>82</v>
      </c>
      <c r="AE1401">
        <v>12</v>
      </c>
      <c r="AF1401" t="s">
        <v>356</v>
      </c>
      <c r="AG1401">
        <f>IFERROR(VLOOKUP(AF1401,[1]STOK!J:O,6,0),"")</f>
        <v>12</v>
      </c>
      <c r="AH1401" s="2">
        <f t="shared" si="42"/>
        <v>1</v>
      </c>
      <c r="AI1401" t="s">
        <v>356</v>
      </c>
      <c r="AJ1401" t="s">
        <v>357</v>
      </c>
      <c r="AK1401" t="s">
        <v>358</v>
      </c>
      <c r="AL1401" t="s">
        <v>86</v>
      </c>
      <c r="AM1401">
        <v>20091</v>
      </c>
      <c r="AN1401">
        <f t="shared" si="43"/>
        <v>19890.09</v>
      </c>
      <c r="AO1401" t="s">
        <v>66</v>
      </c>
      <c r="AP1401">
        <v>1</v>
      </c>
      <c r="AQ1401" t="s">
        <v>66</v>
      </c>
      <c r="AR1401">
        <v>0</v>
      </c>
      <c r="AS1401" t="s">
        <v>66</v>
      </c>
      <c r="AT1401">
        <v>0</v>
      </c>
      <c r="AU1401" t="s">
        <v>66</v>
      </c>
      <c r="AV1401">
        <v>0</v>
      </c>
      <c r="AW1401" t="s">
        <v>66</v>
      </c>
      <c r="AX1401">
        <v>0</v>
      </c>
      <c r="AY1401" t="s">
        <v>66</v>
      </c>
      <c r="AZ1401">
        <v>0</v>
      </c>
      <c r="BA1401" t="s">
        <v>66</v>
      </c>
      <c r="BB1401">
        <v>0</v>
      </c>
      <c r="BC1401">
        <v>0</v>
      </c>
      <c r="BD1401">
        <v>238681.08</v>
      </c>
      <c r="BE1401">
        <v>15753.12</v>
      </c>
      <c r="BF1401">
        <v>0</v>
      </c>
      <c r="BG1401" t="s">
        <v>87</v>
      </c>
      <c r="BH1401" t="s">
        <v>66</v>
      </c>
      <c r="BI1401">
        <v>0</v>
      </c>
      <c r="BJ1401" t="s">
        <v>66</v>
      </c>
      <c r="BK1401" t="s">
        <v>88</v>
      </c>
      <c r="BL1401" t="s">
        <v>66</v>
      </c>
      <c r="BM1401" t="s">
        <v>159</v>
      </c>
    </row>
    <row r="1402" spans="1:65" x14ac:dyDescent="0.25">
      <c r="A1402">
        <v>1400</v>
      </c>
      <c r="B1402" t="s">
        <v>1576</v>
      </c>
      <c r="C1402" t="s">
        <v>68</v>
      </c>
      <c r="D1402" s="1">
        <v>46219</v>
      </c>
      <c r="E1402" t="s">
        <v>1577</v>
      </c>
      <c r="F1402" t="s">
        <v>68</v>
      </c>
      <c r="G1402" t="s">
        <v>295</v>
      </c>
      <c r="H1402" t="s">
        <v>296</v>
      </c>
      <c r="I1402" t="s">
        <v>71</v>
      </c>
      <c r="J1402" t="s">
        <v>72</v>
      </c>
      <c r="K1402" t="s">
        <v>73</v>
      </c>
      <c r="L1402" t="s">
        <v>74</v>
      </c>
      <c r="M1402" t="s">
        <v>1182</v>
      </c>
      <c r="N1402" t="s">
        <v>111</v>
      </c>
      <c r="O1402" t="s">
        <v>1183</v>
      </c>
      <c r="P1402" t="s">
        <v>1184</v>
      </c>
      <c r="Q1402" t="s">
        <v>1578</v>
      </c>
      <c r="R1402" s="1">
        <v>46220</v>
      </c>
      <c r="S1402" t="s">
        <v>1186</v>
      </c>
      <c r="T1402" t="s">
        <v>1187</v>
      </c>
      <c r="U1402" t="s">
        <v>1188</v>
      </c>
      <c r="V1402" t="s">
        <v>66</v>
      </c>
      <c r="W1402" t="s">
        <v>66</v>
      </c>
      <c r="X1402">
        <v>7075728</v>
      </c>
      <c r="Y1402">
        <v>778330.08</v>
      </c>
      <c r="Z1402">
        <v>474012</v>
      </c>
      <c r="AA1402">
        <v>52141.32</v>
      </c>
      <c r="AB1402">
        <v>7854058.0800000001</v>
      </c>
      <c r="AC1402">
        <v>36</v>
      </c>
      <c r="AD1402" t="s">
        <v>82</v>
      </c>
      <c r="AE1402">
        <v>36</v>
      </c>
      <c r="AF1402" t="s">
        <v>135</v>
      </c>
      <c r="AG1402">
        <f>IFERROR(VLOOKUP(AF1402,[1]STOK!J:O,6,0),"")</f>
        <v>12</v>
      </c>
      <c r="AH1402" s="2">
        <f t="shared" si="42"/>
        <v>3</v>
      </c>
      <c r="AI1402" t="s">
        <v>135</v>
      </c>
      <c r="AJ1402" t="s">
        <v>136</v>
      </c>
      <c r="AK1402" t="s">
        <v>137</v>
      </c>
      <c r="AL1402" t="s">
        <v>86</v>
      </c>
      <c r="AM1402">
        <v>14763</v>
      </c>
      <c r="AN1402">
        <f t="shared" si="43"/>
        <v>14615.369999999999</v>
      </c>
      <c r="AO1402" t="s">
        <v>66</v>
      </c>
      <c r="AP1402">
        <v>1</v>
      </c>
      <c r="AQ1402" t="s">
        <v>66</v>
      </c>
      <c r="AR1402">
        <v>0</v>
      </c>
      <c r="AS1402" t="s">
        <v>66</v>
      </c>
      <c r="AT1402">
        <v>0</v>
      </c>
      <c r="AU1402" t="s">
        <v>66</v>
      </c>
      <c r="AV1402">
        <v>0</v>
      </c>
      <c r="AW1402" t="s">
        <v>66</v>
      </c>
      <c r="AX1402">
        <v>0</v>
      </c>
      <c r="AY1402" t="s">
        <v>66</v>
      </c>
      <c r="AZ1402">
        <v>0</v>
      </c>
      <c r="BA1402" t="s">
        <v>66</v>
      </c>
      <c r="BB1402">
        <v>0</v>
      </c>
      <c r="BC1402">
        <v>0</v>
      </c>
      <c r="BD1402">
        <v>526153.31999999995</v>
      </c>
      <c r="BE1402">
        <v>12032.04</v>
      </c>
      <c r="BF1402">
        <v>0</v>
      </c>
      <c r="BG1402" t="s">
        <v>87</v>
      </c>
      <c r="BH1402" t="s">
        <v>66</v>
      </c>
      <c r="BI1402">
        <v>0</v>
      </c>
      <c r="BJ1402" t="s">
        <v>66</v>
      </c>
      <c r="BK1402" t="s">
        <v>88</v>
      </c>
      <c r="BL1402" t="s">
        <v>66</v>
      </c>
      <c r="BM1402" t="s">
        <v>159</v>
      </c>
    </row>
    <row r="1403" spans="1:65" x14ac:dyDescent="0.25">
      <c r="A1403">
        <v>1401</v>
      </c>
      <c r="B1403" t="s">
        <v>1576</v>
      </c>
      <c r="C1403" t="s">
        <v>68</v>
      </c>
      <c r="D1403" s="1">
        <v>46219</v>
      </c>
      <c r="E1403" t="s">
        <v>1577</v>
      </c>
      <c r="F1403" t="s">
        <v>68</v>
      </c>
      <c r="G1403" t="s">
        <v>295</v>
      </c>
      <c r="H1403" t="s">
        <v>296</v>
      </c>
      <c r="I1403" t="s">
        <v>71</v>
      </c>
      <c r="J1403" t="s">
        <v>72</v>
      </c>
      <c r="K1403" t="s">
        <v>73</v>
      </c>
      <c r="L1403" t="s">
        <v>74</v>
      </c>
      <c r="M1403" t="s">
        <v>1182</v>
      </c>
      <c r="N1403" t="s">
        <v>111</v>
      </c>
      <c r="O1403" t="s">
        <v>1183</v>
      </c>
      <c r="P1403" t="s">
        <v>1184</v>
      </c>
      <c r="Q1403" t="s">
        <v>1578</v>
      </c>
      <c r="R1403" s="1">
        <v>46220</v>
      </c>
      <c r="S1403" t="s">
        <v>1186</v>
      </c>
      <c r="T1403" t="s">
        <v>1187</v>
      </c>
      <c r="U1403" t="s">
        <v>1188</v>
      </c>
      <c r="V1403" t="s">
        <v>66</v>
      </c>
      <c r="W1403" t="s">
        <v>66</v>
      </c>
      <c r="X1403">
        <v>7075728</v>
      </c>
      <c r="Y1403">
        <v>778330.08</v>
      </c>
      <c r="Z1403">
        <v>712800</v>
      </c>
      <c r="AA1403">
        <v>78408</v>
      </c>
      <c r="AB1403">
        <v>7854058.0800000001</v>
      </c>
      <c r="AC1403">
        <v>36</v>
      </c>
      <c r="AD1403" t="s">
        <v>82</v>
      </c>
      <c r="AE1403">
        <v>36</v>
      </c>
      <c r="AF1403" t="s">
        <v>290</v>
      </c>
      <c r="AG1403">
        <f>IFERROR(VLOOKUP(AF1403,[1]STOK!J:O,6,0),"")</f>
        <v>12</v>
      </c>
      <c r="AH1403" s="2">
        <f t="shared" si="42"/>
        <v>3</v>
      </c>
      <c r="AI1403" t="s">
        <v>290</v>
      </c>
      <c r="AJ1403" t="s">
        <v>291</v>
      </c>
      <c r="AK1403" t="s">
        <v>292</v>
      </c>
      <c r="AL1403" t="s">
        <v>86</v>
      </c>
      <c r="AM1403">
        <v>22200</v>
      </c>
      <c r="AN1403">
        <f t="shared" si="43"/>
        <v>21978</v>
      </c>
      <c r="AO1403" t="s">
        <v>66</v>
      </c>
      <c r="AP1403">
        <v>1</v>
      </c>
      <c r="AQ1403" t="s">
        <v>66</v>
      </c>
      <c r="AR1403">
        <v>0</v>
      </c>
      <c r="AS1403" t="s">
        <v>66</v>
      </c>
      <c r="AT1403">
        <v>0</v>
      </c>
      <c r="AU1403" t="s">
        <v>66</v>
      </c>
      <c r="AV1403">
        <v>0</v>
      </c>
      <c r="AW1403" t="s">
        <v>66</v>
      </c>
      <c r="AX1403">
        <v>0</v>
      </c>
      <c r="AY1403" t="s">
        <v>66</v>
      </c>
      <c r="AZ1403">
        <v>0</v>
      </c>
      <c r="BA1403" t="s">
        <v>66</v>
      </c>
      <c r="BB1403">
        <v>0</v>
      </c>
      <c r="BC1403">
        <v>0</v>
      </c>
      <c r="BD1403">
        <v>791208</v>
      </c>
      <c r="BE1403">
        <v>18155.62</v>
      </c>
      <c r="BF1403">
        <v>0</v>
      </c>
      <c r="BG1403" t="s">
        <v>87</v>
      </c>
      <c r="BH1403" t="s">
        <v>66</v>
      </c>
      <c r="BI1403">
        <v>0</v>
      </c>
      <c r="BJ1403" t="s">
        <v>66</v>
      </c>
      <c r="BK1403" t="s">
        <v>88</v>
      </c>
      <c r="BL1403" t="s">
        <v>66</v>
      </c>
      <c r="BM1403" t="s">
        <v>159</v>
      </c>
    </row>
    <row r="1404" spans="1:65" x14ac:dyDescent="0.25">
      <c r="A1404">
        <v>1402</v>
      </c>
      <c r="B1404" t="s">
        <v>1576</v>
      </c>
      <c r="C1404" t="s">
        <v>68</v>
      </c>
      <c r="D1404" s="1">
        <v>46219</v>
      </c>
      <c r="E1404" t="s">
        <v>1577</v>
      </c>
      <c r="F1404" t="s">
        <v>68</v>
      </c>
      <c r="G1404" t="s">
        <v>295</v>
      </c>
      <c r="H1404" t="s">
        <v>296</v>
      </c>
      <c r="I1404" t="s">
        <v>71</v>
      </c>
      <c r="J1404" t="s">
        <v>72</v>
      </c>
      <c r="K1404" t="s">
        <v>73</v>
      </c>
      <c r="L1404" t="s">
        <v>74</v>
      </c>
      <c r="M1404" t="s">
        <v>1182</v>
      </c>
      <c r="N1404" t="s">
        <v>111</v>
      </c>
      <c r="O1404" t="s">
        <v>1183</v>
      </c>
      <c r="P1404" t="s">
        <v>1184</v>
      </c>
      <c r="Q1404" t="s">
        <v>1578</v>
      </c>
      <c r="R1404" s="1">
        <v>46220</v>
      </c>
      <c r="S1404" t="s">
        <v>1186</v>
      </c>
      <c r="T1404" t="s">
        <v>1187</v>
      </c>
      <c r="U1404" t="s">
        <v>1188</v>
      </c>
      <c r="V1404" t="s">
        <v>66</v>
      </c>
      <c r="W1404" t="s">
        <v>66</v>
      </c>
      <c r="X1404">
        <v>7075728</v>
      </c>
      <c r="Y1404">
        <v>778330.08</v>
      </c>
      <c r="Z1404">
        <v>1365012</v>
      </c>
      <c r="AA1404">
        <v>150151.32</v>
      </c>
      <c r="AB1404">
        <v>7854058.0800000001</v>
      </c>
      <c r="AC1404">
        <v>36</v>
      </c>
      <c r="AD1404" t="s">
        <v>82</v>
      </c>
      <c r="AE1404">
        <v>36</v>
      </c>
      <c r="AF1404" t="s">
        <v>138</v>
      </c>
      <c r="AG1404">
        <f>IFERROR(VLOOKUP(AF1404,[1]STOK!J:O,6,0),"")</f>
        <v>6</v>
      </c>
      <c r="AH1404" s="2">
        <f t="shared" si="42"/>
        <v>6</v>
      </c>
      <c r="AI1404" t="s">
        <v>138</v>
      </c>
      <c r="AJ1404" t="s">
        <v>139</v>
      </c>
      <c r="AK1404" t="s">
        <v>140</v>
      </c>
      <c r="AL1404" t="s">
        <v>86</v>
      </c>
      <c r="AM1404">
        <v>42513</v>
      </c>
      <c r="AN1404">
        <f t="shared" si="43"/>
        <v>42087.87</v>
      </c>
      <c r="AO1404" t="s">
        <v>66</v>
      </c>
      <c r="AP1404">
        <v>1</v>
      </c>
      <c r="AQ1404" t="s">
        <v>66</v>
      </c>
      <c r="AR1404">
        <v>0</v>
      </c>
      <c r="AS1404" t="s">
        <v>66</v>
      </c>
      <c r="AT1404">
        <v>0</v>
      </c>
      <c r="AU1404" t="s">
        <v>66</v>
      </c>
      <c r="AV1404">
        <v>0</v>
      </c>
      <c r="AW1404" t="s">
        <v>66</v>
      </c>
      <c r="AX1404">
        <v>0</v>
      </c>
      <c r="AY1404" t="s">
        <v>66</v>
      </c>
      <c r="AZ1404">
        <v>0</v>
      </c>
      <c r="BA1404" t="s">
        <v>66</v>
      </c>
      <c r="BB1404">
        <v>0</v>
      </c>
      <c r="BC1404">
        <v>0</v>
      </c>
      <c r="BD1404">
        <v>1515163.32</v>
      </c>
      <c r="BE1404">
        <v>34619.379999999997</v>
      </c>
      <c r="BF1404">
        <v>0</v>
      </c>
      <c r="BG1404" t="s">
        <v>87</v>
      </c>
      <c r="BH1404" t="s">
        <v>66</v>
      </c>
      <c r="BI1404">
        <v>0</v>
      </c>
      <c r="BJ1404" t="s">
        <v>66</v>
      </c>
      <c r="BK1404" t="s">
        <v>88</v>
      </c>
      <c r="BL1404" t="s">
        <v>66</v>
      </c>
      <c r="BM1404" t="s">
        <v>159</v>
      </c>
    </row>
    <row r="1405" spans="1:65" x14ac:dyDescent="0.25">
      <c r="A1405">
        <v>1403</v>
      </c>
      <c r="B1405" t="s">
        <v>1591</v>
      </c>
      <c r="C1405" t="s">
        <v>66</v>
      </c>
      <c r="D1405" s="1">
        <v>46219</v>
      </c>
      <c r="E1405" t="s">
        <v>1592</v>
      </c>
      <c r="F1405" t="s">
        <v>1593</v>
      </c>
      <c r="G1405" t="s">
        <v>69</v>
      </c>
      <c r="H1405" t="s">
        <v>70</v>
      </c>
      <c r="I1405" t="s">
        <v>71</v>
      </c>
      <c r="J1405" t="s">
        <v>72</v>
      </c>
      <c r="K1405" t="s">
        <v>73</v>
      </c>
      <c r="L1405" t="s">
        <v>74</v>
      </c>
      <c r="M1405" t="s">
        <v>1594</v>
      </c>
      <c r="N1405" t="s">
        <v>76</v>
      </c>
      <c r="O1405" t="s">
        <v>1595</v>
      </c>
      <c r="P1405" t="s">
        <v>1596</v>
      </c>
      <c r="Q1405" t="s">
        <v>1597</v>
      </c>
      <c r="R1405" s="1">
        <v>46220</v>
      </c>
      <c r="S1405" t="s">
        <v>1598</v>
      </c>
      <c r="T1405" t="s">
        <v>1599</v>
      </c>
      <c r="U1405" t="s">
        <v>1600</v>
      </c>
      <c r="V1405" t="s">
        <v>66</v>
      </c>
      <c r="W1405" t="s">
        <v>66</v>
      </c>
      <c r="X1405">
        <v>1638252</v>
      </c>
      <c r="Y1405">
        <v>180207.72</v>
      </c>
      <c r="Z1405">
        <v>196020</v>
      </c>
      <c r="AA1405">
        <v>21562.2</v>
      </c>
      <c r="AB1405">
        <v>1818459.72</v>
      </c>
      <c r="AC1405">
        <v>12</v>
      </c>
      <c r="AD1405" t="s">
        <v>82</v>
      </c>
      <c r="AE1405">
        <v>12</v>
      </c>
      <c r="AF1405" t="s">
        <v>128</v>
      </c>
      <c r="AG1405">
        <f>IFERROR(VLOOKUP(AF1405,[1]STOK!J:O,6,0),"")</f>
        <v>24</v>
      </c>
      <c r="AH1405" s="2">
        <f t="shared" si="42"/>
        <v>0.5</v>
      </c>
      <c r="AI1405" t="s">
        <v>128</v>
      </c>
      <c r="AJ1405" t="s">
        <v>129</v>
      </c>
      <c r="AK1405" t="s">
        <v>130</v>
      </c>
      <c r="AL1405" t="s">
        <v>86</v>
      </c>
      <c r="AM1405">
        <v>18315</v>
      </c>
      <c r="AN1405">
        <f t="shared" si="43"/>
        <v>18131.850000000002</v>
      </c>
      <c r="AO1405" t="s">
        <v>66</v>
      </c>
      <c r="AP1405">
        <v>1</v>
      </c>
      <c r="AQ1405" t="s">
        <v>66</v>
      </c>
      <c r="AR1405">
        <v>0</v>
      </c>
      <c r="AS1405" t="s">
        <v>66</v>
      </c>
      <c r="AT1405">
        <v>0</v>
      </c>
      <c r="AU1405" t="s">
        <v>66</v>
      </c>
      <c r="AV1405">
        <v>0</v>
      </c>
      <c r="AW1405" t="s">
        <v>66</v>
      </c>
      <c r="AX1405">
        <v>0</v>
      </c>
      <c r="AY1405" t="s">
        <v>66</v>
      </c>
      <c r="AZ1405">
        <v>0</v>
      </c>
      <c r="BA1405" t="s">
        <v>66</v>
      </c>
      <c r="BB1405">
        <v>0</v>
      </c>
      <c r="BC1405">
        <v>0</v>
      </c>
      <c r="BD1405">
        <v>217582.2</v>
      </c>
      <c r="BE1405">
        <v>14619.11</v>
      </c>
      <c r="BF1405">
        <v>0</v>
      </c>
      <c r="BG1405" t="s">
        <v>87</v>
      </c>
      <c r="BH1405" t="s">
        <v>66</v>
      </c>
      <c r="BI1405">
        <v>0</v>
      </c>
      <c r="BJ1405" t="s">
        <v>66</v>
      </c>
      <c r="BK1405" t="s">
        <v>88</v>
      </c>
      <c r="BL1405" t="s">
        <v>66</v>
      </c>
      <c r="BM1405" t="s">
        <v>159</v>
      </c>
    </row>
    <row r="1406" spans="1:65" x14ac:dyDescent="0.25">
      <c r="A1406">
        <v>1404</v>
      </c>
      <c r="B1406" t="s">
        <v>1591</v>
      </c>
      <c r="C1406" t="s">
        <v>66</v>
      </c>
      <c r="D1406" s="1">
        <v>46219</v>
      </c>
      <c r="E1406" t="s">
        <v>1592</v>
      </c>
      <c r="F1406" t="s">
        <v>1593</v>
      </c>
      <c r="G1406" t="s">
        <v>69</v>
      </c>
      <c r="H1406" t="s">
        <v>70</v>
      </c>
      <c r="I1406" t="s">
        <v>71</v>
      </c>
      <c r="J1406" t="s">
        <v>72</v>
      </c>
      <c r="K1406" t="s">
        <v>73</v>
      </c>
      <c r="L1406" t="s">
        <v>74</v>
      </c>
      <c r="M1406" t="s">
        <v>1594</v>
      </c>
      <c r="N1406" t="s">
        <v>76</v>
      </c>
      <c r="O1406" t="s">
        <v>1595</v>
      </c>
      <c r="P1406" t="s">
        <v>1596</v>
      </c>
      <c r="Q1406" t="s">
        <v>1597</v>
      </c>
      <c r="R1406" s="1">
        <v>46220</v>
      </c>
      <c r="S1406" t="s">
        <v>1598</v>
      </c>
      <c r="T1406" t="s">
        <v>1599</v>
      </c>
      <c r="U1406" t="s">
        <v>1600</v>
      </c>
      <c r="V1406" t="s">
        <v>66</v>
      </c>
      <c r="W1406" t="s">
        <v>66</v>
      </c>
      <c r="X1406">
        <v>1638252</v>
      </c>
      <c r="Y1406">
        <v>180207.72</v>
      </c>
      <c r="Z1406">
        <v>196020</v>
      </c>
      <c r="AA1406">
        <v>21562.2</v>
      </c>
      <c r="AB1406">
        <v>1818459.72</v>
      </c>
      <c r="AC1406">
        <v>12</v>
      </c>
      <c r="AD1406" t="s">
        <v>82</v>
      </c>
      <c r="AE1406">
        <v>12</v>
      </c>
      <c r="AF1406" t="s">
        <v>93</v>
      </c>
      <c r="AG1406">
        <f>IFERROR(VLOOKUP(AF1406,[1]STOK!J:O,6,0),"")</f>
        <v>24</v>
      </c>
      <c r="AH1406" s="2">
        <f t="shared" si="42"/>
        <v>0.5</v>
      </c>
      <c r="AI1406" t="s">
        <v>93</v>
      </c>
      <c r="AJ1406" t="s">
        <v>94</v>
      </c>
      <c r="AK1406" t="s">
        <v>95</v>
      </c>
      <c r="AL1406" t="s">
        <v>86</v>
      </c>
      <c r="AM1406">
        <v>18315</v>
      </c>
      <c r="AN1406">
        <f t="shared" si="43"/>
        <v>18131.850000000002</v>
      </c>
      <c r="AO1406" t="s">
        <v>66</v>
      </c>
      <c r="AP1406">
        <v>1</v>
      </c>
      <c r="AQ1406" t="s">
        <v>66</v>
      </c>
      <c r="AR1406">
        <v>0</v>
      </c>
      <c r="AS1406" t="s">
        <v>66</v>
      </c>
      <c r="AT1406">
        <v>0</v>
      </c>
      <c r="AU1406" t="s">
        <v>66</v>
      </c>
      <c r="AV1406">
        <v>0</v>
      </c>
      <c r="AW1406" t="s">
        <v>66</v>
      </c>
      <c r="AX1406">
        <v>0</v>
      </c>
      <c r="AY1406" t="s">
        <v>66</v>
      </c>
      <c r="AZ1406">
        <v>0</v>
      </c>
      <c r="BA1406" t="s">
        <v>66</v>
      </c>
      <c r="BB1406">
        <v>0</v>
      </c>
      <c r="BC1406">
        <v>0</v>
      </c>
      <c r="BD1406">
        <v>217582.2</v>
      </c>
      <c r="BE1406">
        <v>14878.51</v>
      </c>
      <c r="BF1406">
        <v>0</v>
      </c>
      <c r="BG1406" t="s">
        <v>87</v>
      </c>
      <c r="BH1406" t="s">
        <v>66</v>
      </c>
      <c r="BI1406">
        <v>0</v>
      </c>
      <c r="BJ1406" t="s">
        <v>66</v>
      </c>
      <c r="BK1406" t="s">
        <v>88</v>
      </c>
      <c r="BL1406" t="s">
        <v>66</v>
      </c>
      <c r="BM1406" t="s">
        <v>159</v>
      </c>
    </row>
    <row r="1407" spans="1:65" x14ac:dyDescent="0.25">
      <c r="A1407">
        <v>1405</v>
      </c>
      <c r="B1407" t="s">
        <v>1591</v>
      </c>
      <c r="C1407" t="s">
        <v>66</v>
      </c>
      <c r="D1407" s="1">
        <v>46219</v>
      </c>
      <c r="E1407" t="s">
        <v>1592</v>
      </c>
      <c r="F1407" t="s">
        <v>1593</v>
      </c>
      <c r="G1407" t="s">
        <v>69</v>
      </c>
      <c r="H1407" t="s">
        <v>70</v>
      </c>
      <c r="I1407" t="s">
        <v>71</v>
      </c>
      <c r="J1407" t="s">
        <v>72</v>
      </c>
      <c r="K1407" t="s">
        <v>73</v>
      </c>
      <c r="L1407" t="s">
        <v>74</v>
      </c>
      <c r="M1407" t="s">
        <v>1594</v>
      </c>
      <c r="N1407" t="s">
        <v>76</v>
      </c>
      <c r="O1407" t="s">
        <v>1595</v>
      </c>
      <c r="P1407" t="s">
        <v>1596</v>
      </c>
      <c r="Q1407" t="s">
        <v>1597</v>
      </c>
      <c r="R1407" s="1">
        <v>46220</v>
      </c>
      <c r="S1407" t="s">
        <v>1598</v>
      </c>
      <c r="T1407" t="s">
        <v>1599</v>
      </c>
      <c r="U1407" t="s">
        <v>1600</v>
      </c>
      <c r="V1407" t="s">
        <v>66</v>
      </c>
      <c r="W1407" t="s">
        <v>66</v>
      </c>
      <c r="X1407">
        <v>1638252</v>
      </c>
      <c r="Y1407">
        <v>180207.72</v>
      </c>
      <c r="Z1407">
        <v>196020</v>
      </c>
      <c r="AA1407">
        <v>21562.2</v>
      </c>
      <c r="AB1407">
        <v>1818459.72</v>
      </c>
      <c r="AC1407">
        <v>12</v>
      </c>
      <c r="AD1407" t="s">
        <v>82</v>
      </c>
      <c r="AE1407">
        <v>12</v>
      </c>
      <c r="AF1407" t="s">
        <v>205</v>
      </c>
      <c r="AG1407">
        <f>IFERROR(VLOOKUP(AF1407,[1]STOK!J:O,6,0),"")</f>
        <v>24</v>
      </c>
      <c r="AH1407" s="2">
        <f t="shared" si="42"/>
        <v>0.5</v>
      </c>
      <c r="AI1407" t="s">
        <v>205</v>
      </c>
      <c r="AJ1407" t="s">
        <v>206</v>
      </c>
      <c r="AK1407" t="s">
        <v>207</v>
      </c>
      <c r="AL1407" t="s">
        <v>86</v>
      </c>
      <c r="AM1407">
        <v>18315</v>
      </c>
      <c r="AN1407">
        <f t="shared" si="43"/>
        <v>18131.850000000002</v>
      </c>
      <c r="AO1407" t="s">
        <v>66</v>
      </c>
      <c r="AP1407">
        <v>1</v>
      </c>
      <c r="AQ1407" t="s">
        <v>66</v>
      </c>
      <c r="AR1407">
        <v>0</v>
      </c>
      <c r="AS1407" t="s">
        <v>66</v>
      </c>
      <c r="AT1407">
        <v>0</v>
      </c>
      <c r="AU1407" t="s">
        <v>66</v>
      </c>
      <c r="AV1407">
        <v>0</v>
      </c>
      <c r="AW1407" t="s">
        <v>66</v>
      </c>
      <c r="AX1407">
        <v>0</v>
      </c>
      <c r="AY1407" t="s">
        <v>66</v>
      </c>
      <c r="AZ1407">
        <v>0</v>
      </c>
      <c r="BA1407" t="s">
        <v>66</v>
      </c>
      <c r="BB1407">
        <v>0</v>
      </c>
      <c r="BC1407">
        <v>0</v>
      </c>
      <c r="BD1407">
        <v>217582.2</v>
      </c>
      <c r="BE1407">
        <v>14876.63</v>
      </c>
      <c r="BF1407">
        <v>0</v>
      </c>
      <c r="BG1407" t="s">
        <v>87</v>
      </c>
      <c r="BH1407" t="s">
        <v>66</v>
      </c>
      <c r="BI1407">
        <v>0</v>
      </c>
      <c r="BJ1407" t="s">
        <v>66</v>
      </c>
      <c r="BK1407" t="s">
        <v>88</v>
      </c>
      <c r="BL1407" t="s">
        <v>66</v>
      </c>
      <c r="BM1407" t="s">
        <v>159</v>
      </c>
    </row>
    <row r="1408" spans="1:65" x14ac:dyDescent="0.25">
      <c r="A1408">
        <v>1406</v>
      </c>
      <c r="B1408" t="s">
        <v>1591</v>
      </c>
      <c r="C1408" t="s">
        <v>66</v>
      </c>
      <c r="D1408" s="1">
        <v>46219</v>
      </c>
      <c r="E1408" t="s">
        <v>1592</v>
      </c>
      <c r="F1408" t="s">
        <v>1593</v>
      </c>
      <c r="G1408" t="s">
        <v>69</v>
      </c>
      <c r="H1408" t="s">
        <v>70</v>
      </c>
      <c r="I1408" t="s">
        <v>71</v>
      </c>
      <c r="J1408" t="s">
        <v>72</v>
      </c>
      <c r="K1408" t="s">
        <v>73</v>
      </c>
      <c r="L1408" t="s">
        <v>74</v>
      </c>
      <c r="M1408" t="s">
        <v>1594</v>
      </c>
      <c r="N1408" t="s">
        <v>76</v>
      </c>
      <c r="O1408" t="s">
        <v>1595</v>
      </c>
      <c r="P1408" t="s">
        <v>1596</v>
      </c>
      <c r="Q1408" t="s">
        <v>1597</v>
      </c>
      <c r="R1408" s="1">
        <v>46220</v>
      </c>
      <c r="S1408" t="s">
        <v>1598</v>
      </c>
      <c r="T1408" t="s">
        <v>1599</v>
      </c>
      <c r="U1408" t="s">
        <v>1600</v>
      </c>
      <c r="V1408" t="s">
        <v>66</v>
      </c>
      <c r="W1408" t="s">
        <v>66</v>
      </c>
      <c r="X1408">
        <v>1638252</v>
      </c>
      <c r="Y1408">
        <v>180207.72</v>
      </c>
      <c r="Z1408">
        <v>196020</v>
      </c>
      <c r="AA1408">
        <v>21562.2</v>
      </c>
      <c r="AB1408">
        <v>1818459.72</v>
      </c>
      <c r="AC1408">
        <v>12</v>
      </c>
      <c r="AD1408" t="s">
        <v>82</v>
      </c>
      <c r="AE1408">
        <v>12</v>
      </c>
      <c r="AF1408" t="s">
        <v>99</v>
      </c>
      <c r="AG1408">
        <f>IFERROR(VLOOKUP(AF1408,[1]STOK!J:O,6,0),"")</f>
        <v>24</v>
      </c>
      <c r="AH1408" s="2">
        <f t="shared" si="42"/>
        <v>0.5</v>
      </c>
      <c r="AI1408" t="s">
        <v>99</v>
      </c>
      <c r="AJ1408" t="s">
        <v>100</v>
      </c>
      <c r="AK1408" t="s">
        <v>101</v>
      </c>
      <c r="AL1408" t="s">
        <v>86</v>
      </c>
      <c r="AM1408">
        <v>18315</v>
      </c>
      <c r="AN1408">
        <f t="shared" si="43"/>
        <v>18131.850000000002</v>
      </c>
      <c r="AO1408" t="s">
        <v>66</v>
      </c>
      <c r="AP1408">
        <v>1</v>
      </c>
      <c r="AQ1408" t="s">
        <v>66</v>
      </c>
      <c r="AR1408">
        <v>0</v>
      </c>
      <c r="AS1408" t="s">
        <v>66</v>
      </c>
      <c r="AT1408">
        <v>0</v>
      </c>
      <c r="AU1408" t="s">
        <v>66</v>
      </c>
      <c r="AV1408">
        <v>0</v>
      </c>
      <c r="AW1408" t="s">
        <v>66</v>
      </c>
      <c r="AX1408">
        <v>0</v>
      </c>
      <c r="AY1408" t="s">
        <v>66</v>
      </c>
      <c r="AZ1408">
        <v>0</v>
      </c>
      <c r="BA1408" t="s">
        <v>66</v>
      </c>
      <c r="BB1408">
        <v>0</v>
      </c>
      <c r="BC1408">
        <v>0</v>
      </c>
      <c r="BD1408">
        <v>217582.2</v>
      </c>
      <c r="BE1408">
        <v>14924.93</v>
      </c>
      <c r="BF1408">
        <v>0</v>
      </c>
      <c r="BG1408" t="s">
        <v>87</v>
      </c>
      <c r="BH1408" t="s">
        <v>66</v>
      </c>
      <c r="BI1408">
        <v>0</v>
      </c>
      <c r="BJ1408" t="s">
        <v>66</v>
      </c>
      <c r="BK1408" t="s">
        <v>88</v>
      </c>
      <c r="BL1408" t="s">
        <v>66</v>
      </c>
      <c r="BM1408" t="s">
        <v>159</v>
      </c>
    </row>
    <row r="1409" spans="1:65" x14ac:dyDescent="0.25">
      <c r="A1409">
        <v>1407</v>
      </c>
      <c r="B1409" t="s">
        <v>1591</v>
      </c>
      <c r="C1409" t="s">
        <v>66</v>
      </c>
      <c r="D1409" s="1">
        <v>46219</v>
      </c>
      <c r="E1409" t="s">
        <v>1592</v>
      </c>
      <c r="F1409" t="s">
        <v>1593</v>
      </c>
      <c r="G1409" t="s">
        <v>69</v>
      </c>
      <c r="H1409" t="s">
        <v>70</v>
      </c>
      <c r="I1409" t="s">
        <v>71</v>
      </c>
      <c r="J1409" t="s">
        <v>72</v>
      </c>
      <c r="K1409" t="s">
        <v>73</v>
      </c>
      <c r="L1409" t="s">
        <v>74</v>
      </c>
      <c r="M1409" t="s">
        <v>1594</v>
      </c>
      <c r="N1409" t="s">
        <v>76</v>
      </c>
      <c r="O1409" t="s">
        <v>1595</v>
      </c>
      <c r="P1409" t="s">
        <v>1596</v>
      </c>
      <c r="Q1409" t="s">
        <v>1597</v>
      </c>
      <c r="R1409" s="1">
        <v>46220</v>
      </c>
      <c r="S1409" t="s">
        <v>1598</v>
      </c>
      <c r="T1409" t="s">
        <v>1599</v>
      </c>
      <c r="U1409" t="s">
        <v>1600</v>
      </c>
      <c r="V1409" t="s">
        <v>66</v>
      </c>
      <c r="W1409" t="s">
        <v>66</v>
      </c>
      <c r="X1409">
        <v>1638252</v>
      </c>
      <c r="Y1409">
        <v>180207.72</v>
      </c>
      <c r="Z1409">
        <v>162162</v>
      </c>
      <c r="AA1409">
        <v>17837.82</v>
      </c>
      <c r="AB1409">
        <v>1818459.72</v>
      </c>
      <c r="AC1409">
        <v>6</v>
      </c>
      <c r="AD1409" t="s">
        <v>82</v>
      </c>
      <c r="AE1409">
        <v>6</v>
      </c>
      <c r="AF1409" t="s">
        <v>593</v>
      </c>
      <c r="AG1409">
        <f>IFERROR(VLOOKUP(AF1409,[1]STOK!J:O,6,0),"")</f>
        <v>12</v>
      </c>
      <c r="AH1409" s="2">
        <f t="shared" si="42"/>
        <v>0.5</v>
      </c>
      <c r="AI1409" t="s">
        <v>593</v>
      </c>
      <c r="AJ1409" t="s">
        <v>594</v>
      </c>
      <c r="AK1409" t="s">
        <v>595</v>
      </c>
      <c r="AL1409" t="s">
        <v>86</v>
      </c>
      <c r="AM1409">
        <v>30303</v>
      </c>
      <c r="AN1409">
        <f t="shared" si="43"/>
        <v>29999.97</v>
      </c>
      <c r="AO1409" t="s">
        <v>66</v>
      </c>
      <c r="AP1409">
        <v>1</v>
      </c>
      <c r="AQ1409" t="s">
        <v>66</v>
      </c>
      <c r="AR1409">
        <v>0</v>
      </c>
      <c r="AS1409" t="s">
        <v>66</v>
      </c>
      <c r="AT1409">
        <v>0</v>
      </c>
      <c r="AU1409" t="s">
        <v>66</v>
      </c>
      <c r="AV1409">
        <v>0</v>
      </c>
      <c r="AW1409" t="s">
        <v>66</v>
      </c>
      <c r="AX1409">
        <v>0</v>
      </c>
      <c r="AY1409" t="s">
        <v>66</v>
      </c>
      <c r="AZ1409">
        <v>0</v>
      </c>
      <c r="BA1409" t="s">
        <v>66</v>
      </c>
      <c r="BB1409">
        <v>0</v>
      </c>
      <c r="BC1409">
        <v>0</v>
      </c>
      <c r="BD1409">
        <v>179999.82</v>
      </c>
      <c r="BE1409">
        <v>24521.7</v>
      </c>
      <c r="BF1409">
        <v>0</v>
      </c>
      <c r="BG1409" t="s">
        <v>87</v>
      </c>
      <c r="BH1409" t="s">
        <v>66</v>
      </c>
      <c r="BI1409">
        <v>0</v>
      </c>
      <c r="BJ1409" t="s">
        <v>66</v>
      </c>
      <c r="BK1409" t="s">
        <v>88</v>
      </c>
      <c r="BL1409" t="s">
        <v>66</v>
      </c>
      <c r="BM1409" t="s">
        <v>159</v>
      </c>
    </row>
    <row r="1410" spans="1:65" x14ac:dyDescent="0.25">
      <c r="A1410">
        <v>1408</v>
      </c>
      <c r="B1410" t="s">
        <v>1591</v>
      </c>
      <c r="C1410" t="s">
        <v>66</v>
      </c>
      <c r="D1410" s="1">
        <v>46219</v>
      </c>
      <c r="E1410" t="s">
        <v>1592</v>
      </c>
      <c r="F1410" t="s">
        <v>1593</v>
      </c>
      <c r="G1410" t="s">
        <v>69</v>
      </c>
      <c r="H1410" t="s">
        <v>70</v>
      </c>
      <c r="I1410" t="s">
        <v>71</v>
      </c>
      <c r="J1410" t="s">
        <v>72</v>
      </c>
      <c r="K1410" t="s">
        <v>73</v>
      </c>
      <c r="L1410" t="s">
        <v>74</v>
      </c>
      <c r="M1410" t="s">
        <v>1594</v>
      </c>
      <c r="N1410" t="s">
        <v>76</v>
      </c>
      <c r="O1410" t="s">
        <v>1595</v>
      </c>
      <c r="P1410" t="s">
        <v>1596</v>
      </c>
      <c r="Q1410" t="s">
        <v>1597</v>
      </c>
      <c r="R1410" s="1">
        <v>46220</v>
      </c>
      <c r="S1410" t="s">
        <v>1598</v>
      </c>
      <c r="T1410" t="s">
        <v>1599</v>
      </c>
      <c r="U1410" t="s">
        <v>1600</v>
      </c>
      <c r="V1410" t="s">
        <v>66</v>
      </c>
      <c r="W1410" t="s">
        <v>66</v>
      </c>
      <c r="X1410">
        <v>1638252</v>
      </c>
      <c r="Y1410">
        <v>180207.72</v>
      </c>
      <c r="Z1410">
        <v>162162</v>
      </c>
      <c r="AA1410">
        <v>17837.82</v>
      </c>
      <c r="AB1410">
        <v>1818459.72</v>
      </c>
      <c r="AC1410">
        <v>6</v>
      </c>
      <c r="AD1410" t="s">
        <v>82</v>
      </c>
      <c r="AE1410">
        <v>6</v>
      </c>
      <c r="AF1410" t="s">
        <v>303</v>
      </c>
      <c r="AG1410">
        <f>IFERROR(VLOOKUP(AF1410,[1]STOK!J:O,6,0),"")</f>
        <v>12</v>
      </c>
      <c r="AH1410" s="2">
        <f t="shared" si="42"/>
        <v>0.5</v>
      </c>
      <c r="AI1410" t="s">
        <v>303</v>
      </c>
      <c r="AJ1410" t="s">
        <v>304</v>
      </c>
      <c r="AK1410" t="s">
        <v>305</v>
      </c>
      <c r="AL1410" t="s">
        <v>86</v>
      </c>
      <c r="AM1410">
        <v>30303</v>
      </c>
      <c r="AN1410">
        <f t="shared" si="43"/>
        <v>29999.97</v>
      </c>
      <c r="AO1410" t="s">
        <v>66</v>
      </c>
      <c r="AP1410">
        <v>1</v>
      </c>
      <c r="AQ1410" t="s">
        <v>66</v>
      </c>
      <c r="AR1410">
        <v>0</v>
      </c>
      <c r="AS1410" t="s">
        <v>66</v>
      </c>
      <c r="AT1410">
        <v>0</v>
      </c>
      <c r="AU1410" t="s">
        <v>66</v>
      </c>
      <c r="AV1410">
        <v>0</v>
      </c>
      <c r="AW1410" t="s">
        <v>66</v>
      </c>
      <c r="AX1410">
        <v>0</v>
      </c>
      <c r="AY1410" t="s">
        <v>66</v>
      </c>
      <c r="AZ1410">
        <v>0</v>
      </c>
      <c r="BA1410" t="s">
        <v>66</v>
      </c>
      <c r="BB1410">
        <v>0</v>
      </c>
      <c r="BC1410">
        <v>0</v>
      </c>
      <c r="BD1410">
        <v>179999.82</v>
      </c>
      <c r="BE1410">
        <v>24552.53</v>
      </c>
      <c r="BF1410">
        <v>0</v>
      </c>
      <c r="BG1410" t="s">
        <v>87</v>
      </c>
      <c r="BH1410" t="s">
        <v>66</v>
      </c>
      <c r="BI1410">
        <v>0</v>
      </c>
      <c r="BJ1410" t="s">
        <v>66</v>
      </c>
      <c r="BK1410" t="s">
        <v>88</v>
      </c>
      <c r="BL1410" t="s">
        <v>66</v>
      </c>
      <c r="BM1410" t="s">
        <v>159</v>
      </c>
    </row>
    <row r="1411" spans="1:65" x14ac:dyDescent="0.25">
      <c r="A1411">
        <v>1409</v>
      </c>
      <c r="B1411" t="s">
        <v>1591</v>
      </c>
      <c r="C1411" t="s">
        <v>66</v>
      </c>
      <c r="D1411" s="1">
        <v>46219</v>
      </c>
      <c r="E1411" t="s">
        <v>1592</v>
      </c>
      <c r="F1411" t="s">
        <v>1593</v>
      </c>
      <c r="G1411" t="s">
        <v>69</v>
      </c>
      <c r="H1411" t="s">
        <v>70</v>
      </c>
      <c r="I1411" t="s">
        <v>71</v>
      </c>
      <c r="J1411" t="s">
        <v>72</v>
      </c>
      <c r="K1411" t="s">
        <v>73</v>
      </c>
      <c r="L1411" t="s">
        <v>74</v>
      </c>
      <c r="M1411" t="s">
        <v>1594</v>
      </c>
      <c r="N1411" t="s">
        <v>76</v>
      </c>
      <c r="O1411" t="s">
        <v>1595</v>
      </c>
      <c r="P1411" t="s">
        <v>1596</v>
      </c>
      <c r="Q1411" t="s">
        <v>1597</v>
      </c>
      <c r="R1411" s="1">
        <v>46220</v>
      </c>
      <c r="S1411" t="s">
        <v>1598</v>
      </c>
      <c r="T1411" t="s">
        <v>1599</v>
      </c>
      <c r="U1411" t="s">
        <v>1600</v>
      </c>
      <c r="V1411" t="s">
        <v>66</v>
      </c>
      <c r="W1411" t="s">
        <v>66</v>
      </c>
      <c r="X1411">
        <v>1638252</v>
      </c>
      <c r="Y1411">
        <v>180207.72</v>
      </c>
      <c r="Z1411">
        <v>162162</v>
      </c>
      <c r="AA1411">
        <v>17837.82</v>
      </c>
      <c r="AB1411">
        <v>1818459.72</v>
      </c>
      <c r="AC1411">
        <v>6</v>
      </c>
      <c r="AD1411" t="s">
        <v>82</v>
      </c>
      <c r="AE1411">
        <v>6</v>
      </c>
      <c r="AF1411" t="s">
        <v>306</v>
      </c>
      <c r="AG1411">
        <f>IFERROR(VLOOKUP(AF1411,[1]STOK!J:O,6,0),"")</f>
        <v>12</v>
      </c>
      <c r="AH1411" s="2">
        <f t="shared" si="42"/>
        <v>0.5</v>
      </c>
      <c r="AI1411" t="s">
        <v>306</v>
      </c>
      <c r="AJ1411" t="s">
        <v>307</v>
      </c>
      <c r="AK1411" t="s">
        <v>308</v>
      </c>
      <c r="AL1411" t="s">
        <v>86</v>
      </c>
      <c r="AM1411">
        <v>30303</v>
      </c>
      <c r="AN1411">
        <f t="shared" si="43"/>
        <v>29999.97</v>
      </c>
      <c r="AO1411" t="s">
        <v>66</v>
      </c>
      <c r="AP1411">
        <v>1</v>
      </c>
      <c r="AQ1411" t="s">
        <v>66</v>
      </c>
      <c r="AR1411">
        <v>0</v>
      </c>
      <c r="AS1411" t="s">
        <v>66</v>
      </c>
      <c r="AT1411">
        <v>0</v>
      </c>
      <c r="AU1411" t="s">
        <v>66</v>
      </c>
      <c r="AV1411">
        <v>0</v>
      </c>
      <c r="AW1411" t="s">
        <v>66</v>
      </c>
      <c r="AX1411">
        <v>0</v>
      </c>
      <c r="AY1411" t="s">
        <v>66</v>
      </c>
      <c r="AZ1411">
        <v>0</v>
      </c>
      <c r="BA1411" t="s">
        <v>66</v>
      </c>
      <c r="BB1411">
        <v>0</v>
      </c>
      <c r="BC1411">
        <v>0</v>
      </c>
      <c r="BD1411">
        <v>179999.82</v>
      </c>
      <c r="BE1411">
        <v>24657.27</v>
      </c>
      <c r="BF1411">
        <v>0</v>
      </c>
      <c r="BG1411" t="s">
        <v>87</v>
      </c>
      <c r="BH1411" t="s">
        <v>66</v>
      </c>
      <c r="BI1411">
        <v>0</v>
      </c>
      <c r="BJ1411" t="s">
        <v>66</v>
      </c>
      <c r="BK1411" t="s">
        <v>88</v>
      </c>
      <c r="BL1411" t="s">
        <v>66</v>
      </c>
      <c r="BM1411" t="s">
        <v>159</v>
      </c>
    </row>
    <row r="1412" spans="1:65" x14ac:dyDescent="0.25">
      <c r="A1412">
        <v>1410</v>
      </c>
      <c r="B1412" t="s">
        <v>1591</v>
      </c>
      <c r="C1412" t="s">
        <v>66</v>
      </c>
      <c r="D1412" s="1">
        <v>46219</v>
      </c>
      <c r="E1412" t="s">
        <v>1592</v>
      </c>
      <c r="F1412" t="s">
        <v>1593</v>
      </c>
      <c r="G1412" t="s">
        <v>69</v>
      </c>
      <c r="H1412" t="s">
        <v>70</v>
      </c>
      <c r="I1412" t="s">
        <v>71</v>
      </c>
      <c r="J1412" t="s">
        <v>72</v>
      </c>
      <c r="K1412" t="s">
        <v>73</v>
      </c>
      <c r="L1412" t="s">
        <v>74</v>
      </c>
      <c r="M1412" t="s">
        <v>1594</v>
      </c>
      <c r="N1412" t="s">
        <v>76</v>
      </c>
      <c r="O1412" t="s">
        <v>1595</v>
      </c>
      <c r="P1412" t="s">
        <v>1596</v>
      </c>
      <c r="Q1412" t="s">
        <v>1597</v>
      </c>
      <c r="R1412" s="1">
        <v>46220</v>
      </c>
      <c r="S1412" t="s">
        <v>1598</v>
      </c>
      <c r="T1412" t="s">
        <v>1599</v>
      </c>
      <c r="U1412" t="s">
        <v>1600</v>
      </c>
      <c r="V1412" t="s">
        <v>66</v>
      </c>
      <c r="W1412" t="s">
        <v>66</v>
      </c>
      <c r="X1412">
        <v>1638252</v>
      </c>
      <c r="Y1412">
        <v>180207.72</v>
      </c>
      <c r="Z1412">
        <v>162162</v>
      </c>
      <c r="AA1412">
        <v>17837.82</v>
      </c>
      <c r="AB1412">
        <v>1818459.72</v>
      </c>
      <c r="AC1412">
        <v>6</v>
      </c>
      <c r="AD1412" t="s">
        <v>82</v>
      </c>
      <c r="AE1412">
        <v>6</v>
      </c>
      <c r="AF1412" t="s">
        <v>563</v>
      </c>
      <c r="AG1412">
        <f>IFERROR(VLOOKUP(AF1412,[1]STOK!J:O,6,0),"")</f>
        <v>12</v>
      </c>
      <c r="AH1412" s="2">
        <f t="shared" ref="AH1412:AH1475" si="44">AE1412/AG1412</f>
        <v>0.5</v>
      </c>
      <c r="AI1412" t="s">
        <v>563</v>
      </c>
      <c r="AJ1412" t="s">
        <v>564</v>
      </c>
      <c r="AK1412" t="s">
        <v>565</v>
      </c>
      <c r="AL1412" t="s">
        <v>86</v>
      </c>
      <c r="AM1412">
        <v>30303</v>
      </c>
      <c r="AN1412">
        <f t="shared" ref="AN1412:AN1475" si="45">BD1412/AC1412</f>
        <v>29999.97</v>
      </c>
      <c r="AO1412" t="s">
        <v>66</v>
      </c>
      <c r="AP1412">
        <v>1</v>
      </c>
      <c r="AQ1412" t="s">
        <v>66</v>
      </c>
      <c r="AR1412">
        <v>0</v>
      </c>
      <c r="AS1412" t="s">
        <v>66</v>
      </c>
      <c r="AT1412">
        <v>0</v>
      </c>
      <c r="AU1412" t="s">
        <v>66</v>
      </c>
      <c r="AV1412">
        <v>0</v>
      </c>
      <c r="AW1412" t="s">
        <v>66</v>
      </c>
      <c r="AX1412">
        <v>0</v>
      </c>
      <c r="AY1412" t="s">
        <v>66</v>
      </c>
      <c r="AZ1412">
        <v>0</v>
      </c>
      <c r="BA1412" t="s">
        <v>66</v>
      </c>
      <c r="BB1412">
        <v>0</v>
      </c>
      <c r="BC1412">
        <v>0</v>
      </c>
      <c r="BD1412">
        <v>179999.82</v>
      </c>
      <c r="BE1412">
        <v>24584.37</v>
      </c>
      <c r="BF1412">
        <v>0</v>
      </c>
      <c r="BG1412" t="s">
        <v>87</v>
      </c>
      <c r="BH1412" t="s">
        <v>66</v>
      </c>
      <c r="BI1412">
        <v>0</v>
      </c>
      <c r="BJ1412" t="s">
        <v>66</v>
      </c>
      <c r="BK1412" t="s">
        <v>88</v>
      </c>
      <c r="BL1412" t="s">
        <v>66</v>
      </c>
      <c r="BM1412" t="s">
        <v>159</v>
      </c>
    </row>
    <row r="1413" spans="1:65" x14ac:dyDescent="0.25">
      <c r="A1413">
        <v>1411</v>
      </c>
      <c r="B1413" t="s">
        <v>1591</v>
      </c>
      <c r="C1413" t="s">
        <v>66</v>
      </c>
      <c r="D1413" s="1">
        <v>46219</v>
      </c>
      <c r="E1413" t="s">
        <v>1592</v>
      </c>
      <c r="F1413" t="s">
        <v>1593</v>
      </c>
      <c r="G1413" t="s">
        <v>69</v>
      </c>
      <c r="H1413" t="s">
        <v>70</v>
      </c>
      <c r="I1413" t="s">
        <v>71</v>
      </c>
      <c r="J1413" t="s">
        <v>72</v>
      </c>
      <c r="K1413" t="s">
        <v>73</v>
      </c>
      <c r="L1413" t="s">
        <v>74</v>
      </c>
      <c r="M1413" t="s">
        <v>1594</v>
      </c>
      <c r="N1413" t="s">
        <v>76</v>
      </c>
      <c r="O1413" t="s">
        <v>1595</v>
      </c>
      <c r="P1413" t="s">
        <v>1596</v>
      </c>
      <c r="Q1413" t="s">
        <v>1597</v>
      </c>
      <c r="R1413" s="1">
        <v>46220</v>
      </c>
      <c r="S1413" t="s">
        <v>1598</v>
      </c>
      <c r="T1413" t="s">
        <v>1599</v>
      </c>
      <c r="U1413" t="s">
        <v>1600</v>
      </c>
      <c r="V1413" t="s">
        <v>66</v>
      </c>
      <c r="W1413" t="s">
        <v>66</v>
      </c>
      <c r="X1413">
        <v>1638252</v>
      </c>
      <c r="Y1413">
        <v>180207.72</v>
      </c>
      <c r="Z1413">
        <v>205524</v>
      </c>
      <c r="AA1413">
        <v>22607.64</v>
      </c>
      <c r="AB1413">
        <v>1818459.72</v>
      </c>
      <c r="AC1413">
        <v>12</v>
      </c>
      <c r="AD1413" t="s">
        <v>82</v>
      </c>
      <c r="AE1413">
        <v>12</v>
      </c>
      <c r="AF1413" t="s">
        <v>359</v>
      </c>
      <c r="AG1413">
        <f>IFERROR(VLOOKUP(AF1413,[1]STOK!J:O,6,0),"")</f>
        <v>12</v>
      </c>
      <c r="AH1413" s="2">
        <f t="shared" si="44"/>
        <v>1</v>
      </c>
      <c r="AI1413" t="s">
        <v>359</v>
      </c>
      <c r="AJ1413" t="s">
        <v>360</v>
      </c>
      <c r="AK1413" t="s">
        <v>361</v>
      </c>
      <c r="AL1413" t="s">
        <v>86</v>
      </c>
      <c r="AM1413">
        <v>19203</v>
      </c>
      <c r="AN1413">
        <f t="shared" si="45"/>
        <v>19010.97</v>
      </c>
      <c r="AO1413" t="s">
        <v>66</v>
      </c>
      <c r="AP1413">
        <v>1</v>
      </c>
      <c r="AQ1413" t="s">
        <v>66</v>
      </c>
      <c r="AR1413">
        <v>0</v>
      </c>
      <c r="AS1413" t="s">
        <v>66</v>
      </c>
      <c r="AT1413">
        <v>0</v>
      </c>
      <c r="AU1413" t="s">
        <v>66</v>
      </c>
      <c r="AV1413">
        <v>0</v>
      </c>
      <c r="AW1413" t="s">
        <v>66</v>
      </c>
      <c r="AX1413">
        <v>0</v>
      </c>
      <c r="AY1413" t="s">
        <v>66</v>
      </c>
      <c r="AZ1413">
        <v>0</v>
      </c>
      <c r="BA1413" t="s">
        <v>66</v>
      </c>
      <c r="BB1413">
        <v>0</v>
      </c>
      <c r="BC1413">
        <v>0</v>
      </c>
      <c r="BD1413">
        <v>228131.64</v>
      </c>
      <c r="BE1413">
        <v>15490.24</v>
      </c>
      <c r="BF1413">
        <v>0</v>
      </c>
      <c r="BG1413" t="s">
        <v>87</v>
      </c>
      <c r="BH1413" t="s">
        <v>66</v>
      </c>
      <c r="BI1413">
        <v>0</v>
      </c>
      <c r="BJ1413" t="s">
        <v>66</v>
      </c>
      <c r="BK1413" t="s">
        <v>88</v>
      </c>
      <c r="BL1413" t="s">
        <v>66</v>
      </c>
      <c r="BM1413" t="s">
        <v>159</v>
      </c>
    </row>
    <row r="1414" spans="1:65" x14ac:dyDescent="0.25">
      <c r="A1414">
        <v>1412</v>
      </c>
      <c r="B1414" t="s">
        <v>1601</v>
      </c>
      <c r="C1414" t="s">
        <v>68</v>
      </c>
      <c r="D1414" s="1">
        <v>46220</v>
      </c>
      <c r="E1414" t="s">
        <v>1602</v>
      </c>
      <c r="F1414" t="s">
        <v>68</v>
      </c>
      <c r="G1414" t="s">
        <v>295</v>
      </c>
      <c r="H1414" t="s">
        <v>296</v>
      </c>
      <c r="I1414" t="s">
        <v>71</v>
      </c>
      <c r="J1414" t="s">
        <v>72</v>
      </c>
      <c r="K1414" t="s">
        <v>73</v>
      </c>
      <c r="L1414" t="s">
        <v>74</v>
      </c>
      <c r="M1414" t="s">
        <v>647</v>
      </c>
      <c r="N1414" t="s">
        <v>274</v>
      </c>
      <c r="O1414" t="s">
        <v>648</v>
      </c>
      <c r="P1414" t="s">
        <v>649</v>
      </c>
      <c r="Q1414" t="s">
        <v>1603</v>
      </c>
      <c r="R1414" s="1">
        <v>46223</v>
      </c>
      <c r="S1414" t="s">
        <v>278</v>
      </c>
      <c r="T1414" t="s">
        <v>279</v>
      </c>
      <c r="U1414" t="s">
        <v>280</v>
      </c>
      <c r="V1414" t="s">
        <v>66</v>
      </c>
      <c r="W1414" t="s">
        <v>66</v>
      </c>
      <c r="X1414">
        <v>5476994</v>
      </c>
      <c r="Y1414">
        <v>602469.34</v>
      </c>
      <c r="Z1414">
        <v>390060</v>
      </c>
      <c r="AA1414">
        <v>42906.6</v>
      </c>
      <c r="AB1414">
        <v>6079463.3399999999</v>
      </c>
      <c r="AC1414">
        <v>1</v>
      </c>
      <c r="AD1414" t="s">
        <v>134</v>
      </c>
      <c r="AE1414">
        <v>24</v>
      </c>
      <c r="AF1414" t="s">
        <v>205</v>
      </c>
      <c r="AG1414">
        <f>IFERROR(VLOOKUP(AF1414,[1]STOK!J:O,6,0),"")</f>
        <v>24</v>
      </c>
      <c r="AH1414" s="2">
        <f t="shared" si="44"/>
        <v>1</v>
      </c>
      <c r="AI1414" t="s">
        <v>205</v>
      </c>
      <c r="AJ1414" t="s">
        <v>206</v>
      </c>
      <c r="AK1414" t="s">
        <v>207</v>
      </c>
      <c r="AL1414" t="s">
        <v>86</v>
      </c>
      <c r="AM1414">
        <v>439560</v>
      </c>
      <c r="AN1414">
        <f t="shared" si="45"/>
        <v>432966.6</v>
      </c>
      <c r="AO1414" t="s">
        <v>66</v>
      </c>
      <c r="AP1414">
        <v>1.5</v>
      </c>
      <c r="AQ1414" t="s">
        <v>66</v>
      </c>
      <c r="AR1414">
        <v>0</v>
      </c>
      <c r="AS1414" t="s">
        <v>66</v>
      </c>
      <c r="AT1414">
        <v>0</v>
      </c>
      <c r="AU1414" t="s">
        <v>66</v>
      </c>
      <c r="AV1414">
        <v>0</v>
      </c>
      <c r="AW1414" t="s">
        <v>66</v>
      </c>
      <c r="AX1414">
        <v>0</v>
      </c>
      <c r="AY1414" t="s">
        <v>66</v>
      </c>
      <c r="AZ1414">
        <v>0</v>
      </c>
      <c r="BA1414" t="s">
        <v>66</v>
      </c>
      <c r="BB1414">
        <v>0</v>
      </c>
      <c r="BC1414">
        <v>0</v>
      </c>
      <c r="BD1414">
        <v>432966.6</v>
      </c>
      <c r="BE1414">
        <v>14848.05</v>
      </c>
      <c r="BF1414">
        <v>0</v>
      </c>
      <c r="BG1414" t="s">
        <v>87</v>
      </c>
      <c r="BH1414" t="s">
        <v>66</v>
      </c>
      <c r="BI1414">
        <v>0</v>
      </c>
      <c r="BJ1414" t="s">
        <v>66</v>
      </c>
      <c r="BK1414" t="s">
        <v>88</v>
      </c>
      <c r="BL1414" t="s">
        <v>66</v>
      </c>
      <c r="BM1414" t="s">
        <v>159</v>
      </c>
    </row>
    <row r="1415" spans="1:65" x14ac:dyDescent="0.25">
      <c r="A1415">
        <v>1413</v>
      </c>
      <c r="B1415" t="s">
        <v>1601</v>
      </c>
      <c r="C1415" t="s">
        <v>68</v>
      </c>
      <c r="D1415" s="1">
        <v>46220</v>
      </c>
      <c r="E1415" t="s">
        <v>1602</v>
      </c>
      <c r="F1415" t="s">
        <v>68</v>
      </c>
      <c r="G1415" t="s">
        <v>295</v>
      </c>
      <c r="H1415" t="s">
        <v>296</v>
      </c>
      <c r="I1415" t="s">
        <v>71</v>
      </c>
      <c r="J1415" t="s">
        <v>72</v>
      </c>
      <c r="K1415" t="s">
        <v>73</v>
      </c>
      <c r="L1415" t="s">
        <v>74</v>
      </c>
      <c r="M1415" t="s">
        <v>647</v>
      </c>
      <c r="N1415" t="s">
        <v>274</v>
      </c>
      <c r="O1415" t="s">
        <v>648</v>
      </c>
      <c r="P1415" t="s">
        <v>649</v>
      </c>
      <c r="Q1415" t="s">
        <v>1603</v>
      </c>
      <c r="R1415" s="1">
        <v>46223</v>
      </c>
      <c r="S1415" t="s">
        <v>278</v>
      </c>
      <c r="T1415" t="s">
        <v>279</v>
      </c>
      <c r="U1415" t="s">
        <v>280</v>
      </c>
      <c r="V1415" t="s">
        <v>66</v>
      </c>
      <c r="W1415" t="s">
        <v>66</v>
      </c>
      <c r="X1415">
        <v>5476994</v>
      </c>
      <c r="Y1415">
        <v>602469.34</v>
      </c>
      <c r="Z1415">
        <v>390060</v>
      </c>
      <c r="AA1415">
        <v>42906.6</v>
      </c>
      <c r="AB1415">
        <v>6079463.3399999999</v>
      </c>
      <c r="AC1415">
        <v>1</v>
      </c>
      <c r="AD1415" t="s">
        <v>134</v>
      </c>
      <c r="AE1415">
        <v>24</v>
      </c>
      <c r="AF1415" t="s">
        <v>99</v>
      </c>
      <c r="AG1415">
        <f>IFERROR(VLOOKUP(AF1415,[1]STOK!J:O,6,0),"")</f>
        <v>24</v>
      </c>
      <c r="AH1415" s="2">
        <f t="shared" si="44"/>
        <v>1</v>
      </c>
      <c r="AI1415" t="s">
        <v>99</v>
      </c>
      <c r="AJ1415" t="s">
        <v>100</v>
      </c>
      <c r="AK1415" t="s">
        <v>101</v>
      </c>
      <c r="AL1415" t="s">
        <v>86</v>
      </c>
      <c r="AM1415">
        <v>439560</v>
      </c>
      <c r="AN1415">
        <f t="shared" si="45"/>
        <v>432966.6</v>
      </c>
      <c r="AO1415" t="s">
        <v>66</v>
      </c>
      <c r="AP1415">
        <v>1.5</v>
      </c>
      <c r="AQ1415" t="s">
        <v>66</v>
      </c>
      <c r="AR1415">
        <v>0</v>
      </c>
      <c r="AS1415" t="s">
        <v>66</v>
      </c>
      <c r="AT1415">
        <v>0</v>
      </c>
      <c r="AU1415" t="s">
        <v>66</v>
      </c>
      <c r="AV1415">
        <v>0</v>
      </c>
      <c r="AW1415" t="s">
        <v>66</v>
      </c>
      <c r="AX1415">
        <v>0</v>
      </c>
      <c r="AY1415" t="s">
        <v>66</v>
      </c>
      <c r="AZ1415">
        <v>0</v>
      </c>
      <c r="BA1415" t="s">
        <v>66</v>
      </c>
      <c r="BB1415">
        <v>0</v>
      </c>
      <c r="BC1415">
        <v>0</v>
      </c>
      <c r="BD1415">
        <v>432966.6</v>
      </c>
      <c r="BE1415">
        <v>14920.37</v>
      </c>
      <c r="BF1415">
        <v>0</v>
      </c>
      <c r="BG1415" t="s">
        <v>87</v>
      </c>
      <c r="BH1415" t="s">
        <v>66</v>
      </c>
      <c r="BI1415">
        <v>0</v>
      </c>
      <c r="BJ1415" t="s">
        <v>66</v>
      </c>
      <c r="BK1415" t="s">
        <v>88</v>
      </c>
      <c r="BL1415" t="s">
        <v>66</v>
      </c>
      <c r="BM1415" t="s">
        <v>159</v>
      </c>
    </row>
    <row r="1416" spans="1:65" x14ac:dyDescent="0.25">
      <c r="A1416">
        <v>1414</v>
      </c>
      <c r="B1416" t="s">
        <v>1601</v>
      </c>
      <c r="C1416" t="s">
        <v>68</v>
      </c>
      <c r="D1416" s="1">
        <v>46220</v>
      </c>
      <c r="E1416" t="s">
        <v>1602</v>
      </c>
      <c r="F1416" t="s">
        <v>68</v>
      </c>
      <c r="G1416" t="s">
        <v>295</v>
      </c>
      <c r="H1416" t="s">
        <v>296</v>
      </c>
      <c r="I1416" t="s">
        <v>71</v>
      </c>
      <c r="J1416" t="s">
        <v>72</v>
      </c>
      <c r="K1416" t="s">
        <v>73</v>
      </c>
      <c r="L1416" t="s">
        <v>74</v>
      </c>
      <c r="M1416" t="s">
        <v>647</v>
      </c>
      <c r="N1416" t="s">
        <v>274</v>
      </c>
      <c r="O1416" t="s">
        <v>648</v>
      </c>
      <c r="P1416" t="s">
        <v>649</v>
      </c>
      <c r="Q1416" t="s">
        <v>1603</v>
      </c>
      <c r="R1416" s="1">
        <v>46223</v>
      </c>
      <c r="S1416" t="s">
        <v>278</v>
      </c>
      <c r="T1416" t="s">
        <v>279</v>
      </c>
      <c r="U1416" t="s">
        <v>280</v>
      </c>
      <c r="V1416" t="s">
        <v>66</v>
      </c>
      <c r="W1416" t="s">
        <v>66</v>
      </c>
      <c r="X1416">
        <v>5476994</v>
      </c>
      <c r="Y1416">
        <v>602469.34</v>
      </c>
      <c r="Z1416">
        <v>509836</v>
      </c>
      <c r="AA1416">
        <v>56081.96</v>
      </c>
      <c r="AB1416">
        <v>6079463.3399999999</v>
      </c>
      <c r="AC1416">
        <v>1</v>
      </c>
      <c r="AD1416" t="s">
        <v>134</v>
      </c>
      <c r="AE1416">
        <v>4</v>
      </c>
      <c r="AF1416" t="s">
        <v>651</v>
      </c>
      <c r="AG1416">
        <f>IFERROR(VLOOKUP(AF1416,[1]STOK!J:O,6,0),"")</f>
        <v>4</v>
      </c>
      <c r="AH1416" s="2">
        <f t="shared" si="44"/>
        <v>1</v>
      </c>
      <c r="AI1416" t="s">
        <v>651</v>
      </c>
      <c r="AJ1416" t="s">
        <v>652</v>
      </c>
      <c r="AK1416" t="s">
        <v>653</v>
      </c>
      <c r="AL1416" t="s">
        <v>86</v>
      </c>
      <c r="AM1416">
        <v>574536</v>
      </c>
      <c r="AN1416">
        <f t="shared" si="45"/>
        <v>565917.96</v>
      </c>
      <c r="AO1416" t="s">
        <v>66</v>
      </c>
      <c r="AP1416">
        <v>1.5</v>
      </c>
      <c r="AQ1416" t="s">
        <v>66</v>
      </c>
      <c r="AR1416">
        <v>0</v>
      </c>
      <c r="AS1416" t="s">
        <v>66</v>
      </c>
      <c r="AT1416">
        <v>0</v>
      </c>
      <c r="AU1416" t="s">
        <v>66</v>
      </c>
      <c r="AV1416">
        <v>0</v>
      </c>
      <c r="AW1416" t="s">
        <v>66</v>
      </c>
      <c r="AX1416">
        <v>0</v>
      </c>
      <c r="AY1416" t="s">
        <v>66</v>
      </c>
      <c r="AZ1416">
        <v>0</v>
      </c>
      <c r="BA1416" t="s">
        <v>66</v>
      </c>
      <c r="BB1416">
        <v>0</v>
      </c>
      <c r="BC1416">
        <v>0</v>
      </c>
      <c r="BD1416">
        <v>565917.96</v>
      </c>
      <c r="BE1416">
        <v>115282.09</v>
      </c>
      <c r="BF1416">
        <v>0</v>
      </c>
      <c r="BG1416" t="s">
        <v>87</v>
      </c>
      <c r="BH1416" t="s">
        <v>66</v>
      </c>
      <c r="BI1416">
        <v>0</v>
      </c>
      <c r="BJ1416" t="s">
        <v>66</v>
      </c>
      <c r="BK1416" t="s">
        <v>88</v>
      </c>
      <c r="BL1416" t="s">
        <v>66</v>
      </c>
      <c r="BM1416" t="s">
        <v>159</v>
      </c>
    </row>
    <row r="1417" spans="1:65" x14ac:dyDescent="0.25">
      <c r="A1417">
        <v>1415</v>
      </c>
      <c r="B1417" t="s">
        <v>1601</v>
      </c>
      <c r="C1417" t="s">
        <v>68</v>
      </c>
      <c r="D1417" s="1">
        <v>46220</v>
      </c>
      <c r="E1417" t="s">
        <v>1602</v>
      </c>
      <c r="F1417" t="s">
        <v>68</v>
      </c>
      <c r="G1417" t="s">
        <v>295</v>
      </c>
      <c r="H1417" t="s">
        <v>296</v>
      </c>
      <c r="I1417" t="s">
        <v>71</v>
      </c>
      <c r="J1417" t="s">
        <v>72</v>
      </c>
      <c r="K1417" t="s">
        <v>73</v>
      </c>
      <c r="L1417" t="s">
        <v>74</v>
      </c>
      <c r="M1417" t="s">
        <v>647</v>
      </c>
      <c r="N1417" t="s">
        <v>274</v>
      </c>
      <c r="O1417" t="s">
        <v>648</v>
      </c>
      <c r="P1417" t="s">
        <v>649</v>
      </c>
      <c r="Q1417" t="s">
        <v>1603</v>
      </c>
      <c r="R1417" s="1">
        <v>46223</v>
      </c>
      <c r="S1417" t="s">
        <v>278</v>
      </c>
      <c r="T1417" t="s">
        <v>279</v>
      </c>
      <c r="U1417" t="s">
        <v>280</v>
      </c>
      <c r="V1417" t="s">
        <v>66</v>
      </c>
      <c r="W1417" t="s">
        <v>66</v>
      </c>
      <c r="X1417">
        <v>5476994</v>
      </c>
      <c r="Y1417">
        <v>602469.34</v>
      </c>
      <c r="Z1417">
        <v>509836</v>
      </c>
      <c r="AA1417">
        <v>56081.96</v>
      </c>
      <c r="AB1417">
        <v>6079463.3399999999</v>
      </c>
      <c r="AC1417">
        <v>1</v>
      </c>
      <c r="AD1417" t="s">
        <v>134</v>
      </c>
      <c r="AE1417">
        <v>4</v>
      </c>
      <c r="AF1417" t="s">
        <v>1064</v>
      </c>
      <c r="AG1417">
        <f>IFERROR(VLOOKUP(AF1417,[1]STOK!J:O,6,0),"")</f>
        <v>4</v>
      </c>
      <c r="AH1417" s="2">
        <f t="shared" si="44"/>
        <v>1</v>
      </c>
      <c r="AI1417" t="s">
        <v>1064</v>
      </c>
      <c r="AJ1417" t="s">
        <v>1065</v>
      </c>
      <c r="AK1417" t="s">
        <v>1066</v>
      </c>
      <c r="AL1417" t="s">
        <v>86</v>
      </c>
      <c r="AM1417">
        <v>574536</v>
      </c>
      <c r="AN1417">
        <f t="shared" si="45"/>
        <v>565917.96</v>
      </c>
      <c r="AO1417" t="s">
        <v>66</v>
      </c>
      <c r="AP1417">
        <v>1.5</v>
      </c>
      <c r="AQ1417" t="s">
        <v>66</v>
      </c>
      <c r="AR1417">
        <v>0</v>
      </c>
      <c r="AS1417" t="s">
        <v>66</v>
      </c>
      <c r="AT1417">
        <v>0</v>
      </c>
      <c r="AU1417" t="s">
        <v>66</v>
      </c>
      <c r="AV1417">
        <v>0</v>
      </c>
      <c r="AW1417" t="s">
        <v>66</v>
      </c>
      <c r="AX1417">
        <v>0</v>
      </c>
      <c r="AY1417" t="s">
        <v>66</v>
      </c>
      <c r="AZ1417">
        <v>0</v>
      </c>
      <c r="BA1417" t="s">
        <v>66</v>
      </c>
      <c r="BB1417">
        <v>0</v>
      </c>
      <c r="BC1417">
        <v>0</v>
      </c>
      <c r="BD1417">
        <v>565917.96</v>
      </c>
      <c r="BE1417">
        <v>114835.7</v>
      </c>
      <c r="BF1417">
        <v>0</v>
      </c>
      <c r="BG1417" t="s">
        <v>87</v>
      </c>
      <c r="BH1417" t="s">
        <v>66</v>
      </c>
      <c r="BI1417">
        <v>0</v>
      </c>
      <c r="BJ1417" t="s">
        <v>66</v>
      </c>
      <c r="BK1417" t="s">
        <v>88</v>
      </c>
      <c r="BL1417" t="s">
        <v>66</v>
      </c>
      <c r="BM1417" t="s">
        <v>159</v>
      </c>
    </row>
    <row r="1418" spans="1:65" x14ac:dyDescent="0.25">
      <c r="A1418">
        <v>1416</v>
      </c>
      <c r="B1418" t="s">
        <v>1601</v>
      </c>
      <c r="C1418" t="s">
        <v>68</v>
      </c>
      <c r="D1418" s="1">
        <v>46220</v>
      </c>
      <c r="E1418" t="s">
        <v>1602</v>
      </c>
      <c r="F1418" t="s">
        <v>68</v>
      </c>
      <c r="G1418" t="s">
        <v>295</v>
      </c>
      <c r="H1418" t="s">
        <v>296</v>
      </c>
      <c r="I1418" t="s">
        <v>71</v>
      </c>
      <c r="J1418" t="s">
        <v>72</v>
      </c>
      <c r="K1418" t="s">
        <v>73</v>
      </c>
      <c r="L1418" t="s">
        <v>74</v>
      </c>
      <c r="M1418" t="s">
        <v>647</v>
      </c>
      <c r="N1418" t="s">
        <v>274</v>
      </c>
      <c r="O1418" t="s">
        <v>648</v>
      </c>
      <c r="P1418" t="s">
        <v>649</v>
      </c>
      <c r="Q1418" t="s">
        <v>1603</v>
      </c>
      <c r="R1418" s="1">
        <v>46223</v>
      </c>
      <c r="S1418" t="s">
        <v>278</v>
      </c>
      <c r="T1418" t="s">
        <v>279</v>
      </c>
      <c r="U1418" t="s">
        <v>280</v>
      </c>
      <c r="V1418" t="s">
        <v>66</v>
      </c>
      <c r="W1418" t="s">
        <v>66</v>
      </c>
      <c r="X1418">
        <v>5476994</v>
      </c>
      <c r="Y1418">
        <v>602469.34</v>
      </c>
      <c r="Z1418">
        <v>917232</v>
      </c>
      <c r="AA1418">
        <v>100895.52</v>
      </c>
      <c r="AB1418">
        <v>6079463.3399999999</v>
      </c>
      <c r="AC1418">
        <v>2</v>
      </c>
      <c r="AD1418" t="s">
        <v>134</v>
      </c>
      <c r="AE1418">
        <v>48</v>
      </c>
      <c r="AF1418" t="s">
        <v>467</v>
      </c>
      <c r="AG1418">
        <f>IFERROR(VLOOKUP(AF1418,[1]STOK!J:O,6,0),"")</f>
        <v>24</v>
      </c>
      <c r="AH1418" s="2">
        <f t="shared" si="44"/>
        <v>2</v>
      </c>
      <c r="AI1418" t="s">
        <v>467</v>
      </c>
      <c r="AJ1418" t="s">
        <v>468</v>
      </c>
      <c r="AK1418" t="s">
        <v>469</v>
      </c>
      <c r="AL1418" t="s">
        <v>86</v>
      </c>
      <c r="AM1418">
        <v>516816</v>
      </c>
      <c r="AN1418">
        <f t="shared" si="45"/>
        <v>509063.76</v>
      </c>
      <c r="AO1418" t="s">
        <v>66</v>
      </c>
      <c r="AP1418">
        <v>1.5</v>
      </c>
      <c r="AQ1418" t="s">
        <v>66</v>
      </c>
      <c r="AR1418">
        <v>0</v>
      </c>
      <c r="AS1418" t="s">
        <v>66</v>
      </c>
      <c r="AT1418">
        <v>0</v>
      </c>
      <c r="AU1418" t="s">
        <v>66</v>
      </c>
      <c r="AV1418">
        <v>0</v>
      </c>
      <c r="AW1418" t="s">
        <v>66</v>
      </c>
      <c r="AX1418">
        <v>0</v>
      </c>
      <c r="AY1418" t="s">
        <v>66</v>
      </c>
      <c r="AZ1418">
        <v>0</v>
      </c>
      <c r="BA1418" t="s">
        <v>66</v>
      </c>
      <c r="BB1418">
        <v>0</v>
      </c>
      <c r="BC1418">
        <v>0</v>
      </c>
      <c r="BD1418">
        <v>1018127.52</v>
      </c>
      <c r="BE1418">
        <v>16865.669999999998</v>
      </c>
      <c r="BF1418">
        <v>0</v>
      </c>
      <c r="BG1418" t="s">
        <v>87</v>
      </c>
      <c r="BH1418" t="s">
        <v>66</v>
      </c>
      <c r="BI1418">
        <v>0</v>
      </c>
      <c r="BJ1418" t="s">
        <v>66</v>
      </c>
      <c r="BK1418" t="s">
        <v>88</v>
      </c>
      <c r="BL1418" t="s">
        <v>66</v>
      </c>
      <c r="BM1418" t="s">
        <v>159</v>
      </c>
    </row>
    <row r="1419" spans="1:65" x14ac:dyDescent="0.25">
      <c r="A1419">
        <v>1417</v>
      </c>
      <c r="B1419" t="s">
        <v>1601</v>
      </c>
      <c r="C1419" t="s">
        <v>68</v>
      </c>
      <c r="D1419" s="1">
        <v>46220</v>
      </c>
      <c r="E1419" t="s">
        <v>1602</v>
      </c>
      <c r="F1419" t="s">
        <v>68</v>
      </c>
      <c r="G1419" t="s">
        <v>295</v>
      </c>
      <c r="H1419" t="s">
        <v>296</v>
      </c>
      <c r="I1419" t="s">
        <v>71</v>
      </c>
      <c r="J1419" t="s">
        <v>72</v>
      </c>
      <c r="K1419" t="s">
        <v>73</v>
      </c>
      <c r="L1419" t="s">
        <v>74</v>
      </c>
      <c r="M1419" t="s">
        <v>647</v>
      </c>
      <c r="N1419" t="s">
        <v>274</v>
      </c>
      <c r="O1419" t="s">
        <v>648</v>
      </c>
      <c r="P1419" t="s">
        <v>649</v>
      </c>
      <c r="Q1419" t="s">
        <v>1603</v>
      </c>
      <c r="R1419" s="1">
        <v>46223</v>
      </c>
      <c r="S1419" t="s">
        <v>278</v>
      </c>
      <c r="T1419" t="s">
        <v>279</v>
      </c>
      <c r="U1419" t="s">
        <v>280</v>
      </c>
      <c r="V1419" t="s">
        <v>66</v>
      </c>
      <c r="W1419" t="s">
        <v>66</v>
      </c>
      <c r="X1419">
        <v>5476994</v>
      </c>
      <c r="Y1419">
        <v>602469.34</v>
      </c>
      <c r="Z1419">
        <v>458616</v>
      </c>
      <c r="AA1419">
        <v>50447.76</v>
      </c>
      <c r="AB1419">
        <v>6079463.3399999999</v>
      </c>
      <c r="AC1419">
        <v>2</v>
      </c>
      <c r="AD1419" t="s">
        <v>134</v>
      </c>
      <c r="AE1419">
        <v>24</v>
      </c>
      <c r="AF1419" t="s">
        <v>284</v>
      </c>
      <c r="AG1419">
        <f>IFERROR(VLOOKUP(AF1419,[1]STOK!J:O,6,0),"")</f>
        <v>12</v>
      </c>
      <c r="AH1419" s="2">
        <f t="shared" si="44"/>
        <v>2</v>
      </c>
      <c r="AI1419" t="s">
        <v>284</v>
      </c>
      <c r="AJ1419" t="s">
        <v>285</v>
      </c>
      <c r="AK1419" t="s">
        <v>286</v>
      </c>
      <c r="AL1419" t="s">
        <v>86</v>
      </c>
      <c r="AM1419">
        <v>258408</v>
      </c>
      <c r="AN1419">
        <f t="shared" si="45"/>
        <v>254531.88</v>
      </c>
      <c r="AO1419" t="s">
        <v>66</v>
      </c>
      <c r="AP1419">
        <v>1.5</v>
      </c>
      <c r="AQ1419" t="s">
        <v>66</v>
      </c>
      <c r="AR1419">
        <v>0</v>
      </c>
      <c r="AS1419" t="s">
        <v>66</v>
      </c>
      <c r="AT1419">
        <v>0</v>
      </c>
      <c r="AU1419" t="s">
        <v>66</v>
      </c>
      <c r="AV1419">
        <v>0</v>
      </c>
      <c r="AW1419" t="s">
        <v>66</v>
      </c>
      <c r="AX1419">
        <v>0</v>
      </c>
      <c r="AY1419" t="s">
        <v>66</v>
      </c>
      <c r="AZ1419">
        <v>0</v>
      </c>
      <c r="BA1419" t="s">
        <v>66</v>
      </c>
      <c r="BB1419">
        <v>0</v>
      </c>
      <c r="BC1419">
        <v>0</v>
      </c>
      <c r="BD1419">
        <v>509063.76</v>
      </c>
      <c r="BE1419">
        <v>17500.45</v>
      </c>
      <c r="BF1419">
        <v>0</v>
      </c>
      <c r="BG1419" t="s">
        <v>87</v>
      </c>
      <c r="BH1419" t="s">
        <v>66</v>
      </c>
      <c r="BI1419">
        <v>0</v>
      </c>
      <c r="BJ1419" t="s">
        <v>66</v>
      </c>
      <c r="BK1419" t="s">
        <v>88</v>
      </c>
      <c r="BL1419" t="s">
        <v>66</v>
      </c>
      <c r="BM1419" t="s">
        <v>159</v>
      </c>
    </row>
    <row r="1420" spans="1:65" x14ac:dyDescent="0.25">
      <c r="A1420">
        <v>1418</v>
      </c>
      <c r="B1420" t="s">
        <v>1601</v>
      </c>
      <c r="C1420" t="s">
        <v>68</v>
      </c>
      <c r="D1420" s="1">
        <v>46220</v>
      </c>
      <c r="E1420" t="s">
        <v>1602</v>
      </c>
      <c r="F1420" t="s">
        <v>68</v>
      </c>
      <c r="G1420" t="s">
        <v>295</v>
      </c>
      <c r="H1420" t="s">
        <v>296</v>
      </c>
      <c r="I1420" t="s">
        <v>71</v>
      </c>
      <c r="J1420" t="s">
        <v>72</v>
      </c>
      <c r="K1420" t="s">
        <v>73</v>
      </c>
      <c r="L1420" t="s">
        <v>74</v>
      </c>
      <c r="M1420" t="s">
        <v>647</v>
      </c>
      <c r="N1420" t="s">
        <v>274</v>
      </c>
      <c r="O1420" t="s">
        <v>648</v>
      </c>
      <c r="P1420" t="s">
        <v>649</v>
      </c>
      <c r="Q1420" t="s">
        <v>1603</v>
      </c>
      <c r="R1420" s="1">
        <v>46223</v>
      </c>
      <c r="S1420" t="s">
        <v>278</v>
      </c>
      <c r="T1420" t="s">
        <v>279</v>
      </c>
      <c r="U1420" t="s">
        <v>280</v>
      </c>
      <c r="V1420" t="s">
        <v>66</v>
      </c>
      <c r="W1420" t="s">
        <v>66</v>
      </c>
      <c r="X1420">
        <v>5476994</v>
      </c>
      <c r="Y1420">
        <v>602469.34</v>
      </c>
      <c r="Z1420">
        <v>213942</v>
      </c>
      <c r="AA1420">
        <v>23533.62</v>
      </c>
      <c r="AB1420">
        <v>6079463.3399999999</v>
      </c>
      <c r="AC1420">
        <v>1</v>
      </c>
      <c r="AD1420" t="s">
        <v>134</v>
      </c>
      <c r="AE1420">
        <v>12</v>
      </c>
      <c r="AF1420" t="s">
        <v>356</v>
      </c>
      <c r="AG1420">
        <f>IFERROR(VLOOKUP(AF1420,[1]STOK!J:O,6,0),"")</f>
        <v>12</v>
      </c>
      <c r="AH1420" s="2">
        <f t="shared" si="44"/>
        <v>1</v>
      </c>
      <c r="AI1420" t="s">
        <v>356</v>
      </c>
      <c r="AJ1420" t="s">
        <v>357</v>
      </c>
      <c r="AK1420" t="s">
        <v>358</v>
      </c>
      <c r="AL1420" t="s">
        <v>86</v>
      </c>
      <c r="AM1420">
        <v>241092</v>
      </c>
      <c r="AN1420">
        <f t="shared" si="45"/>
        <v>237475.62</v>
      </c>
      <c r="AO1420" t="s">
        <v>66</v>
      </c>
      <c r="AP1420">
        <v>1.5</v>
      </c>
      <c r="AQ1420" t="s">
        <v>66</v>
      </c>
      <c r="AR1420">
        <v>0</v>
      </c>
      <c r="AS1420" t="s">
        <v>66</v>
      </c>
      <c r="AT1420">
        <v>0</v>
      </c>
      <c r="AU1420" t="s">
        <v>66</v>
      </c>
      <c r="AV1420">
        <v>0</v>
      </c>
      <c r="AW1420" t="s">
        <v>66</v>
      </c>
      <c r="AX1420">
        <v>0</v>
      </c>
      <c r="AY1420" t="s">
        <v>66</v>
      </c>
      <c r="AZ1420">
        <v>0</v>
      </c>
      <c r="BA1420" t="s">
        <v>66</v>
      </c>
      <c r="BB1420">
        <v>0</v>
      </c>
      <c r="BC1420">
        <v>0</v>
      </c>
      <c r="BD1420">
        <v>237475.62</v>
      </c>
      <c r="BE1420">
        <v>15753.12</v>
      </c>
      <c r="BF1420">
        <v>0</v>
      </c>
      <c r="BG1420" t="s">
        <v>87</v>
      </c>
      <c r="BH1420" t="s">
        <v>66</v>
      </c>
      <c r="BI1420">
        <v>0</v>
      </c>
      <c r="BJ1420" t="s">
        <v>66</v>
      </c>
      <c r="BK1420" t="s">
        <v>88</v>
      </c>
      <c r="BL1420" t="s">
        <v>66</v>
      </c>
      <c r="BM1420" t="s">
        <v>159</v>
      </c>
    </row>
    <row r="1421" spans="1:65" x14ac:dyDescent="0.25">
      <c r="A1421">
        <v>1419</v>
      </c>
      <c r="B1421" t="s">
        <v>1601</v>
      </c>
      <c r="C1421" t="s">
        <v>68</v>
      </c>
      <c r="D1421" s="1">
        <v>46220</v>
      </c>
      <c r="E1421" t="s">
        <v>1602</v>
      </c>
      <c r="F1421" t="s">
        <v>68</v>
      </c>
      <c r="G1421" t="s">
        <v>295</v>
      </c>
      <c r="H1421" t="s">
        <v>296</v>
      </c>
      <c r="I1421" t="s">
        <v>71</v>
      </c>
      <c r="J1421" t="s">
        <v>72</v>
      </c>
      <c r="K1421" t="s">
        <v>73</v>
      </c>
      <c r="L1421" t="s">
        <v>74</v>
      </c>
      <c r="M1421" t="s">
        <v>647</v>
      </c>
      <c r="N1421" t="s">
        <v>274</v>
      </c>
      <c r="O1421" t="s">
        <v>648</v>
      </c>
      <c r="P1421" t="s">
        <v>649</v>
      </c>
      <c r="Q1421" t="s">
        <v>1603</v>
      </c>
      <c r="R1421" s="1">
        <v>46223</v>
      </c>
      <c r="S1421" t="s">
        <v>278</v>
      </c>
      <c r="T1421" t="s">
        <v>279</v>
      </c>
      <c r="U1421" t="s">
        <v>280</v>
      </c>
      <c r="V1421" t="s">
        <v>66</v>
      </c>
      <c r="W1421" t="s">
        <v>66</v>
      </c>
      <c r="X1421">
        <v>5476994</v>
      </c>
      <c r="Y1421">
        <v>602469.34</v>
      </c>
      <c r="Z1421">
        <v>1182000</v>
      </c>
      <c r="AA1421">
        <v>130020</v>
      </c>
      <c r="AB1421">
        <v>6079463.3399999999</v>
      </c>
      <c r="AC1421">
        <v>5</v>
      </c>
      <c r="AD1421" t="s">
        <v>134</v>
      </c>
      <c r="AE1421">
        <v>60</v>
      </c>
      <c r="AF1421" t="s">
        <v>290</v>
      </c>
      <c r="AG1421">
        <f>IFERROR(VLOOKUP(AF1421,[1]STOK!J:O,6,0),"")</f>
        <v>12</v>
      </c>
      <c r="AH1421" s="2">
        <f t="shared" si="44"/>
        <v>5</v>
      </c>
      <c r="AI1421" t="s">
        <v>290</v>
      </c>
      <c r="AJ1421" t="s">
        <v>291</v>
      </c>
      <c r="AK1421" t="s">
        <v>292</v>
      </c>
      <c r="AL1421" t="s">
        <v>86</v>
      </c>
      <c r="AM1421">
        <v>266400</v>
      </c>
      <c r="AN1421">
        <f t="shared" si="45"/>
        <v>262404</v>
      </c>
      <c r="AO1421" t="s">
        <v>66</v>
      </c>
      <c r="AP1421">
        <v>1.5</v>
      </c>
      <c r="AQ1421" t="s">
        <v>66</v>
      </c>
      <c r="AR1421">
        <v>0</v>
      </c>
      <c r="AS1421" t="s">
        <v>66</v>
      </c>
      <c r="AT1421">
        <v>0</v>
      </c>
      <c r="AU1421" t="s">
        <v>66</v>
      </c>
      <c r="AV1421">
        <v>0</v>
      </c>
      <c r="AW1421" t="s">
        <v>66</v>
      </c>
      <c r="AX1421">
        <v>0</v>
      </c>
      <c r="AY1421" t="s">
        <v>66</v>
      </c>
      <c r="AZ1421">
        <v>0</v>
      </c>
      <c r="BA1421" t="s">
        <v>66</v>
      </c>
      <c r="BB1421">
        <v>0</v>
      </c>
      <c r="BC1421">
        <v>0</v>
      </c>
      <c r="BD1421">
        <v>1312020</v>
      </c>
      <c r="BE1421">
        <v>18103.580000000002</v>
      </c>
      <c r="BF1421">
        <v>0</v>
      </c>
      <c r="BG1421" t="s">
        <v>87</v>
      </c>
      <c r="BH1421" t="s">
        <v>66</v>
      </c>
      <c r="BI1421">
        <v>0</v>
      </c>
      <c r="BJ1421" t="s">
        <v>66</v>
      </c>
      <c r="BK1421" t="s">
        <v>88</v>
      </c>
      <c r="BL1421" t="s">
        <v>66</v>
      </c>
      <c r="BM1421" t="s">
        <v>159</v>
      </c>
    </row>
    <row r="1422" spans="1:65" x14ac:dyDescent="0.25">
      <c r="A1422">
        <v>1420</v>
      </c>
      <c r="B1422" t="s">
        <v>1601</v>
      </c>
      <c r="C1422" t="s">
        <v>68</v>
      </c>
      <c r="D1422" s="1">
        <v>46220</v>
      </c>
      <c r="E1422" t="s">
        <v>1602</v>
      </c>
      <c r="F1422" t="s">
        <v>68</v>
      </c>
      <c r="G1422" t="s">
        <v>295</v>
      </c>
      <c r="H1422" t="s">
        <v>296</v>
      </c>
      <c r="I1422" t="s">
        <v>71</v>
      </c>
      <c r="J1422" t="s">
        <v>72</v>
      </c>
      <c r="K1422" t="s">
        <v>73</v>
      </c>
      <c r="L1422" t="s">
        <v>74</v>
      </c>
      <c r="M1422" t="s">
        <v>647</v>
      </c>
      <c r="N1422" t="s">
        <v>274</v>
      </c>
      <c r="O1422" t="s">
        <v>648</v>
      </c>
      <c r="P1422" t="s">
        <v>649</v>
      </c>
      <c r="Q1422" t="s">
        <v>1603</v>
      </c>
      <c r="R1422" s="1">
        <v>46223</v>
      </c>
      <c r="S1422" t="s">
        <v>278</v>
      </c>
      <c r="T1422" t="s">
        <v>279</v>
      </c>
      <c r="U1422" t="s">
        <v>280</v>
      </c>
      <c r="V1422" t="s">
        <v>66</v>
      </c>
      <c r="W1422" t="s">
        <v>66</v>
      </c>
      <c r="X1422">
        <v>5476994</v>
      </c>
      <c r="Y1422">
        <v>602469.34</v>
      </c>
      <c r="Z1422">
        <v>905412</v>
      </c>
      <c r="AA1422">
        <v>99595.32</v>
      </c>
      <c r="AB1422">
        <v>6079463.3399999999</v>
      </c>
      <c r="AC1422">
        <v>4</v>
      </c>
      <c r="AD1422" t="s">
        <v>134</v>
      </c>
      <c r="AE1422">
        <v>24</v>
      </c>
      <c r="AF1422" t="s">
        <v>138</v>
      </c>
      <c r="AG1422">
        <f>IFERROR(VLOOKUP(AF1422,[1]STOK!J:O,6,0),"")</f>
        <v>6</v>
      </c>
      <c r="AH1422" s="2">
        <f t="shared" si="44"/>
        <v>4</v>
      </c>
      <c r="AI1422" t="s">
        <v>138</v>
      </c>
      <c r="AJ1422" t="s">
        <v>139</v>
      </c>
      <c r="AK1422" t="s">
        <v>140</v>
      </c>
      <c r="AL1422" t="s">
        <v>86</v>
      </c>
      <c r="AM1422">
        <v>255078</v>
      </c>
      <c r="AN1422">
        <f t="shared" si="45"/>
        <v>251251.83</v>
      </c>
      <c r="AO1422" t="s">
        <v>66</v>
      </c>
      <c r="AP1422">
        <v>1.5</v>
      </c>
      <c r="AQ1422" t="s">
        <v>66</v>
      </c>
      <c r="AR1422">
        <v>0</v>
      </c>
      <c r="AS1422" t="s">
        <v>66</v>
      </c>
      <c r="AT1422">
        <v>0</v>
      </c>
      <c r="AU1422" t="s">
        <v>66</v>
      </c>
      <c r="AV1422">
        <v>0</v>
      </c>
      <c r="AW1422" t="s">
        <v>66</v>
      </c>
      <c r="AX1422">
        <v>0</v>
      </c>
      <c r="AY1422" t="s">
        <v>66</v>
      </c>
      <c r="AZ1422">
        <v>0</v>
      </c>
      <c r="BA1422" t="s">
        <v>66</v>
      </c>
      <c r="BB1422">
        <v>0</v>
      </c>
      <c r="BC1422">
        <v>0</v>
      </c>
      <c r="BD1422">
        <v>1005007.32</v>
      </c>
      <c r="BE1422">
        <v>34652.67</v>
      </c>
      <c r="BF1422">
        <v>0</v>
      </c>
      <c r="BG1422" t="s">
        <v>87</v>
      </c>
      <c r="BH1422" t="s">
        <v>66</v>
      </c>
      <c r="BI1422">
        <v>0</v>
      </c>
      <c r="BJ1422" t="s">
        <v>66</v>
      </c>
      <c r="BK1422" t="s">
        <v>88</v>
      </c>
      <c r="BL1422" t="s">
        <v>66</v>
      </c>
      <c r="BM1422" t="s">
        <v>159</v>
      </c>
    </row>
    <row r="1423" spans="1:65" x14ac:dyDescent="0.25">
      <c r="A1423">
        <v>1421</v>
      </c>
      <c r="B1423" t="s">
        <v>1604</v>
      </c>
      <c r="C1423" t="s">
        <v>66</v>
      </c>
      <c r="D1423" s="1">
        <v>46220</v>
      </c>
      <c r="E1423" t="s">
        <v>1605</v>
      </c>
      <c r="F1423" t="s">
        <v>68</v>
      </c>
      <c r="G1423" t="s">
        <v>69</v>
      </c>
      <c r="H1423" t="s">
        <v>70</v>
      </c>
      <c r="I1423" t="s">
        <v>71</v>
      </c>
      <c r="J1423" t="s">
        <v>72</v>
      </c>
      <c r="K1423" t="s">
        <v>73</v>
      </c>
      <c r="L1423" t="s">
        <v>74</v>
      </c>
      <c r="M1423" t="s">
        <v>1606</v>
      </c>
      <c r="N1423" t="s">
        <v>76</v>
      </c>
      <c r="O1423" t="s">
        <v>1607</v>
      </c>
      <c r="P1423" t="s">
        <v>1608</v>
      </c>
      <c r="Q1423" t="s">
        <v>1609</v>
      </c>
      <c r="R1423" s="1">
        <v>46223</v>
      </c>
      <c r="S1423" t="s">
        <v>1610</v>
      </c>
      <c r="T1423" t="s">
        <v>1611</v>
      </c>
      <c r="U1423" t="s">
        <v>1612</v>
      </c>
      <c r="V1423" t="s">
        <v>66</v>
      </c>
      <c r="W1423" t="s">
        <v>66</v>
      </c>
      <c r="X1423">
        <v>500883</v>
      </c>
      <c r="Y1423">
        <v>55097.13</v>
      </c>
      <c r="Z1423">
        <v>107758.5</v>
      </c>
      <c r="AA1423">
        <v>11853.44</v>
      </c>
      <c r="AB1423">
        <v>555980.13</v>
      </c>
      <c r="AC1423">
        <v>3</v>
      </c>
      <c r="AD1423" t="s">
        <v>82</v>
      </c>
      <c r="AE1423">
        <v>3</v>
      </c>
      <c r="AF1423" t="s">
        <v>432</v>
      </c>
      <c r="AG1423">
        <f>IFERROR(VLOOKUP(AF1423,[1]STOK!J:O,6,0),"")</f>
        <v>12</v>
      </c>
      <c r="AH1423" s="2">
        <f t="shared" si="44"/>
        <v>0.25</v>
      </c>
      <c r="AI1423" t="s">
        <v>432</v>
      </c>
      <c r="AJ1423" t="s">
        <v>433</v>
      </c>
      <c r="AK1423" t="s">
        <v>434</v>
      </c>
      <c r="AL1423" t="s">
        <v>86</v>
      </c>
      <c r="AM1423">
        <v>40071</v>
      </c>
      <c r="AN1423">
        <f t="shared" si="45"/>
        <v>39870.646666666667</v>
      </c>
      <c r="AO1423" t="s">
        <v>66</v>
      </c>
      <c r="AP1423">
        <v>0.5</v>
      </c>
      <c r="AQ1423" t="s">
        <v>66</v>
      </c>
      <c r="AR1423">
        <v>0</v>
      </c>
      <c r="AS1423" t="s">
        <v>66</v>
      </c>
      <c r="AT1423">
        <v>0</v>
      </c>
      <c r="AU1423" t="s">
        <v>66</v>
      </c>
      <c r="AV1423">
        <v>0</v>
      </c>
      <c r="AW1423" t="s">
        <v>66</v>
      </c>
      <c r="AX1423">
        <v>0</v>
      </c>
      <c r="AY1423" t="s">
        <v>66</v>
      </c>
      <c r="AZ1423">
        <v>0</v>
      </c>
      <c r="BA1423" t="s">
        <v>66</v>
      </c>
      <c r="BB1423">
        <v>0</v>
      </c>
      <c r="BC1423">
        <v>0</v>
      </c>
      <c r="BD1423">
        <v>119611.94</v>
      </c>
      <c r="BE1423">
        <v>32671.65</v>
      </c>
      <c r="BF1423">
        <v>0</v>
      </c>
      <c r="BG1423" t="s">
        <v>87</v>
      </c>
      <c r="BH1423" t="s">
        <v>66</v>
      </c>
      <c r="BI1423">
        <v>0</v>
      </c>
      <c r="BJ1423" t="s">
        <v>66</v>
      </c>
      <c r="BK1423" t="s">
        <v>88</v>
      </c>
      <c r="BL1423" t="s">
        <v>66</v>
      </c>
      <c r="BM1423" t="s">
        <v>159</v>
      </c>
    </row>
    <row r="1424" spans="1:65" x14ac:dyDescent="0.25">
      <c r="A1424">
        <v>1422</v>
      </c>
      <c r="B1424" t="s">
        <v>1604</v>
      </c>
      <c r="C1424" t="s">
        <v>66</v>
      </c>
      <c r="D1424" s="1">
        <v>46220</v>
      </c>
      <c r="E1424" t="s">
        <v>1605</v>
      </c>
      <c r="F1424" t="s">
        <v>68</v>
      </c>
      <c r="G1424" t="s">
        <v>69</v>
      </c>
      <c r="H1424" t="s">
        <v>70</v>
      </c>
      <c r="I1424" t="s">
        <v>71</v>
      </c>
      <c r="J1424" t="s">
        <v>72</v>
      </c>
      <c r="K1424" t="s">
        <v>73</v>
      </c>
      <c r="L1424" t="s">
        <v>74</v>
      </c>
      <c r="M1424" t="s">
        <v>1606</v>
      </c>
      <c r="N1424" t="s">
        <v>76</v>
      </c>
      <c r="O1424" t="s">
        <v>1607</v>
      </c>
      <c r="P1424" t="s">
        <v>1608</v>
      </c>
      <c r="Q1424" t="s">
        <v>1609</v>
      </c>
      <c r="R1424" s="1">
        <v>46223</v>
      </c>
      <c r="S1424" t="s">
        <v>1610</v>
      </c>
      <c r="T1424" t="s">
        <v>1611</v>
      </c>
      <c r="U1424" t="s">
        <v>1612</v>
      </c>
      <c r="V1424" t="s">
        <v>66</v>
      </c>
      <c r="W1424" t="s">
        <v>66</v>
      </c>
      <c r="X1424">
        <v>500883</v>
      </c>
      <c r="Y1424">
        <v>55097.13</v>
      </c>
      <c r="Z1424">
        <v>107758.5</v>
      </c>
      <c r="AA1424">
        <v>11853.44</v>
      </c>
      <c r="AB1424">
        <v>555980.13</v>
      </c>
      <c r="AC1424">
        <v>3</v>
      </c>
      <c r="AD1424" t="s">
        <v>82</v>
      </c>
      <c r="AE1424">
        <v>3</v>
      </c>
      <c r="AF1424" t="s">
        <v>1221</v>
      </c>
      <c r="AG1424">
        <f>IFERROR(VLOOKUP(AF1424,[1]STOK!J:O,6,0),"")</f>
        <v>12</v>
      </c>
      <c r="AH1424" s="2">
        <f t="shared" si="44"/>
        <v>0.25</v>
      </c>
      <c r="AI1424" t="s">
        <v>1221</v>
      </c>
      <c r="AJ1424" t="s">
        <v>1222</v>
      </c>
      <c r="AK1424" t="s">
        <v>1223</v>
      </c>
      <c r="AL1424" t="s">
        <v>86</v>
      </c>
      <c r="AM1424">
        <v>40071</v>
      </c>
      <c r="AN1424">
        <f t="shared" si="45"/>
        <v>39870.646666666667</v>
      </c>
      <c r="AO1424" t="s">
        <v>66</v>
      </c>
      <c r="AP1424">
        <v>0.5</v>
      </c>
      <c r="AQ1424" t="s">
        <v>66</v>
      </c>
      <c r="AR1424">
        <v>0</v>
      </c>
      <c r="AS1424" t="s">
        <v>66</v>
      </c>
      <c r="AT1424">
        <v>0</v>
      </c>
      <c r="AU1424" t="s">
        <v>66</v>
      </c>
      <c r="AV1424">
        <v>0</v>
      </c>
      <c r="AW1424" t="s">
        <v>66</v>
      </c>
      <c r="AX1424">
        <v>0</v>
      </c>
      <c r="AY1424" t="s">
        <v>66</v>
      </c>
      <c r="AZ1424">
        <v>0</v>
      </c>
      <c r="BA1424" t="s">
        <v>66</v>
      </c>
      <c r="BB1424">
        <v>0</v>
      </c>
      <c r="BC1424">
        <v>0</v>
      </c>
      <c r="BD1424">
        <v>119611.94</v>
      </c>
      <c r="BE1424">
        <v>0</v>
      </c>
      <c r="BF1424">
        <v>0</v>
      </c>
      <c r="BG1424" t="s">
        <v>87</v>
      </c>
      <c r="BH1424" t="s">
        <v>66</v>
      </c>
      <c r="BI1424">
        <v>0</v>
      </c>
      <c r="BJ1424" t="s">
        <v>66</v>
      </c>
      <c r="BK1424" t="s">
        <v>88</v>
      </c>
      <c r="BL1424" t="s">
        <v>66</v>
      </c>
      <c r="BM1424" t="s">
        <v>159</v>
      </c>
    </row>
    <row r="1425" spans="1:65" x14ac:dyDescent="0.25">
      <c r="A1425">
        <v>1423</v>
      </c>
      <c r="B1425" t="s">
        <v>1604</v>
      </c>
      <c r="C1425" t="s">
        <v>66</v>
      </c>
      <c r="D1425" s="1">
        <v>46220</v>
      </c>
      <c r="E1425" t="s">
        <v>1605</v>
      </c>
      <c r="F1425" t="s">
        <v>68</v>
      </c>
      <c r="G1425" t="s">
        <v>69</v>
      </c>
      <c r="H1425" t="s">
        <v>70</v>
      </c>
      <c r="I1425" t="s">
        <v>71</v>
      </c>
      <c r="J1425" t="s">
        <v>72</v>
      </c>
      <c r="K1425" t="s">
        <v>73</v>
      </c>
      <c r="L1425" t="s">
        <v>74</v>
      </c>
      <c r="M1425" t="s">
        <v>1606</v>
      </c>
      <c r="N1425" t="s">
        <v>76</v>
      </c>
      <c r="O1425" t="s">
        <v>1607</v>
      </c>
      <c r="P1425" t="s">
        <v>1608</v>
      </c>
      <c r="Q1425" t="s">
        <v>1609</v>
      </c>
      <c r="R1425" s="1">
        <v>46223</v>
      </c>
      <c r="S1425" t="s">
        <v>1610</v>
      </c>
      <c r="T1425" t="s">
        <v>1611</v>
      </c>
      <c r="U1425" t="s">
        <v>1612</v>
      </c>
      <c r="V1425" t="s">
        <v>66</v>
      </c>
      <c r="W1425" t="s">
        <v>66</v>
      </c>
      <c r="X1425">
        <v>500883</v>
      </c>
      <c r="Y1425">
        <v>55097.13</v>
      </c>
      <c r="Z1425">
        <v>22089</v>
      </c>
      <c r="AA1425">
        <v>2429.79</v>
      </c>
      <c r="AB1425">
        <v>555980.13</v>
      </c>
      <c r="AC1425">
        <v>3</v>
      </c>
      <c r="AD1425" t="s">
        <v>82</v>
      </c>
      <c r="AE1425">
        <v>3</v>
      </c>
      <c r="AF1425" t="s">
        <v>262</v>
      </c>
      <c r="AG1425">
        <f>IFERROR(VLOOKUP(AF1425,[1]STOK!J:O,6,0),"")</f>
        <v>24</v>
      </c>
      <c r="AH1425" s="2">
        <f t="shared" si="44"/>
        <v>0.125</v>
      </c>
      <c r="AI1425" t="s">
        <v>262</v>
      </c>
      <c r="AJ1425" t="s">
        <v>263</v>
      </c>
      <c r="AK1425" t="s">
        <v>264</v>
      </c>
      <c r="AL1425" t="s">
        <v>86</v>
      </c>
      <c r="AM1425">
        <v>8214</v>
      </c>
      <c r="AN1425">
        <f t="shared" si="45"/>
        <v>8172.93</v>
      </c>
      <c r="AO1425" t="s">
        <v>66</v>
      </c>
      <c r="AP1425">
        <v>0.5</v>
      </c>
      <c r="AQ1425" t="s">
        <v>66</v>
      </c>
      <c r="AR1425">
        <v>0</v>
      </c>
      <c r="AS1425" t="s">
        <v>66</v>
      </c>
      <c r="AT1425">
        <v>0</v>
      </c>
      <c r="AU1425" t="s">
        <v>66</v>
      </c>
      <c r="AV1425">
        <v>0</v>
      </c>
      <c r="AW1425" t="s">
        <v>66</v>
      </c>
      <c r="AX1425">
        <v>0</v>
      </c>
      <c r="AY1425" t="s">
        <v>66</v>
      </c>
      <c r="AZ1425">
        <v>0</v>
      </c>
      <c r="BA1425" t="s">
        <v>66</v>
      </c>
      <c r="BB1425">
        <v>0</v>
      </c>
      <c r="BC1425">
        <v>0</v>
      </c>
      <c r="BD1425">
        <v>24518.79</v>
      </c>
      <c r="BE1425">
        <v>6604.45</v>
      </c>
      <c r="BF1425">
        <v>0</v>
      </c>
      <c r="BG1425" t="s">
        <v>87</v>
      </c>
      <c r="BH1425" t="s">
        <v>66</v>
      </c>
      <c r="BI1425">
        <v>0</v>
      </c>
      <c r="BJ1425" t="s">
        <v>66</v>
      </c>
      <c r="BK1425" t="s">
        <v>88</v>
      </c>
      <c r="BL1425" t="s">
        <v>66</v>
      </c>
      <c r="BM1425" t="s">
        <v>159</v>
      </c>
    </row>
    <row r="1426" spans="1:65" x14ac:dyDescent="0.25">
      <c r="A1426">
        <v>1424</v>
      </c>
      <c r="B1426" t="s">
        <v>1604</v>
      </c>
      <c r="C1426" t="s">
        <v>66</v>
      </c>
      <c r="D1426" s="1">
        <v>46220</v>
      </c>
      <c r="E1426" t="s">
        <v>1605</v>
      </c>
      <c r="F1426" t="s">
        <v>68</v>
      </c>
      <c r="G1426" t="s">
        <v>69</v>
      </c>
      <c r="H1426" t="s">
        <v>70</v>
      </c>
      <c r="I1426" t="s">
        <v>71</v>
      </c>
      <c r="J1426" t="s">
        <v>72</v>
      </c>
      <c r="K1426" t="s">
        <v>73</v>
      </c>
      <c r="L1426" t="s">
        <v>74</v>
      </c>
      <c r="M1426" t="s">
        <v>1606</v>
      </c>
      <c r="N1426" t="s">
        <v>76</v>
      </c>
      <c r="O1426" t="s">
        <v>1607</v>
      </c>
      <c r="P1426" t="s">
        <v>1608</v>
      </c>
      <c r="Q1426" t="s">
        <v>1609</v>
      </c>
      <c r="R1426" s="1">
        <v>46223</v>
      </c>
      <c r="S1426" t="s">
        <v>1610</v>
      </c>
      <c r="T1426" t="s">
        <v>1611</v>
      </c>
      <c r="U1426" t="s">
        <v>1612</v>
      </c>
      <c r="V1426" t="s">
        <v>66</v>
      </c>
      <c r="W1426" t="s">
        <v>66</v>
      </c>
      <c r="X1426">
        <v>500883</v>
      </c>
      <c r="Y1426">
        <v>55097.13</v>
      </c>
      <c r="Z1426">
        <v>22089</v>
      </c>
      <c r="AA1426">
        <v>2429.79</v>
      </c>
      <c r="AB1426">
        <v>555980.13</v>
      </c>
      <c r="AC1426">
        <v>3</v>
      </c>
      <c r="AD1426" t="s">
        <v>82</v>
      </c>
      <c r="AE1426">
        <v>3</v>
      </c>
      <c r="AF1426" t="s">
        <v>83</v>
      </c>
      <c r="AG1426">
        <f>IFERROR(VLOOKUP(AF1426,[1]STOK!J:O,6,0),"")</f>
        <v>24</v>
      </c>
      <c r="AH1426" s="2">
        <f t="shared" si="44"/>
        <v>0.125</v>
      </c>
      <c r="AI1426" t="s">
        <v>83</v>
      </c>
      <c r="AJ1426" t="s">
        <v>84</v>
      </c>
      <c r="AK1426" t="s">
        <v>85</v>
      </c>
      <c r="AL1426" t="s">
        <v>86</v>
      </c>
      <c r="AM1426">
        <v>8214</v>
      </c>
      <c r="AN1426">
        <f t="shared" si="45"/>
        <v>8172.93</v>
      </c>
      <c r="AO1426" t="s">
        <v>66</v>
      </c>
      <c r="AP1426">
        <v>0.5</v>
      </c>
      <c r="AQ1426" t="s">
        <v>66</v>
      </c>
      <c r="AR1426">
        <v>0</v>
      </c>
      <c r="AS1426" t="s">
        <v>66</v>
      </c>
      <c r="AT1426">
        <v>0</v>
      </c>
      <c r="AU1426" t="s">
        <v>66</v>
      </c>
      <c r="AV1426">
        <v>0</v>
      </c>
      <c r="AW1426" t="s">
        <v>66</v>
      </c>
      <c r="AX1426">
        <v>0</v>
      </c>
      <c r="AY1426" t="s">
        <v>66</v>
      </c>
      <c r="AZ1426">
        <v>0</v>
      </c>
      <c r="BA1426" t="s">
        <v>66</v>
      </c>
      <c r="BB1426">
        <v>0</v>
      </c>
      <c r="BC1426">
        <v>0</v>
      </c>
      <c r="BD1426">
        <v>24518.79</v>
      </c>
      <c r="BE1426">
        <v>6590.47</v>
      </c>
      <c r="BF1426">
        <v>0</v>
      </c>
      <c r="BG1426" t="s">
        <v>87</v>
      </c>
      <c r="BH1426" t="s">
        <v>66</v>
      </c>
      <c r="BI1426">
        <v>0</v>
      </c>
      <c r="BJ1426" t="s">
        <v>66</v>
      </c>
      <c r="BK1426" t="s">
        <v>88</v>
      </c>
      <c r="BL1426" t="s">
        <v>66</v>
      </c>
      <c r="BM1426" t="s">
        <v>159</v>
      </c>
    </row>
    <row r="1427" spans="1:65" x14ac:dyDescent="0.25">
      <c r="A1427">
        <v>1425</v>
      </c>
      <c r="B1427" t="s">
        <v>1604</v>
      </c>
      <c r="C1427" t="s">
        <v>66</v>
      </c>
      <c r="D1427" s="1">
        <v>46220</v>
      </c>
      <c r="E1427" t="s">
        <v>1605</v>
      </c>
      <c r="F1427" t="s">
        <v>68</v>
      </c>
      <c r="G1427" t="s">
        <v>69</v>
      </c>
      <c r="H1427" t="s">
        <v>70</v>
      </c>
      <c r="I1427" t="s">
        <v>71</v>
      </c>
      <c r="J1427" t="s">
        <v>72</v>
      </c>
      <c r="K1427" t="s">
        <v>73</v>
      </c>
      <c r="L1427" t="s">
        <v>74</v>
      </c>
      <c r="M1427" t="s">
        <v>1606</v>
      </c>
      <c r="N1427" t="s">
        <v>76</v>
      </c>
      <c r="O1427" t="s">
        <v>1607</v>
      </c>
      <c r="P1427" t="s">
        <v>1608</v>
      </c>
      <c r="Q1427" t="s">
        <v>1609</v>
      </c>
      <c r="R1427" s="1">
        <v>46223</v>
      </c>
      <c r="S1427" t="s">
        <v>1610</v>
      </c>
      <c r="T1427" t="s">
        <v>1611</v>
      </c>
      <c r="U1427" t="s">
        <v>1612</v>
      </c>
      <c r="V1427" t="s">
        <v>66</v>
      </c>
      <c r="W1427" t="s">
        <v>66</v>
      </c>
      <c r="X1427">
        <v>500883</v>
      </c>
      <c r="Y1427">
        <v>55097.13</v>
      </c>
      <c r="Z1427">
        <v>23581.5</v>
      </c>
      <c r="AA1427">
        <v>2593.9699999999998</v>
      </c>
      <c r="AB1427">
        <v>555980.13</v>
      </c>
      <c r="AC1427">
        <v>3</v>
      </c>
      <c r="AD1427" t="s">
        <v>82</v>
      </c>
      <c r="AE1427">
        <v>3</v>
      </c>
      <c r="AF1427" t="s">
        <v>199</v>
      </c>
      <c r="AG1427">
        <f>IFERROR(VLOOKUP(AF1427,[1]STOK!J:O,6,0),"")</f>
        <v>24</v>
      </c>
      <c r="AH1427" s="2">
        <f t="shared" si="44"/>
        <v>0.125</v>
      </c>
      <c r="AI1427" t="s">
        <v>199</v>
      </c>
      <c r="AJ1427" t="s">
        <v>200</v>
      </c>
      <c r="AK1427" t="s">
        <v>201</v>
      </c>
      <c r="AL1427" t="s">
        <v>86</v>
      </c>
      <c r="AM1427">
        <v>8769</v>
      </c>
      <c r="AN1427">
        <f t="shared" si="45"/>
        <v>8725.1566666666677</v>
      </c>
      <c r="AO1427" t="s">
        <v>66</v>
      </c>
      <c r="AP1427">
        <v>0.5</v>
      </c>
      <c r="AQ1427" t="s">
        <v>66</v>
      </c>
      <c r="AR1427">
        <v>0</v>
      </c>
      <c r="AS1427" t="s">
        <v>66</v>
      </c>
      <c r="AT1427">
        <v>0</v>
      </c>
      <c r="AU1427" t="s">
        <v>66</v>
      </c>
      <c r="AV1427">
        <v>0</v>
      </c>
      <c r="AW1427" t="s">
        <v>66</v>
      </c>
      <c r="AX1427">
        <v>0</v>
      </c>
      <c r="AY1427" t="s">
        <v>66</v>
      </c>
      <c r="AZ1427">
        <v>0</v>
      </c>
      <c r="BA1427" t="s">
        <v>66</v>
      </c>
      <c r="BB1427">
        <v>0</v>
      </c>
      <c r="BC1427">
        <v>0</v>
      </c>
      <c r="BD1427">
        <v>26175.47</v>
      </c>
      <c r="BE1427">
        <v>7426.79</v>
      </c>
      <c r="BF1427">
        <v>0</v>
      </c>
      <c r="BG1427" t="s">
        <v>87</v>
      </c>
      <c r="BH1427" t="s">
        <v>66</v>
      </c>
      <c r="BI1427">
        <v>0</v>
      </c>
      <c r="BJ1427" t="s">
        <v>66</v>
      </c>
      <c r="BK1427" t="s">
        <v>88</v>
      </c>
      <c r="BL1427" t="s">
        <v>66</v>
      </c>
      <c r="BM1427" t="s">
        <v>159</v>
      </c>
    </row>
    <row r="1428" spans="1:65" x14ac:dyDescent="0.25">
      <c r="A1428">
        <v>1426</v>
      </c>
      <c r="B1428" t="s">
        <v>1604</v>
      </c>
      <c r="C1428" t="s">
        <v>66</v>
      </c>
      <c r="D1428" s="1">
        <v>46220</v>
      </c>
      <c r="E1428" t="s">
        <v>1605</v>
      </c>
      <c r="F1428" t="s">
        <v>68</v>
      </c>
      <c r="G1428" t="s">
        <v>69</v>
      </c>
      <c r="H1428" t="s">
        <v>70</v>
      </c>
      <c r="I1428" t="s">
        <v>71</v>
      </c>
      <c r="J1428" t="s">
        <v>72</v>
      </c>
      <c r="K1428" t="s">
        <v>73</v>
      </c>
      <c r="L1428" t="s">
        <v>74</v>
      </c>
      <c r="M1428" t="s">
        <v>1606</v>
      </c>
      <c r="N1428" t="s">
        <v>76</v>
      </c>
      <c r="O1428" t="s">
        <v>1607</v>
      </c>
      <c r="P1428" t="s">
        <v>1608</v>
      </c>
      <c r="Q1428" t="s">
        <v>1609</v>
      </c>
      <c r="R1428" s="1">
        <v>46223</v>
      </c>
      <c r="S1428" t="s">
        <v>1610</v>
      </c>
      <c r="T1428" t="s">
        <v>1611</v>
      </c>
      <c r="U1428" t="s">
        <v>1612</v>
      </c>
      <c r="V1428" t="s">
        <v>66</v>
      </c>
      <c r="W1428" t="s">
        <v>66</v>
      </c>
      <c r="X1428">
        <v>500883</v>
      </c>
      <c r="Y1428">
        <v>55097.13</v>
      </c>
      <c r="Z1428">
        <v>34029</v>
      </c>
      <c r="AA1428">
        <v>3743.19</v>
      </c>
      <c r="AB1428">
        <v>555980.13</v>
      </c>
      <c r="AC1428">
        <v>6</v>
      </c>
      <c r="AD1428" t="s">
        <v>82</v>
      </c>
      <c r="AE1428">
        <v>6</v>
      </c>
      <c r="AF1428" t="s">
        <v>90</v>
      </c>
      <c r="AG1428">
        <f>IFERROR(VLOOKUP(AF1428,[1]STOK!J:O,6,0),"")</f>
        <v>48</v>
      </c>
      <c r="AH1428" s="2">
        <f t="shared" si="44"/>
        <v>0.125</v>
      </c>
      <c r="AI1428" t="s">
        <v>90</v>
      </c>
      <c r="AJ1428" t="s">
        <v>91</v>
      </c>
      <c r="AK1428" t="s">
        <v>92</v>
      </c>
      <c r="AL1428" t="s">
        <v>86</v>
      </c>
      <c r="AM1428">
        <v>6327</v>
      </c>
      <c r="AN1428">
        <f t="shared" si="45"/>
        <v>6295.3650000000007</v>
      </c>
      <c r="AO1428" t="s">
        <v>66</v>
      </c>
      <c r="AP1428">
        <v>0.5</v>
      </c>
      <c r="AQ1428" t="s">
        <v>66</v>
      </c>
      <c r="AR1428">
        <v>0</v>
      </c>
      <c r="AS1428" t="s">
        <v>66</v>
      </c>
      <c r="AT1428">
        <v>0</v>
      </c>
      <c r="AU1428" t="s">
        <v>66</v>
      </c>
      <c r="AV1428">
        <v>0</v>
      </c>
      <c r="AW1428" t="s">
        <v>66</v>
      </c>
      <c r="AX1428">
        <v>0</v>
      </c>
      <c r="AY1428" t="s">
        <v>66</v>
      </c>
      <c r="AZ1428">
        <v>0</v>
      </c>
      <c r="BA1428" t="s">
        <v>66</v>
      </c>
      <c r="BB1428">
        <v>0</v>
      </c>
      <c r="BC1428">
        <v>0</v>
      </c>
      <c r="BD1428">
        <v>37772.19</v>
      </c>
      <c r="BE1428">
        <v>4887.16</v>
      </c>
      <c r="BF1428">
        <v>0</v>
      </c>
      <c r="BG1428" t="s">
        <v>87</v>
      </c>
      <c r="BH1428" t="s">
        <v>66</v>
      </c>
      <c r="BI1428">
        <v>0</v>
      </c>
      <c r="BJ1428" t="s">
        <v>66</v>
      </c>
      <c r="BK1428" t="s">
        <v>88</v>
      </c>
      <c r="BL1428" t="s">
        <v>66</v>
      </c>
      <c r="BM1428" t="s">
        <v>159</v>
      </c>
    </row>
    <row r="1429" spans="1:65" x14ac:dyDescent="0.25">
      <c r="A1429">
        <v>1427</v>
      </c>
      <c r="B1429" t="s">
        <v>1604</v>
      </c>
      <c r="C1429" t="s">
        <v>66</v>
      </c>
      <c r="D1429" s="1">
        <v>46220</v>
      </c>
      <c r="E1429" t="s">
        <v>1605</v>
      </c>
      <c r="F1429" t="s">
        <v>68</v>
      </c>
      <c r="G1429" t="s">
        <v>69</v>
      </c>
      <c r="H1429" t="s">
        <v>70</v>
      </c>
      <c r="I1429" t="s">
        <v>71</v>
      </c>
      <c r="J1429" t="s">
        <v>72</v>
      </c>
      <c r="K1429" t="s">
        <v>73</v>
      </c>
      <c r="L1429" t="s">
        <v>74</v>
      </c>
      <c r="M1429" t="s">
        <v>1606</v>
      </c>
      <c r="N1429" t="s">
        <v>76</v>
      </c>
      <c r="O1429" t="s">
        <v>1607</v>
      </c>
      <c r="P1429" t="s">
        <v>1608</v>
      </c>
      <c r="Q1429" t="s">
        <v>1609</v>
      </c>
      <c r="R1429" s="1">
        <v>46223</v>
      </c>
      <c r="S1429" t="s">
        <v>1610</v>
      </c>
      <c r="T1429" t="s">
        <v>1611</v>
      </c>
      <c r="U1429" t="s">
        <v>1612</v>
      </c>
      <c r="V1429" t="s">
        <v>66</v>
      </c>
      <c r="W1429" t="s">
        <v>66</v>
      </c>
      <c r="X1429">
        <v>500883</v>
      </c>
      <c r="Y1429">
        <v>55097.13</v>
      </c>
      <c r="Z1429">
        <v>12537</v>
      </c>
      <c r="AA1429">
        <v>1379.07</v>
      </c>
      <c r="AB1429">
        <v>555980.13</v>
      </c>
      <c r="AC1429">
        <v>3</v>
      </c>
      <c r="AD1429" t="s">
        <v>82</v>
      </c>
      <c r="AE1429">
        <v>3</v>
      </c>
      <c r="AF1429" t="s">
        <v>1285</v>
      </c>
      <c r="AG1429">
        <f>IFERROR(VLOOKUP(AF1429,[1]STOK!J:O,6,0),"")</f>
        <v>24</v>
      </c>
      <c r="AH1429" s="2">
        <f t="shared" si="44"/>
        <v>0.125</v>
      </c>
      <c r="AI1429" t="s">
        <v>1285</v>
      </c>
      <c r="AJ1429" t="s">
        <v>1286</v>
      </c>
      <c r="AK1429" t="s">
        <v>1287</v>
      </c>
      <c r="AL1429" t="s">
        <v>86</v>
      </c>
      <c r="AM1429">
        <v>4662</v>
      </c>
      <c r="AN1429">
        <f t="shared" si="45"/>
        <v>4638.6899999999996</v>
      </c>
      <c r="AO1429" t="s">
        <v>66</v>
      </c>
      <c r="AP1429">
        <v>0.5</v>
      </c>
      <c r="AQ1429" t="s">
        <v>66</v>
      </c>
      <c r="AR1429">
        <v>0</v>
      </c>
      <c r="AS1429" t="s">
        <v>66</v>
      </c>
      <c r="AT1429">
        <v>0</v>
      </c>
      <c r="AU1429" t="s">
        <v>66</v>
      </c>
      <c r="AV1429">
        <v>0</v>
      </c>
      <c r="AW1429" t="s">
        <v>66</v>
      </c>
      <c r="AX1429">
        <v>0</v>
      </c>
      <c r="AY1429" t="s">
        <v>66</v>
      </c>
      <c r="AZ1429">
        <v>0</v>
      </c>
      <c r="BA1429" t="s">
        <v>66</v>
      </c>
      <c r="BB1429">
        <v>0</v>
      </c>
      <c r="BC1429">
        <v>0</v>
      </c>
      <c r="BD1429">
        <v>13916.07</v>
      </c>
      <c r="BE1429">
        <v>3614.49</v>
      </c>
      <c r="BF1429">
        <v>0</v>
      </c>
      <c r="BG1429" t="s">
        <v>87</v>
      </c>
      <c r="BH1429" t="s">
        <v>66</v>
      </c>
      <c r="BI1429">
        <v>0</v>
      </c>
      <c r="BJ1429" t="s">
        <v>66</v>
      </c>
      <c r="BK1429" t="s">
        <v>88</v>
      </c>
      <c r="BL1429" t="s">
        <v>66</v>
      </c>
      <c r="BM1429" t="s">
        <v>159</v>
      </c>
    </row>
    <row r="1430" spans="1:65" x14ac:dyDescent="0.25">
      <c r="A1430">
        <v>1428</v>
      </c>
      <c r="B1430" t="s">
        <v>1604</v>
      </c>
      <c r="C1430" t="s">
        <v>66</v>
      </c>
      <c r="D1430" s="1">
        <v>46220</v>
      </c>
      <c r="E1430" t="s">
        <v>1605</v>
      </c>
      <c r="F1430" t="s">
        <v>68</v>
      </c>
      <c r="G1430" t="s">
        <v>69</v>
      </c>
      <c r="H1430" t="s">
        <v>70</v>
      </c>
      <c r="I1430" t="s">
        <v>71</v>
      </c>
      <c r="J1430" t="s">
        <v>72</v>
      </c>
      <c r="K1430" t="s">
        <v>73</v>
      </c>
      <c r="L1430" t="s">
        <v>74</v>
      </c>
      <c r="M1430" t="s">
        <v>1606</v>
      </c>
      <c r="N1430" t="s">
        <v>76</v>
      </c>
      <c r="O1430" t="s">
        <v>1607</v>
      </c>
      <c r="P1430" t="s">
        <v>1608</v>
      </c>
      <c r="Q1430" t="s">
        <v>1609</v>
      </c>
      <c r="R1430" s="1">
        <v>46223</v>
      </c>
      <c r="S1430" t="s">
        <v>1610</v>
      </c>
      <c r="T1430" t="s">
        <v>1611</v>
      </c>
      <c r="U1430" t="s">
        <v>1612</v>
      </c>
      <c r="V1430" t="s">
        <v>66</v>
      </c>
      <c r="W1430" t="s">
        <v>66</v>
      </c>
      <c r="X1430">
        <v>500883</v>
      </c>
      <c r="Y1430">
        <v>55097.13</v>
      </c>
      <c r="Z1430">
        <v>36715.5</v>
      </c>
      <c r="AA1430">
        <v>4038.71</v>
      </c>
      <c r="AB1430">
        <v>555980.13</v>
      </c>
      <c r="AC1430">
        <v>3</v>
      </c>
      <c r="AD1430" t="s">
        <v>82</v>
      </c>
      <c r="AE1430">
        <v>3</v>
      </c>
      <c r="AF1430" t="s">
        <v>1067</v>
      </c>
      <c r="AG1430">
        <f>IFERROR(VLOOKUP(AF1430,[1]STOK!J:O,6,0),"")</f>
        <v>24</v>
      </c>
      <c r="AH1430" s="2">
        <f t="shared" si="44"/>
        <v>0.125</v>
      </c>
      <c r="AI1430" t="s">
        <v>1067</v>
      </c>
      <c r="AJ1430" t="s">
        <v>1068</v>
      </c>
      <c r="AK1430" t="s">
        <v>1069</v>
      </c>
      <c r="AL1430" t="s">
        <v>86</v>
      </c>
      <c r="AM1430">
        <v>13653</v>
      </c>
      <c r="AN1430">
        <f t="shared" si="45"/>
        <v>13584.736666666666</v>
      </c>
      <c r="AO1430" t="s">
        <v>66</v>
      </c>
      <c r="AP1430">
        <v>0.5</v>
      </c>
      <c r="AQ1430" t="s">
        <v>66</v>
      </c>
      <c r="AR1430">
        <v>0</v>
      </c>
      <c r="AS1430" t="s">
        <v>66</v>
      </c>
      <c r="AT1430">
        <v>0</v>
      </c>
      <c r="AU1430" t="s">
        <v>66</v>
      </c>
      <c r="AV1430">
        <v>0</v>
      </c>
      <c r="AW1430" t="s">
        <v>66</v>
      </c>
      <c r="AX1430">
        <v>0</v>
      </c>
      <c r="AY1430" t="s">
        <v>66</v>
      </c>
      <c r="AZ1430">
        <v>0</v>
      </c>
      <c r="BA1430" t="s">
        <v>66</v>
      </c>
      <c r="BB1430">
        <v>0</v>
      </c>
      <c r="BC1430">
        <v>0</v>
      </c>
      <c r="BD1430">
        <v>40754.21</v>
      </c>
      <c r="BE1430">
        <v>10959.78</v>
      </c>
      <c r="BF1430">
        <v>0</v>
      </c>
      <c r="BG1430" t="s">
        <v>87</v>
      </c>
      <c r="BH1430" t="s">
        <v>66</v>
      </c>
      <c r="BI1430">
        <v>0</v>
      </c>
      <c r="BJ1430" t="s">
        <v>66</v>
      </c>
      <c r="BK1430" t="s">
        <v>88</v>
      </c>
      <c r="BL1430" t="s">
        <v>66</v>
      </c>
      <c r="BM1430" t="s">
        <v>159</v>
      </c>
    </row>
    <row r="1431" spans="1:65" x14ac:dyDescent="0.25">
      <c r="A1431">
        <v>1429</v>
      </c>
      <c r="B1431" t="s">
        <v>1604</v>
      </c>
      <c r="C1431" t="s">
        <v>66</v>
      </c>
      <c r="D1431" s="1">
        <v>46220</v>
      </c>
      <c r="E1431" t="s">
        <v>1605</v>
      </c>
      <c r="F1431" t="s">
        <v>68</v>
      </c>
      <c r="G1431" t="s">
        <v>69</v>
      </c>
      <c r="H1431" t="s">
        <v>70</v>
      </c>
      <c r="I1431" t="s">
        <v>71</v>
      </c>
      <c r="J1431" t="s">
        <v>72</v>
      </c>
      <c r="K1431" t="s">
        <v>73</v>
      </c>
      <c r="L1431" t="s">
        <v>74</v>
      </c>
      <c r="M1431" t="s">
        <v>1606</v>
      </c>
      <c r="N1431" t="s">
        <v>76</v>
      </c>
      <c r="O1431" t="s">
        <v>1607</v>
      </c>
      <c r="P1431" t="s">
        <v>1608</v>
      </c>
      <c r="Q1431" t="s">
        <v>1609</v>
      </c>
      <c r="R1431" s="1">
        <v>46223</v>
      </c>
      <c r="S1431" t="s">
        <v>1610</v>
      </c>
      <c r="T1431" t="s">
        <v>1611</v>
      </c>
      <c r="U1431" t="s">
        <v>1612</v>
      </c>
      <c r="V1431" t="s">
        <v>66</v>
      </c>
      <c r="W1431" t="s">
        <v>66</v>
      </c>
      <c r="X1431">
        <v>500883</v>
      </c>
      <c r="Y1431">
        <v>55097.13</v>
      </c>
      <c r="Z1431">
        <v>39700.5</v>
      </c>
      <c r="AA1431">
        <v>4367.0600000000004</v>
      </c>
      <c r="AB1431">
        <v>555980.13</v>
      </c>
      <c r="AC1431">
        <v>3</v>
      </c>
      <c r="AD1431" t="s">
        <v>82</v>
      </c>
      <c r="AE1431">
        <v>3</v>
      </c>
      <c r="AF1431" t="s">
        <v>210</v>
      </c>
      <c r="AG1431">
        <f>IFERROR(VLOOKUP(AF1431,[1]STOK!J:O,6,0),"")</f>
        <v>12</v>
      </c>
      <c r="AH1431" s="2">
        <f t="shared" si="44"/>
        <v>0.25</v>
      </c>
      <c r="AI1431" t="s">
        <v>210</v>
      </c>
      <c r="AJ1431" t="s">
        <v>211</v>
      </c>
      <c r="AK1431" t="s">
        <v>212</v>
      </c>
      <c r="AL1431" t="s">
        <v>86</v>
      </c>
      <c r="AM1431">
        <v>14763</v>
      </c>
      <c r="AN1431">
        <f t="shared" si="45"/>
        <v>14689.186666666666</v>
      </c>
      <c r="AO1431" t="s">
        <v>66</v>
      </c>
      <c r="AP1431">
        <v>0.5</v>
      </c>
      <c r="AQ1431" t="s">
        <v>66</v>
      </c>
      <c r="AR1431">
        <v>0</v>
      </c>
      <c r="AS1431" t="s">
        <v>66</v>
      </c>
      <c r="AT1431">
        <v>0</v>
      </c>
      <c r="AU1431" t="s">
        <v>66</v>
      </c>
      <c r="AV1431">
        <v>0</v>
      </c>
      <c r="AW1431" t="s">
        <v>66</v>
      </c>
      <c r="AX1431">
        <v>0</v>
      </c>
      <c r="AY1431" t="s">
        <v>66</v>
      </c>
      <c r="AZ1431">
        <v>0</v>
      </c>
      <c r="BA1431" t="s">
        <v>66</v>
      </c>
      <c r="BB1431">
        <v>0</v>
      </c>
      <c r="BC1431">
        <v>0</v>
      </c>
      <c r="BD1431">
        <v>44067.56</v>
      </c>
      <c r="BE1431">
        <v>12007.79</v>
      </c>
      <c r="BF1431">
        <v>0</v>
      </c>
      <c r="BG1431" t="s">
        <v>87</v>
      </c>
      <c r="BH1431" t="s">
        <v>66</v>
      </c>
      <c r="BI1431">
        <v>0</v>
      </c>
      <c r="BJ1431" t="s">
        <v>66</v>
      </c>
      <c r="BK1431" t="s">
        <v>88</v>
      </c>
      <c r="BL1431" t="s">
        <v>66</v>
      </c>
      <c r="BM1431" t="s">
        <v>159</v>
      </c>
    </row>
    <row r="1432" spans="1:65" x14ac:dyDescent="0.25">
      <c r="A1432">
        <v>1430</v>
      </c>
      <c r="B1432" t="s">
        <v>1604</v>
      </c>
      <c r="C1432" t="s">
        <v>66</v>
      </c>
      <c r="D1432" s="1">
        <v>46220</v>
      </c>
      <c r="E1432" t="s">
        <v>1605</v>
      </c>
      <c r="F1432" t="s">
        <v>68</v>
      </c>
      <c r="G1432" t="s">
        <v>69</v>
      </c>
      <c r="H1432" t="s">
        <v>70</v>
      </c>
      <c r="I1432" t="s">
        <v>71</v>
      </c>
      <c r="J1432" t="s">
        <v>72</v>
      </c>
      <c r="K1432" t="s">
        <v>73</v>
      </c>
      <c r="L1432" t="s">
        <v>74</v>
      </c>
      <c r="M1432" t="s">
        <v>1606</v>
      </c>
      <c r="N1432" t="s">
        <v>76</v>
      </c>
      <c r="O1432" t="s">
        <v>1607</v>
      </c>
      <c r="P1432" t="s">
        <v>1608</v>
      </c>
      <c r="Q1432" t="s">
        <v>1609</v>
      </c>
      <c r="R1432" s="1">
        <v>46223</v>
      </c>
      <c r="S1432" t="s">
        <v>1610</v>
      </c>
      <c r="T1432" t="s">
        <v>1611</v>
      </c>
      <c r="U1432" t="s">
        <v>1612</v>
      </c>
      <c r="V1432" t="s">
        <v>66</v>
      </c>
      <c r="W1432" t="s">
        <v>66</v>
      </c>
      <c r="X1432">
        <v>500883</v>
      </c>
      <c r="Y1432">
        <v>55097.13</v>
      </c>
      <c r="Z1432">
        <v>51640.5</v>
      </c>
      <c r="AA1432">
        <v>5680.46</v>
      </c>
      <c r="AB1432">
        <v>555980.13</v>
      </c>
      <c r="AC1432">
        <v>3</v>
      </c>
      <c r="AD1432" t="s">
        <v>82</v>
      </c>
      <c r="AE1432">
        <v>3</v>
      </c>
      <c r="AF1432" t="s">
        <v>359</v>
      </c>
      <c r="AG1432">
        <f>IFERROR(VLOOKUP(AF1432,[1]STOK!J:O,6,0),"")</f>
        <v>12</v>
      </c>
      <c r="AH1432" s="2">
        <f t="shared" si="44"/>
        <v>0.25</v>
      </c>
      <c r="AI1432" t="s">
        <v>359</v>
      </c>
      <c r="AJ1432" t="s">
        <v>360</v>
      </c>
      <c r="AK1432" t="s">
        <v>361</v>
      </c>
      <c r="AL1432" t="s">
        <v>86</v>
      </c>
      <c r="AM1432">
        <v>19203</v>
      </c>
      <c r="AN1432">
        <f t="shared" si="45"/>
        <v>19106.986666666668</v>
      </c>
      <c r="AO1432" t="s">
        <v>66</v>
      </c>
      <c r="AP1432">
        <v>0.5</v>
      </c>
      <c r="AQ1432" t="s">
        <v>66</v>
      </c>
      <c r="AR1432">
        <v>0</v>
      </c>
      <c r="AS1432" t="s">
        <v>66</v>
      </c>
      <c r="AT1432">
        <v>0</v>
      </c>
      <c r="AU1432" t="s">
        <v>66</v>
      </c>
      <c r="AV1432">
        <v>0</v>
      </c>
      <c r="AW1432" t="s">
        <v>66</v>
      </c>
      <c r="AX1432">
        <v>0</v>
      </c>
      <c r="AY1432" t="s">
        <v>66</v>
      </c>
      <c r="AZ1432">
        <v>0</v>
      </c>
      <c r="BA1432" t="s">
        <v>66</v>
      </c>
      <c r="BB1432">
        <v>0</v>
      </c>
      <c r="BC1432">
        <v>0</v>
      </c>
      <c r="BD1432">
        <v>57320.959999999999</v>
      </c>
      <c r="BE1432">
        <v>15609.51</v>
      </c>
      <c r="BF1432">
        <v>0</v>
      </c>
      <c r="BG1432" t="s">
        <v>87</v>
      </c>
      <c r="BH1432" t="s">
        <v>66</v>
      </c>
      <c r="BI1432">
        <v>0</v>
      </c>
      <c r="BJ1432" t="s">
        <v>66</v>
      </c>
      <c r="BK1432" t="s">
        <v>88</v>
      </c>
      <c r="BL1432" t="s">
        <v>66</v>
      </c>
      <c r="BM1432" t="s">
        <v>159</v>
      </c>
    </row>
    <row r="1433" spans="1:65" x14ac:dyDescent="0.25">
      <c r="A1433">
        <v>1431</v>
      </c>
      <c r="B1433" t="s">
        <v>1604</v>
      </c>
      <c r="C1433" t="s">
        <v>66</v>
      </c>
      <c r="D1433" s="1">
        <v>46220</v>
      </c>
      <c r="E1433" t="s">
        <v>1605</v>
      </c>
      <c r="F1433" t="s">
        <v>68</v>
      </c>
      <c r="G1433" t="s">
        <v>69</v>
      </c>
      <c r="H1433" t="s">
        <v>70</v>
      </c>
      <c r="I1433" t="s">
        <v>71</v>
      </c>
      <c r="J1433" t="s">
        <v>72</v>
      </c>
      <c r="K1433" t="s">
        <v>73</v>
      </c>
      <c r="L1433" t="s">
        <v>74</v>
      </c>
      <c r="M1433" t="s">
        <v>1606</v>
      </c>
      <c r="N1433" t="s">
        <v>76</v>
      </c>
      <c r="O1433" t="s">
        <v>1607</v>
      </c>
      <c r="P1433" t="s">
        <v>1608</v>
      </c>
      <c r="Q1433" t="s">
        <v>1609</v>
      </c>
      <c r="R1433" s="1">
        <v>46223</v>
      </c>
      <c r="S1433" t="s">
        <v>1610</v>
      </c>
      <c r="T1433" t="s">
        <v>1611</v>
      </c>
      <c r="U1433" t="s">
        <v>1612</v>
      </c>
      <c r="V1433" t="s">
        <v>66</v>
      </c>
      <c r="W1433" t="s">
        <v>66</v>
      </c>
      <c r="X1433">
        <v>500883</v>
      </c>
      <c r="Y1433">
        <v>55097.13</v>
      </c>
      <c r="Z1433">
        <v>42984</v>
      </c>
      <c r="AA1433">
        <v>4728.24</v>
      </c>
      <c r="AB1433">
        <v>555980.13</v>
      </c>
      <c r="AC1433">
        <v>3</v>
      </c>
      <c r="AD1433" t="s">
        <v>82</v>
      </c>
      <c r="AE1433">
        <v>3</v>
      </c>
      <c r="AF1433" t="s">
        <v>141</v>
      </c>
      <c r="AG1433">
        <f>IFERROR(VLOOKUP(AF1433,[1]STOK!J:O,6,0),"")</f>
        <v>12</v>
      </c>
      <c r="AH1433" s="2">
        <f t="shared" si="44"/>
        <v>0.25</v>
      </c>
      <c r="AI1433" t="s">
        <v>141</v>
      </c>
      <c r="AJ1433" t="s">
        <v>142</v>
      </c>
      <c r="AK1433" t="s">
        <v>143</v>
      </c>
      <c r="AL1433" t="s">
        <v>86</v>
      </c>
      <c r="AM1433">
        <v>15984</v>
      </c>
      <c r="AN1433">
        <f t="shared" si="45"/>
        <v>15904.08</v>
      </c>
      <c r="AO1433" t="s">
        <v>66</v>
      </c>
      <c r="AP1433">
        <v>0.5</v>
      </c>
      <c r="AQ1433" t="s">
        <v>66</v>
      </c>
      <c r="AR1433">
        <v>0</v>
      </c>
      <c r="AS1433" t="s">
        <v>66</v>
      </c>
      <c r="AT1433">
        <v>0</v>
      </c>
      <c r="AU1433" t="s">
        <v>66</v>
      </c>
      <c r="AV1433">
        <v>0</v>
      </c>
      <c r="AW1433" t="s">
        <v>66</v>
      </c>
      <c r="AX1433">
        <v>0</v>
      </c>
      <c r="AY1433" t="s">
        <v>66</v>
      </c>
      <c r="AZ1433">
        <v>0</v>
      </c>
      <c r="BA1433" t="s">
        <v>66</v>
      </c>
      <c r="BB1433">
        <v>0</v>
      </c>
      <c r="BC1433">
        <v>0</v>
      </c>
      <c r="BD1433">
        <v>47712.24</v>
      </c>
      <c r="BE1433">
        <v>13010.31</v>
      </c>
      <c r="BF1433">
        <v>0</v>
      </c>
      <c r="BG1433" t="s">
        <v>87</v>
      </c>
      <c r="BH1433" t="s">
        <v>66</v>
      </c>
      <c r="BI1433">
        <v>0</v>
      </c>
      <c r="BJ1433" t="s">
        <v>66</v>
      </c>
      <c r="BK1433" t="s">
        <v>88</v>
      </c>
      <c r="BL1433" t="s">
        <v>66</v>
      </c>
      <c r="BM1433" t="s">
        <v>159</v>
      </c>
    </row>
    <row r="1434" spans="1:65" x14ac:dyDescent="0.25">
      <c r="A1434">
        <v>1432</v>
      </c>
      <c r="B1434" t="s">
        <v>1613</v>
      </c>
      <c r="C1434" t="s">
        <v>68</v>
      </c>
      <c r="D1434" s="1">
        <v>46220</v>
      </c>
      <c r="E1434" t="s">
        <v>1614</v>
      </c>
      <c r="F1434" t="s">
        <v>68</v>
      </c>
      <c r="G1434" t="s">
        <v>295</v>
      </c>
      <c r="H1434" t="s">
        <v>296</v>
      </c>
      <c r="I1434" t="s">
        <v>71</v>
      </c>
      <c r="J1434" t="s">
        <v>72</v>
      </c>
      <c r="K1434" t="s">
        <v>73</v>
      </c>
      <c r="L1434" t="s">
        <v>74</v>
      </c>
      <c r="M1434" t="s">
        <v>792</v>
      </c>
      <c r="N1434" t="s">
        <v>274</v>
      </c>
      <c r="O1434" t="s">
        <v>793</v>
      </c>
      <c r="P1434" t="s">
        <v>794</v>
      </c>
      <c r="Q1434" t="s">
        <v>1615</v>
      </c>
      <c r="R1434" s="1">
        <v>46223</v>
      </c>
      <c r="S1434" t="s">
        <v>796</v>
      </c>
      <c r="T1434" t="s">
        <v>797</v>
      </c>
      <c r="U1434" t="s">
        <v>798</v>
      </c>
      <c r="V1434" t="s">
        <v>66</v>
      </c>
      <c r="W1434" t="s">
        <v>66</v>
      </c>
      <c r="X1434">
        <v>778800</v>
      </c>
      <c r="Y1434">
        <v>85668</v>
      </c>
      <c r="Z1434">
        <v>60000</v>
      </c>
      <c r="AA1434">
        <v>6600</v>
      </c>
      <c r="AB1434">
        <v>864468</v>
      </c>
      <c r="AC1434">
        <v>24</v>
      </c>
      <c r="AD1434" t="s">
        <v>82</v>
      </c>
      <c r="AE1434">
        <v>24</v>
      </c>
      <c r="AF1434" t="s">
        <v>163</v>
      </c>
      <c r="AG1434">
        <f>IFERROR(VLOOKUP(AF1434,[1]STOK!J:O,6,0),"")</f>
        <v>72</v>
      </c>
      <c r="AH1434" s="2">
        <f t="shared" si="44"/>
        <v>0.33333333333333331</v>
      </c>
      <c r="AI1434" t="s">
        <v>163</v>
      </c>
      <c r="AJ1434" t="s">
        <v>164</v>
      </c>
      <c r="AK1434" t="s">
        <v>165</v>
      </c>
      <c r="AL1434" t="s">
        <v>86</v>
      </c>
      <c r="AM1434">
        <v>2775</v>
      </c>
      <c r="AN1434">
        <f t="shared" si="45"/>
        <v>2775</v>
      </c>
      <c r="AO1434" t="s">
        <v>66</v>
      </c>
      <c r="AP1434">
        <v>0</v>
      </c>
      <c r="AQ1434" t="s">
        <v>66</v>
      </c>
      <c r="AR1434">
        <v>0</v>
      </c>
      <c r="AS1434" t="s">
        <v>66</v>
      </c>
      <c r="AT1434">
        <v>0</v>
      </c>
      <c r="AU1434" t="s">
        <v>66</v>
      </c>
      <c r="AV1434">
        <v>0</v>
      </c>
      <c r="AW1434" t="s">
        <v>66</v>
      </c>
      <c r="AX1434">
        <v>0</v>
      </c>
      <c r="AY1434" t="s">
        <v>66</v>
      </c>
      <c r="AZ1434">
        <v>0</v>
      </c>
      <c r="BA1434" t="s">
        <v>66</v>
      </c>
      <c r="BB1434">
        <v>0</v>
      </c>
      <c r="BC1434">
        <v>0</v>
      </c>
      <c r="BD1434">
        <v>66600</v>
      </c>
      <c r="BE1434">
        <v>2257.04</v>
      </c>
      <c r="BF1434">
        <v>0</v>
      </c>
      <c r="BG1434" t="s">
        <v>87</v>
      </c>
      <c r="BH1434" t="s">
        <v>66</v>
      </c>
      <c r="BI1434">
        <v>0</v>
      </c>
      <c r="BJ1434" t="s">
        <v>66</v>
      </c>
      <c r="BK1434" t="s">
        <v>88</v>
      </c>
      <c r="BL1434" t="s">
        <v>66</v>
      </c>
      <c r="BM1434" t="s">
        <v>159</v>
      </c>
    </row>
    <row r="1435" spans="1:65" x14ac:dyDescent="0.25">
      <c r="A1435">
        <v>1433</v>
      </c>
      <c r="B1435" t="s">
        <v>1613</v>
      </c>
      <c r="C1435" t="s">
        <v>68</v>
      </c>
      <c r="D1435" s="1">
        <v>46220</v>
      </c>
      <c r="E1435" t="s">
        <v>1614</v>
      </c>
      <c r="F1435" t="s">
        <v>68</v>
      </c>
      <c r="G1435" t="s">
        <v>295</v>
      </c>
      <c r="H1435" t="s">
        <v>296</v>
      </c>
      <c r="I1435" t="s">
        <v>71</v>
      </c>
      <c r="J1435" t="s">
        <v>72</v>
      </c>
      <c r="K1435" t="s">
        <v>73</v>
      </c>
      <c r="L1435" t="s">
        <v>74</v>
      </c>
      <c r="M1435" t="s">
        <v>792</v>
      </c>
      <c r="N1435" t="s">
        <v>274</v>
      </c>
      <c r="O1435" t="s">
        <v>793</v>
      </c>
      <c r="P1435" t="s">
        <v>794</v>
      </c>
      <c r="Q1435" t="s">
        <v>1615</v>
      </c>
      <c r="R1435" s="1">
        <v>46223</v>
      </c>
      <c r="S1435" t="s">
        <v>796</v>
      </c>
      <c r="T1435" t="s">
        <v>797</v>
      </c>
      <c r="U1435" t="s">
        <v>798</v>
      </c>
      <c r="V1435" t="s">
        <v>66</v>
      </c>
      <c r="W1435" t="s">
        <v>66</v>
      </c>
      <c r="X1435">
        <v>778800</v>
      </c>
      <c r="Y1435">
        <v>85668</v>
      </c>
      <c r="Z1435">
        <v>120000</v>
      </c>
      <c r="AA1435">
        <v>13200</v>
      </c>
      <c r="AB1435">
        <v>864468</v>
      </c>
      <c r="AC1435">
        <v>48</v>
      </c>
      <c r="AD1435" t="s">
        <v>82</v>
      </c>
      <c r="AE1435">
        <v>48</v>
      </c>
      <c r="AF1435" t="s">
        <v>392</v>
      </c>
      <c r="AG1435">
        <f>IFERROR(VLOOKUP(AF1435,[1]STOK!J:O,6,0),"")</f>
        <v>72</v>
      </c>
      <c r="AH1435" s="2">
        <f t="shared" si="44"/>
        <v>0.66666666666666663</v>
      </c>
      <c r="AI1435" t="s">
        <v>392</v>
      </c>
      <c r="AJ1435" t="s">
        <v>393</v>
      </c>
      <c r="AK1435" t="s">
        <v>394</v>
      </c>
      <c r="AL1435" t="s">
        <v>86</v>
      </c>
      <c r="AM1435">
        <v>2775</v>
      </c>
      <c r="AN1435">
        <f t="shared" si="45"/>
        <v>2775</v>
      </c>
      <c r="AO1435" t="s">
        <v>66</v>
      </c>
      <c r="AP1435">
        <v>0</v>
      </c>
      <c r="AQ1435" t="s">
        <v>66</v>
      </c>
      <c r="AR1435">
        <v>0</v>
      </c>
      <c r="AS1435" t="s">
        <v>66</v>
      </c>
      <c r="AT1435">
        <v>0</v>
      </c>
      <c r="AU1435" t="s">
        <v>66</v>
      </c>
      <c r="AV1435">
        <v>0</v>
      </c>
      <c r="AW1435" t="s">
        <v>66</v>
      </c>
      <c r="AX1435">
        <v>0</v>
      </c>
      <c r="AY1435" t="s">
        <v>66</v>
      </c>
      <c r="AZ1435">
        <v>0</v>
      </c>
      <c r="BA1435" t="s">
        <v>66</v>
      </c>
      <c r="BB1435">
        <v>0</v>
      </c>
      <c r="BC1435">
        <v>0</v>
      </c>
      <c r="BD1435">
        <v>133200</v>
      </c>
      <c r="BE1435">
        <v>2253.12</v>
      </c>
      <c r="BF1435">
        <v>0</v>
      </c>
      <c r="BG1435" t="s">
        <v>87</v>
      </c>
      <c r="BH1435" t="s">
        <v>66</v>
      </c>
      <c r="BI1435">
        <v>0</v>
      </c>
      <c r="BJ1435" t="s">
        <v>66</v>
      </c>
      <c r="BK1435" t="s">
        <v>88</v>
      </c>
      <c r="BL1435" t="s">
        <v>66</v>
      </c>
      <c r="BM1435" t="s">
        <v>159</v>
      </c>
    </row>
    <row r="1436" spans="1:65" x14ac:dyDescent="0.25">
      <c r="A1436">
        <v>1434</v>
      </c>
      <c r="B1436" t="s">
        <v>1613</v>
      </c>
      <c r="C1436" t="s">
        <v>68</v>
      </c>
      <c r="D1436" s="1">
        <v>46220</v>
      </c>
      <c r="E1436" t="s">
        <v>1614</v>
      </c>
      <c r="F1436" t="s">
        <v>68</v>
      </c>
      <c r="G1436" t="s">
        <v>295</v>
      </c>
      <c r="H1436" t="s">
        <v>296</v>
      </c>
      <c r="I1436" t="s">
        <v>71</v>
      </c>
      <c r="J1436" t="s">
        <v>72</v>
      </c>
      <c r="K1436" t="s">
        <v>73</v>
      </c>
      <c r="L1436" t="s">
        <v>74</v>
      </c>
      <c r="M1436" t="s">
        <v>792</v>
      </c>
      <c r="N1436" t="s">
        <v>274</v>
      </c>
      <c r="O1436" t="s">
        <v>793</v>
      </c>
      <c r="P1436" t="s">
        <v>794</v>
      </c>
      <c r="Q1436" t="s">
        <v>1615</v>
      </c>
      <c r="R1436" s="1">
        <v>46223</v>
      </c>
      <c r="S1436" t="s">
        <v>796</v>
      </c>
      <c r="T1436" t="s">
        <v>797</v>
      </c>
      <c r="U1436" t="s">
        <v>798</v>
      </c>
      <c r="V1436" t="s">
        <v>66</v>
      </c>
      <c r="W1436" t="s">
        <v>66</v>
      </c>
      <c r="X1436">
        <v>778800</v>
      </c>
      <c r="Y1436">
        <v>85668</v>
      </c>
      <c r="Z1436">
        <v>120000</v>
      </c>
      <c r="AA1436">
        <v>13200</v>
      </c>
      <c r="AB1436">
        <v>864468</v>
      </c>
      <c r="AC1436">
        <v>48</v>
      </c>
      <c r="AD1436" t="s">
        <v>82</v>
      </c>
      <c r="AE1436">
        <v>48</v>
      </c>
      <c r="AF1436" t="s">
        <v>341</v>
      </c>
      <c r="AG1436">
        <f>IFERROR(VLOOKUP(AF1436,[1]STOK!J:O,6,0),"")</f>
        <v>72</v>
      </c>
      <c r="AH1436" s="2">
        <f t="shared" si="44"/>
        <v>0.66666666666666663</v>
      </c>
      <c r="AI1436" t="s">
        <v>341</v>
      </c>
      <c r="AJ1436" t="s">
        <v>342</v>
      </c>
      <c r="AK1436" t="s">
        <v>343</v>
      </c>
      <c r="AL1436" t="s">
        <v>86</v>
      </c>
      <c r="AM1436">
        <v>2775</v>
      </c>
      <c r="AN1436">
        <f t="shared" si="45"/>
        <v>2775</v>
      </c>
      <c r="AO1436" t="s">
        <v>66</v>
      </c>
      <c r="AP1436">
        <v>0</v>
      </c>
      <c r="AQ1436" t="s">
        <v>66</v>
      </c>
      <c r="AR1436">
        <v>0</v>
      </c>
      <c r="AS1436" t="s">
        <v>66</v>
      </c>
      <c r="AT1436">
        <v>0</v>
      </c>
      <c r="AU1436" t="s">
        <v>66</v>
      </c>
      <c r="AV1436">
        <v>0</v>
      </c>
      <c r="AW1436" t="s">
        <v>66</v>
      </c>
      <c r="AX1436">
        <v>0</v>
      </c>
      <c r="AY1436" t="s">
        <v>66</v>
      </c>
      <c r="AZ1436">
        <v>0</v>
      </c>
      <c r="BA1436" t="s">
        <v>66</v>
      </c>
      <c r="BB1436">
        <v>0</v>
      </c>
      <c r="BC1436">
        <v>0</v>
      </c>
      <c r="BD1436">
        <v>133200</v>
      </c>
      <c r="BE1436">
        <v>2247.1799999999998</v>
      </c>
      <c r="BF1436">
        <v>0</v>
      </c>
      <c r="BG1436" t="s">
        <v>87</v>
      </c>
      <c r="BH1436" t="s">
        <v>66</v>
      </c>
      <c r="BI1436">
        <v>0</v>
      </c>
      <c r="BJ1436" t="s">
        <v>66</v>
      </c>
      <c r="BK1436" t="s">
        <v>88</v>
      </c>
      <c r="BL1436" t="s">
        <v>66</v>
      </c>
      <c r="BM1436" t="s">
        <v>159</v>
      </c>
    </row>
    <row r="1437" spans="1:65" x14ac:dyDescent="0.25">
      <c r="A1437">
        <v>1435</v>
      </c>
      <c r="B1437" t="s">
        <v>1613</v>
      </c>
      <c r="C1437" t="s">
        <v>68</v>
      </c>
      <c r="D1437" s="1">
        <v>46220</v>
      </c>
      <c r="E1437" t="s">
        <v>1614</v>
      </c>
      <c r="F1437" t="s">
        <v>68</v>
      </c>
      <c r="G1437" t="s">
        <v>295</v>
      </c>
      <c r="H1437" t="s">
        <v>296</v>
      </c>
      <c r="I1437" t="s">
        <v>71</v>
      </c>
      <c r="J1437" t="s">
        <v>72</v>
      </c>
      <c r="K1437" t="s">
        <v>73</v>
      </c>
      <c r="L1437" t="s">
        <v>74</v>
      </c>
      <c r="M1437" t="s">
        <v>792</v>
      </c>
      <c r="N1437" t="s">
        <v>274</v>
      </c>
      <c r="O1437" t="s">
        <v>793</v>
      </c>
      <c r="P1437" t="s">
        <v>794</v>
      </c>
      <c r="Q1437" t="s">
        <v>1615</v>
      </c>
      <c r="R1437" s="1">
        <v>46223</v>
      </c>
      <c r="S1437" t="s">
        <v>796</v>
      </c>
      <c r="T1437" t="s">
        <v>797</v>
      </c>
      <c r="U1437" t="s">
        <v>798</v>
      </c>
      <c r="V1437" t="s">
        <v>66</v>
      </c>
      <c r="W1437" t="s">
        <v>66</v>
      </c>
      <c r="X1437">
        <v>778800</v>
      </c>
      <c r="Y1437">
        <v>85668</v>
      </c>
      <c r="Z1437">
        <v>478800</v>
      </c>
      <c r="AA1437">
        <v>52668</v>
      </c>
      <c r="AB1437">
        <v>864468</v>
      </c>
      <c r="AC1437">
        <v>36</v>
      </c>
      <c r="AD1437" t="s">
        <v>82</v>
      </c>
      <c r="AE1437">
        <v>36</v>
      </c>
      <c r="AF1437" t="s">
        <v>135</v>
      </c>
      <c r="AG1437">
        <f>IFERROR(VLOOKUP(AF1437,[1]STOK!J:O,6,0),"")</f>
        <v>12</v>
      </c>
      <c r="AH1437" s="2">
        <f t="shared" si="44"/>
        <v>3</v>
      </c>
      <c r="AI1437" t="s">
        <v>135</v>
      </c>
      <c r="AJ1437" t="s">
        <v>136</v>
      </c>
      <c r="AK1437" t="s">
        <v>137</v>
      </c>
      <c r="AL1437" t="s">
        <v>86</v>
      </c>
      <c r="AM1437">
        <v>14763</v>
      </c>
      <c r="AN1437">
        <f t="shared" si="45"/>
        <v>14763</v>
      </c>
      <c r="AO1437" t="s">
        <v>66</v>
      </c>
      <c r="AP1437">
        <v>0</v>
      </c>
      <c r="AQ1437" t="s">
        <v>66</v>
      </c>
      <c r="AR1437">
        <v>0</v>
      </c>
      <c r="AS1437" t="s">
        <v>66</v>
      </c>
      <c r="AT1437">
        <v>0</v>
      </c>
      <c r="AU1437" t="s">
        <v>66</v>
      </c>
      <c r="AV1437">
        <v>0</v>
      </c>
      <c r="AW1437" t="s">
        <v>66</v>
      </c>
      <c r="AX1437">
        <v>0</v>
      </c>
      <c r="AY1437" t="s">
        <v>66</v>
      </c>
      <c r="AZ1437">
        <v>0</v>
      </c>
      <c r="BA1437" t="s">
        <v>66</v>
      </c>
      <c r="BB1437">
        <v>0</v>
      </c>
      <c r="BC1437">
        <v>0</v>
      </c>
      <c r="BD1437">
        <v>531468</v>
      </c>
      <c r="BE1437">
        <v>12035.7</v>
      </c>
      <c r="BF1437">
        <v>0</v>
      </c>
      <c r="BG1437" t="s">
        <v>87</v>
      </c>
      <c r="BH1437" t="s">
        <v>66</v>
      </c>
      <c r="BI1437">
        <v>0</v>
      </c>
      <c r="BJ1437" t="s">
        <v>66</v>
      </c>
      <c r="BK1437" t="s">
        <v>88</v>
      </c>
      <c r="BL1437" t="s">
        <v>66</v>
      </c>
      <c r="BM1437" t="s">
        <v>159</v>
      </c>
    </row>
    <row r="1438" spans="1:65" x14ac:dyDescent="0.25">
      <c r="A1438">
        <v>1436</v>
      </c>
      <c r="B1438" t="s">
        <v>1616</v>
      </c>
      <c r="C1438" t="s">
        <v>68</v>
      </c>
      <c r="D1438" s="1">
        <v>46220</v>
      </c>
      <c r="E1438" t="s">
        <v>1617</v>
      </c>
      <c r="F1438" t="s">
        <v>68</v>
      </c>
      <c r="G1438" t="s">
        <v>295</v>
      </c>
      <c r="H1438" t="s">
        <v>296</v>
      </c>
      <c r="I1438" t="s">
        <v>71</v>
      </c>
      <c r="J1438" t="s">
        <v>72</v>
      </c>
      <c r="K1438" t="s">
        <v>73</v>
      </c>
      <c r="L1438" t="s">
        <v>74</v>
      </c>
      <c r="M1438" t="s">
        <v>792</v>
      </c>
      <c r="N1438" t="s">
        <v>274</v>
      </c>
      <c r="O1438" t="s">
        <v>793</v>
      </c>
      <c r="P1438" t="s">
        <v>794</v>
      </c>
      <c r="Q1438" t="s">
        <v>1618</v>
      </c>
      <c r="R1438" s="1">
        <v>46221</v>
      </c>
      <c r="S1438" t="s">
        <v>796</v>
      </c>
      <c r="T1438" t="s">
        <v>797</v>
      </c>
      <c r="U1438" t="s">
        <v>798</v>
      </c>
      <c r="V1438" t="s">
        <v>66</v>
      </c>
      <c r="W1438" t="s">
        <v>66</v>
      </c>
      <c r="X1438">
        <v>375000</v>
      </c>
      <c r="Y1438">
        <v>41250</v>
      </c>
      <c r="Z1438">
        <v>30000</v>
      </c>
      <c r="AA1438">
        <v>3300</v>
      </c>
      <c r="AB1438">
        <v>416250</v>
      </c>
      <c r="AC1438">
        <v>12</v>
      </c>
      <c r="AD1438" t="s">
        <v>82</v>
      </c>
      <c r="AE1438">
        <v>12</v>
      </c>
      <c r="AF1438" t="s">
        <v>392</v>
      </c>
      <c r="AG1438">
        <f>IFERROR(VLOOKUP(AF1438,[1]STOK!J:O,6,0),"")</f>
        <v>72</v>
      </c>
      <c r="AH1438" s="2">
        <f t="shared" si="44"/>
        <v>0.16666666666666666</v>
      </c>
      <c r="AI1438" t="s">
        <v>392</v>
      </c>
      <c r="AJ1438" t="s">
        <v>393</v>
      </c>
      <c r="AK1438" t="s">
        <v>394</v>
      </c>
      <c r="AL1438" t="s">
        <v>86</v>
      </c>
      <c r="AM1438">
        <v>2775</v>
      </c>
      <c r="AN1438">
        <f t="shared" si="45"/>
        <v>2775</v>
      </c>
      <c r="AO1438" t="s">
        <v>66</v>
      </c>
      <c r="AP1438">
        <v>0</v>
      </c>
      <c r="AQ1438" t="s">
        <v>66</v>
      </c>
      <c r="AR1438">
        <v>0</v>
      </c>
      <c r="AS1438" t="s">
        <v>66</v>
      </c>
      <c r="AT1438">
        <v>0</v>
      </c>
      <c r="AU1438" t="s">
        <v>66</v>
      </c>
      <c r="AV1438">
        <v>0</v>
      </c>
      <c r="AW1438" t="s">
        <v>66</v>
      </c>
      <c r="AX1438">
        <v>0</v>
      </c>
      <c r="AY1438" t="s">
        <v>66</v>
      </c>
      <c r="AZ1438">
        <v>0</v>
      </c>
      <c r="BA1438" t="s">
        <v>66</v>
      </c>
      <c r="BB1438">
        <v>0</v>
      </c>
      <c r="BC1438">
        <v>0</v>
      </c>
      <c r="BD1438">
        <v>33300</v>
      </c>
      <c r="BE1438">
        <v>2253.12</v>
      </c>
      <c r="BF1438">
        <v>0</v>
      </c>
      <c r="BG1438" t="s">
        <v>87</v>
      </c>
      <c r="BH1438" t="s">
        <v>66</v>
      </c>
      <c r="BI1438">
        <v>0</v>
      </c>
      <c r="BJ1438" t="s">
        <v>66</v>
      </c>
      <c r="BK1438" t="s">
        <v>88</v>
      </c>
      <c r="BL1438" t="s">
        <v>66</v>
      </c>
      <c r="BM1438" t="s">
        <v>159</v>
      </c>
    </row>
    <row r="1439" spans="1:65" x14ac:dyDescent="0.25">
      <c r="A1439">
        <v>1437</v>
      </c>
      <c r="B1439" t="s">
        <v>1616</v>
      </c>
      <c r="C1439" t="s">
        <v>68</v>
      </c>
      <c r="D1439" s="1">
        <v>46220</v>
      </c>
      <c r="E1439" t="s">
        <v>1617</v>
      </c>
      <c r="F1439" t="s">
        <v>68</v>
      </c>
      <c r="G1439" t="s">
        <v>295</v>
      </c>
      <c r="H1439" t="s">
        <v>296</v>
      </c>
      <c r="I1439" t="s">
        <v>71</v>
      </c>
      <c r="J1439" t="s">
        <v>72</v>
      </c>
      <c r="K1439" t="s">
        <v>73</v>
      </c>
      <c r="L1439" t="s">
        <v>74</v>
      </c>
      <c r="M1439" t="s">
        <v>792</v>
      </c>
      <c r="N1439" t="s">
        <v>274</v>
      </c>
      <c r="O1439" t="s">
        <v>793</v>
      </c>
      <c r="P1439" t="s">
        <v>794</v>
      </c>
      <c r="Q1439" t="s">
        <v>1618</v>
      </c>
      <c r="R1439" s="1">
        <v>46221</v>
      </c>
      <c r="S1439" t="s">
        <v>796</v>
      </c>
      <c r="T1439" t="s">
        <v>797</v>
      </c>
      <c r="U1439" t="s">
        <v>798</v>
      </c>
      <c r="V1439" t="s">
        <v>66</v>
      </c>
      <c r="W1439" t="s">
        <v>66</v>
      </c>
      <c r="X1439">
        <v>375000</v>
      </c>
      <c r="Y1439">
        <v>41250</v>
      </c>
      <c r="Z1439">
        <v>30000</v>
      </c>
      <c r="AA1439">
        <v>3300</v>
      </c>
      <c r="AB1439">
        <v>416250</v>
      </c>
      <c r="AC1439">
        <v>12</v>
      </c>
      <c r="AD1439" t="s">
        <v>82</v>
      </c>
      <c r="AE1439">
        <v>12</v>
      </c>
      <c r="AF1439" t="s">
        <v>341</v>
      </c>
      <c r="AG1439">
        <f>IFERROR(VLOOKUP(AF1439,[1]STOK!J:O,6,0),"")</f>
        <v>72</v>
      </c>
      <c r="AH1439" s="2">
        <f t="shared" si="44"/>
        <v>0.16666666666666666</v>
      </c>
      <c r="AI1439" t="s">
        <v>341</v>
      </c>
      <c r="AJ1439" t="s">
        <v>342</v>
      </c>
      <c r="AK1439" t="s">
        <v>343</v>
      </c>
      <c r="AL1439" t="s">
        <v>86</v>
      </c>
      <c r="AM1439">
        <v>2775</v>
      </c>
      <c r="AN1439">
        <f t="shared" si="45"/>
        <v>2775</v>
      </c>
      <c r="AO1439" t="s">
        <v>66</v>
      </c>
      <c r="AP1439">
        <v>0</v>
      </c>
      <c r="AQ1439" t="s">
        <v>66</v>
      </c>
      <c r="AR1439">
        <v>0</v>
      </c>
      <c r="AS1439" t="s">
        <v>66</v>
      </c>
      <c r="AT1439">
        <v>0</v>
      </c>
      <c r="AU1439" t="s">
        <v>66</v>
      </c>
      <c r="AV1439">
        <v>0</v>
      </c>
      <c r="AW1439" t="s">
        <v>66</v>
      </c>
      <c r="AX1439">
        <v>0</v>
      </c>
      <c r="AY1439" t="s">
        <v>66</v>
      </c>
      <c r="AZ1439">
        <v>0</v>
      </c>
      <c r="BA1439" t="s">
        <v>66</v>
      </c>
      <c r="BB1439">
        <v>0</v>
      </c>
      <c r="BC1439">
        <v>0</v>
      </c>
      <c r="BD1439">
        <v>33300</v>
      </c>
      <c r="BE1439">
        <v>2247.1799999999998</v>
      </c>
      <c r="BF1439">
        <v>0</v>
      </c>
      <c r="BG1439" t="s">
        <v>87</v>
      </c>
      <c r="BH1439" t="s">
        <v>66</v>
      </c>
      <c r="BI1439">
        <v>0</v>
      </c>
      <c r="BJ1439" t="s">
        <v>66</v>
      </c>
      <c r="BK1439" t="s">
        <v>88</v>
      </c>
      <c r="BL1439" t="s">
        <v>66</v>
      </c>
      <c r="BM1439" t="s">
        <v>159</v>
      </c>
    </row>
    <row r="1440" spans="1:65" x14ac:dyDescent="0.25">
      <c r="A1440">
        <v>1438</v>
      </c>
      <c r="B1440" t="s">
        <v>1616</v>
      </c>
      <c r="C1440" t="s">
        <v>68</v>
      </c>
      <c r="D1440" s="1">
        <v>46220</v>
      </c>
      <c r="E1440" t="s">
        <v>1617</v>
      </c>
      <c r="F1440" t="s">
        <v>68</v>
      </c>
      <c r="G1440" t="s">
        <v>295</v>
      </c>
      <c r="H1440" t="s">
        <v>296</v>
      </c>
      <c r="I1440" t="s">
        <v>71</v>
      </c>
      <c r="J1440" t="s">
        <v>72</v>
      </c>
      <c r="K1440" t="s">
        <v>73</v>
      </c>
      <c r="L1440" t="s">
        <v>74</v>
      </c>
      <c r="M1440" t="s">
        <v>792</v>
      </c>
      <c r="N1440" t="s">
        <v>274</v>
      </c>
      <c r="O1440" t="s">
        <v>793</v>
      </c>
      <c r="P1440" t="s">
        <v>794</v>
      </c>
      <c r="Q1440" t="s">
        <v>1618</v>
      </c>
      <c r="R1440" s="1">
        <v>46221</v>
      </c>
      <c r="S1440" t="s">
        <v>796</v>
      </c>
      <c r="T1440" t="s">
        <v>797</v>
      </c>
      <c r="U1440" t="s">
        <v>798</v>
      </c>
      <c r="V1440" t="s">
        <v>66</v>
      </c>
      <c r="W1440" t="s">
        <v>66</v>
      </c>
      <c r="X1440">
        <v>375000</v>
      </c>
      <c r="Y1440">
        <v>41250</v>
      </c>
      <c r="Z1440">
        <v>60600</v>
      </c>
      <c r="AA1440">
        <v>6666</v>
      </c>
      <c r="AB1440">
        <v>416250</v>
      </c>
      <c r="AC1440">
        <v>6</v>
      </c>
      <c r="AD1440" t="s">
        <v>82</v>
      </c>
      <c r="AE1440">
        <v>6</v>
      </c>
      <c r="AF1440" t="s">
        <v>857</v>
      </c>
      <c r="AG1440">
        <f>IFERROR(VLOOKUP(AF1440,[1]STOK!J:O,6,0),"")</f>
        <v>24</v>
      </c>
      <c r="AH1440" s="2">
        <f t="shared" si="44"/>
        <v>0.25</v>
      </c>
      <c r="AI1440" t="s">
        <v>857</v>
      </c>
      <c r="AJ1440" t="s">
        <v>858</v>
      </c>
      <c r="AK1440" t="s">
        <v>859</v>
      </c>
      <c r="AL1440" t="s">
        <v>86</v>
      </c>
      <c r="AM1440">
        <v>11211</v>
      </c>
      <c r="AN1440">
        <f t="shared" si="45"/>
        <v>11211</v>
      </c>
      <c r="AO1440" t="s">
        <v>66</v>
      </c>
      <c r="AP1440">
        <v>0</v>
      </c>
      <c r="AQ1440" t="s">
        <v>66</v>
      </c>
      <c r="AR1440">
        <v>0</v>
      </c>
      <c r="AS1440" t="s">
        <v>66</v>
      </c>
      <c r="AT1440">
        <v>0</v>
      </c>
      <c r="AU1440" t="s">
        <v>66</v>
      </c>
      <c r="AV1440">
        <v>0</v>
      </c>
      <c r="AW1440" t="s">
        <v>66</v>
      </c>
      <c r="AX1440">
        <v>0</v>
      </c>
      <c r="AY1440" t="s">
        <v>66</v>
      </c>
      <c r="AZ1440">
        <v>0</v>
      </c>
      <c r="BA1440" t="s">
        <v>66</v>
      </c>
      <c r="BB1440">
        <v>0</v>
      </c>
      <c r="BC1440">
        <v>0</v>
      </c>
      <c r="BD1440">
        <v>67266</v>
      </c>
      <c r="BE1440">
        <v>9347.4699999999993</v>
      </c>
      <c r="BF1440">
        <v>0</v>
      </c>
      <c r="BG1440" t="s">
        <v>87</v>
      </c>
      <c r="BH1440" t="s">
        <v>66</v>
      </c>
      <c r="BI1440">
        <v>0</v>
      </c>
      <c r="BJ1440" t="s">
        <v>66</v>
      </c>
      <c r="BK1440" t="s">
        <v>88</v>
      </c>
      <c r="BL1440" t="s">
        <v>66</v>
      </c>
      <c r="BM1440" t="s">
        <v>159</v>
      </c>
    </row>
    <row r="1441" spans="1:65" x14ac:dyDescent="0.25">
      <c r="A1441">
        <v>1439</v>
      </c>
      <c r="B1441" t="s">
        <v>1616</v>
      </c>
      <c r="C1441" t="s">
        <v>68</v>
      </c>
      <c r="D1441" s="1">
        <v>46220</v>
      </c>
      <c r="E1441" t="s">
        <v>1617</v>
      </c>
      <c r="F1441" t="s">
        <v>68</v>
      </c>
      <c r="G1441" t="s">
        <v>295</v>
      </c>
      <c r="H1441" t="s">
        <v>296</v>
      </c>
      <c r="I1441" t="s">
        <v>71</v>
      </c>
      <c r="J1441" t="s">
        <v>72</v>
      </c>
      <c r="K1441" t="s">
        <v>73</v>
      </c>
      <c r="L1441" t="s">
        <v>74</v>
      </c>
      <c r="M1441" t="s">
        <v>792</v>
      </c>
      <c r="N1441" t="s">
        <v>274</v>
      </c>
      <c r="O1441" t="s">
        <v>793</v>
      </c>
      <c r="P1441" t="s">
        <v>794</v>
      </c>
      <c r="Q1441" t="s">
        <v>1618</v>
      </c>
      <c r="R1441" s="1">
        <v>46221</v>
      </c>
      <c r="S1441" t="s">
        <v>796</v>
      </c>
      <c r="T1441" t="s">
        <v>797</v>
      </c>
      <c r="U1441" t="s">
        <v>798</v>
      </c>
      <c r="V1441" t="s">
        <v>66</v>
      </c>
      <c r="W1441" t="s">
        <v>66</v>
      </c>
      <c r="X1441">
        <v>375000</v>
      </c>
      <c r="Y1441">
        <v>41250</v>
      </c>
      <c r="Z1441">
        <v>94800</v>
      </c>
      <c r="AA1441">
        <v>10428</v>
      </c>
      <c r="AB1441">
        <v>416250</v>
      </c>
      <c r="AC1441">
        <v>12</v>
      </c>
      <c r="AD1441" t="s">
        <v>82</v>
      </c>
      <c r="AE1441">
        <v>12</v>
      </c>
      <c r="AF1441" t="s">
        <v>344</v>
      </c>
      <c r="AG1441">
        <f>IFERROR(VLOOKUP(AF1441,[1]STOK!J:O,6,0),"")</f>
        <v>24</v>
      </c>
      <c r="AH1441" s="2">
        <f t="shared" si="44"/>
        <v>0.5</v>
      </c>
      <c r="AI1441" t="s">
        <v>344</v>
      </c>
      <c r="AJ1441" t="s">
        <v>345</v>
      </c>
      <c r="AK1441" t="s">
        <v>346</v>
      </c>
      <c r="AL1441" t="s">
        <v>86</v>
      </c>
      <c r="AM1441">
        <v>8769</v>
      </c>
      <c r="AN1441">
        <f t="shared" si="45"/>
        <v>8769</v>
      </c>
      <c r="AO1441" t="s">
        <v>66</v>
      </c>
      <c r="AP1441">
        <v>0</v>
      </c>
      <c r="AQ1441" t="s">
        <v>66</v>
      </c>
      <c r="AR1441">
        <v>0</v>
      </c>
      <c r="AS1441" t="s">
        <v>66</v>
      </c>
      <c r="AT1441">
        <v>0</v>
      </c>
      <c r="AU1441" t="s">
        <v>66</v>
      </c>
      <c r="AV1441">
        <v>0</v>
      </c>
      <c r="AW1441" t="s">
        <v>66</v>
      </c>
      <c r="AX1441">
        <v>0</v>
      </c>
      <c r="AY1441" t="s">
        <v>66</v>
      </c>
      <c r="AZ1441">
        <v>0</v>
      </c>
      <c r="BA1441" t="s">
        <v>66</v>
      </c>
      <c r="BB1441">
        <v>0</v>
      </c>
      <c r="BC1441">
        <v>0</v>
      </c>
      <c r="BD1441">
        <v>105228</v>
      </c>
      <c r="BE1441">
        <v>6916.14</v>
      </c>
      <c r="BF1441">
        <v>0</v>
      </c>
      <c r="BG1441" t="s">
        <v>87</v>
      </c>
      <c r="BH1441" t="s">
        <v>66</v>
      </c>
      <c r="BI1441">
        <v>0</v>
      </c>
      <c r="BJ1441" t="s">
        <v>66</v>
      </c>
      <c r="BK1441" t="s">
        <v>88</v>
      </c>
      <c r="BL1441" t="s">
        <v>66</v>
      </c>
      <c r="BM1441" t="s">
        <v>159</v>
      </c>
    </row>
    <row r="1442" spans="1:65" x14ac:dyDescent="0.25">
      <c r="A1442">
        <v>1440</v>
      </c>
      <c r="B1442" t="s">
        <v>1616</v>
      </c>
      <c r="C1442" t="s">
        <v>68</v>
      </c>
      <c r="D1442" s="1">
        <v>46220</v>
      </c>
      <c r="E1442" t="s">
        <v>1617</v>
      </c>
      <c r="F1442" t="s">
        <v>68</v>
      </c>
      <c r="G1442" t="s">
        <v>295</v>
      </c>
      <c r="H1442" t="s">
        <v>296</v>
      </c>
      <c r="I1442" t="s">
        <v>71</v>
      </c>
      <c r="J1442" t="s">
        <v>72</v>
      </c>
      <c r="K1442" t="s">
        <v>73</v>
      </c>
      <c r="L1442" t="s">
        <v>74</v>
      </c>
      <c r="M1442" t="s">
        <v>792</v>
      </c>
      <c r="N1442" t="s">
        <v>274</v>
      </c>
      <c r="O1442" t="s">
        <v>793</v>
      </c>
      <c r="P1442" t="s">
        <v>794</v>
      </c>
      <c r="Q1442" t="s">
        <v>1618</v>
      </c>
      <c r="R1442" s="1">
        <v>46221</v>
      </c>
      <c r="S1442" t="s">
        <v>796</v>
      </c>
      <c r="T1442" t="s">
        <v>797</v>
      </c>
      <c r="U1442" t="s">
        <v>798</v>
      </c>
      <c r="V1442" t="s">
        <v>66</v>
      </c>
      <c r="W1442" t="s">
        <v>66</v>
      </c>
      <c r="X1442">
        <v>375000</v>
      </c>
      <c r="Y1442">
        <v>41250</v>
      </c>
      <c r="Z1442">
        <v>159600</v>
      </c>
      <c r="AA1442">
        <v>17556</v>
      </c>
      <c r="AB1442">
        <v>416250</v>
      </c>
      <c r="AC1442">
        <v>12</v>
      </c>
      <c r="AD1442" t="s">
        <v>82</v>
      </c>
      <c r="AE1442">
        <v>12</v>
      </c>
      <c r="AF1442" t="s">
        <v>135</v>
      </c>
      <c r="AG1442">
        <f>IFERROR(VLOOKUP(AF1442,[1]STOK!J:O,6,0),"")</f>
        <v>12</v>
      </c>
      <c r="AH1442" s="2">
        <f t="shared" si="44"/>
        <v>1</v>
      </c>
      <c r="AI1442" t="s">
        <v>135</v>
      </c>
      <c r="AJ1442" t="s">
        <v>136</v>
      </c>
      <c r="AK1442" t="s">
        <v>137</v>
      </c>
      <c r="AL1442" t="s">
        <v>86</v>
      </c>
      <c r="AM1442">
        <v>14763</v>
      </c>
      <c r="AN1442">
        <f t="shared" si="45"/>
        <v>14763</v>
      </c>
      <c r="AO1442" t="s">
        <v>66</v>
      </c>
      <c r="AP1442">
        <v>0</v>
      </c>
      <c r="AQ1442" t="s">
        <v>66</v>
      </c>
      <c r="AR1442">
        <v>0</v>
      </c>
      <c r="AS1442" t="s">
        <v>66</v>
      </c>
      <c r="AT1442">
        <v>0</v>
      </c>
      <c r="AU1442" t="s">
        <v>66</v>
      </c>
      <c r="AV1442">
        <v>0</v>
      </c>
      <c r="AW1442" t="s">
        <v>66</v>
      </c>
      <c r="AX1442">
        <v>0</v>
      </c>
      <c r="AY1442" t="s">
        <v>66</v>
      </c>
      <c r="AZ1442">
        <v>0</v>
      </c>
      <c r="BA1442" t="s">
        <v>66</v>
      </c>
      <c r="BB1442">
        <v>0</v>
      </c>
      <c r="BC1442">
        <v>0</v>
      </c>
      <c r="BD1442">
        <v>177156</v>
      </c>
      <c r="BE1442">
        <v>12035.7</v>
      </c>
      <c r="BF1442">
        <v>0</v>
      </c>
      <c r="BG1442" t="s">
        <v>87</v>
      </c>
      <c r="BH1442" t="s">
        <v>66</v>
      </c>
      <c r="BI1442">
        <v>0</v>
      </c>
      <c r="BJ1442" t="s">
        <v>66</v>
      </c>
      <c r="BK1442" t="s">
        <v>88</v>
      </c>
      <c r="BL1442" t="s">
        <v>66</v>
      </c>
      <c r="BM1442" t="s">
        <v>159</v>
      </c>
    </row>
    <row r="1443" spans="1:65" x14ac:dyDescent="0.25">
      <c r="A1443">
        <v>1441</v>
      </c>
      <c r="B1443" t="s">
        <v>1619</v>
      </c>
      <c r="C1443" t="s">
        <v>68</v>
      </c>
      <c r="D1443" s="1">
        <v>46220</v>
      </c>
      <c r="E1443" t="s">
        <v>1620</v>
      </c>
      <c r="F1443" t="s">
        <v>68</v>
      </c>
      <c r="G1443" t="s">
        <v>295</v>
      </c>
      <c r="H1443" t="s">
        <v>296</v>
      </c>
      <c r="I1443" t="s">
        <v>71</v>
      </c>
      <c r="J1443" t="s">
        <v>72</v>
      </c>
      <c r="K1443" t="s">
        <v>73</v>
      </c>
      <c r="L1443" t="s">
        <v>74</v>
      </c>
      <c r="M1443" t="s">
        <v>792</v>
      </c>
      <c r="N1443" t="s">
        <v>274</v>
      </c>
      <c r="O1443" t="s">
        <v>793</v>
      </c>
      <c r="P1443" t="s">
        <v>794</v>
      </c>
      <c r="Q1443" t="s">
        <v>1621</v>
      </c>
      <c r="R1443" s="1">
        <v>46221</v>
      </c>
      <c r="S1443" t="s">
        <v>796</v>
      </c>
      <c r="T1443" t="s">
        <v>797</v>
      </c>
      <c r="U1443" t="s">
        <v>798</v>
      </c>
      <c r="V1443" t="s">
        <v>66</v>
      </c>
      <c r="W1443" t="s">
        <v>66</v>
      </c>
      <c r="X1443">
        <v>1912800</v>
      </c>
      <c r="Y1443">
        <v>210408</v>
      </c>
      <c r="Z1443">
        <v>30000</v>
      </c>
      <c r="AA1443">
        <v>3300</v>
      </c>
      <c r="AB1443">
        <v>2123208</v>
      </c>
      <c r="AC1443">
        <v>12</v>
      </c>
      <c r="AD1443" t="s">
        <v>82</v>
      </c>
      <c r="AE1443">
        <v>12</v>
      </c>
      <c r="AF1443" t="s">
        <v>341</v>
      </c>
      <c r="AG1443">
        <f>IFERROR(VLOOKUP(AF1443,[1]STOK!J:O,6,0),"")</f>
        <v>72</v>
      </c>
      <c r="AH1443" s="2">
        <f t="shared" si="44"/>
        <v>0.16666666666666666</v>
      </c>
      <c r="AI1443" t="s">
        <v>341</v>
      </c>
      <c r="AJ1443" t="s">
        <v>342</v>
      </c>
      <c r="AK1443" t="s">
        <v>343</v>
      </c>
      <c r="AL1443" t="s">
        <v>86</v>
      </c>
      <c r="AM1443">
        <v>2775</v>
      </c>
      <c r="AN1443">
        <f t="shared" si="45"/>
        <v>2775</v>
      </c>
      <c r="AO1443" t="s">
        <v>66</v>
      </c>
      <c r="AP1443">
        <v>0</v>
      </c>
      <c r="AQ1443" t="s">
        <v>66</v>
      </c>
      <c r="AR1443">
        <v>0</v>
      </c>
      <c r="AS1443" t="s">
        <v>66</v>
      </c>
      <c r="AT1443">
        <v>0</v>
      </c>
      <c r="AU1443" t="s">
        <v>66</v>
      </c>
      <c r="AV1443">
        <v>0</v>
      </c>
      <c r="AW1443" t="s">
        <v>66</v>
      </c>
      <c r="AX1443">
        <v>0</v>
      </c>
      <c r="AY1443" t="s">
        <v>66</v>
      </c>
      <c r="AZ1443">
        <v>0</v>
      </c>
      <c r="BA1443" t="s">
        <v>66</v>
      </c>
      <c r="BB1443">
        <v>0</v>
      </c>
      <c r="BC1443">
        <v>0</v>
      </c>
      <c r="BD1443">
        <v>33300</v>
      </c>
      <c r="BE1443">
        <v>2247.1799999999998</v>
      </c>
      <c r="BF1443">
        <v>0</v>
      </c>
      <c r="BG1443" t="s">
        <v>87</v>
      </c>
      <c r="BH1443" t="s">
        <v>66</v>
      </c>
      <c r="BI1443">
        <v>0</v>
      </c>
      <c r="BJ1443" t="s">
        <v>66</v>
      </c>
      <c r="BK1443" t="s">
        <v>88</v>
      </c>
      <c r="BL1443" t="s">
        <v>66</v>
      </c>
      <c r="BM1443" t="s">
        <v>159</v>
      </c>
    </row>
    <row r="1444" spans="1:65" x14ac:dyDescent="0.25">
      <c r="A1444">
        <v>1442</v>
      </c>
      <c r="B1444" t="s">
        <v>1619</v>
      </c>
      <c r="C1444" t="s">
        <v>68</v>
      </c>
      <c r="D1444" s="1">
        <v>46220</v>
      </c>
      <c r="E1444" t="s">
        <v>1620</v>
      </c>
      <c r="F1444" t="s">
        <v>68</v>
      </c>
      <c r="G1444" t="s">
        <v>295</v>
      </c>
      <c r="H1444" t="s">
        <v>296</v>
      </c>
      <c r="I1444" t="s">
        <v>71</v>
      </c>
      <c r="J1444" t="s">
        <v>72</v>
      </c>
      <c r="K1444" t="s">
        <v>73</v>
      </c>
      <c r="L1444" t="s">
        <v>74</v>
      </c>
      <c r="M1444" t="s">
        <v>792</v>
      </c>
      <c r="N1444" t="s">
        <v>274</v>
      </c>
      <c r="O1444" t="s">
        <v>793</v>
      </c>
      <c r="P1444" t="s">
        <v>794</v>
      </c>
      <c r="Q1444" t="s">
        <v>1621</v>
      </c>
      <c r="R1444" s="1">
        <v>46221</v>
      </c>
      <c r="S1444" t="s">
        <v>796</v>
      </c>
      <c r="T1444" t="s">
        <v>797</v>
      </c>
      <c r="U1444" t="s">
        <v>798</v>
      </c>
      <c r="V1444" t="s">
        <v>66</v>
      </c>
      <c r="W1444" t="s">
        <v>66</v>
      </c>
      <c r="X1444">
        <v>1912800</v>
      </c>
      <c r="Y1444">
        <v>210408</v>
      </c>
      <c r="Z1444">
        <v>94800</v>
      </c>
      <c r="AA1444">
        <v>10428</v>
      </c>
      <c r="AB1444">
        <v>2123208</v>
      </c>
      <c r="AC1444">
        <v>12</v>
      </c>
      <c r="AD1444" t="s">
        <v>82</v>
      </c>
      <c r="AE1444">
        <v>12</v>
      </c>
      <c r="AF1444" t="s">
        <v>199</v>
      </c>
      <c r="AG1444">
        <f>IFERROR(VLOOKUP(AF1444,[1]STOK!J:O,6,0),"")</f>
        <v>24</v>
      </c>
      <c r="AH1444" s="2">
        <f t="shared" si="44"/>
        <v>0.5</v>
      </c>
      <c r="AI1444" t="s">
        <v>199</v>
      </c>
      <c r="AJ1444" t="s">
        <v>200</v>
      </c>
      <c r="AK1444" t="s">
        <v>201</v>
      </c>
      <c r="AL1444" t="s">
        <v>86</v>
      </c>
      <c r="AM1444">
        <v>8769</v>
      </c>
      <c r="AN1444">
        <f t="shared" si="45"/>
        <v>8769</v>
      </c>
      <c r="AO1444" t="s">
        <v>66</v>
      </c>
      <c r="AP1444">
        <v>0</v>
      </c>
      <c r="AQ1444" t="s">
        <v>66</v>
      </c>
      <c r="AR1444">
        <v>0</v>
      </c>
      <c r="AS1444" t="s">
        <v>66</v>
      </c>
      <c r="AT1444">
        <v>0</v>
      </c>
      <c r="AU1444" t="s">
        <v>66</v>
      </c>
      <c r="AV1444">
        <v>0</v>
      </c>
      <c r="AW1444" t="s">
        <v>66</v>
      </c>
      <c r="AX1444">
        <v>0</v>
      </c>
      <c r="AY1444" t="s">
        <v>66</v>
      </c>
      <c r="AZ1444">
        <v>0</v>
      </c>
      <c r="BA1444" t="s">
        <v>66</v>
      </c>
      <c r="BB1444">
        <v>0</v>
      </c>
      <c r="BC1444">
        <v>0</v>
      </c>
      <c r="BD1444">
        <v>105228</v>
      </c>
      <c r="BE1444">
        <v>7426.79</v>
      </c>
      <c r="BF1444">
        <v>0</v>
      </c>
      <c r="BG1444" t="s">
        <v>87</v>
      </c>
      <c r="BH1444" t="s">
        <v>66</v>
      </c>
      <c r="BI1444">
        <v>0</v>
      </c>
      <c r="BJ1444" t="s">
        <v>66</v>
      </c>
      <c r="BK1444" t="s">
        <v>88</v>
      </c>
      <c r="BL1444" t="s">
        <v>66</v>
      </c>
      <c r="BM1444" t="s">
        <v>159</v>
      </c>
    </row>
    <row r="1445" spans="1:65" x14ac:dyDescent="0.25">
      <c r="A1445">
        <v>1443</v>
      </c>
      <c r="B1445" t="s">
        <v>1619</v>
      </c>
      <c r="C1445" t="s">
        <v>68</v>
      </c>
      <c r="D1445" s="1">
        <v>46220</v>
      </c>
      <c r="E1445" t="s">
        <v>1620</v>
      </c>
      <c r="F1445" t="s">
        <v>68</v>
      </c>
      <c r="G1445" t="s">
        <v>295</v>
      </c>
      <c r="H1445" t="s">
        <v>296</v>
      </c>
      <c r="I1445" t="s">
        <v>71</v>
      </c>
      <c r="J1445" t="s">
        <v>72</v>
      </c>
      <c r="K1445" t="s">
        <v>73</v>
      </c>
      <c r="L1445" t="s">
        <v>74</v>
      </c>
      <c r="M1445" t="s">
        <v>792</v>
      </c>
      <c r="N1445" t="s">
        <v>274</v>
      </c>
      <c r="O1445" t="s">
        <v>793</v>
      </c>
      <c r="P1445" t="s">
        <v>794</v>
      </c>
      <c r="Q1445" t="s">
        <v>1621</v>
      </c>
      <c r="R1445" s="1">
        <v>46221</v>
      </c>
      <c r="S1445" t="s">
        <v>796</v>
      </c>
      <c r="T1445" t="s">
        <v>797</v>
      </c>
      <c r="U1445" t="s">
        <v>798</v>
      </c>
      <c r="V1445" t="s">
        <v>66</v>
      </c>
      <c r="W1445" t="s">
        <v>66</v>
      </c>
      <c r="X1445">
        <v>1912800</v>
      </c>
      <c r="Y1445">
        <v>210408</v>
      </c>
      <c r="Z1445">
        <v>94800</v>
      </c>
      <c r="AA1445">
        <v>10428</v>
      </c>
      <c r="AB1445">
        <v>2123208</v>
      </c>
      <c r="AC1445">
        <v>12</v>
      </c>
      <c r="AD1445" t="s">
        <v>82</v>
      </c>
      <c r="AE1445">
        <v>12</v>
      </c>
      <c r="AF1445" t="s">
        <v>344</v>
      </c>
      <c r="AG1445">
        <f>IFERROR(VLOOKUP(AF1445,[1]STOK!J:O,6,0),"")</f>
        <v>24</v>
      </c>
      <c r="AH1445" s="2">
        <f t="shared" si="44"/>
        <v>0.5</v>
      </c>
      <c r="AI1445" t="s">
        <v>344</v>
      </c>
      <c r="AJ1445" t="s">
        <v>345</v>
      </c>
      <c r="AK1445" t="s">
        <v>346</v>
      </c>
      <c r="AL1445" t="s">
        <v>86</v>
      </c>
      <c r="AM1445">
        <v>8769</v>
      </c>
      <c r="AN1445">
        <f t="shared" si="45"/>
        <v>8769</v>
      </c>
      <c r="AO1445" t="s">
        <v>66</v>
      </c>
      <c r="AP1445">
        <v>0</v>
      </c>
      <c r="AQ1445" t="s">
        <v>66</v>
      </c>
      <c r="AR1445">
        <v>0</v>
      </c>
      <c r="AS1445" t="s">
        <v>66</v>
      </c>
      <c r="AT1445">
        <v>0</v>
      </c>
      <c r="AU1445" t="s">
        <v>66</v>
      </c>
      <c r="AV1445">
        <v>0</v>
      </c>
      <c r="AW1445" t="s">
        <v>66</v>
      </c>
      <c r="AX1445">
        <v>0</v>
      </c>
      <c r="AY1445" t="s">
        <v>66</v>
      </c>
      <c r="AZ1445">
        <v>0</v>
      </c>
      <c r="BA1445" t="s">
        <v>66</v>
      </c>
      <c r="BB1445">
        <v>0</v>
      </c>
      <c r="BC1445">
        <v>0</v>
      </c>
      <c r="BD1445">
        <v>105228</v>
      </c>
      <c r="BE1445">
        <v>6916.14</v>
      </c>
      <c r="BF1445">
        <v>0</v>
      </c>
      <c r="BG1445" t="s">
        <v>87</v>
      </c>
      <c r="BH1445" t="s">
        <v>66</v>
      </c>
      <c r="BI1445">
        <v>0</v>
      </c>
      <c r="BJ1445" t="s">
        <v>66</v>
      </c>
      <c r="BK1445" t="s">
        <v>88</v>
      </c>
      <c r="BL1445" t="s">
        <v>66</v>
      </c>
      <c r="BM1445" t="s">
        <v>159</v>
      </c>
    </row>
    <row r="1446" spans="1:65" x14ac:dyDescent="0.25">
      <c r="A1446">
        <v>1444</v>
      </c>
      <c r="B1446" t="s">
        <v>1619</v>
      </c>
      <c r="C1446" t="s">
        <v>68</v>
      </c>
      <c r="D1446" s="1">
        <v>46220</v>
      </c>
      <c r="E1446" t="s">
        <v>1620</v>
      </c>
      <c r="F1446" t="s">
        <v>68</v>
      </c>
      <c r="G1446" t="s">
        <v>295</v>
      </c>
      <c r="H1446" t="s">
        <v>296</v>
      </c>
      <c r="I1446" t="s">
        <v>71</v>
      </c>
      <c r="J1446" t="s">
        <v>72</v>
      </c>
      <c r="K1446" t="s">
        <v>73</v>
      </c>
      <c r="L1446" t="s">
        <v>74</v>
      </c>
      <c r="M1446" t="s">
        <v>792</v>
      </c>
      <c r="N1446" t="s">
        <v>274</v>
      </c>
      <c r="O1446" t="s">
        <v>793</v>
      </c>
      <c r="P1446" t="s">
        <v>794</v>
      </c>
      <c r="Q1446" t="s">
        <v>1621</v>
      </c>
      <c r="R1446" s="1">
        <v>46221</v>
      </c>
      <c r="S1446" t="s">
        <v>796</v>
      </c>
      <c r="T1446" t="s">
        <v>797</v>
      </c>
      <c r="U1446" t="s">
        <v>798</v>
      </c>
      <c r="V1446" t="s">
        <v>66</v>
      </c>
      <c r="W1446" t="s">
        <v>66</v>
      </c>
      <c r="X1446">
        <v>1912800</v>
      </c>
      <c r="Y1446">
        <v>210408</v>
      </c>
      <c r="Z1446">
        <v>198000</v>
      </c>
      <c r="AA1446">
        <v>21780</v>
      </c>
      <c r="AB1446">
        <v>2123208</v>
      </c>
      <c r="AC1446">
        <v>12</v>
      </c>
      <c r="AD1446" t="s">
        <v>82</v>
      </c>
      <c r="AE1446">
        <v>12</v>
      </c>
      <c r="AF1446" t="s">
        <v>93</v>
      </c>
      <c r="AG1446">
        <f>IFERROR(VLOOKUP(AF1446,[1]STOK!J:O,6,0),"")</f>
        <v>24</v>
      </c>
      <c r="AH1446" s="2">
        <f t="shared" si="44"/>
        <v>0.5</v>
      </c>
      <c r="AI1446" t="s">
        <v>93</v>
      </c>
      <c r="AJ1446" t="s">
        <v>94</v>
      </c>
      <c r="AK1446" t="s">
        <v>95</v>
      </c>
      <c r="AL1446" t="s">
        <v>86</v>
      </c>
      <c r="AM1446">
        <v>18315</v>
      </c>
      <c r="AN1446">
        <f t="shared" si="45"/>
        <v>18315</v>
      </c>
      <c r="AO1446" t="s">
        <v>66</v>
      </c>
      <c r="AP1446">
        <v>0</v>
      </c>
      <c r="AQ1446" t="s">
        <v>66</v>
      </c>
      <c r="AR1446">
        <v>0</v>
      </c>
      <c r="AS1446" t="s">
        <v>66</v>
      </c>
      <c r="AT1446">
        <v>0</v>
      </c>
      <c r="AU1446" t="s">
        <v>66</v>
      </c>
      <c r="AV1446">
        <v>0</v>
      </c>
      <c r="AW1446" t="s">
        <v>66</v>
      </c>
      <c r="AX1446">
        <v>0</v>
      </c>
      <c r="AY1446" t="s">
        <v>66</v>
      </c>
      <c r="AZ1446">
        <v>0</v>
      </c>
      <c r="BA1446" t="s">
        <v>66</v>
      </c>
      <c r="BB1446">
        <v>0</v>
      </c>
      <c r="BC1446">
        <v>0</v>
      </c>
      <c r="BD1446">
        <v>219780</v>
      </c>
      <c r="BE1446">
        <v>14878.51</v>
      </c>
      <c r="BF1446">
        <v>0</v>
      </c>
      <c r="BG1446" t="s">
        <v>87</v>
      </c>
      <c r="BH1446" t="s">
        <v>66</v>
      </c>
      <c r="BI1446">
        <v>0</v>
      </c>
      <c r="BJ1446" t="s">
        <v>66</v>
      </c>
      <c r="BK1446" t="s">
        <v>88</v>
      </c>
      <c r="BL1446" t="s">
        <v>66</v>
      </c>
      <c r="BM1446" t="s">
        <v>159</v>
      </c>
    </row>
    <row r="1447" spans="1:65" x14ac:dyDescent="0.25">
      <c r="A1447">
        <v>1445</v>
      </c>
      <c r="B1447" t="s">
        <v>1619</v>
      </c>
      <c r="C1447" t="s">
        <v>68</v>
      </c>
      <c r="D1447" s="1">
        <v>46220</v>
      </c>
      <c r="E1447" t="s">
        <v>1620</v>
      </c>
      <c r="F1447" t="s">
        <v>68</v>
      </c>
      <c r="G1447" t="s">
        <v>295</v>
      </c>
      <c r="H1447" t="s">
        <v>296</v>
      </c>
      <c r="I1447" t="s">
        <v>71</v>
      </c>
      <c r="J1447" t="s">
        <v>72</v>
      </c>
      <c r="K1447" t="s">
        <v>73</v>
      </c>
      <c r="L1447" t="s">
        <v>74</v>
      </c>
      <c r="M1447" t="s">
        <v>792</v>
      </c>
      <c r="N1447" t="s">
        <v>274</v>
      </c>
      <c r="O1447" t="s">
        <v>793</v>
      </c>
      <c r="P1447" t="s">
        <v>794</v>
      </c>
      <c r="Q1447" t="s">
        <v>1621</v>
      </c>
      <c r="R1447" s="1">
        <v>46221</v>
      </c>
      <c r="S1447" t="s">
        <v>796</v>
      </c>
      <c r="T1447" t="s">
        <v>797</v>
      </c>
      <c r="U1447" t="s">
        <v>798</v>
      </c>
      <c r="V1447" t="s">
        <v>66</v>
      </c>
      <c r="W1447" t="s">
        <v>66</v>
      </c>
      <c r="X1447">
        <v>1912800</v>
      </c>
      <c r="Y1447">
        <v>210408</v>
      </c>
      <c r="Z1447">
        <v>396000</v>
      </c>
      <c r="AA1447">
        <v>43560</v>
      </c>
      <c r="AB1447">
        <v>2123208</v>
      </c>
      <c r="AC1447">
        <v>24</v>
      </c>
      <c r="AD1447" t="s">
        <v>82</v>
      </c>
      <c r="AE1447">
        <v>24</v>
      </c>
      <c r="AF1447" t="s">
        <v>99</v>
      </c>
      <c r="AG1447">
        <f>IFERROR(VLOOKUP(AF1447,[1]STOK!J:O,6,0),"")</f>
        <v>24</v>
      </c>
      <c r="AH1447" s="2">
        <f t="shared" si="44"/>
        <v>1</v>
      </c>
      <c r="AI1447" t="s">
        <v>99</v>
      </c>
      <c r="AJ1447" t="s">
        <v>100</v>
      </c>
      <c r="AK1447" t="s">
        <v>101</v>
      </c>
      <c r="AL1447" t="s">
        <v>86</v>
      </c>
      <c r="AM1447">
        <v>18315</v>
      </c>
      <c r="AN1447">
        <f t="shared" si="45"/>
        <v>18315</v>
      </c>
      <c r="AO1447" t="s">
        <v>66</v>
      </c>
      <c r="AP1447">
        <v>0</v>
      </c>
      <c r="AQ1447" t="s">
        <v>66</v>
      </c>
      <c r="AR1447">
        <v>0</v>
      </c>
      <c r="AS1447" t="s">
        <v>66</v>
      </c>
      <c r="AT1447">
        <v>0</v>
      </c>
      <c r="AU1447" t="s">
        <v>66</v>
      </c>
      <c r="AV1447">
        <v>0</v>
      </c>
      <c r="AW1447" t="s">
        <v>66</v>
      </c>
      <c r="AX1447">
        <v>0</v>
      </c>
      <c r="AY1447" t="s">
        <v>66</v>
      </c>
      <c r="AZ1447">
        <v>0</v>
      </c>
      <c r="BA1447" t="s">
        <v>66</v>
      </c>
      <c r="BB1447">
        <v>0</v>
      </c>
      <c r="BC1447">
        <v>0</v>
      </c>
      <c r="BD1447">
        <v>439560</v>
      </c>
      <c r="BE1447">
        <v>14920.37</v>
      </c>
      <c r="BF1447">
        <v>0</v>
      </c>
      <c r="BG1447" t="s">
        <v>87</v>
      </c>
      <c r="BH1447" t="s">
        <v>66</v>
      </c>
      <c r="BI1447">
        <v>0</v>
      </c>
      <c r="BJ1447" t="s">
        <v>66</v>
      </c>
      <c r="BK1447" t="s">
        <v>88</v>
      </c>
      <c r="BL1447" t="s">
        <v>66</v>
      </c>
      <c r="BM1447" t="s">
        <v>159</v>
      </c>
    </row>
    <row r="1448" spans="1:65" x14ac:dyDescent="0.25">
      <c r="A1448">
        <v>1446</v>
      </c>
      <c r="B1448" t="s">
        <v>1619</v>
      </c>
      <c r="C1448" t="s">
        <v>68</v>
      </c>
      <c r="D1448" s="1">
        <v>46220</v>
      </c>
      <c r="E1448" t="s">
        <v>1620</v>
      </c>
      <c r="F1448" t="s">
        <v>68</v>
      </c>
      <c r="G1448" t="s">
        <v>295</v>
      </c>
      <c r="H1448" t="s">
        <v>296</v>
      </c>
      <c r="I1448" t="s">
        <v>71</v>
      </c>
      <c r="J1448" t="s">
        <v>72</v>
      </c>
      <c r="K1448" t="s">
        <v>73</v>
      </c>
      <c r="L1448" t="s">
        <v>74</v>
      </c>
      <c r="M1448" t="s">
        <v>792</v>
      </c>
      <c r="N1448" t="s">
        <v>274</v>
      </c>
      <c r="O1448" t="s">
        <v>793</v>
      </c>
      <c r="P1448" t="s">
        <v>794</v>
      </c>
      <c r="Q1448" t="s">
        <v>1621</v>
      </c>
      <c r="R1448" s="1">
        <v>46221</v>
      </c>
      <c r="S1448" t="s">
        <v>796</v>
      </c>
      <c r="T1448" t="s">
        <v>797</v>
      </c>
      <c r="U1448" t="s">
        <v>798</v>
      </c>
      <c r="V1448" t="s">
        <v>66</v>
      </c>
      <c r="W1448" t="s">
        <v>66</v>
      </c>
      <c r="X1448">
        <v>1912800</v>
      </c>
      <c r="Y1448">
        <v>210408</v>
      </c>
      <c r="Z1448">
        <v>159600</v>
      </c>
      <c r="AA1448">
        <v>17556</v>
      </c>
      <c r="AB1448">
        <v>2123208</v>
      </c>
      <c r="AC1448">
        <v>12</v>
      </c>
      <c r="AD1448" t="s">
        <v>82</v>
      </c>
      <c r="AE1448">
        <v>12</v>
      </c>
      <c r="AF1448" t="s">
        <v>135</v>
      </c>
      <c r="AG1448">
        <f>IFERROR(VLOOKUP(AF1448,[1]STOK!J:O,6,0),"")</f>
        <v>12</v>
      </c>
      <c r="AH1448" s="2">
        <f t="shared" si="44"/>
        <v>1</v>
      </c>
      <c r="AI1448" t="s">
        <v>135</v>
      </c>
      <c r="AJ1448" t="s">
        <v>136</v>
      </c>
      <c r="AK1448" t="s">
        <v>137</v>
      </c>
      <c r="AL1448" t="s">
        <v>86</v>
      </c>
      <c r="AM1448">
        <v>14763</v>
      </c>
      <c r="AN1448">
        <f t="shared" si="45"/>
        <v>14763</v>
      </c>
      <c r="AO1448" t="s">
        <v>66</v>
      </c>
      <c r="AP1448">
        <v>0</v>
      </c>
      <c r="AQ1448" t="s">
        <v>66</v>
      </c>
      <c r="AR1448">
        <v>0</v>
      </c>
      <c r="AS1448" t="s">
        <v>66</v>
      </c>
      <c r="AT1448">
        <v>0</v>
      </c>
      <c r="AU1448" t="s">
        <v>66</v>
      </c>
      <c r="AV1448">
        <v>0</v>
      </c>
      <c r="AW1448" t="s">
        <v>66</v>
      </c>
      <c r="AX1448">
        <v>0</v>
      </c>
      <c r="AY1448" t="s">
        <v>66</v>
      </c>
      <c r="AZ1448">
        <v>0</v>
      </c>
      <c r="BA1448" t="s">
        <v>66</v>
      </c>
      <c r="BB1448">
        <v>0</v>
      </c>
      <c r="BC1448">
        <v>0</v>
      </c>
      <c r="BD1448">
        <v>177156</v>
      </c>
      <c r="BE1448">
        <v>12035.7</v>
      </c>
      <c r="BF1448">
        <v>0</v>
      </c>
      <c r="BG1448" t="s">
        <v>87</v>
      </c>
      <c r="BH1448" t="s">
        <v>66</v>
      </c>
      <c r="BI1448">
        <v>0</v>
      </c>
      <c r="BJ1448" t="s">
        <v>66</v>
      </c>
      <c r="BK1448" t="s">
        <v>88</v>
      </c>
      <c r="BL1448" t="s">
        <v>66</v>
      </c>
      <c r="BM1448" t="s">
        <v>159</v>
      </c>
    </row>
    <row r="1449" spans="1:65" x14ac:dyDescent="0.25">
      <c r="A1449">
        <v>1447</v>
      </c>
      <c r="B1449" t="s">
        <v>1619</v>
      </c>
      <c r="C1449" t="s">
        <v>68</v>
      </c>
      <c r="D1449" s="1">
        <v>46220</v>
      </c>
      <c r="E1449" t="s">
        <v>1620</v>
      </c>
      <c r="F1449" t="s">
        <v>68</v>
      </c>
      <c r="G1449" t="s">
        <v>295</v>
      </c>
      <c r="H1449" t="s">
        <v>296</v>
      </c>
      <c r="I1449" t="s">
        <v>71</v>
      </c>
      <c r="J1449" t="s">
        <v>72</v>
      </c>
      <c r="K1449" t="s">
        <v>73</v>
      </c>
      <c r="L1449" t="s">
        <v>74</v>
      </c>
      <c r="M1449" t="s">
        <v>792</v>
      </c>
      <c r="N1449" t="s">
        <v>274</v>
      </c>
      <c r="O1449" t="s">
        <v>793</v>
      </c>
      <c r="P1449" t="s">
        <v>794</v>
      </c>
      <c r="Q1449" t="s">
        <v>1621</v>
      </c>
      <c r="R1449" s="1">
        <v>46221</v>
      </c>
      <c r="S1449" t="s">
        <v>796</v>
      </c>
      <c r="T1449" t="s">
        <v>797</v>
      </c>
      <c r="U1449" t="s">
        <v>798</v>
      </c>
      <c r="V1449" t="s">
        <v>66</v>
      </c>
      <c r="W1449" t="s">
        <v>66</v>
      </c>
      <c r="X1449">
        <v>1912800</v>
      </c>
      <c r="Y1449">
        <v>210408</v>
      </c>
      <c r="Z1449">
        <v>240000</v>
      </c>
      <c r="AA1449">
        <v>26400</v>
      </c>
      <c r="AB1449">
        <v>2123208</v>
      </c>
      <c r="AC1449">
        <v>12</v>
      </c>
      <c r="AD1449" t="s">
        <v>82</v>
      </c>
      <c r="AE1449">
        <v>12</v>
      </c>
      <c r="AF1449" t="s">
        <v>290</v>
      </c>
      <c r="AG1449">
        <f>IFERROR(VLOOKUP(AF1449,[1]STOK!J:O,6,0),"")</f>
        <v>12</v>
      </c>
      <c r="AH1449" s="2">
        <f t="shared" si="44"/>
        <v>1</v>
      </c>
      <c r="AI1449" t="s">
        <v>290</v>
      </c>
      <c r="AJ1449" t="s">
        <v>291</v>
      </c>
      <c r="AK1449" t="s">
        <v>292</v>
      </c>
      <c r="AL1449" t="s">
        <v>86</v>
      </c>
      <c r="AM1449">
        <v>22200</v>
      </c>
      <c r="AN1449">
        <f t="shared" si="45"/>
        <v>22200</v>
      </c>
      <c r="AO1449" t="s">
        <v>66</v>
      </c>
      <c r="AP1449">
        <v>0</v>
      </c>
      <c r="AQ1449" t="s">
        <v>66</v>
      </c>
      <c r="AR1449">
        <v>0</v>
      </c>
      <c r="AS1449" t="s">
        <v>66</v>
      </c>
      <c r="AT1449">
        <v>0</v>
      </c>
      <c r="AU1449" t="s">
        <v>66</v>
      </c>
      <c r="AV1449">
        <v>0</v>
      </c>
      <c r="AW1449" t="s">
        <v>66</v>
      </c>
      <c r="AX1449">
        <v>0</v>
      </c>
      <c r="AY1449" t="s">
        <v>66</v>
      </c>
      <c r="AZ1449">
        <v>0</v>
      </c>
      <c r="BA1449" t="s">
        <v>66</v>
      </c>
      <c r="BB1449">
        <v>0</v>
      </c>
      <c r="BC1449">
        <v>0</v>
      </c>
      <c r="BD1449">
        <v>266400</v>
      </c>
      <c r="BE1449">
        <v>18103.580000000002</v>
      </c>
      <c r="BF1449">
        <v>0</v>
      </c>
      <c r="BG1449" t="s">
        <v>87</v>
      </c>
      <c r="BH1449" t="s">
        <v>66</v>
      </c>
      <c r="BI1449">
        <v>0</v>
      </c>
      <c r="BJ1449" t="s">
        <v>66</v>
      </c>
      <c r="BK1449" t="s">
        <v>88</v>
      </c>
      <c r="BL1449" t="s">
        <v>66</v>
      </c>
      <c r="BM1449" t="s">
        <v>159</v>
      </c>
    </row>
    <row r="1450" spans="1:65" x14ac:dyDescent="0.25">
      <c r="A1450">
        <v>1448</v>
      </c>
      <c r="B1450" t="s">
        <v>1619</v>
      </c>
      <c r="C1450" t="s">
        <v>68</v>
      </c>
      <c r="D1450" s="1">
        <v>46220</v>
      </c>
      <c r="E1450" t="s">
        <v>1620</v>
      </c>
      <c r="F1450" t="s">
        <v>68</v>
      </c>
      <c r="G1450" t="s">
        <v>295</v>
      </c>
      <c r="H1450" t="s">
        <v>296</v>
      </c>
      <c r="I1450" t="s">
        <v>71</v>
      </c>
      <c r="J1450" t="s">
        <v>72</v>
      </c>
      <c r="K1450" t="s">
        <v>73</v>
      </c>
      <c r="L1450" t="s">
        <v>74</v>
      </c>
      <c r="M1450" t="s">
        <v>792</v>
      </c>
      <c r="N1450" t="s">
        <v>274</v>
      </c>
      <c r="O1450" t="s">
        <v>793</v>
      </c>
      <c r="P1450" t="s">
        <v>794</v>
      </c>
      <c r="Q1450" t="s">
        <v>1621</v>
      </c>
      <c r="R1450" s="1">
        <v>46221</v>
      </c>
      <c r="S1450" t="s">
        <v>796</v>
      </c>
      <c r="T1450" t="s">
        <v>797</v>
      </c>
      <c r="U1450" t="s">
        <v>798</v>
      </c>
      <c r="V1450" t="s">
        <v>66</v>
      </c>
      <c r="W1450" t="s">
        <v>66</v>
      </c>
      <c r="X1450">
        <v>1912800</v>
      </c>
      <c r="Y1450">
        <v>210408</v>
      </c>
      <c r="Z1450">
        <v>240000</v>
      </c>
      <c r="AA1450">
        <v>26400</v>
      </c>
      <c r="AB1450">
        <v>2123208</v>
      </c>
      <c r="AC1450">
        <v>12</v>
      </c>
      <c r="AD1450" t="s">
        <v>82</v>
      </c>
      <c r="AE1450">
        <v>12</v>
      </c>
      <c r="AF1450" t="s">
        <v>102</v>
      </c>
      <c r="AG1450">
        <f>IFERROR(VLOOKUP(AF1450,[1]STOK!J:O,6,0),"")</f>
        <v>12</v>
      </c>
      <c r="AH1450" s="2">
        <f t="shared" si="44"/>
        <v>1</v>
      </c>
      <c r="AI1450" t="s">
        <v>102</v>
      </c>
      <c r="AJ1450" t="s">
        <v>103</v>
      </c>
      <c r="AK1450" t="s">
        <v>104</v>
      </c>
      <c r="AL1450" t="s">
        <v>86</v>
      </c>
      <c r="AM1450">
        <v>22200</v>
      </c>
      <c r="AN1450">
        <f t="shared" si="45"/>
        <v>22200</v>
      </c>
      <c r="AO1450" t="s">
        <v>66</v>
      </c>
      <c r="AP1450">
        <v>0</v>
      </c>
      <c r="AQ1450" t="s">
        <v>66</v>
      </c>
      <c r="AR1450">
        <v>0</v>
      </c>
      <c r="AS1450" t="s">
        <v>66</v>
      </c>
      <c r="AT1450">
        <v>0</v>
      </c>
      <c r="AU1450" t="s">
        <v>66</v>
      </c>
      <c r="AV1450">
        <v>0</v>
      </c>
      <c r="AW1450" t="s">
        <v>66</v>
      </c>
      <c r="AX1450">
        <v>0</v>
      </c>
      <c r="AY1450" t="s">
        <v>66</v>
      </c>
      <c r="AZ1450">
        <v>0</v>
      </c>
      <c r="BA1450" t="s">
        <v>66</v>
      </c>
      <c r="BB1450">
        <v>0</v>
      </c>
      <c r="BC1450">
        <v>0</v>
      </c>
      <c r="BD1450">
        <v>266400</v>
      </c>
      <c r="BE1450">
        <v>18044.02</v>
      </c>
      <c r="BF1450">
        <v>0</v>
      </c>
      <c r="BG1450" t="s">
        <v>87</v>
      </c>
      <c r="BH1450" t="s">
        <v>66</v>
      </c>
      <c r="BI1450">
        <v>0</v>
      </c>
      <c r="BJ1450" t="s">
        <v>66</v>
      </c>
      <c r="BK1450" t="s">
        <v>88</v>
      </c>
      <c r="BL1450" t="s">
        <v>66</v>
      </c>
      <c r="BM1450" t="s">
        <v>159</v>
      </c>
    </row>
    <row r="1451" spans="1:65" x14ac:dyDescent="0.25">
      <c r="A1451">
        <v>1449</v>
      </c>
      <c r="B1451" t="s">
        <v>1619</v>
      </c>
      <c r="C1451" t="s">
        <v>68</v>
      </c>
      <c r="D1451" s="1">
        <v>46220</v>
      </c>
      <c r="E1451" t="s">
        <v>1620</v>
      </c>
      <c r="F1451" t="s">
        <v>68</v>
      </c>
      <c r="G1451" t="s">
        <v>295</v>
      </c>
      <c r="H1451" t="s">
        <v>296</v>
      </c>
      <c r="I1451" t="s">
        <v>71</v>
      </c>
      <c r="J1451" t="s">
        <v>72</v>
      </c>
      <c r="K1451" t="s">
        <v>73</v>
      </c>
      <c r="L1451" t="s">
        <v>74</v>
      </c>
      <c r="M1451" t="s">
        <v>792</v>
      </c>
      <c r="N1451" t="s">
        <v>274</v>
      </c>
      <c r="O1451" t="s">
        <v>793</v>
      </c>
      <c r="P1451" t="s">
        <v>794</v>
      </c>
      <c r="Q1451" t="s">
        <v>1621</v>
      </c>
      <c r="R1451" s="1">
        <v>46221</v>
      </c>
      <c r="S1451" t="s">
        <v>796</v>
      </c>
      <c r="T1451" t="s">
        <v>797</v>
      </c>
      <c r="U1451" t="s">
        <v>798</v>
      </c>
      <c r="V1451" t="s">
        <v>66</v>
      </c>
      <c r="W1451" t="s">
        <v>66</v>
      </c>
      <c r="X1451">
        <v>1912800</v>
      </c>
      <c r="Y1451">
        <v>210408</v>
      </c>
      <c r="Z1451">
        <v>459600</v>
      </c>
      <c r="AA1451">
        <v>50556</v>
      </c>
      <c r="AB1451">
        <v>2123208</v>
      </c>
      <c r="AC1451">
        <v>12</v>
      </c>
      <c r="AD1451" t="s">
        <v>82</v>
      </c>
      <c r="AE1451">
        <v>12</v>
      </c>
      <c r="AF1451" t="s">
        <v>138</v>
      </c>
      <c r="AG1451">
        <f>IFERROR(VLOOKUP(AF1451,[1]STOK!J:O,6,0),"")</f>
        <v>6</v>
      </c>
      <c r="AH1451" s="2">
        <f t="shared" si="44"/>
        <v>2</v>
      </c>
      <c r="AI1451" t="s">
        <v>138</v>
      </c>
      <c r="AJ1451" t="s">
        <v>139</v>
      </c>
      <c r="AK1451" t="s">
        <v>140</v>
      </c>
      <c r="AL1451" t="s">
        <v>86</v>
      </c>
      <c r="AM1451">
        <v>42513</v>
      </c>
      <c r="AN1451">
        <f t="shared" si="45"/>
        <v>42513</v>
      </c>
      <c r="AO1451" t="s">
        <v>66</v>
      </c>
      <c r="AP1451">
        <v>0</v>
      </c>
      <c r="AQ1451" t="s">
        <v>66</v>
      </c>
      <c r="AR1451">
        <v>0</v>
      </c>
      <c r="AS1451" t="s">
        <v>66</v>
      </c>
      <c r="AT1451">
        <v>0</v>
      </c>
      <c r="AU1451" t="s">
        <v>66</v>
      </c>
      <c r="AV1451">
        <v>0</v>
      </c>
      <c r="AW1451" t="s">
        <v>66</v>
      </c>
      <c r="AX1451">
        <v>0</v>
      </c>
      <c r="AY1451" t="s">
        <v>66</v>
      </c>
      <c r="AZ1451">
        <v>0</v>
      </c>
      <c r="BA1451" t="s">
        <v>66</v>
      </c>
      <c r="BB1451">
        <v>0</v>
      </c>
      <c r="BC1451">
        <v>0</v>
      </c>
      <c r="BD1451">
        <v>510156</v>
      </c>
      <c r="BE1451">
        <v>34652.67</v>
      </c>
      <c r="BF1451">
        <v>0</v>
      </c>
      <c r="BG1451" t="s">
        <v>87</v>
      </c>
      <c r="BH1451" t="s">
        <v>66</v>
      </c>
      <c r="BI1451">
        <v>0</v>
      </c>
      <c r="BJ1451" t="s">
        <v>66</v>
      </c>
      <c r="BK1451" t="s">
        <v>88</v>
      </c>
      <c r="BL1451" t="s">
        <v>66</v>
      </c>
      <c r="BM1451" t="s">
        <v>159</v>
      </c>
    </row>
    <row r="1452" spans="1:65" x14ac:dyDescent="0.25">
      <c r="A1452">
        <v>1450</v>
      </c>
      <c r="B1452" t="s">
        <v>1622</v>
      </c>
      <c r="C1452" t="s">
        <v>68</v>
      </c>
      <c r="D1452" s="1">
        <v>46220</v>
      </c>
      <c r="E1452" t="s">
        <v>1623</v>
      </c>
      <c r="F1452" t="s">
        <v>68</v>
      </c>
      <c r="G1452" t="s">
        <v>295</v>
      </c>
      <c r="H1452" t="s">
        <v>296</v>
      </c>
      <c r="I1452" t="s">
        <v>71</v>
      </c>
      <c r="J1452" t="s">
        <v>72</v>
      </c>
      <c r="K1452" t="s">
        <v>73</v>
      </c>
      <c r="L1452" t="s">
        <v>74</v>
      </c>
      <c r="M1452" t="s">
        <v>764</v>
      </c>
      <c r="N1452" t="s">
        <v>274</v>
      </c>
      <c r="O1452" t="s">
        <v>765</v>
      </c>
      <c r="P1452" t="s">
        <v>766</v>
      </c>
      <c r="Q1452" t="s">
        <v>1624</v>
      </c>
      <c r="R1452" s="1">
        <v>46223</v>
      </c>
      <c r="S1452" t="s">
        <v>768</v>
      </c>
      <c r="T1452" t="s">
        <v>769</v>
      </c>
      <c r="U1452" t="s">
        <v>770</v>
      </c>
      <c r="V1452" t="s">
        <v>66</v>
      </c>
      <c r="W1452" t="s">
        <v>66</v>
      </c>
      <c r="X1452">
        <v>5623794</v>
      </c>
      <c r="Y1452">
        <v>618617.34</v>
      </c>
      <c r="Z1452">
        <v>43956</v>
      </c>
      <c r="AA1452">
        <v>4835.16</v>
      </c>
      <c r="AB1452">
        <v>6242411.3399999999</v>
      </c>
      <c r="AC1452">
        <v>3</v>
      </c>
      <c r="AD1452" t="s">
        <v>82</v>
      </c>
      <c r="AE1452">
        <v>3</v>
      </c>
      <c r="AF1452" t="s">
        <v>486</v>
      </c>
      <c r="AG1452">
        <f>IFERROR(VLOOKUP(AF1452,[1]STOK!J:O,6,0),"")</f>
        <v>12</v>
      </c>
      <c r="AH1452" s="2">
        <f t="shared" si="44"/>
        <v>0.25</v>
      </c>
      <c r="AI1452" t="s">
        <v>486</v>
      </c>
      <c r="AJ1452" t="s">
        <v>487</v>
      </c>
      <c r="AK1452" t="s">
        <v>488</v>
      </c>
      <c r="AL1452" t="s">
        <v>86</v>
      </c>
      <c r="AM1452">
        <v>16428</v>
      </c>
      <c r="AN1452">
        <f t="shared" si="45"/>
        <v>16263.720000000001</v>
      </c>
      <c r="AO1452" t="s">
        <v>66</v>
      </c>
      <c r="AP1452">
        <v>1</v>
      </c>
      <c r="AQ1452" t="s">
        <v>66</v>
      </c>
      <c r="AR1452">
        <v>0</v>
      </c>
      <c r="AS1452" t="s">
        <v>66</v>
      </c>
      <c r="AT1452">
        <v>0</v>
      </c>
      <c r="AU1452" t="s">
        <v>66</v>
      </c>
      <c r="AV1452">
        <v>0</v>
      </c>
      <c r="AW1452" t="s">
        <v>66</v>
      </c>
      <c r="AX1452">
        <v>0</v>
      </c>
      <c r="AY1452" t="s">
        <v>66</v>
      </c>
      <c r="AZ1452">
        <v>0</v>
      </c>
      <c r="BA1452" t="s">
        <v>66</v>
      </c>
      <c r="BB1452">
        <v>0</v>
      </c>
      <c r="BC1452">
        <v>0</v>
      </c>
      <c r="BD1452">
        <v>48791.16</v>
      </c>
      <c r="BE1452">
        <v>13010.88</v>
      </c>
      <c r="BF1452">
        <v>0</v>
      </c>
      <c r="BG1452" t="s">
        <v>87</v>
      </c>
      <c r="BH1452" t="s">
        <v>66</v>
      </c>
      <c r="BI1452">
        <v>0</v>
      </c>
      <c r="BJ1452" t="s">
        <v>66</v>
      </c>
      <c r="BK1452" t="s">
        <v>88</v>
      </c>
      <c r="BL1452" t="s">
        <v>66</v>
      </c>
      <c r="BM1452" t="s">
        <v>159</v>
      </c>
    </row>
    <row r="1453" spans="1:65" x14ac:dyDescent="0.25">
      <c r="A1453">
        <v>1451</v>
      </c>
      <c r="B1453" t="s">
        <v>1622</v>
      </c>
      <c r="C1453" t="s">
        <v>68</v>
      </c>
      <c r="D1453" s="1">
        <v>46220</v>
      </c>
      <c r="E1453" t="s">
        <v>1623</v>
      </c>
      <c r="F1453" t="s">
        <v>68</v>
      </c>
      <c r="G1453" t="s">
        <v>295</v>
      </c>
      <c r="H1453" t="s">
        <v>296</v>
      </c>
      <c r="I1453" t="s">
        <v>71</v>
      </c>
      <c r="J1453" t="s">
        <v>72</v>
      </c>
      <c r="K1453" t="s">
        <v>73</v>
      </c>
      <c r="L1453" t="s">
        <v>74</v>
      </c>
      <c r="M1453" t="s">
        <v>764</v>
      </c>
      <c r="N1453" t="s">
        <v>274</v>
      </c>
      <c r="O1453" t="s">
        <v>765</v>
      </c>
      <c r="P1453" t="s">
        <v>766</v>
      </c>
      <c r="Q1453" t="s">
        <v>1624</v>
      </c>
      <c r="R1453" s="1">
        <v>46223</v>
      </c>
      <c r="S1453" t="s">
        <v>768</v>
      </c>
      <c r="T1453" t="s">
        <v>769</v>
      </c>
      <c r="U1453" t="s">
        <v>770</v>
      </c>
      <c r="V1453" t="s">
        <v>66</v>
      </c>
      <c r="W1453" t="s">
        <v>66</v>
      </c>
      <c r="X1453">
        <v>5623794</v>
      </c>
      <c r="Y1453">
        <v>618617.34</v>
      </c>
      <c r="Z1453">
        <v>43956</v>
      </c>
      <c r="AA1453">
        <v>4835.16</v>
      </c>
      <c r="AB1453">
        <v>6242411.3399999999</v>
      </c>
      <c r="AC1453">
        <v>3</v>
      </c>
      <c r="AD1453" t="s">
        <v>82</v>
      </c>
      <c r="AE1453">
        <v>3</v>
      </c>
      <c r="AF1453" t="s">
        <v>845</v>
      </c>
      <c r="AG1453">
        <f>IFERROR(VLOOKUP(AF1453,[1]STOK!J:O,6,0),"")</f>
        <v>12</v>
      </c>
      <c r="AH1453" s="2">
        <f t="shared" si="44"/>
        <v>0.25</v>
      </c>
      <c r="AI1453" t="s">
        <v>845</v>
      </c>
      <c r="AJ1453" t="s">
        <v>846</v>
      </c>
      <c r="AK1453" t="s">
        <v>847</v>
      </c>
      <c r="AL1453" t="s">
        <v>86</v>
      </c>
      <c r="AM1453">
        <v>16428</v>
      </c>
      <c r="AN1453">
        <f t="shared" si="45"/>
        <v>16263.720000000001</v>
      </c>
      <c r="AO1453" t="s">
        <v>66</v>
      </c>
      <c r="AP1453">
        <v>1</v>
      </c>
      <c r="AQ1453" t="s">
        <v>66</v>
      </c>
      <c r="AR1453">
        <v>0</v>
      </c>
      <c r="AS1453" t="s">
        <v>66</v>
      </c>
      <c r="AT1453">
        <v>0</v>
      </c>
      <c r="AU1453" t="s">
        <v>66</v>
      </c>
      <c r="AV1453">
        <v>0</v>
      </c>
      <c r="AW1453" t="s">
        <v>66</v>
      </c>
      <c r="AX1453">
        <v>0</v>
      </c>
      <c r="AY1453" t="s">
        <v>66</v>
      </c>
      <c r="AZ1453">
        <v>0</v>
      </c>
      <c r="BA1453" t="s">
        <v>66</v>
      </c>
      <c r="BB1453">
        <v>0</v>
      </c>
      <c r="BC1453">
        <v>0</v>
      </c>
      <c r="BD1453">
        <v>48791.16</v>
      </c>
      <c r="BE1453">
        <v>12270.96</v>
      </c>
      <c r="BF1453">
        <v>0</v>
      </c>
      <c r="BG1453" t="s">
        <v>87</v>
      </c>
      <c r="BH1453" t="s">
        <v>66</v>
      </c>
      <c r="BI1453">
        <v>0</v>
      </c>
      <c r="BJ1453" t="s">
        <v>66</v>
      </c>
      <c r="BK1453" t="s">
        <v>88</v>
      </c>
      <c r="BL1453" t="s">
        <v>66</v>
      </c>
      <c r="BM1453" t="s">
        <v>159</v>
      </c>
    </row>
    <row r="1454" spans="1:65" x14ac:dyDescent="0.25">
      <c r="A1454">
        <v>1452</v>
      </c>
      <c r="B1454" t="s">
        <v>1622</v>
      </c>
      <c r="C1454" t="s">
        <v>68</v>
      </c>
      <c r="D1454" s="1">
        <v>46220</v>
      </c>
      <c r="E1454" t="s">
        <v>1623</v>
      </c>
      <c r="F1454" t="s">
        <v>68</v>
      </c>
      <c r="G1454" t="s">
        <v>295</v>
      </c>
      <c r="H1454" t="s">
        <v>296</v>
      </c>
      <c r="I1454" t="s">
        <v>71</v>
      </c>
      <c r="J1454" t="s">
        <v>72</v>
      </c>
      <c r="K1454" t="s">
        <v>73</v>
      </c>
      <c r="L1454" t="s">
        <v>74</v>
      </c>
      <c r="M1454" t="s">
        <v>764</v>
      </c>
      <c r="N1454" t="s">
        <v>274</v>
      </c>
      <c r="O1454" t="s">
        <v>765</v>
      </c>
      <c r="P1454" t="s">
        <v>766</v>
      </c>
      <c r="Q1454" t="s">
        <v>1624</v>
      </c>
      <c r="R1454" s="1">
        <v>46223</v>
      </c>
      <c r="S1454" t="s">
        <v>768</v>
      </c>
      <c r="T1454" t="s">
        <v>769</v>
      </c>
      <c r="U1454" t="s">
        <v>770</v>
      </c>
      <c r="V1454" t="s">
        <v>66</v>
      </c>
      <c r="W1454" t="s">
        <v>66</v>
      </c>
      <c r="X1454">
        <v>5623794</v>
      </c>
      <c r="Y1454">
        <v>618617.34</v>
      </c>
      <c r="Z1454">
        <v>43956</v>
      </c>
      <c r="AA1454">
        <v>4835.16</v>
      </c>
      <c r="AB1454">
        <v>6242411.3399999999</v>
      </c>
      <c r="AC1454">
        <v>3</v>
      </c>
      <c r="AD1454" t="s">
        <v>82</v>
      </c>
      <c r="AE1454">
        <v>3</v>
      </c>
      <c r="AF1454" t="s">
        <v>119</v>
      </c>
      <c r="AG1454">
        <f>IFERROR(VLOOKUP(AF1454,[1]STOK!J:O,6,0),"")</f>
        <v>12</v>
      </c>
      <c r="AH1454" s="2">
        <f t="shared" si="44"/>
        <v>0.25</v>
      </c>
      <c r="AI1454" t="s">
        <v>119</v>
      </c>
      <c r="AJ1454" t="s">
        <v>120</v>
      </c>
      <c r="AK1454" t="s">
        <v>121</v>
      </c>
      <c r="AL1454" t="s">
        <v>86</v>
      </c>
      <c r="AM1454">
        <v>16428</v>
      </c>
      <c r="AN1454">
        <f t="shared" si="45"/>
        <v>16263.720000000001</v>
      </c>
      <c r="AO1454" t="s">
        <v>66</v>
      </c>
      <c r="AP1454">
        <v>1</v>
      </c>
      <c r="AQ1454" t="s">
        <v>66</v>
      </c>
      <c r="AR1454">
        <v>0</v>
      </c>
      <c r="AS1454" t="s">
        <v>66</v>
      </c>
      <c r="AT1454">
        <v>0</v>
      </c>
      <c r="AU1454" t="s">
        <v>66</v>
      </c>
      <c r="AV1454">
        <v>0</v>
      </c>
      <c r="AW1454" t="s">
        <v>66</v>
      </c>
      <c r="AX1454">
        <v>0</v>
      </c>
      <c r="AY1454" t="s">
        <v>66</v>
      </c>
      <c r="AZ1454">
        <v>0</v>
      </c>
      <c r="BA1454" t="s">
        <v>66</v>
      </c>
      <c r="BB1454">
        <v>0</v>
      </c>
      <c r="BC1454">
        <v>0</v>
      </c>
      <c r="BD1454">
        <v>48791.16</v>
      </c>
      <c r="BE1454">
        <v>12451.17</v>
      </c>
      <c r="BF1454">
        <v>0</v>
      </c>
      <c r="BG1454" t="s">
        <v>87</v>
      </c>
      <c r="BH1454" t="s">
        <v>66</v>
      </c>
      <c r="BI1454">
        <v>0</v>
      </c>
      <c r="BJ1454" t="s">
        <v>66</v>
      </c>
      <c r="BK1454" t="s">
        <v>88</v>
      </c>
      <c r="BL1454" t="s">
        <v>66</v>
      </c>
      <c r="BM1454" t="s">
        <v>159</v>
      </c>
    </row>
    <row r="1455" spans="1:65" x14ac:dyDescent="0.25">
      <c r="A1455">
        <v>1453</v>
      </c>
      <c r="B1455" t="s">
        <v>1622</v>
      </c>
      <c r="C1455" t="s">
        <v>68</v>
      </c>
      <c r="D1455" s="1">
        <v>46220</v>
      </c>
      <c r="E1455" t="s">
        <v>1623</v>
      </c>
      <c r="F1455" t="s">
        <v>68</v>
      </c>
      <c r="G1455" t="s">
        <v>295</v>
      </c>
      <c r="H1455" t="s">
        <v>296</v>
      </c>
      <c r="I1455" t="s">
        <v>71</v>
      </c>
      <c r="J1455" t="s">
        <v>72</v>
      </c>
      <c r="K1455" t="s">
        <v>73</v>
      </c>
      <c r="L1455" t="s">
        <v>74</v>
      </c>
      <c r="M1455" t="s">
        <v>764</v>
      </c>
      <c r="N1455" t="s">
        <v>274</v>
      </c>
      <c r="O1455" t="s">
        <v>765</v>
      </c>
      <c r="P1455" t="s">
        <v>766</v>
      </c>
      <c r="Q1455" t="s">
        <v>1624</v>
      </c>
      <c r="R1455" s="1">
        <v>46223</v>
      </c>
      <c r="S1455" t="s">
        <v>768</v>
      </c>
      <c r="T1455" t="s">
        <v>769</v>
      </c>
      <c r="U1455" t="s">
        <v>770</v>
      </c>
      <c r="V1455" t="s">
        <v>66</v>
      </c>
      <c r="W1455" t="s">
        <v>66</v>
      </c>
      <c r="X1455">
        <v>5623794</v>
      </c>
      <c r="Y1455">
        <v>618617.34</v>
      </c>
      <c r="Z1455">
        <v>392040</v>
      </c>
      <c r="AA1455">
        <v>43124.4</v>
      </c>
      <c r="AB1455">
        <v>6242411.3399999999</v>
      </c>
      <c r="AC1455">
        <v>1</v>
      </c>
      <c r="AD1455" t="s">
        <v>134</v>
      </c>
      <c r="AE1455">
        <v>24</v>
      </c>
      <c r="AF1455" t="s">
        <v>93</v>
      </c>
      <c r="AG1455">
        <f>IFERROR(VLOOKUP(AF1455,[1]STOK!J:O,6,0),"")</f>
        <v>24</v>
      </c>
      <c r="AH1455" s="2">
        <f t="shared" si="44"/>
        <v>1</v>
      </c>
      <c r="AI1455" t="s">
        <v>93</v>
      </c>
      <c r="AJ1455" t="s">
        <v>94</v>
      </c>
      <c r="AK1455" t="s">
        <v>95</v>
      </c>
      <c r="AL1455" t="s">
        <v>86</v>
      </c>
      <c r="AM1455">
        <v>439560</v>
      </c>
      <c r="AN1455">
        <f t="shared" si="45"/>
        <v>435164.4</v>
      </c>
      <c r="AO1455" t="s">
        <v>66</v>
      </c>
      <c r="AP1455">
        <v>1</v>
      </c>
      <c r="AQ1455" t="s">
        <v>66</v>
      </c>
      <c r="AR1455">
        <v>0</v>
      </c>
      <c r="AS1455" t="s">
        <v>66</v>
      </c>
      <c r="AT1455">
        <v>0</v>
      </c>
      <c r="AU1455" t="s">
        <v>66</v>
      </c>
      <c r="AV1455">
        <v>0</v>
      </c>
      <c r="AW1455" t="s">
        <v>66</v>
      </c>
      <c r="AX1455">
        <v>0</v>
      </c>
      <c r="AY1455" t="s">
        <v>66</v>
      </c>
      <c r="AZ1455">
        <v>0</v>
      </c>
      <c r="BA1455" t="s">
        <v>66</v>
      </c>
      <c r="BB1455">
        <v>0</v>
      </c>
      <c r="BC1455">
        <v>0</v>
      </c>
      <c r="BD1455">
        <v>435164.4</v>
      </c>
      <c r="BE1455">
        <v>14878.51</v>
      </c>
      <c r="BF1455">
        <v>0</v>
      </c>
      <c r="BG1455" t="s">
        <v>87</v>
      </c>
      <c r="BH1455" t="s">
        <v>66</v>
      </c>
      <c r="BI1455">
        <v>0</v>
      </c>
      <c r="BJ1455" t="s">
        <v>66</v>
      </c>
      <c r="BK1455" t="s">
        <v>88</v>
      </c>
      <c r="BL1455" t="s">
        <v>66</v>
      </c>
      <c r="BM1455" t="s">
        <v>159</v>
      </c>
    </row>
    <row r="1456" spans="1:65" x14ac:dyDescent="0.25">
      <c r="A1456">
        <v>1454</v>
      </c>
      <c r="B1456" t="s">
        <v>1622</v>
      </c>
      <c r="C1456" t="s">
        <v>68</v>
      </c>
      <c r="D1456" s="1">
        <v>46220</v>
      </c>
      <c r="E1456" t="s">
        <v>1623</v>
      </c>
      <c r="F1456" t="s">
        <v>68</v>
      </c>
      <c r="G1456" t="s">
        <v>295</v>
      </c>
      <c r="H1456" t="s">
        <v>296</v>
      </c>
      <c r="I1456" t="s">
        <v>71</v>
      </c>
      <c r="J1456" t="s">
        <v>72</v>
      </c>
      <c r="K1456" t="s">
        <v>73</v>
      </c>
      <c r="L1456" t="s">
        <v>74</v>
      </c>
      <c r="M1456" t="s">
        <v>764</v>
      </c>
      <c r="N1456" t="s">
        <v>274</v>
      </c>
      <c r="O1456" t="s">
        <v>765</v>
      </c>
      <c r="P1456" t="s">
        <v>766</v>
      </c>
      <c r="Q1456" t="s">
        <v>1624</v>
      </c>
      <c r="R1456" s="1">
        <v>46223</v>
      </c>
      <c r="S1456" t="s">
        <v>768</v>
      </c>
      <c r="T1456" t="s">
        <v>769</v>
      </c>
      <c r="U1456" t="s">
        <v>770</v>
      </c>
      <c r="V1456" t="s">
        <v>66</v>
      </c>
      <c r="W1456" t="s">
        <v>66</v>
      </c>
      <c r="X1456">
        <v>5623794</v>
      </c>
      <c r="Y1456">
        <v>618617.34</v>
      </c>
      <c r="Z1456">
        <v>392040</v>
      </c>
      <c r="AA1456">
        <v>43124.4</v>
      </c>
      <c r="AB1456">
        <v>6242411.3399999999</v>
      </c>
      <c r="AC1456">
        <v>1</v>
      </c>
      <c r="AD1456" t="s">
        <v>134</v>
      </c>
      <c r="AE1456">
        <v>24</v>
      </c>
      <c r="AF1456" t="s">
        <v>205</v>
      </c>
      <c r="AG1456">
        <f>IFERROR(VLOOKUP(AF1456,[1]STOK!J:O,6,0),"")</f>
        <v>24</v>
      </c>
      <c r="AH1456" s="2">
        <f t="shared" si="44"/>
        <v>1</v>
      </c>
      <c r="AI1456" t="s">
        <v>205</v>
      </c>
      <c r="AJ1456" t="s">
        <v>206</v>
      </c>
      <c r="AK1456" t="s">
        <v>207</v>
      </c>
      <c r="AL1456" t="s">
        <v>86</v>
      </c>
      <c r="AM1456">
        <v>439560</v>
      </c>
      <c r="AN1456">
        <f t="shared" si="45"/>
        <v>435164.4</v>
      </c>
      <c r="AO1456" t="s">
        <v>66</v>
      </c>
      <c r="AP1456">
        <v>1</v>
      </c>
      <c r="AQ1456" t="s">
        <v>66</v>
      </c>
      <c r="AR1456">
        <v>0</v>
      </c>
      <c r="AS1456" t="s">
        <v>66</v>
      </c>
      <c r="AT1456">
        <v>0</v>
      </c>
      <c r="AU1456" t="s">
        <v>66</v>
      </c>
      <c r="AV1456">
        <v>0</v>
      </c>
      <c r="AW1456" t="s">
        <v>66</v>
      </c>
      <c r="AX1456">
        <v>0</v>
      </c>
      <c r="AY1456" t="s">
        <v>66</v>
      </c>
      <c r="AZ1456">
        <v>0</v>
      </c>
      <c r="BA1456" t="s">
        <v>66</v>
      </c>
      <c r="BB1456">
        <v>0</v>
      </c>
      <c r="BC1456">
        <v>0</v>
      </c>
      <c r="BD1456">
        <v>435164.4</v>
      </c>
      <c r="BE1456">
        <v>14848.05</v>
      </c>
      <c r="BF1456">
        <v>0</v>
      </c>
      <c r="BG1456" t="s">
        <v>87</v>
      </c>
      <c r="BH1456" t="s">
        <v>66</v>
      </c>
      <c r="BI1456">
        <v>0</v>
      </c>
      <c r="BJ1456" t="s">
        <v>66</v>
      </c>
      <c r="BK1456" t="s">
        <v>88</v>
      </c>
      <c r="BL1456" t="s">
        <v>66</v>
      </c>
      <c r="BM1456" t="s">
        <v>159</v>
      </c>
    </row>
    <row r="1457" spans="1:65" x14ac:dyDescent="0.25">
      <c r="A1457">
        <v>1455</v>
      </c>
      <c r="B1457" t="s">
        <v>1622</v>
      </c>
      <c r="C1457" t="s">
        <v>68</v>
      </c>
      <c r="D1457" s="1">
        <v>46220</v>
      </c>
      <c r="E1457" t="s">
        <v>1623</v>
      </c>
      <c r="F1457" t="s">
        <v>68</v>
      </c>
      <c r="G1457" t="s">
        <v>295</v>
      </c>
      <c r="H1457" t="s">
        <v>296</v>
      </c>
      <c r="I1457" t="s">
        <v>71</v>
      </c>
      <c r="J1457" t="s">
        <v>72</v>
      </c>
      <c r="K1457" t="s">
        <v>73</v>
      </c>
      <c r="L1457" t="s">
        <v>74</v>
      </c>
      <c r="M1457" t="s">
        <v>764</v>
      </c>
      <c r="N1457" t="s">
        <v>274</v>
      </c>
      <c r="O1457" t="s">
        <v>765</v>
      </c>
      <c r="P1457" t="s">
        <v>766</v>
      </c>
      <c r="Q1457" t="s">
        <v>1624</v>
      </c>
      <c r="R1457" s="1">
        <v>46223</v>
      </c>
      <c r="S1457" t="s">
        <v>768</v>
      </c>
      <c r="T1457" t="s">
        <v>769</v>
      </c>
      <c r="U1457" t="s">
        <v>770</v>
      </c>
      <c r="V1457" t="s">
        <v>66</v>
      </c>
      <c r="W1457" t="s">
        <v>66</v>
      </c>
      <c r="X1457">
        <v>5623794</v>
      </c>
      <c r="Y1457">
        <v>618617.34</v>
      </c>
      <c r="Z1457">
        <v>460944</v>
      </c>
      <c r="AA1457">
        <v>50703.839999999997</v>
      </c>
      <c r="AB1457">
        <v>6242411.3399999999</v>
      </c>
      <c r="AC1457">
        <v>1</v>
      </c>
      <c r="AD1457" t="s">
        <v>134</v>
      </c>
      <c r="AE1457">
        <v>24</v>
      </c>
      <c r="AF1457" t="s">
        <v>281</v>
      </c>
      <c r="AG1457">
        <f>IFERROR(VLOOKUP(AF1457,[1]STOK!J:O,6,0),"")</f>
        <v>24</v>
      </c>
      <c r="AH1457" s="2">
        <f t="shared" si="44"/>
        <v>1</v>
      </c>
      <c r="AI1457" t="s">
        <v>281</v>
      </c>
      <c r="AJ1457" t="s">
        <v>282</v>
      </c>
      <c r="AK1457" t="s">
        <v>283</v>
      </c>
      <c r="AL1457" t="s">
        <v>86</v>
      </c>
      <c r="AM1457">
        <v>516816</v>
      </c>
      <c r="AN1457">
        <f t="shared" si="45"/>
        <v>511647.84</v>
      </c>
      <c r="AO1457" t="s">
        <v>66</v>
      </c>
      <c r="AP1457">
        <v>1</v>
      </c>
      <c r="AQ1457" t="s">
        <v>66</v>
      </c>
      <c r="AR1457">
        <v>0</v>
      </c>
      <c r="AS1457" t="s">
        <v>66</v>
      </c>
      <c r="AT1457">
        <v>0</v>
      </c>
      <c r="AU1457" t="s">
        <v>66</v>
      </c>
      <c r="AV1457">
        <v>0</v>
      </c>
      <c r="AW1457" t="s">
        <v>66</v>
      </c>
      <c r="AX1457">
        <v>0</v>
      </c>
      <c r="AY1457" t="s">
        <v>66</v>
      </c>
      <c r="AZ1457">
        <v>0</v>
      </c>
      <c r="BA1457" t="s">
        <v>66</v>
      </c>
      <c r="BB1457">
        <v>0</v>
      </c>
      <c r="BC1457">
        <v>0</v>
      </c>
      <c r="BD1457">
        <v>511647.84</v>
      </c>
      <c r="BE1457">
        <v>17372.689999999999</v>
      </c>
      <c r="BF1457">
        <v>0</v>
      </c>
      <c r="BG1457" t="s">
        <v>87</v>
      </c>
      <c r="BH1457" t="s">
        <v>66</v>
      </c>
      <c r="BI1457">
        <v>0</v>
      </c>
      <c r="BJ1457" t="s">
        <v>66</v>
      </c>
      <c r="BK1457" t="s">
        <v>88</v>
      </c>
      <c r="BL1457" t="s">
        <v>66</v>
      </c>
      <c r="BM1457" t="s">
        <v>159</v>
      </c>
    </row>
    <row r="1458" spans="1:65" x14ac:dyDescent="0.25">
      <c r="A1458">
        <v>1456</v>
      </c>
      <c r="B1458" t="s">
        <v>1622</v>
      </c>
      <c r="C1458" t="s">
        <v>68</v>
      </c>
      <c r="D1458" s="1">
        <v>46220</v>
      </c>
      <c r="E1458" t="s">
        <v>1623</v>
      </c>
      <c r="F1458" t="s">
        <v>68</v>
      </c>
      <c r="G1458" t="s">
        <v>295</v>
      </c>
      <c r="H1458" t="s">
        <v>296</v>
      </c>
      <c r="I1458" t="s">
        <v>71</v>
      </c>
      <c r="J1458" t="s">
        <v>72</v>
      </c>
      <c r="K1458" t="s">
        <v>73</v>
      </c>
      <c r="L1458" t="s">
        <v>74</v>
      </c>
      <c r="M1458" t="s">
        <v>764</v>
      </c>
      <c r="N1458" t="s">
        <v>274</v>
      </c>
      <c r="O1458" t="s">
        <v>765</v>
      </c>
      <c r="P1458" t="s">
        <v>766</v>
      </c>
      <c r="Q1458" t="s">
        <v>1624</v>
      </c>
      <c r="R1458" s="1">
        <v>46223</v>
      </c>
      <c r="S1458" t="s">
        <v>768</v>
      </c>
      <c r="T1458" t="s">
        <v>769</v>
      </c>
      <c r="U1458" t="s">
        <v>770</v>
      </c>
      <c r="V1458" t="s">
        <v>66</v>
      </c>
      <c r="W1458" t="s">
        <v>66</v>
      </c>
      <c r="X1458">
        <v>5623794</v>
      </c>
      <c r="Y1458">
        <v>618617.34</v>
      </c>
      <c r="Z1458">
        <v>460944</v>
      </c>
      <c r="AA1458">
        <v>50703.839999999997</v>
      </c>
      <c r="AB1458">
        <v>6242411.3399999999</v>
      </c>
      <c r="AC1458">
        <v>1</v>
      </c>
      <c r="AD1458" t="s">
        <v>134</v>
      </c>
      <c r="AE1458">
        <v>24</v>
      </c>
      <c r="AF1458" t="s">
        <v>470</v>
      </c>
      <c r="AG1458">
        <f>IFERROR(VLOOKUP(AF1458,[1]STOK!J:O,6,0),"")</f>
        <v>24</v>
      </c>
      <c r="AH1458" s="2">
        <f t="shared" si="44"/>
        <v>1</v>
      </c>
      <c r="AI1458" t="s">
        <v>470</v>
      </c>
      <c r="AJ1458" t="s">
        <v>471</v>
      </c>
      <c r="AK1458" t="s">
        <v>472</v>
      </c>
      <c r="AL1458" t="s">
        <v>86</v>
      </c>
      <c r="AM1458">
        <v>516816</v>
      </c>
      <c r="AN1458">
        <f t="shared" si="45"/>
        <v>511647.84</v>
      </c>
      <c r="AO1458" t="s">
        <v>66</v>
      </c>
      <c r="AP1458">
        <v>1</v>
      </c>
      <c r="AQ1458" t="s">
        <v>66</v>
      </c>
      <c r="AR1458">
        <v>0</v>
      </c>
      <c r="AS1458" t="s">
        <v>66</v>
      </c>
      <c r="AT1458">
        <v>0</v>
      </c>
      <c r="AU1458" t="s">
        <v>66</v>
      </c>
      <c r="AV1458">
        <v>0</v>
      </c>
      <c r="AW1458" t="s">
        <v>66</v>
      </c>
      <c r="AX1458">
        <v>0</v>
      </c>
      <c r="AY1458" t="s">
        <v>66</v>
      </c>
      <c r="AZ1458">
        <v>0</v>
      </c>
      <c r="BA1458" t="s">
        <v>66</v>
      </c>
      <c r="BB1458">
        <v>0</v>
      </c>
      <c r="BC1458">
        <v>0</v>
      </c>
      <c r="BD1458">
        <v>511647.84</v>
      </c>
      <c r="BE1458">
        <v>17046.02</v>
      </c>
      <c r="BF1458">
        <v>0</v>
      </c>
      <c r="BG1458" t="s">
        <v>87</v>
      </c>
      <c r="BH1458" t="s">
        <v>66</v>
      </c>
      <c r="BI1458">
        <v>0</v>
      </c>
      <c r="BJ1458" t="s">
        <v>66</v>
      </c>
      <c r="BK1458" t="s">
        <v>88</v>
      </c>
      <c r="BL1458" t="s">
        <v>66</v>
      </c>
      <c r="BM1458" t="s">
        <v>159</v>
      </c>
    </row>
    <row r="1459" spans="1:65" x14ac:dyDescent="0.25">
      <c r="A1459">
        <v>1457</v>
      </c>
      <c r="B1459" t="s">
        <v>1622</v>
      </c>
      <c r="C1459" t="s">
        <v>68</v>
      </c>
      <c r="D1459" s="1">
        <v>46220</v>
      </c>
      <c r="E1459" t="s">
        <v>1623</v>
      </c>
      <c r="F1459" t="s">
        <v>68</v>
      </c>
      <c r="G1459" t="s">
        <v>295</v>
      </c>
      <c r="H1459" t="s">
        <v>296</v>
      </c>
      <c r="I1459" t="s">
        <v>71</v>
      </c>
      <c r="J1459" t="s">
        <v>72</v>
      </c>
      <c r="K1459" t="s">
        <v>73</v>
      </c>
      <c r="L1459" t="s">
        <v>74</v>
      </c>
      <c r="M1459" t="s">
        <v>764</v>
      </c>
      <c r="N1459" t="s">
        <v>274</v>
      </c>
      <c r="O1459" t="s">
        <v>765</v>
      </c>
      <c r="P1459" t="s">
        <v>766</v>
      </c>
      <c r="Q1459" t="s">
        <v>1624</v>
      </c>
      <c r="R1459" s="1">
        <v>46223</v>
      </c>
      <c r="S1459" t="s">
        <v>768</v>
      </c>
      <c r="T1459" t="s">
        <v>769</v>
      </c>
      <c r="U1459" t="s">
        <v>770</v>
      </c>
      <c r="V1459" t="s">
        <v>66</v>
      </c>
      <c r="W1459" t="s">
        <v>66</v>
      </c>
      <c r="X1459">
        <v>5623794</v>
      </c>
      <c r="Y1459">
        <v>618617.34</v>
      </c>
      <c r="Z1459">
        <v>87318</v>
      </c>
      <c r="AA1459">
        <v>9604.98</v>
      </c>
      <c r="AB1459">
        <v>6242411.3399999999</v>
      </c>
      <c r="AC1459">
        <v>6</v>
      </c>
      <c r="AD1459" t="s">
        <v>82</v>
      </c>
      <c r="AE1459">
        <v>6</v>
      </c>
      <c r="AF1459" t="s">
        <v>473</v>
      </c>
      <c r="AG1459">
        <f>IFERROR(VLOOKUP(AF1459,[1]STOK!J:O,6,0),"")</f>
        <v>12</v>
      </c>
      <c r="AH1459" s="2">
        <f t="shared" si="44"/>
        <v>0.5</v>
      </c>
      <c r="AI1459" t="s">
        <v>473</v>
      </c>
      <c r="AJ1459" t="s">
        <v>474</v>
      </c>
      <c r="AK1459" t="s">
        <v>475</v>
      </c>
      <c r="AL1459" t="s">
        <v>86</v>
      </c>
      <c r="AM1459">
        <v>16317</v>
      </c>
      <c r="AN1459">
        <f t="shared" si="45"/>
        <v>16153.83</v>
      </c>
      <c r="AO1459" t="s">
        <v>66</v>
      </c>
      <c r="AP1459">
        <v>1</v>
      </c>
      <c r="AQ1459" t="s">
        <v>66</v>
      </c>
      <c r="AR1459">
        <v>0</v>
      </c>
      <c r="AS1459" t="s">
        <v>66</v>
      </c>
      <c r="AT1459">
        <v>0</v>
      </c>
      <c r="AU1459" t="s">
        <v>66</v>
      </c>
      <c r="AV1459">
        <v>0</v>
      </c>
      <c r="AW1459" t="s">
        <v>66</v>
      </c>
      <c r="AX1459">
        <v>0</v>
      </c>
      <c r="AY1459" t="s">
        <v>66</v>
      </c>
      <c r="AZ1459">
        <v>0</v>
      </c>
      <c r="BA1459" t="s">
        <v>66</v>
      </c>
      <c r="BB1459">
        <v>0</v>
      </c>
      <c r="BC1459">
        <v>0</v>
      </c>
      <c r="BD1459">
        <v>96922.98</v>
      </c>
      <c r="BE1459">
        <v>13440.95</v>
      </c>
      <c r="BF1459">
        <v>0</v>
      </c>
      <c r="BG1459" t="s">
        <v>87</v>
      </c>
      <c r="BH1459" t="s">
        <v>66</v>
      </c>
      <c r="BI1459">
        <v>0</v>
      </c>
      <c r="BJ1459" t="s">
        <v>66</v>
      </c>
      <c r="BK1459" t="s">
        <v>88</v>
      </c>
      <c r="BL1459" t="s">
        <v>66</v>
      </c>
      <c r="BM1459" t="s">
        <v>159</v>
      </c>
    </row>
    <row r="1460" spans="1:65" x14ac:dyDescent="0.25">
      <c r="A1460">
        <v>1458</v>
      </c>
      <c r="B1460" t="s">
        <v>1622</v>
      </c>
      <c r="C1460" t="s">
        <v>68</v>
      </c>
      <c r="D1460" s="1">
        <v>46220</v>
      </c>
      <c r="E1460" t="s">
        <v>1623</v>
      </c>
      <c r="F1460" t="s">
        <v>68</v>
      </c>
      <c r="G1460" t="s">
        <v>295</v>
      </c>
      <c r="H1460" t="s">
        <v>296</v>
      </c>
      <c r="I1460" t="s">
        <v>71</v>
      </c>
      <c r="J1460" t="s">
        <v>72</v>
      </c>
      <c r="K1460" t="s">
        <v>73</v>
      </c>
      <c r="L1460" t="s">
        <v>74</v>
      </c>
      <c r="M1460" t="s">
        <v>764</v>
      </c>
      <c r="N1460" t="s">
        <v>274</v>
      </c>
      <c r="O1460" t="s">
        <v>765</v>
      </c>
      <c r="P1460" t="s">
        <v>766</v>
      </c>
      <c r="Q1460" t="s">
        <v>1624</v>
      </c>
      <c r="R1460" s="1">
        <v>46223</v>
      </c>
      <c r="S1460" t="s">
        <v>768</v>
      </c>
      <c r="T1460" t="s">
        <v>769</v>
      </c>
      <c r="U1460" t="s">
        <v>770</v>
      </c>
      <c r="V1460" t="s">
        <v>66</v>
      </c>
      <c r="W1460" t="s">
        <v>66</v>
      </c>
      <c r="X1460">
        <v>5623794</v>
      </c>
      <c r="Y1460">
        <v>618617.34</v>
      </c>
      <c r="Z1460">
        <v>163944</v>
      </c>
      <c r="AA1460">
        <v>18033.84</v>
      </c>
      <c r="AB1460">
        <v>6242411.3399999999</v>
      </c>
      <c r="AC1460">
        <v>1</v>
      </c>
      <c r="AD1460" t="s">
        <v>134</v>
      </c>
      <c r="AE1460">
        <v>24</v>
      </c>
      <c r="AF1460" t="s">
        <v>495</v>
      </c>
      <c r="AG1460">
        <f>IFERROR(VLOOKUP(AF1460,[1]STOK!J:O,6,0),"")</f>
        <v>24</v>
      </c>
      <c r="AH1460" s="2">
        <f t="shared" si="44"/>
        <v>1</v>
      </c>
      <c r="AI1460" t="s">
        <v>495</v>
      </c>
      <c r="AJ1460" t="s">
        <v>496</v>
      </c>
      <c r="AK1460" t="s">
        <v>497</v>
      </c>
      <c r="AL1460" t="s">
        <v>86</v>
      </c>
      <c r="AM1460">
        <v>183816</v>
      </c>
      <c r="AN1460">
        <f t="shared" si="45"/>
        <v>181977.84</v>
      </c>
      <c r="AO1460" t="s">
        <v>66</v>
      </c>
      <c r="AP1460">
        <v>1</v>
      </c>
      <c r="AQ1460" t="s">
        <v>66</v>
      </c>
      <c r="AR1460">
        <v>0</v>
      </c>
      <c r="AS1460" t="s">
        <v>66</v>
      </c>
      <c r="AT1460">
        <v>0</v>
      </c>
      <c r="AU1460" t="s">
        <v>66</v>
      </c>
      <c r="AV1460">
        <v>0</v>
      </c>
      <c r="AW1460" t="s">
        <v>66</v>
      </c>
      <c r="AX1460">
        <v>0</v>
      </c>
      <c r="AY1460" t="s">
        <v>66</v>
      </c>
      <c r="AZ1460">
        <v>0</v>
      </c>
      <c r="BA1460" t="s">
        <v>66</v>
      </c>
      <c r="BB1460">
        <v>0</v>
      </c>
      <c r="BC1460">
        <v>0</v>
      </c>
      <c r="BD1460">
        <v>181977.84</v>
      </c>
      <c r="BE1460">
        <v>6241.61</v>
      </c>
      <c r="BF1460">
        <v>0</v>
      </c>
      <c r="BG1460" t="s">
        <v>87</v>
      </c>
      <c r="BH1460" t="s">
        <v>66</v>
      </c>
      <c r="BI1460">
        <v>0</v>
      </c>
      <c r="BJ1460" t="s">
        <v>66</v>
      </c>
      <c r="BK1460" t="s">
        <v>88</v>
      </c>
      <c r="BL1460" t="s">
        <v>66</v>
      </c>
      <c r="BM1460" t="s">
        <v>159</v>
      </c>
    </row>
    <row r="1461" spans="1:65" x14ac:dyDescent="0.25">
      <c r="A1461">
        <v>1459</v>
      </c>
      <c r="B1461" t="s">
        <v>1622</v>
      </c>
      <c r="C1461" t="s">
        <v>68</v>
      </c>
      <c r="D1461" s="1">
        <v>46220</v>
      </c>
      <c r="E1461" t="s">
        <v>1623</v>
      </c>
      <c r="F1461" t="s">
        <v>68</v>
      </c>
      <c r="G1461" t="s">
        <v>295</v>
      </c>
      <c r="H1461" t="s">
        <v>296</v>
      </c>
      <c r="I1461" t="s">
        <v>71</v>
      </c>
      <c r="J1461" t="s">
        <v>72</v>
      </c>
      <c r="K1461" t="s">
        <v>73</v>
      </c>
      <c r="L1461" t="s">
        <v>74</v>
      </c>
      <c r="M1461" t="s">
        <v>764</v>
      </c>
      <c r="N1461" t="s">
        <v>274</v>
      </c>
      <c r="O1461" t="s">
        <v>765</v>
      </c>
      <c r="P1461" t="s">
        <v>766</v>
      </c>
      <c r="Q1461" t="s">
        <v>1624</v>
      </c>
      <c r="R1461" s="1">
        <v>46223</v>
      </c>
      <c r="S1461" t="s">
        <v>768</v>
      </c>
      <c r="T1461" t="s">
        <v>769</v>
      </c>
      <c r="U1461" t="s">
        <v>770</v>
      </c>
      <c r="V1461" t="s">
        <v>66</v>
      </c>
      <c r="W1461" t="s">
        <v>66</v>
      </c>
      <c r="X1461">
        <v>5623794</v>
      </c>
      <c r="Y1461">
        <v>618617.34</v>
      </c>
      <c r="Z1461">
        <v>53856</v>
      </c>
      <c r="AA1461">
        <v>5924.16</v>
      </c>
      <c r="AB1461">
        <v>6242411.3399999999</v>
      </c>
      <c r="AC1461">
        <v>2</v>
      </c>
      <c r="AD1461" t="s">
        <v>82</v>
      </c>
      <c r="AE1461">
        <v>2</v>
      </c>
      <c r="AF1461" t="s">
        <v>774</v>
      </c>
      <c r="AG1461">
        <f>IFERROR(VLOOKUP(AF1461,[1]STOK!J:O,6,0),"")</f>
        <v>12</v>
      </c>
      <c r="AH1461" s="2">
        <f t="shared" si="44"/>
        <v>0.16666666666666666</v>
      </c>
      <c r="AI1461" t="s">
        <v>774</v>
      </c>
      <c r="AJ1461" t="s">
        <v>775</v>
      </c>
      <c r="AK1461" t="s">
        <v>776</v>
      </c>
      <c r="AL1461" t="s">
        <v>86</v>
      </c>
      <c r="AM1461">
        <v>30192</v>
      </c>
      <c r="AN1461">
        <f t="shared" si="45"/>
        <v>29890.080000000002</v>
      </c>
      <c r="AO1461" t="s">
        <v>66</v>
      </c>
      <c r="AP1461">
        <v>1</v>
      </c>
      <c r="AQ1461" t="s">
        <v>66</v>
      </c>
      <c r="AR1461">
        <v>0</v>
      </c>
      <c r="AS1461" t="s">
        <v>66</v>
      </c>
      <c r="AT1461">
        <v>0</v>
      </c>
      <c r="AU1461" t="s">
        <v>66</v>
      </c>
      <c r="AV1461">
        <v>0</v>
      </c>
      <c r="AW1461" t="s">
        <v>66</v>
      </c>
      <c r="AX1461">
        <v>0</v>
      </c>
      <c r="AY1461" t="s">
        <v>66</v>
      </c>
      <c r="AZ1461">
        <v>0</v>
      </c>
      <c r="BA1461" t="s">
        <v>66</v>
      </c>
      <c r="BB1461">
        <v>0</v>
      </c>
      <c r="BC1461">
        <v>0</v>
      </c>
      <c r="BD1461">
        <v>59780.160000000003</v>
      </c>
      <c r="BE1461">
        <v>24513.02</v>
      </c>
      <c r="BF1461">
        <v>0</v>
      </c>
      <c r="BG1461" t="s">
        <v>87</v>
      </c>
      <c r="BH1461" t="s">
        <v>66</v>
      </c>
      <c r="BI1461">
        <v>0</v>
      </c>
      <c r="BJ1461" t="s">
        <v>66</v>
      </c>
      <c r="BK1461" t="s">
        <v>88</v>
      </c>
      <c r="BL1461" t="s">
        <v>66</v>
      </c>
      <c r="BM1461" t="s">
        <v>159</v>
      </c>
    </row>
    <row r="1462" spans="1:65" x14ac:dyDescent="0.25">
      <c r="A1462">
        <v>1460</v>
      </c>
      <c r="B1462" t="s">
        <v>1622</v>
      </c>
      <c r="C1462" t="s">
        <v>68</v>
      </c>
      <c r="D1462" s="1">
        <v>46220</v>
      </c>
      <c r="E1462" t="s">
        <v>1623</v>
      </c>
      <c r="F1462" t="s">
        <v>68</v>
      </c>
      <c r="G1462" t="s">
        <v>295</v>
      </c>
      <c r="H1462" t="s">
        <v>296</v>
      </c>
      <c r="I1462" t="s">
        <v>71</v>
      </c>
      <c r="J1462" t="s">
        <v>72</v>
      </c>
      <c r="K1462" t="s">
        <v>73</v>
      </c>
      <c r="L1462" t="s">
        <v>74</v>
      </c>
      <c r="M1462" t="s">
        <v>764</v>
      </c>
      <c r="N1462" t="s">
        <v>274</v>
      </c>
      <c r="O1462" t="s">
        <v>765</v>
      </c>
      <c r="P1462" t="s">
        <v>766</v>
      </c>
      <c r="Q1462" t="s">
        <v>1624</v>
      </c>
      <c r="R1462" s="1">
        <v>46223</v>
      </c>
      <c r="S1462" t="s">
        <v>768</v>
      </c>
      <c r="T1462" t="s">
        <v>769</v>
      </c>
      <c r="U1462" t="s">
        <v>770</v>
      </c>
      <c r="V1462" t="s">
        <v>66</v>
      </c>
      <c r="W1462" t="s">
        <v>66</v>
      </c>
      <c r="X1462">
        <v>5623794</v>
      </c>
      <c r="Y1462">
        <v>618617.34</v>
      </c>
      <c r="Z1462">
        <v>85536</v>
      </c>
      <c r="AA1462">
        <v>9408.9599999999991</v>
      </c>
      <c r="AB1462">
        <v>6242411.3399999999</v>
      </c>
      <c r="AC1462">
        <v>6</v>
      </c>
      <c r="AD1462" t="s">
        <v>82</v>
      </c>
      <c r="AE1462">
        <v>6</v>
      </c>
      <c r="AF1462" t="s">
        <v>448</v>
      </c>
      <c r="AG1462">
        <f>IFERROR(VLOOKUP(AF1462,[1]STOK!J:O,6,0),"")</f>
        <v>12</v>
      </c>
      <c r="AH1462" s="2">
        <f t="shared" si="44"/>
        <v>0.5</v>
      </c>
      <c r="AI1462" t="s">
        <v>448</v>
      </c>
      <c r="AJ1462" t="s">
        <v>449</v>
      </c>
      <c r="AK1462" t="s">
        <v>450</v>
      </c>
      <c r="AL1462" t="s">
        <v>86</v>
      </c>
      <c r="AM1462">
        <v>15984</v>
      </c>
      <c r="AN1462">
        <f t="shared" si="45"/>
        <v>15824.160000000002</v>
      </c>
      <c r="AO1462" t="s">
        <v>66</v>
      </c>
      <c r="AP1462">
        <v>1</v>
      </c>
      <c r="AQ1462" t="s">
        <v>66</v>
      </c>
      <c r="AR1462">
        <v>0</v>
      </c>
      <c r="AS1462" t="s">
        <v>66</v>
      </c>
      <c r="AT1462">
        <v>0</v>
      </c>
      <c r="AU1462" t="s">
        <v>66</v>
      </c>
      <c r="AV1462">
        <v>0</v>
      </c>
      <c r="AW1462" t="s">
        <v>66</v>
      </c>
      <c r="AX1462">
        <v>0</v>
      </c>
      <c r="AY1462" t="s">
        <v>66</v>
      </c>
      <c r="AZ1462">
        <v>0</v>
      </c>
      <c r="BA1462" t="s">
        <v>66</v>
      </c>
      <c r="BB1462">
        <v>0</v>
      </c>
      <c r="BC1462">
        <v>0</v>
      </c>
      <c r="BD1462">
        <v>94944.960000000006</v>
      </c>
      <c r="BE1462">
        <v>12036.1</v>
      </c>
      <c r="BF1462">
        <v>0</v>
      </c>
      <c r="BG1462" t="s">
        <v>87</v>
      </c>
      <c r="BH1462" t="s">
        <v>66</v>
      </c>
      <c r="BI1462">
        <v>0</v>
      </c>
      <c r="BJ1462" t="s">
        <v>66</v>
      </c>
      <c r="BK1462" t="s">
        <v>88</v>
      </c>
      <c r="BL1462" t="s">
        <v>66</v>
      </c>
      <c r="BM1462" t="s">
        <v>159</v>
      </c>
    </row>
    <row r="1463" spans="1:65" x14ac:dyDescent="0.25">
      <c r="A1463">
        <v>1461</v>
      </c>
      <c r="B1463" t="s">
        <v>1622</v>
      </c>
      <c r="C1463" t="s">
        <v>68</v>
      </c>
      <c r="D1463" s="1">
        <v>46220</v>
      </c>
      <c r="E1463" t="s">
        <v>1623</v>
      </c>
      <c r="F1463" t="s">
        <v>68</v>
      </c>
      <c r="G1463" t="s">
        <v>295</v>
      </c>
      <c r="H1463" t="s">
        <v>296</v>
      </c>
      <c r="I1463" t="s">
        <v>71</v>
      </c>
      <c r="J1463" t="s">
        <v>72</v>
      </c>
      <c r="K1463" t="s">
        <v>73</v>
      </c>
      <c r="L1463" t="s">
        <v>74</v>
      </c>
      <c r="M1463" t="s">
        <v>764</v>
      </c>
      <c r="N1463" t="s">
        <v>274</v>
      </c>
      <c r="O1463" t="s">
        <v>765</v>
      </c>
      <c r="P1463" t="s">
        <v>766</v>
      </c>
      <c r="Q1463" t="s">
        <v>1624</v>
      </c>
      <c r="R1463" s="1">
        <v>46223</v>
      </c>
      <c r="S1463" t="s">
        <v>768</v>
      </c>
      <c r="T1463" t="s">
        <v>769</v>
      </c>
      <c r="U1463" t="s">
        <v>770</v>
      </c>
      <c r="V1463" t="s">
        <v>66</v>
      </c>
      <c r="W1463" t="s">
        <v>66</v>
      </c>
      <c r="X1463">
        <v>5623794</v>
      </c>
      <c r="Y1463">
        <v>618617.34</v>
      </c>
      <c r="Z1463">
        <v>158004</v>
      </c>
      <c r="AA1463">
        <v>17380.439999999999</v>
      </c>
      <c r="AB1463">
        <v>6242411.3399999999</v>
      </c>
      <c r="AC1463">
        <v>1</v>
      </c>
      <c r="AD1463" t="s">
        <v>134</v>
      </c>
      <c r="AE1463">
        <v>12</v>
      </c>
      <c r="AF1463" t="s">
        <v>135</v>
      </c>
      <c r="AG1463">
        <f>IFERROR(VLOOKUP(AF1463,[1]STOK!J:O,6,0),"")</f>
        <v>12</v>
      </c>
      <c r="AH1463" s="2">
        <f t="shared" si="44"/>
        <v>1</v>
      </c>
      <c r="AI1463" t="s">
        <v>135</v>
      </c>
      <c r="AJ1463" t="s">
        <v>136</v>
      </c>
      <c r="AK1463" t="s">
        <v>137</v>
      </c>
      <c r="AL1463" t="s">
        <v>86</v>
      </c>
      <c r="AM1463">
        <v>177156</v>
      </c>
      <c r="AN1463">
        <f t="shared" si="45"/>
        <v>175384.44</v>
      </c>
      <c r="AO1463" t="s">
        <v>66</v>
      </c>
      <c r="AP1463">
        <v>1</v>
      </c>
      <c r="AQ1463" t="s">
        <v>66</v>
      </c>
      <c r="AR1463">
        <v>0</v>
      </c>
      <c r="AS1463" t="s">
        <v>66</v>
      </c>
      <c r="AT1463">
        <v>0</v>
      </c>
      <c r="AU1463" t="s">
        <v>66</v>
      </c>
      <c r="AV1463">
        <v>0</v>
      </c>
      <c r="AW1463" t="s">
        <v>66</v>
      </c>
      <c r="AX1463">
        <v>0</v>
      </c>
      <c r="AY1463" t="s">
        <v>66</v>
      </c>
      <c r="AZ1463">
        <v>0</v>
      </c>
      <c r="BA1463" t="s">
        <v>66</v>
      </c>
      <c r="BB1463">
        <v>0</v>
      </c>
      <c r="BC1463">
        <v>0</v>
      </c>
      <c r="BD1463">
        <v>175384.44</v>
      </c>
      <c r="BE1463">
        <v>12035.7</v>
      </c>
      <c r="BF1463">
        <v>0</v>
      </c>
      <c r="BG1463" t="s">
        <v>87</v>
      </c>
      <c r="BH1463" t="s">
        <v>66</v>
      </c>
      <c r="BI1463">
        <v>0</v>
      </c>
      <c r="BJ1463" t="s">
        <v>66</v>
      </c>
      <c r="BK1463" t="s">
        <v>88</v>
      </c>
      <c r="BL1463" t="s">
        <v>66</v>
      </c>
      <c r="BM1463" t="s">
        <v>159</v>
      </c>
    </row>
    <row r="1464" spans="1:65" x14ac:dyDescent="0.25">
      <c r="A1464">
        <v>1462</v>
      </c>
      <c r="B1464" t="s">
        <v>1622</v>
      </c>
      <c r="C1464" t="s">
        <v>68</v>
      </c>
      <c r="D1464" s="1">
        <v>46220</v>
      </c>
      <c r="E1464" t="s">
        <v>1623</v>
      </c>
      <c r="F1464" t="s">
        <v>68</v>
      </c>
      <c r="G1464" t="s">
        <v>295</v>
      </c>
      <c r="H1464" t="s">
        <v>296</v>
      </c>
      <c r="I1464" t="s">
        <v>71</v>
      </c>
      <c r="J1464" t="s">
        <v>72</v>
      </c>
      <c r="K1464" t="s">
        <v>73</v>
      </c>
      <c r="L1464" t="s">
        <v>74</v>
      </c>
      <c r="M1464" t="s">
        <v>764</v>
      </c>
      <c r="N1464" t="s">
        <v>274</v>
      </c>
      <c r="O1464" t="s">
        <v>765</v>
      </c>
      <c r="P1464" t="s">
        <v>766</v>
      </c>
      <c r="Q1464" t="s">
        <v>1624</v>
      </c>
      <c r="R1464" s="1">
        <v>46223</v>
      </c>
      <c r="S1464" t="s">
        <v>768</v>
      </c>
      <c r="T1464" t="s">
        <v>769</v>
      </c>
      <c r="U1464" t="s">
        <v>770</v>
      </c>
      <c r="V1464" t="s">
        <v>66</v>
      </c>
      <c r="W1464" t="s">
        <v>66</v>
      </c>
      <c r="X1464">
        <v>5623794</v>
      </c>
      <c r="Y1464">
        <v>618617.34</v>
      </c>
      <c r="Z1464">
        <v>316008</v>
      </c>
      <c r="AA1464">
        <v>34760.879999999997</v>
      </c>
      <c r="AB1464">
        <v>6242411.3399999999</v>
      </c>
      <c r="AC1464">
        <v>2</v>
      </c>
      <c r="AD1464" t="s">
        <v>134</v>
      </c>
      <c r="AE1464">
        <v>24</v>
      </c>
      <c r="AF1464" t="s">
        <v>210</v>
      </c>
      <c r="AG1464">
        <f>IFERROR(VLOOKUP(AF1464,[1]STOK!J:O,6,0),"")</f>
        <v>12</v>
      </c>
      <c r="AH1464" s="2">
        <f t="shared" si="44"/>
        <v>2</v>
      </c>
      <c r="AI1464" t="s">
        <v>210</v>
      </c>
      <c r="AJ1464" t="s">
        <v>211</v>
      </c>
      <c r="AK1464" t="s">
        <v>212</v>
      </c>
      <c r="AL1464" t="s">
        <v>86</v>
      </c>
      <c r="AM1464">
        <v>177156</v>
      </c>
      <c r="AN1464">
        <f t="shared" si="45"/>
        <v>175384.44</v>
      </c>
      <c r="AO1464" t="s">
        <v>66</v>
      </c>
      <c r="AP1464">
        <v>1</v>
      </c>
      <c r="AQ1464" t="s">
        <v>66</v>
      </c>
      <c r="AR1464">
        <v>0</v>
      </c>
      <c r="AS1464" t="s">
        <v>66</v>
      </c>
      <c r="AT1464">
        <v>0</v>
      </c>
      <c r="AU1464" t="s">
        <v>66</v>
      </c>
      <c r="AV1464">
        <v>0</v>
      </c>
      <c r="AW1464" t="s">
        <v>66</v>
      </c>
      <c r="AX1464">
        <v>0</v>
      </c>
      <c r="AY1464" t="s">
        <v>66</v>
      </c>
      <c r="AZ1464">
        <v>0</v>
      </c>
      <c r="BA1464" t="s">
        <v>66</v>
      </c>
      <c r="BB1464">
        <v>0</v>
      </c>
      <c r="BC1464">
        <v>0</v>
      </c>
      <c r="BD1464">
        <v>350768.88</v>
      </c>
      <c r="BE1464">
        <v>12007.79</v>
      </c>
      <c r="BF1464">
        <v>0</v>
      </c>
      <c r="BG1464" t="s">
        <v>87</v>
      </c>
      <c r="BH1464" t="s">
        <v>66</v>
      </c>
      <c r="BI1464">
        <v>0</v>
      </c>
      <c r="BJ1464" t="s">
        <v>66</v>
      </c>
      <c r="BK1464" t="s">
        <v>88</v>
      </c>
      <c r="BL1464" t="s">
        <v>66</v>
      </c>
      <c r="BM1464" t="s">
        <v>159</v>
      </c>
    </row>
    <row r="1465" spans="1:65" x14ac:dyDescent="0.25">
      <c r="A1465">
        <v>1463</v>
      </c>
      <c r="B1465" t="s">
        <v>1622</v>
      </c>
      <c r="C1465" t="s">
        <v>68</v>
      </c>
      <c r="D1465" s="1">
        <v>46220</v>
      </c>
      <c r="E1465" t="s">
        <v>1623</v>
      </c>
      <c r="F1465" t="s">
        <v>68</v>
      </c>
      <c r="G1465" t="s">
        <v>295</v>
      </c>
      <c r="H1465" t="s">
        <v>296</v>
      </c>
      <c r="I1465" t="s">
        <v>71</v>
      </c>
      <c r="J1465" t="s">
        <v>72</v>
      </c>
      <c r="K1465" t="s">
        <v>73</v>
      </c>
      <c r="L1465" t="s">
        <v>74</v>
      </c>
      <c r="M1465" t="s">
        <v>764</v>
      </c>
      <c r="N1465" t="s">
        <v>274</v>
      </c>
      <c r="O1465" t="s">
        <v>765</v>
      </c>
      <c r="P1465" t="s">
        <v>766</v>
      </c>
      <c r="Q1465" t="s">
        <v>1624</v>
      </c>
      <c r="R1465" s="1">
        <v>46223</v>
      </c>
      <c r="S1465" t="s">
        <v>768</v>
      </c>
      <c r="T1465" t="s">
        <v>769</v>
      </c>
      <c r="U1465" t="s">
        <v>770</v>
      </c>
      <c r="V1465" t="s">
        <v>66</v>
      </c>
      <c r="W1465" t="s">
        <v>66</v>
      </c>
      <c r="X1465">
        <v>5623794</v>
      </c>
      <c r="Y1465">
        <v>618617.34</v>
      </c>
      <c r="Z1465">
        <v>712800</v>
      </c>
      <c r="AA1465">
        <v>78408</v>
      </c>
      <c r="AB1465">
        <v>6242411.3399999999</v>
      </c>
      <c r="AC1465">
        <v>3</v>
      </c>
      <c r="AD1465" t="s">
        <v>134</v>
      </c>
      <c r="AE1465">
        <v>36</v>
      </c>
      <c r="AF1465" t="s">
        <v>290</v>
      </c>
      <c r="AG1465">
        <f>IFERROR(VLOOKUP(AF1465,[1]STOK!J:O,6,0),"")</f>
        <v>12</v>
      </c>
      <c r="AH1465" s="2">
        <f t="shared" si="44"/>
        <v>3</v>
      </c>
      <c r="AI1465" t="s">
        <v>290</v>
      </c>
      <c r="AJ1465" t="s">
        <v>291</v>
      </c>
      <c r="AK1465" t="s">
        <v>292</v>
      </c>
      <c r="AL1465" t="s">
        <v>86</v>
      </c>
      <c r="AM1465">
        <v>266400</v>
      </c>
      <c r="AN1465">
        <f t="shared" si="45"/>
        <v>263736</v>
      </c>
      <c r="AO1465" t="s">
        <v>66</v>
      </c>
      <c r="AP1465">
        <v>1</v>
      </c>
      <c r="AQ1465" t="s">
        <v>66</v>
      </c>
      <c r="AR1465">
        <v>0</v>
      </c>
      <c r="AS1465" t="s">
        <v>66</v>
      </c>
      <c r="AT1465">
        <v>0</v>
      </c>
      <c r="AU1465" t="s">
        <v>66</v>
      </c>
      <c r="AV1465">
        <v>0</v>
      </c>
      <c r="AW1465" t="s">
        <v>66</v>
      </c>
      <c r="AX1465">
        <v>0</v>
      </c>
      <c r="AY1465" t="s">
        <v>66</v>
      </c>
      <c r="AZ1465">
        <v>0</v>
      </c>
      <c r="BA1465" t="s">
        <v>66</v>
      </c>
      <c r="BB1465">
        <v>0</v>
      </c>
      <c r="BC1465">
        <v>0</v>
      </c>
      <c r="BD1465">
        <v>791208</v>
      </c>
      <c r="BE1465">
        <v>18103.580000000002</v>
      </c>
      <c r="BF1465">
        <v>0</v>
      </c>
      <c r="BG1465" t="s">
        <v>87</v>
      </c>
      <c r="BH1465" t="s">
        <v>66</v>
      </c>
      <c r="BI1465">
        <v>0</v>
      </c>
      <c r="BJ1465" t="s">
        <v>66</v>
      </c>
      <c r="BK1465" t="s">
        <v>88</v>
      </c>
      <c r="BL1465" t="s">
        <v>66</v>
      </c>
      <c r="BM1465" t="s">
        <v>159</v>
      </c>
    </row>
    <row r="1466" spans="1:65" x14ac:dyDescent="0.25">
      <c r="A1466">
        <v>1464</v>
      </c>
      <c r="B1466" t="s">
        <v>1622</v>
      </c>
      <c r="C1466" t="s">
        <v>68</v>
      </c>
      <c r="D1466" s="1">
        <v>46220</v>
      </c>
      <c r="E1466" t="s">
        <v>1623</v>
      </c>
      <c r="F1466" t="s">
        <v>68</v>
      </c>
      <c r="G1466" t="s">
        <v>295</v>
      </c>
      <c r="H1466" t="s">
        <v>296</v>
      </c>
      <c r="I1466" t="s">
        <v>71</v>
      </c>
      <c r="J1466" t="s">
        <v>72</v>
      </c>
      <c r="K1466" t="s">
        <v>73</v>
      </c>
      <c r="L1466" t="s">
        <v>74</v>
      </c>
      <c r="M1466" t="s">
        <v>764</v>
      </c>
      <c r="N1466" t="s">
        <v>274</v>
      </c>
      <c r="O1466" t="s">
        <v>765</v>
      </c>
      <c r="P1466" t="s">
        <v>766</v>
      </c>
      <c r="Q1466" t="s">
        <v>1624</v>
      </c>
      <c r="R1466" s="1">
        <v>46223</v>
      </c>
      <c r="S1466" t="s">
        <v>768</v>
      </c>
      <c r="T1466" t="s">
        <v>769</v>
      </c>
      <c r="U1466" t="s">
        <v>770</v>
      </c>
      <c r="V1466" t="s">
        <v>66</v>
      </c>
      <c r="W1466" t="s">
        <v>66</v>
      </c>
      <c r="X1466">
        <v>5623794</v>
      </c>
      <c r="Y1466">
        <v>618617.34</v>
      </c>
      <c r="Z1466">
        <v>227502</v>
      </c>
      <c r="AA1466">
        <v>25025.22</v>
      </c>
      <c r="AB1466">
        <v>6242411.3399999999</v>
      </c>
      <c r="AC1466">
        <v>1</v>
      </c>
      <c r="AD1466" t="s">
        <v>134</v>
      </c>
      <c r="AE1466">
        <v>6</v>
      </c>
      <c r="AF1466" t="s">
        <v>138</v>
      </c>
      <c r="AG1466">
        <f>IFERROR(VLOOKUP(AF1466,[1]STOK!J:O,6,0),"")</f>
        <v>6</v>
      </c>
      <c r="AH1466" s="2">
        <f t="shared" si="44"/>
        <v>1</v>
      </c>
      <c r="AI1466" t="s">
        <v>138</v>
      </c>
      <c r="AJ1466" t="s">
        <v>139</v>
      </c>
      <c r="AK1466" t="s">
        <v>140</v>
      </c>
      <c r="AL1466" t="s">
        <v>86</v>
      </c>
      <c r="AM1466">
        <v>255078</v>
      </c>
      <c r="AN1466">
        <f t="shared" si="45"/>
        <v>252527.22</v>
      </c>
      <c r="AO1466" t="s">
        <v>66</v>
      </c>
      <c r="AP1466">
        <v>1</v>
      </c>
      <c r="AQ1466" t="s">
        <v>66</v>
      </c>
      <c r="AR1466">
        <v>0</v>
      </c>
      <c r="AS1466" t="s">
        <v>66</v>
      </c>
      <c r="AT1466">
        <v>0</v>
      </c>
      <c r="AU1466" t="s">
        <v>66</v>
      </c>
      <c r="AV1466">
        <v>0</v>
      </c>
      <c r="AW1466" t="s">
        <v>66</v>
      </c>
      <c r="AX1466">
        <v>0</v>
      </c>
      <c r="AY1466" t="s">
        <v>66</v>
      </c>
      <c r="AZ1466">
        <v>0</v>
      </c>
      <c r="BA1466" t="s">
        <v>66</v>
      </c>
      <c r="BB1466">
        <v>0</v>
      </c>
      <c r="BC1466">
        <v>0</v>
      </c>
      <c r="BD1466">
        <v>252527.22</v>
      </c>
      <c r="BE1466">
        <v>34652.67</v>
      </c>
      <c r="BF1466">
        <v>0</v>
      </c>
      <c r="BG1466" t="s">
        <v>87</v>
      </c>
      <c r="BH1466" t="s">
        <v>66</v>
      </c>
      <c r="BI1466">
        <v>0</v>
      </c>
      <c r="BJ1466" t="s">
        <v>66</v>
      </c>
      <c r="BK1466" t="s">
        <v>88</v>
      </c>
      <c r="BL1466" t="s">
        <v>66</v>
      </c>
      <c r="BM1466" t="s">
        <v>159</v>
      </c>
    </row>
    <row r="1467" spans="1:65" x14ac:dyDescent="0.25">
      <c r="A1467">
        <v>1465</v>
      </c>
      <c r="B1467" t="s">
        <v>1622</v>
      </c>
      <c r="C1467" t="s">
        <v>68</v>
      </c>
      <c r="D1467" s="1">
        <v>46220</v>
      </c>
      <c r="E1467" t="s">
        <v>1623</v>
      </c>
      <c r="F1467" t="s">
        <v>68</v>
      </c>
      <c r="G1467" t="s">
        <v>295</v>
      </c>
      <c r="H1467" t="s">
        <v>296</v>
      </c>
      <c r="I1467" t="s">
        <v>71</v>
      </c>
      <c r="J1467" t="s">
        <v>72</v>
      </c>
      <c r="K1467" t="s">
        <v>73</v>
      </c>
      <c r="L1467" t="s">
        <v>74</v>
      </c>
      <c r="M1467" t="s">
        <v>764</v>
      </c>
      <c r="N1467" t="s">
        <v>274</v>
      </c>
      <c r="O1467" t="s">
        <v>765</v>
      </c>
      <c r="P1467" t="s">
        <v>766</v>
      </c>
      <c r="Q1467" t="s">
        <v>1624</v>
      </c>
      <c r="R1467" s="1">
        <v>46223</v>
      </c>
      <c r="S1467" t="s">
        <v>768</v>
      </c>
      <c r="T1467" t="s">
        <v>769</v>
      </c>
      <c r="U1467" t="s">
        <v>770</v>
      </c>
      <c r="V1467" t="s">
        <v>66</v>
      </c>
      <c r="W1467" t="s">
        <v>66</v>
      </c>
      <c r="X1467">
        <v>5623794</v>
      </c>
      <c r="Y1467">
        <v>618617.34</v>
      </c>
      <c r="Z1467">
        <v>227502</v>
      </c>
      <c r="AA1467">
        <v>25025.22</v>
      </c>
      <c r="AB1467">
        <v>6242411.3399999999</v>
      </c>
      <c r="AC1467">
        <v>1</v>
      </c>
      <c r="AD1467" t="s">
        <v>134</v>
      </c>
      <c r="AE1467">
        <v>6</v>
      </c>
      <c r="AF1467" t="s">
        <v>323</v>
      </c>
      <c r="AG1467">
        <f>IFERROR(VLOOKUP(AF1467,[1]STOK!J:O,6,0),"")</f>
        <v>6</v>
      </c>
      <c r="AH1467" s="2">
        <f t="shared" si="44"/>
        <v>1</v>
      </c>
      <c r="AI1467" t="s">
        <v>323</v>
      </c>
      <c r="AJ1467" t="s">
        <v>324</v>
      </c>
      <c r="AK1467" t="s">
        <v>325</v>
      </c>
      <c r="AL1467" t="s">
        <v>86</v>
      </c>
      <c r="AM1467">
        <v>255078</v>
      </c>
      <c r="AN1467">
        <f t="shared" si="45"/>
        <v>252527.22</v>
      </c>
      <c r="AO1467" t="s">
        <v>66</v>
      </c>
      <c r="AP1467">
        <v>1</v>
      </c>
      <c r="AQ1467" t="s">
        <v>66</v>
      </c>
      <c r="AR1467">
        <v>0</v>
      </c>
      <c r="AS1467" t="s">
        <v>66</v>
      </c>
      <c r="AT1467">
        <v>0</v>
      </c>
      <c r="AU1467" t="s">
        <v>66</v>
      </c>
      <c r="AV1467">
        <v>0</v>
      </c>
      <c r="AW1467" t="s">
        <v>66</v>
      </c>
      <c r="AX1467">
        <v>0</v>
      </c>
      <c r="AY1467" t="s">
        <v>66</v>
      </c>
      <c r="AZ1467">
        <v>0</v>
      </c>
      <c r="BA1467" t="s">
        <v>66</v>
      </c>
      <c r="BB1467">
        <v>0</v>
      </c>
      <c r="BC1467">
        <v>0</v>
      </c>
      <c r="BD1467">
        <v>252527.22</v>
      </c>
      <c r="BE1467">
        <v>34506.17</v>
      </c>
      <c r="BF1467">
        <v>0</v>
      </c>
      <c r="BG1467" t="s">
        <v>87</v>
      </c>
      <c r="BH1467" t="s">
        <v>66</v>
      </c>
      <c r="BI1467">
        <v>0</v>
      </c>
      <c r="BJ1467" t="s">
        <v>66</v>
      </c>
      <c r="BK1467" t="s">
        <v>88</v>
      </c>
      <c r="BL1467" t="s">
        <v>66</v>
      </c>
      <c r="BM1467" t="s">
        <v>159</v>
      </c>
    </row>
    <row r="1468" spans="1:65" x14ac:dyDescent="0.25">
      <c r="A1468">
        <v>1466</v>
      </c>
      <c r="B1468" t="s">
        <v>1622</v>
      </c>
      <c r="C1468" t="s">
        <v>68</v>
      </c>
      <c r="D1468" s="1">
        <v>46220</v>
      </c>
      <c r="E1468" t="s">
        <v>1623</v>
      </c>
      <c r="F1468" t="s">
        <v>68</v>
      </c>
      <c r="G1468" t="s">
        <v>295</v>
      </c>
      <c r="H1468" t="s">
        <v>296</v>
      </c>
      <c r="I1468" t="s">
        <v>71</v>
      </c>
      <c r="J1468" t="s">
        <v>72</v>
      </c>
      <c r="K1468" t="s">
        <v>73</v>
      </c>
      <c r="L1468" t="s">
        <v>74</v>
      </c>
      <c r="M1468" t="s">
        <v>764</v>
      </c>
      <c r="N1468" t="s">
        <v>274</v>
      </c>
      <c r="O1468" t="s">
        <v>765</v>
      </c>
      <c r="P1468" t="s">
        <v>766</v>
      </c>
      <c r="Q1468" t="s">
        <v>1624</v>
      </c>
      <c r="R1468" s="1">
        <v>46223</v>
      </c>
      <c r="S1468" t="s">
        <v>768</v>
      </c>
      <c r="T1468" t="s">
        <v>769</v>
      </c>
      <c r="U1468" t="s">
        <v>770</v>
      </c>
      <c r="V1468" t="s">
        <v>66</v>
      </c>
      <c r="W1468" t="s">
        <v>66</v>
      </c>
      <c r="X1468">
        <v>5623794</v>
      </c>
      <c r="Y1468">
        <v>618617.34</v>
      </c>
      <c r="Z1468">
        <v>534600</v>
      </c>
      <c r="AA1468">
        <v>58806</v>
      </c>
      <c r="AB1468">
        <v>6242411.3399999999</v>
      </c>
      <c r="AC1468">
        <v>2</v>
      </c>
      <c r="AD1468" t="s">
        <v>134</v>
      </c>
      <c r="AE1468">
        <v>8</v>
      </c>
      <c r="AF1468" t="s">
        <v>312</v>
      </c>
      <c r="AG1468">
        <f>IFERROR(VLOOKUP(AF1468,[1]STOK!J:O,6,0),"")</f>
        <v>4</v>
      </c>
      <c r="AH1468" s="2">
        <f t="shared" si="44"/>
        <v>2</v>
      </c>
      <c r="AI1468" t="s">
        <v>312</v>
      </c>
      <c r="AJ1468" t="s">
        <v>313</v>
      </c>
      <c r="AK1468" t="s">
        <v>314</v>
      </c>
      <c r="AL1468" t="s">
        <v>86</v>
      </c>
      <c r="AM1468">
        <v>299700</v>
      </c>
      <c r="AN1468">
        <f t="shared" si="45"/>
        <v>296703</v>
      </c>
      <c r="AO1468" t="s">
        <v>66</v>
      </c>
      <c r="AP1468">
        <v>1</v>
      </c>
      <c r="AQ1468" t="s">
        <v>66</v>
      </c>
      <c r="AR1468">
        <v>0</v>
      </c>
      <c r="AS1468" t="s">
        <v>66</v>
      </c>
      <c r="AT1468">
        <v>0</v>
      </c>
      <c r="AU1468" t="s">
        <v>66</v>
      </c>
      <c r="AV1468">
        <v>0</v>
      </c>
      <c r="AW1468" t="s">
        <v>66</v>
      </c>
      <c r="AX1468">
        <v>0</v>
      </c>
      <c r="AY1468" t="s">
        <v>66</v>
      </c>
      <c r="AZ1468">
        <v>0</v>
      </c>
      <c r="BA1468" t="s">
        <v>66</v>
      </c>
      <c r="BB1468">
        <v>0</v>
      </c>
      <c r="BC1468">
        <v>0</v>
      </c>
      <c r="BD1468">
        <v>593406</v>
      </c>
      <c r="BE1468">
        <v>60347.95</v>
      </c>
      <c r="BF1468">
        <v>0</v>
      </c>
      <c r="BG1468" t="s">
        <v>87</v>
      </c>
      <c r="BH1468" t="s">
        <v>66</v>
      </c>
      <c r="BI1468">
        <v>0</v>
      </c>
      <c r="BJ1468" t="s">
        <v>66</v>
      </c>
      <c r="BK1468" t="s">
        <v>88</v>
      </c>
      <c r="BL1468" t="s">
        <v>66</v>
      </c>
      <c r="BM1468" t="s">
        <v>159</v>
      </c>
    </row>
    <row r="1469" spans="1:65" x14ac:dyDescent="0.25">
      <c r="A1469">
        <v>1467</v>
      </c>
      <c r="B1469" t="s">
        <v>1622</v>
      </c>
      <c r="C1469" t="s">
        <v>68</v>
      </c>
      <c r="D1469" s="1">
        <v>46220</v>
      </c>
      <c r="E1469" t="s">
        <v>1623</v>
      </c>
      <c r="F1469" t="s">
        <v>68</v>
      </c>
      <c r="G1469" t="s">
        <v>295</v>
      </c>
      <c r="H1469" t="s">
        <v>296</v>
      </c>
      <c r="I1469" t="s">
        <v>71</v>
      </c>
      <c r="J1469" t="s">
        <v>72</v>
      </c>
      <c r="K1469" t="s">
        <v>73</v>
      </c>
      <c r="L1469" t="s">
        <v>74</v>
      </c>
      <c r="M1469" t="s">
        <v>764</v>
      </c>
      <c r="N1469" t="s">
        <v>274</v>
      </c>
      <c r="O1469" t="s">
        <v>765</v>
      </c>
      <c r="P1469" t="s">
        <v>766</v>
      </c>
      <c r="Q1469" t="s">
        <v>1624</v>
      </c>
      <c r="R1469" s="1">
        <v>46223</v>
      </c>
      <c r="S1469" t="s">
        <v>768</v>
      </c>
      <c r="T1469" t="s">
        <v>769</v>
      </c>
      <c r="U1469" t="s">
        <v>770</v>
      </c>
      <c r="V1469" t="s">
        <v>66</v>
      </c>
      <c r="W1469" t="s">
        <v>66</v>
      </c>
      <c r="X1469">
        <v>5623794</v>
      </c>
      <c r="Y1469">
        <v>618617.34</v>
      </c>
      <c r="Z1469">
        <v>534600</v>
      </c>
      <c r="AA1469">
        <v>58806</v>
      </c>
      <c r="AB1469">
        <v>6242411.3399999999</v>
      </c>
      <c r="AC1469">
        <v>2</v>
      </c>
      <c r="AD1469" t="s">
        <v>134</v>
      </c>
      <c r="AE1469">
        <v>8</v>
      </c>
      <c r="AF1469" t="s">
        <v>476</v>
      </c>
      <c r="AG1469">
        <f>IFERROR(VLOOKUP(AF1469,[1]STOK!J:O,6,0),"")</f>
        <v>4</v>
      </c>
      <c r="AH1469" s="2">
        <f t="shared" si="44"/>
        <v>2</v>
      </c>
      <c r="AI1469" t="s">
        <v>476</v>
      </c>
      <c r="AJ1469" t="s">
        <v>477</v>
      </c>
      <c r="AK1469" t="s">
        <v>478</v>
      </c>
      <c r="AL1469" t="s">
        <v>86</v>
      </c>
      <c r="AM1469">
        <v>299700</v>
      </c>
      <c r="AN1469">
        <f t="shared" si="45"/>
        <v>296703</v>
      </c>
      <c r="AO1469" t="s">
        <v>66</v>
      </c>
      <c r="AP1469">
        <v>1</v>
      </c>
      <c r="AQ1469" t="s">
        <v>66</v>
      </c>
      <c r="AR1469">
        <v>0</v>
      </c>
      <c r="AS1469" t="s">
        <v>66</v>
      </c>
      <c r="AT1469">
        <v>0</v>
      </c>
      <c r="AU1469" t="s">
        <v>66</v>
      </c>
      <c r="AV1469">
        <v>0</v>
      </c>
      <c r="AW1469" t="s">
        <v>66</v>
      </c>
      <c r="AX1469">
        <v>0</v>
      </c>
      <c r="AY1469" t="s">
        <v>66</v>
      </c>
      <c r="AZ1469">
        <v>0</v>
      </c>
      <c r="BA1469" t="s">
        <v>66</v>
      </c>
      <c r="BB1469">
        <v>0</v>
      </c>
      <c r="BC1469">
        <v>0</v>
      </c>
      <c r="BD1469">
        <v>593406</v>
      </c>
      <c r="BE1469">
        <v>58650.42</v>
      </c>
      <c r="BF1469">
        <v>0</v>
      </c>
      <c r="BG1469" t="s">
        <v>87</v>
      </c>
      <c r="BH1469" t="s">
        <v>66</v>
      </c>
      <c r="BI1469">
        <v>0</v>
      </c>
      <c r="BJ1469" t="s">
        <v>66</v>
      </c>
      <c r="BK1469" t="s">
        <v>88</v>
      </c>
      <c r="BL1469" t="s">
        <v>66</v>
      </c>
      <c r="BM1469" t="s">
        <v>159</v>
      </c>
    </row>
    <row r="1470" spans="1:65" x14ac:dyDescent="0.25">
      <c r="A1470">
        <v>1468</v>
      </c>
      <c r="B1470" t="s">
        <v>1622</v>
      </c>
      <c r="C1470" t="s">
        <v>68</v>
      </c>
      <c r="D1470" s="1">
        <v>46220</v>
      </c>
      <c r="E1470" t="s">
        <v>1623</v>
      </c>
      <c r="F1470" t="s">
        <v>68</v>
      </c>
      <c r="G1470" t="s">
        <v>295</v>
      </c>
      <c r="H1470" t="s">
        <v>296</v>
      </c>
      <c r="I1470" t="s">
        <v>71</v>
      </c>
      <c r="J1470" t="s">
        <v>72</v>
      </c>
      <c r="K1470" t="s">
        <v>73</v>
      </c>
      <c r="L1470" t="s">
        <v>74</v>
      </c>
      <c r="M1470" t="s">
        <v>764</v>
      </c>
      <c r="N1470" t="s">
        <v>274</v>
      </c>
      <c r="O1470" t="s">
        <v>765</v>
      </c>
      <c r="P1470" t="s">
        <v>766</v>
      </c>
      <c r="Q1470" t="s">
        <v>1624</v>
      </c>
      <c r="R1470" s="1">
        <v>46223</v>
      </c>
      <c r="S1470" t="s">
        <v>768</v>
      </c>
      <c r="T1470" t="s">
        <v>769</v>
      </c>
      <c r="U1470" t="s">
        <v>770</v>
      </c>
      <c r="V1470" t="s">
        <v>66</v>
      </c>
      <c r="W1470" t="s">
        <v>66</v>
      </c>
      <c r="X1470">
        <v>5623794</v>
      </c>
      <c r="Y1470">
        <v>618617.34</v>
      </c>
      <c r="Z1470">
        <v>342144</v>
      </c>
      <c r="AA1470">
        <v>37635.839999999997</v>
      </c>
      <c r="AB1470">
        <v>6242411.3399999999</v>
      </c>
      <c r="AC1470">
        <v>2</v>
      </c>
      <c r="AD1470" t="s">
        <v>134</v>
      </c>
      <c r="AE1470">
        <v>24</v>
      </c>
      <c r="AF1470" t="s">
        <v>141</v>
      </c>
      <c r="AG1470">
        <f>IFERROR(VLOOKUP(AF1470,[1]STOK!J:O,6,0),"")</f>
        <v>12</v>
      </c>
      <c r="AH1470" s="2">
        <f t="shared" si="44"/>
        <v>2</v>
      </c>
      <c r="AI1470" t="s">
        <v>141</v>
      </c>
      <c r="AJ1470" t="s">
        <v>142</v>
      </c>
      <c r="AK1470" t="s">
        <v>143</v>
      </c>
      <c r="AL1470" t="s">
        <v>86</v>
      </c>
      <c r="AM1470">
        <v>191808</v>
      </c>
      <c r="AN1470">
        <f t="shared" si="45"/>
        <v>189889.92000000001</v>
      </c>
      <c r="AO1470" t="s">
        <v>66</v>
      </c>
      <c r="AP1470">
        <v>1</v>
      </c>
      <c r="AQ1470" t="s">
        <v>66</v>
      </c>
      <c r="AR1470">
        <v>0</v>
      </c>
      <c r="AS1470" t="s">
        <v>66</v>
      </c>
      <c r="AT1470">
        <v>0</v>
      </c>
      <c r="AU1470" t="s">
        <v>66</v>
      </c>
      <c r="AV1470">
        <v>0</v>
      </c>
      <c r="AW1470" t="s">
        <v>66</v>
      </c>
      <c r="AX1470">
        <v>0</v>
      </c>
      <c r="AY1470" t="s">
        <v>66</v>
      </c>
      <c r="AZ1470">
        <v>0</v>
      </c>
      <c r="BA1470" t="s">
        <v>66</v>
      </c>
      <c r="BB1470">
        <v>0</v>
      </c>
      <c r="BC1470">
        <v>0</v>
      </c>
      <c r="BD1470">
        <v>379779.84000000003</v>
      </c>
      <c r="BE1470">
        <v>13010.31</v>
      </c>
      <c r="BF1470">
        <v>0</v>
      </c>
      <c r="BG1470" t="s">
        <v>87</v>
      </c>
      <c r="BH1470" t="s">
        <v>66</v>
      </c>
      <c r="BI1470">
        <v>0</v>
      </c>
      <c r="BJ1470" t="s">
        <v>66</v>
      </c>
      <c r="BK1470" t="s">
        <v>88</v>
      </c>
      <c r="BL1470" t="s">
        <v>66</v>
      </c>
      <c r="BM1470" t="s">
        <v>159</v>
      </c>
    </row>
    <row r="1471" spans="1:65" x14ac:dyDescent="0.25">
      <c r="A1471">
        <v>1469</v>
      </c>
      <c r="B1471" t="s">
        <v>1622</v>
      </c>
      <c r="C1471" t="s">
        <v>68</v>
      </c>
      <c r="D1471" s="1">
        <v>46220</v>
      </c>
      <c r="E1471" t="s">
        <v>1623</v>
      </c>
      <c r="F1471" t="s">
        <v>68</v>
      </c>
      <c r="G1471" t="s">
        <v>295</v>
      </c>
      <c r="H1471" t="s">
        <v>296</v>
      </c>
      <c r="I1471" t="s">
        <v>71</v>
      </c>
      <c r="J1471" t="s">
        <v>72</v>
      </c>
      <c r="K1471" t="s">
        <v>73</v>
      </c>
      <c r="L1471" t="s">
        <v>74</v>
      </c>
      <c r="M1471" t="s">
        <v>764</v>
      </c>
      <c r="N1471" t="s">
        <v>274</v>
      </c>
      <c r="O1471" t="s">
        <v>765</v>
      </c>
      <c r="P1471" t="s">
        <v>766</v>
      </c>
      <c r="Q1471" t="s">
        <v>1624</v>
      </c>
      <c r="R1471" s="1">
        <v>46223</v>
      </c>
      <c r="S1471" t="s">
        <v>768</v>
      </c>
      <c r="T1471" t="s">
        <v>769</v>
      </c>
      <c r="U1471" t="s">
        <v>770</v>
      </c>
      <c r="V1471" t="s">
        <v>66</v>
      </c>
      <c r="W1471" t="s">
        <v>66</v>
      </c>
      <c r="X1471">
        <v>5623794</v>
      </c>
      <c r="Y1471">
        <v>618617.34</v>
      </c>
      <c r="Z1471">
        <v>342144</v>
      </c>
      <c r="AA1471">
        <v>37635.839999999997</v>
      </c>
      <c r="AB1471">
        <v>6242411.3399999999</v>
      </c>
      <c r="AC1471">
        <v>2</v>
      </c>
      <c r="AD1471" t="s">
        <v>134</v>
      </c>
      <c r="AE1471">
        <v>24</v>
      </c>
      <c r="AF1471" t="s">
        <v>213</v>
      </c>
      <c r="AG1471">
        <f>IFERROR(VLOOKUP(AF1471,[1]STOK!J:O,6,0),"")</f>
        <v>12</v>
      </c>
      <c r="AH1471" s="2">
        <f t="shared" si="44"/>
        <v>2</v>
      </c>
      <c r="AI1471" t="s">
        <v>213</v>
      </c>
      <c r="AJ1471" t="s">
        <v>214</v>
      </c>
      <c r="AK1471" t="s">
        <v>215</v>
      </c>
      <c r="AL1471" t="s">
        <v>86</v>
      </c>
      <c r="AM1471">
        <v>191808</v>
      </c>
      <c r="AN1471">
        <f t="shared" si="45"/>
        <v>189889.92000000001</v>
      </c>
      <c r="AO1471" t="s">
        <v>66</v>
      </c>
      <c r="AP1471">
        <v>1</v>
      </c>
      <c r="AQ1471" t="s">
        <v>66</v>
      </c>
      <c r="AR1471">
        <v>0</v>
      </c>
      <c r="AS1471" t="s">
        <v>66</v>
      </c>
      <c r="AT1471">
        <v>0</v>
      </c>
      <c r="AU1471" t="s">
        <v>66</v>
      </c>
      <c r="AV1471">
        <v>0</v>
      </c>
      <c r="AW1471" t="s">
        <v>66</v>
      </c>
      <c r="AX1471">
        <v>0</v>
      </c>
      <c r="AY1471" t="s">
        <v>66</v>
      </c>
      <c r="AZ1471">
        <v>0</v>
      </c>
      <c r="BA1471" t="s">
        <v>66</v>
      </c>
      <c r="BB1471">
        <v>0</v>
      </c>
      <c r="BC1471">
        <v>0</v>
      </c>
      <c r="BD1471">
        <v>379779.84000000003</v>
      </c>
      <c r="BE1471">
        <v>12609.82</v>
      </c>
      <c r="BF1471">
        <v>0</v>
      </c>
      <c r="BG1471" t="s">
        <v>87</v>
      </c>
      <c r="BH1471" t="s">
        <v>66</v>
      </c>
      <c r="BI1471">
        <v>0</v>
      </c>
      <c r="BJ1471" t="s">
        <v>66</v>
      </c>
      <c r="BK1471" t="s">
        <v>88</v>
      </c>
      <c r="BL1471" t="s">
        <v>66</v>
      </c>
      <c r="BM1471" t="s">
        <v>159</v>
      </c>
    </row>
    <row r="1472" spans="1:65" x14ac:dyDescent="0.25">
      <c r="A1472">
        <v>1470</v>
      </c>
      <c r="B1472" t="s">
        <v>1625</v>
      </c>
      <c r="C1472" t="s">
        <v>68</v>
      </c>
      <c r="D1472" s="1">
        <v>46220</v>
      </c>
      <c r="E1472" t="s">
        <v>1626</v>
      </c>
      <c r="F1472" t="s">
        <v>68</v>
      </c>
      <c r="G1472" t="s">
        <v>69</v>
      </c>
      <c r="H1472" t="s">
        <v>70</v>
      </c>
      <c r="I1472" t="s">
        <v>71</v>
      </c>
      <c r="J1472" t="s">
        <v>72</v>
      </c>
      <c r="K1472" t="s">
        <v>73</v>
      </c>
      <c r="L1472" t="s">
        <v>74</v>
      </c>
      <c r="M1472" t="s">
        <v>820</v>
      </c>
      <c r="N1472" t="s">
        <v>111</v>
      </c>
      <c r="O1472" t="s">
        <v>821</v>
      </c>
      <c r="P1472" t="s">
        <v>822</v>
      </c>
      <c r="Q1472" t="s">
        <v>1627</v>
      </c>
      <c r="R1472" s="1">
        <v>46223</v>
      </c>
      <c r="S1472" t="s">
        <v>824</v>
      </c>
      <c r="T1472" t="s">
        <v>825</v>
      </c>
      <c r="U1472" t="s">
        <v>826</v>
      </c>
      <c r="V1472" t="s">
        <v>66</v>
      </c>
      <c r="W1472" t="s">
        <v>66</v>
      </c>
      <c r="X1472">
        <v>4926773</v>
      </c>
      <c r="Y1472">
        <v>541945.03</v>
      </c>
      <c r="Z1472">
        <v>213351</v>
      </c>
      <c r="AA1472">
        <v>23468.61</v>
      </c>
      <c r="AB1472">
        <v>5468718.0300000003</v>
      </c>
      <c r="AC1472">
        <v>6</v>
      </c>
      <c r="AD1472" t="s">
        <v>82</v>
      </c>
      <c r="AE1472">
        <v>6</v>
      </c>
      <c r="AF1472" t="s">
        <v>432</v>
      </c>
      <c r="AG1472">
        <f>IFERROR(VLOOKUP(AF1472,[1]STOK!J:O,6,0),"")</f>
        <v>12</v>
      </c>
      <c r="AH1472" s="2">
        <f t="shared" si="44"/>
        <v>0.5</v>
      </c>
      <c r="AI1472" t="s">
        <v>432</v>
      </c>
      <c r="AJ1472" t="s">
        <v>433</v>
      </c>
      <c r="AK1472" t="s">
        <v>434</v>
      </c>
      <c r="AL1472" t="s">
        <v>86</v>
      </c>
      <c r="AM1472">
        <v>40071</v>
      </c>
      <c r="AN1472">
        <f t="shared" si="45"/>
        <v>39469.934999999998</v>
      </c>
      <c r="AO1472" t="s">
        <v>66</v>
      </c>
      <c r="AP1472">
        <v>1.5</v>
      </c>
      <c r="AQ1472" t="s">
        <v>66</v>
      </c>
      <c r="AR1472">
        <v>0</v>
      </c>
      <c r="AS1472" t="s">
        <v>66</v>
      </c>
      <c r="AT1472">
        <v>0</v>
      </c>
      <c r="AU1472" t="s">
        <v>66</v>
      </c>
      <c r="AV1472">
        <v>0</v>
      </c>
      <c r="AW1472" t="s">
        <v>66</v>
      </c>
      <c r="AX1472">
        <v>0</v>
      </c>
      <c r="AY1472" t="s">
        <v>66</v>
      </c>
      <c r="AZ1472">
        <v>0</v>
      </c>
      <c r="BA1472" t="s">
        <v>66</v>
      </c>
      <c r="BB1472">
        <v>0</v>
      </c>
      <c r="BC1472">
        <v>0</v>
      </c>
      <c r="BD1472">
        <v>236819.61</v>
      </c>
      <c r="BE1472">
        <v>32671.65</v>
      </c>
      <c r="BF1472">
        <v>0</v>
      </c>
      <c r="BG1472" t="s">
        <v>87</v>
      </c>
      <c r="BH1472" t="s">
        <v>66</v>
      </c>
      <c r="BI1472">
        <v>0</v>
      </c>
      <c r="BJ1472" t="s">
        <v>66</v>
      </c>
      <c r="BK1472" t="s">
        <v>88</v>
      </c>
      <c r="BL1472" t="s">
        <v>66</v>
      </c>
      <c r="BM1472" t="s">
        <v>159</v>
      </c>
    </row>
    <row r="1473" spans="1:65" x14ac:dyDescent="0.25">
      <c r="A1473">
        <v>1471</v>
      </c>
      <c r="B1473" t="s">
        <v>1625</v>
      </c>
      <c r="C1473" t="s">
        <v>68</v>
      </c>
      <c r="D1473" s="1">
        <v>46220</v>
      </c>
      <c r="E1473" t="s">
        <v>1626</v>
      </c>
      <c r="F1473" t="s">
        <v>68</v>
      </c>
      <c r="G1473" t="s">
        <v>69</v>
      </c>
      <c r="H1473" t="s">
        <v>70</v>
      </c>
      <c r="I1473" t="s">
        <v>71</v>
      </c>
      <c r="J1473" t="s">
        <v>72</v>
      </c>
      <c r="K1473" t="s">
        <v>73</v>
      </c>
      <c r="L1473" t="s">
        <v>74</v>
      </c>
      <c r="M1473" t="s">
        <v>820</v>
      </c>
      <c r="N1473" t="s">
        <v>111</v>
      </c>
      <c r="O1473" t="s">
        <v>821</v>
      </c>
      <c r="P1473" t="s">
        <v>822</v>
      </c>
      <c r="Q1473" t="s">
        <v>1627</v>
      </c>
      <c r="R1473" s="1">
        <v>46223</v>
      </c>
      <c r="S1473" t="s">
        <v>824</v>
      </c>
      <c r="T1473" t="s">
        <v>825</v>
      </c>
      <c r="U1473" t="s">
        <v>826</v>
      </c>
      <c r="V1473" t="s">
        <v>66</v>
      </c>
      <c r="W1473" t="s">
        <v>66</v>
      </c>
      <c r="X1473">
        <v>4926773</v>
      </c>
      <c r="Y1473">
        <v>541945.03</v>
      </c>
      <c r="Z1473">
        <v>21867</v>
      </c>
      <c r="AA1473">
        <v>2405.37</v>
      </c>
      <c r="AB1473">
        <v>5468718.0300000003</v>
      </c>
      <c r="AC1473">
        <v>3</v>
      </c>
      <c r="AD1473" t="s">
        <v>82</v>
      </c>
      <c r="AE1473">
        <v>3</v>
      </c>
      <c r="AF1473" t="s">
        <v>415</v>
      </c>
      <c r="AG1473">
        <f>IFERROR(VLOOKUP(AF1473,[1]STOK!J:O,6,0),"")</f>
        <v>24</v>
      </c>
      <c r="AH1473" s="2">
        <f t="shared" si="44"/>
        <v>0.125</v>
      </c>
      <c r="AI1473" t="s">
        <v>415</v>
      </c>
      <c r="AJ1473" t="s">
        <v>416</v>
      </c>
      <c r="AK1473" t="s">
        <v>417</v>
      </c>
      <c r="AL1473" t="s">
        <v>86</v>
      </c>
      <c r="AM1473">
        <v>8214</v>
      </c>
      <c r="AN1473">
        <f t="shared" si="45"/>
        <v>8090.79</v>
      </c>
      <c r="AO1473" t="s">
        <v>66</v>
      </c>
      <c r="AP1473">
        <v>1.5</v>
      </c>
      <c r="AQ1473" t="s">
        <v>66</v>
      </c>
      <c r="AR1473">
        <v>0</v>
      </c>
      <c r="AS1473" t="s">
        <v>66</v>
      </c>
      <c r="AT1473">
        <v>0</v>
      </c>
      <c r="AU1473" t="s">
        <v>66</v>
      </c>
      <c r="AV1473">
        <v>0</v>
      </c>
      <c r="AW1473" t="s">
        <v>66</v>
      </c>
      <c r="AX1473">
        <v>0</v>
      </c>
      <c r="AY1473" t="s">
        <v>66</v>
      </c>
      <c r="AZ1473">
        <v>0</v>
      </c>
      <c r="BA1473" t="s">
        <v>66</v>
      </c>
      <c r="BB1473">
        <v>0</v>
      </c>
      <c r="BC1473">
        <v>0</v>
      </c>
      <c r="BD1473">
        <v>24272.37</v>
      </c>
      <c r="BE1473">
        <v>6151.34</v>
      </c>
      <c r="BF1473">
        <v>0</v>
      </c>
      <c r="BG1473" t="s">
        <v>87</v>
      </c>
      <c r="BH1473" t="s">
        <v>66</v>
      </c>
      <c r="BI1473">
        <v>0</v>
      </c>
      <c r="BJ1473" t="s">
        <v>66</v>
      </c>
      <c r="BK1473" t="s">
        <v>88</v>
      </c>
      <c r="BL1473" t="s">
        <v>66</v>
      </c>
      <c r="BM1473" t="s">
        <v>159</v>
      </c>
    </row>
    <row r="1474" spans="1:65" x14ac:dyDescent="0.25">
      <c r="A1474">
        <v>1472</v>
      </c>
      <c r="B1474" t="s">
        <v>1625</v>
      </c>
      <c r="C1474" t="s">
        <v>68</v>
      </c>
      <c r="D1474" s="1">
        <v>46220</v>
      </c>
      <c r="E1474" t="s">
        <v>1626</v>
      </c>
      <c r="F1474" t="s">
        <v>68</v>
      </c>
      <c r="G1474" t="s">
        <v>69</v>
      </c>
      <c r="H1474" t="s">
        <v>70</v>
      </c>
      <c r="I1474" t="s">
        <v>71</v>
      </c>
      <c r="J1474" t="s">
        <v>72</v>
      </c>
      <c r="K1474" t="s">
        <v>73</v>
      </c>
      <c r="L1474" t="s">
        <v>74</v>
      </c>
      <c r="M1474" t="s">
        <v>820</v>
      </c>
      <c r="N1474" t="s">
        <v>111</v>
      </c>
      <c r="O1474" t="s">
        <v>821</v>
      </c>
      <c r="P1474" t="s">
        <v>822</v>
      </c>
      <c r="Q1474" t="s">
        <v>1627</v>
      </c>
      <c r="R1474" s="1">
        <v>46223</v>
      </c>
      <c r="S1474" t="s">
        <v>824</v>
      </c>
      <c r="T1474" t="s">
        <v>825</v>
      </c>
      <c r="U1474" t="s">
        <v>826</v>
      </c>
      <c r="V1474" t="s">
        <v>66</v>
      </c>
      <c r="W1474" t="s">
        <v>66</v>
      </c>
      <c r="X1474">
        <v>4926773</v>
      </c>
      <c r="Y1474">
        <v>541945.03</v>
      </c>
      <c r="Z1474">
        <v>58509</v>
      </c>
      <c r="AA1474">
        <v>6435.99</v>
      </c>
      <c r="AB1474">
        <v>5468718.0300000003</v>
      </c>
      <c r="AC1474">
        <v>3</v>
      </c>
      <c r="AD1474" t="s">
        <v>82</v>
      </c>
      <c r="AE1474">
        <v>3</v>
      </c>
      <c r="AF1474" t="s">
        <v>1302</v>
      </c>
      <c r="AG1474">
        <f>IFERROR(VLOOKUP(AF1474,[1]STOK!J:O,6,0),"")</f>
        <v>12</v>
      </c>
      <c r="AH1474" s="2">
        <f t="shared" si="44"/>
        <v>0.25</v>
      </c>
      <c r="AI1474" t="s">
        <v>1302</v>
      </c>
      <c r="AJ1474" t="s">
        <v>1303</v>
      </c>
      <c r="AK1474" t="s">
        <v>1304</v>
      </c>
      <c r="AL1474" t="s">
        <v>86</v>
      </c>
      <c r="AM1474">
        <v>21978</v>
      </c>
      <c r="AN1474">
        <f t="shared" si="45"/>
        <v>21648.329999999998</v>
      </c>
      <c r="AO1474" t="s">
        <v>66</v>
      </c>
      <c r="AP1474">
        <v>1.5</v>
      </c>
      <c r="AQ1474" t="s">
        <v>66</v>
      </c>
      <c r="AR1474">
        <v>0</v>
      </c>
      <c r="AS1474" t="s">
        <v>66</v>
      </c>
      <c r="AT1474">
        <v>0</v>
      </c>
      <c r="AU1474" t="s">
        <v>66</v>
      </c>
      <c r="AV1474">
        <v>0</v>
      </c>
      <c r="AW1474" t="s">
        <v>66</v>
      </c>
      <c r="AX1474">
        <v>0</v>
      </c>
      <c r="AY1474" t="s">
        <v>66</v>
      </c>
      <c r="AZ1474">
        <v>0</v>
      </c>
      <c r="BA1474" t="s">
        <v>66</v>
      </c>
      <c r="BB1474">
        <v>0</v>
      </c>
      <c r="BC1474">
        <v>0</v>
      </c>
      <c r="BD1474">
        <v>64944.99</v>
      </c>
      <c r="BE1474">
        <v>16930.580000000002</v>
      </c>
      <c r="BF1474">
        <v>0</v>
      </c>
      <c r="BG1474" t="s">
        <v>87</v>
      </c>
      <c r="BH1474" t="s">
        <v>66</v>
      </c>
      <c r="BI1474">
        <v>0</v>
      </c>
      <c r="BJ1474" t="s">
        <v>66</v>
      </c>
      <c r="BK1474" t="s">
        <v>88</v>
      </c>
      <c r="BL1474" t="s">
        <v>66</v>
      </c>
      <c r="BM1474" t="s">
        <v>159</v>
      </c>
    </row>
    <row r="1475" spans="1:65" x14ac:dyDescent="0.25">
      <c r="A1475">
        <v>1473</v>
      </c>
      <c r="B1475" t="s">
        <v>1625</v>
      </c>
      <c r="C1475" t="s">
        <v>68</v>
      </c>
      <c r="D1475" s="1">
        <v>46220</v>
      </c>
      <c r="E1475" t="s">
        <v>1626</v>
      </c>
      <c r="F1475" t="s">
        <v>68</v>
      </c>
      <c r="G1475" t="s">
        <v>69</v>
      </c>
      <c r="H1475" t="s">
        <v>70</v>
      </c>
      <c r="I1475" t="s">
        <v>71</v>
      </c>
      <c r="J1475" t="s">
        <v>72</v>
      </c>
      <c r="K1475" t="s">
        <v>73</v>
      </c>
      <c r="L1475" t="s">
        <v>74</v>
      </c>
      <c r="M1475" t="s">
        <v>820</v>
      </c>
      <c r="N1475" t="s">
        <v>111</v>
      </c>
      <c r="O1475" t="s">
        <v>821</v>
      </c>
      <c r="P1475" t="s">
        <v>822</v>
      </c>
      <c r="Q1475" t="s">
        <v>1627</v>
      </c>
      <c r="R1475" s="1">
        <v>46223</v>
      </c>
      <c r="S1475" t="s">
        <v>824</v>
      </c>
      <c r="T1475" t="s">
        <v>825</v>
      </c>
      <c r="U1475" t="s">
        <v>826</v>
      </c>
      <c r="V1475" t="s">
        <v>66</v>
      </c>
      <c r="W1475" t="s">
        <v>66</v>
      </c>
      <c r="X1475">
        <v>4926773</v>
      </c>
      <c r="Y1475">
        <v>541945.03</v>
      </c>
      <c r="Z1475">
        <v>58509</v>
      </c>
      <c r="AA1475">
        <v>6435.99</v>
      </c>
      <c r="AB1475">
        <v>5468718.0300000003</v>
      </c>
      <c r="AC1475">
        <v>3</v>
      </c>
      <c r="AD1475" t="s">
        <v>82</v>
      </c>
      <c r="AE1475">
        <v>3</v>
      </c>
      <c r="AF1475" t="s">
        <v>370</v>
      </c>
      <c r="AG1475">
        <f>IFERROR(VLOOKUP(AF1475,[1]STOK!J:O,6,0),"")</f>
        <v>12</v>
      </c>
      <c r="AH1475" s="2">
        <f t="shared" si="44"/>
        <v>0.25</v>
      </c>
      <c r="AI1475" t="s">
        <v>370</v>
      </c>
      <c r="AJ1475" t="s">
        <v>371</v>
      </c>
      <c r="AK1475" t="s">
        <v>372</v>
      </c>
      <c r="AL1475" t="s">
        <v>86</v>
      </c>
      <c r="AM1475">
        <v>21978</v>
      </c>
      <c r="AN1475">
        <f t="shared" si="45"/>
        <v>21648.329999999998</v>
      </c>
      <c r="AO1475" t="s">
        <v>66</v>
      </c>
      <c r="AP1475">
        <v>1.5</v>
      </c>
      <c r="AQ1475" t="s">
        <v>66</v>
      </c>
      <c r="AR1475">
        <v>0</v>
      </c>
      <c r="AS1475" t="s">
        <v>66</v>
      </c>
      <c r="AT1475">
        <v>0</v>
      </c>
      <c r="AU1475" t="s">
        <v>66</v>
      </c>
      <c r="AV1475">
        <v>0</v>
      </c>
      <c r="AW1475" t="s">
        <v>66</v>
      </c>
      <c r="AX1475">
        <v>0</v>
      </c>
      <c r="AY1475" t="s">
        <v>66</v>
      </c>
      <c r="AZ1475">
        <v>0</v>
      </c>
      <c r="BA1475" t="s">
        <v>66</v>
      </c>
      <c r="BB1475">
        <v>0</v>
      </c>
      <c r="BC1475">
        <v>0</v>
      </c>
      <c r="BD1475">
        <v>64944.99</v>
      </c>
      <c r="BE1475">
        <v>17699.07</v>
      </c>
      <c r="BF1475">
        <v>0</v>
      </c>
      <c r="BG1475" t="s">
        <v>87</v>
      </c>
      <c r="BH1475" t="s">
        <v>66</v>
      </c>
      <c r="BI1475">
        <v>0</v>
      </c>
      <c r="BJ1475" t="s">
        <v>66</v>
      </c>
      <c r="BK1475" t="s">
        <v>88</v>
      </c>
      <c r="BL1475" t="s">
        <v>66</v>
      </c>
      <c r="BM1475" t="s">
        <v>159</v>
      </c>
    </row>
    <row r="1476" spans="1:65" x14ac:dyDescent="0.25">
      <c r="A1476">
        <v>1474</v>
      </c>
      <c r="B1476" t="s">
        <v>1625</v>
      </c>
      <c r="C1476" t="s">
        <v>68</v>
      </c>
      <c r="D1476" s="1">
        <v>46220</v>
      </c>
      <c r="E1476" t="s">
        <v>1626</v>
      </c>
      <c r="F1476" t="s">
        <v>68</v>
      </c>
      <c r="G1476" t="s">
        <v>69</v>
      </c>
      <c r="H1476" t="s">
        <v>70</v>
      </c>
      <c r="I1476" t="s">
        <v>71</v>
      </c>
      <c r="J1476" t="s">
        <v>72</v>
      </c>
      <c r="K1476" t="s">
        <v>73</v>
      </c>
      <c r="L1476" t="s">
        <v>74</v>
      </c>
      <c r="M1476" t="s">
        <v>820</v>
      </c>
      <c r="N1476" t="s">
        <v>111</v>
      </c>
      <c r="O1476" t="s">
        <v>821</v>
      </c>
      <c r="P1476" t="s">
        <v>822</v>
      </c>
      <c r="Q1476" t="s">
        <v>1627</v>
      </c>
      <c r="R1476" s="1">
        <v>46223</v>
      </c>
      <c r="S1476" t="s">
        <v>824</v>
      </c>
      <c r="T1476" t="s">
        <v>825</v>
      </c>
      <c r="U1476" t="s">
        <v>826</v>
      </c>
      <c r="V1476" t="s">
        <v>66</v>
      </c>
      <c r="W1476" t="s">
        <v>66</v>
      </c>
      <c r="X1476">
        <v>4926773</v>
      </c>
      <c r="Y1476">
        <v>541945.03</v>
      </c>
      <c r="Z1476">
        <v>58509</v>
      </c>
      <c r="AA1476">
        <v>6435.99</v>
      </c>
      <c r="AB1476">
        <v>5468718.0300000003</v>
      </c>
      <c r="AC1476">
        <v>3</v>
      </c>
      <c r="AD1476" t="s">
        <v>82</v>
      </c>
      <c r="AE1476">
        <v>3</v>
      </c>
      <c r="AF1476" t="s">
        <v>743</v>
      </c>
      <c r="AG1476">
        <f>IFERROR(VLOOKUP(AF1476,[1]STOK!J:O,6,0),"")</f>
        <v>12</v>
      </c>
      <c r="AH1476" s="2">
        <f t="shared" ref="AH1476:AH1539" si="46">AE1476/AG1476</f>
        <v>0.25</v>
      </c>
      <c r="AI1476" t="s">
        <v>743</v>
      </c>
      <c r="AJ1476" t="s">
        <v>744</v>
      </c>
      <c r="AK1476" t="s">
        <v>745</v>
      </c>
      <c r="AL1476" t="s">
        <v>86</v>
      </c>
      <c r="AM1476">
        <v>21978</v>
      </c>
      <c r="AN1476">
        <f t="shared" ref="AN1476:AN1539" si="47">BD1476/AC1476</f>
        <v>21648.329999999998</v>
      </c>
      <c r="AO1476" t="s">
        <v>66</v>
      </c>
      <c r="AP1476">
        <v>1.5</v>
      </c>
      <c r="AQ1476" t="s">
        <v>66</v>
      </c>
      <c r="AR1476">
        <v>0</v>
      </c>
      <c r="AS1476" t="s">
        <v>66</v>
      </c>
      <c r="AT1476">
        <v>0</v>
      </c>
      <c r="AU1476" t="s">
        <v>66</v>
      </c>
      <c r="AV1476">
        <v>0</v>
      </c>
      <c r="AW1476" t="s">
        <v>66</v>
      </c>
      <c r="AX1476">
        <v>0</v>
      </c>
      <c r="AY1476" t="s">
        <v>66</v>
      </c>
      <c r="AZ1476">
        <v>0</v>
      </c>
      <c r="BA1476" t="s">
        <v>66</v>
      </c>
      <c r="BB1476">
        <v>0</v>
      </c>
      <c r="BC1476">
        <v>0</v>
      </c>
      <c r="BD1476">
        <v>64944.99</v>
      </c>
      <c r="BE1476">
        <v>17808.900000000001</v>
      </c>
      <c r="BF1476">
        <v>0</v>
      </c>
      <c r="BG1476" t="s">
        <v>87</v>
      </c>
      <c r="BH1476" t="s">
        <v>66</v>
      </c>
      <c r="BI1476">
        <v>0</v>
      </c>
      <c r="BJ1476" t="s">
        <v>66</v>
      </c>
      <c r="BK1476" t="s">
        <v>88</v>
      </c>
      <c r="BL1476" t="s">
        <v>66</v>
      </c>
      <c r="BM1476" t="s">
        <v>159</v>
      </c>
    </row>
    <row r="1477" spans="1:65" x14ac:dyDescent="0.25">
      <c r="A1477">
        <v>1475</v>
      </c>
      <c r="B1477" t="s">
        <v>1625</v>
      </c>
      <c r="C1477" t="s">
        <v>68</v>
      </c>
      <c r="D1477" s="1">
        <v>46220</v>
      </c>
      <c r="E1477" t="s">
        <v>1626</v>
      </c>
      <c r="F1477" t="s">
        <v>68</v>
      </c>
      <c r="G1477" t="s">
        <v>69</v>
      </c>
      <c r="H1477" t="s">
        <v>70</v>
      </c>
      <c r="I1477" t="s">
        <v>71</v>
      </c>
      <c r="J1477" t="s">
        <v>72</v>
      </c>
      <c r="K1477" t="s">
        <v>73</v>
      </c>
      <c r="L1477" t="s">
        <v>74</v>
      </c>
      <c r="M1477" t="s">
        <v>820</v>
      </c>
      <c r="N1477" t="s">
        <v>111</v>
      </c>
      <c r="O1477" t="s">
        <v>821</v>
      </c>
      <c r="P1477" t="s">
        <v>822</v>
      </c>
      <c r="Q1477" t="s">
        <v>1627</v>
      </c>
      <c r="R1477" s="1">
        <v>46223</v>
      </c>
      <c r="S1477" t="s">
        <v>824</v>
      </c>
      <c r="T1477" t="s">
        <v>825</v>
      </c>
      <c r="U1477" t="s">
        <v>826</v>
      </c>
      <c r="V1477" t="s">
        <v>66</v>
      </c>
      <c r="W1477" t="s">
        <v>66</v>
      </c>
      <c r="X1477">
        <v>4926773</v>
      </c>
      <c r="Y1477">
        <v>541945.03</v>
      </c>
      <c r="Z1477">
        <v>43734</v>
      </c>
      <c r="AA1477">
        <v>4810.74</v>
      </c>
      <c r="AB1477">
        <v>5468718.0300000003</v>
      </c>
      <c r="AC1477">
        <v>3</v>
      </c>
      <c r="AD1477" t="s">
        <v>82</v>
      </c>
      <c r="AE1477">
        <v>3</v>
      </c>
      <c r="AF1477" t="s">
        <v>119</v>
      </c>
      <c r="AG1477">
        <f>IFERROR(VLOOKUP(AF1477,[1]STOK!J:O,6,0),"")</f>
        <v>12</v>
      </c>
      <c r="AH1477" s="2">
        <f t="shared" si="46"/>
        <v>0.25</v>
      </c>
      <c r="AI1477" t="s">
        <v>119</v>
      </c>
      <c r="AJ1477" t="s">
        <v>120</v>
      </c>
      <c r="AK1477" t="s">
        <v>121</v>
      </c>
      <c r="AL1477" t="s">
        <v>86</v>
      </c>
      <c r="AM1477">
        <v>16428</v>
      </c>
      <c r="AN1477">
        <f t="shared" si="47"/>
        <v>16181.58</v>
      </c>
      <c r="AO1477" t="s">
        <v>66</v>
      </c>
      <c r="AP1477">
        <v>1.5</v>
      </c>
      <c r="AQ1477" t="s">
        <v>66</v>
      </c>
      <c r="AR1477">
        <v>0</v>
      </c>
      <c r="AS1477" t="s">
        <v>66</v>
      </c>
      <c r="AT1477">
        <v>0</v>
      </c>
      <c r="AU1477" t="s">
        <v>66</v>
      </c>
      <c r="AV1477">
        <v>0</v>
      </c>
      <c r="AW1477" t="s">
        <v>66</v>
      </c>
      <c r="AX1477">
        <v>0</v>
      </c>
      <c r="AY1477" t="s">
        <v>66</v>
      </c>
      <c r="AZ1477">
        <v>0</v>
      </c>
      <c r="BA1477" t="s">
        <v>66</v>
      </c>
      <c r="BB1477">
        <v>0</v>
      </c>
      <c r="BC1477">
        <v>0</v>
      </c>
      <c r="BD1477">
        <v>48544.74</v>
      </c>
      <c r="BE1477">
        <v>12451.17</v>
      </c>
      <c r="BF1477">
        <v>0</v>
      </c>
      <c r="BG1477" t="s">
        <v>87</v>
      </c>
      <c r="BH1477" t="s">
        <v>66</v>
      </c>
      <c r="BI1477">
        <v>0</v>
      </c>
      <c r="BJ1477" t="s">
        <v>66</v>
      </c>
      <c r="BK1477" t="s">
        <v>88</v>
      </c>
      <c r="BL1477" t="s">
        <v>66</v>
      </c>
      <c r="BM1477" t="s">
        <v>159</v>
      </c>
    </row>
    <row r="1478" spans="1:65" x14ac:dyDescent="0.25">
      <c r="A1478">
        <v>1476</v>
      </c>
      <c r="B1478" t="s">
        <v>1625</v>
      </c>
      <c r="C1478" t="s">
        <v>68</v>
      </c>
      <c r="D1478" s="1">
        <v>46220</v>
      </c>
      <c r="E1478" t="s">
        <v>1626</v>
      </c>
      <c r="F1478" t="s">
        <v>68</v>
      </c>
      <c r="G1478" t="s">
        <v>69</v>
      </c>
      <c r="H1478" t="s">
        <v>70</v>
      </c>
      <c r="I1478" t="s">
        <v>71</v>
      </c>
      <c r="J1478" t="s">
        <v>72</v>
      </c>
      <c r="K1478" t="s">
        <v>73</v>
      </c>
      <c r="L1478" t="s">
        <v>74</v>
      </c>
      <c r="M1478" t="s">
        <v>820</v>
      </c>
      <c r="N1478" t="s">
        <v>111</v>
      </c>
      <c r="O1478" t="s">
        <v>821</v>
      </c>
      <c r="P1478" t="s">
        <v>822</v>
      </c>
      <c r="Q1478" t="s">
        <v>1627</v>
      </c>
      <c r="R1478" s="1">
        <v>46223</v>
      </c>
      <c r="S1478" t="s">
        <v>824</v>
      </c>
      <c r="T1478" t="s">
        <v>825</v>
      </c>
      <c r="U1478" t="s">
        <v>826</v>
      </c>
      <c r="V1478" t="s">
        <v>66</v>
      </c>
      <c r="W1478" t="s">
        <v>66</v>
      </c>
      <c r="X1478">
        <v>4926773</v>
      </c>
      <c r="Y1478">
        <v>541945.03</v>
      </c>
      <c r="Z1478">
        <v>43734</v>
      </c>
      <c r="AA1478">
        <v>4810.74</v>
      </c>
      <c r="AB1478">
        <v>5468718.0300000003</v>
      </c>
      <c r="AC1478">
        <v>3</v>
      </c>
      <c r="AD1478" t="s">
        <v>82</v>
      </c>
      <c r="AE1478">
        <v>3</v>
      </c>
      <c r="AF1478" t="s">
        <v>548</v>
      </c>
      <c r="AG1478">
        <f>IFERROR(VLOOKUP(AF1478,[1]STOK!J:O,6,0),"")</f>
        <v>12</v>
      </c>
      <c r="AH1478" s="2">
        <f t="shared" si="46"/>
        <v>0.25</v>
      </c>
      <c r="AI1478" t="s">
        <v>548</v>
      </c>
      <c r="AJ1478" t="s">
        <v>549</v>
      </c>
      <c r="AK1478" t="s">
        <v>550</v>
      </c>
      <c r="AL1478" t="s">
        <v>86</v>
      </c>
      <c r="AM1478">
        <v>16428</v>
      </c>
      <c r="AN1478">
        <f t="shared" si="47"/>
        <v>16181.58</v>
      </c>
      <c r="AO1478" t="s">
        <v>66</v>
      </c>
      <c r="AP1478">
        <v>1.5</v>
      </c>
      <c r="AQ1478" t="s">
        <v>66</v>
      </c>
      <c r="AR1478">
        <v>0</v>
      </c>
      <c r="AS1478" t="s">
        <v>66</v>
      </c>
      <c r="AT1478">
        <v>0</v>
      </c>
      <c r="AU1478" t="s">
        <v>66</v>
      </c>
      <c r="AV1478">
        <v>0</v>
      </c>
      <c r="AW1478" t="s">
        <v>66</v>
      </c>
      <c r="AX1478">
        <v>0</v>
      </c>
      <c r="AY1478" t="s">
        <v>66</v>
      </c>
      <c r="AZ1478">
        <v>0</v>
      </c>
      <c r="BA1478" t="s">
        <v>66</v>
      </c>
      <c r="BB1478">
        <v>0</v>
      </c>
      <c r="BC1478">
        <v>0</v>
      </c>
      <c r="BD1478">
        <v>48544.74</v>
      </c>
      <c r="BE1478">
        <v>12235.75</v>
      </c>
      <c r="BF1478">
        <v>0</v>
      </c>
      <c r="BG1478" t="s">
        <v>87</v>
      </c>
      <c r="BH1478" t="s">
        <v>66</v>
      </c>
      <c r="BI1478">
        <v>0</v>
      </c>
      <c r="BJ1478" t="s">
        <v>66</v>
      </c>
      <c r="BK1478" t="s">
        <v>88</v>
      </c>
      <c r="BL1478" t="s">
        <v>66</v>
      </c>
      <c r="BM1478" t="s">
        <v>159</v>
      </c>
    </row>
    <row r="1479" spans="1:65" x14ac:dyDescent="0.25">
      <c r="A1479">
        <v>1477</v>
      </c>
      <c r="B1479" t="s">
        <v>1625</v>
      </c>
      <c r="C1479" t="s">
        <v>68</v>
      </c>
      <c r="D1479" s="1">
        <v>46220</v>
      </c>
      <c r="E1479" t="s">
        <v>1626</v>
      </c>
      <c r="F1479" t="s">
        <v>68</v>
      </c>
      <c r="G1479" t="s">
        <v>69</v>
      </c>
      <c r="H1479" t="s">
        <v>70</v>
      </c>
      <c r="I1479" t="s">
        <v>71</v>
      </c>
      <c r="J1479" t="s">
        <v>72</v>
      </c>
      <c r="K1479" t="s">
        <v>73</v>
      </c>
      <c r="L1479" t="s">
        <v>74</v>
      </c>
      <c r="M1479" t="s">
        <v>820</v>
      </c>
      <c r="N1479" t="s">
        <v>111</v>
      </c>
      <c r="O1479" t="s">
        <v>821</v>
      </c>
      <c r="P1479" t="s">
        <v>822</v>
      </c>
      <c r="Q1479" t="s">
        <v>1627</v>
      </c>
      <c r="R1479" s="1">
        <v>46223</v>
      </c>
      <c r="S1479" t="s">
        <v>824</v>
      </c>
      <c r="T1479" t="s">
        <v>825</v>
      </c>
      <c r="U1479" t="s">
        <v>826</v>
      </c>
      <c r="V1479" t="s">
        <v>66</v>
      </c>
      <c r="W1479" t="s">
        <v>66</v>
      </c>
      <c r="X1479">
        <v>4926773</v>
      </c>
      <c r="Y1479">
        <v>541945.03</v>
      </c>
      <c r="Z1479">
        <v>390060</v>
      </c>
      <c r="AA1479">
        <v>42906.6</v>
      </c>
      <c r="AB1479">
        <v>5468718.0300000003</v>
      </c>
      <c r="AC1479">
        <v>1</v>
      </c>
      <c r="AD1479" t="s">
        <v>134</v>
      </c>
      <c r="AE1479">
        <v>24</v>
      </c>
      <c r="AF1479" t="s">
        <v>205</v>
      </c>
      <c r="AG1479">
        <f>IFERROR(VLOOKUP(AF1479,[1]STOK!J:O,6,0),"")</f>
        <v>24</v>
      </c>
      <c r="AH1479" s="2">
        <f t="shared" si="46"/>
        <v>1</v>
      </c>
      <c r="AI1479" t="s">
        <v>205</v>
      </c>
      <c r="AJ1479" t="s">
        <v>206</v>
      </c>
      <c r="AK1479" t="s">
        <v>207</v>
      </c>
      <c r="AL1479" t="s">
        <v>86</v>
      </c>
      <c r="AM1479">
        <v>439560</v>
      </c>
      <c r="AN1479">
        <f t="shared" si="47"/>
        <v>432966.6</v>
      </c>
      <c r="AO1479" t="s">
        <v>66</v>
      </c>
      <c r="AP1479">
        <v>1.5</v>
      </c>
      <c r="AQ1479" t="s">
        <v>66</v>
      </c>
      <c r="AR1479">
        <v>0</v>
      </c>
      <c r="AS1479" t="s">
        <v>66</v>
      </c>
      <c r="AT1479">
        <v>0</v>
      </c>
      <c r="AU1479" t="s">
        <v>66</v>
      </c>
      <c r="AV1479">
        <v>0</v>
      </c>
      <c r="AW1479" t="s">
        <v>66</v>
      </c>
      <c r="AX1479">
        <v>0</v>
      </c>
      <c r="AY1479" t="s">
        <v>66</v>
      </c>
      <c r="AZ1479">
        <v>0</v>
      </c>
      <c r="BA1479" t="s">
        <v>66</v>
      </c>
      <c r="BB1479">
        <v>0</v>
      </c>
      <c r="BC1479">
        <v>0</v>
      </c>
      <c r="BD1479">
        <v>432966.6</v>
      </c>
      <c r="BE1479">
        <v>14848.05</v>
      </c>
      <c r="BF1479">
        <v>0</v>
      </c>
      <c r="BG1479" t="s">
        <v>87</v>
      </c>
      <c r="BH1479" t="s">
        <v>66</v>
      </c>
      <c r="BI1479">
        <v>0</v>
      </c>
      <c r="BJ1479" t="s">
        <v>66</v>
      </c>
      <c r="BK1479" t="s">
        <v>88</v>
      </c>
      <c r="BL1479" t="s">
        <v>66</v>
      </c>
      <c r="BM1479" t="s">
        <v>159</v>
      </c>
    </row>
    <row r="1480" spans="1:65" x14ac:dyDescent="0.25">
      <c r="A1480">
        <v>1478</v>
      </c>
      <c r="B1480" t="s">
        <v>1625</v>
      </c>
      <c r="C1480" t="s">
        <v>68</v>
      </c>
      <c r="D1480" s="1">
        <v>46220</v>
      </c>
      <c r="E1480" t="s">
        <v>1626</v>
      </c>
      <c r="F1480" t="s">
        <v>68</v>
      </c>
      <c r="G1480" t="s">
        <v>69</v>
      </c>
      <c r="H1480" t="s">
        <v>70</v>
      </c>
      <c r="I1480" t="s">
        <v>71</v>
      </c>
      <c r="J1480" t="s">
        <v>72</v>
      </c>
      <c r="K1480" t="s">
        <v>73</v>
      </c>
      <c r="L1480" t="s">
        <v>74</v>
      </c>
      <c r="M1480" t="s">
        <v>820</v>
      </c>
      <c r="N1480" t="s">
        <v>111</v>
      </c>
      <c r="O1480" t="s">
        <v>821</v>
      </c>
      <c r="P1480" t="s">
        <v>822</v>
      </c>
      <c r="Q1480" t="s">
        <v>1627</v>
      </c>
      <c r="R1480" s="1">
        <v>46223</v>
      </c>
      <c r="S1480" t="s">
        <v>824</v>
      </c>
      <c r="T1480" t="s">
        <v>825</v>
      </c>
      <c r="U1480" t="s">
        <v>826</v>
      </c>
      <c r="V1480" t="s">
        <v>66</v>
      </c>
      <c r="W1480" t="s">
        <v>66</v>
      </c>
      <c r="X1480">
        <v>4926773</v>
      </c>
      <c r="Y1480">
        <v>541945.03</v>
      </c>
      <c r="Z1480">
        <v>509836</v>
      </c>
      <c r="AA1480">
        <v>56081.96</v>
      </c>
      <c r="AB1480">
        <v>5468718.0300000003</v>
      </c>
      <c r="AC1480">
        <v>1</v>
      </c>
      <c r="AD1480" t="s">
        <v>134</v>
      </c>
      <c r="AE1480">
        <v>4</v>
      </c>
      <c r="AF1480" t="s">
        <v>596</v>
      </c>
      <c r="AG1480">
        <f>IFERROR(VLOOKUP(AF1480,[1]STOK!J:O,6,0),"")</f>
        <v>4</v>
      </c>
      <c r="AH1480" s="2">
        <f t="shared" si="46"/>
        <v>1</v>
      </c>
      <c r="AI1480" t="s">
        <v>596</v>
      </c>
      <c r="AJ1480" t="s">
        <v>597</v>
      </c>
      <c r="AK1480" t="s">
        <v>598</v>
      </c>
      <c r="AL1480" t="s">
        <v>86</v>
      </c>
      <c r="AM1480">
        <v>574536</v>
      </c>
      <c r="AN1480">
        <f t="shared" si="47"/>
        <v>565917.96</v>
      </c>
      <c r="AO1480" t="s">
        <v>66</v>
      </c>
      <c r="AP1480">
        <v>1.5</v>
      </c>
      <c r="AQ1480" t="s">
        <v>66</v>
      </c>
      <c r="AR1480">
        <v>0</v>
      </c>
      <c r="AS1480" t="s">
        <v>66</v>
      </c>
      <c r="AT1480">
        <v>0</v>
      </c>
      <c r="AU1480" t="s">
        <v>66</v>
      </c>
      <c r="AV1480">
        <v>0</v>
      </c>
      <c r="AW1480" t="s">
        <v>66</v>
      </c>
      <c r="AX1480">
        <v>0</v>
      </c>
      <c r="AY1480" t="s">
        <v>66</v>
      </c>
      <c r="AZ1480">
        <v>0</v>
      </c>
      <c r="BA1480" t="s">
        <v>66</v>
      </c>
      <c r="BB1480">
        <v>0</v>
      </c>
      <c r="BC1480">
        <v>0</v>
      </c>
      <c r="BD1480">
        <v>565917.96</v>
      </c>
      <c r="BE1480">
        <v>115240.57</v>
      </c>
      <c r="BF1480">
        <v>0</v>
      </c>
      <c r="BG1480" t="s">
        <v>87</v>
      </c>
      <c r="BH1480" t="s">
        <v>66</v>
      </c>
      <c r="BI1480">
        <v>0</v>
      </c>
      <c r="BJ1480" t="s">
        <v>66</v>
      </c>
      <c r="BK1480" t="s">
        <v>88</v>
      </c>
      <c r="BL1480" t="s">
        <v>66</v>
      </c>
      <c r="BM1480" t="s">
        <v>159</v>
      </c>
    </row>
    <row r="1481" spans="1:65" x14ac:dyDescent="0.25">
      <c r="A1481">
        <v>1479</v>
      </c>
      <c r="B1481" t="s">
        <v>1625</v>
      </c>
      <c r="C1481" t="s">
        <v>68</v>
      </c>
      <c r="D1481" s="1">
        <v>46220</v>
      </c>
      <c r="E1481" t="s">
        <v>1626</v>
      </c>
      <c r="F1481" t="s">
        <v>68</v>
      </c>
      <c r="G1481" t="s">
        <v>69</v>
      </c>
      <c r="H1481" t="s">
        <v>70</v>
      </c>
      <c r="I1481" t="s">
        <v>71</v>
      </c>
      <c r="J1481" t="s">
        <v>72</v>
      </c>
      <c r="K1481" t="s">
        <v>73</v>
      </c>
      <c r="L1481" t="s">
        <v>74</v>
      </c>
      <c r="M1481" t="s">
        <v>820</v>
      </c>
      <c r="N1481" t="s">
        <v>111</v>
      </c>
      <c r="O1481" t="s">
        <v>821</v>
      </c>
      <c r="P1481" t="s">
        <v>822</v>
      </c>
      <c r="Q1481" t="s">
        <v>1627</v>
      </c>
      <c r="R1481" s="1">
        <v>46223</v>
      </c>
      <c r="S1481" t="s">
        <v>824</v>
      </c>
      <c r="T1481" t="s">
        <v>825</v>
      </c>
      <c r="U1481" t="s">
        <v>826</v>
      </c>
      <c r="V1481" t="s">
        <v>66</v>
      </c>
      <c r="W1481" t="s">
        <v>66</v>
      </c>
      <c r="X1481">
        <v>4926773</v>
      </c>
      <c r="Y1481">
        <v>541945.03</v>
      </c>
      <c r="Z1481">
        <v>509836</v>
      </c>
      <c r="AA1481">
        <v>56081.96</v>
      </c>
      <c r="AB1481">
        <v>5468718.0300000003</v>
      </c>
      <c r="AC1481">
        <v>1</v>
      </c>
      <c r="AD1481" t="s">
        <v>134</v>
      </c>
      <c r="AE1481">
        <v>4</v>
      </c>
      <c r="AF1481" t="s">
        <v>1064</v>
      </c>
      <c r="AG1481">
        <f>IFERROR(VLOOKUP(AF1481,[1]STOK!J:O,6,0),"")</f>
        <v>4</v>
      </c>
      <c r="AH1481" s="2">
        <f t="shared" si="46"/>
        <v>1</v>
      </c>
      <c r="AI1481" t="s">
        <v>1064</v>
      </c>
      <c r="AJ1481" t="s">
        <v>1065</v>
      </c>
      <c r="AK1481" t="s">
        <v>1066</v>
      </c>
      <c r="AL1481" t="s">
        <v>86</v>
      </c>
      <c r="AM1481">
        <v>574536</v>
      </c>
      <c r="AN1481">
        <f t="shared" si="47"/>
        <v>565917.96</v>
      </c>
      <c r="AO1481" t="s">
        <v>66</v>
      </c>
      <c r="AP1481">
        <v>1.5</v>
      </c>
      <c r="AQ1481" t="s">
        <v>66</v>
      </c>
      <c r="AR1481">
        <v>0</v>
      </c>
      <c r="AS1481" t="s">
        <v>66</v>
      </c>
      <c r="AT1481">
        <v>0</v>
      </c>
      <c r="AU1481" t="s">
        <v>66</v>
      </c>
      <c r="AV1481">
        <v>0</v>
      </c>
      <c r="AW1481" t="s">
        <v>66</v>
      </c>
      <c r="AX1481">
        <v>0</v>
      </c>
      <c r="AY1481" t="s">
        <v>66</v>
      </c>
      <c r="AZ1481">
        <v>0</v>
      </c>
      <c r="BA1481" t="s">
        <v>66</v>
      </c>
      <c r="BB1481">
        <v>0</v>
      </c>
      <c r="BC1481">
        <v>0</v>
      </c>
      <c r="BD1481">
        <v>565917.96</v>
      </c>
      <c r="BE1481">
        <v>114835.7</v>
      </c>
      <c r="BF1481">
        <v>0</v>
      </c>
      <c r="BG1481" t="s">
        <v>87</v>
      </c>
      <c r="BH1481" t="s">
        <v>66</v>
      </c>
      <c r="BI1481">
        <v>0</v>
      </c>
      <c r="BJ1481" t="s">
        <v>66</v>
      </c>
      <c r="BK1481" t="s">
        <v>88</v>
      </c>
      <c r="BL1481" t="s">
        <v>66</v>
      </c>
      <c r="BM1481" t="s">
        <v>159</v>
      </c>
    </row>
    <row r="1482" spans="1:65" x14ac:dyDescent="0.25">
      <c r="A1482">
        <v>1480</v>
      </c>
      <c r="B1482" t="s">
        <v>1625</v>
      </c>
      <c r="C1482" t="s">
        <v>68</v>
      </c>
      <c r="D1482" s="1">
        <v>46220</v>
      </c>
      <c r="E1482" t="s">
        <v>1626</v>
      </c>
      <c r="F1482" t="s">
        <v>68</v>
      </c>
      <c r="G1482" t="s">
        <v>69</v>
      </c>
      <c r="H1482" t="s">
        <v>70</v>
      </c>
      <c r="I1482" t="s">
        <v>71</v>
      </c>
      <c r="J1482" t="s">
        <v>72</v>
      </c>
      <c r="K1482" t="s">
        <v>73</v>
      </c>
      <c r="L1482" t="s">
        <v>74</v>
      </c>
      <c r="M1482" t="s">
        <v>820</v>
      </c>
      <c r="N1482" t="s">
        <v>111</v>
      </c>
      <c r="O1482" t="s">
        <v>821</v>
      </c>
      <c r="P1482" t="s">
        <v>822</v>
      </c>
      <c r="Q1482" t="s">
        <v>1627</v>
      </c>
      <c r="R1482" s="1">
        <v>46223</v>
      </c>
      <c r="S1482" t="s">
        <v>824</v>
      </c>
      <c r="T1482" t="s">
        <v>825</v>
      </c>
      <c r="U1482" t="s">
        <v>826</v>
      </c>
      <c r="V1482" t="s">
        <v>66</v>
      </c>
      <c r="W1482" t="s">
        <v>66</v>
      </c>
      <c r="X1482">
        <v>4926773</v>
      </c>
      <c r="Y1482">
        <v>541945.03</v>
      </c>
      <c r="Z1482">
        <v>81558</v>
      </c>
      <c r="AA1482">
        <v>8971.3799999999992</v>
      </c>
      <c r="AB1482">
        <v>5468718.0300000003</v>
      </c>
      <c r="AC1482">
        <v>12</v>
      </c>
      <c r="AD1482" t="s">
        <v>82</v>
      </c>
      <c r="AE1482">
        <v>12</v>
      </c>
      <c r="AF1482" t="s">
        <v>495</v>
      </c>
      <c r="AG1482">
        <f>IFERROR(VLOOKUP(AF1482,[1]STOK!J:O,6,0),"")</f>
        <v>24</v>
      </c>
      <c r="AH1482" s="2">
        <f t="shared" si="46"/>
        <v>0.5</v>
      </c>
      <c r="AI1482" t="s">
        <v>495</v>
      </c>
      <c r="AJ1482" t="s">
        <v>496</v>
      </c>
      <c r="AK1482" t="s">
        <v>497</v>
      </c>
      <c r="AL1482" t="s">
        <v>86</v>
      </c>
      <c r="AM1482">
        <v>7659</v>
      </c>
      <c r="AN1482">
        <f t="shared" si="47"/>
        <v>7544.1150000000007</v>
      </c>
      <c r="AO1482" t="s">
        <v>66</v>
      </c>
      <c r="AP1482">
        <v>1.5</v>
      </c>
      <c r="AQ1482" t="s">
        <v>66</v>
      </c>
      <c r="AR1482">
        <v>0</v>
      </c>
      <c r="AS1482" t="s">
        <v>66</v>
      </c>
      <c r="AT1482">
        <v>0</v>
      </c>
      <c r="AU1482" t="s">
        <v>66</v>
      </c>
      <c r="AV1482">
        <v>0</v>
      </c>
      <c r="AW1482" t="s">
        <v>66</v>
      </c>
      <c r="AX1482">
        <v>0</v>
      </c>
      <c r="AY1482" t="s">
        <v>66</v>
      </c>
      <c r="AZ1482">
        <v>0</v>
      </c>
      <c r="BA1482" t="s">
        <v>66</v>
      </c>
      <c r="BB1482">
        <v>0</v>
      </c>
      <c r="BC1482">
        <v>0</v>
      </c>
      <c r="BD1482">
        <v>90529.38</v>
      </c>
      <c r="BE1482">
        <v>6241.61</v>
      </c>
      <c r="BF1482">
        <v>0</v>
      </c>
      <c r="BG1482" t="s">
        <v>87</v>
      </c>
      <c r="BH1482" t="s">
        <v>66</v>
      </c>
      <c r="BI1482">
        <v>0</v>
      </c>
      <c r="BJ1482" t="s">
        <v>66</v>
      </c>
      <c r="BK1482" t="s">
        <v>88</v>
      </c>
      <c r="BL1482" t="s">
        <v>66</v>
      </c>
      <c r="BM1482" t="s">
        <v>159</v>
      </c>
    </row>
    <row r="1483" spans="1:65" x14ac:dyDescent="0.25">
      <c r="A1483">
        <v>1481</v>
      </c>
      <c r="B1483" t="s">
        <v>1625</v>
      </c>
      <c r="C1483" t="s">
        <v>68</v>
      </c>
      <c r="D1483" s="1">
        <v>46220</v>
      </c>
      <c r="E1483" t="s">
        <v>1626</v>
      </c>
      <c r="F1483" t="s">
        <v>68</v>
      </c>
      <c r="G1483" t="s">
        <v>69</v>
      </c>
      <c r="H1483" t="s">
        <v>70</v>
      </c>
      <c r="I1483" t="s">
        <v>71</v>
      </c>
      <c r="J1483" t="s">
        <v>72</v>
      </c>
      <c r="K1483" t="s">
        <v>73</v>
      </c>
      <c r="L1483" t="s">
        <v>74</v>
      </c>
      <c r="M1483" t="s">
        <v>820</v>
      </c>
      <c r="N1483" t="s">
        <v>111</v>
      </c>
      <c r="O1483" t="s">
        <v>821</v>
      </c>
      <c r="P1483" t="s">
        <v>822</v>
      </c>
      <c r="Q1483" t="s">
        <v>1627</v>
      </c>
      <c r="R1483" s="1">
        <v>46223</v>
      </c>
      <c r="S1483" t="s">
        <v>824</v>
      </c>
      <c r="T1483" t="s">
        <v>825</v>
      </c>
      <c r="U1483" t="s">
        <v>826</v>
      </c>
      <c r="V1483" t="s">
        <v>66</v>
      </c>
      <c r="W1483" t="s">
        <v>66</v>
      </c>
      <c r="X1483">
        <v>4926773</v>
      </c>
      <c r="Y1483">
        <v>541945.03</v>
      </c>
      <c r="Z1483">
        <v>184392</v>
      </c>
      <c r="AA1483">
        <v>20283.12</v>
      </c>
      <c r="AB1483">
        <v>5468718.0300000003</v>
      </c>
      <c r="AC1483">
        <v>1</v>
      </c>
      <c r="AD1483" t="s">
        <v>134</v>
      </c>
      <c r="AE1483">
        <v>12</v>
      </c>
      <c r="AF1483" t="s">
        <v>1189</v>
      </c>
      <c r="AG1483">
        <f>IFERROR(VLOOKUP(AF1483,[1]STOK!J:O,6,0),"")</f>
        <v>12</v>
      </c>
      <c r="AH1483" s="2">
        <f t="shared" si="46"/>
        <v>1</v>
      </c>
      <c r="AI1483" t="s">
        <v>1189</v>
      </c>
      <c r="AJ1483" t="s">
        <v>1190</v>
      </c>
      <c r="AK1483" t="s">
        <v>1191</v>
      </c>
      <c r="AL1483" t="s">
        <v>86</v>
      </c>
      <c r="AM1483">
        <v>207792</v>
      </c>
      <c r="AN1483">
        <f t="shared" si="47"/>
        <v>204675.12</v>
      </c>
      <c r="AO1483" t="s">
        <v>66</v>
      </c>
      <c r="AP1483">
        <v>1.5</v>
      </c>
      <c r="AQ1483" t="s">
        <v>66</v>
      </c>
      <c r="AR1483">
        <v>0</v>
      </c>
      <c r="AS1483" t="s">
        <v>66</v>
      </c>
      <c r="AT1483">
        <v>0</v>
      </c>
      <c r="AU1483" t="s">
        <v>66</v>
      </c>
      <c r="AV1483">
        <v>0</v>
      </c>
      <c r="AW1483" t="s">
        <v>66</v>
      </c>
      <c r="AX1483">
        <v>0</v>
      </c>
      <c r="AY1483" t="s">
        <v>66</v>
      </c>
      <c r="AZ1483">
        <v>0</v>
      </c>
      <c r="BA1483" t="s">
        <v>66</v>
      </c>
      <c r="BB1483">
        <v>0</v>
      </c>
      <c r="BC1483">
        <v>0</v>
      </c>
      <c r="BD1483">
        <v>204675.12</v>
      </c>
      <c r="BE1483">
        <v>13989.83</v>
      </c>
      <c r="BF1483">
        <v>0</v>
      </c>
      <c r="BG1483" t="s">
        <v>87</v>
      </c>
      <c r="BH1483" t="s">
        <v>66</v>
      </c>
      <c r="BI1483">
        <v>0</v>
      </c>
      <c r="BJ1483" t="s">
        <v>66</v>
      </c>
      <c r="BK1483" t="s">
        <v>88</v>
      </c>
      <c r="BL1483" t="s">
        <v>66</v>
      </c>
      <c r="BM1483" t="s">
        <v>159</v>
      </c>
    </row>
    <row r="1484" spans="1:65" x14ac:dyDescent="0.25">
      <c r="A1484">
        <v>1482</v>
      </c>
      <c r="B1484" t="s">
        <v>1625</v>
      </c>
      <c r="C1484" t="s">
        <v>68</v>
      </c>
      <c r="D1484" s="1">
        <v>46220</v>
      </c>
      <c r="E1484" t="s">
        <v>1626</v>
      </c>
      <c r="F1484" t="s">
        <v>68</v>
      </c>
      <c r="G1484" t="s">
        <v>69</v>
      </c>
      <c r="H1484" t="s">
        <v>70</v>
      </c>
      <c r="I1484" t="s">
        <v>71</v>
      </c>
      <c r="J1484" t="s">
        <v>72</v>
      </c>
      <c r="K1484" t="s">
        <v>73</v>
      </c>
      <c r="L1484" t="s">
        <v>74</v>
      </c>
      <c r="M1484" t="s">
        <v>820</v>
      </c>
      <c r="N1484" t="s">
        <v>111</v>
      </c>
      <c r="O1484" t="s">
        <v>821</v>
      </c>
      <c r="P1484" t="s">
        <v>822</v>
      </c>
      <c r="Q1484" t="s">
        <v>1627</v>
      </c>
      <c r="R1484" s="1">
        <v>46223</v>
      </c>
      <c r="S1484" t="s">
        <v>824</v>
      </c>
      <c r="T1484" t="s">
        <v>825</v>
      </c>
      <c r="U1484" t="s">
        <v>826</v>
      </c>
      <c r="V1484" t="s">
        <v>66</v>
      </c>
      <c r="W1484" t="s">
        <v>66</v>
      </c>
      <c r="X1484">
        <v>4926773</v>
      </c>
      <c r="Y1484">
        <v>541945.03</v>
      </c>
      <c r="Z1484">
        <v>953874</v>
      </c>
      <c r="AA1484">
        <v>104926.14</v>
      </c>
      <c r="AB1484">
        <v>5468718.0300000003</v>
      </c>
      <c r="AC1484">
        <v>3</v>
      </c>
      <c r="AD1484" t="s">
        <v>134</v>
      </c>
      <c r="AE1484">
        <v>18</v>
      </c>
      <c r="AF1484" t="s">
        <v>525</v>
      </c>
      <c r="AG1484">
        <f>IFERROR(VLOOKUP(AF1484,[1]STOK!J:O,6,0),"")</f>
        <v>6</v>
      </c>
      <c r="AH1484" s="2">
        <f t="shared" si="46"/>
        <v>3</v>
      </c>
      <c r="AI1484" t="s">
        <v>525</v>
      </c>
      <c r="AJ1484" t="s">
        <v>526</v>
      </c>
      <c r="AK1484" t="s">
        <v>527</v>
      </c>
      <c r="AL1484" t="s">
        <v>86</v>
      </c>
      <c r="AM1484">
        <v>358308</v>
      </c>
      <c r="AN1484">
        <f t="shared" si="47"/>
        <v>352933.37999999995</v>
      </c>
      <c r="AO1484" t="s">
        <v>66</v>
      </c>
      <c r="AP1484">
        <v>1.5</v>
      </c>
      <c r="AQ1484" t="s">
        <v>66</v>
      </c>
      <c r="AR1484">
        <v>0</v>
      </c>
      <c r="AS1484" t="s">
        <v>66</v>
      </c>
      <c r="AT1484">
        <v>0</v>
      </c>
      <c r="AU1484" t="s">
        <v>66</v>
      </c>
      <c r="AV1484">
        <v>0</v>
      </c>
      <c r="AW1484" t="s">
        <v>66</v>
      </c>
      <c r="AX1484">
        <v>0</v>
      </c>
      <c r="AY1484" t="s">
        <v>66</v>
      </c>
      <c r="AZ1484">
        <v>0</v>
      </c>
      <c r="BA1484" t="s">
        <v>66</v>
      </c>
      <c r="BB1484">
        <v>0</v>
      </c>
      <c r="BC1484">
        <v>0</v>
      </c>
      <c r="BD1484">
        <v>1058800.1399999999</v>
      </c>
      <c r="BE1484">
        <v>46255.85</v>
      </c>
      <c r="BF1484">
        <v>0</v>
      </c>
      <c r="BG1484" t="s">
        <v>87</v>
      </c>
      <c r="BH1484" t="s">
        <v>66</v>
      </c>
      <c r="BI1484">
        <v>0</v>
      </c>
      <c r="BJ1484" t="s">
        <v>66</v>
      </c>
      <c r="BK1484" t="s">
        <v>88</v>
      </c>
      <c r="BL1484" t="s">
        <v>66</v>
      </c>
      <c r="BM1484" t="s">
        <v>159</v>
      </c>
    </row>
    <row r="1485" spans="1:65" x14ac:dyDescent="0.25">
      <c r="A1485">
        <v>1483</v>
      </c>
      <c r="B1485" t="s">
        <v>1625</v>
      </c>
      <c r="C1485" t="s">
        <v>68</v>
      </c>
      <c r="D1485" s="1">
        <v>46220</v>
      </c>
      <c r="E1485" t="s">
        <v>1626</v>
      </c>
      <c r="F1485" t="s">
        <v>68</v>
      </c>
      <c r="G1485" t="s">
        <v>69</v>
      </c>
      <c r="H1485" t="s">
        <v>70</v>
      </c>
      <c r="I1485" t="s">
        <v>71</v>
      </c>
      <c r="J1485" t="s">
        <v>72</v>
      </c>
      <c r="K1485" t="s">
        <v>73</v>
      </c>
      <c r="L1485" t="s">
        <v>74</v>
      </c>
      <c r="M1485" t="s">
        <v>820</v>
      </c>
      <c r="N1485" t="s">
        <v>111</v>
      </c>
      <c r="O1485" t="s">
        <v>821</v>
      </c>
      <c r="P1485" t="s">
        <v>822</v>
      </c>
      <c r="Q1485" t="s">
        <v>1627</v>
      </c>
      <c r="R1485" s="1">
        <v>46223</v>
      </c>
      <c r="S1485" t="s">
        <v>824</v>
      </c>
      <c r="T1485" t="s">
        <v>825</v>
      </c>
      <c r="U1485" t="s">
        <v>826</v>
      </c>
      <c r="V1485" t="s">
        <v>66</v>
      </c>
      <c r="W1485" t="s">
        <v>66</v>
      </c>
      <c r="X1485">
        <v>4926773</v>
      </c>
      <c r="Y1485">
        <v>541945.03</v>
      </c>
      <c r="Z1485">
        <v>157206</v>
      </c>
      <c r="AA1485">
        <v>17292.66</v>
      </c>
      <c r="AB1485">
        <v>5468718.0300000003</v>
      </c>
      <c r="AC1485">
        <v>1</v>
      </c>
      <c r="AD1485" t="s">
        <v>134</v>
      </c>
      <c r="AE1485">
        <v>12</v>
      </c>
      <c r="AF1485" t="s">
        <v>135</v>
      </c>
      <c r="AG1485">
        <f>IFERROR(VLOOKUP(AF1485,[1]STOK!J:O,6,0),"")</f>
        <v>12</v>
      </c>
      <c r="AH1485" s="2">
        <f t="shared" si="46"/>
        <v>1</v>
      </c>
      <c r="AI1485" t="s">
        <v>135</v>
      </c>
      <c r="AJ1485" t="s">
        <v>136</v>
      </c>
      <c r="AK1485" t="s">
        <v>137</v>
      </c>
      <c r="AL1485" t="s">
        <v>86</v>
      </c>
      <c r="AM1485">
        <v>177156</v>
      </c>
      <c r="AN1485">
        <f t="shared" si="47"/>
        <v>174498.66</v>
      </c>
      <c r="AO1485" t="s">
        <v>66</v>
      </c>
      <c r="AP1485">
        <v>1.5</v>
      </c>
      <c r="AQ1485" t="s">
        <v>66</v>
      </c>
      <c r="AR1485">
        <v>0</v>
      </c>
      <c r="AS1485" t="s">
        <v>66</v>
      </c>
      <c r="AT1485">
        <v>0</v>
      </c>
      <c r="AU1485" t="s">
        <v>66</v>
      </c>
      <c r="AV1485">
        <v>0</v>
      </c>
      <c r="AW1485" t="s">
        <v>66</v>
      </c>
      <c r="AX1485">
        <v>0</v>
      </c>
      <c r="AY1485" t="s">
        <v>66</v>
      </c>
      <c r="AZ1485">
        <v>0</v>
      </c>
      <c r="BA1485" t="s">
        <v>66</v>
      </c>
      <c r="BB1485">
        <v>0</v>
      </c>
      <c r="BC1485">
        <v>0</v>
      </c>
      <c r="BD1485">
        <v>174498.66</v>
      </c>
      <c r="BE1485">
        <v>12035.7</v>
      </c>
      <c r="BF1485">
        <v>0</v>
      </c>
      <c r="BG1485" t="s">
        <v>87</v>
      </c>
      <c r="BH1485" t="s">
        <v>66</v>
      </c>
      <c r="BI1485">
        <v>0</v>
      </c>
      <c r="BJ1485" t="s">
        <v>66</v>
      </c>
      <c r="BK1485" t="s">
        <v>88</v>
      </c>
      <c r="BL1485" t="s">
        <v>66</v>
      </c>
      <c r="BM1485" t="s">
        <v>159</v>
      </c>
    </row>
    <row r="1486" spans="1:65" x14ac:dyDescent="0.25">
      <c r="A1486">
        <v>1484</v>
      </c>
      <c r="B1486" t="s">
        <v>1625</v>
      </c>
      <c r="C1486" t="s">
        <v>68</v>
      </c>
      <c r="D1486" s="1">
        <v>46220</v>
      </c>
      <c r="E1486" t="s">
        <v>1626</v>
      </c>
      <c r="F1486" t="s">
        <v>68</v>
      </c>
      <c r="G1486" t="s">
        <v>69</v>
      </c>
      <c r="H1486" t="s">
        <v>70</v>
      </c>
      <c r="I1486" t="s">
        <v>71</v>
      </c>
      <c r="J1486" t="s">
        <v>72</v>
      </c>
      <c r="K1486" t="s">
        <v>73</v>
      </c>
      <c r="L1486" t="s">
        <v>74</v>
      </c>
      <c r="M1486" t="s">
        <v>820</v>
      </c>
      <c r="N1486" t="s">
        <v>111</v>
      </c>
      <c r="O1486" t="s">
        <v>821</v>
      </c>
      <c r="P1486" t="s">
        <v>822</v>
      </c>
      <c r="Q1486" t="s">
        <v>1627</v>
      </c>
      <c r="R1486" s="1">
        <v>46223</v>
      </c>
      <c r="S1486" t="s">
        <v>824</v>
      </c>
      <c r="T1486" t="s">
        <v>825</v>
      </c>
      <c r="U1486" t="s">
        <v>826</v>
      </c>
      <c r="V1486" t="s">
        <v>66</v>
      </c>
      <c r="W1486" t="s">
        <v>66</v>
      </c>
      <c r="X1486">
        <v>4926773</v>
      </c>
      <c r="Y1486">
        <v>541945.03</v>
      </c>
      <c r="Z1486">
        <v>204486</v>
      </c>
      <c r="AA1486">
        <v>22493.46</v>
      </c>
      <c r="AB1486">
        <v>5468718.0300000003</v>
      </c>
      <c r="AC1486">
        <v>1</v>
      </c>
      <c r="AD1486" t="s">
        <v>134</v>
      </c>
      <c r="AE1486">
        <v>12</v>
      </c>
      <c r="AF1486" t="s">
        <v>359</v>
      </c>
      <c r="AG1486">
        <f>IFERROR(VLOOKUP(AF1486,[1]STOK!J:O,6,0),"")</f>
        <v>12</v>
      </c>
      <c r="AH1486" s="2">
        <f t="shared" si="46"/>
        <v>1</v>
      </c>
      <c r="AI1486" t="s">
        <v>359</v>
      </c>
      <c r="AJ1486" t="s">
        <v>360</v>
      </c>
      <c r="AK1486" t="s">
        <v>361</v>
      </c>
      <c r="AL1486" t="s">
        <v>86</v>
      </c>
      <c r="AM1486">
        <v>230436</v>
      </c>
      <c r="AN1486">
        <f t="shared" si="47"/>
        <v>226979.46</v>
      </c>
      <c r="AO1486" t="s">
        <v>66</v>
      </c>
      <c r="AP1486">
        <v>1.5</v>
      </c>
      <c r="AQ1486" t="s">
        <v>66</v>
      </c>
      <c r="AR1486">
        <v>0</v>
      </c>
      <c r="AS1486" t="s">
        <v>66</v>
      </c>
      <c r="AT1486">
        <v>0</v>
      </c>
      <c r="AU1486" t="s">
        <v>66</v>
      </c>
      <c r="AV1486">
        <v>0</v>
      </c>
      <c r="AW1486" t="s">
        <v>66</v>
      </c>
      <c r="AX1486">
        <v>0</v>
      </c>
      <c r="AY1486" t="s">
        <v>66</v>
      </c>
      <c r="AZ1486">
        <v>0</v>
      </c>
      <c r="BA1486" t="s">
        <v>66</v>
      </c>
      <c r="BB1486">
        <v>0</v>
      </c>
      <c r="BC1486">
        <v>0</v>
      </c>
      <c r="BD1486">
        <v>226979.46</v>
      </c>
      <c r="BE1486">
        <v>15609.51</v>
      </c>
      <c r="BF1486">
        <v>0</v>
      </c>
      <c r="BG1486" t="s">
        <v>87</v>
      </c>
      <c r="BH1486" t="s">
        <v>66</v>
      </c>
      <c r="BI1486">
        <v>0</v>
      </c>
      <c r="BJ1486" t="s">
        <v>66</v>
      </c>
      <c r="BK1486" t="s">
        <v>88</v>
      </c>
      <c r="BL1486" t="s">
        <v>66</v>
      </c>
      <c r="BM1486" t="s">
        <v>159</v>
      </c>
    </row>
    <row r="1487" spans="1:65" x14ac:dyDescent="0.25">
      <c r="A1487">
        <v>1485</v>
      </c>
      <c r="B1487" t="s">
        <v>1625</v>
      </c>
      <c r="C1487" t="s">
        <v>68</v>
      </c>
      <c r="D1487" s="1">
        <v>46220</v>
      </c>
      <c r="E1487" t="s">
        <v>1626</v>
      </c>
      <c r="F1487" t="s">
        <v>68</v>
      </c>
      <c r="G1487" t="s">
        <v>69</v>
      </c>
      <c r="H1487" t="s">
        <v>70</v>
      </c>
      <c r="I1487" t="s">
        <v>71</v>
      </c>
      <c r="J1487" t="s">
        <v>72</v>
      </c>
      <c r="K1487" t="s">
        <v>73</v>
      </c>
      <c r="L1487" t="s">
        <v>74</v>
      </c>
      <c r="M1487" t="s">
        <v>820</v>
      </c>
      <c r="N1487" t="s">
        <v>111</v>
      </c>
      <c r="O1487" t="s">
        <v>821</v>
      </c>
      <c r="P1487" t="s">
        <v>822</v>
      </c>
      <c r="Q1487" t="s">
        <v>1627</v>
      </c>
      <c r="R1487" s="1">
        <v>46223</v>
      </c>
      <c r="S1487" t="s">
        <v>824</v>
      </c>
      <c r="T1487" t="s">
        <v>825</v>
      </c>
      <c r="U1487" t="s">
        <v>826</v>
      </c>
      <c r="V1487" t="s">
        <v>66</v>
      </c>
      <c r="W1487" t="s">
        <v>66</v>
      </c>
      <c r="X1487">
        <v>4926773</v>
      </c>
      <c r="Y1487">
        <v>541945.03</v>
      </c>
      <c r="Z1487">
        <v>679059</v>
      </c>
      <c r="AA1487">
        <v>74696.490000000005</v>
      </c>
      <c r="AB1487">
        <v>5468718.0300000003</v>
      </c>
      <c r="AC1487">
        <v>3</v>
      </c>
      <c r="AD1487" t="s">
        <v>134</v>
      </c>
      <c r="AE1487">
        <v>18</v>
      </c>
      <c r="AF1487" t="s">
        <v>138</v>
      </c>
      <c r="AG1487">
        <f>IFERROR(VLOOKUP(AF1487,[1]STOK!J:O,6,0),"")</f>
        <v>6</v>
      </c>
      <c r="AH1487" s="2">
        <f t="shared" si="46"/>
        <v>3</v>
      </c>
      <c r="AI1487" t="s">
        <v>138</v>
      </c>
      <c r="AJ1487" t="s">
        <v>139</v>
      </c>
      <c r="AK1487" t="s">
        <v>140</v>
      </c>
      <c r="AL1487" t="s">
        <v>86</v>
      </c>
      <c r="AM1487">
        <v>255078</v>
      </c>
      <c r="AN1487">
        <f t="shared" si="47"/>
        <v>251251.83</v>
      </c>
      <c r="AO1487" t="s">
        <v>66</v>
      </c>
      <c r="AP1487">
        <v>1.5</v>
      </c>
      <c r="AQ1487" t="s">
        <v>66</v>
      </c>
      <c r="AR1487">
        <v>0</v>
      </c>
      <c r="AS1487" t="s">
        <v>66</v>
      </c>
      <c r="AT1487">
        <v>0</v>
      </c>
      <c r="AU1487" t="s">
        <v>66</v>
      </c>
      <c r="AV1487">
        <v>0</v>
      </c>
      <c r="AW1487" t="s">
        <v>66</v>
      </c>
      <c r="AX1487">
        <v>0</v>
      </c>
      <c r="AY1487" t="s">
        <v>66</v>
      </c>
      <c r="AZ1487">
        <v>0</v>
      </c>
      <c r="BA1487" t="s">
        <v>66</v>
      </c>
      <c r="BB1487">
        <v>0</v>
      </c>
      <c r="BC1487">
        <v>0</v>
      </c>
      <c r="BD1487">
        <v>753755.49</v>
      </c>
      <c r="BE1487">
        <v>34652.67</v>
      </c>
      <c r="BF1487">
        <v>0</v>
      </c>
      <c r="BG1487" t="s">
        <v>87</v>
      </c>
      <c r="BH1487" t="s">
        <v>66</v>
      </c>
      <c r="BI1487">
        <v>0</v>
      </c>
      <c r="BJ1487" t="s">
        <v>66</v>
      </c>
      <c r="BK1487" t="s">
        <v>88</v>
      </c>
      <c r="BL1487" t="s">
        <v>66</v>
      </c>
      <c r="BM1487" t="s">
        <v>159</v>
      </c>
    </row>
    <row r="1488" spans="1:65" x14ac:dyDescent="0.25">
      <c r="A1488">
        <v>1486</v>
      </c>
      <c r="B1488" t="s">
        <v>1625</v>
      </c>
      <c r="C1488" t="s">
        <v>68</v>
      </c>
      <c r="D1488" s="1">
        <v>46220</v>
      </c>
      <c r="E1488" t="s">
        <v>1626</v>
      </c>
      <c r="F1488" t="s">
        <v>68</v>
      </c>
      <c r="G1488" t="s">
        <v>69</v>
      </c>
      <c r="H1488" t="s">
        <v>70</v>
      </c>
      <c r="I1488" t="s">
        <v>71</v>
      </c>
      <c r="J1488" t="s">
        <v>72</v>
      </c>
      <c r="K1488" t="s">
        <v>73</v>
      </c>
      <c r="L1488" t="s">
        <v>74</v>
      </c>
      <c r="M1488" t="s">
        <v>820</v>
      </c>
      <c r="N1488" t="s">
        <v>111</v>
      </c>
      <c r="O1488" t="s">
        <v>821</v>
      </c>
      <c r="P1488" t="s">
        <v>822</v>
      </c>
      <c r="Q1488" t="s">
        <v>1627</v>
      </c>
      <c r="R1488" s="1">
        <v>46223</v>
      </c>
      <c r="S1488" t="s">
        <v>824</v>
      </c>
      <c r="T1488" t="s">
        <v>825</v>
      </c>
      <c r="U1488" t="s">
        <v>826</v>
      </c>
      <c r="V1488" t="s">
        <v>66</v>
      </c>
      <c r="W1488" t="s">
        <v>66</v>
      </c>
      <c r="X1488">
        <v>4926773</v>
      </c>
      <c r="Y1488">
        <v>541945.03</v>
      </c>
      <c r="Z1488">
        <v>226353</v>
      </c>
      <c r="AA1488">
        <v>24898.83</v>
      </c>
      <c r="AB1488">
        <v>5468718.0300000003</v>
      </c>
      <c r="AC1488">
        <v>1</v>
      </c>
      <c r="AD1488" t="s">
        <v>134</v>
      </c>
      <c r="AE1488">
        <v>6</v>
      </c>
      <c r="AF1488" t="s">
        <v>323</v>
      </c>
      <c r="AG1488">
        <f>IFERROR(VLOOKUP(AF1488,[1]STOK!J:O,6,0),"")</f>
        <v>6</v>
      </c>
      <c r="AH1488" s="2">
        <f t="shared" si="46"/>
        <v>1</v>
      </c>
      <c r="AI1488" t="s">
        <v>323</v>
      </c>
      <c r="AJ1488" t="s">
        <v>324</v>
      </c>
      <c r="AK1488" t="s">
        <v>325</v>
      </c>
      <c r="AL1488" t="s">
        <v>86</v>
      </c>
      <c r="AM1488">
        <v>255078</v>
      </c>
      <c r="AN1488">
        <f t="shared" si="47"/>
        <v>251251.83</v>
      </c>
      <c r="AO1488" t="s">
        <v>66</v>
      </c>
      <c r="AP1488">
        <v>1.5</v>
      </c>
      <c r="AQ1488" t="s">
        <v>66</v>
      </c>
      <c r="AR1488">
        <v>0</v>
      </c>
      <c r="AS1488" t="s">
        <v>66</v>
      </c>
      <c r="AT1488">
        <v>0</v>
      </c>
      <c r="AU1488" t="s">
        <v>66</v>
      </c>
      <c r="AV1488">
        <v>0</v>
      </c>
      <c r="AW1488" t="s">
        <v>66</v>
      </c>
      <c r="AX1488">
        <v>0</v>
      </c>
      <c r="AY1488" t="s">
        <v>66</v>
      </c>
      <c r="AZ1488">
        <v>0</v>
      </c>
      <c r="BA1488" t="s">
        <v>66</v>
      </c>
      <c r="BB1488">
        <v>0</v>
      </c>
      <c r="BC1488">
        <v>0</v>
      </c>
      <c r="BD1488">
        <v>251251.83</v>
      </c>
      <c r="BE1488">
        <v>34506.17</v>
      </c>
      <c r="BF1488">
        <v>0</v>
      </c>
      <c r="BG1488" t="s">
        <v>87</v>
      </c>
      <c r="BH1488" t="s">
        <v>66</v>
      </c>
      <c r="BI1488">
        <v>0</v>
      </c>
      <c r="BJ1488" t="s">
        <v>66</v>
      </c>
      <c r="BK1488" t="s">
        <v>88</v>
      </c>
      <c r="BL1488" t="s">
        <v>66</v>
      </c>
      <c r="BM1488" t="s">
        <v>159</v>
      </c>
    </row>
    <row r="1489" spans="1:65" x14ac:dyDescent="0.25">
      <c r="A1489">
        <v>1487</v>
      </c>
      <c r="B1489" t="s">
        <v>1625</v>
      </c>
      <c r="C1489" t="s">
        <v>68</v>
      </c>
      <c r="D1489" s="1">
        <v>46220</v>
      </c>
      <c r="E1489" t="s">
        <v>1626</v>
      </c>
      <c r="F1489" t="s">
        <v>68</v>
      </c>
      <c r="G1489" t="s">
        <v>69</v>
      </c>
      <c r="H1489" t="s">
        <v>70</v>
      </c>
      <c r="I1489" t="s">
        <v>71</v>
      </c>
      <c r="J1489" t="s">
        <v>72</v>
      </c>
      <c r="K1489" t="s">
        <v>73</v>
      </c>
      <c r="L1489" t="s">
        <v>74</v>
      </c>
      <c r="M1489" t="s">
        <v>820</v>
      </c>
      <c r="N1489" t="s">
        <v>111</v>
      </c>
      <c r="O1489" t="s">
        <v>821</v>
      </c>
      <c r="P1489" t="s">
        <v>822</v>
      </c>
      <c r="Q1489" t="s">
        <v>1627</v>
      </c>
      <c r="R1489" s="1">
        <v>46223</v>
      </c>
      <c r="S1489" t="s">
        <v>824</v>
      </c>
      <c r="T1489" t="s">
        <v>825</v>
      </c>
      <c r="U1489" t="s">
        <v>826</v>
      </c>
      <c r="V1489" t="s">
        <v>66</v>
      </c>
      <c r="W1489" t="s">
        <v>66</v>
      </c>
      <c r="X1489">
        <v>4926773</v>
      </c>
      <c r="Y1489">
        <v>541945.03</v>
      </c>
      <c r="Z1489">
        <v>265950</v>
      </c>
      <c r="AA1489">
        <v>29254.5</v>
      </c>
      <c r="AB1489">
        <v>5468718.0300000003</v>
      </c>
      <c r="AC1489">
        <v>1</v>
      </c>
      <c r="AD1489" t="s">
        <v>134</v>
      </c>
      <c r="AE1489">
        <v>4</v>
      </c>
      <c r="AF1489" t="s">
        <v>476</v>
      </c>
      <c r="AG1489">
        <f>IFERROR(VLOOKUP(AF1489,[1]STOK!J:O,6,0),"")</f>
        <v>4</v>
      </c>
      <c r="AH1489" s="2">
        <f t="shared" si="46"/>
        <v>1</v>
      </c>
      <c r="AI1489" t="s">
        <v>476</v>
      </c>
      <c r="AJ1489" t="s">
        <v>477</v>
      </c>
      <c r="AK1489" t="s">
        <v>478</v>
      </c>
      <c r="AL1489" t="s">
        <v>86</v>
      </c>
      <c r="AM1489">
        <v>299700</v>
      </c>
      <c r="AN1489">
        <f t="shared" si="47"/>
        <v>295204.5</v>
      </c>
      <c r="AO1489" t="s">
        <v>66</v>
      </c>
      <c r="AP1489">
        <v>1.5</v>
      </c>
      <c r="AQ1489" t="s">
        <v>66</v>
      </c>
      <c r="AR1489">
        <v>0</v>
      </c>
      <c r="AS1489" t="s">
        <v>66</v>
      </c>
      <c r="AT1489">
        <v>0</v>
      </c>
      <c r="AU1489" t="s">
        <v>66</v>
      </c>
      <c r="AV1489">
        <v>0</v>
      </c>
      <c r="AW1489" t="s">
        <v>66</v>
      </c>
      <c r="AX1489">
        <v>0</v>
      </c>
      <c r="AY1489" t="s">
        <v>66</v>
      </c>
      <c r="AZ1489">
        <v>0</v>
      </c>
      <c r="BA1489" t="s">
        <v>66</v>
      </c>
      <c r="BB1489">
        <v>0</v>
      </c>
      <c r="BC1489">
        <v>0</v>
      </c>
      <c r="BD1489">
        <v>295204.5</v>
      </c>
      <c r="BE1489">
        <v>58650.42</v>
      </c>
      <c r="BF1489">
        <v>0</v>
      </c>
      <c r="BG1489" t="s">
        <v>87</v>
      </c>
      <c r="BH1489" t="s">
        <v>66</v>
      </c>
      <c r="BI1489">
        <v>0</v>
      </c>
      <c r="BJ1489" t="s">
        <v>66</v>
      </c>
      <c r="BK1489" t="s">
        <v>88</v>
      </c>
      <c r="BL1489" t="s">
        <v>66</v>
      </c>
      <c r="BM1489" t="s">
        <v>159</v>
      </c>
    </row>
    <row r="1490" spans="1:65" x14ac:dyDescent="0.25">
      <c r="A1490">
        <v>1488</v>
      </c>
      <c r="B1490" t="s">
        <v>1625</v>
      </c>
      <c r="C1490" t="s">
        <v>68</v>
      </c>
      <c r="D1490" s="1">
        <v>46220</v>
      </c>
      <c r="E1490" t="s">
        <v>1626</v>
      </c>
      <c r="F1490" t="s">
        <v>68</v>
      </c>
      <c r="G1490" t="s">
        <v>69</v>
      </c>
      <c r="H1490" t="s">
        <v>70</v>
      </c>
      <c r="I1490" t="s">
        <v>71</v>
      </c>
      <c r="J1490" t="s">
        <v>72</v>
      </c>
      <c r="K1490" t="s">
        <v>73</v>
      </c>
      <c r="L1490" t="s">
        <v>74</v>
      </c>
      <c r="M1490" t="s">
        <v>820</v>
      </c>
      <c r="N1490" t="s">
        <v>111</v>
      </c>
      <c r="O1490" t="s">
        <v>821</v>
      </c>
      <c r="P1490" t="s">
        <v>822</v>
      </c>
      <c r="Q1490" t="s">
        <v>1627</v>
      </c>
      <c r="R1490" s="1">
        <v>46223</v>
      </c>
      <c r="S1490" t="s">
        <v>824</v>
      </c>
      <c r="T1490" t="s">
        <v>825</v>
      </c>
      <c r="U1490" t="s">
        <v>826</v>
      </c>
      <c r="V1490" t="s">
        <v>66</v>
      </c>
      <c r="W1490" t="s">
        <v>66</v>
      </c>
      <c r="X1490">
        <v>4926773</v>
      </c>
      <c r="Y1490">
        <v>541945.03</v>
      </c>
      <c r="Z1490">
        <v>265950</v>
      </c>
      <c r="AA1490">
        <v>29254.5</v>
      </c>
      <c r="AB1490">
        <v>5468718.0300000003</v>
      </c>
      <c r="AC1490">
        <v>1</v>
      </c>
      <c r="AD1490" t="s">
        <v>134</v>
      </c>
      <c r="AE1490">
        <v>4</v>
      </c>
      <c r="AF1490" t="s">
        <v>312</v>
      </c>
      <c r="AG1490">
        <f>IFERROR(VLOOKUP(AF1490,[1]STOK!J:O,6,0),"")</f>
        <v>4</v>
      </c>
      <c r="AH1490" s="2">
        <f t="shared" si="46"/>
        <v>1</v>
      </c>
      <c r="AI1490" t="s">
        <v>312</v>
      </c>
      <c r="AJ1490" t="s">
        <v>313</v>
      </c>
      <c r="AK1490" t="s">
        <v>314</v>
      </c>
      <c r="AL1490" t="s">
        <v>86</v>
      </c>
      <c r="AM1490">
        <v>299700</v>
      </c>
      <c r="AN1490">
        <f t="shared" si="47"/>
        <v>295204.5</v>
      </c>
      <c r="AO1490" t="s">
        <v>66</v>
      </c>
      <c r="AP1490">
        <v>1.5</v>
      </c>
      <c r="AQ1490" t="s">
        <v>66</v>
      </c>
      <c r="AR1490">
        <v>0</v>
      </c>
      <c r="AS1490" t="s">
        <v>66</v>
      </c>
      <c r="AT1490">
        <v>0</v>
      </c>
      <c r="AU1490" t="s">
        <v>66</v>
      </c>
      <c r="AV1490">
        <v>0</v>
      </c>
      <c r="AW1490" t="s">
        <v>66</v>
      </c>
      <c r="AX1490">
        <v>0</v>
      </c>
      <c r="AY1490" t="s">
        <v>66</v>
      </c>
      <c r="AZ1490">
        <v>0</v>
      </c>
      <c r="BA1490" t="s">
        <v>66</v>
      </c>
      <c r="BB1490">
        <v>0</v>
      </c>
      <c r="BC1490">
        <v>0</v>
      </c>
      <c r="BD1490">
        <v>295204.5</v>
      </c>
      <c r="BE1490">
        <v>60347.95</v>
      </c>
      <c r="BF1490">
        <v>0</v>
      </c>
      <c r="BG1490" t="s">
        <v>87</v>
      </c>
      <c r="BH1490" t="s">
        <v>66</v>
      </c>
      <c r="BI1490">
        <v>0</v>
      </c>
      <c r="BJ1490" t="s">
        <v>66</v>
      </c>
      <c r="BK1490" t="s">
        <v>88</v>
      </c>
      <c r="BL1490" t="s">
        <v>66</v>
      </c>
      <c r="BM1490" t="s">
        <v>159</v>
      </c>
    </row>
    <row r="1491" spans="1:65" x14ac:dyDescent="0.25">
      <c r="A1491">
        <v>1489</v>
      </c>
      <c r="B1491" t="s">
        <v>1628</v>
      </c>
      <c r="C1491" t="s">
        <v>1629</v>
      </c>
      <c r="D1491" s="1">
        <v>46221</v>
      </c>
      <c r="E1491" t="s">
        <v>1630</v>
      </c>
      <c r="F1491" t="s">
        <v>1631</v>
      </c>
      <c r="G1491" t="s">
        <v>295</v>
      </c>
      <c r="H1491" t="s">
        <v>296</v>
      </c>
      <c r="I1491" t="s">
        <v>71</v>
      </c>
      <c r="J1491" t="s">
        <v>72</v>
      </c>
      <c r="K1491" t="s">
        <v>73</v>
      </c>
      <c r="L1491" t="s">
        <v>74</v>
      </c>
      <c r="M1491" t="s">
        <v>1111</v>
      </c>
      <c r="N1491" t="s">
        <v>696</v>
      </c>
      <c r="O1491" t="s">
        <v>1112</v>
      </c>
      <c r="P1491" t="s">
        <v>1113</v>
      </c>
      <c r="Q1491" t="s">
        <v>1632</v>
      </c>
      <c r="R1491" s="1">
        <v>46223</v>
      </c>
      <c r="S1491" t="s">
        <v>1115</v>
      </c>
      <c r="T1491" t="s">
        <v>1116</v>
      </c>
      <c r="U1491" t="s">
        <v>1117</v>
      </c>
      <c r="V1491" t="s">
        <v>66</v>
      </c>
      <c r="W1491" t="s">
        <v>66</v>
      </c>
      <c r="X1491">
        <v>416712</v>
      </c>
      <c r="Y1491">
        <v>45838.32</v>
      </c>
      <c r="Z1491">
        <v>154812</v>
      </c>
      <c r="AA1491">
        <v>17029.32</v>
      </c>
      <c r="AB1491">
        <v>462550.32</v>
      </c>
      <c r="AC1491">
        <v>1</v>
      </c>
      <c r="AD1491" t="s">
        <v>134</v>
      </c>
      <c r="AE1491">
        <v>12</v>
      </c>
      <c r="AF1491" t="s">
        <v>135</v>
      </c>
      <c r="AG1491">
        <f>IFERROR(VLOOKUP(AF1491,[1]STOK!J:O,6,0),"")</f>
        <v>12</v>
      </c>
      <c r="AH1491" s="2">
        <f t="shared" si="46"/>
        <v>1</v>
      </c>
      <c r="AI1491" t="s">
        <v>135</v>
      </c>
      <c r="AJ1491" t="s">
        <v>136</v>
      </c>
      <c r="AK1491" t="s">
        <v>137</v>
      </c>
      <c r="AL1491" t="s">
        <v>86</v>
      </c>
      <c r="AM1491">
        <v>177156</v>
      </c>
      <c r="AN1491">
        <f t="shared" si="47"/>
        <v>171841.32</v>
      </c>
      <c r="AO1491" t="s">
        <v>66</v>
      </c>
      <c r="AP1491">
        <v>3</v>
      </c>
      <c r="AQ1491" t="s">
        <v>66</v>
      </c>
      <c r="AR1491">
        <v>0</v>
      </c>
      <c r="AS1491" t="s">
        <v>66</v>
      </c>
      <c r="AT1491">
        <v>0</v>
      </c>
      <c r="AU1491" t="s">
        <v>66</v>
      </c>
      <c r="AV1491">
        <v>0</v>
      </c>
      <c r="AW1491" t="s">
        <v>66</v>
      </c>
      <c r="AX1491">
        <v>0</v>
      </c>
      <c r="AY1491" t="s">
        <v>66</v>
      </c>
      <c r="AZ1491">
        <v>0</v>
      </c>
      <c r="BA1491" t="s">
        <v>66</v>
      </c>
      <c r="BB1491">
        <v>0</v>
      </c>
      <c r="BC1491">
        <v>0</v>
      </c>
      <c r="BD1491">
        <v>171841.32</v>
      </c>
      <c r="BE1491">
        <v>12035.7</v>
      </c>
      <c r="BF1491">
        <v>0</v>
      </c>
      <c r="BG1491" t="s">
        <v>87</v>
      </c>
      <c r="BH1491" t="s">
        <v>66</v>
      </c>
      <c r="BI1491">
        <v>0</v>
      </c>
      <c r="BJ1491" t="s">
        <v>66</v>
      </c>
      <c r="BK1491" t="s">
        <v>88</v>
      </c>
      <c r="BL1491" t="s">
        <v>66</v>
      </c>
      <c r="BM1491" t="s">
        <v>159</v>
      </c>
    </row>
    <row r="1492" spans="1:65" x14ac:dyDescent="0.25">
      <c r="A1492">
        <v>1490</v>
      </c>
      <c r="B1492" t="s">
        <v>1628</v>
      </c>
      <c r="C1492" t="s">
        <v>1629</v>
      </c>
      <c r="D1492" s="1">
        <v>46221</v>
      </c>
      <c r="E1492" t="s">
        <v>1630</v>
      </c>
      <c r="F1492" t="s">
        <v>1631</v>
      </c>
      <c r="G1492" t="s">
        <v>295</v>
      </c>
      <c r="H1492" t="s">
        <v>296</v>
      </c>
      <c r="I1492" t="s">
        <v>71</v>
      </c>
      <c r="J1492" t="s">
        <v>72</v>
      </c>
      <c r="K1492" t="s">
        <v>73</v>
      </c>
      <c r="L1492" t="s">
        <v>74</v>
      </c>
      <c r="M1492" t="s">
        <v>1111</v>
      </c>
      <c r="N1492" t="s">
        <v>696</v>
      </c>
      <c r="O1492" t="s">
        <v>1112</v>
      </c>
      <c r="P1492" t="s">
        <v>1113</v>
      </c>
      <c r="Q1492" t="s">
        <v>1632</v>
      </c>
      <c r="R1492" s="1">
        <v>46223</v>
      </c>
      <c r="S1492" t="s">
        <v>1115</v>
      </c>
      <c r="T1492" t="s">
        <v>1116</v>
      </c>
      <c r="U1492" t="s">
        <v>1117</v>
      </c>
      <c r="V1492" t="s">
        <v>66</v>
      </c>
      <c r="W1492" t="s">
        <v>66</v>
      </c>
      <c r="X1492">
        <v>416712</v>
      </c>
      <c r="Y1492">
        <v>45838.32</v>
      </c>
      <c r="Z1492">
        <v>261900</v>
      </c>
      <c r="AA1492">
        <v>28809</v>
      </c>
      <c r="AB1492">
        <v>462550.32</v>
      </c>
      <c r="AC1492">
        <v>1</v>
      </c>
      <c r="AD1492" t="s">
        <v>134</v>
      </c>
      <c r="AE1492">
        <v>4</v>
      </c>
      <c r="AF1492" t="s">
        <v>312</v>
      </c>
      <c r="AG1492">
        <f>IFERROR(VLOOKUP(AF1492,[1]STOK!J:O,6,0),"")</f>
        <v>4</v>
      </c>
      <c r="AH1492" s="2">
        <f t="shared" si="46"/>
        <v>1</v>
      </c>
      <c r="AI1492" t="s">
        <v>312</v>
      </c>
      <c r="AJ1492" t="s">
        <v>313</v>
      </c>
      <c r="AK1492" t="s">
        <v>314</v>
      </c>
      <c r="AL1492" t="s">
        <v>86</v>
      </c>
      <c r="AM1492">
        <v>299700</v>
      </c>
      <c r="AN1492">
        <f t="shared" si="47"/>
        <v>290709</v>
      </c>
      <c r="AO1492" t="s">
        <v>66</v>
      </c>
      <c r="AP1492">
        <v>3</v>
      </c>
      <c r="AQ1492" t="s">
        <v>66</v>
      </c>
      <c r="AR1492">
        <v>0</v>
      </c>
      <c r="AS1492" t="s">
        <v>66</v>
      </c>
      <c r="AT1492">
        <v>0</v>
      </c>
      <c r="AU1492" t="s">
        <v>66</v>
      </c>
      <c r="AV1492">
        <v>0</v>
      </c>
      <c r="AW1492" t="s">
        <v>66</v>
      </c>
      <c r="AX1492">
        <v>0</v>
      </c>
      <c r="AY1492" t="s">
        <v>66</v>
      </c>
      <c r="AZ1492">
        <v>0</v>
      </c>
      <c r="BA1492" t="s">
        <v>66</v>
      </c>
      <c r="BB1492">
        <v>0</v>
      </c>
      <c r="BC1492">
        <v>0</v>
      </c>
      <c r="BD1492">
        <v>290709</v>
      </c>
      <c r="BE1492">
        <v>60347.95</v>
      </c>
      <c r="BF1492">
        <v>0</v>
      </c>
      <c r="BG1492" t="s">
        <v>87</v>
      </c>
      <c r="BH1492" t="s">
        <v>66</v>
      </c>
      <c r="BI1492">
        <v>0</v>
      </c>
      <c r="BJ1492" t="s">
        <v>66</v>
      </c>
      <c r="BK1492" t="s">
        <v>88</v>
      </c>
      <c r="BL1492" t="s">
        <v>66</v>
      </c>
      <c r="BM1492" t="s">
        <v>159</v>
      </c>
    </row>
    <row r="1493" spans="1:65" x14ac:dyDescent="0.25">
      <c r="A1493">
        <v>1491</v>
      </c>
      <c r="B1493" t="s">
        <v>1633</v>
      </c>
      <c r="C1493" t="s">
        <v>68</v>
      </c>
      <c r="D1493" s="1">
        <v>46221</v>
      </c>
      <c r="E1493" t="s">
        <v>1634</v>
      </c>
      <c r="F1493" t="s">
        <v>68</v>
      </c>
      <c r="G1493" t="s">
        <v>295</v>
      </c>
      <c r="H1493" t="s">
        <v>296</v>
      </c>
      <c r="I1493" t="s">
        <v>71</v>
      </c>
      <c r="J1493" t="s">
        <v>72</v>
      </c>
      <c r="K1493" t="s">
        <v>73</v>
      </c>
      <c r="L1493" t="s">
        <v>74</v>
      </c>
      <c r="M1493" t="s">
        <v>1635</v>
      </c>
      <c r="N1493" t="s">
        <v>76</v>
      </c>
      <c r="O1493" t="s">
        <v>1636</v>
      </c>
      <c r="P1493" t="s">
        <v>1637</v>
      </c>
      <c r="Q1493" t="s">
        <v>1638</v>
      </c>
      <c r="R1493" s="1">
        <v>46224</v>
      </c>
      <c r="S1493" t="s">
        <v>716</v>
      </c>
      <c r="T1493" t="s">
        <v>717</v>
      </c>
      <c r="U1493" t="s">
        <v>718</v>
      </c>
      <c r="V1493" t="s">
        <v>66</v>
      </c>
      <c r="W1493" t="s">
        <v>66</v>
      </c>
      <c r="X1493">
        <v>559776</v>
      </c>
      <c r="Y1493">
        <v>61575.360000000001</v>
      </c>
      <c r="Z1493">
        <v>58212</v>
      </c>
      <c r="AA1493">
        <v>6403.32</v>
      </c>
      <c r="AB1493">
        <v>621351.36</v>
      </c>
      <c r="AC1493">
        <v>3</v>
      </c>
      <c r="AD1493" t="s">
        <v>82</v>
      </c>
      <c r="AE1493">
        <v>3</v>
      </c>
      <c r="AF1493" t="s">
        <v>743</v>
      </c>
      <c r="AG1493">
        <f>IFERROR(VLOOKUP(AF1493,[1]STOK!J:O,6,0),"")</f>
        <v>12</v>
      </c>
      <c r="AH1493" s="2">
        <f t="shared" si="46"/>
        <v>0.25</v>
      </c>
      <c r="AI1493" t="s">
        <v>743</v>
      </c>
      <c r="AJ1493" t="s">
        <v>744</v>
      </c>
      <c r="AK1493" t="s">
        <v>745</v>
      </c>
      <c r="AL1493" t="s">
        <v>86</v>
      </c>
      <c r="AM1493">
        <v>21978</v>
      </c>
      <c r="AN1493">
        <f t="shared" si="47"/>
        <v>21538.44</v>
      </c>
      <c r="AO1493" t="s">
        <v>66</v>
      </c>
      <c r="AP1493">
        <v>2</v>
      </c>
      <c r="AQ1493" t="s">
        <v>66</v>
      </c>
      <c r="AR1493">
        <v>0</v>
      </c>
      <c r="AS1493" t="s">
        <v>66</v>
      </c>
      <c r="AT1493">
        <v>0</v>
      </c>
      <c r="AU1493" t="s">
        <v>66</v>
      </c>
      <c r="AV1493">
        <v>0</v>
      </c>
      <c r="AW1493" t="s">
        <v>66</v>
      </c>
      <c r="AX1493">
        <v>0</v>
      </c>
      <c r="AY1493" t="s">
        <v>66</v>
      </c>
      <c r="AZ1493">
        <v>0</v>
      </c>
      <c r="BA1493" t="s">
        <v>66</v>
      </c>
      <c r="BB1493">
        <v>0</v>
      </c>
      <c r="BC1493">
        <v>0</v>
      </c>
      <c r="BD1493">
        <v>64615.32</v>
      </c>
      <c r="BE1493">
        <v>17808.900000000001</v>
      </c>
      <c r="BF1493">
        <v>0</v>
      </c>
      <c r="BG1493" t="s">
        <v>87</v>
      </c>
      <c r="BH1493" t="s">
        <v>66</v>
      </c>
      <c r="BI1493">
        <v>0</v>
      </c>
      <c r="BJ1493" t="s">
        <v>66</v>
      </c>
      <c r="BK1493" t="s">
        <v>88</v>
      </c>
      <c r="BL1493" t="s">
        <v>719</v>
      </c>
      <c r="BM1493" t="s">
        <v>159</v>
      </c>
    </row>
    <row r="1494" spans="1:65" x14ac:dyDescent="0.25">
      <c r="A1494">
        <v>1492</v>
      </c>
      <c r="B1494" t="s">
        <v>1633</v>
      </c>
      <c r="C1494" t="s">
        <v>68</v>
      </c>
      <c r="D1494" s="1">
        <v>46221</v>
      </c>
      <c r="E1494" t="s">
        <v>1634</v>
      </c>
      <c r="F1494" t="s">
        <v>68</v>
      </c>
      <c r="G1494" t="s">
        <v>295</v>
      </c>
      <c r="H1494" t="s">
        <v>296</v>
      </c>
      <c r="I1494" t="s">
        <v>71</v>
      </c>
      <c r="J1494" t="s">
        <v>72</v>
      </c>
      <c r="K1494" t="s">
        <v>73</v>
      </c>
      <c r="L1494" t="s">
        <v>74</v>
      </c>
      <c r="M1494" t="s">
        <v>1635</v>
      </c>
      <c r="N1494" t="s">
        <v>76</v>
      </c>
      <c r="O1494" t="s">
        <v>1636</v>
      </c>
      <c r="P1494" t="s">
        <v>1637</v>
      </c>
      <c r="Q1494" t="s">
        <v>1638</v>
      </c>
      <c r="R1494" s="1">
        <v>46224</v>
      </c>
      <c r="S1494" t="s">
        <v>716</v>
      </c>
      <c r="T1494" t="s">
        <v>717</v>
      </c>
      <c r="U1494" t="s">
        <v>718</v>
      </c>
      <c r="V1494" t="s">
        <v>66</v>
      </c>
      <c r="W1494" t="s">
        <v>66</v>
      </c>
      <c r="X1494">
        <v>559776</v>
      </c>
      <c r="Y1494">
        <v>61575.360000000001</v>
      </c>
      <c r="Z1494">
        <v>43512</v>
      </c>
      <c r="AA1494">
        <v>4786.32</v>
      </c>
      <c r="AB1494">
        <v>621351.36</v>
      </c>
      <c r="AC1494">
        <v>3</v>
      </c>
      <c r="AD1494" t="s">
        <v>82</v>
      </c>
      <c r="AE1494">
        <v>3</v>
      </c>
      <c r="AF1494" t="s">
        <v>119</v>
      </c>
      <c r="AG1494">
        <f>IFERROR(VLOOKUP(AF1494,[1]STOK!J:O,6,0),"")</f>
        <v>12</v>
      </c>
      <c r="AH1494" s="2">
        <f t="shared" si="46"/>
        <v>0.25</v>
      </c>
      <c r="AI1494" t="s">
        <v>119</v>
      </c>
      <c r="AJ1494" t="s">
        <v>120</v>
      </c>
      <c r="AK1494" t="s">
        <v>121</v>
      </c>
      <c r="AL1494" t="s">
        <v>86</v>
      </c>
      <c r="AM1494">
        <v>16428</v>
      </c>
      <c r="AN1494">
        <f t="shared" si="47"/>
        <v>16099.44</v>
      </c>
      <c r="AO1494" t="s">
        <v>66</v>
      </c>
      <c r="AP1494">
        <v>2</v>
      </c>
      <c r="AQ1494" t="s">
        <v>66</v>
      </c>
      <c r="AR1494">
        <v>0</v>
      </c>
      <c r="AS1494" t="s">
        <v>66</v>
      </c>
      <c r="AT1494">
        <v>0</v>
      </c>
      <c r="AU1494" t="s">
        <v>66</v>
      </c>
      <c r="AV1494">
        <v>0</v>
      </c>
      <c r="AW1494" t="s">
        <v>66</v>
      </c>
      <c r="AX1494">
        <v>0</v>
      </c>
      <c r="AY1494" t="s">
        <v>66</v>
      </c>
      <c r="AZ1494">
        <v>0</v>
      </c>
      <c r="BA1494" t="s">
        <v>66</v>
      </c>
      <c r="BB1494">
        <v>0</v>
      </c>
      <c r="BC1494">
        <v>0</v>
      </c>
      <c r="BD1494">
        <v>48298.32</v>
      </c>
      <c r="BE1494">
        <v>12451.17</v>
      </c>
      <c r="BF1494">
        <v>0</v>
      </c>
      <c r="BG1494" t="s">
        <v>87</v>
      </c>
      <c r="BH1494" t="s">
        <v>66</v>
      </c>
      <c r="BI1494">
        <v>0</v>
      </c>
      <c r="BJ1494" t="s">
        <v>66</v>
      </c>
      <c r="BK1494" t="s">
        <v>88</v>
      </c>
      <c r="BL1494" t="s">
        <v>719</v>
      </c>
      <c r="BM1494" t="s">
        <v>159</v>
      </c>
    </row>
    <row r="1495" spans="1:65" x14ac:dyDescent="0.25">
      <c r="A1495">
        <v>1493</v>
      </c>
      <c r="B1495" t="s">
        <v>1633</v>
      </c>
      <c r="C1495" t="s">
        <v>68</v>
      </c>
      <c r="D1495" s="1">
        <v>46221</v>
      </c>
      <c r="E1495" t="s">
        <v>1634</v>
      </c>
      <c r="F1495" t="s">
        <v>68</v>
      </c>
      <c r="G1495" t="s">
        <v>295</v>
      </c>
      <c r="H1495" t="s">
        <v>296</v>
      </c>
      <c r="I1495" t="s">
        <v>71</v>
      </c>
      <c r="J1495" t="s">
        <v>72</v>
      </c>
      <c r="K1495" t="s">
        <v>73</v>
      </c>
      <c r="L1495" t="s">
        <v>74</v>
      </c>
      <c r="M1495" t="s">
        <v>1635</v>
      </c>
      <c r="N1495" t="s">
        <v>76</v>
      </c>
      <c r="O1495" t="s">
        <v>1636</v>
      </c>
      <c r="P1495" t="s">
        <v>1637</v>
      </c>
      <c r="Q1495" t="s">
        <v>1638</v>
      </c>
      <c r="R1495" s="1">
        <v>46224</v>
      </c>
      <c r="S1495" t="s">
        <v>716</v>
      </c>
      <c r="T1495" t="s">
        <v>717</v>
      </c>
      <c r="U1495" t="s">
        <v>718</v>
      </c>
      <c r="V1495" t="s">
        <v>66</v>
      </c>
      <c r="W1495" t="s">
        <v>66</v>
      </c>
      <c r="X1495">
        <v>559776</v>
      </c>
      <c r="Y1495">
        <v>61575.360000000001</v>
      </c>
      <c r="Z1495">
        <v>97020</v>
      </c>
      <c r="AA1495">
        <v>10672.2</v>
      </c>
      <c r="AB1495">
        <v>621351.36</v>
      </c>
      <c r="AC1495">
        <v>6</v>
      </c>
      <c r="AD1495" t="s">
        <v>82</v>
      </c>
      <c r="AE1495">
        <v>6</v>
      </c>
      <c r="AF1495" t="s">
        <v>93</v>
      </c>
      <c r="AG1495">
        <f>IFERROR(VLOOKUP(AF1495,[1]STOK!J:O,6,0),"")</f>
        <v>24</v>
      </c>
      <c r="AH1495" s="2">
        <f t="shared" si="46"/>
        <v>0.25</v>
      </c>
      <c r="AI1495" t="s">
        <v>93</v>
      </c>
      <c r="AJ1495" t="s">
        <v>94</v>
      </c>
      <c r="AK1495" t="s">
        <v>95</v>
      </c>
      <c r="AL1495" t="s">
        <v>86</v>
      </c>
      <c r="AM1495">
        <v>18315</v>
      </c>
      <c r="AN1495">
        <f t="shared" si="47"/>
        <v>17948.7</v>
      </c>
      <c r="AO1495" t="s">
        <v>66</v>
      </c>
      <c r="AP1495">
        <v>2</v>
      </c>
      <c r="AQ1495" t="s">
        <v>66</v>
      </c>
      <c r="AR1495">
        <v>0</v>
      </c>
      <c r="AS1495" t="s">
        <v>66</v>
      </c>
      <c r="AT1495">
        <v>0</v>
      </c>
      <c r="AU1495" t="s">
        <v>66</v>
      </c>
      <c r="AV1495">
        <v>0</v>
      </c>
      <c r="AW1495" t="s">
        <v>66</v>
      </c>
      <c r="AX1495">
        <v>0</v>
      </c>
      <c r="AY1495" t="s">
        <v>66</v>
      </c>
      <c r="AZ1495">
        <v>0</v>
      </c>
      <c r="BA1495" t="s">
        <v>66</v>
      </c>
      <c r="BB1495">
        <v>0</v>
      </c>
      <c r="BC1495">
        <v>0</v>
      </c>
      <c r="BD1495">
        <v>107692.2</v>
      </c>
      <c r="BE1495">
        <v>14878.51</v>
      </c>
      <c r="BF1495">
        <v>0</v>
      </c>
      <c r="BG1495" t="s">
        <v>87</v>
      </c>
      <c r="BH1495" t="s">
        <v>66</v>
      </c>
      <c r="BI1495">
        <v>0</v>
      </c>
      <c r="BJ1495" t="s">
        <v>66</v>
      </c>
      <c r="BK1495" t="s">
        <v>88</v>
      </c>
      <c r="BL1495" t="s">
        <v>719</v>
      </c>
      <c r="BM1495" t="s">
        <v>159</v>
      </c>
    </row>
    <row r="1496" spans="1:65" x14ac:dyDescent="0.25">
      <c r="A1496">
        <v>1494</v>
      </c>
      <c r="B1496" t="s">
        <v>1633</v>
      </c>
      <c r="C1496" t="s">
        <v>68</v>
      </c>
      <c r="D1496" s="1">
        <v>46221</v>
      </c>
      <c r="E1496" t="s">
        <v>1634</v>
      </c>
      <c r="F1496" t="s">
        <v>68</v>
      </c>
      <c r="G1496" t="s">
        <v>295</v>
      </c>
      <c r="H1496" t="s">
        <v>296</v>
      </c>
      <c r="I1496" t="s">
        <v>71</v>
      </c>
      <c r="J1496" t="s">
        <v>72</v>
      </c>
      <c r="K1496" t="s">
        <v>73</v>
      </c>
      <c r="L1496" t="s">
        <v>74</v>
      </c>
      <c r="M1496" t="s">
        <v>1635</v>
      </c>
      <c r="N1496" t="s">
        <v>76</v>
      </c>
      <c r="O1496" t="s">
        <v>1636</v>
      </c>
      <c r="P1496" t="s">
        <v>1637</v>
      </c>
      <c r="Q1496" t="s">
        <v>1638</v>
      </c>
      <c r="R1496" s="1">
        <v>46224</v>
      </c>
      <c r="S1496" t="s">
        <v>716</v>
      </c>
      <c r="T1496" t="s">
        <v>717</v>
      </c>
      <c r="U1496" t="s">
        <v>718</v>
      </c>
      <c r="V1496" t="s">
        <v>66</v>
      </c>
      <c r="W1496" t="s">
        <v>66</v>
      </c>
      <c r="X1496">
        <v>559776</v>
      </c>
      <c r="Y1496">
        <v>61575.360000000001</v>
      </c>
      <c r="Z1496">
        <v>48510</v>
      </c>
      <c r="AA1496">
        <v>5336.1</v>
      </c>
      <c r="AB1496">
        <v>621351.36</v>
      </c>
      <c r="AC1496">
        <v>3</v>
      </c>
      <c r="AD1496" t="s">
        <v>82</v>
      </c>
      <c r="AE1496">
        <v>3</v>
      </c>
      <c r="AF1496" t="s">
        <v>96</v>
      </c>
      <c r="AG1496">
        <f>IFERROR(VLOOKUP(AF1496,[1]STOK!J:O,6,0),"")</f>
        <v>24</v>
      </c>
      <c r="AH1496" s="2">
        <f t="shared" si="46"/>
        <v>0.125</v>
      </c>
      <c r="AI1496" t="s">
        <v>96</v>
      </c>
      <c r="AJ1496" t="s">
        <v>97</v>
      </c>
      <c r="AK1496" t="s">
        <v>98</v>
      </c>
      <c r="AL1496" t="s">
        <v>86</v>
      </c>
      <c r="AM1496">
        <v>18315</v>
      </c>
      <c r="AN1496">
        <f t="shared" si="47"/>
        <v>17948.7</v>
      </c>
      <c r="AO1496" t="s">
        <v>66</v>
      </c>
      <c r="AP1496">
        <v>2</v>
      </c>
      <c r="AQ1496" t="s">
        <v>66</v>
      </c>
      <c r="AR1496">
        <v>0</v>
      </c>
      <c r="AS1496" t="s">
        <v>66</v>
      </c>
      <c r="AT1496">
        <v>0</v>
      </c>
      <c r="AU1496" t="s">
        <v>66</v>
      </c>
      <c r="AV1496">
        <v>0</v>
      </c>
      <c r="AW1496" t="s">
        <v>66</v>
      </c>
      <c r="AX1496">
        <v>0</v>
      </c>
      <c r="AY1496" t="s">
        <v>66</v>
      </c>
      <c r="AZ1496">
        <v>0</v>
      </c>
      <c r="BA1496" t="s">
        <v>66</v>
      </c>
      <c r="BB1496">
        <v>0</v>
      </c>
      <c r="BC1496">
        <v>0</v>
      </c>
      <c r="BD1496">
        <v>53846.1</v>
      </c>
      <c r="BE1496">
        <v>14906.41</v>
      </c>
      <c r="BF1496">
        <v>0</v>
      </c>
      <c r="BG1496" t="s">
        <v>87</v>
      </c>
      <c r="BH1496" t="s">
        <v>66</v>
      </c>
      <c r="BI1496">
        <v>0</v>
      </c>
      <c r="BJ1496" t="s">
        <v>66</v>
      </c>
      <c r="BK1496" t="s">
        <v>88</v>
      </c>
      <c r="BL1496" t="s">
        <v>719</v>
      </c>
      <c r="BM1496" t="s">
        <v>159</v>
      </c>
    </row>
    <row r="1497" spans="1:65" x14ac:dyDescent="0.25">
      <c r="A1497">
        <v>1495</v>
      </c>
      <c r="B1497" t="s">
        <v>1633</v>
      </c>
      <c r="C1497" t="s">
        <v>68</v>
      </c>
      <c r="D1497" s="1">
        <v>46221</v>
      </c>
      <c r="E1497" t="s">
        <v>1634</v>
      </c>
      <c r="F1497" t="s">
        <v>68</v>
      </c>
      <c r="G1497" t="s">
        <v>295</v>
      </c>
      <c r="H1497" t="s">
        <v>296</v>
      </c>
      <c r="I1497" t="s">
        <v>71</v>
      </c>
      <c r="J1497" t="s">
        <v>72</v>
      </c>
      <c r="K1497" t="s">
        <v>73</v>
      </c>
      <c r="L1497" t="s">
        <v>74</v>
      </c>
      <c r="M1497" t="s">
        <v>1635</v>
      </c>
      <c r="N1497" t="s">
        <v>76</v>
      </c>
      <c r="O1497" t="s">
        <v>1636</v>
      </c>
      <c r="P1497" t="s">
        <v>1637</v>
      </c>
      <c r="Q1497" t="s">
        <v>1638</v>
      </c>
      <c r="R1497" s="1">
        <v>46224</v>
      </c>
      <c r="S1497" t="s">
        <v>716</v>
      </c>
      <c r="T1497" t="s">
        <v>717</v>
      </c>
      <c r="U1497" t="s">
        <v>718</v>
      </c>
      <c r="V1497" t="s">
        <v>66</v>
      </c>
      <c r="W1497" t="s">
        <v>66</v>
      </c>
      <c r="X1497">
        <v>559776</v>
      </c>
      <c r="Y1497">
        <v>61575.360000000001</v>
      </c>
      <c r="Z1497">
        <v>97020</v>
      </c>
      <c r="AA1497">
        <v>10672.2</v>
      </c>
      <c r="AB1497">
        <v>621351.36</v>
      </c>
      <c r="AC1497">
        <v>6</v>
      </c>
      <c r="AD1497" t="s">
        <v>82</v>
      </c>
      <c r="AE1497">
        <v>6</v>
      </c>
      <c r="AF1497" t="s">
        <v>99</v>
      </c>
      <c r="AG1497">
        <f>IFERROR(VLOOKUP(AF1497,[1]STOK!J:O,6,0),"")</f>
        <v>24</v>
      </c>
      <c r="AH1497" s="2">
        <f t="shared" si="46"/>
        <v>0.25</v>
      </c>
      <c r="AI1497" t="s">
        <v>99</v>
      </c>
      <c r="AJ1497" t="s">
        <v>100</v>
      </c>
      <c r="AK1497" t="s">
        <v>101</v>
      </c>
      <c r="AL1497" t="s">
        <v>86</v>
      </c>
      <c r="AM1497">
        <v>18315</v>
      </c>
      <c r="AN1497">
        <f t="shared" si="47"/>
        <v>17948.7</v>
      </c>
      <c r="AO1497" t="s">
        <v>66</v>
      </c>
      <c r="AP1497">
        <v>2</v>
      </c>
      <c r="AQ1497" t="s">
        <v>66</v>
      </c>
      <c r="AR1497">
        <v>0</v>
      </c>
      <c r="AS1497" t="s">
        <v>66</v>
      </c>
      <c r="AT1497">
        <v>0</v>
      </c>
      <c r="AU1497" t="s">
        <v>66</v>
      </c>
      <c r="AV1497">
        <v>0</v>
      </c>
      <c r="AW1497" t="s">
        <v>66</v>
      </c>
      <c r="AX1497">
        <v>0</v>
      </c>
      <c r="AY1497" t="s">
        <v>66</v>
      </c>
      <c r="AZ1497">
        <v>0</v>
      </c>
      <c r="BA1497" t="s">
        <v>66</v>
      </c>
      <c r="BB1497">
        <v>0</v>
      </c>
      <c r="BC1497">
        <v>0</v>
      </c>
      <c r="BD1497">
        <v>107692.2</v>
      </c>
      <c r="BE1497">
        <v>14920.37</v>
      </c>
      <c r="BF1497">
        <v>0</v>
      </c>
      <c r="BG1497" t="s">
        <v>87</v>
      </c>
      <c r="BH1497" t="s">
        <v>66</v>
      </c>
      <c r="BI1497">
        <v>0</v>
      </c>
      <c r="BJ1497" t="s">
        <v>66</v>
      </c>
      <c r="BK1497" t="s">
        <v>88</v>
      </c>
      <c r="BL1497" t="s">
        <v>719</v>
      </c>
      <c r="BM1497" t="s">
        <v>159</v>
      </c>
    </row>
    <row r="1498" spans="1:65" x14ac:dyDescent="0.25">
      <c r="A1498">
        <v>1496</v>
      </c>
      <c r="B1498" t="s">
        <v>1633</v>
      </c>
      <c r="C1498" t="s">
        <v>68</v>
      </c>
      <c r="D1498" s="1">
        <v>46221</v>
      </c>
      <c r="E1498" t="s">
        <v>1634</v>
      </c>
      <c r="F1498" t="s">
        <v>68</v>
      </c>
      <c r="G1498" t="s">
        <v>295</v>
      </c>
      <c r="H1498" t="s">
        <v>296</v>
      </c>
      <c r="I1498" t="s">
        <v>71</v>
      </c>
      <c r="J1498" t="s">
        <v>72</v>
      </c>
      <c r="K1498" t="s">
        <v>73</v>
      </c>
      <c r="L1498" t="s">
        <v>74</v>
      </c>
      <c r="M1498" t="s">
        <v>1635</v>
      </c>
      <c r="N1498" t="s">
        <v>76</v>
      </c>
      <c r="O1498" t="s">
        <v>1636</v>
      </c>
      <c r="P1498" t="s">
        <v>1637</v>
      </c>
      <c r="Q1498" t="s">
        <v>1638</v>
      </c>
      <c r="R1498" s="1">
        <v>46224</v>
      </c>
      <c r="S1498" t="s">
        <v>716</v>
      </c>
      <c r="T1498" t="s">
        <v>717</v>
      </c>
      <c r="U1498" t="s">
        <v>718</v>
      </c>
      <c r="V1498" t="s">
        <v>66</v>
      </c>
      <c r="W1498" t="s">
        <v>66</v>
      </c>
      <c r="X1498">
        <v>559776</v>
      </c>
      <c r="Y1498">
        <v>61575.360000000001</v>
      </c>
      <c r="Z1498">
        <v>39102</v>
      </c>
      <c r="AA1498">
        <v>4301.22</v>
      </c>
      <c r="AB1498">
        <v>621351.36</v>
      </c>
      <c r="AC1498">
        <v>3</v>
      </c>
      <c r="AD1498" t="s">
        <v>82</v>
      </c>
      <c r="AE1498">
        <v>3</v>
      </c>
      <c r="AF1498" t="s">
        <v>135</v>
      </c>
      <c r="AG1498">
        <f>IFERROR(VLOOKUP(AF1498,[1]STOK!J:O,6,0),"")</f>
        <v>12</v>
      </c>
      <c r="AH1498" s="2">
        <f t="shared" si="46"/>
        <v>0.25</v>
      </c>
      <c r="AI1498" t="s">
        <v>135</v>
      </c>
      <c r="AJ1498" t="s">
        <v>136</v>
      </c>
      <c r="AK1498" t="s">
        <v>137</v>
      </c>
      <c r="AL1498" t="s">
        <v>86</v>
      </c>
      <c r="AM1498">
        <v>14763</v>
      </c>
      <c r="AN1498">
        <f t="shared" si="47"/>
        <v>14467.74</v>
      </c>
      <c r="AO1498" t="s">
        <v>66</v>
      </c>
      <c r="AP1498">
        <v>2</v>
      </c>
      <c r="AQ1498" t="s">
        <v>66</v>
      </c>
      <c r="AR1498">
        <v>0</v>
      </c>
      <c r="AS1498" t="s">
        <v>66</v>
      </c>
      <c r="AT1498">
        <v>0</v>
      </c>
      <c r="AU1498" t="s">
        <v>66</v>
      </c>
      <c r="AV1498">
        <v>0</v>
      </c>
      <c r="AW1498" t="s">
        <v>66</v>
      </c>
      <c r="AX1498">
        <v>0</v>
      </c>
      <c r="AY1498" t="s">
        <v>66</v>
      </c>
      <c r="AZ1498">
        <v>0</v>
      </c>
      <c r="BA1498" t="s">
        <v>66</v>
      </c>
      <c r="BB1498">
        <v>0</v>
      </c>
      <c r="BC1498">
        <v>0</v>
      </c>
      <c r="BD1498">
        <v>43403.22</v>
      </c>
      <c r="BE1498">
        <v>12035.7</v>
      </c>
      <c r="BF1498">
        <v>0</v>
      </c>
      <c r="BG1498" t="s">
        <v>87</v>
      </c>
      <c r="BH1498" t="s">
        <v>66</v>
      </c>
      <c r="BI1498">
        <v>0</v>
      </c>
      <c r="BJ1498" t="s">
        <v>66</v>
      </c>
      <c r="BK1498" t="s">
        <v>88</v>
      </c>
      <c r="BL1498" t="s">
        <v>719</v>
      </c>
      <c r="BM1498" t="s">
        <v>159</v>
      </c>
    </row>
    <row r="1499" spans="1:65" x14ac:dyDescent="0.25">
      <c r="A1499">
        <v>1497</v>
      </c>
      <c r="B1499" t="s">
        <v>1633</v>
      </c>
      <c r="C1499" t="s">
        <v>68</v>
      </c>
      <c r="D1499" s="1">
        <v>46221</v>
      </c>
      <c r="E1499" t="s">
        <v>1634</v>
      </c>
      <c r="F1499" t="s">
        <v>68</v>
      </c>
      <c r="G1499" t="s">
        <v>295</v>
      </c>
      <c r="H1499" t="s">
        <v>296</v>
      </c>
      <c r="I1499" t="s">
        <v>71</v>
      </c>
      <c r="J1499" t="s">
        <v>72</v>
      </c>
      <c r="K1499" t="s">
        <v>73</v>
      </c>
      <c r="L1499" t="s">
        <v>74</v>
      </c>
      <c r="M1499" t="s">
        <v>1635</v>
      </c>
      <c r="N1499" t="s">
        <v>76</v>
      </c>
      <c r="O1499" t="s">
        <v>1636</v>
      </c>
      <c r="P1499" t="s">
        <v>1637</v>
      </c>
      <c r="Q1499" t="s">
        <v>1638</v>
      </c>
      <c r="R1499" s="1">
        <v>46224</v>
      </c>
      <c r="S1499" t="s">
        <v>716</v>
      </c>
      <c r="T1499" t="s">
        <v>717</v>
      </c>
      <c r="U1499" t="s">
        <v>718</v>
      </c>
      <c r="V1499" t="s">
        <v>66</v>
      </c>
      <c r="W1499" t="s">
        <v>66</v>
      </c>
      <c r="X1499">
        <v>559776</v>
      </c>
      <c r="Y1499">
        <v>61575.360000000001</v>
      </c>
      <c r="Z1499">
        <v>58800</v>
      </c>
      <c r="AA1499">
        <v>6468</v>
      </c>
      <c r="AB1499">
        <v>621351.36</v>
      </c>
      <c r="AC1499">
        <v>3</v>
      </c>
      <c r="AD1499" t="s">
        <v>82</v>
      </c>
      <c r="AE1499">
        <v>3</v>
      </c>
      <c r="AF1499" t="s">
        <v>290</v>
      </c>
      <c r="AG1499">
        <f>IFERROR(VLOOKUP(AF1499,[1]STOK!J:O,6,0),"")</f>
        <v>12</v>
      </c>
      <c r="AH1499" s="2">
        <f t="shared" si="46"/>
        <v>0.25</v>
      </c>
      <c r="AI1499" t="s">
        <v>290</v>
      </c>
      <c r="AJ1499" t="s">
        <v>291</v>
      </c>
      <c r="AK1499" t="s">
        <v>292</v>
      </c>
      <c r="AL1499" t="s">
        <v>86</v>
      </c>
      <c r="AM1499">
        <v>22200</v>
      </c>
      <c r="AN1499">
        <f t="shared" si="47"/>
        <v>21756</v>
      </c>
      <c r="AO1499" t="s">
        <v>66</v>
      </c>
      <c r="AP1499">
        <v>2</v>
      </c>
      <c r="AQ1499" t="s">
        <v>66</v>
      </c>
      <c r="AR1499">
        <v>0</v>
      </c>
      <c r="AS1499" t="s">
        <v>66</v>
      </c>
      <c r="AT1499">
        <v>0</v>
      </c>
      <c r="AU1499" t="s">
        <v>66</v>
      </c>
      <c r="AV1499">
        <v>0</v>
      </c>
      <c r="AW1499" t="s">
        <v>66</v>
      </c>
      <c r="AX1499">
        <v>0</v>
      </c>
      <c r="AY1499" t="s">
        <v>66</v>
      </c>
      <c r="AZ1499">
        <v>0</v>
      </c>
      <c r="BA1499" t="s">
        <v>66</v>
      </c>
      <c r="BB1499">
        <v>0</v>
      </c>
      <c r="BC1499">
        <v>0</v>
      </c>
      <c r="BD1499">
        <v>65268</v>
      </c>
      <c r="BE1499">
        <v>18103.580000000002</v>
      </c>
      <c r="BF1499">
        <v>0</v>
      </c>
      <c r="BG1499" t="s">
        <v>87</v>
      </c>
      <c r="BH1499" t="s">
        <v>66</v>
      </c>
      <c r="BI1499">
        <v>0</v>
      </c>
      <c r="BJ1499" t="s">
        <v>66</v>
      </c>
      <c r="BK1499" t="s">
        <v>88</v>
      </c>
      <c r="BL1499" t="s">
        <v>719</v>
      </c>
      <c r="BM1499" t="s">
        <v>159</v>
      </c>
    </row>
    <row r="1500" spans="1:65" x14ac:dyDescent="0.25">
      <c r="A1500">
        <v>1498</v>
      </c>
      <c r="B1500" t="s">
        <v>1633</v>
      </c>
      <c r="C1500" t="s">
        <v>68</v>
      </c>
      <c r="D1500" s="1">
        <v>46221</v>
      </c>
      <c r="E1500" t="s">
        <v>1634</v>
      </c>
      <c r="F1500" t="s">
        <v>68</v>
      </c>
      <c r="G1500" t="s">
        <v>295</v>
      </c>
      <c r="H1500" t="s">
        <v>296</v>
      </c>
      <c r="I1500" t="s">
        <v>71</v>
      </c>
      <c r="J1500" t="s">
        <v>72</v>
      </c>
      <c r="K1500" t="s">
        <v>73</v>
      </c>
      <c r="L1500" t="s">
        <v>74</v>
      </c>
      <c r="M1500" t="s">
        <v>1635</v>
      </c>
      <c r="N1500" t="s">
        <v>76</v>
      </c>
      <c r="O1500" t="s">
        <v>1636</v>
      </c>
      <c r="P1500" t="s">
        <v>1637</v>
      </c>
      <c r="Q1500" t="s">
        <v>1638</v>
      </c>
      <c r="R1500" s="1">
        <v>46224</v>
      </c>
      <c r="S1500" t="s">
        <v>716</v>
      </c>
      <c r="T1500" t="s">
        <v>717</v>
      </c>
      <c r="U1500" t="s">
        <v>718</v>
      </c>
      <c r="V1500" t="s">
        <v>66</v>
      </c>
      <c r="W1500" t="s">
        <v>66</v>
      </c>
      <c r="X1500">
        <v>559776</v>
      </c>
      <c r="Y1500">
        <v>61575.360000000001</v>
      </c>
      <c r="Z1500">
        <v>117600</v>
      </c>
      <c r="AA1500">
        <v>12936</v>
      </c>
      <c r="AB1500">
        <v>621351.36</v>
      </c>
      <c r="AC1500">
        <v>6</v>
      </c>
      <c r="AD1500" t="s">
        <v>82</v>
      </c>
      <c r="AE1500">
        <v>6</v>
      </c>
      <c r="AF1500" t="s">
        <v>102</v>
      </c>
      <c r="AG1500">
        <f>IFERROR(VLOOKUP(AF1500,[1]STOK!J:O,6,0),"")</f>
        <v>12</v>
      </c>
      <c r="AH1500" s="2">
        <f t="shared" si="46"/>
        <v>0.5</v>
      </c>
      <c r="AI1500" t="s">
        <v>102</v>
      </c>
      <c r="AJ1500" t="s">
        <v>103</v>
      </c>
      <c r="AK1500" t="s">
        <v>104</v>
      </c>
      <c r="AL1500" t="s">
        <v>86</v>
      </c>
      <c r="AM1500">
        <v>22200</v>
      </c>
      <c r="AN1500">
        <f t="shared" si="47"/>
        <v>21756</v>
      </c>
      <c r="AO1500" t="s">
        <v>66</v>
      </c>
      <c r="AP1500">
        <v>2</v>
      </c>
      <c r="AQ1500" t="s">
        <v>66</v>
      </c>
      <c r="AR1500">
        <v>0</v>
      </c>
      <c r="AS1500" t="s">
        <v>66</v>
      </c>
      <c r="AT1500">
        <v>0</v>
      </c>
      <c r="AU1500" t="s">
        <v>66</v>
      </c>
      <c r="AV1500">
        <v>0</v>
      </c>
      <c r="AW1500" t="s">
        <v>66</v>
      </c>
      <c r="AX1500">
        <v>0</v>
      </c>
      <c r="AY1500" t="s">
        <v>66</v>
      </c>
      <c r="AZ1500">
        <v>0</v>
      </c>
      <c r="BA1500" t="s">
        <v>66</v>
      </c>
      <c r="BB1500">
        <v>0</v>
      </c>
      <c r="BC1500">
        <v>0</v>
      </c>
      <c r="BD1500">
        <v>130536</v>
      </c>
      <c r="BE1500">
        <v>18044.02</v>
      </c>
      <c r="BF1500">
        <v>0</v>
      </c>
      <c r="BG1500" t="s">
        <v>87</v>
      </c>
      <c r="BH1500" t="s">
        <v>66</v>
      </c>
      <c r="BI1500">
        <v>0</v>
      </c>
      <c r="BJ1500" t="s">
        <v>66</v>
      </c>
      <c r="BK1500" t="s">
        <v>88</v>
      </c>
      <c r="BL1500" t="s">
        <v>719</v>
      </c>
      <c r="BM1500" t="s">
        <v>159</v>
      </c>
    </row>
    <row r="1501" spans="1:65" x14ac:dyDescent="0.25">
      <c r="A1501">
        <v>1499</v>
      </c>
      <c r="B1501" t="s">
        <v>1639</v>
      </c>
      <c r="C1501" t="s">
        <v>68</v>
      </c>
      <c r="D1501" s="1">
        <v>46221</v>
      </c>
      <c r="E1501" t="s">
        <v>1640</v>
      </c>
      <c r="F1501" t="s">
        <v>68</v>
      </c>
      <c r="G1501" t="s">
        <v>295</v>
      </c>
      <c r="H1501" t="s">
        <v>296</v>
      </c>
      <c r="I1501" t="s">
        <v>71</v>
      </c>
      <c r="J1501" t="s">
        <v>72</v>
      </c>
      <c r="K1501" t="s">
        <v>73</v>
      </c>
      <c r="L1501" t="s">
        <v>74</v>
      </c>
      <c r="M1501" t="s">
        <v>712</v>
      </c>
      <c r="N1501" t="s">
        <v>76</v>
      </c>
      <c r="O1501" t="s">
        <v>713</v>
      </c>
      <c r="P1501" t="s">
        <v>714</v>
      </c>
      <c r="Q1501" t="s">
        <v>1641</v>
      </c>
      <c r="R1501" s="1">
        <v>46225</v>
      </c>
      <c r="S1501" t="s">
        <v>716</v>
      </c>
      <c r="T1501" t="s">
        <v>717</v>
      </c>
      <c r="U1501" t="s">
        <v>718</v>
      </c>
      <c r="V1501" t="s">
        <v>66</v>
      </c>
      <c r="W1501" t="s">
        <v>66</v>
      </c>
      <c r="X1501">
        <v>479514</v>
      </c>
      <c r="Y1501">
        <v>52746.54</v>
      </c>
      <c r="Z1501">
        <v>29694</v>
      </c>
      <c r="AA1501">
        <v>3266.34</v>
      </c>
      <c r="AB1501">
        <v>532260.54</v>
      </c>
      <c r="AC1501">
        <v>3</v>
      </c>
      <c r="AD1501" t="s">
        <v>82</v>
      </c>
      <c r="AE1501">
        <v>3</v>
      </c>
      <c r="AF1501" t="s">
        <v>746</v>
      </c>
      <c r="AG1501">
        <f>IFERROR(VLOOKUP(AF1501,[1]STOK!J:O,6,0),"")</f>
        <v>24</v>
      </c>
      <c r="AH1501" s="2">
        <f t="shared" si="46"/>
        <v>0.125</v>
      </c>
      <c r="AI1501" t="s">
        <v>746</v>
      </c>
      <c r="AJ1501" t="s">
        <v>747</v>
      </c>
      <c r="AK1501" t="s">
        <v>748</v>
      </c>
      <c r="AL1501" t="s">
        <v>86</v>
      </c>
      <c r="AM1501">
        <v>11211</v>
      </c>
      <c r="AN1501">
        <f t="shared" si="47"/>
        <v>10986.779999999999</v>
      </c>
      <c r="AO1501" t="s">
        <v>66</v>
      </c>
      <c r="AP1501">
        <v>2</v>
      </c>
      <c r="AQ1501" t="s">
        <v>66</v>
      </c>
      <c r="AR1501">
        <v>0</v>
      </c>
      <c r="AS1501" t="s">
        <v>66</v>
      </c>
      <c r="AT1501">
        <v>0</v>
      </c>
      <c r="AU1501" t="s">
        <v>66</v>
      </c>
      <c r="AV1501">
        <v>0</v>
      </c>
      <c r="AW1501" t="s">
        <v>66</v>
      </c>
      <c r="AX1501">
        <v>0</v>
      </c>
      <c r="AY1501" t="s">
        <v>66</v>
      </c>
      <c r="AZ1501">
        <v>0</v>
      </c>
      <c r="BA1501" t="s">
        <v>66</v>
      </c>
      <c r="BB1501">
        <v>0</v>
      </c>
      <c r="BC1501">
        <v>0</v>
      </c>
      <c r="BD1501">
        <v>32960.339999999997</v>
      </c>
      <c r="BE1501">
        <v>8773.83</v>
      </c>
      <c r="BF1501">
        <v>0</v>
      </c>
      <c r="BG1501" t="s">
        <v>87</v>
      </c>
      <c r="BH1501" t="s">
        <v>66</v>
      </c>
      <c r="BI1501">
        <v>0</v>
      </c>
      <c r="BJ1501" t="s">
        <v>66</v>
      </c>
      <c r="BK1501" t="s">
        <v>88</v>
      </c>
      <c r="BL1501" t="s">
        <v>719</v>
      </c>
      <c r="BM1501" t="s">
        <v>159</v>
      </c>
    </row>
    <row r="1502" spans="1:65" x14ac:dyDescent="0.25">
      <c r="A1502">
        <v>1500</v>
      </c>
      <c r="B1502" t="s">
        <v>1639</v>
      </c>
      <c r="C1502" t="s">
        <v>68</v>
      </c>
      <c r="D1502" s="1">
        <v>46221</v>
      </c>
      <c r="E1502" t="s">
        <v>1640</v>
      </c>
      <c r="F1502" t="s">
        <v>68</v>
      </c>
      <c r="G1502" t="s">
        <v>295</v>
      </c>
      <c r="H1502" t="s">
        <v>296</v>
      </c>
      <c r="I1502" t="s">
        <v>71</v>
      </c>
      <c r="J1502" t="s">
        <v>72</v>
      </c>
      <c r="K1502" t="s">
        <v>73</v>
      </c>
      <c r="L1502" t="s">
        <v>74</v>
      </c>
      <c r="M1502" t="s">
        <v>712</v>
      </c>
      <c r="N1502" t="s">
        <v>76</v>
      </c>
      <c r="O1502" t="s">
        <v>713</v>
      </c>
      <c r="P1502" t="s">
        <v>714</v>
      </c>
      <c r="Q1502" t="s">
        <v>1641</v>
      </c>
      <c r="R1502" s="1">
        <v>46225</v>
      </c>
      <c r="S1502" t="s">
        <v>716</v>
      </c>
      <c r="T1502" t="s">
        <v>717</v>
      </c>
      <c r="U1502" t="s">
        <v>718</v>
      </c>
      <c r="V1502" t="s">
        <v>66</v>
      </c>
      <c r="W1502" t="s">
        <v>66</v>
      </c>
      <c r="X1502">
        <v>479514</v>
      </c>
      <c r="Y1502">
        <v>52746.54</v>
      </c>
      <c r="Z1502">
        <v>97020</v>
      </c>
      <c r="AA1502">
        <v>10672.2</v>
      </c>
      <c r="AB1502">
        <v>532260.54</v>
      </c>
      <c r="AC1502">
        <v>6</v>
      </c>
      <c r="AD1502" t="s">
        <v>82</v>
      </c>
      <c r="AE1502">
        <v>6</v>
      </c>
      <c r="AF1502" t="s">
        <v>128</v>
      </c>
      <c r="AG1502">
        <f>IFERROR(VLOOKUP(AF1502,[1]STOK!J:O,6,0),"")</f>
        <v>24</v>
      </c>
      <c r="AH1502" s="2">
        <f t="shared" si="46"/>
        <v>0.25</v>
      </c>
      <c r="AI1502" t="s">
        <v>128</v>
      </c>
      <c r="AJ1502" t="s">
        <v>129</v>
      </c>
      <c r="AK1502" t="s">
        <v>130</v>
      </c>
      <c r="AL1502" t="s">
        <v>86</v>
      </c>
      <c r="AM1502">
        <v>18315</v>
      </c>
      <c r="AN1502">
        <f t="shared" si="47"/>
        <v>17948.7</v>
      </c>
      <c r="AO1502" t="s">
        <v>66</v>
      </c>
      <c r="AP1502">
        <v>2</v>
      </c>
      <c r="AQ1502" t="s">
        <v>66</v>
      </c>
      <c r="AR1502">
        <v>0</v>
      </c>
      <c r="AS1502" t="s">
        <v>66</v>
      </c>
      <c r="AT1502">
        <v>0</v>
      </c>
      <c r="AU1502" t="s">
        <v>66</v>
      </c>
      <c r="AV1502">
        <v>0</v>
      </c>
      <c r="AW1502" t="s">
        <v>66</v>
      </c>
      <c r="AX1502">
        <v>0</v>
      </c>
      <c r="AY1502" t="s">
        <v>66</v>
      </c>
      <c r="AZ1502">
        <v>0</v>
      </c>
      <c r="BA1502" t="s">
        <v>66</v>
      </c>
      <c r="BB1502">
        <v>0</v>
      </c>
      <c r="BC1502">
        <v>0</v>
      </c>
      <c r="BD1502">
        <v>107692.2</v>
      </c>
      <c r="BE1502">
        <v>14828.88</v>
      </c>
      <c r="BF1502">
        <v>0</v>
      </c>
      <c r="BG1502" t="s">
        <v>87</v>
      </c>
      <c r="BH1502" t="s">
        <v>66</v>
      </c>
      <c r="BI1502">
        <v>0</v>
      </c>
      <c r="BJ1502" t="s">
        <v>66</v>
      </c>
      <c r="BK1502" t="s">
        <v>88</v>
      </c>
      <c r="BL1502" t="s">
        <v>719</v>
      </c>
      <c r="BM1502" t="s">
        <v>159</v>
      </c>
    </row>
    <row r="1503" spans="1:65" x14ac:dyDescent="0.25">
      <c r="A1503">
        <v>1501</v>
      </c>
      <c r="B1503" t="s">
        <v>1639</v>
      </c>
      <c r="C1503" t="s">
        <v>68</v>
      </c>
      <c r="D1503" s="1">
        <v>46221</v>
      </c>
      <c r="E1503" t="s">
        <v>1640</v>
      </c>
      <c r="F1503" t="s">
        <v>68</v>
      </c>
      <c r="G1503" t="s">
        <v>295</v>
      </c>
      <c r="H1503" t="s">
        <v>296</v>
      </c>
      <c r="I1503" t="s">
        <v>71</v>
      </c>
      <c r="J1503" t="s">
        <v>72</v>
      </c>
      <c r="K1503" t="s">
        <v>73</v>
      </c>
      <c r="L1503" t="s">
        <v>74</v>
      </c>
      <c r="M1503" t="s">
        <v>712</v>
      </c>
      <c r="N1503" t="s">
        <v>76</v>
      </c>
      <c r="O1503" t="s">
        <v>713</v>
      </c>
      <c r="P1503" t="s">
        <v>714</v>
      </c>
      <c r="Q1503" t="s">
        <v>1641</v>
      </c>
      <c r="R1503" s="1">
        <v>46225</v>
      </c>
      <c r="S1503" t="s">
        <v>716</v>
      </c>
      <c r="T1503" t="s">
        <v>717</v>
      </c>
      <c r="U1503" t="s">
        <v>718</v>
      </c>
      <c r="V1503" t="s">
        <v>66</v>
      </c>
      <c r="W1503" t="s">
        <v>66</v>
      </c>
      <c r="X1503">
        <v>479514</v>
      </c>
      <c r="Y1503">
        <v>52746.54</v>
      </c>
      <c r="Z1503">
        <v>235200</v>
      </c>
      <c r="AA1503">
        <v>25872</v>
      </c>
      <c r="AB1503">
        <v>532260.54</v>
      </c>
      <c r="AC1503">
        <v>12</v>
      </c>
      <c r="AD1503" t="s">
        <v>82</v>
      </c>
      <c r="AE1503">
        <v>12</v>
      </c>
      <c r="AF1503" t="s">
        <v>290</v>
      </c>
      <c r="AG1503">
        <f>IFERROR(VLOOKUP(AF1503,[1]STOK!J:O,6,0),"")</f>
        <v>12</v>
      </c>
      <c r="AH1503" s="2">
        <f t="shared" si="46"/>
        <v>1</v>
      </c>
      <c r="AI1503" t="s">
        <v>290</v>
      </c>
      <c r="AJ1503" t="s">
        <v>291</v>
      </c>
      <c r="AK1503" t="s">
        <v>292</v>
      </c>
      <c r="AL1503" t="s">
        <v>86</v>
      </c>
      <c r="AM1503">
        <v>22200</v>
      </c>
      <c r="AN1503">
        <f t="shared" si="47"/>
        <v>21756</v>
      </c>
      <c r="AO1503" t="s">
        <v>66</v>
      </c>
      <c r="AP1503">
        <v>2</v>
      </c>
      <c r="AQ1503" t="s">
        <v>66</v>
      </c>
      <c r="AR1503">
        <v>0</v>
      </c>
      <c r="AS1503" t="s">
        <v>66</v>
      </c>
      <c r="AT1503">
        <v>0</v>
      </c>
      <c r="AU1503" t="s">
        <v>66</v>
      </c>
      <c r="AV1503">
        <v>0</v>
      </c>
      <c r="AW1503" t="s">
        <v>66</v>
      </c>
      <c r="AX1503">
        <v>0</v>
      </c>
      <c r="AY1503" t="s">
        <v>66</v>
      </c>
      <c r="AZ1503">
        <v>0</v>
      </c>
      <c r="BA1503" t="s">
        <v>66</v>
      </c>
      <c r="BB1503">
        <v>0</v>
      </c>
      <c r="BC1503">
        <v>0</v>
      </c>
      <c r="BD1503">
        <v>261072</v>
      </c>
      <c r="BE1503">
        <v>18103.580000000002</v>
      </c>
      <c r="BF1503">
        <v>0</v>
      </c>
      <c r="BG1503" t="s">
        <v>87</v>
      </c>
      <c r="BH1503" t="s">
        <v>66</v>
      </c>
      <c r="BI1503">
        <v>0</v>
      </c>
      <c r="BJ1503" t="s">
        <v>66</v>
      </c>
      <c r="BK1503" t="s">
        <v>88</v>
      </c>
      <c r="BL1503" t="s">
        <v>719</v>
      </c>
      <c r="BM1503" t="s">
        <v>159</v>
      </c>
    </row>
    <row r="1504" spans="1:65" x14ac:dyDescent="0.25">
      <c r="A1504">
        <v>1502</v>
      </c>
      <c r="B1504" t="s">
        <v>1639</v>
      </c>
      <c r="C1504" t="s">
        <v>68</v>
      </c>
      <c r="D1504" s="1">
        <v>46221</v>
      </c>
      <c r="E1504" t="s">
        <v>1640</v>
      </c>
      <c r="F1504" t="s">
        <v>68</v>
      </c>
      <c r="G1504" t="s">
        <v>295</v>
      </c>
      <c r="H1504" t="s">
        <v>296</v>
      </c>
      <c r="I1504" t="s">
        <v>71</v>
      </c>
      <c r="J1504" t="s">
        <v>72</v>
      </c>
      <c r="K1504" t="s">
        <v>73</v>
      </c>
      <c r="L1504" t="s">
        <v>74</v>
      </c>
      <c r="M1504" t="s">
        <v>712</v>
      </c>
      <c r="N1504" t="s">
        <v>76</v>
      </c>
      <c r="O1504" t="s">
        <v>713</v>
      </c>
      <c r="P1504" t="s">
        <v>714</v>
      </c>
      <c r="Q1504" t="s">
        <v>1641</v>
      </c>
      <c r="R1504" s="1">
        <v>46225</v>
      </c>
      <c r="S1504" t="s">
        <v>716</v>
      </c>
      <c r="T1504" t="s">
        <v>717</v>
      </c>
      <c r="U1504" t="s">
        <v>718</v>
      </c>
      <c r="V1504" t="s">
        <v>66</v>
      </c>
      <c r="W1504" t="s">
        <v>66</v>
      </c>
      <c r="X1504">
        <v>479514</v>
      </c>
      <c r="Y1504">
        <v>52746.54</v>
      </c>
      <c r="Z1504">
        <v>117600</v>
      </c>
      <c r="AA1504">
        <v>12936</v>
      </c>
      <c r="AB1504">
        <v>532260.54</v>
      </c>
      <c r="AC1504">
        <v>6</v>
      </c>
      <c r="AD1504" t="s">
        <v>82</v>
      </c>
      <c r="AE1504">
        <v>6</v>
      </c>
      <c r="AF1504" t="s">
        <v>102</v>
      </c>
      <c r="AG1504">
        <f>IFERROR(VLOOKUP(AF1504,[1]STOK!J:O,6,0),"")</f>
        <v>12</v>
      </c>
      <c r="AH1504" s="2">
        <f t="shared" si="46"/>
        <v>0.5</v>
      </c>
      <c r="AI1504" t="s">
        <v>102</v>
      </c>
      <c r="AJ1504" t="s">
        <v>103</v>
      </c>
      <c r="AK1504" t="s">
        <v>104</v>
      </c>
      <c r="AL1504" t="s">
        <v>86</v>
      </c>
      <c r="AM1504">
        <v>22200</v>
      </c>
      <c r="AN1504">
        <f t="shared" si="47"/>
        <v>21756</v>
      </c>
      <c r="AO1504" t="s">
        <v>66</v>
      </c>
      <c r="AP1504">
        <v>2</v>
      </c>
      <c r="AQ1504" t="s">
        <v>66</v>
      </c>
      <c r="AR1504">
        <v>0</v>
      </c>
      <c r="AS1504" t="s">
        <v>66</v>
      </c>
      <c r="AT1504">
        <v>0</v>
      </c>
      <c r="AU1504" t="s">
        <v>66</v>
      </c>
      <c r="AV1504">
        <v>0</v>
      </c>
      <c r="AW1504" t="s">
        <v>66</v>
      </c>
      <c r="AX1504">
        <v>0</v>
      </c>
      <c r="AY1504" t="s">
        <v>66</v>
      </c>
      <c r="AZ1504">
        <v>0</v>
      </c>
      <c r="BA1504" t="s">
        <v>66</v>
      </c>
      <c r="BB1504">
        <v>0</v>
      </c>
      <c r="BC1504">
        <v>0</v>
      </c>
      <c r="BD1504">
        <v>130536</v>
      </c>
      <c r="BE1504">
        <v>18044.02</v>
      </c>
      <c r="BF1504">
        <v>0</v>
      </c>
      <c r="BG1504" t="s">
        <v>87</v>
      </c>
      <c r="BH1504" t="s">
        <v>66</v>
      </c>
      <c r="BI1504">
        <v>0</v>
      </c>
      <c r="BJ1504" t="s">
        <v>66</v>
      </c>
      <c r="BK1504" t="s">
        <v>88</v>
      </c>
      <c r="BL1504" t="s">
        <v>719</v>
      </c>
      <c r="BM1504" t="s">
        <v>159</v>
      </c>
    </row>
    <row r="1505" spans="1:65" x14ac:dyDescent="0.25">
      <c r="A1505">
        <v>1503</v>
      </c>
      <c r="B1505" t="s">
        <v>1642</v>
      </c>
      <c r="C1505" t="s">
        <v>68</v>
      </c>
      <c r="D1505" s="1">
        <v>46221</v>
      </c>
      <c r="E1505" t="s">
        <v>1643</v>
      </c>
      <c r="F1505" t="s">
        <v>68</v>
      </c>
      <c r="G1505" t="s">
        <v>295</v>
      </c>
      <c r="H1505" t="s">
        <v>296</v>
      </c>
      <c r="I1505" t="s">
        <v>71</v>
      </c>
      <c r="J1505" t="s">
        <v>72</v>
      </c>
      <c r="K1505" t="s">
        <v>73</v>
      </c>
      <c r="L1505" t="s">
        <v>74</v>
      </c>
      <c r="M1505" t="s">
        <v>853</v>
      </c>
      <c r="N1505" t="s">
        <v>76</v>
      </c>
      <c r="O1505" t="s">
        <v>854</v>
      </c>
      <c r="P1505" t="s">
        <v>855</v>
      </c>
      <c r="Q1505" t="s">
        <v>1644</v>
      </c>
      <c r="R1505" s="1">
        <v>46224</v>
      </c>
      <c r="S1505" t="s">
        <v>841</v>
      </c>
      <c r="T1505" t="s">
        <v>842</v>
      </c>
      <c r="U1505" t="s">
        <v>843</v>
      </c>
      <c r="V1505" t="s">
        <v>66</v>
      </c>
      <c r="W1505" t="s">
        <v>66</v>
      </c>
      <c r="X1505">
        <v>137886</v>
      </c>
      <c r="Y1505">
        <v>15167.46</v>
      </c>
      <c r="Z1505">
        <v>108192</v>
      </c>
      <c r="AA1505">
        <v>11901.12</v>
      </c>
      <c r="AB1505">
        <v>153053.46</v>
      </c>
      <c r="AC1505">
        <v>6</v>
      </c>
      <c r="AD1505" t="s">
        <v>82</v>
      </c>
      <c r="AE1505">
        <v>6</v>
      </c>
      <c r="AF1505" t="s">
        <v>160</v>
      </c>
      <c r="AG1505">
        <f>IFERROR(VLOOKUP(AF1505,[1]STOK!J:O,6,0),"")</f>
        <v>12</v>
      </c>
      <c r="AH1505" s="2">
        <f t="shared" si="46"/>
        <v>0.5</v>
      </c>
      <c r="AI1505" t="s">
        <v>160</v>
      </c>
      <c r="AJ1505" t="s">
        <v>161</v>
      </c>
      <c r="AK1505" t="s">
        <v>162</v>
      </c>
      <c r="AL1505" t="s">
        <v>86</v>
      </c>
      <c r="AM1505">
        <v>20424</v>
      </c>
      <c r="AN1505">
        <f t="shared" si="47"/>
        <v>20015.52</v>
      </c>
      <c r="AO1505" t="s">
        <v>66</v>
      </c>
      <c r="AP1505">
        <v>2</v>
      </c>
      <c r="AQ1505" t="s">
        <v>66</v>
      </c>
      <c r="AR1505">
        <v>0</v>
      </c>
      <c r="AS1505" t="s">
        <v>66</v>
      </c>
      <c r="AT1505">
        <v>0</v>
      </c>
      <c r="AU1505" t="s">
        <v>66</v>
      </c>
      <c r="AV1505">
        <v>0</v>
      </c>
      <c r="AW1505" t="s">
        <v>66</v>
      </c>
      <c r="AX1505">
        <v>0</v>
      </c>
      <c r="AY1505" t="s">
        <v>66</v>
      </c>
      <c r="AZ1505">
        <v>0</v>
      </c>
      <c r="BA1505" t="s">
        <v>66</v>
      </c>
      <c r="BB1505">
        <v>0</v>
      </c>
      <c r="BC1505">
        <v>0</v>
      </c>
      <c r="BD1505">
        <v>120093.12</v>
      </c>
      <c r="BE1505">
        <v>16750.64</v>
      </c>
      <c r="BF1505">
        <v>0</v>
      </c>
      <c r="BG1505" t="s">
        <v>87</v>
      </c>
      <c r="BH1505" t="s">
        <v>66</v>
      </c>
      <c r="BI1505">
        <v>0</v>
      </c>
      <c r="BJ1505" t="s">
        <v>66</v>
      </c>
      <c r="BK1505" t="s">
        <v>88</v>
      </c>
      <c r="BL1505" t="s">
        <v>719</v>
      </c>
      <c r="BM1505" t="s">
        <v>159</v>
      </c>
    </row>
    <row r="1506" spans="1:65" x14ac:dyDescent="0.25">
      <c r="A1506">
        <v>1504</v>
      </c>
      <c r="B1506" t="s">
        <v>1642</v>
      </c>
      <c r="C1506" t="s">
        <v>68</v>
      </c>
      <c r="D1506" s="1">
        <v>46221</v>
      </c>
      <c r="E1506" t="s">
        <v>1643</v>
      </c>
      <c r="F1506" t="s">
        <v>68</v>
      </c>
      <c r="G1506" t="s">
        <v>295</v>
      </c>
      <c r="H1506" t="s">
        <v>296</v>
      </c>
      <c r="I1506" t="s">
        <v>71</v>
      </c>
      <c r="J1506" t="s">
        <v>72</v>
      </c>
      <c r="K1506" t="s">
        <v>73</v>
      </c>
      <c r="L1506" t="s">
        <v>74</v>
      </c>
      <c r="M1506" t="s">
        <v>853</v>
      </c>
      <c r="N1506" t="s">
        <v>76</v>
      </c>
      <c r="O1506" t="s">
        <v>854</v>
      </c>
      <c r="P1506" t="s">
        <v>855</v>
      </c>
      <c r="Q1506" t="s">
        <v>1644</v>
      </c>
      <c r="R1506" s="1">
        <v>46224</v>
      </c>
      <c r="S1506" t="s">
        <v>841</v>
      </c>
      <c r="T1506" t="s">
        <v>842</v>
      </c>
      <c r="U1506" t="s">
        <v>843</v>
      </c>
      <c r="V1506" t="s">
        <v>66</v>
      </c>
      <c r="W1506" t="s">
        <v>66</v>
      </c>
      <c r="X1506">
        <v>137886</v>
      </c>
      <c r="Y1506">
        <v>15167.46</v>
      </c>
      <c r="Z1506">
        <v>29694</v>
      </c>
      <c r="AA1506">
        <v>3266.34</v>
      </c>
      <c r="AB1506">
        <v>153053.46</v>
      </c>
      <c r="AC1506">
        <v>3</v>
      </c>
      <c r="AD1506" t="s">
        <v>82</v>
      </c>
      <c r="AE1506">
        <v>3</v>
      </c>
      <c r="AF1506" t="s">
        <v>723</v>
      </c>
      <c r="AG1506">
        <f>IFERROR(VLOOKUP(AF1506,[1]STOK!J:O,6,0),"")</f>
        <v>24</v>
      </c>
      <c r="AH1506" s="2">
        <f t="shared" si="46"/>
        <v>0.125</v>
      </c>
      <c r="AI1506" t="s">
        <v>723</v>
      </c>
      <c r="AJ1506" t="s">
        <v>724</v>
      </c>
      <c r="AK1506" t="s">
        <v>725</v>
      </c>
      <c r="AL1506" t="s">
        <v>86</v>
      </c>
      <c r="AM1506">
        <v>11211</v>
      </c>
      <c r="AN1506">
        <f t="shared" si="47"/>
        <v>10986.779999999999</v>
      </c>
      <c r="AO1506" t="s">
        <v>66</v>
      </c>
      <c r="AP1506">
        <v>2</v>
      </c>
      <c r="AQ1506" t="s">
        <v>66</v>
      </c>
      <c r="AR1506">
        <v>0</v>
      </c>
      <c r="AS1506" t="s">
        <v>66</v>
      </c>
      <c r="AT1506">
        <v>0</v>
      </c>
      <c r="AU1506" t="s">
        <v>66</v>
      </c>
      <c r="AV1506">
        <v>0</v>
      </c>
      <c r="AW1506" t="s">
        <v>66</v>
      </c>
      <c r="AX1506">
        <v>0</v>
      </c>
      <c r="AY1506" t="s">
        <v>66</v>
      </c>
      <c r="AZ1506">
        <v>0</v>
      </c>
      <c r="BA1506" t="s">
        <v>66</v>
      </c>
      <c r="BB1506">
        <v>0</v>
      </c>
      <c r="BC1506">
        <v>0</v>
      </c>
      <c r="BD1506">
        <v>32960.339999999997</v>
      </c>
      <c r="BE1506">
        <v>9079.86</v>
      </c>
      <c r="BF1506">
        <v>0</v>
      </c>
      <c r="BG1506" t="s">
        <v>87</v>
      </c>
      <c r="BH1506" t="s">
        <v>66</v>
      </c>
      <c r="BI1506">
        <v>0</v>
      </c>
      <c r="BJ1506" t="s">
        <v>66</v>
      </c>
      <c r="BK1506" t="s">
        <v>88</v>
      </c>
      <c r="BL1506" t="s">
        <v>719</v>
      </c>
      <c r="BM1506" t="s">
        <v>159</v>
      </c>
    </row>
    <row r="1507" spans="1:65" x14ac:dyDescent="0.25">
      <c r="A1507">
        <v>1505</v>
      </c>
      <c r="B1507" t="s">
        <v>1645</v>
      </c>
      <c r="C1507" t="s">
        <v>1646</v>
      </c>
      <c r="D1507" s="1">
        <v>46221</v>
      </c>
      <c r="E1507" t="s">
        <v>1647</v>
      </c>
      <c r="F1507" t="s">
        <v>1593</v>
      </c>
      <c r="G1507" t="s">
        <v>295</v>
      </c>
      <c r="H1507" t="s">
        <v>296</v>
      </c>
      <c r="I1507" t="s">
        <v>71</v>
      </c>
      <c r="J1507" t="s">
        <v>72</v>
      </c>
      <c r="K1507" t="s">
        <v>73</v>
      </c>
      <c r="L1507" t="s">
        <v>74</v>
      </c>
      <c r="M1507" t="s">
        <v>1648</v>
      </c>
      <c r="N1507" t="s">
        <v>696</v>
      </c>
      <c r="O1507" t="s">
        <v>1649</v>
      </c>
      <c r="P1507" t="s">
        <v>1650</v>
      </c>
      <c r="Q1507" t="s">
        <v>66</v>
      </c>
      <c r="R1507" s="1">
        <v>46221</v>
      </c>
      <c r="S1507" t="s">
        <v>1651</v>
      </c>
      <c r="T1507" t="s">
        <v>1652</v>
      </c>
      <c r="U1507" t="s">
        <v>1653</v>
      </c>
      <c r="V1507" t="s">
        <v>66</v>
      </c>
      <c r="W1507" t="s">
        <v>66</v>
      </c>
      <c r="X1507">
        <v>63828000</v>
      </c>
      <c r="Y1507">
        <v>7021080</v>
      </c>
      <c r="Z1507">
        <v>63828000</v>
      </c>
      <c r="AA1507">
        <v>7021080</v>
      </c>
      <c r="AB1507">
        <v>70849080</v>
      </c>
      <c r="AC1507">
        <v>300</v>
      </c>
      <c r="AD1507" t="s">
        <v>134</v>
      </c>
      <c r="AE1507">
        <v>3600</v>
      </c>
      <c r="AF1507" t="s">
        <v>290</v>
      </c>
      <c r="AG1507">
        <f>IFERROR(VLOOKUP(AF1507,[1]STOK!J:O,6,0),"")</f>
        <v>12</v>
      </c>
      <c r="AH1507" s="2">
        <f t="shared" si="46"/>
        <v>300</v>
      </c>
      <c r="AI1507" t="s">
        <v>290</v>
      </c>
      <c r="AJ1507" t="s">
        <v>291</v>
      </c>
      <c r="AK1507" t="s">
        <v>292</v>
      </c>
      <c r="AL1507" t="s">
        <v>86</v>
      </c>
      <c r="AM1507">
        <v>266400</v>
      </c>
      <c r="AN1507">
        <f t="shared" si="47"/>
        <v>236163.6</v>
      </c>
      <c r="AO1507" t="s">
        <v>66</v>
      </c>
      <c r="AP1507">
        <v>1.5</v>
      </c>
      <c r="AQ1507" t="s">
        <v>66</v>
      </c>
      <c r="AR1507">
        <v>0</v>
      </c>
      <c r="AS1507" t="s">
        <v>66</v>
      </c>
      <c r="AT1507">
        <v>0</v>
      </c>
      <c r="AU1507" t="s">
        <v>66</v>
      </c>
      <c r="AV1507">
        <v>10</v>
      </c>
      <c r="AW1507" t="s">
        <v>66</v>
      </c>
      <c r="AX1507">
        <v>0</v>
      </c>
      <c r="AY1507" t="s">
        <v>66</v>
      </c>
      <c r="AZ1507">
        <v>0</v>
      </c>
      <c r="BA1507" t="s">
        <v>66</v>
      </c>
      <c r="BB1507">
        <v>0</v>
      </c>
      <c r="BC1507">
        <v>0</v>
      </c>
      <c r="BD1507">
        <v>70849080</v>
      </c>
      <c r="BE1507">
        <v>18103.580000000002</v>
      </c>
      <c r="BF1507">
        <v>0</v>
      </c>
      <c r="BG1507" t="s">
        <v>87</v>
      </c>
      <c r="BH1507" t="s">
        <v>1654</v>
      </c>
      <c r="BI1507">
        <v>3600</v>
      </c>
      <c r="BJ1507" t="s">
        <v>1655</v>
      </c>
      <c r="BK1507" t="s">
        <v>88</v>
      </c>
      <c r="BL1507" t="s">
        <v>66</v>
      </c>
      <c r="BM1507" t="s">
        <v>159</v>
      </c>
    </row>
    <row r="1508" spans="1:65" x14ac:dyDescent="0.25">
      <c r="A1508">
        <v>1506</v>
      </c>
      <c r="B1508" t="s">
        <v>1656</v>
      </c>
      <c r="C1508" t="s">
        <v>66</v>
      </c>
      <c r="D1508" s="1">
        <v>46221</v>
      </c>
      <c r="E1508" t="s">
        <v>1657</v>
      </c>
      <c r="F1508" t="s">
        <v>68</v>
      </c>
      <c r="G1508" t="s">
        <v>69</v>
      </c>
      <c r="H1508" t="s">
        <v>70</v>
      </c>
      <c r="I1508" t="s">
        <v>71</v>
      </c>
      <c r="J1508" t="s">
        <v>72</v>
      </c>
      <c r="K1508" t="s">
        <v>73</v>
      </c>
      <c r="L1508" t="s">
        <v>74</v>
      </c>
      <c r="M1508" t="s">
        <v>933</v>
      </c>
      <c r="N1508" t="s">
        <v>111</v>
      </c>
      <c r="O1508" t="s">
        <v>934</v>
      </c>
      <c r="P1508" t="s">
        <v>935</v>
      </c>
      <c r="Q1508" t="s">
        <v>1658</v>
      </c>
      <c r="R1508" s="1">
        <v>46224</v>
      </c>
      <c r="S1508" t="s">
        <v>934</v>
      </c>
      <c r="T1508" t="s">
        <v>935</v>
      </c>
      <c r="U1508" t="s">
        <v>937</v>
      </c>
      <c r="V1508" t="s">
        <v>66</v>
      </c>
      <c r="W1508" t="s">
        <v>66</v>
      </c>
      <c r="X1508">
        <v>1193403</v>
      </c>
      <c r="Y1508">
        <v>131274.32999999999</v>
      </c>
      <c r="Z1508">
        <v>197010</v>
      </c>
      <c r="AA1508">
        <v>21671.1</v>
      </c>
      <c r="AB1508">
        <v>1324677.33</v>
      </c>
      <c r="AC1508">
        <v>12</v>
      </c>
      <c r="AD1508" t="s">
        <v>82</v>
      </c>
      <c r="AE1508">
        <v>12</v>
      </c>
      <c r="AF1508" t="s">
        <v>128</v>
      </c>
      <c r="AG1508">
        <f>IFERROR(VLOOKUP(AF1508,[1]STOK!J:O,6,0),"")</f>
        <v>24</v>
      </c>
      <c r="AH1508" s="2">
        <f t="shared" si="46"/>
        <v>0.5</v>
      </c>
      <c r="AI1508" t="s">
        <v>128</v>
      </c>
      <c r="AJ1508" t="s">
        <v>129</v>
      </c>
      <c r="AK1508" t="s">
        <v>130</v>
      </c>
      <c r="AL1508" t="s">
        <v>86</v>
      </c>
      <c r="AM1508">
        <v>18315</v>
      </c>
      <c r="AN1508">
        <f t="shared" si="47"/>
        <v>18223.424999999999</v>
      </c>
      <c r="AO1508" t="s">
        <v>66</v>
      </c>
      <c r="AP1508">
        <v>0.5</v>
      </c>
      <c r="AQ1508" t="s">
        <v>66</v>
      </c>
      <c r="AR1508">
        <v>0</v>
      </c>
      <c r="AS1508" t="s">
        <v>66</v>
      </c>
      <c r="AT1508">
        <v>0</v>
      </c>
      <c r="AU1508" t="s">
        <v>66</v>
      </c>
      <c r="AV1508">
        <v>0</v>
      </c>
      <c r="AW1508" t="s">
        <v>66</v>
      </c>
      <c r="AX1508">
        <v>0</v>
      </c>
      <c r="AY1508" t="s">
        <v>66</v>
      </c>
      <c r="AZ1508">
        <v>0</v>
      </c>
      <c r="BA1508" t="s">
        <v>66</v>
      </c>
      <c r="BB1508">
        <v>0</v>
      </c>
      <c r="BC1508">
        <v>0</v>
      </c>
      <c r="BD1508">
        <v>218681.1</v>
      </c>
      <c r="BE1508">
        <v>14828.88</v>
      </c>
      <c r="BF1508">
        <v>0</v>
      </c>
      <c r="BG1508" t="s">
        <v>87</v>
      </c>
      <c r="BH1508" t="s">
        <v>66</v>
      </c>
      <c r="BI1508">
        <v>0</v>
      </c>
      <c r="BJ1508" t="s">
        <v>66</v>
      </c>
      <c r="BK1508" t="s">
        <v>88</v>
      </c>
      <c r="BL1508" t="s">
        <v>66</v>
      </c>
      <c r="BM1508" t="s">
        <v>159</v>
      </c>
    </row>
    <row r="1509" spans="1:65" x14ac:dyDescent="0.25">
      <c r="A1509">
        <v>1507</v>
      </c>
      <c r="B1509" t="s">
        <v>1656</v>
      </c>
      <c r="C1509" t="s">
        <v>66</v>
      </c>
      <c r="D1509" s="1">
        <v>46221</v>
      </c>
      <c r="E1509" t="s">
        <v>1657</v>
      </c>
      <c r="F1509" t="s">
        <v>68</v>
      </c>
      <c r="G1509" t="s">
        <v>69</v>
      </c>
      <c r="H1509" t="s">
        <v>70</v>
      </c>
      <c r="I1509" t="s">
        <v>71</v>
      </c>
      <c r="J1509" t="s">
        <v>72</v>
      </c>
      <c r="K1509" t="s">
        <v>73</v>
      </c>
      <c r="L1509" t="s">
        <v>74</v>
      </c>
      <c r="M1509" t="s">
        <v>933</v>
      </c>
      <c r="N1509" t="s">
        <v>111</v>
      </c>
      <c r="O1509" t="s">
        <v>934</v>
      </c>
      <c r="P1509" t="s">
        <v>935</v>
      </c>
      <c r="Q1509" t="s">
        <v>1658</v>
      </c>
      <c r="R1509" s="1">
        <v>46224</v>
      </c>
      <c r="S1509" t="s">
        <v>934</v>
      </c>
      <c r="T1509" t="s">
        <v>935</v>
      </c>
      <c r="U1509" t="s">
        <v>937</v>
      </c>
      <c r="V1509" t="s">
        <v>66</v>
      </c>
      <c r="W1509" t="s">
        <v>66</v>
      </c>
      <c r="X1509">
        <v>1193403</v>
      </c>
      <c r="Y1509">
        <v>131274.32999999999</v>
      </c>
      <c r="Z1509">
        <v>197010</v>
      </c>
      <c r="AA1509">
        <v>21671.1</v>
      </c>
      <c r="AB1509">
        <v>1324677.33</v>
      </c>
      <c r="AC1509">
        <v>12</v>
      </c>
      <c r="AD1509" t="s">
        <v>82</v>
      </c>
      <c r="AE1509">
        <v>12</v>
      </c>
      <c r="AF1509" t="s">
        <v>96</v>
      </c>
      <c r="AG1509">
        <f>IFERROR(VLOOKUP(AF1509,[1]STOK!J:O,6,0),"")</f>
        <v>24</v>
      </c>
      <c r="AH1509" s="2">
        <f t="shared" si="46"/>
        <v>0.5</v>
      </c>
      <c r="AI1509" t="s">
        <v>96</v>
      </c>
      <c r="AJ1509" t="s">
        <v>97</v>
      </c>
      <c r="AK1509" t="s">
        <v>98</v>
      </c>
      <c r="AL1509" t="s">
        <v>86</v>
      </c>
      <c r="AM1509">
        <v>18315</v>
      </c>
      <c r="AN1509">
        <f t="shared" si="47"/>
        <v>18223.424999999999</v>
      </c>
      <c r="AO1509" t="s">
        <v>66</v>
      </c>
      <c r="AP1509">
        <v>0.5</v>
      </c>
      <c r="AQ1509" t="s">
        <v>66</v>
      </c>
      <c r="AR1509">
        <v>0</v>
      </c>
      <c r="AS1509" t="s">
        <v>66</v>
      </c>
      <c r="AT1509">
        <v>0</v>
      </c>
      <c r="AU1509" t="s">
        <v>66</v>
      </c>
      <c r="AV1509">
        <v>0</v>
      </c>
      <c r="AW1509" t="s">
        <v>66</v>
      </c>
      <c r="AX1509">
        <v>0</v>
      </c>
      <c r="AY1509" t="s">
        <v>66</v>
      </c>
      <c r="AZ1509">
        <v>0</v>
      </c>
      <c r="BA1509" t="s">
        <v>66</v>
      </c>
      <c r="BB1509">
        <v>0</v>
      </c>
      <c r="BC1509">
        <v>0</v>
      </c>
      <c r="BD1509">
        <v>218681.1</v>
      </c>
      <c r="BE1509">
        <v>14906.41</v>
      </c>
      <c r="BF1509">
        <v>0</v>
      </c>
      <c r="BG1509" t="s">
        <v>87</v>
      </c>
      <c r="BH1509" t="s">
        <v>66</v>
      </c>
      <c r="BI1509">
        <v>0</v>
      </c>
      <c r="BJ1509" t="s">
        <v>66</v>
      </c>
      <c r="BK1509" t="s">
        <v>88</v>
      </c>
      <c r="BL1509" t="s">
        <v>66</v>
      </c>
      <c r="BM1509" t="s">
        <v>159</v>
      </c>
    </row>
    <row r="1510" spans="1:65" x14ac:dyDescent="0.25">
      <c r="A1510">
        <v>1508</v>
      </c>
      <c r="B1510" t="s">
        <v>1656</v>
      </c>
      <c r="C1510" t="s">
        <v>66</v>
      </c>
      <c r="D1510" s="1">
        <v>46221</v>
      </c>
      <c r="E1510" t="s">
        <v>1657</v>
      </c>
      <c r="F1510" t="s">
        <v>68</v>
      </c>
      <c r="G1510" t="s">
        <v>69</v>
      </c>
      <c r="H1510" t="s">
        <v>70</v>
      </c>
      <c r="I1510" t="s">
        <v>71</v>
      </c>
      <c r="J1510" t="s">
        <v>72</v>
      </c>
      <c r="K1510" t="s">
        <v>73</v>
      </c>
      <c r="L1510" t="s">
        <v>74</v>
      </c>
      <c r="M1510" t="s">
        <v>933</v>
      </c>
      <c r="N1510" t="s">
        <v>111</v>
      </c>
      <c r="O1510" t="s">
        <v>934</v>
      </c>
      <c r="P1510" t="s">
        <v>935</v>
      </c>
      <c r="Q1510" t="s">
        <v>1658</v>
      </c>
      <c r="R1510" s="1">
        <v>46224</v>
      </c>
      <c r="S1510" t="s">
        <v>934</v>
      </c>
      <c r="T1510" t="s">
        <v>935</v>
      </c>
      <c r="U1510" t="s">
        <v>937</v>
      </c>
      <c r="V1510" t="s">
        <v>66</v>
      </c>
      <c r="W1510" t="s">
        <v>66</v>
      </c>
      <c r="X1510">
        <v>1193403</v>
      </c>
      <c r="Y1510">
        <v>131274.32999999999</v>
      </c>
      <c r="Z1510">
        <v>162981</v>
      </c>
      <c r="AA1510">
        <v>17927.91</v>
      </c>
      <c r="AB1510">
        <v>1324677.33</v>
      </c>
      <c r="AC1510">
        <v>6</v>
      </c>
      <c r="AD1510" t="s">
        <v>82</v>
      </c>
      <c r="AE1510">
        <v>6</v>
      </c>
      <c r="AF1510" t="s">
        <v>303</v>
      </c>
      <c r="AG1510">
        <f>IFERROR(VLOOKUP(AF1510,[1]STOK!J:O,6,0),"")</f>
        <v>12</v>
      </c>
      <c r="AH1510" s="2">
        <f t="shared" si="46"/>
        <v>0.5</v>
      </c>
      <c r="AI1510" t="s">
        <v>303</v>
      </c>
      <c r="AJ1510" t="s">
        <v>304</v>
      </c>
      <c r="AK1510" t="s">
        <v>305</v>
      </c>
      <c r="AL1510" t="s">
        <v>86</v>
      </c>
      <c r="AM1510">
        <v>30303</v>
      </c>
      <c r="AN1510">
        <f t="shared" si="47"/>
        <v>30151.485000000001</v>
      </c>
      <c r="AO1510" t="s">
        <v>66</v>
      </c>
      <c r="AP1510">
        <v>0.5</v>
      </c>
      <c r="AQ1510" t="s">
        <v>66</v>
      </c>
      <c r="AR1510">
        <v>0</v>
      </c>
      <c r="AS1510" t="s">
        <v>66</v>
      </c>
      <c r="AT1510">
        <v>0</v>
      </c>
      <c r="AU1510" t="s">
        <v>66</v>
      </c>
      <c r="AV1510">
        <v>0</v>
      </c>
      <c r="AW1510" t="s">
        <v>66</v>
      </c>
      <c r="AX1510">
        <v>0</v>
      </c>
      <c r="AY1510" t="s">
        <v>66</v>
      </c>
      <c r="AZ1510">
        <v>0</v>
      </c>
      <c r="BA1510" t="s">
        <v>66</v>
      </c>
      <c r="BB1510">
        <v>0</v>
      </c>
      <c r="BC1510">
        <v>0</v>
      </c>
      <c r="BD1510">
        <v>180908.91</v>
      </c>
      <c r="BE1510">
        <v>24596.73</v>
      </c>
      <c r="BF1510">
        <v>0</v>
      </c>
      <c r="BG1510" t="s">
        <v>87</v>
      </c>
      <c r="BH1510" t="s">
        <v>66</v>
      </c>
      <c r="BI1510">
        <v>0</v>
      </c>
      <c r="BJ1510" t="s">
        <v>66</v>
      </c>
      <c r="BK1510" t="s">
        <v>88</v>
      </c>
      <c r="BL1510" t="s">
        <v>66</v>
      </c>
      <c r="BM1510" t="s">
        <v>159</v>
      </c>
    </row>
    <row r="1511" spans="1:65" x14ac:dyDescent="0.25">
      <c r="A1511">
        <v>1509</v>
      </c>
      <c r="B1511" t="s">
        <v>1656</v>
      </c>
      <c r="C1511" t="s">
        <v>66</v>
      </c>
      <c r="D1511" s="1">
        <v>46221</v>
      </c>
      <c r="E1511" t="s">
        <v>1657</v>
      </c>
      <c r="F1511" t="s">
        <v>68</v>
      </c>
      <c r="G1511" t="s">
        <v>69</v>
      </c>
      <c r="H1511" t="s">
        <v>70</v>
      </c>
      <c r="I1511" t="s">
        <v>71</v>
      </c>
      <c r="J1511" t="s">
        <v>72</v>
      </c>
      <c r="K1511" t="s">
        <v>73</v>
      </c>
      <c r="L1511" t="s">
        <v>74</v>
      </c>
      <c r="M1511" t="s">
        <v>933</v>
      </c>
      <c r="N1511" t="s">
        <v>111</v>
      </c>
      <c r="O1511" t="s">
        <v>934</v>
      </c>
      <c r="P1511" t="s">
        <v>935</v>
      </c>
      <c r="Q1511" t="s">
        <v>1658</v>
      </c>
      <c r="R1511" s="1">
        <v>46224</v>
      </c>
      <c r="S1511" t="s">
        <v>934</v>
      </c>
      <c r="T1511" t="s">
        <v>935</v>
      </c>
      <c r="U1511" t="s">
        <v>937</v>
      </c>
      <c r="V1511" t="s">
        <v>66</v>
      </c>
      <c r="W1511" t="s">
        <v>66</v>
      </c>
      <c r="X1511">
        <v>1193403</v>
      </c>
      <c r="Y1511">
        <v>131274.32999999999</v>
      </c>
      <c r="Z1511">
        <v>158802</v>
      </c>
      <c r="AA1511">
        <v>17468.22</v>
      </c>
      <c r="AB1511">
        <v>1324677.33</v>
      </c>
      <c r="AC1511">
        <v>1</v>
      </c>
      <c r="AD1511" t="s">
        <v>134</v>
      </c>
      <c r="AE1511">
        <v>12</v>
      </c>
      <c r="AF1511" t="s">
        <v>210</v>
      </c>
      <c r="AG1511">
        <f>IFERROR(VLOOKUP(AF1511,[1]STOK!J:O,6,0),"")</f>
        <v>12</v>
      </c>
      <c r="AH1511" s="2">
        <f t="shared" si="46"/>
        <v>1</v>
      </c>
      <c r="AI1511" t="s">
        <v>210</v>
      </c>
      <c r="AJ1511" t="s">
        <v>211</v>
      </c>
      <c r="AK1511" t="s">
        <v>212</v>
      </c>
      <c r="AL1511" t="s">
        <v>86</v>
      </c>
      <c r="AM1511">
        <v>177156</v>
      </c>
      <c r="AN1511">
        <f t="shared" si="47"/>
        <v>176270.22</v>
      </c>
      <c r="AO1511" t="s">
        <v>66</v>
      </c>
      <c r="AP1511">
        <v>0.5</v>
      </c>
      <c r="AQ1511" t="s">
        <v>66</v>
      </c>
      <c r="AR1511">
        <v>0</v>
      </c>
      <c r="AS1511" t="s">
        <v>66</v>
      </c>
      <c r="AT1511">
        <v>0</v>
      </c>
      <c r="AU1511" t="s">
        <v>66</v>
      </c>
      <c r="AV1511">
        <v>0</v>
      </c>
      <c r="AW1511" t="s">
        <v>66</v>
      </c>
      <c r="AX1511">
        <v>0</v>
      </c>
      <c r="AY1511" t="s">
        <v>66</v>
      </c>
      <c r="AZ1511">
        <v>0</v>
      </c>
      <c r="BA1511" t="s">
        <v>66</v>
      </c>
      <c r="BB1511">
        <v>0</v>
      </c>
      <c r="BC1511">
        <v>0</v>
      </c>
      <c r="BD1511">
        <v>176270.22</v>
      </c>
      <c r="BE1511">
        <v>12007.79</v>
      </c>
      <c r="BF1511">
        <v>0</v>
      </c>
      <c r="BG1511" t="s">
        <v>87</v>
      </c>
      <c r="BH1511" t="s">
        <v>66</v>
      </c>
      <c r="BI1511">
        <v>0</v>
      </c>
      <c r="BJ1511" t="s">
        <v>66</v>
      </c>
      <c r="BK1511" t="s">
        <v>88</v>
      </c>
      <c r="BL1511" t="s">
        <v>66</v>
      </c>
      <c r="BM1511" t="s">
        <v>159</v>
      </c>
    </row>
    <row r="1512" spans="1:65" x14ac:dyDescent="0.25">
      <c r="A1512">
        <v>1510</v>
      </c>
      <c r="B1512" t="s">
        <v>1656</v>
      </c>
      <c r="C1512" t="s">
        <v>66</v>
      </c>
      <c r="D1512" s="1">
        <v>46221</v>
      </c>
      <c r="E1512" t="s">
        <v>1657</v>
      </c>
      <c r="F1512" t="s">
        <v>68</v>
      </c>
      <c r="G1512" t="s">
        <v>69</v>
      </c>
      <c r="H1512" t="s">
        <v>70</v>
      </c>
      <c r="I1512" t="s">
        <v>71</v>
      </c>
      <c r="J1512" t="s">
        <v>72</v>
      </c>
      <c r="K1512" t="s">
        <v>73</v>
      </c>
      <c r="L1512" t="s">
        <v>74</v>
      </c>
      <c r="M1512" t="s">
        <v>933</v>
      </c>
      <c r="N1512" t="s">
        <v>111</v>
      </c>
      <c r="O1512" t="s">
        <v>934</v>
      </c>
      <c r="P1512" t="s">
        <v>935</v>
      </c>
      <c r="Q1512" t="s">
        <v>1658</v>
      </c>
      <c r="R1512" s="1">
        <v>46224</v>
      </c>
      <c r="S1512" t="s">
        <v>934</v>
      </c>
      <c r="T1512" t="s">
        <v>935</v>
      </c>
      <c r="U1512" t="s">
        <v>937</v>
      </c>
      <c r="V1512" t="s">
        <v>66</v>
      </c>
      <c r="W1512" t="s">
        <v>66</v>
      </c>
      <c r="X1512">
        <v>1193403</v>
      </c>
      <c r="Y1512">
        <v>131274.32999999999</v>
      </c>
      <c r="Z1512">
        <v>477600</v>
      </c>
      <c r="AA1512">
        <v>52536</v>
      </c>
      <c r="AB1512">
        <v>1324677.33</v>
      </c>
      <c r="AC1512">
        <v>2</v>
      </c>
      <c r="AD1512" t="s">
        <v>134</v>
      </c>
      <c r="AE1512">
        <v>24</v>
      </c>
      <c r="AF1512" t="s">
        <v>102</v>
      </c>
      <c r="AG1512">
        <f>IFERROR(VLOOKUP(AF1512,[1]STOK!J:O,6,0),"")</f>
        <v>12</v>
      </c>
      <c r="AH1512" s="2">
        <f t="shared" si="46"/>
        <v>2</v>
      </c>
      <c r="AI1512" t="s">
        <v>102</v>
      </c>
      <c r="AJ1512" t="s">
        <v>103</v>
      </c>
      <c r="AK1512" t="s">
        <v>104</v>
      </c>
      <c r="AL1512" t="s">
        <v>86</v>
      </c>
      <c r="AM1512">
        <v>266400</v>
      </c>
      <c r="AN1512">
        <f t="shared" si="47"/>
        <v>265068</v>
      </c>
      <c r="AO1512" t="s">
        <v>66</v>
      </c>
      <c r="AP1512">
        <v>0.5</v>
      </c>
      <c r="AQ1512" t="s">
        <v>66</v>
      </c>
      <c r="AR1512">
        <v>0</v>
      </c>
      <c r="AS1512" t="s">
        <v>66</v>
      </c>
      <c r="AT1512">
        <v>0</v>
      </c>
      <c r="AU1512" t="s">
        <v>66</v>
      </c>
      <c r="AV1512">
        <v>0</v>
      </c>
      <c r="AW1512" t="s">
        <v>66</v>
      </c>
      <c r="AX1512">
        <v>0</v>
      </c>
      <c r="AY1512" t="s">
        <v>66</v>
      </c>
      <c r="AZ1512">
        <v>0</v>
      </c>
      <c r="BA1512" t="s">
        <v>66</v>
      </c>
      <c r="BB1512">
        <v>0</v>
      </c>
      <c r="BC1512">
        <v>0</v>
      </c>
      <c r="BD1512">
        <v>530136</v>
      </c>
      <c r="BE1512">
        <v>18044.02</v>
      </c>
      <c r="BF1512">
        <v>0</v>
      </c>
      <c r="BG1512" t="s">
        <v>87</v>
      </c>
      <c r="BH1512" t="s">
        <v>66</v>
      </c>
      <c r="BI1512">
        <v>0</v>
      </c>
      <c r="BJ1512" t="s">
        <v>66</v>
      </c>
      <c r="BK1512" t="s">
        <v>88</v>
      </c>
      <c r="BL1512" t="s">
        <v>66</v>
      </c>
      <c r="BM1512" t="s">
        <v>159</v>
      </c>
    </row>
    <row r="1513" spans="1:65" x14ac:dyDescent="0.25">
      <c r="A1513">
        <v>1511</v>
      </c>
      <c r="B1513" t="s">
        <v>1659</v>
      </c>
      <c r="C1513" t="s">
        <v>1660</v>
      </c>
      <c r="D1513" s="1">
        <v>46223</v>
      </c>
      <c r="E1513" t="s">
        <v>1661</v>
      </c>
      <c r="F1513" t="s">
        <v>1593</v>
      </c>
      <c r="G1513" t="s">
        <v>295</v>
      </c>
      <c r="H1513" t="s">
        <v>296</v>
      </c>
      <c r="I1513" t="s">
        <v>71</v>
      </c>
      <c r="J1513" t="s">
        <v>72</v>
      </c>
      <c r="K1513" t="s">
        <v>73</v>
      </c>
      <c r="L1513" t="s">
        <v>74</v>
      </c>
      <c r="M1513" t="s">
        <v>1648</v>
      </c>
      <c r="N1513" t="s">
        <v>696</v>
      </c>
      <c r="O1513" t="s">
        <v>1649</v>
      </c>
      <c r="P1513" t="s">
        <v>1650</v>
      </c>
      <c r="Q1513" t="s">
        <v>1662</v>
      </c>
      <c r="R1513" s="1">
        <v>46223</v>
      </c>
      <c r="S1513" t="s">
        <v>1651</v>
      </c>
      <c r="T1513" t="s">
        <v>1652</v>
      </c>
      <c r="U1513" t="s">
        <v>1653</v>
      </c>
      <c r="V1513" t="s">
        <v>66</v>
      </c>
      <c r="W1513" t="s">
        <v>66</v>
      </c>
      <c r="X1513">
        <v>63828000</v>
      </c>
      <c r="Y1513">
        <v>7021080</v>
      </c>
      <c r="Z1513">
        <v>63828000</v>
      </c>
      <c r="AA1513">
        <v>7021080</v>
      </c>
      <c r="AB1513">
        <v>70849080</v>
      </c>
      <c r="AC1513">
        <v>300</v>
      </c>
      <c r="AD1513" t="s">
        <v>134</v>
      </c>
      <c r="AE1513">
        <v>3600</v>
      </c>
      <c r="AF1513" t="s">
        <v>290</v>
      </c>
      <c r="AG1513">
        <f>IFERROR(VLOOKUP(AF1513,[1]STOK!J:O,6,0),"")</f>
        <v>12</v>
      </c>
      <c r="AH1513" s="2">
        <f t="shared" si="46"/>
        <v>300</v>
      </c>
      <c r="AI1513" t="s">
        <v>290</v>
      </c>
      <c r="AJ1513" t="s">
        <v>291</v>
      </c>
      <c r="AK1513" t="s">
        <v>292</v>
      </c>
      <c r="AL1513" t="s">
        <v>86</v>
      </c>
      <c r="AM1513">
        <v>266400</v>
      </c>
      <c r="AN1513">
        <f t="shared" si="47"/>
        <v>236163.6</v>
      </c>
      <c r="AO1513" t="s">
        <v>66</v>
      </c>
      <c r="AP1513">
        <v>1.5</v>
      </c>
      <c r="AQ1513" t="s">
        <v>66</v>
      </c>
      <c r="AR1513">
        <v>0</v>
      </c>
      <c r="AS1513" t="s">
        <v>66</v>
      </c>
      <c r="AT1513">
        <v>0</v>
      </c>
      <c r="AU1513" t="s">
        <v>66</v>
      </c>
      <c r="AV1513">
        <v>10</v>
      </c>
      <c r="AW1513" t="s">
        <v>66</v>
      </c>
      <c r="AX1513">
        <v>0</v>
      </c>
      <c r="AY1513" t="s">
        <v>66</v>
      </c>
      <c r="AZ1513">
        <v>0</v>
      </c>
      <c r="BA1513" t="s">
        <v>66</v>
      </c>
      <c r="BB1513">
        <v>0</v>
      </c>
      <c r="BC1513">
        <v>0</v>
      </c>
      <c r="BD1513">
        <v>70849080</v>
      </c>
      <c r="BE1513">
        <v>18103.580000000002</v>
      </c>
      <c r="BF1513">
        <v>0</v>
      </c>
      <c r="BG1513" t="s">
        <v>87</v>
      </c>
      <c r="BH1513" t="s">
        <v>66</v>
      </c>
      <c r="BI1513">
        <v>0</v>
      </c>
      <c r="BJ1513" t="s">
        <v>66</v>
      </c>
      <c r="BK1513" t="s">
        <v>88</v>
      </c>
      <c r="BL1513" t="s">
        <v>66</v>
      </c>
      <c r="BM1513" t="s">
        <v>159</v>
      </c>
    </row>
    <row r="1514" spans="1:65" x14ac:dyDescent="0.25">
      <c r="A1514">
        <v>1512</v>
      </c>
      <c r="B1514" t="s">
        <v>1663</v>
      </c>
      <c r="C1514" t="s">
        <v>66</v>
      </c>
      <c r="D1514" s="1">
        <v>46223</v>
      </c>
      <c r="E1514" t="s">
        <v>1664</v>
      </c>
      <c r="F1514" t="s">
        <v>68</v>
      </c>
      <c r="G1514" t="s">
        <v>69</v>
      </c>
      <c r="H1514" t="s">
        <v>70</v>
      </c>
      <c r="I1514" t="s">
        <v>71</v>
      </c>
      <c r="J1514" t="s">
        <v>72</v>
      </c>
      <c r="K1514" t="s">
        <v>73</v>
      </c>
      <c r="L1514" t="s">
        <v>74</v>
      </c>
      <c r="M1514" t="s">
        <v>924</v>
      </c>
      <c r="N1514" t="s">
        <v>111</v>
      </c>
      <c r="O1514" t="s">
        <v>925</v>
      </c>
      <c r="P1514" t="s">
        <v>926</v>
      </c>
      <c r="Q1514" t="s">
        <v>1665</v>
      </c>
      <c r="R1514" s="1">
        <v>46224</v>
      </c>
      <c r="S1514" t="s">
        <v>544</v>
      </c>
      <c r="T1514" t="s">
        <v>545</v>
      </c>
      <c r="U1514" t="s">
        <v>546</v>
      </c>
      <c r="V1514" t="s">
        <v>66</v>
      </c>
      <c r="W1514" t="s">
        <v>66</v>
      </c>
      <c r="X1514">
        <v>700878</v>
      </c>
      <c r="Y1514">
        <v>77096.58</v>
      </c>
      <c r="Z1514">
        <v>22089</v>
      </c>
      <c r="AA1514">
        <v>2429.79</v>
      </c>
      <c r="AB1514">
        <v>777974.58</v>
      </c>
      <c r="AC1514">
        <v>3</v>
      </c>
      <c r="AD1514" t="s">
        <v>82</v>
      </c>
      <c r="AE1514">
        <v>3</v>
      </c>
      <c r="AF1514" t="s">
        <v>265</v>
      </c>
      <c r="AG1514">
        <f>IFERROR(VLOOKUP(AF1514,[1]STOK!J:O,6,0),"")</f>
        <v>24</v>
      </c>
      <c r="AH1514" s="2">
        <f t="shared" si="46"/>
        <v>0.125</v>
      </c>
      <c r="AI1514" t="s">
        <v>265</v>
      </c>
      <c r="AJ1514" t="s">
        <v>266</v>
      </c>
      <c r="AK1514" t="s">
        <v>267</v>
      </c>
      <c r="AL1514" t="s">
        <v>86</v>
      </c>
      <c r="AM1514">
        <v>8214</v>
      </c>
      <c r="AN1514">
        <f t="shared" si="47"/>
        <v>8172.93</v>
      </c>
      <c r="AO1514" t="s">
        <v>66</v>
      </c>
      <c r="AP1514">
        <v>0.5</v>
      </c>
      <c r="AQ1514" t="s">
        <v>66</v>
      </c>
      <c r="AR1514">
        <v>0</v>
      </c>
      <c r="AS1514" t="s">
        <v>66</v>
      </c>
      <c r="AT1514">
        <v>0</v>
      </c>
      <c r="AU1514" t="s">
        <v>66</v>
      </c>
      <c r="AV1514">
        <v>0</v>
      </c>
      <c r="AW1514" t="s">
        <v>66</v>
      </c>
      <c r="AX1514">
        <v>0</v>
      </c>
      <c r="AY1514" t="s">
        <v>66</v>
      </c>
      <c r="AZ1514">
        <v>0</v>
      </c>
      <c r="BA1514" t="s">
        <v>66</v>
      </c>
      <c r="BB1514">
        <v>0</v>
      </c>
      <c r="BC1514">
        <v>0</v>
      </c>
      <c r="BD1514">
        <v>24518.79</v>
      </c>
      <c r="BE1514">
        <v>6447.38</v>
      </c>
      <c r="BF1514">
        <v>0</v>
      </c>
      <c r="BG1514" t="s">
        <v>87</v>
      </c>
      <c r="BH1514" t="s">
        <v>66</v>
      </c>
      <c r="BI1514">
        <v>0</v>
      </c>
      <c r="BJ1514" t="s">
        <v>66</v>
      </c>
      <c r="BK1514" t="s">
        <v>88</v>
      </c>
      <c r="BL1514" t="s">
        <v>547</v>
      </c>
      <c r="BM1514" t="s">
        <v>159</v>
      </c>
    </row>
    <row r="1515" spans="1:65" x14ac:dyDescent="0.25">
      <c r="A1515">
        <v>1513</v>
      </c>
      <c r="B1515" t="s">
        <v>1663</v>
      </c>
      <c r="C1515" t="s">
        <v>66</v>
      </c>
      <c r="D1515" s="1">
        <v>46223</v>
      </c>
      <c r="E1515" t="s">
        <v>1664</v>
      </c>
      <c r="F1515" t="s">
        <v>68</v>
      </c>
      <c r="G1515" t="s">
        <v>69</v>
      </c>
      <c r="H1515" t="s">
        <v>70</v>
      </c>
      <c r="I1515" t="s">
        <v>71</v>
      </c>
      <c r="J1515" t="s">
        <v>72</v>
      </c>
      <c r="K1515" t="s">
        <v>73</v>
      </c>
      <c r="L1515" t="s">
        <v>74</v>
      </c>
      <c r="M1515" t="s">
        <v>924</v>
      </c>
      <c r="N1515" t="s">
        <v>111</v>
      </c>
      <c r="O1515" t="s">
        <v>925</v>
      </c>
      <c r="P1515" t="s">
        <v>926</v>
      </c>
      <c r="Q1515" t="s">
        <v>1665</v>
      </c>
      <c r="R1515" s="1">
        <v>46224</v>
      </c>
      <c r="S1515" t="s">
        <v>544</v>
      </c>
      <c r="T1515" t="s">
        <v>545</v>
      </c>
      <c r="U1515" t="s">
        <v>546</v>
      </c>
      <c r="V1515" t="s">
        <v>66</v>
      </c>
      <c r="W1515" t="s">
        <v>66</v>
      </c>
      <c r="X1515">
        <v>700878</v>
      </c>
      <c r="Y1515">
        <v>77096.58</v>
      </c>
      <c r="Z1515">
        <v>11940</v>
      </c>
      <c r="AA1515">
        <v>1313.4</v>
      </c>
      <c r="AB1515">
        <v>777974.58</v>
      </c>
      <c r="AC1515">
        <v>24</v>
      </c>
      <c r="AD1515" t="s">
        <v>82</v>
      </c>
      <c r="AE1515">
        <v>24</v>
      </c>
      <c r="AF1515" t="s">
        <v>492</v>
      </c>
      <c r="AG1515">
        <f>IFERROR(VLOOKUP(AF1515,[1]STOK!J:O,6,0),"")</f>
        <v>432</v>
      </c>
      <c r="AH1515" s="2">
        <f t="shared" si="46"/>
        <v>5.5555555555555552E-2</v>
      </c>
      <c r="AI1515" t="s">
        <v>492</v>
      </c>
      <c r="AJ1515" t="s">
        <v>493</v>
      </c>
      <c r="AK1515" t="s">
        <v>494</v>
      </c>
      <c r="AL1515" t="s">
        <v>86</v>
      </c>
      <c r="AM1515">
        <v>555</v>
      </c>
      <c r="AN1515">
        <f t="shared" si="47"/>
        <v>552.22500000000002</v>
      </c>
      <c r="AO1515" t="s">
        <v>66</v>
      </c>
      <c r="AP1515">
        <v>0.5</v>
      </c>
      <c r="AQ1515" t="s">
        <v>66</v>
      </c>
      <c r="AR1515">
        <v>0</v>
      </c>
      <c r="AS1515" t="s">
        <v>66</v>
      </c>
      <c r="AT1515">
        <v>0</v>
      </c>
      <c r="AU1515" t="s">
        <v>66</v>
      </c>
      <c r="AV1515">
        <v>0</v>
      </c>
      <c r="AW1515" t="s">
        <v>66</v>
      </c>
      <c r="AX1515">
        <v>0</v>
      </c>
      <c r="AY1515" t="s">
        <v>66</v>
      </c>
      <c r="AZ1515">
        <v>0</v>
      </c>
      <c r="BA1515" t="s">
        <v>66</v>
      </c>
      <c r="BB1515">
        <v>0</v>
      </c>
      <c r="BC1515">
        <v>0</v>
      </c>
      <c r="BD1515">
        <v>13253.4</v>
      </c>
      <c r="BE1515">
        <v>407.45</v>
      </c>
      <c r="BF1515">
        <v>0</v>
      </c>
      <c r="BG1515" t="s">
        <v>87</v>
      </c>
      <c r="BH1515" t="s">
        <v>66</v>
      </c>
      <c r="BI1515">
        <v>0</v>
      </c>
      <c r="BJ1515" t="s">
        <v>66</v>
      </c>
      <c r="BK1515" t="s">
        <v>88</v>
      </c>
      <c r="BL1515" t="s">
        <v>547</v>
      </c>
      <c r="BM1515" t="s">
        <v>159</v>
      </c>
    </row>
    <row r="1516" spans="1:65" x14ac:dyDescent="0.25">
      <c r="A1516">
        <v>1514</v>
      </c>
      <c r="B1516" t="s">
        <v>1663</v>
      </c>
      <c r="C1516" t="s">
        <v>66</v>
      </c>
      <c r="D1516" s="1">
        <v>46223</v>
      </c>
      <c r="E1516" t="s">
        <v>1664</v>
      </c>
      <c r="F1516" t="s">
        <v>68</v>
      </c>
      <c r="G1516" t="s">
        <v>69</v>
      </c>
      <c r="H1516" t="s">
        <v>70</v>
      </c>
      <c r="I1516" t="s">
        <v>71</v>
      </c>
      <c r="J1516" t="s">
        <v>72</v>
      </c>
      <c r="K1516" t="s">
        <v>73</v>
      </c>
      <c r="L1516" t="s">
        <v>74</v>
      </c>
      <c r="M1516" t="s">
        <v>924</v>
      </c>
      <c r="N1516" t="s">
        <v>111</v>
      </c>
      <c r="O1516" t="s">
        <v>925</v>
      </c>
      <c r="P1516" t="s">
        <v>926</v>
      </c>
      <c r="Q1516" t="s">
        <v>1665</v>
      </c>
      <c r="R1516" s="1">
        <v>46224</v>
      </c>
      <c r="S1516" t="s">
        <v>544</v>
      </c>
      <c r="T1516" t="s">
        <v>545</v>
      </c>
      <c r="U1516" t="s">
        <v>546</v>
      </c>
      <c r="V1516" t="s">
        <v>66</v>
      </c>
      <c r="W1516" t="s">
        <v>66</v>
      </c>
      <c r="X1516">
        <v>700878</v>
      </c>
      <c r="Y1516">
        <v>77096.58</v>
      </c>
      <c r="Z1516">
        <v>11940</v>
      </c>
      <c r="AA1516">
        <v>1313.4</v>
      </c>
      <c r="AB1516">
        <v>777974.58</v>
      </c>
      <c r="AC1516">
        <v>24</v>
      </c>
      <c r="AD1516" t="s">
        <v>82</v>
      </c>
      <c r="AE1516">
        <v>24</v>
      </c>
      <c r="AF1516" t="s">
        <v>489</v>
      </c>
      <c r="AG1516">
        <f>IFERROR(VLOOKUP(AF1516,[1]STOK!J:O,6,0),"")</f>
        <v>432</v>
      </c>
      <c r="AH1516" s="2">
        <f t="shared" si="46"/>
        <v>5.5555555555555552E-2</v>
      </c>
      <c r="AI1516" t="s">
        <v>489</v>
      </c>
      <c r="AJ1516" t="s">
        <v>490</v>
      </c>
      <c r="AK1516" t="s">
        <v>491</v>
      </c>
      <c r="AL1516" t="s">
        <v>86</v>
      </c>
      <c r="AM1516">
        <v>555</v>
      </c>
      <c r="AN1516">
        <f t="shared" si="47"/>
        <v>552.22500000000002</v>
      </c>
      <c r="AO1516" t="s">
        <v>66</v>
      </c>
      <c r="AP1516">
        <v>0.5</v>
      </c>
      <c r="AQ1516" t="s">
        <v>66</v>
      </c>
      <c r="AR1516">
        <v>0</v>
      </c>
      <c r="AS1516" t="s">
        <v>66</v>
      </c>
      <c r="AT1516">
        <v>0</v>
      </c>
      <c r="AU1516" t="s">
        <v>66</v>
      </c>
      <c r="AV1516">
        <v>0</v>
      </c>
      <c r="AW1516" t="s">
        <v>66</v>
      </c>
      <c r="AX1516">
        <v>0</v>
      </c>
      <c r="AY1516" t="s">
        <v>66</v>
      </c>
      <c r="AZ1516">
        <v>0</v>
      </c>
      <c r="BA1516" t="s">
        <v>66</v>
      </c>
      <c r="BB1516">
        <v>0</v>
      </c>
      <c r="BC1516">
        <v>0</v>
      </c>
      <c r="BD1516">
        <v>13253.4</v>
      </c>
      <c r="BE1516">
        <v>407.22</v>
      </c>
      <c r="BF1516">
        <v>0</v>
      </c>
      <c r="BG1516" t="s">
        <v>87</v>
      </c>
      <c r="BH1516" t="s">
        <v>66</v>
      </c>
      <c r="BI1516">
        <v>0</v>
      </c>
      <c r="BJ1516" t="s">
        <v>66</v>
      </c>
      <c r="BK1516" t="s">
        <v>88</v>
      </c>
      <c r="BL1516" t="s">
        <v>547</v>
      </c>
      <c r="BM1516" t="s">
        <v>159</v>
      </c>
    </row>
    <row r="1517" spans="1:65" x14ac:dyDescent="0.25">
      <c r="A1517">
        <v>1515</v>
      </c>
      <c r="B1517" t="s">
        <v>1663</v>
      </c>
      <c r="C1517" t="s">
        <v>66</v>
      </c>
      <c r="D1517" s="1">
        <v>46223</v>
      </c>
      <c r="E1517" t="s">
        <v>1664</v>
      </c>
      <c r="F1517" t="s">
        <v>68</v>
      </c>
      <c r="G1517" t="s">
        <v>69</v>
      </c>
      <c r="H1517" t="s">
        <v>70</v>
      </c>
      <c r="I1517" t="s">
        <v>71</v>
      </c>
      <c r="J1517" t="s">
        <v>72</v>
      </c>
      <c r="K1517" t="s">
        <v>73</v>
      </c>
      <c r="L1517" t="s">
        <v>74</v>
      </c>
      <c r="M1517" t="s">
        <v>924</v>
      </c>
      <c r="N1517" t="s">
        <v>111</v>
      </c>
      <c r="O1517" t="s">
        <v>925</v>
      </c>
      <c r="P1517" t="s">
        <v>926</v>
      </c>
      <c r="Q1517" t="s">
        <v>1665</v>
      </c>
      <c r="R1517" s="1">
        <v>46224</v>
      </c>
      <c r="S1517" t="s">
        <v>544</v>
      </c>
      <c r="T1517" t="s">
        <v>545</v>
      </c>
      <c r="U1517" t="s">
        <v>546</v>
      </c>
      <c r="V1517" t="s">
        <v>66</v>
      </c>
      <c r="W1517" t="s">
        <v>66</v>
      </c>
      <c r="X1517">
        <v>700878</v>
      </c>
      <c r="Y1517">
        <v>77096.58</v>
      </c>
      <c r="Z1517">
        <v>23581.5</v>
      </c>
      <c r="AA1517">
        <v>2593.9699999999998</v>
      </c>
      <c r="AB1517">
        <v>777974.58</v>
      </c>
      <c r="AC1517">
        <v>3</v>
      </c>
      <c r="AD1517" t="s">
        <v>82</v>
      </c>
      <c r="AE1517">
        <v>3</v>
      </c>
      <c r="AF1517" t="s">
        <v>344</v>
      </c>
      <c r="AG1517">
        <f>IFERROR(VLOOKUP(AF1517,[1]STOK!J:O,6,0),"")</f>
        <v>24</v>
      </c>
      <c r="AH1517" s="2">
        <f t="shared" si="46"/>
        <v>0.125</v>
      </c>
      <c r="AI1517" t="s">
        <v>344</v>
      </c>
      <c r="AJ1517" t="s">
        <v>345</v>
      </c>
      <c r="AK1517" t="s">
        <v>346</v>
      </c>
      <c r="AL1517" t="s">
        <v>86</v>
      </c>
      <c r="AM1517">
        <v>8769</v>
      </c>
      <c r="AN1517">
        <f t="shared" si="47"/>
        <v>8725.1566666666677</v>
      </c>
      <c r="AO1517" t="s">
        <v>66</v>
      </c>
      <c r="AP1517">
        <v>0.5</v>
      </c>
      <c r="AQ1517" t="s">
        <v>66</v>
      </c>
      <c r="AR1517">
        <v>0</v>
      </c>
      <c r="AS1517" t="s">
        <v>66</v>
      </c>
      <c r="AT1517">
        <v>0</v>
      </c>
      <c r="AU1517" t="s">
        <v>66</v>
      </c>
      <c r="AV1517">
        <v>0</v>
      </c>
      <c r="AW1517" t="s">
        <v>66</v>
      </c>
      <c r="AX1517">
        <v>0</v>
      </c>
      <c r="AY1517" t="s">
        <v>66</v>
      </c>
      <c r="AZ1517">
        <v>0</v>
      </c>
      <c r="BA1517" t="s">
        <v>66</v>
      </c>
      <c r="BB1517">
        <v>0</v>
      </c>
      <c r="BC1517">
        <v>0</v>
      </c>
      <c r="BD1517">
        <v>26175.47</v>
      </c>
      <c r="BE1517">
        <v>6916.14</v>
      </c>
      <c r="BF1517">
        <v>0</v>
      </c>
      <c r="BG1517" t="s">
        <v>87</v>
      </c>
      <c r="BH1517" t="s">
        <v>66</v>
      </c>
      <c r="BI1517">
        <v>0</v>
      </c>
      <c r="BJ1517" t="s">
        <v>66</v>
      </c>
      <c r="BK1517" t="s">
        <v>88</v>
      </c>
      <c r="BL1517" t="s">
        <v>547</v>
      </c>
      <c r="BM1517" t="s">
        <v>159</v>
      </c>
    </row>
    <row r="1518" spans="1:65" x14ac:dyDescent="0.25">
      <c r="A1518">
        <v>1516</v>
      </c>
      <c r="B1518" t="s">
        <v>1663</v>
      </c>
      <c r="C1518" t="s">
        <v>66</v>
      </c>
      <c r="D1518" s="1">
        <v>46223</v>
      </c>
      <c r="E1518" t="s">
        <v>1664</v>
      </c>
      <c r="F1518" t="s">
        <v>68</v>
      </c>
      <c r="G1518" t="s">
        <v>69</v>
      </c>
      <c r="H1518" t="s">
        <v>70</v>
      </c>
      <c r="I1518" t="s">
        <v>71</v>
      </c>
      <c r="J1518" t="s">
        <v>72</v>
      </c>
      <c r="K1518" t="s">
        <v>73</v>
      </c>
      <c r="L1518" t="s">
        <v>74</v>
      </c>
      <c r="M1518" t="s">
        <v>924</v>
      </c>
      <c r="N1518" t="s">
        <v>111</v>
      </c>
      <c r="O1518" t="s">
        <v>925</v>
      </c>
      <c r="P1518" t="s">
        <v>926</v>
      </c>
      <c r="Q1518" t="s">
        <v>1665</v>
      </c>
      <c r="R1518" s="1">
        <v>46224</v>
      </c>
      <c r="S1518" t="s">
        <v>544</v>
      </c>
      <c r="T1518" t="s">
        <v>545</v>
      </c>
      <c r="U1518" t="s">
        <v>546</v>
      </c>
      <c r="V1518" t="s">
        <v>66</v>
      </c>
      <c r="W1518" t="s">
        <v>66</v>
      </c>
      <c r="X1518">
        <v>700878</v>
      </c>
      <c r="Y1518">
        <v>77096.58</v>
      </c>
      <c r="Z1518">
        <v>34029</v>
      </c>
      <c r="AA1518">
        <v>3743.19</v>
      </c>
      <c r="AB1518">
        <v>777974.58</v>
      </c>
      <c r="AC1518">
        <v>6</v>
      </c>
      <c r="AD1518" t="s">
        <v>82</v>
      </c>
      <c r="AE1518">
        <v>6</v>
      </c>
      <c r="AF1518" t="s">
        <v>350</v>
      </c>
      <c r="AG1518">
        <f>IFERROR(VLOOKUP(AF1518,[1]STOK!J:O,6,0),"")</f>
        <v>48</v>
      </c>
      <c r="AH1518" s="2">
        <f t="shared" si="46"/>
        <v>0.125</v>
      </c>
      <c r="AI1518" t="s">
        <v>350</v>
      </c>
      <c r="AJ1518" t="s">
        <v>351</v>
      </c>
      <c r="AK1518" t="s">
        <v>352</v>
      </c>
      <c r="AL1518" t="s">
        <v>86</v>
      </c>
      <c r="AM1518">
        <v>6327</v>
      </c>
      <c r="AN1518">
        <f t="shared" si="47"/>
        <v>6295.3650000000007</v>
      </c>
      <c r="AO1518" t="s">
        <v>66</v>
      </c>
      <c r="AP1518">
        <v>0.5</v>
      </c>
      <c r="AQ1518" t="s">
        <v>66</v>
      </c>
      <c r="AR1518">
        <v>0</v>
      </c>
      <c r="AS1518" t="s">
        <v>66</v>
      </c>
      <c r="AT1518">
        <v>0</v>
      </c>
      <c r="AU1518" t="s">
        <v>66</v>
      </c>
      <c r="AV1518">
        <v>0</v>
      </c>
      <c r="AW1518" t="s">
        <v>66</v>
      </c>
      <c r="AX1518">
        <v>0</v>
      </c>
      <c r="AY1518" t="s">
        <v>66</v>
      </c>
      <c r="AZ1518">
        <v>0</v>
      </c>
      <c r="BA1518" t="s">
        <v>66</v>
      </c>
      <c r="BB1518">
        <v>0</v>
      </c>
      <c r="BC1518">
        <v>0</v>
      </c>
      <c r="BD1518">
        <v>37772.19</v>
      </c>
      <c r="BE1518">
        <v>4985.16</v>
      </c>
      <c r="BF1518">
        <v>0</v>
      </c>
      <c r="BG1518" t="s">
        <v>87</v>
      </c>
      <c r="BH1518" t="s">
        <v>66</v>
      </c>
      <c r="BI1518">
        <v>0</v>
      </c>
      <c r="BJ1518" t="s">
        <v>66</v>
      </c>
      <c r="BK1518" t="s">
        <v>88</v>
      </c>
      <c r="BL1518" t="s">
        <v>547</v>
      </c>
      <c r="BM1518" t="s">
        <v>159</v>
      </c>
    </row>
    <row r="1519" spans="1:65" x14ac:dyDescent="0.25">
      <c r="A1519">
        <v>1517</v>
      </c>
      <c r="B1519" t="s">
        <v>1663</v>
      </c>
      <c r="C1519" t="s">
        <v>66</v>
      </c>
      <c r="D1519" s="1">
        <v>46223</v>
      </c>
      <c r="E1519" t="s">
        <v>1664</v>
      </c>
      <c r="F1519" t="s">
        <v>68</v>
      </c>
      <c r="G1519" t="s">
        <v>69</v>
      </c>
      <c r="H1519" t="s">
        <v>70</v>
      </c>
      <c r="I1519" t="s">
        <v>71</v>
      </c>
      <c r="J1519" t="s">
        <v>72</v>
      </c>
      <c r="K1519" t="s">
        <v>73</v>
      </c>
      <c r="L1519" t="s">
        <v>74</v>
      </c>
      <c r="M1519" t="s">
        <v>924</v>
      </c>
      <c r="N1519" t="s">
        <v>111</v>
      </c>
      <c r="O1519" t="s">
        <v>925</v>
      </c>
      <c r="P1519" t="s">
        <v>926</v>
      </c>
      <c r="Q1519" t="s">
        <v>1665</v>
      </c>
      <c r="R1519" s="1">
        <v>46224</v>
      </c>
      <c r="S1519" t="s">
        <v>544</v>
      </c>
      <c r="T1519" t="s">
        <v>545</v>
      </c>
      <c r="U1519" t="s">
        <v>546</v>
      </c>
      <c r="V1519" t="s">
        <v>66</v>
      </c>
      <c r="W1519" t="s">
        <v>66</v>
      </c>
      <c r="X1519">
        <v>700878</v>
      </c>
      <c r="Y1519">
        <v>77096.58</v>
      </c>
      <c r="Z1519">
        <v>49252.5</v>
      </c>
      <c r="AA1519">
        <v>5417.78</v>
      </c>
      <c r="AB1519">
        <v>777974.58</v>
      </c>
      <c r="AC1519">
        <v>3</v>
      </c>
      <c r="AD1519" t="s">
        <v>82</v>
      </c>
      <c r="AE1519">
        <v>3</v>
      </c>
      <c r="AF1519" t="s">
        <v>93</v>
      </c>
      <c r="AG1519">
        <f>IFERROR(VLOOKUP(AF1519,[1]STOK!J:O,6,0),"")</f>
        <v>24</v>
      </c>
      <c r="AH1519" s="2">
        <f t="shared" si="46"/>
        <v>0.125</v>
      </c>
      <c r="AI1519" t="s">
        <v>93</v>
      </c>
      <c r="AJ1519" t="s">
        <v>94</v>
      </c>
      <c r="AK1519" t="s">
        <v>95</v>
      </c>
      <c r="AL1519" t="s">
        <v>86</v>
      </c>
      <c r="AM1519">
        <v>18315</v>
      </c>
      <c r="AN1519">
        <f t="shared" si="47"/>
        <v>18223.426666666666</v>
      </c>
      <c r="AO1519" t="s">
        <v>66</v>
      </c>
      <c r="AP1519">
        <v>0.5</v>
      </c>
      <c r="AQ1519" t="s">
        <v>66</v>
      </c>
      <c r="AR1519">
        <v>0</v>
      </c>
      <c r="AS1519" t="s">
        <v>66</v>
      </c>
      <c r="AT1519">
        <v>0</v>
      </c>
      <c r="AU1519" t="s">
        <v>66</v>
      </c>
      <c r="AV1519">
        <v>0</v>
      </c>
      <c r="AW1519" t="s">
        <v>66</v>
      </c>
      <c r="AX1519">
        <v>0</v>
      </c>
      <c r="AY1519" t="s">
        <v>66</v>
      </c>
      <c r="AZ1519">
        <v>0</v>
      </c>
      <c r="BA1519" t="s">
        <v>66</v>
      </c>
      <c r="BB1519">
        <v>0</v>
      </c>
      <c r="BC1519">
        <v>0</v>
      </c>
      <c r="BD1519">
        <v>54670.28</v>
      </c>
      <c r="BE1519">
        <v>14878.51</v>
      </c>
      <c r="BF1519">
        <v>0</v>
      </c>
      <c r="BG1519" t="s">
        <v>87</v>
      </c>
      <c r="BH1519" t="s">
        <v>66</v>
      </c>
      <c r="BI1519">
        <v>0</v>
      </c>
      <c r="BJ1519" t="s">
        <v>66</v>
      </c>
      <c r="BK1519" t="s">
        <v>88</v>
      </c>
      <c r="BL1519" t="s">
        <v>547</v>
      </c>
      <c r="BM1519" t="s">
        <v>159</v>
      </c>
    </row>
    <row r="1520" spans="1:65" x14ac:dyDescent="0.25">
      <c r="A1520">
        <v>1518</v>
      </c>
      <c r="B1520" t="s">
        <v>1663</v>
      </c>
      <c r="C1520" t="s">
        <v>66</v>
      </c>
      <c r="D1520" s="1">
        <v>46223</v>
      </c>
      <c r="E1520" t="s">
        <v>1664</v>
      </c>
      <c r="F1520" t="s">
        <v>68</v>
      </c>
      <c r="G1520" t="s">
        <v>69</v>
      </c>
      <c r="H1520" t="s">
        <v>70</v>
      </c>
      <c r="I1520" t="s">
        <v>71</v>
      </c>
      <c r="J1520" t="s">
        <v>72</v>
      </c>
      <c r="K1520" t="s">
        <v>73</v>
      </c>
      <c r="L1520" t="s">
        <v>74</v>
      </c>
      <c r="M1520" t="s">
        <v>924</v>
      </c>
      <c r="N1520" t="s">
        <v>111</v>
      </c>
      <c r="O1520" t="s">
        <v>925</v>
      </c>
      <c r="P1520" t="s">
        <v>926</v>
      </c>
      <c r="Q1520" t="s">
        <v>1665</v>
      </c>
      <c r="R1520" s="1">
        <v>46224</v>
      </c>
      <c r="S1520" t="s">
        <v>544</v>
      </c>
      <c r="T1520" t="s">
        <v>545</v>
      </c>
      <c r="U1520" t="s">
        <v>546</v>
      </c>
      <c r="V1520" t="s">
        <v>66</v>
      </c>
      <c r="W1520" t="s">
        <v>66</v>
      </c>
      <c r="X1520">
        <v>700878</v>
      </c>
      <c r="Y1520">
        <v>77096.58</v>
      </c>
      <c r="Z1520">
        <v>49252.5</v>
      </c>
      <c r="AA1520">
        <v>5417.78</v>
      </c>
      <c r="AB1520">
        <v>777974.58</v>
      </c>
      <c r="AC1520">
        <v>3</v>
      </c>
      <c r="AD1520" t="s">
        <v>82</v>
      </c>
      <c r="AE1520">
        <v>3</v>
      </c>
      <c r="AF1520" t="s">
        <v>99</v>
      </c>
      <c r="AG1520">
        <f>IFERROR(VLOOKUP(AF1520,[1]STOK!J:O,6,0),"")</f>
        <v>24</v>
      </c>
      <c r="AH1520" s="2">
        <f t="shared" si="46"/>
        <v>0.125</v>
      </c>
      <c r="AI1520" t="s">
        <v>99</v>
      </c>
      <c r="AJ1520" t="s">
        <v>100</v>
      </c>
      <c r="AK1520" t="s">
        <v>101</v>
      </c>
      <c r="AL1520" t="s">
        <v>86</v>
      </c>
      <c r="AM1520">
        <v>18315</v>
      </c>
      <c r="AN1520">
        <f t="shared" si="47"/>
        <v>18223.426666666666</v>
      </c>
      <c r="AO1520" t="s">
        <v>66</v>
      </c>
      <c r="AP1520">
        <v>0.5</v>
      </c>
      <c r="AQ1520" t="s">
        <v>66</v>
      </c>
      <c r="AR1520">
        <v>0</v>
      </c>
      <c r="AS1520" t="s">
        <v>66</v>
      </c>
      <c r="AT1520">
        <v>0</v>
      </c>
      <c r="AU1520" t="s">
        <v>66</v>
      </c>
      <c r="AV1520">
        <v>0</v>
      </c>
      <c r="AW1520" t="s">
        <v>66</v>
      </c>
      <c r="AX1520">
        <v>0</v>
      </c>
      <c r="AY1520" t="s">
        <v>66</v>
      </c>
      <c r="AZ1520">
        <v>0</v>
      </c>
      <c r="BA1520" t="s">
        <v>66</v>
      </c>
      <c r="BB1520">
        <v>0</v>
      </c>
      <c r="BC1520">
        <v>0</v>
      </c>
      <c r="BD1520">
        <v>54670.28</v>
      </c>
      <c r="BE1520">
        <v>14920.37</v>
      </c>
      <c r="BF1520">
        <v>0</v>
      </c>
      <c r="BG1520" t="s">
        <v>87</v>
      </c>
      <c r="BH1520" t="s">
        <v>66</v>
      </c>
      <c r="BI1520">
        <v>0</v>
      </c>
      <c r="BJ1520" t="s">
        <v>66</v>
      </c>
      <c r="BK1520" t="s">
        <v>88</v>
      </c>
      <c r="BL1520" t="s">
        <v>547</v>
      </c>
      <c r="BM1520" t="s">
        <v>159</v>
      </c>
    </row>
    <row r="1521" spans="1:65" x14ac:dyDescent="0.25">
      <c r="A1521">
        <v>1519</v>
      </c>
      <c r="B1521" t="s">
        <v>1663</v>
      </c>
      <c r="C1521" t="s">
        <v>66</v>
      </c>
      <c r="D1521" s="1">
        <v>46223</v>
      </c>
      <c r="E1521" t="s">
        <v>1664</v>
      </c>
      <c r="F1521" t="s">
        <v>68</v>
      </c>
      <c r="G1521" t="s">
        <v>69</v>
      </c>
      <c r="H1521" t="s">
        <v>70</v>
      </c>
      <c r="I1521" t="s">
        <v>71</v>
      </c>
      <c r="J1521" t="s">
        <v>72</v>
      </c>
      <c r="K1521" t="s">
        <v>73</v>
      </c>
      <c r="L1521" t="s">
        <v>74</v>
      </c>
      <c r="M1521" t="s">
        <v>924</v>
      </c>
      <c r="N1521" t="s">
        <v>111</v>
      </c>
      <c r="O1521" t="s">
        <v>925</v>
      </c>
      <c r="P1521" t="s">
        <v>926</v>
      </c>
      <c r="Q1521" t="s">
        <v>1665</v>
      </c>
      <c r="R1521" s="1">
        <v>46224</v>
      </c>
      <c r="S1521" t="s">
        <v>544</v>
      </c>
      <c r="T1521" t="s">
        <v>545</v>
      </c>
      <c r="U1521" t="s">
        <v>546</v>
      </c>
      <c r="V1521" t="s">
        <v>66</v>
      </c>
      <c r="W1521" t="s">
        <v>66</v>
      </c>
      <c r="X1521">
        <v>700878</v>
      </c>
      <c r="Y1521">
        <v>77096.58</v>
      </c>
      <c r="Z1521">
        <v>81490.5</v>
      </c>
      <c r="AA1521">
        <v>8963.9599999999991</v>
      </c>
      <c r="AB1521">
        <v>777974.58</v>
      </c>
      <c r="AC1521">
        <v>3</v>
      </c>
      <c r="AD1521" t="s">
        <v>82</v>
      </c>
      <c r="AE1521">
        <v>3</v>
      </c>
      <c r="AF1521" t="s">
        <v>563</v>
      </c>
      <c r="AG1521">
        <f>IFERROR(VLOOKUP(AF1521,[1]STOK!J:O,6,0),"")</f>
        <v>12</v>
      </c>
      <c r="AH1521" s="2">
        <f t="shared" si="46"/>
        <v>0.25</v>
      </c>
      <c r="AI1521" t="s">
        <v>563</v>
      </c>
      <c r="AJ1521" t="s">
        <v>564</v>
      </c>
      <c r="AK1521" t="s">
        <v>565</v>
      </c>
      <c r="AL1521" t="s">
        <v>86</v>
      </c>
      <c r="AM1521">
        <v>30303</v>
      </c>
      <c r="AN1521">
        <f t="shared" si="47"/>
        <v>30151.486666666668</v>
      </c>
      <c r="AO1521" t="s">
        <v>66</v>
      </c>
      <c r="AP1521">
        <v>0.5</v>
      </c>
      <c r="AQ1521" t="s">
        <v>66</v>
      </c>
      <c r="AR1521">
        <v>0</v>
      </c>
      <c r="AS1521" t="s">
        <v>66</v>
      </c>
      <c r="AT1521">
        <v>0</v>
      </c>
      <c r="AU1521" t="s">
        <v>66</v>
      </c>
      <c r="AV1521">
        <v>0</v>
      </c>
      <c r="AW1521" t="s">
        <v>66</v>
      </c>
      <c r="AX1521">
        <v>0</v>
      </c>
      <c r="AY1521" t="s">
        <v>66</v>
      </c>
      <c r="AZ1521">
        <v>0</v>
      </c>
      <c r="BA1521" t="s">
        <v>66</v>
      </c>
      <c r="BB1521">
        <v>0</v>
      </c>
      <c r="BC1521">
        <v>0</v>
      </c>
      <c r="BD1521">
        <v>90454.46</v>
      </c>
      <c r="BE1521">
        <v>24645.54</v>
      </c>
      <c r="BF1521">
        <v>0</v>
      </c>
      <c r="BG1521" t="s">
        <v>87</v>
      </c>
      <c r="BH1521" t="s">
        <v>66</v>
      </c>
      <c r="BI1521">
        <v>0</v>
      </c>
      <c r="BJ1521" t="s">
        <v>66</v>
      </c>
      <c r="BK1521" t="s">
        <v>88</v>
      </c>
      <c r="BL1521" t="s">
        <v>547</v>
      </c>
      <c r="BM1521" t="s">
        <v>159</v>
      </c>
    </row>
    <row r="1522" spans="1:65" x14ac:dyDescent="0.25">
      <c r="A1522">
        <v>1520</v>
      </c>
      <c r="B1522" t="s">
        <v>1663</v>
      </c>
      <c r="C1522" t="s">
        <v>66</v>
      </c>
      <c r="D1522" s="1">
        <v>46223</v>
      </c>
      <c r="E1522" t="s">
        <v>1664</v>
      </c>
      <c r="F1522" t="s">
        <v>68</v>
      </c>
      <c r="G1522" t="s">
        <v>69</v>
      </c>
      <c r="H1522" t="s">
        <v>70</v>
      </c>
      <c r="I1522" t="s">
        <v>71</v>
      </c>
      <c r="J1522" t="s">
        <v>72</v>
      </c>
      <c r="K1522" t="s">
        <v>73</v>
      </c>
      <c r="L1522" t="s">
        <v>74</v>
      </c>
      <c r="M1522" t="s">
        <v>924</v>
      </c>
      <c r="N1522" t="s">
        <v>111</v>
      </c>
      <c r="O1522" t="s">
        <v>925</v>
      </c>
      <c r="P1522" t="s">
        <v>926</v>
      </c>
      <c r="Q1522" t="s">
        <v>1665</v>
      </c>
      <c r="R1522" s="1">
        <v>46224</v>
      </c>
      <c r="S1522" t="s">
        <v>544</v>
      </c>
      <c r="T1522" t="s">
        <v>545</v>
      </c>
      <c r="U1522" t="s">
        <v>546</v>
      </c>
      <c r="V1522" t="s">
        <v>66</v>
      </c>
      <c r="W1522" t="s">
        <v>66</v>
      </c>
      <c r="X1522">
        <v>700878</v>
      </c>
      <c r="Y1522">
        <v>77096.58</v>
      </c>
      <c r="Z1522">
        <v>79401</v>
      </c>
      <c r="AA1522">
        <v>8734.11</v>
      </c>
      <c r="AB1522">
        <v>777974.58</v>
      </c>
      <c r="AC1522">
        <v>6</v>
      </c>
      <c r="AD1522" t="s">
        <v>82</v>
      </c>
      <c r="AE1522">
        <v>6</v>
      </c>
      <c r="AF1522" t="s">
        <v>135</v>
      </c>
      <c r="AG1522">
        <f>IFERROR(VLOOKUP(AF1522,[1]STOK!J:O,6,0),"")</f>
        <v>12</v>
      </c>
      <c r="AH1522" s="2">
        <f t="shared" si="46"/>
        <v>0.5</v>
      </c>
      <c r="AI1522" t="s">
        <v>135</v>
      </c>
      <c r="AJ1522" t="s">
        <v>136</v>
      </c>
      <c r="AK1522" t="s">
        <v>137</v>
      </c>
      <c r="AL1522" t="s">
        <v>86</v>
      </c>
      <c r="AM1522">
        <v>14763</v>
      </c>
      <c r="AN1522">
        <f t="shared" si="47"/>
        <v>14689.184999999999</v>
      </c>
      <c r="AO1522" t="s">
        <v>66</v>
      </c>
      <c r="AP1522">
        <v>0.5</v>
      </c>
      <c r="AQ1522" t="s">
        <v>66</v>
      </c>
      <c r="AR1522">
        <v>0</v>
      </c>
      <c r="AS1522" t="s">
        <v>66</v>
      </c>
      <c r="AT1522">
        <v>0</v>
      </c>
      <c r="AU1522" t="s">
        <v>66</v>
      </c>
      <c r="AV1522">
        <v>0</v>
      </c>
      <c r="AW1522" t="s">
        <v>66</v>
      </c>
      <c r="AX1522">
        <v>0</v>
      </c>
      <c r="AY1522" t="s">
        <v>66</v>
      </c>
      <c r="AZ1522">
        <v>0</v>
      </c>
      <c r="BA1522" t="s">
        <v>66</v>
      </c>
      <c r="BB1522">
        <v>0</v>
      </c>
      <c r="BC1522">
        <v>0</v>
      </c>
      <c r="BD1522">
        <v>88135.11</v>
      </c>
      <c r="BE1522">
        <v>12035.93</v>
      </c>
      <c r="BF1522">
        <v>0</v>
      </c>
      <c r="BG1522" t="s">
        <v>87</v>
      </c>
      <c r="BH1522" t="s">
        <v>66</v>
      </c>
      <c r="BI1522">
        <v>0</v>
      </c>
      <c r="BJ1522" t="s">
        <v>66</v>
      </c>
      <c r="BK1522" t="s">
        <v>88</v>
      </c>
      <c r="BL1522" t="s">
        <v>547</v>
      </c>
      <c r="BM1522" t="s">
        <v>159</v>
      </c>
    </row>
    <row r="1523" spans="1:65" x14ac:dyDescent="0.25">
      <c r="A1523">
        <v>1521</v>
      </c>
      <c r="B1523" t="s">
        <v>1663</v>
      </c>
      <c r="C1523" t="s">
        <v>66</v>
      </c>
      <c r="D1523" s="1">
        <v>46223</v>
      </c>
      <c r="E1523" t="s">
        <v>1664</v>
      </c>
      <c r="F1523" t="s">
        <v>68</v>
      </c>
      <c r="G1523" t="s">
        <v>69</v>
      </c>
      <c r="H1523" t="s">
        <v>70</v>
      </c>
      <c r="I1523" t="s">
        <v>71</v>
      </c>
      <c r="J1523" t="s">
        <v>72</v>
      </c>
      <c r="K1523" t="s">
        <v>73</v>
      </c>
      <c r="L1523" t="s">
        <v>74</v>
      </c>
      <c r="M1523" t="s">
        <v>924</v>
      </c>
      <c r="N1523" t="s">
        <v>111</v>
      </c>
      <c r="O1523" t="s">
        <v>925</v>
      </c>
      <c r="P1523" t="s">
        <v>926</v>
      </c>
      <c r="Q1523" t="s">
        <v>1665</v>
      </c>
      <c r="R1523" s="1">
        <v>46224</v>
      </c>
      <c r="S1523" t="s">
        <v>544</v>
      </c>
      <c r="T1523" t="s">
        <v>545</v>
      </c>
      <c r="U1523" t="s">
        <v>546</v>
      </c>
      <c r="V1523" t="s">
        <v>66</v>
      </c>
      <c r="W1523" t="s">
        <v>66</v>
      </c>
      <c r="X1523">
        <v>700878</v>
      </c>
      <c r="Y1523">
        <v>77096.58</v>
      </c>
      <c r="Z1523">
        <v>51640.5</v>
      </c>
      <c r="AA1523">
        <v>5680.46</v>
      </c>
      <c r="AB1523">
        <v>777974.58</v>
      </c>
      <c r="AC1523">
        <v>3</v>
      </c>
      <c r="AD1523" t="s">
        <v>82</v>
      </c>
      <c r="AE1523">
        <v>3</v>
      </c>
      <c r="AF1523" t="s">
        <v>359</v>
      </c>
      <c r="AG1523">
        <f>IFERROR(VLOOKUP(AF1523,[1]STOK!J:O,6,0),"")</f>
        <v>12</v>
      </c>
      <c r="AH1523" s="2">
        <f t="shared" si="46"/>
        <v>0.25</v>
      </c>
      <c r="AI1523" t="s">
        <v>359</v>
      </c>
      <c r="AJ1523" t="s">
        <v>360</v>
      </c>
      <c r="AK1523" t="s">
        <v>361</v>
      </c>
      <c r="AL1523" t="s">
        <v>86</v>
      </c>
      <c r="AM1523">
        <v>19203</v>
      </c>
      <c r="AN1523">
        <f t="shared" si="47"/>
        <v>19106.986666666668</v>
      </c>
      <c r="AO1523" t="s">
        <v>66</v>
      </c>
      <c r="AP1523">
        <v>0.5</v>
      </c>
      <c r="AQ1523" t="s">
        <v>66</v>
      </c>
      <c r="AR1523">
        <v>0</v>
      </c>
      <c r="AS1523" t="s">
        <v>66</v>
      </c>
      <c r="AT1523">
        <v>0</v>
      </c>
      <c r="AU1523" t="s">
        <v>66</v>
      </c>
      <c r="AV1523">
        <v>0</v>
      </c>
      <c r="AW1523" t="s">
        <v>66</v>
      </c>
      <c r="AX1523">
        <v>0</v>
      </c>
      <c r="AY1523" t="s">
        <v>66</v>
      </c>
      <c r="AZ1523">
        <v>0</v>
      </c>
      <c r="BA1523" t="s">
        <v>66</v>
      </c>
      <c r="BB1523">
        <v>0</v>
      </c>
      <c r="BC1523">
        <v>0</v>
      </c>
      <c r="BD1523">
        <v>57320.959999999999</v>
      </c>
      <c r="BE1523">
        <v>15628.14</v>
      </c>
      <c r="BF1523">
        <v>0</v>
      </c>
      <c r="BG1523" t="s">
        <v>87</v>
      </c>
      <c r="BH1523" t="s">
        <v>66</v>
      </c>
      <c r="BI1523">
        <v>0</v>
      </c>
      <c r="BJ1523" t="s">
        <v>66</v>
      </c>
      <c r="BK1523" t="s">
        <v>88</v>
      </c>
      <c r="BL1523" t="s">
        <v>547</v>
      </c>
      <c r="BM1523" t="s">
        <v>159</v>
      </c>
    </row>
    <row r="1524" spans="1:65" x14ac:dyDescent="0.25">
      <c r="A1524">
        <v>1522</v>
      </c>
      <c r="B1524" t="s">
        <v>1663</v>
      </c>
      <c r="C1524" t="s">
        <v>66</v>
      </c>
      <c r="D1524" s="1">
        <v>46223</v>
      </c>
      <c r="E1524" t="s">
        <v>1664</v>
      </c>
      <c r="F1524" t="s">
        <v>68</v>
      </c>
      <c r="G1524" t="s">
        <v>69</v>
      </c>
      <c r="H1524" t="s">
        <v>70</v>
      </c>
      <c r="I1524" t="s">
        <v>71</v>
      </c>
      <c r="J1524" t="s">
        <v>72</v>
      </c>
      <c r="K1524" t="s">
        <v>73</v>
      </c>
      <c r="L1524" t="s">
        <v>74</v>
      </c>
      <c r="M1524" t="s">
        <v>924</v>
      </c>
      <c r="N1524" t="s">
        <v>111</v>
      </c>
      <c r="O1524" t="s">
        <v>925</v>
      </c>
      <c r="P1524" t="s">
        <v>926</v>
      </c>
      <c r="Q1524" t="s">
        <v>1665</v>
      </c>
      <c r="R1524" s="1">
        <v>46224</v>
      </c>
      <c r="S1524" t="s">
        <v>544</v>
      </c>
      <c r="T1524" t="s">
        <v>545</v>
      </c>
      <c r="U1524" t="s">
        <v>546</v>
      </c>
      <c r="V1524" t="s">
        <v>66</v>
      </c>
      <c r="W1524" t="s">
        <v>66</v>
      </c>
      <c r="X1524">
        <v>700878</v>
      </c>
      <c r="Y1524">
        <v>77096.58</v>
      </c>
      <c r="Z1524">
        <v>114325.5</v>
      </c>
      <c r="AA1524">
        <v>12575.81</v>
      </c>
      <c r="AB1524">
        <v>777974.58</v>
      </c>
      <c r="AC1524">
        <v>3</v>
      </c>
      <c r="AD1524" t="s">
        <v>82</v>
      </c>
      <c r="AE1524">
        <v>3</v>
      </c>
      <c r="AF1524" t="s">
        <v>138</v>
      </c>
      <c r="AG1524">
        <f>IFERROR(VLOOKUP(AF1524,[1]STOK!J:O,6,0),"")</f>
        <v>6</v>
      </c>
      <c r="AH1524" s="2">
        <f t="shared" si="46"/>
        <v>0.5</v>
      </c>
      <c r="AI1524" t="s">
        <v>138</v>
      </c>
      <c r="AJ1524" t="s">
        <v>139</v>
      </c>
      <c r="AK1524" t="s">
        <v>140</v>
      </c>
      <c r="AL1524" t="s">
        <v>86</v>
      </c>
      <c r="AM1524">
        <v>42513</v>
      </c>
      <c r="AN1524">
        <f t="shared" si="47"/>
        <v>42300.436666666668</v>
      </c>
      <c r="AO1524" t="s">
        <v>66</v>
      </c>
      <c r="AP1524">
        <v>0.5</v>
      </c>
      <c r="AQ1524" t="s">
        <v>66</v>
      </c>
      <c r="AR1524">
        <v>0</v>
      </c>
      <c r="AS1524" t="s">
        <v>66</v>
      </c>
      <c r="AT1524">
        <v>0</v>
      </c>
      <c r="AU1524" t="s">
        <v>66</v>
      </c>
      <c r="AV1524">
        <v>0</v>
      </c>
      <c r="AW1524" t="s">
        <v>66</v>
      </c>
      <c r="AX1524">
        <v>0</v>
      </c>
      <c r="AY1524" t="s">
        <v>66</v>
      </c>
      <c r="AZ1524">
        <v>0</v>
      </c>
      <c r="BA1524" t="s">
        <v>66</v>
      </c>
      <c r="BB1524">
        <v>0</v>
      </c>
      <c r="BC1524">
        <v>0</v>
      </c>
      <c r="BD1524">
        <v>126901.31</v>
      </c>
      <c r="BE1524">
        <v>34654.5</v>
      </c>
      <c r="BF1524">
        <v>0</v>
      </c>
      <c r="BG1524" t="s">
        <v>87</v>
      </c>
      <c r="BH1524" t="s">
        <v>66</v>
      </c>
      <c r="BI1524">
        <v>0</v>
      </c>
      <c r="BJ1524" t="s">
        <v>66</v>
      </c>
      <c r="BK1524" t="s">
        <v>88</v>
      </c>
      <c r="BL1524" t="s">
        <v>547</v>
      </c>
      <c r="BM1524" t="s">
        <v>159</v>
      </c>
    </row>
    <row r="1525" spans="1:65" x14ac:dyDescent="0.25">
      <c r="A1525">
        <v>1523</v>
      </c>
      <c r="B1525" t="s">
        <v>1663</v>
      </c>
      <c r="C1525" t="s">
        <v>66</v>
      </c>
      <c r="D1525" s="1">
        <v>46223</v>
      </c>
      <c r="E1525" t="s">
        <v>1664</v>
      </c>
      <c r="F1525" t="s">
        <v>68</v>
      </c>
      <c r="G1525" t="s">
        <v>69</v>
      </c>
      <c r="H1525" t="s">
        <v>70</v>
      </c>
      <c r="I1525" t="s">
        <v>71</v>
      </c>
      <c r="J1525" t="s">
        <v>72</v>
      </c>
      <c r="K1525" t="s">
        <v>73</v>
      </c>
      <c r="L1525" t="s">
        <v>74</v>
      </c>
      <c r="M1525" t="s">
        <v>924</v>
      </c>
      <c r="N1525" t="s">
        <v>111</v>
      </c>
      <c r="O1525" t="s">
        <v>925</v>
      </c>
      <c r="P1525" t="s">
        <v>926</v>
      </c>
      <c r="Q1525" t="s">
        <v>1665</v>
      </c>
      <c r="R1525" s="1">
        <v>46224</v>
      </c>
      <c r="S1525" t="s">
        <v>544</v>
      </c>
      <c r="T1525" t="s">
        <v>545</v>
      </c>
      <c r="U1525" t="s">
        <v>546</v>
      </c>
      <c r="V1525" t="s">
        <v>66</v>
      </c>
      <c r="W1525" t="s">
        <v>66</v>
      </c>
      <c r="X1525">
        <v>700878</v>
      </c>
      <c r="Y1525">
        <v>77096.58</v>
      </c>
      <c r="Z1525">
        <v>85968</v>
      </c>
      <c r="AA1525">
        <v>9456.48</v>
      </c>
      <c r="AB1525">
        <v>777974.58</v>
      </c>
      <c r="AC1525">
        <v>6</v>
      </c>
      <c r="AD1525" t="s">
        <v>82</v>
      </c>
      <c r="AE1525">
        <v>6</v>
      </c>
      <c r="AF1525" t="s">
        <v>141</v>
      </c>
      <c r="AG1525">
        <f>IFERROR(VLOOKUP(AF1525,[1]STOK!J:O,6,0),"")</f>
        <v>12</v>
      </c>
      <c r="AH1525" s="2">
        <f t="shared" si="46"/>
        <v>0.5</v>
      </c>
      <c r="AI1525" t="s">
        <v>141</v>
      </c>
      <c r="AJ1525" t="s">
        <v>142</v>
      </c>
      <c r="AK1525" t="s">
        <v>143</v>
      </c>
      <c r="AL1525" t="s">
        <v>86</v>
      </c>
      <c r="AM1525">
        <v>15984</v>
      </c>
      <c r="AN1525">
        <f t="shared" si="47"/>
        <v>15904.08</v>
      </c>
      <c r="AO1525" t="s">
        <v>66</v>
      </c>
      <c r="AP1525">
        <v>0.5</v>
      </c>
      <c r="AQ1525" t="s">
        <v>66</v>
      </c>
      <c r="AR1525">
        <v>0</v>
      </c>
      <c r="AS1525" t="s">
        <v>66</v>
      </c>
      <c r="AT1525">
        <v>0</v>
      </c>
      <c r="AU1525" t="s">
        <v>66</v>
      </c>
      <c r="AV1525">
        <v>0</v>
      </c>
      <c r="AW1525" t="s">
        <v>66</v>
      </c>
      <c r="AX1525">
        <v>0</v>
      </c>
      <c r="AY1525" t="s">
        <v>66</v>
      </c>
      <c r="AZ1525">
        <v>0</v>
      </c>
      <c r="BA1525" t="s">
        <v>66</v>
      </c>
      <c r="BB1525">
        <v>0</v>
      </c>
      <c r="BC1525">
        <v>0</v>
      </c>
      <c r="BD1525">
        <v>95424.48</v>
      </c>
      <c r="BE1525">
        <v>13019.17</v>
      </c>
      <c r="BF1525">
        <v>0</v>
      </c>
      <c r="BG1525" t="s">
        <v>87</v>
      </c>
      <c r="BH1525" t="s">
        <v>66</v>
      </c>
      <c r="BI1525">
        <v>0</v>
      </c>
      <c r="BJ1525" t="s">
        <v>66</v>
      </c>
      <c r="BK1525" t="s">
        <v>88</v>
      </c>
      <c r="BL1525" t="s">
        <v>547</v>
      </c>
      <c r="BM1525" t="s">
        <v>159</v>
      </c>
    </row>
    <row r="1526" spans="1:65" x14ac:dyDescent="0.25">
      <c r="A1526">
        <v>1524</v>
      </c>
      <c r="B1526" t="s">
        <v>1663</v>
      </c>
      <c r="C1526" t="s">
        <v>66</v>
      </c>
      <c r="D1526" s="1">
        <v>46223</v>
      </c>
      <c r="E1526" t="s">
        <v>1664</v>
      </c>
      <c r="F1526" t="s">
        <v>68</v>
      </c>
      <c r="G1526" t="s">
        <v>69</v>
      </c>
      <c r="H1526" t="s">
        <v>70</v>
      </c>
      <c r="I1526" t="s">
        <v>71</v>
      </c>
      <c r="J1526" t="s">
        <v>72</v>
      </c>
      <c r="K1526" t="s">
        <v>73</v>
      </c>
      <c r="L1526" t="s">
        <v>74</v>
      </c>
      <c r="M1526" t="s">
        <v>924</v>
      </c>
      <c r="N1526" t="s">
        <v>111</v>
      </c>
      <c r="O1526" t="s">
        <v>925</v>
      </c>
      <c r="P1526" t="s">
        <v>926</v>
      </c>
      <c r="Q1526" t="s">
        <v>1665</v>
      </c>
      <c r="R1526" s="1">
        <v>46224</v>
      </c>
      <c r="S1526" t="s">
        <v>544</v>
      </c>
      <c r="T1526" t="s">
        <v>545</v>
      </c>
      <c r="U1526" t="s">
        <v>546</v>
      </c>
      <c r="V1526" t="s">
        <v>66</v>
      </c>
      <c r="W1526" t="s">
        <v>66</v>
      </c>
      <c r="X1526">
        <v>700878</v>
      </c>
      <c r="Y1526">
        <v>77096.58</v>
      </c>
      <c r="Z1526">
        <v>85968</v>
      </c>
      <c r="AA1526">
        <v>9456.48</v>
      </c>
      <c r="AB1526">
        <v>777974.58</v>
      </c>
      <c r="AC1526">
        <v>6</v>
      </c>
      <c r="AD1526" t="s">
        <v>82</v>
      </c>
      <c r="AE1526">
        <v>6</v>
      </c>
      <c r="AF1526" t="s">
        <v>213</v>
      </c>
      <c r="AG1526">
        <f>IFERROR(VLOOKUP(AF1526,[1]STOK!J:O,6,0),"")</f>
        <v>12</v>
      </c>
      <c r="AH1526" s="2">
        <f t="shared" si="46"/>
        <v>0.5</v>
      </c>
      <c r="AI1526" t="s">
        <v>213</v>
      </c>
      <c r="AJ1526" t="s">
        <v>214</v>
      </c>
      <c r="AK1526" t="s">
        <v>215</v>
      </c>
      <c r="AL1526" t="s">
        <v>86</v>
      </c>
      <c r="AM1526">
        <v>15984</v>
      </c>
      <c r="AN1526">
        <f t="shared" si="47"/>
        <v>15904.08</v>
      </c>
      <c r="AO1526" t="s">
        <v>66</v>
      </c>
      <c r="AP1526">
        <v>0.5</v>
      </c>
      <c r="AQ1526" t="s">
        <v>66</v>
      </c>
      <c r="AR1526">
        <v>0</v>
      </c>
      <c r="AS1526" t="s">
        <v>66</v>
      </c>
      <c r="AT1526">
        <v>0</v>
      </c>
      <c r="AU1526" t="s">
        <v>66</v>
      </c>
      <c r="AV1526">
        <v>0</v>
      </c>
      <c r="AW1526" t="s">
        <v>66</v>
      </c>
      <c r="AX1526">
        <v>0</v>
      </c>
      <c r="AY1526" t="s">
        <v>66</v>
      </c>
      <c r="AZ1526">
        <v>0</v>
      </c>
      <c r="BA1526" t="s">
        <v>66</v>
      </c>
      <c r="BB1526">
        <v>0</v>
      </c>
      <c r="BC1526">
        <v>0</v>
      </c>
      <c r="BD1526">
        <v>95424.48</v>
      </c>
      <c r="BE1526">
        <v>13028.24</v>
      </c>
      <c r="BF1526">
        <v>0</v>
      </c>
      <c r="BG1526" t="s">
        <v>87</v>
      </c>
      <c r="BH1526" t="s">
        <v>66</v>
      </c>
      <c r="BI1526">
        <v>0</v>
      </c>
      <c r="BJ1526" t="s">
        <v>66</v>
      </c>
      <c r="BK1526" t="s">
        <v>88</v>
      </c>
      <c r="BL1526" t="s">
        <v>547</v>
      </c>
      <c r="BM1526" t="s">
        <v>159</v>
      </c>
    </row>
    <row r="1527" spans="1:65" x14ac:dyDescent="0.25">
      <c r="A1527">
        <v>1525</v>
      </c>
      <c r="B1527" t="s">
        <v>1666</v>
      </c>
      <c r="C1527" t="s">
        <v>68</v>
      </c>
      <c r="D1527" s="1">
        <v>46223</v>
      </c>
      <c r="E1527" t="s">
        <v>1667</v>
      </c>
      <c r="F1527" t="s">
        <v>68</v>
      </c>
      <c r="G1527" t="s">
        <v>295</v>
      </c>
      <c r="H1527" t="s">
        <v>296</v>
      </c>
      <c r="I1527" t="s">
        <v>71</v>
      </c>
      <c r="J1527" t="s">
        <v>72</v>
      </c>
      <c r="K1527" t="s">
        <v>73</v>
      </c>
      <c r="L1527" t="s">
        <v>74</v>
      </c>
      <c r="M1527" t="s">
        <v>987</v>
      </c>
      <c r="N1527" t="s">
        <v>76</v>
      </c>
      <c r="O1527" t="s">
        <v>988</v>
      </c>
      <c r="P1527" t="s">
        <v>989</v>
      </c>
      <c r="Q1527" t="s">
        <v>66</v>
      </c>
      <c r="R1527" s="1">
        <v>46223</v>
      </c>
      <c r="S1527" t="s">
        <v>841</v>
      </c>
      <c r="T1527" t="s">
        <v>842</v>
      </c>
      <c r="U1527" t="s">
        <v>843</v>
      </c>
      <c r="V1527" t="s">
        <v>66</v>
      </c>
      <c r="W1527" t="s">
        <v>66</v>
      </c>
      <c r="X1527">
        <v>502446</v>
      </c>
      <c r="Y1527">
        <v>55269.06</v>
      </c>
      <c r="Z1527">
        <v>54096</v>
      </c>
      <c r="AA1527">
        <v>5950.56</v>
      </c>
      <c r="AB1527">
        <v>557715.06000000006</v>
      </c>
      <c r="AC1527">
        <v>3</v>
      </c>
      <c r="AD1527" t="s">
        <v>82</v>
      </c>
      <c r="AE1527">
        <v>3</v>
      </c>
      <c r="AF1527" t="s">
        <v>116</v>
      </c>
      <c r="AG1527">
        <f>IFERROR(VLOOKUP(AF1527,[1]STOK!J:O,6,0),"")</f>
        <v>12</v>
      </c>
      <c r="AH1527" s="2">
        <f t="shared" si="46"/>
        <v>0.25</v>
      </c>
      <c r="AI1527" t="s">
        <v>116</v>
      </c>
      <c r="AJ1527" t="s">
        <v>117</v>
      </c>
      <c r="AK1527" t="s">
        <v>118</v>
      </c>
      <c r="AL1527" t="s">
        <v>86</v>
      </c>
      <c r="AM1527">
        <v>20424</v>
      </c>
      <c r="AN1527">
        <f t="shared" si="47"/>
        <v>20015.52</v>
      </c>
      <c r="AO1527" t="s">
        <v>66</v>
      </c>
      <c r="AP1527">
        <v>2</v>
      </c>
      <c r="AQ1527" t="s">
        <v>66</v>
      </c>
      <c r="AR1527">
        <v>0</v>
      </c>
      <c r="AS1527" t="s">
        <v>66</v>
      </c>
      <c r="AT1527">
        <v>0</v>
      </c>
      <c r="AU1527" t="s">
        <v>66</v>
      </c>
      <c r="AV1527">
        <v>0</v>
      </c>
      <c r="AW1527" t="s">
        <v>66</v>
      </c>
      <c r="AX1527">
        <v>0</v>
      </c>
      <c r="AY1527" t="s">
        <v>66</v>
      </c>
      <c r="AZ1527">
        <v>0</v>
      </c>
      <c r="BA1527" t="s">
        <v>66</v>
      </c>
      <c r="BB1527">
        <v>0</v>
      </c>
      <c r="BC1527">
        <v>0</v>
      </c>
      <c r="BD1527">
        <v>60046.559999999998</v>
      </c>
      <c r="BE1527">
        <v>16641.740000000002</v>
      </c>
      <c r="BF1527">
        <v>0</v>
      </c>
      <c r="BG1527" t="s">
        <v>87</v>
      </c>
      <c r="BH1527" t="s">
        <v>1668</v>
      </c>
      <c r="BI1527">
        <v>3</v>
      </c>
      <c r="BJ1527" t="s">
        <v>158</v>
      </c>
      <c r="BK1527" t="s">
        <v>88</v>
      </c>
      <c r="BL1527" t="s">
        <v>719</v>
      </c>
      <c r="BM1527" t="s">
        <v>159</v>
      </c>
    </row>
    <row r="1528" spans="1:65" x14ac:dyDescent="0.25">
      <c r="A1528">
        <v>1526</v>
      </c>
      <c r="B1528" t="s">
        <v>1666</v>
      </c>
      <c r="C1528" t="s">
        <v>68</v>
      </c>
      <c r="D1528" s="1">
        <v>46223</v>
      </c>
      <c r="E1528" t="s">
        <v>1667</v>
      </c>
      <c r="F1528" t="s">
        <v>68</v>
      </c>
      <c r="G1528" t="s">
        <v>295</v>
      </c>
      <c r="H1528" t="s">
        <v>296</v>
      </c>
      <c r="I1528" t="s">
        <v>71</v>
      </c>
      <c r="J1528" t="s">
        <v>72</v>
      </c>
      <c r="K1528" t="s">
        <v>73</v>
      </c>
      <c r="L1528" t="s">
        <v>74</v>
      </c>
      <c r="M1528" t="s">
        <v>987</v>
      </c>
      <c r="N1528" t="s">
        <v>76</v>
      </c>
      <c r="O1528" t="s">
        <v>988</v>
      </c>
      <c r="P1528" t="s">
        <v>989</v>
      </c>
      <c r="Q1528" t="s">
        <v>66</v>
      </c>
      <c r="R1528" s="1">
        <v>46223</v>
      </c>
      <c r="S1528" t="s">
        <v>841</v>
      </c>
      <c r="T1528" t="s">
        <v>842</v>
      </c>
      <c r="U1528" t="s">
        <v>843</v>
      </c>
      <c r="V1528" t="s">
        <v>66</v>
      </c>
      <c r="W1528" t="s">
        <v>66</v>
      </c>
      <c r="X1528">
        <v>502446</v>
      </c>
      <c r="Y1528">
        <v>55269.06</v>
      </c>
      <c r="Z1528">
        <v>58212</v>
      </c>
      <c r="AA1528">
        <v>6403.32</v>
      </c>
      <c r="AB1528">
        <v>557715.06000000006</v>
      </c>
      <c r="AC1528">
        <v>3</v>
      </c>
      <c r="AD1528" t="s">
        <v>82</v>
      </c>
      <c r="AE1528">
        <v>3</v>
      </c>
      <c r="AF1528" t="s">
        <v>743</v>
      </c>
      <c r="AG1528">
        <f>IFERROR(VLOOKUP(AF1528,[1]STOK!J:O,6,0),"")</f>
        <v>12</v>
      </c>
      <c r="AH1528" s="2">
        <f t="shared" si="46"/>
        <v>0.25</v>
      </c>
      <c r="AI1528" t="s">
        <v>743</v>
      </c>
      <c r="AJ1528" t="s">
        <v>744</v>
      </c>
      <c r="AK1528" t="s">
        <v>745</v>
      </c>
      <c r="AL1528" t="s">
        <v>86</v>
      </c>
      <c r="AM1528">
        <v>21978</v>
      </c>
      <c r="AN1528">
        <f t="shared" si="47"/>
        <v>21538.44</v>
      </c>
      <c r="AO1528" t="s">
        <v>66</v>
      </c>
      <c r="AP1528">
        <v>2</v>
      </c>
      <c r="AQ1528" t="s">
        <v>66</v>
      </c>
      <c r="AR1528">
        <v>0</v>
      </c>
      <c r="AS1528" t="s">
        <v>66</v>
      </c>
      <c r="AT1528">
        <v>0</v>
      </c>
      <c r="AU1528" t="s">
        <v>66</v>
      </c>
      <c r="AV1528">
        <v>0</v>
      </c>
      <c r="AW1528" t="s">
        <v>66</v>
      </c>
      <c r="AX1528">
        <v>0</v>
      </c>
      <c r="AY1528" t="s">
        <v>66</v>
      </c>
      <c r="AZ1528">
        <v>0</v>
      </c>
      <c r="BA1528" t="s">
        <v>66</v>
      </c>
      <c r="BB1528">
        <v>0</v>
      </c>
      <c r="BC1528">
        <v>0</v>
      </c>
      <c r="BD1528">
        <v>64615.32</v>
      </c>
      <c r="BE1528">
        <v>17808.900000000001</v>
      </c>
      <c r="BF1528">
        <v>0</v>
      </c>
      <c r="BG1528" t="s">
        <v>87</v>
      </c>
      <c r="BH1528" t="s">
        <v>1668</v>
      </c>
      <c r="BI1528">
        <v>3</v>
      </c>
      <c r="BJ1528" t="s">
        <v>158</v>
      </c>
      <c r="BK1528" t="s">
        <v>88</v>
      </c>
      <c r="BL1528" t="s">
        <v>719</v>
      </c>
      <c r="BM1528" t="s">
        <v>159</v>
      </c>
    </row>
    <row r="1529" spans="1:65" x14ac:dyDescent="0.25">
      <c r="A1529">
        <v>1527</v>
      </c>
      <c r="B1529" t="s">
        <v>1666</v>
      </c>
      <c r="C1529" t="s">
        <v>68</v>
      </c>
      <c r="D1529" s="1">
        <v>46223</v>
      </c>
      <c r="E1529" t="s">
        <v>1667</v>
      </c>
      <c r="F1529" t="s">
        <v>68</v>
      </c>
      <c r="G1529" t="s">
        <v>295</v>
      </c>
      <c r="H1529" t="s">
        <v>296</v>
      </c>
      <c r="I1529" t="s">
        <v>71</v>
      </c>
      <c r="J1529" t="s">
        <v>72</v>
      </c>
      <c r="K1529" t="s">
        <v>73</v>
      </c>
      <c r="L1529" t="s">
        <v>74</v>
      </c>
      <c r="M1529" t="s">
        <v>987</v>
      </c>
      <c r="N1529" t="s">
        <v>76</v>
      </c>
      <c r="O1529" t="s">
        <v>988</v>
      </c>
      <c r="P1529" t="s">
        <v>989</v>
      </c>
      <c r="Q1529" t="s">
        <v>66</v>
      </c>
      <c r="R1529" s="1">
        <v>46223</v>
      </c>
      <c r="S1529" t="s">
        <v>841</v>
      </c>
      <c r="T1529" t="s">
        <v>842</v>
      </c>
      <c r="U1529" t="s">
        <v>843</v>
      </c>
      <c r="V1529" t="s">
        <v>66</v>
      </c>
      <c r="W1529" t="s">
        <v>66</v>
      </c>
      <c r="X1529">
        <v>502446</v>
      </c>
      <c r="Y1529">
        <v>55269.06</v>
      </c>
      <c r="Z1529">
        <v>46452</v>
      </c>
      <c r="AA1529">
        <v>5109.72</v>
      </c>
      <c r="AB1529">
        <v>557715.06000000006</v>
      </c>
      <c r="AC1529">
        <v>6</v>
      </c>
      <c r="AD1529" t="s">
        <v>82</v>
      </c>
      <c r="AE1529">
        <v>6</v>
      </c>
      <c r="AF1529" t="s">
        <v>344</v>
      </c>
      <c r="AG1529">
        <f>IFERROR(VLOOKUP(AF1529,[1]STOK!J:O,6,0),"")</f>
        <v>24</v>
      </c>
      <c r="AH1529" s="2">
        <f t="shared" si="46"/>
        <v>0.25</v>
      </c>
      <c r="AI1529" t="s">
        <v>344</v>
      </c>
      <c r="AJ1529" t="s">
        <v>345</v>
      </c>
      <c r="AK1529" t="s">
        <v>346</v>
      </c>
      <c r="AL1529" t="s">
        <v>86</v>
      </c>
      <c r="AM1529">
        <v>8769</v>
      </c>
      <c r="AN1529">
        <f t="shared" si="47"/>
        <v>8593.6200000000008</v>
      </c>
      <c r="AO1529" t="s">
        <v>66</v>
      </c>
      <c r="AP1529">
        <v>2</v>
      </c>
      <c r="AQ1529" t="s">
        <v>66</v>
      </c>
      <c r="AR1529">
        <v>0</v>
      </c>
      <c r="AS1529" t="s">
        <v>66</v>
      </c>
      <c r="AT1529">
        <v>0</v>
      </c>
      <c r="AU1529" t="s">
        <v>66</v>
      </c>
      <c r="AV1529">
        <v>0</v>
      </c>
      <c r="AW1529" t="s">
        <v>66</v>
      </c>
      <c r="AX1529">
        <v>0</v>
      </c>
      <c r="AY1529" t="s">
        <v>66</v>
      </c>
      <c r="AZ1529">
        <v>0</v>
      </c>
      <c r="BA1529" t="s">
        <v>66</v>
      </c>
      <c r="BB1529">
        <v>0</v>
      </c>
      <c r="BC1529">
        <v>0</v>
      </c>
      <c r="BD1529">
        <v>51561.72</v>
      </c>
      <c r="BE1529">
        <v>6916.14</v>
      </c>
      <c r="BF1529">
        <v>0</v>
      </c>
      <c r="BG1529" t="s">
        <v>87</v>
      </c>
      <c r="BH1529" t="s">
        <v>1668</v>
      </c>
      <c r="BI1529">
        <v>6</v>
      </c>
      <c r="BJ1529" t="s">
        <v>158</v>
      </c>
      <c r="BK1529" t="s">
        <v>88</v>
      </c>
      <c r="BL1529" t="s">
        <v>719</v>
      </c>
      <c r="BM1529" t="s">
        <v>159</v>
      </c>
    </row>
    <row r="1530" spans="1:65" x14ac:dyDescent="0.25">
      <c r="A1530">
        <v>1528</v>
      </c>
      <c r="B1530" t="s">
        <v>1666</v>
      </c>
      <c r="C1530" t="s">
        <v>68</v>
      </c>
      <c r="D1530" s="1">
        <v>46223</v>
      </c>
      <c r="E1530" t="s">
        <v>1667</v>
      </c>
      <c r="F1530" t="s">
        <v>68</v>
      </c>
      <c r="G1530" t="s">
        <v>295</v>
      </c>
      <c r="H1530" t="s">
        <v>296</v>
      </c>
      <c r="I1530" t="s">
        <v>71</v>
      </c>
      <c r="J1530" t="s">
        <v>72</v>
      </c>
      <c r="K1530" t="s">
        <v>73</v>
      </c>
      <c r="L1530" t="s">
        <v>74</v>
      </c>
      <c r="M1530" t="s">
        <v>987</v>
      </c>
      <c r="N1530" t="s">
        <v>76</v>
      </c>
      <c r="O1530" t="s">
        <v>988</v>
      </c>
      <c r="P1530" t="s">
        <v>989</v>
      </c>
      <c r="Q1530" t="s">
        <v>66</v>
      </c>
      <c r="R1530" s="1">
        <v>46223</v>
      </c>
      <c r="S1530" t="s">
        <v>841</v>
      </c>
      <c r="T1530" t="s">
        <v>842</v>
      </c>
      <c r="U1530" t="s">
        <v>843</v>
      </c>
      <c r="V1530" t="s">
        <v>66</v>
      </c>
      <c r="W1530" t="s">
        <v>66</v>
      </c>
      <c r="X1530">
        <v>502446</v>
      </c>
      <c r="Y1530">
        <v>55269.06</v>
      </c>
      <c r="Z1530">
        <v>97020</v>
      </c>
      <c r="AA1530">
        <v>10672.2</v>
      </c>
      <c r="AB1530">
        <v>557715.06000000006</v>
      </c>
      <c r="AC1530">
        <v>6</v>
      </c>
      <c r="AD1530" t="s">
        <v>82</v>
      </c>
      <c r="AE1530">
        <v>6</v>
      </c>
      <c r="AF1530" t="s">
        <v>205</v>
      </c>
      <c r="AG1530">
        <f>IFERROR(VLOOKUP(AF1530,[1]STOK!J:O,6,0),"")</f>
        <v>24</v>
      </c>
      <c r="AH1530" s="2">
        <f t="shared" si="46"/>
        <v>0.25</v>
      </c>
      <c r="AI1530" t="s">
        <v>205</v>
      </c>
      <c r="AJ1530" t="s">
        <v>206</v>
      </c>
      <c r="AK1530" t="s">
        <v>207</v>
      </c>
      <c r="AL1530" t="s">
        <v>86</v>
      </c>
      <c r="AM1530">
        <v>18315</v>
      </c>
      <c r="AN1530">
        <f t="shared" si="47"/>
        <v>17948.7</v>
      </c>
      <c r="AO1530" t="s">
        <v>66</v>
      </c>
      <c r="AP1530">
        <v>2</v>
      </c>
      <c r="AQ1530" t="s">
        <v>66</v>
      </c>
      <c r="AR1530">
        <v>0</v>
      </c>
      <c r="AS1530" t="s">
        <v>66</v>
      </c>
      <c r="AT1530">
        <v>0</v>
      </c>
      <c r="AU1530" t="s">
        <v>66</v>
      </c>
      <c r="AV1530">
        <v>0</v>
      </c>
      <c r="AW1530" t="s">
        <v>66</v>
      </c>
      <c r="AX1530">
        <v>0</v>
      </c>
      <c r="AY1530" t="s">
        <v>66</v>
      </c>
      <c r="AZ1530">
        <v>0</v>
      </c>
      <c r="BA1530" t="s">
        <v>66</v>
      </c>
      <c r="BB1530">
        <v>0</v>
      </c>
      <c r="BC1530">
        <v>0</v>
      </c>
      <c r="BD1530">
        <v>107692.2</v>
      </c>
      <c r="BE1530">
        <v>14892.95</v>
      </c>
      <c r="BF1530">
        <v>0</v>
      </c>
      <c r="BG1530" t="s">
        <v>87</v>
      </c>
      <c r="BH1530" t="s">
        <v>1668</v>
      </c>
      <c r="BI1530">
        <v>6</v>
      </c>
      <c r="BJ1530" t="s">
        <v>158</v>
      </c>
      <c r="BK1530" t="s">
        <v>88</v>
      </c>
      <c r="BL1530" t="s">
        <v>719</v>
      </c>
      <c r="BM1530" t="s">
        <v>159</v>
      </c>
    </row>
    <row r="1531" spans="1:65" x14ac:dyDescent="0.25">
      <c r="A1531">
        <v>1529</v>
      </c>
      <c r="B1531" t="s">
        <v>1666</v>
      </c>
      <c r="C1531" t="s">
        <v>68</v>
      </c>
      <c r="D1531" s="1">
        <v>46223</v>
      </c>
      <c r="E1531" t="s">
        <v>1667</v>
      </c>
      <c r="F1531" t="s">
        <v>68</v>
      </c>
      <c r="G1531" t="s">
        <v>295</v>
      </c>
      <c r="H1531" t="s">
        <v>296</v>
      </c>
      <c r="I1531" t="s">
        <v>71</v>
      </c>
      <c r="J1531" t="s">
        <v>72</v>
      </c>
      <c r="K1531" t="s">
        <v>73</v>
      </c>
      <c r="L1531" t="s">
        <v>74</v>
      </c>
      <c r="M1531" t="s">
        <v>987</v>
      </c>
      <c r="N1531" t="s">
        <v>76</v>
      </c>
      <c r="O1531" t="s">
        <v>988</v>
      </c>
      <c r="P1531" t="s">
        <v>989</v>
      </c>
      <c r="Q1531" t="s">
        <v>66</v>
      </c>
      <c r="R1531" s="1">
        <v>46223</v>
      </c>
      <c r="S1531" t="s">
        <v>841</v>
      </c>
      <c r="T1531" t="s">
        <v>842</v>
      </c>
      <c r="U1531" t="s">
        <v>843</v>
      </c>
      <c r="V1531" t="s">
        <v>66</v>
      </c>
      <c r="W1531" t="s">
        <v>66</v>
      </c>
      <c r="X1531">
        <v>502446</v>
      </c>
      <c r="Y1531">
        <v>55269.06</v>
      </c>
      <c r="Z1531">
        <v>78204</v>
      </c>
      <c r="AA1531">
        <v>8602.44</v>
      </c>
      <c r="AB1531">
        <v>557715.06000000006</v>
      </c>
      <c r="AC1531">
        <v>6</v>
      </c>
      <c r="AD1531" t="s">
        <v>82</v>
      </c>
      <c r="AE1531">
        <v>6</v>
      </c>
      <c r="AF1531" t="s">
        <v>210</v>
      </c>
      <c r="AG1531">
        <f>IFERROR(VLOOKUP(AF1531,[1]STOK!J:O,6,0),"")</f>
        <v>12</v>
      </c>
      <c r="AH1531" s="2">
        <f t="shared" si="46"/>
        <v>0.5</v>
      </c>
      <c r="AI1531" t="s">
        <v>210</v>
      </c>
      <c r="AJ1531" t="s">
        <v>211</v>
      </c>
      <c r="AK1531" t="s">
        <v>212</v>
      </c>
      <c r="AL1531" t="s">
        <v>86</v>
      </c>
      <c r="AM1531">
        <v>14763</v>
      </c>
      <c r="AN1531">
        <f t="shared" si="47"/>
        <v>14467.74</v>
      </c>
      <c r="AO1531" t="s">
        <v>66</v>
      </c>
      <c r="AP1531">
        <v>2</v>
      </c>
      <c r="AQ1531" t="s">
        <v>66</v>
      </c>
      <c r="AR1531">
        <v>0</v>
      </c>
      <c r="AS1531" t="s">
        <v>66</v>
      </c>
      <c r="AT1531">
        <v>0</v>
      </c>
      <c r="AU1531" t="s">
        <v>66</v>
      </c>
      <c r="AV1531">
        <v>0</v>
      </c>
      <c r="AW1531" t="s">
        <v>66</v>
      </c>
      <c r="AX1531">
        <v>0</v>
      </c>
      <c r="AY1531" t="s">
        <v>66</v>
      </c>
      <c r="AZ1531">
        <v>0</v>
      </c>
      <c r="BA1531" t="s">
        <v>66</v>
      </c>
      <c r="BB1531">
        <v>0</v>
      </c>
      <c r="BC1531">
        <v>0</v>
      </c>
      <c r="BD1531">
        <v>86806.44</v>
      </c>
      <c r="BE1531">
        <v>12013.43</v>
      </c>
      <c r="BF1531">
        <v>0</v>
      </c>
      <c r="BG1531" t="s">
        <v>87</v>
      </c>
      <c r="BH1531" t="s">
        <v>1668</v>
      </c>
      <c r="BI1531">
        <v>6</v>
      </c>
      <c r="BJ1531" t="s">
        <v>158</v>
      </c>
      <c r="BK1531" t="s">
        <v>88</v>
      </c>
      <c r="BL1531" t="s">
        <v>719</v>
      </c>
      <c r="BM1531" t="s">
        <v>159</v>
      </c>
    </row>
    <row r="1532" spans="1:65" x14ac:dyDescent="0.25">
      <c r="A1532">
        <v>1530</v>
      </c>
      <c r="B1532" t="s">
        <v>1666</v>
      </c>
      <c r="C1532" t="s">
        <v>68</v>
      </c>
      <c r="D1532" s="1">
        <v>46223</v>
      </c>
      <c r="E1532" t="s">
        <v>1667</v>
      </c>
      <c r="F1532" t="s">
        <v>68</v>
      </c>
      <c r="G1532" t="s">
        <v>295</v>
      </c>
      <c r="H1532" t="s">
        <v>296</v>
      </c>
      <c r="I1532" t="s">
        <v>71</v>
      </c>
      <c r="J1532" t="s">
        <v>72</v>
      </c>
      <c r="K1532" t="s">
        <v>73</v>
      </c>
      <c r="L1532" t="s">
        <v>74</v>
      </c>
      <c r="M1532" t="s">
        <v>987</v>
      </c>
      <c r="N1532" t="s">
        <v>76</v>
      </c>
      <c r="O1532" t="s">
        <v>988</v>
      </c>
      <c r="P1532" t="s">
        <v>989</v>
      </c>
      <c r="Q1532" t="s">
        <v>66</v>
      </c>
      <c r="R1532" s="1">
        <v>46223</v>
      </c>
      <c r="S1532" t="s">
        <v>841</v>
      </c>
      <c r="T1532" t="s">
        <v>842</v>
      </c>
      <c r="U1532" t="s">
        <v>843</v>
      </c>
      <c r="V1532" t="s">
        <v>66</v>
      </c>
      <c r="W1532" t="s">
        <v>66</v>
      </c>
      <c r="X1532">
        <v>502446</v>
      </c>
      <c r="Y1532">
        <v>55269.06</v>
      </c>
      <c r="Z1532">
        <v>50862</v>
      </c>
      <c r="AA1532">
        <v>5594.82</v>
      </c>
      <c r="AB1532">
        <v>557715.06000000006</v>
      </c>
      <c r="AC1532">
        <v>3</v>
      </c>
      <c r="AD1532" t="s">
        <v>82</v>
      </c>
      <c r="AE1532">
        <v>3</v>
      </c>
      <c r="AF1532" t="s">
        <v>359</v>
      </c>
      <c r="AG1532">
        <f>IFERROR(VLOOKUP(AF1532,[1]STOK!J:O,6,0),"")</f>
        <v>12</v>
      </c>
      <c r="AH1532" s="2">
        <f t="shared" si="46"/>
        <v>0.25</v>
      </c>
      <c r="AI1532" t="s">
        <v>359</v>
      </c>
      <c r="AJ1532" t="s">
        <v>360</v>
      </c>
      <c r="AK1532" t="s">
        <v>361</v>
      </c>
      <c r="AL1532" t="s">
        <v>86</v>
      </c>
      <c r="AM1532">
        <v>19203</v>
      </c>
      <c r="AN1532">
        <f t="shared" si="47"/>
        <v>18818.939999999999</v>
      </c>
      <c r="AO1532" t="s">
        <v>66</v>
      </c>
      <c r="AP1532">
        <v>2</v>
      </c>
      <c r="AQ1532" t="s">
        <v>66</v>
      </c>
      <c r="AR1532">
        <v>0</v>
      </c>
      <c r="AS1532" t="s">
        <v>66</v>
      </c>
      <c r="AT1532">
        <v>0</v>
      </c>
      <c r="AU1532" t="s">
        <v>66</v>
      </c>
      <c r="AV1532">
        <v>0</v>
      </c>
      <c r="AW1532" t="s">
        <v>66</v>
      </c>
      <c r="AX1532">
        <v>0</v>
      </c>
      <c r="AY1532" t="s">
        <v>66</v>
      </c>
      <c r="AZ1532">
        <v>0</v>
      </c>
      <c r="BA1532" t="s">
        <v>66</v>
      </c>
      <c r="BB1532">
        <v>0</v>
      </c>
      <c r="BC1532">
        <v>0</v>
      </c>
      <c r="BD1532">
        <v>56456.82</v>
      </c>
      <c r="BE1532">
        <v>15628.14</v>
      </c>
      <c r="BF1532">
        <v>0</v>
      </c>
      <c r="BG1532" t="s">
        <v>87</v>
      </c>
      <c r="BH1532" t="s">
        <v>1668</v>
      </c>
      <c r="BI1532">
        <v>3</v>
      </c>
      <c r="BJ1532" t="s">
        <v>158</v>
      </c>
      <c r="BK1532" t="s">
        <v>88</v>
      </c>
      <c r="BL1532" t="s">
        <v>719</v>
      </c>
      <c r="BM1532" t="s">
        <v>159</v>
      </c>
    </row>
    <row r="1533" spans="1:65" x14ac:dyDescent="0.25">
      <c r="A1533">
        <v>1531</v>
      </c>
      <c r="B1533" t="s">
        <v>1666</v>
      </c>
      <c r="C1533" t="s">
        <v>68</v>
      </c>
      <c r="D1533" s="1">
        <v>46223</v>
      </c>
      <c r="E1533" t="s">
        <v>1667</v>
      </c>
      <c r="F1533" t="s">
        <v>68</v>
      </c>
      <c r="G1533" t="s">
        <v>295</v>
      </c>
      <c r="H1533" t="s">
        <v>296</v>
      </c>
      <c r="I1533" t="s">
        <v>71</v>
      </c>
      <c r="J1533" t="s">
        <v>72</v>
      </c>
      <c r="K1533" t="s">
        <v>73</v>
      </c>
      <c r="L1533" t="s">
        <v>74</v>
      </c>
      <c r="M1533" t="s">
        <v>987</v>
      </c>
      <c r="N1533" t="s">
        <v>76</v>
      </c>
      <c r="O1533" t="s">
        <v>988</v>
      </c>
      <c r="P1533" t="s">
        <v>989</v>
      </c>
      <c r="Q1533" t="s">
        <v>66</v>
      </c>
      <c r="R1533" s="1">
        <v>46223</v>
      </c>
      <c r="S1533" t="s">
        <v>841</v>
      </c>
      <c r="T1533" t="s">
        <v>842</v>
      </c>
      <c r="U1533" t="s">
        <v>843</v>
      </c>
      <c r="V1533" t="s">
        <v>66</v>
      </c>
      <c r="W1533" t="s">
        <v>66</v>
      </c>
      <c r="X1533">
        <v>502446</v>
      </c>
      <c r="Y1533">
        <v>55269.06</v>
      </c>
      <c r="Z1533">
        <v>58800</v>
      </c>
      <c r="AA1533">
        <v>6468</v>
      </c>
      <c r="AB1533">
        <v>557715.06000000006</v>
      </c>
      <c r="AC1533">
        <v>3</v>
      </c>
      <c r="AD1533" t="s">
        <v>82</v>
      </c>
      <c r="AE1533">
        <v>3</v>
      </c>
      <c r="AF1533" t="s">
        <v>290</v>
      </c>
      <c r="AG1533">
        <f>IFERROR(VLOOKUP(AF1533,[1]STOK!J:O,6,0),"")</f>
        <v>12</v>
      </c>
      <c r="AH1533" s="2">
        <f t="shared" si="46"/>
        <v>0.25</v>
      </c>
      <c r="AI1533" t="s">
        <v>290</v>
      </c>
      <c r="AJ1533" t="s">
        <v>291</v>
      </c>
      <c r="AK1533" t="s">
        <v>292</v>
      </c>
      <c r="AL1533" t="s">
        <v>86</v>
      </c>
      <c r="AM1533">
        <v>22200</v>
      </c>
      <c r="AN1533">
        <f t="shared" si="47"/>
        <v>21756</v>
      </c>
      <c r="AO1533" t="s">
        <v>66</v>
      </c>
      <c r="AP1533">
        <v>2</v>
      </c>
      <c r="AQ1533" t="s">
        <v>66</v>
      </c>
      <c r="AR1533">
        <v>0</v>
      </c>
      <c r="AS1533" t="s">
        <v>66</v>
      </c>
      <c r="AT1533">
        <v>0</v>
      </c>
      <c r="AU1533" t="s">
        <v>66</v>
      </c>
      <c r="AV1533">
        <v>0</v>
      </c>
      <c r="AW1533" t="s">
        <v>66</v>
      </c>
      <c r="AX1533">
        <v>0</v>
      </c>
      <c r="AY1533" t="s">
        <v>66</v>
      </c>
      <c r="AZ1533">
        <v>0</v>
      </c>
      <c r="BA1533" t="s">
        <v>66</v>
      </c>
      <c r="BB1533">
        <v>0</v>
      </c>
      <c r="BC1533">
        <v>0</v>
      </c>
      <c r="BD1533">
        <v>65268</v>
      </c>
      <c r="BE1533">
        <v>18103.439999999999</v>
      </c>
      <c r="BF1533">
        <v>0</v>
      </c>
      <c r="BG1533" t="s">
        <v>87</v>
      </c>
      <c r="BH1533" t="s">
        <v>1668</v>
      </c>
      <c r="BI1533">
        <v>3</v>
      </c>
      <c r="BJ1533" t="s">
        <v>158</v>
      </c>
      <c r="BK1533" t="s">
        <v>88</v>
      </c>
      <c r="BL1533" t="s">
        <v>719</v>
      </c>
      <c r="BM1533" t="s">
        <v>159</v>
      </c>
    </row>
    <row r="1534" spans="1:65" x14ac:dyDescent="0.25">
      <c r="A1534">
        <v>1532</v>
      </c>
      <c r="B1534" t="s">
        <v>1666</v>
      </c>
      <c r="C1534" t="s">
        <v>68</v>
      </c>
      <c r="D1534" s="1">
        <v>46223</v>
      </c>
      <c r="E1534" t="s">
        <v>1667</v>
      </c>
      <c r="F1534" t="s">
        <v>68</v>
      </c>
      <c r="G1534" t="s">
        <v>295</v>
      </c>
      <c r="H1534" t="s">
        <v>296</v>
      </c>
      <c r="I1534" t="s">
        <v>71</v>
      </c>
      <c r="J1534" t="s">
        <v>72</v>
      </c>
      <c r="K1534" t="s">
        <v>73</v>
      </c>
      <c r="L1534" t="s">
        <v>74</v>
      </c>
      <c r="M1534" t="s">
        <v>987</v>
      </c>
      <c r="N1534" t="s">
        <v>76</v>
      </c>
      <c r="O1534" t="s">
        <v>988</v>
      </c>
      <c r="P1534" t="s">
        <v>989</v>
      </c>
      <c r="Q1534" t="s">
        <v>66</v>
      </c>
      <c r="R1534" s="1">
        <v>46223</v>
      </c>
      <c r="S1534" t="s">
        <v>841</v>
      </c>
      <c r="T1534" t="s">
        <v>842</v>
      </c>
      <c r="U1534" t="s">
        <v>843</v>
      </c>
      <c r="V1534" t="s">
        <v>66</v>
      </c>
      <c r="W1534" t="s">
        <v>66</v>
      </c>
      <c r="X1534">
        <v>502446</v>
      </c>
      <c r="Y1534">
        <v>55269.06</v>
      </c>
      <c r="Z1534">
        <v>58800</v>
      </c>
      <c r="AA1534">
        <v>6468</v>
      </c>
      <c r="AB1534">
        <v>557715.06000000006</v>
      </c>
      <c r="AC1534">
        <v>3</v>
      </c>
      <c r="AD1534" t="s">
        <v>82</v>
      </c>
      <c r="AE1534">
        <v>3</v>
      </c>
      <c r="AF1534" t="s">
        <v>102</v>
      </c>
      <c r="AG1534">
        <f>IFERROR(VLOOKUP(AF1534,[1]STOK!J:O,6,0),"")</f>
        <v>12</v>
      </c>
      <c r="AH1534" s="2">
        <f t="shared" si="46"/>
        <v>0.25</v>
      </c>
      <c r="AI1534" t="s">
        <v>102</v>
      </c>
      <c r="AJ1534" t="s">
        <v>103</v>
      </c>
      <c r="AK1534" t="s">
        <v>104</v>
      </c>
      <c r="AL1534" t="s">
        <v>86</v>
      </c>
      <c r="AM1534">
        <v>22200</v>
      </c>
      <c r="AN1534">
        <f t="shared" si="47"/>
        <v>21756</v>
      </c>
      <c r="AO1534" t="s">
        <v>66</v>
      </c>
      <c r="AP1534">
        <v>2</v>
      </c>
      <c r="AQ1534" t="s">
        <v>66</v>
      </c>
      <c r="AR1534">
        <v>0</v>
      </c>
      <c r="AS1534" t="s">
        <v>66</v>
      </c>
      <c r="AT1534">
        <v>0</v>
      </c>
      <c r="AU1534" t="s">
        <v>66</v>
      </c>
      <c r="AV1534">
        <v>0</v>
      </c>
      <c r="AW1534" t="s">
        <v>66</v>
      </c>
      <c r="AX1534">
        <v>0</v>
      </c>
      <c r="AY1534" t="s">
        <v>66</v>
      </c>
      <c r="AZ1534">
        <v>0</v>
      </c>
      <c r="BA1534" t="s">
        <v>66</v>
      </c>
      <c r="BB1534">
        <v>0</v>
      </c>
      <c r="BC1534">
        <v>0</v>
      </c>
      <c r="BD1534">
        <v>65268</v>
      </c>
      <c r="BE1534">
        <v>18055.25</v>
      </c>
      <c r="BF1534">
        <v>0</v>
      </c>
      <c r="BG1534" t="s">
        <v>87</v>
      </c>
      <c r="BH1534" t="s">
        <v>1668</v>
      </c>
      <c r="BI1534">
        <v>3</v>
      </c>
      <c r="BJ1534" t="s">
        <v>158</v>
      </c>
      <c r="BK1534" t="s">
        <v>88</v>
      </c>
      <c r="BL1534" t="s">
        <v>719</v>
      </c>
      <c r="BM1534" t="s">
        <v>159</v>
      </c>
    </row>
    <row r="1535" spans="1:65" x14ac:dyDescent="0.25">
      <c r="A1535">
        <v>1533</v>
      </c>
      <c r="B1535" t="s">
        <v>1669</v>
      </c>
      <c r="C1535" t="s">
        <v>68</v>
      </c>
      <c r="D1535" s="1">
        <v>46223</v>
      </c>
      <c r="E1535" t="s">
        <v>1670</v>
      </c>
      <c r="F1535" t="s">
        <v>68</v>
      </c>
      <c r="G1535" t="s">
        <v>295</v>
      </c>
      <c r="H1535" t="s">
        <v>296</v>
      </c>
      <c r="I1535" t="s">
        <v>71</v>
      </c>
      <c r="J1535" t="s">
        <v>72</v>
      </c>
      <c r="K1535" t="s">
        <v>73</v>
      </c>
      <c r="L1535" t="s">
        <v>74</v>
      </c>
      <c r="M1535" t="s">
        <v>1081</v>
      </c>
      <c r="N1535" t="s">
        <v>76</v>
      </c>
      <c r="O1535" t="s">
        <v>1082</v>
      </c>
      <c r="P1535" t="s">
        <v>1083</v>
      </c>
      <c r="Q1535" t="s">
        <v>1671</v>
      </c>
      <c r="R1535" s="1">
        <v>46225</v>
      </c>
      <c r="S1535" t="s">
        <v>841</v>
      </c>
      <c r="T1535" t="s">
        <v>842</v>
      </c>
      <c r="U1535" t="s">
        <v>843</v>
      </c>
      <c r="V1535" t="s">
        <v>66</v>
      </c>
      <c r="W1535" t="s">
        <v>66</v>
      </c>
      <c r="X1535">
        <v>857892</v>
      </c>
      <c r="Y1535">
        <v>94368.12</v>
      </c>
      <c r="Z1535">
        <v>216384</v>
      </c>
      <c r="AA1535">
        <v>23802.240000000002</v>
      </c>
      <c r="AB1535">
        <v>952260.12</v>
      </c>
      <c r="AC1535">
        <v>12</v>
      </c>
      <c r="AD1535" t="s">
        <v>82</v>
      </c>
      <c r="AE1535">
        <v>12</v>
      </c>
      <c r="AF1535" t="s">
        <v>160</v>
      </c>
      <c r="AG1535">
        <f>IFERROR(VLOOKUP(AF1535,[1]STOK!J:O,6,0),"")</f>
        <v>12</v>
      </c>
      <c r="AH1535" s="2">
        <f t="shared" si="46"/>
        <v>1</v>
      </c>
      <c r="AI1535" t="s">
        <v>160</v>
      </c>
      <c r="AJ1535" t="s">
        <v>161</v>
      </c>
      <c r="AK1535" t="s">
        <v>162</v>
      </c>
      <c r="AL1535" t="s">
        <v>86</v>
      </c>
      <c r="AM1535">
        <v>20424</v>
      </c>
      <c r="AN1535">
        <f t="shared" si="47"/>
        <v>20015.52</v>
      </c>
      <c r="AO1535" t="s">
        <v>66</v>
      </c>
      <c r="AP1535">
        <v>2</v>
      </c>
      <c r="AQ1535" t="s">
        <v>66</v>
      </c>
      <c r="AR1535">
        <v>0</v>
      </c>
      <c r="AS1535" t="s">
        <v>66</v>
      </c>
      <c r="AT1535">
        <v>0</v>
      </c>
      <c r="AU1535" t="s">
        <v>66</v>
      </c>
      <c r="AV1535">
        <v>0</v>
      </c>
      <c r="AW1535" t="s">
        <v>66</v>
      </c>
      <c r="AX1535">
        <v>0</v>
      </c>
      <c r="AY1535" t="s">
        <v>66</v>
      </c>
      <c r="AZ1535">
        <v>0</v>
      </c>
      <c r="BA1535" t="s">
        <v>66</v>
      </c>
      <c r="BB1535">
        <v>0</v>
      </c>
      <c r="BC1535">
        <v>0</v>
      </c>
      <c r="BD1535">
        <v>240186.23999999999</v>
      </c>
      <c r="BE1535">
        <v>16709.57</v>
      </c>
      <c r="BF1535">
        <v>0</v>
      </c>
      <c r="BG1535" t="s">
        <v>87</v>
      </c>
      <c r="BH1535" t="s">
        <v>66</v>
      </c>
      <c r="BI1535">
        <v>0</v>
      </c>
      <c r="BJ1535" t="s">
        <v>66</v>
      </c>
      <c r="BK1535" t="s">
        <v>88</v>
      </c>
      <c r="BL1535" t="s">
        <v>719</v>
      </c>
      <c r="BM1535" t="s">
        <v>159</v>
      </c>
    </row>
    <row r="1536" spans="1:65" x14ac:dyDescent="0.25">
      <c r="A1536">
        <v>1534</v>
      </c>
      <c r="B1536" t="s">
        <v>1669</v>
      </c>
      <c r="C1536" t="s">
        <v>68</v>
      </c>
      <c r="D1536" s="1">
        <v>46223</v>
      </c>
      <c r="E1536" t="s">
        <v>1670</v>
      </c>
      <c r="F1536" t="s">
        <v>68</v>
      </c>
      <c r="G1536" t="s">
        <v>295</v>
      </c>
      <c r="H1536" t="s">
        <v>296</v>
      </c>
      <c r="I1536" t="s">
        <v>71</v>
      </c>
      <c r="J1536" t="s">
        <v>72</v>
      </c>
      <c r="K1536" t="s">
        <v>73</v>
      </c>
      <c r="L1536" t="s">
        <v>74</v>
      </c>
      <c r="M1536" t="s">
        <v>1081</v>
      </c>
      <c r="N1536" t="s">
        <v>76</v>
      </c>
      <c r="O1536" t="s">
        <v>1082</v>
      </c>
      <c r="P1536" t="s">
        <v>1083</v>
      </c>
      <c r="Q1536" t="s">
        <v>1671</v>
      </c>
      <c r="R1536" s="1">
        <v>46225</v>
      </c>
      <c r="S1536" t="s">
        <v>841</v>
      </c>
      <c r="T1536" t="s">
        <v>842</v>
      </c>
      <c r="U1536" t="s">
        <v>843</v>
      </c>
      <c r="V1536" t="s">
        <v>66</v>
      </c>
      <c r="W1536" t="s">
        <v>66</v>
      </c>
      <c r="X1536">
        <v>857892</v>
      </c>
      <c r="Y1536">
        <v>94368.12</v>
      </c>
      <c r="Z1536">
        <v>216384</v>
      </c>
      <c r="AA1536">
        <v>23802.240000000002</v>
      </c>
      <c r="AB1536">
        <v>952260.12</v>
      </c>
      <c r="AC1536">
        <v>12</v>
      </c>
      <c r="AD1536" t="s">
        <v>82</v>
      </c>
      <c r="AE1536">
        <v>12</v>
      </c>
      <c r="AF1536" t="s">
        <v>116</v>
      </c>
      <c r="AG1536">
        <f>IFERROR(VLOOKUP(AF1536,[1]STOK!J:O,6,0),"")</f>
        <v>12</v>
      </c>
      <c r="AH1536" s="2">
        <f t="shared" si="46"/>
        <v>1</v>
      </c>
      <c r="AI1536" t="s">
        <v>116</v>
      </c>
      <c r="AJ1536" t="s">
        <v>117</v>
      </c>
      <c r="AK1536" t="s">
        <v>118</v>
      </c>
      <c r="AL1536" t="s">
        <v>86</v>
      </c>
      <c r="AM1536">
        <v>20424</v>
      </c>
      <c r="AN1536">
        <f t="shared" si="47"/>
        <v>20015.52</v>
      </c>
      <c r="AO1536" t="s">
        <v>66</v>
      </c>
      <c r="AP1536">
        <v>2</v>
      </c>
      <c r="AQ1536" t="s">
        <v>66</v>
      </c>
      <c r="AR1536">
        <v>0</v>
      </c>
      <c r="AS1536" t="s">
        <v>66</v>
      </c>
      <c r="AT1536">
        <v>0</v>
      </c>
      <c r="AU1536" t="s">
        <v>66</v>
      </c>
      <c r="AV1536">
        <v>0</v>
      </c>
      <c r="AW1536" t="s">
        <v>66</v>
      </c>
      <c r="AX1536">
        <v>0</v>
      </c>
      <c r="AY1536" t="s">
        <v>66</v>
      </c>
      <c r="AZ1536">
        <v>0</v>
      </c>
      <c r="BA1536" t="s">
        <v>66</v>
      </c>
      <c r="BB1536">
        <v>0</v>
      </c>
      <c r="BC1536">
        <v>0</v>
      </c>
      <c r="BD1536">
        <v>240186.23999999999</v>
      </c>
      <c r="BE1536">
        <v>16641.740000000002</v>
      </c>
      <c r="BF1536">
        <v>0</v>
      </c>
      <c r="BG1536" t="s">
        <v>87</v>
      </c>
      <c r="BH1536" t="s">
        <v>66</v>
      </c>
      <c r="BI1536">
        <v>0</v>
      </c>
      <c r="BJ1536" t="s">
        <v>66</v>
      </c>
      <c r="BK1536" t="s">
        <v>88</v>
      </c>
      <c r="BL1536" t="s">
        <v>719</v>
      </c>
      <c r="BM1536" t="s">
        <v>159</v>
      </c>
    </row>
    <row r="1537" spans="1:65" x14ac:dyDescent="0.25">
      <c r="A1537">
        <v>1535</v>
      </c>
      <c r="B1537" t="s">
        <v>1669</v>
      </c>
      <c r="C1537" t="s">
        <v>68</v>
      </c>
      <c r="D1537" s="1">
        <v>46223</v>
      </c>
      <c r="E1537" t="s">
        <v>1670</v>
      </c>
      <c r="F1537" t="s">
        <v>68</v>
      </c>
      <c r="G1537" t="s">
        <v>295</v>
      </c>
      <c r="H1537" t="s">
        <v>296</v>
      </c>
      <c r="I1537" t="s">
        <v>71</v>
      </c>
      <c r="J1537" t="s">
        <v>72</v>
      </c>
      <c r="K1537" t="s">
        <v>73</v>
      </c>
      <c r="L1537" t="s">
        <v>74</v>
      </c>
      <c r="M1537" t="s">
        <v>1081</v>
      </c>
      <c r="N1537" t="s">
        <v>76</v>
      </c>
      <c r="O1537" t="s">
        <v>1082</v>
      </c>
      <c r="P1537" t="s">
        <v>1083</v>
      </c>
      <c r="Q1537" t="s">
        <v>1671</v>
      </c>
      <c r="R1537" s="1">
        <v>46225</v>
      </c>
      <c r="S1537" t="s">
        <v>841</v>
      </c>
      <c r="T1537" t="s">
        <v>842</v>
      </c>
      <c r="U1537" t="s">
        <v>843</v>
      </c>
      <c r="V1537" t="s">
        <v>66</v>
      </c>
      <c r="W1537" t="s">
        <v>66</v>
      </c>
      <c r="X1537">
        <v>857892</v>
      </c>
      <c r="Y1537">
        <v>94368.12</v>
      </c>
      <c r="Z1537">
        <v>21756</v>
      </c>
      <c r="AA1537">
        <v>2393.16</v>
      </c>
      <c r="AB1537">
        <v>952260.12</v>
      </c>
      <c r="AC1537">
        <v>3</v>
      </c>
      <c r="AD1537" t="s">
        <v>82</v>
      </c>
      <c r="AE1537">
        <v>3</v>
      </c>
      <c r="AF1537" t="s">
        <v>262</v>
      </c>
      <c r="AG1537">
        <f>IFERROR(VLOOKUP(AF1537,[1]STOK!J:O,6,0),"")</f>
        <v>24</v>
      </c>
      <c r="AH1537" s="2">
        <f t="shared" si="46"/>
        <v>0.125</v>
      </c>
      <c r="AI1537" t="s">
        <v>262</v>
      </c>
      <c r="AJ1537" t="s">
        <v>263</v>
      </c>
      <c r="AK1537" t="s">
        <v>264</v>
      </c>
      <c r="AL1537" t="s">
        <v>86</v>
      </c>
      <c r="AM1537">
        <v>8214</v>
      </c>
      <c r="AN1537">
        <f t="shared" si="47"/>
        <v>8049.72</v>
      </c>
      <c r="AO1537" t="s">
        <v>66</v>
      </c>
      <c r="AP1537">
        <v>2</v>
      </c>
      <c r="AQ1537" t="s">
        <v>66</v>
      </c>
      <c r="AR1537">
        <v>0</v>
      </c>
      <c r="AS1537" t="s">
        <v>66</v>
      </c>
      <c r="AT1537">
        <v>0</v>
      </c>
      <c r="AU1537" t="s">
        <v>66</v>
      </c>
      <c r="AV1537">
        <v>0</v>
      </c>
      <c r="AW1537" t="s">
        <v>66</v>
      </c>
      <c r="AX1537">
        <v>0</v>
      </c>
      <c r="AY1537" t="s">
        <v>66</v>
      </c>
      <c r="AZ1537">
        <v>0</v>
      </c>
      <c r="BA1537" t="s">
        <v>66</v>
      </c>
      <c r="BB1537">
        <v>0</v>
      </c>
      <c r="BC1537">
        <v>0</v>
      </c>
      <c r="BD1537">
        <v>24149.16</v>
      </c>
      <c r="BE1537">
        <v>6681.53</v>
      </c>
      <c r="BF1537">
        <v>0</v>
      </c>
      <c r="BG1537" t="s">
        <v>87</v>
      </c>
      <c r="BH1537" t="s">
        <v>66</v>
      </c>
      <c r="BI1537">
        <v>0</v>
      </c>
      <c r="BJ1537" t="s">
        <v>66</v>
      </c>
      <c r="BK1537" t="s">
        <v>88</v>
      </c>
      <c r="BL1537" t="s">
        <v>719</v>
      </c>
      <c r="BM1537" t="s">
        <v>159</v>
      </c>
    </row>
    <row r="1538" spans="1:65" x14ac:dyDescent="0.25">
      <c r="A1538">
        <v>1536</v>
      </c>
      <c r="B1538" t="s">
        <v>1669</v>
      </c>
      <c r="C1538" t="s">
        <v>68</v>
      </c>
      <c r="D1538" s="1">
        <v>46223</v>
      </c>
      <c r="E1538" t="s">
        <v>1670</v>
      </c>
      <c r="F1538" t="s">
        <v>68</v>
      </c>
      <c r="G1538" t="s">
        <v>295</v>
      </c>
      <c r="H1538" t="s">
        <v>296</v>
      </c>
      <c r="I1538" t="s">
        <v>71</v>
      </c>
      <c r="J1538" t="s">
        <v>72</v>
      </c>
      <c r="K1538" t="s">
        <v>73</v>
      </c>
      <c r="L1538" t="s">
        <v>74</v>
      </c>
      <c r="M1538" t="s">
        <v>1081</v>
      </c>
      <c r="N1538" t="s">
        <v>76</v>
      </c>
      <c r="O1538" t="s">
        <v>1082</v>
      </c>
      <c r="P1538" t="s">
        <v>1083</v>
      </c>
      <c r="Q1538" t="s">
        <v>1671</v>
      </c>
      <c r="R1538" s="1">
        <v>46225</v>
      </c>
      <c r="S1538" t="s">
        <v>841</v>
      </c>
      <c r="T1538" t="s">
        <v>842</v>
      </c>
      <c r="U1538" t="s">
        <v>843</v>
      </c>
      <c r="V1538" t="s">
        <v>66</v>
      </c>
      <c r="W1538" t="s">
        <v>66</v>
      </c>
      <c r="X1538">
        <v>857892</v>
      </c>
      <c r="Y1538">
        <v>94368.12</v>
      </c>
      <c r="Z1538">
        <v>21756</v>
      </c>
      <c r="AA1538">
        <v>2393.16</v>
      </c>
      <c r="AB1538">
        <v>952260.12</v>
      </c>
      <c r="AC1538">
        <v>3</v>
      </c>
      <c r="AD1538" t="s">
        <v>82</v>
      </c>
      <c r="AE1538">
        <v>3</v>
      </c>
      <c r="AF1538" t="s">
        <v>83</v>
      </c>
      <c r="AG1538">
        <f>IFERROR(VLOOKUP(AF1538,[1]STOK!J:O,6,0),"")</f>
        <v>24</v>
      </c>
      <c r="AH1538" s="2">
        <f t="shared" si="46"/>
        <v>0.125</v>
      </c>
      <c r="AI1538" t="s">
        <v>83</v>
      </c>
      <c r="AJ1538" t="s">
        <v>84</v>
      </c>
      <c r="AK1538" t="s">
        <v>85</v>
      </c>
      <c r="AL1538" t="s">
        <v>86</v>
      </c>
      <c r="AM1538">
        <v>8214</v>
      </c>
      <c r="AN1538">
        <f t="shared" si="47"/>
        <v>8049.72</v>
      </c>
      <c r="AO1538" t="s">
        <v>66</v>
      </c>
      <c r="AP1538">
        <v>2</v>
      </c>
      <c r="AQ1538" t="s">
        <v>66</v>
      </c>
      <c r="AR1538">
        <v>0</v>
      </c>
      <c r="AS1538" t="s">
        <v>66</v>
      </c>
      <c r="AT1538">
        <v>0</v>
      </c>
      <c r="AU1538" t="s">
        <v>66</v>
      </c>
      <c r="AV1538">
        <v>0</v>
      </c>
      <c r="AW1538" t="s">
        <v>66</v>
      </c>
      <c r="AX1538">
        <v>0</v>
      </c>
      <c r="AY1538" t="s">
        <v>66</v>
      </c>
      <c r="AZ1538">
        <v>0</v>
      </c>
      <c r="BA1538" t="s">
        <v>66</v>
      </c>
      <c r="BB1538">
        <v>0</v>
      </c>
      <c r="BC1538">
        <v>0</v>
      </c>
      <c r="BD1538">
        <v>24149.16</v>
      </c>
      <c r="BE1538">
        <v>6590.47</v>
      </c>
      <c r="BF1538">
        <v>0</v>
      </c>
      <c r="BG1538" t="s">
        <v>87</v>
      </c>
      <c r="BH1538" t="s">
        <v>66</v>
      </c>
      <c r="BI1538">
        <v>0</v>
      </c>
      <c r="BJ1538" t="s">
        <v>66</v>
      </c>
      <c r="BK1538" t="s">
        <v>88</v>
      </c>
      <c r="BL1538" t="s">
        <v>719</v>
      </c>
      <c r="BM1538" t="s">
        <v>159</v>
      </c>
    </row>
    <row r="1539" spans="1:65" x14ac:dyDescent="0.25">
      <c r="A1539">
        <v>1537</v>
      </c>
      <c r="B1539" t="s">
        <v>1669</v>
      </c>
      <c r="C1539" t="s">
        <v>68</v>
      </c>
      <c r="D1539" s="1">
        <v>46223</v>
      </c>
      <c r="E1539" t="s">
        <v>1670</v>
      </c>
      <c r="F1539" t="s">
        <v>68</v>
      </c>
      <c r="G1539" t="s">
        <v>295</v>
      </c>
      <c r="H1539" t="s">
        <v>296</v>
      </c>
      <c r="I1539" t="s">
        <v>71</v>
      </c>
      <c r="J1539" t="s">
        <v>72</v>
      </c>
      <c r="K1539" t="s">
        <v>73</v>
      </c>
      <c r="L1539" t="s">
        <v>74</v>
      </c>
      <c r="M1539" t="s">
        <v>1081</v>
      </c>
      <c r="N1539" t="s">
        <v>76</v>
      </c>
      <c r="O1539" t="s">
        <v>1082</v>
      </c>
      <c r="P1539" t="s">
        <v>1083</v>
      </c>
      <c r="Q1539" t="s">
        <v>1671</v>
      </c>
      <c r="R1539" s="1">
        <v>46225</v>
      </c>
      <c r="S1539" t="s">
        <v>841</v>
      </c>
      <c r="T1539" t="s">
        <v>842</v>
      </c>
      <c r="U1539" t="s">
        <v>843</v>
      </c>
      <c r="V1539" t="s">
        <v>66</v>
      </c>
      <c r="W1539" t="s">
        <v>66</v>
      </c>
      <c r="X1539">
        <v>857892</v>
      </c>
      <c r="Y1539">
        <v>94368.12</v>
      </c>
      <c r="Z1539">
        <v>58212</v>
      </c>
      <c r="AA1539">
        <v>6403.32</v>
      </c>
      <c r="AB1539">
        <v>952260.12</v>
      </c>
      <c r="AC1539">
        <v>3</v>
      </c>
      <c r="AD1539" t="s">
        <v>82</v>
      </c>
      <c r="AE1539">
        <v>3</v>
      </c>
      <c r="AF1539" t="s">
        <v>370</v>
      </c>
      <c r="AG1539">
        <f>IFERROR(VLOOKUP(AF1539,[1]STOK!J:O,6,0),"")</f>
        <v>12</v>
      </c>
      <c r="AH1539" s="2">
        <f t="shared" si="46"/>
        <v>0.25</v>
      </c>
      <c r="AI1539" t="s">
        <v>370</v>
      </c>
      <c r="AJ1539" t="s">
        <v>371</v>
      </c>
      <c r="AK1539" t="s">
        <v>372</v>
      </c>
      <c r="AL1539" t="s">
        <v>86</v>
      </c>
      <c r="AM1539">
        <v>21978</v>
      </c>
      <c r="AN1539">
        <f t="shared" si="47"/>
        <v>21538.44</v>
      </c>
      <c r="AO1539" t="s">
        <v>66</v>
      </c>
      <c r="AP1539">
        <v>2</v>
      </c>
      <c r="AQ1539" t="s">
        <v>66</v>
      </c>
      <c r="AR1539">
        <v>0</v>
      </c>
      <c r="AS1539" t="s">
        <v>66</v>
      </c>
      <c r="AT1539">
        <v>0</v>
      </c>
      <c r="AU1539" t="s">
        <v>66</v>
      </c>
      <c r="AV1539">
        <v>0</v>
      </c>
      <c r="AW1539" t="s">
        <v>66</v>
      </c>
      <c r="AX1539">
        <v>0</v>
      </c>
      <c r="AY1539" t="s">
        <v>66</v>
      </c>
      <c r="AZ1539">
        <v>0</v>
      </c>
      <c r="BA1539" t="s">
        <v>66</v>
      </c>
      <c r="BB1539">
        <v>0</v>
      </c>
      <c r="BC1539">
        <v>0</v>
      </c>
      <c r="BD1539">
        <v>64615.32</v>
      </c>
      <c r="BE1539">
        <v>17699.07</v>
      </c>
      <c r="BF1539">
        <v>0</v>
      </c>
      <c r="BG1539" t="s">
        <v>87</v>
      </c>
      <c r="BH1539" t="s">
        <v>66</v>
      </c>
      <c r="BI1539">
        <v>0</v>
      </c>
      <c r="BJ1539" t="s">
        <v>66</v>
      </c>
      <c r="BK1539" t="s">
        <v>88</v>
      </c>
      <c r="BL1539" t="s">
        <v>719</v>
      </c>
      <c r="BM1539" t="s">
        <v>159</v>
      </c>
    </row>
    <row r="1540" spans="1:65" x14ac:dyDescent="0.25">
      <c r="A1540">
        <v>1538</v>
      </c>
      <c r="B1540" t="s">
        <v>1669</v>
      </c>
      <c r="C1540" t="s">
        <v>68</v>
      </c>
      <c r="D1540" s="1">
        <v>46223</v>
      </c>
      <c r="E1540" t="s">
        <v>1670</v>
      </c>
      <c r="F1540" t="s">
        <v>68</v>
      </c>
      <c r="G1540" t="s">
        <v>295</v>
      </c>
      <c r="H1540" t="s">
        <v>296</v>
      </c>
      <c r="I1540" t="s">
        <v>71</v>
      </c>
      <c r="J1540" t="s">
        <v>72</v>
      </c>
      <c r="K1540" t="s">
        <v>73</v>
      </c>
      <c r="L1540" t="s">
        <v>74</v>
      </c>
      <c r="M1540" t="s">
        <v>1081</v>
      </c>
      <c r="N1540" t="s">
        <v>76</v>
      </c>
      <c r="O1540" t="s">
        <v>1082</v>
      </c>
      <c r="P1540" t="s">
        <v>1083</v>
      </c>
      <c r="Q1540" t="s">
        <v>1671</v>
      </c>
      <c r="R1540" s="1">
        <v>46225</v>
      </c>
      <c r="S1540" t="s">
        <v>841</v>
      </c>
      <c r="T1540" t="s">
        <v>842</v>
      </c>
      <c r="U1540" t="s">
        <v>843</v>
      </c>
      <c r="V1540" t="s">
        <v>66</v>
      </c>
      <c r="W1540" t="s">
        <v>66</v>
      </c>
      <c r="X1540">
        <v>857892</v>
      </c>
      <c r="Y1540">
        <v>94368.12</v>
      </c>
      <c r="Z1540">
        <v>46452</v>
      </c>
      <c r="AA1540">
        <v>5109.72</v>
      </c>
      <c r="AB1540">
        <v>952260.12</v>
      </c>
      <c r="AC1540">
        <v>6</v>
      </c>
      <c r="AD1540" t="s">
        <v>82</v>
      </c>
      <c r="AE1540">
        <v>6</v>
      </c>
      <c r="AF1540" t="s">
        <v>248</v>
      </c>
      <c r="AG1540">
        <f>IFERROR(VLOOKUP(AF1540,[1]STOK!J:O,6,0),"")</f>
        <v>24</v>
      </c>
      <c r="AH1540" s="2">
        <f t="shared" ref="AH1540:AH1603" si="48">AE1540/AG1540</f>
        <v>0.25</v>
      </c>
      <c r="AI1540" t="s">
        <v>248</v>
      </c>
      <c r="AJ1540" t="s">
        <v>249</v>
      </c>
      <c r="AK1540" t="s">
        <v>250</v>
      </c>
      <c r="AL1540" t="s">
        <v>86</v>
      </c>
      <c r="AM1540">
        <v>8769</v>
      </c>
      <c r="AN1540">
        <f t="shared" ref="AN1540:AN1603" si="49">BD1540/AC1540</f>
        <v>8593.6200000000008</v>
      </c>
      <c r="AO1540" t="s">
        <v>66</v>
      </c>
      <c r="AP1540">
        <v>2</v>
      </c>
      <c r="AQ1540" t="s">
        <v>66</v>
      </c>
      <c r="AR1540">
        <v>0</v>
      </c>
      <c r="AS1540" t="s">
        <v>66</v>
      </c>
      <c r="AT1540">
        <v>0</v>
      </c>
      <c r="AU1540" t="s">
        <v>66</v>
      </c>
      <c r="AV1540">
        <v>0</v>
      </c>
      <c r="AW1540" t="s">
        <v>66</v>
      </c>
      <c r="AX1540">
        <v>0</v>
      </c>
      <c r="AY1540" t="s">
        <v>66</v>
      </c>
      <c r="AZ1540">
        <v>0</v>
      </c>
      <c r="BA1540" t="s">
        <v>66</v>
      </c>
      <c r="BB1540">
        <v>0</v>
      </c>
      <c r="BC1540">
        <v>0</v>
      </c>
      <c r="BD1540">
        <v>51561.72</v>
      </c>
      <c r="BE1540">
        <v>7274.07</v>
      </c>
      <c r="BF1540">
        <v>0</v>
      </c>
      <c r="BG1540" t="s">
        <v>87</v>
      </c>
      <c r="BH1540" t="s">
        <v>66</v>
      </c>
      <c r="BI1540">
        <v>0</v>
      </c>
      <c r="BJ1540" t="s">
        <v>66</v>
      </c>
      <c r="BK1540" t="s">
        <v>88</v>
      </c>
      <c r="BL1540" t="s">
        <v>719</v>
      </c>
      <c r="BM1540" t="s">
        <v>159</v>
      </c>
    </row>
    <row r="1541" spans="1:65" x14ac:dyDescent="0.25">
      <c r="A1541">
        <v>1539</v>
      </c>
      <c r="B1541" t="s">
        <v>1669</v>
      </c>
      <c r="C1541" t="s">
        <v>68</v>
      </c>
      <c r="D1541" s="1">
        <v>46223</v>
      </c>
      <c r="E1541" t="s">
        <v>1670</v>
      </c>
      <c r="F1541" t="s">
        <v>68</v>
      </c>
      <c r="G1541" t="s">
        <v>295</v>
      </c>
      <c r="H1541" t="s">
        <v>296</v>
      </c>
      <c r="I1541" t="s">
        <v>71</v>
      </c>
      <c r="J1541" t="s">
        <v>72</v>
      </c>
      <c r="K1541" t="s">
        <v>73</v>
      </c>
      <c r="L1541" t="s">
        <v>74</v>
      </c>
      <c r="M1541" t="s">
        <v>1081</v>
      </c>
      <c r="N1541" t="s">
        <v>76</v>
      </c>
      <c r="O1541" t="s">
        <v>1082</v>
      </c>
      <c r="P1541" t="s">
        <v>1083</v>
      </c>
      <c r="Q1541" t="s">
        <v>1671</v>
      </c>
      <c r="R1541" s="1">
        <v>46225</v>
      </c>
      <c r="S1541" t="s">
        <v>841</v>
      </c>
      <c r="T1541" t="s">
        <v>842</v>
      </c>
      <c r="U1541" t="s">
        <v>843</v>
      </c>
      <c r="V1541" t="s">
        <v>66</v>
      </c>
      <c r="W1541" t="s">
        <v>66</v>
      </c>
      <c r="X1541">
        <v>857892</v>
      </c>
      <c r="Y1541">
        <v>94368.12</v>
      </c>
      <c r="Z1541">
        <v>23226</v>
      </c>
      <c r="AA1541">
        <v>2554.86</v>
      </c>
      <c r="AB1541">
        <v>952260.12</v>
      </c>
      <c r="AC1541">
        <v>3</v>
      </c>
      <c r="AD1541" t="s">
        <v>82</v>
      </c>
      <c r="AE1541">
        <v>3</v>
      </c>
      <c r="AF1541" t="s">
        <v>199</v>
      </c>
      <c r="AG1541">
        <f>IFERROR(VLOOKUP(AF1541,[1]STOK!J:O,6,0),"")</f>
        <v>24</v>
      </c>
      <c r="AH1541" s="2">
        <f t="shared" si="48"/>
        <v>0.125</v>
      </c>
      <c r="AI1541" t="s">
        <v>199</v>
      </c>
      <c r="AJ1541" t="s">
        <v>200</v>
      </c>
      <c r="AK1541" t="s">
        <v>201</v>
      </c>
      <c r="AL1541" t="s">
        <v>86</v>
      </c>
      <c r="AM1541">
        <v>8769</v>
      </c>
      <c r="AN1541">
        <f t="shared" si="49"/>
        <v>8593.6200000000008</v>
      </c>
      <c r="AO1541" t="s">
        <v>66</v>
      </c>
      <c r="AP1541">
        <v>2</v>
      </c>
      <c r="AQ1541" t="s">
        <v>66</v>
      </c>
      <c r="AR1541">
        <v>0</v>
      </c>
      <c r="AS1541" t="s">
        <v>66</v>
      </c>
      <c r="AT1541">
        <v>0</v>
      </c>
      <c r="AU1541" t="s">
        <v>66</v>
      </c>
      <c r="AV1541">
        <v>0</v>
      </c>
      <c r="AW1541" t="s">
        <v>66</v>
      </c>
      <c r="AX1541">
        <v>0</v>
      </c>
      <c r="AY1541" t="s">
        <v>66</v>
      </c>
      <c r="AZ1541">
        <v>0</v>
      </c>
      <c r="BA1541" t="s">
        <v>66</v>
      </c>
      <c r="BB1541">
        <v>0</v>
      </c>
      <c r="BC1541">
        <v>0</v>
      </c>
      <c r="BD1541">
        <v>25780.86</v>
      </c>
      <c r="BE1541">
        <v>7265.68</v>
      </c>
      <c r="BF1541">
        <v>0</v>
      </c>
      <c r="BG1541" t="s">
        <v>87</v>
      </c>
      <c r="BH1541" t="s">
        <v>66</v>
      </c>
      <c r="BI1541">
        <v>0</v>
      </c>
      <c r="BJ1541" t="s">
        <v>66</v>
      </c>
      <c r="BK1541" t="s">
        <v>88</v>
      </c>
      <c r="BL1541" t="s">
        <v>719</v>
      </c>
      <c r="BM1541" t="s">
        <v>159</v>
      </c>
    </row>
    <row r="1542" spans="1:65" x14ac:dyDescent="0.25">
      <c r="A1542">
        <v>1540</v>
      </c>
      <c r="B1542" t="s">
        <v>1669</v>
      </c>
      <c r="C1542" t="s">
        <v>68</v>
      </c>
      <c r="D1542" s="1">
        <v>46223</v>
      </c>
      <c r="E1542" t="s">
        <v>1670</v>
      </c>
      <c r="F1542" t="s">
        <v>68</v>
      </c>
      <c r="G1542" t="s">
        <v>295</v>
      </c>
      <c r="H1542" t="s">
        <v>296</v>
      </c>
      <c r="I1542" t="s">
        <v>71</v>
      </c>
      <c r="J1542" t="s">
        <v>72</v>
      </c>
      <c r="K1542" t="s">
        <v>73</v>
      </c>
      <c r="L1542" t="s">
        <v>74</v>
      </c>
      <c r="M1542" t="s">
        <v>1081</v>
      </c>
      <c r="N1542" t="s">
        <v>76</v>
      </c>
      <c r="O1542" t="s">
        <v>1082</v>
      </c>
      <c r="P1542" t="s">
        <v>1083</v>
      </c>
      <c r="Q1542" t="s">
        <v>1671</v>
      </c>
      <c r="R1542" s="1">
        <v>46225</v>
      </c>
      <c r="S1542" t="s">
        <v>841</v>
      </c>
      <c r="T1542" t="s">
        <v>842</v>
      </c>
      <c r="U1542" t="s">
        <v>843</v>
      </c>
      <c r="V1542" t="s">
        <v>66</v>
      </c>
      <c r="W1542" t="s">
        <v>66</v>
      </c>
      <c r="X1542">
        <v>857892</v>
      </c>
      <c r="Y1542">
        <v>94368.12</v>
      </c>
      <c r="Z1542">
        <v>48510</v>
      </c>
      <c r="AA1542">
        <v>5336.1</v>
      </c>
      <c r="AB1542">
        <v>952260.12</v>
      </c>
      <c r="AC1542">
        <v>3</v>
      </c>
      <c r="AD1542" t="s">
        <v>82</v>
      </c>
      <c r="AE1542">
        <v>3</v>
      </c>
      <c r="AF1542" t="s">
        <v>93</v>
      </c>
      <c r="AG1542">
        <f>IFERROR(VLOOKUP(AF1542,[1]STOK!J:O,6,0),"")</f>
        <v>24</v>
      </c>
      <c r="AH1542" s="2">
        <f t="shared" si="48"/>
        <v>0.125</v>
      </c>
      <c r="AI1542" t="s">
        <v>93</v>
      </c>
      <c r="AJ1542" t="s">
        <v>94</v>
      </c>
      <c r="AK1542" t="s">
        <v>95</v>
      </c>
      <c r="AL1542" t="s">
        <v>86</v>
      </c>
      <c r="AM1542">
        <v>18315</v>
      </c>
      <c r="AN1542">
        <f t="shared" si="49"/>
        <v>17948.7</v>
      </c>
      <c r="AO1542" t="s">
        <v>66</v>
      </c>
      <c r="AP1542">
        <v>2</v>
      </c>
      <c r="AQ1542" t="s">
        <v>66</v>
      </c>
      <c r="AR1542">
        <v>0</v>
      </c>
      <c r="AS1542" t="s">
        <v>66</v>
      </c>
      <c r="AT1542">
        <v>0</v>
      </c>
      <c r="AU1542" t="s">
        <v>66</v>
      </c>
      <c r="AV1542">
        <v>0</v>
      </c>
      <c r="AW1542" t="s">
        <v>66</v>
      </c>
      <c r="AX1542">
        <v>0</v>
      </c>
      <c r="AY1542" t="s">
        <v>66</v>
      </c>
      <c r="AZ1542">
        <v>0</v>
      </c>
      <c r="BA1542" t="s">
        <v>66</v>
      </c>
      <c r="BB1542">
        <v>0</v>
      </c>
      <c r="BC1542">
        <v>0</v>
      </c>
      <c r="BD1542">
        <v>53846.1</v>
      </c>
      <c r="BE1542">
        <v>14878.51</v>
      </c>
      <c r="BF1542">
        <v>0</v>
      </c>
      <c r="BG1542" t="s">
        <v>87</v>
      </c>
      <c r="BH1542" t="s">
        <v>66</v>
      </c>
      <c r="BI1542">
        <v>0</v>
      </c>
      <c r="BJ1542" t="s">
        <v>66</v>
      </c>
      <c r="BK1542" t="s">
        <v>88</v>
      </c>
      <c r="BL1542" t="s">
        <v>719</v>
      </c>
      <c r="BM1542" t="s">
        <v>159</v>
      </c>
    </row>
    <row r="1543" spans="1:65" x14ac:dyDescent="0.25">
      <c r="A1543">
        <v>1541</v>
      </c>
      <c r="B1543" t="s">
        <v>1669</v>
      </c>
      <c r="C1543" t="s">
        <v>68</v>
      </c>
      <c r="D1543" s="1">
        <v>46223</v>
      </c>
      <c r="E1543" t="s">
        <v>1670</v>
      </c>
      <c r="F1543" t="s">
        <v>68</v>
      </c>
      <c r="G1543" t="s">
        <v>295</v>
      </c>
      <c r="H1543" t="s">
        <v>296</v>
      </c>
      <c r="I1543" t="s">
        <v>71</v>
      </c>
      <c r="J1543" t="s">
        <v>72</v>
      </c>
      <c r="K1543" t="s">
        <v>73</v>
      </c>
      <c r="L1543" t="s">
        <v>74</v>
      </c>
      <c r="M1543" t="s">
        <v>1081</v>
      </c>
      <c r="N1543" t="s">
        <v>76</v>
      </c>
      <c r="O1543" t="s">
        <v>1082</v>
      </c>
      <c r="P1543" t="s">
        <v>1083</v>
      </c>
      <c r="Q1543" t="s">
        <v>1671</v>
      </c>
      <c r="R1543" s="1">
        <v>46225</v>
      </c>
      <c r="S1543" t="s">
        <v>841</v>
      </c>
      <c r="T1543" t="s">
        <v>842</v>
      </c>
      <c r="U1543" t="s">
        <v>843</v>
      </c>
      <c r="V1543" t="s">
        <v>66</v>
      </c>
      <c r="W1543" t="s">
        <v>66</v>
      </c>
      <c r="X1543">
        <v>857892</v>
      </c>
      <c r="Y1543">
        <v>94368.12</v>
      </c>
      <c r="Z1543">
        <v>48510</v>
      </c>
      <c r="AA1543">
        <v>5336.1</v>
      </c>
      <c r="AB1543">
        <v>952260.12</v>
      </c>
      <c r="AC1543">
        <v>3</v>
      </c>
      <c r="AD1543" t="s">
        <v>82</v>
      </c>
      <c r="AE1543">
        <v>3</v>
      </c>
      <c r="AF1543" t="s">
        <v>205</v>
      </c>
      <c r="AG1543">
        <f>IFERROR(VLOOKUP(AF1543,[1]STOK!J:O,6,0),"")</f>
        <v>24</v>
      </c>
      <c r="AH1543" s="2">
        <f t="shared" si="48"/>
        <v>0.125</v>
      </c>
      <c r="AI1543" t="s">
        <v>205</v>
      </c>
      <c r="AJ1543" t="s">
        <v>206</v>
      </c>
      <c r="AK1543" t="s">
        <v>207</v>
      </c>
      <c r="AL1543" t="s">
        <v>86</v>
      </c>
      <c r="AM1543">
        <v>18315</v>
      </c>
      <c r="AN1543">
        <f t="shared" si="49"/>
        <v>17948.7</v>
      </c>
      <c r="AO1543" t="s">
        <v>66</v>
      </c>
      <c r="AP1543">
        <v>2</v>
      </c>
      <c r="AQ1543" t="s">
        <v>66</v>
      </c>
      <c r="AR1543">
        <v>0</v>
      </c>
      <c r="AS1543" t="s">
        <v>66</v>
      </c>
      <c r="AT1543">
        <v>0</v>
      </c>
      <c r="AU1543" t="s">
        <v>66</v>
      </c>
      <c r="AV1543">
        <v>0</v>
      </c>
      <c r="AW1543" t="s">
        <v>66</v>
      </c>
      <c r="AX1543">
        <v>0</v>
      </c>
      <c r="AY1543" t="s">
        <v>66</v>
      </c>
      <c r="AZ1543">
        <v>0</v>
      </c>
      <c r="BA1543" t="s">
        <v>66</v>
      </c>
      <c r="BB1543">
        <v>0</v>
      </c>
      <c r="BC1543">
        <v>0</v>
      </c>
      <c r="BD1543">
        <v>53846.1</v>
      </c>
      <c r="BE1543">
        <v>14892.95</v>
      </c>
      <c r="BF1543">
        <v>0</v>
      </c>
      <c r="BG1543" t="s">
        <v>87</v>
      </c>
      <c r="BH1543" t="s">
        <v>66</v>
      </c>
      <c r="BI1543">
        <v>0</v>
      </c>
      <c r="BJ1543" t="s">
        <v>66</v>
      </c>
      <c r="BK1543" t="s">
        <v>88</v>
      </c>
      <c r="BL1543" t="s">
        <v>719</v>
      </c>
      <c r="BM1543" t="s">
        <v>159</v>
      </c>
    </row>
    <row r="1544" spans="1:65" x14ac:dyDescent="0.25">
      <c r="A1544">
        <v>1542</v>
      </c>
      <c r="B1544" t="s">
        <v>1669</v>
      </c>
      <c r="C1544" t="s">
        <v>68</v>
      </c>
      <c r="D1544" s="1">
        <v>46223</v>
      </c>
      <c r="E1544" t="s">
        <v>1670</v>
      </c>
      <c r="F1544" t="s">
        <v>68</v>
      </c>
      <c r="G1544" t="s">
        <v>295</v>
      </c>
      <c r="H1544" t="s">
        <v>296</v>
      </c>
      <c r="I1544" t="s">
        <v>71</v>
      </c>
      <c r="J1544" t="s">
        <v>72</v>
      </c>
      <c r="K1544" t="s">
        <v>73</v>
      </c>
      <c r="L1544" t="s">
        <v>74</v>
      </c>
      <c r="M1544" t="s">
        <v>1081</v>
      </c>
      <c r="N1544" t="s">
        <v>76</v>
      </c>
      <c r="O1544" t="s">
        <v>1082</v>
      </c>
      <c r="P1544" t="s">
        <v>1083</v>
      </c>
      <c r="Q1544" t="s">
        <v>1671</v>
      </c>
      <c r="R1544" s="1">
        <v>46225</v>
      </c>
      <c r="S1544" t="s">
        <v>841</v>
      </c>
      <c r="T1544" t="s">
        <v>842</v>
      </c>
      <c r="U1544" t="s">
        <v>843</v>
      </c>
      <c r="V1544" t="s">
        <v>66</v>
      </c>
      <c r="W1544" t="s">
        <v>66</v>
      </c>
      <c r="X1544">
        <v>857892</v>
      </c>
      <c r="Y1544">
        <v>94368.12</v>
      </c>
      <c r="Z1544">
        <v>39102</v>
      </c>
      <c r="AA1544">
        <v>4301.22</v>
      </c>
      <c r="AB1544">
        <v>952260.12</v>
      </c>
      <c r="AC1544">
        <v>3</v>
      </c>
      <c r="AD1544" t="s">
        <v>82</v>
      </c>
      <c r="AE1544">
        <v>3</v>
      </c>
      <c r="AF1544" t="s">
        <v>135</v>
      </c>
      <c r="AG1544">
        <f>IFERROR(VLOOKUP(AF1544,[1]STOK!J:O,6,0),"")</f>
        <v>12</v>
      </c>
      <c r="AH1544" s="2">
        <f t="shared" si="48"/>
        <v>0.25</v>
      </c>
      <c r="AI1544" t="s">
        <v>135</v>
      </c>
      <c r="AJ1544" t="s">
        <v>136</v>
      </c>
      <c r="AK1544" t="s">
        <v>137</v>
      </c>
      <c r="AL1544" t="s">
        <v>86</v>
      </c>
      <c r="AM1544">
        <v>14763</v>
      </c>
      <c r="AN1544">
        <f t="shared" si="49"/>
        <v>14467.74</v>
      </c>
      <c r="AO1544" t="s">
        <v>66</v>
      </c>
      <c r="AP1544">
        <v>2</v>
      </c>
      <c r="AQ1544" t="s">
        <v>66</v>
      </c>
      <c r="AR1544">
        <v>0</v>
      </c>
      <c r="AS1544" t="s">
        <v>66</v>
      </c>
      <c r="AT1544">
        <v>0</v>
      </c>
      <c r="AU1544" t="s">
        <v>66</v>
      </c>
      <c r="AV1544">
        <v>0</v>
      </c>
      <c r="AW1544" t="s">
        <v>66</v>
      </c>
      <c r="AX1544">
        <v>0</v>
      </c>
      <c r="AY1544" t="s">
        <v>66</v>
      </c>
      <c r="AZ1544">
        <v>0</v>
      </c>
      <c r="BA1544" t="s">
        <v>66</v>
      </c>
      <c r="BB1544">
        <v>0</v>
      </c>
      <c r="BC1544">
        <v>0</v>
      </c>
      <c r="BD1544">
        <v>43403.22</v>
      </c>
      <c r="BE1544">
        <v>12035.93</v>
      </c>
      <c r="BF1544">
        <v>0</v>
      </c>
      <c r="BG1544" t="s">
        <v>87</v>
      </c>
      <c r="BH1544" t="s">
        <v>66</v>
      </c>
      <c r="BI1544">
        <v>0</v>
      </c>
      <c r="BJ1544" t="s">
        <v>66</v>
      </c>
      <c r="BK1544" t="s">
        <v>88</v>
      </c>
      <c r="BL1544" t="s">
        <v>719</v>
      </c>
      <c r="BM1544" t="s">
        <v>159</v>
      </c>
    </row>
    <row r="1545" spans="1:65" x14ac:dyDescent="0.25">
      <c r="A1545">
        <v>1543</v>
      </c>
      <c r="B1545" t="s">
        <v>1669</v>
      </c>
      <c r="C1545" t="s">
        <v>68</v>
      </c>
      <c r="D1545" s="1">
        <v>46223</v>
      </c>
      <c r="E1545" t="s">
        <v>1670</v>
      </c>
      <c r="F1545" t="s">
        <v>68</v>
      </c>
      <c r="G1545" t="s">
        <v>295</v>
      </c>
      <c r="H1545" t="s">
        <v>296</v>
      </c>
      <c r="I1545" t="s">
        <v>71</v>
      </c>
      <c r="J1545" t="s">
        <v>72</v>
      </c>
      <c r="K1545" t="s">
        <v>73</v>
      </c>
      <c r="L1545" t="s">
        <v>74</v>
      </c>
      <c r="M1545" t="s">
        <v>1081</v>
      </c>
      <c r="N1545" t="s">
        <v>76</v>
      </c>
      <c r="O1545" t="s">
        <v>1082</v>
      </c>
      <c r="P1545" t="s">
        <v>1083</v>
      </c>
      <c r="Q1545" t="s">
        <v>1671</v>
      </c>
      <c r="R1545" s="1">
        <v>46225</v>
      </c>
      <c r="S1545" t="s">
        <v>841</v>
      </c>
      <c r="T1545" t="s">
        <v>842</v>
      </c>
      <c r="U1545" t="s">
        <v>843</v>
      </c>
      <c r="V1545" t="s">
        <v>66</v>
      </c>
      <c r="W1545" t="s">
        <v>66</v>
      </c>
      <c r="X1545">
        <v>857892</v>
      </c>
      <c r="Y1545">
        <v>94368.12</v>
      </c>
      <c r="Z1545">
        <v>58800</v>
      </c>
      <c r="AA1545">
        <v>6468</v>
      </c>
      <c r="AB1545">
        <v>952260.12</v>
      </c>
      <c r="AC1545">
        <v>3</v>
      </c>
      <c r="AD1545" t="s">
        <v>82</v>
      </c>
      <c r="AE1545">
        <v>3</v>
      </c>
      <c r="AF1545" t="s">
        <v>290</v>
      </c>
      <c r="AG1545">
        <f>IFERROR(VLOOKUP(AF1545,[1]STOK!J:O,6,0),"")</f>
        <v>12</v>
      </c>
      <c r="AH1545" s="2">
        <f t="shared" si="48"/>
        <v>0.25</v>
      </c>
      <c r="AI1545" t="s">
        <v>290</v>
      </c>
      <c r="AJ1545" t="s">
        <v>291</v>
      </c>
      <c r="AK1545" t="s">
        <v>292</v>
      </c>
      <c r="AL1545" t="s">
        <v>86</v>
      </c>
      <c r="AM1545">
        <v>22200</v>
      </c>
      <c r="AN1545">
        <f t="shared" si="49"/>
        <v>21756</v>
      </c>
      <c r="AO1545" t="s">
        <v>66</v>
      </c>
      <c r="AP1545">
        <v>2</v>
      </c>
      <c r="AQ1545" t="s">
        <v>66</v>
      </c>
      <c r="AR1545">
        <v>0</v>
      </c>
      <c r="AS1545" t="s">
        <v>66</v>
      </c>
      <c r="AT1545">
        <v>0</v>
      </c>
      <c r="AU1545" t="s">
        <v>66</v>
      </c>
      <c r="AV1545">
        <v>0</v>
      </c>
      <c r="AW1545" t="s">
        <v>66</v>
      </c>
      <c r="AX1545">
        <v>0</v>
      </c>
      <c r="AY1545" t="s">
        <v>66</v>
      </c>
      <c r="AZ1545">
        <v>0</v>
      </c>
      <c r="BA1545" t="s">
        <v>66</v>
      </c>
      <c r="BB1545">
        <v>0</v>
      </c>
      <c r="BC1545">
        <v>0</v>
      </c>
      <c r="BD1545">
        <v>65268</v>
      </c>
      <c r="BE1545">
        <v>18103.439999999999</v>
      </c>
      <c r="BF1545">
        <v>0</v>
      </c>
      <c r="BG1545" t="s">
        <v>87</v>
      </c>
      <c r="BH1545" t="s">
        <v>66</v>
      </c>
      <c r="BI1545">
        <v>0</v>
      </c>
      <c r="BJ1545" t="s">
        <v>66</v>
      </c>
      <c r="BK1545" t="s">
        <v>88</v>
      </c>
      <c r="BL1545" t="s">
        <v>719</v>
      </c>
      <c r="BM1545" t="s">
        <v>159</v>
      </c>
    </row>
    <row r="1546" spans="1:65" x14ac:dyDescent="0.25">
      <c r="A1546">
        <v>1544</v>
      </c>
      <c r="B1546" t="s">
        <v>1669</v>
      </c>
      <c r="C1546" t="s">
        <v>68</v>
      </c>
      <c r="D1546" s="1">
        <v>46223</v>
      </c>
      <c r="E1546" t="s">
        <v>1670</v>
      </c>
      <c r="F1546" t="s">
        <v>68</v>
      </c>
      <c r="G1546" t="s">
        <v>295</v>
      </c>
      <c r="H1546" t="s">
        <v>296</v>
      </c>
      <c r="I1546" t="s">
        <v>71</v>
      </c>
      <c r="J1546" t="s">
        <v>72</v>
      </c>
      <c r="K1546" t="s">
        <v>73</v>
      </c>
      <c r="L1546" t="s">
        <v>74</v>
      </c>
      <c r="M1546" t="s">
        <v>1081</v>
      </c>
      <c r="N1546" t="s">
        <v>76</v>
      </c>
      <c r="O1546" t="s">
        <v>1082</v>
      </c>
      <c r="P1546" t="s">
        <v>1083</v>
      </c>
      <c r="Q1546" t="s">
        <v>1671</v>
      </c>
      <c r="R1546" s="1">
        <v>46225</v>
      </c>
      <c r="S1546" t="s">
        <v>841</v>
      </c>
      <c r="T1546" t="s">
        <v>842</v>
      </c>
      <c r="U1546" t="s">
        <v>843</v>
      </c>
      <c r="V1546" t="s">
        <v>66</v>
      </c>
      <c r="W1546" t="s">
        <v>66</v>
      </c>
      <c r="X1546">
        <v>857892</v>
      </c>
      <c r="Y1546">
        <v>94368.12</v>
      </c>
      <c r="Z1546">
        <v>58800</v>
      </c>
      <c r="AA1546">
        <v>6468</v>
      </c>
      <c r="AB1546">
        <v>952260.12</v>
      </c>
      <c r="AC1546">
        <v>3</v>
      </c>
      <c r="AD1546" t="s">
        <v>82</v>
      </c>
      <c r="AE1546">
        <v>3</v>
      </c>
      <c r="AF1546" t="s">
        <v>102</v>
      </c>
      <c r="AG1546">
        <f>IFERROR(VLOOKUP(AF1546,[1]STOK!J:O,6,0),"")</f>
        <v>12</v>
      </c>
      <c r="AH1546" s="2">
        <f t="shared" si="48"/>
        <v>0.25</v>
      </c>
      <c r="AI1546" t="s">
        <v>102</v>
      </c>
      <c r="AJ1546" t="s">
        <v>103</v>
      </c>
      <c r="AK1546" t="s">
        <v>104</v>
      </c>
      <c r="AL1546" t="s">
        <v>86</v>
      </c>
      <c r="AM1546">
        <v>22200</v>
      </c>
      <c r="AN1546">
        <f t="shared" si="49"/>
        <v>21756</v>
      </c>
      <c r="AO1546" t="s">
        <v>66</v>
      </c>
      <c r="AP1546">
        <v>2</v>
      </c>
      <c r="AQ1546" t="s">
        <v>66</v>
      </c>
      <c r="AR1546">
        <v>0</v>
      </c>
      <c r="AS1546" t="s">
        <v>66</v>
      </c>
      <c r="AT1546">
        <v>0</v>
      </c>
      <c r="AU1546" t="s">
        <v>66</v>
      </c>
      <c r="AV1546">
        <v>0</v>
      </c>
      <c r="AW1546" t="s">
        <v>66</v>
      </c>
      <c r="AX1546">
        <v>0</v>
      </c>
      <c r="AY1546" t="s">
        <v>66</v>
      </c>
      <c r="AZ1546">
        <v>0</v>
      </c>
      <c r="BA1546" t="s">
        <v>66</v>
      </c>
      <c r="BB1546">
        <v>0</v>
      </c>
      <c r="BC1546">
        <v>0</v>
      </c>
      <c r="BD1546">
        <v>65268</v>
      </c>
      <c r="BE1546">
        <v>18055.25</v>
      </c>
      <c r="BF1546">
        <v>0</v>
      </c>
      <c r="BG1546" t="s">
        <v>87</v>
      </c>
      <c r="BH1546" t="s">
        <v>66</v>
      </c>
      <c r="BI1546">
        <v>0</v>
      </c>
      <c r="BJ1546" t="s">
        <v>66</v>
      </c>
      <c r="BK1546" t="s">
        <v>88</v>
      </c>
      <c r="BL1546" t="s">
        <v>719</v>
      </c>
      <c r="BM1546" t="s">
        <v>159</v>
      </c>
    </row>
    <row r="1547" spans="1:65" x14ac:dyDescent="0.25">
      <c r="A1547">
        <v>1545</v>
      </c>
      <c r="B1547" t="s">
        <v>1672</v>
      </c>
      <c r="C1547" t="s">
        <v>68</v>
      </c>
      <c r="D1547" s="1">
        <v>46223</v>
      </c>
      <c r="E1547" t="s">
        <v>1673</v>
      </c>
      <c r="F1547" t="s">
        <v>68</v>
      </c>
      <c r="G1547" t="s">
        <v>295</v>
      </c>
      <c r="H1547" t="s">
        <v>296</v>
      </c>
      <c r="I1547" t="s">
        <v>71</v>
      </c>
      <c r="J1547" t="s">
        <v>72</v>
      </c>
      <c r="K1547" t="s">
        <v>73</v>
      </c>
      <c r="L1547" t="s">
        <v>74</v>
      </c>
      <c r="M1547" t="s">
        <v>1674</v>
      </c>
      <c r="N1547" t="s">
        <v>76</v>
      </c>
      <c r="O1547" t="s">
        <v>1675</v>
      </c>
      <c r="P1547" t="s">
        <v>1676</v>
      </c>
      <c r="Q1547" t="s">
        <v>66</v>
      </c>
      <c r="R1547" s="1">
        <v>46223</v>
      </c>
      <c r="S1547" t="s">
        <v>841</v>
      </c>
      <c r="T1547" t="s">
        <v>842</v>
      </c>
      <c r="U1547" t="s">
        <v>843</v>
      </c>
      <c r="V1547" t="s">
        <v>66</v>
      </c>
      <c r="W1547" t="s">
        <v>66</v>
      </c>
      <c r="X1547">
        <v>155526</v>
      </c>
      <c r="Y1547">
        <v>17107.86</v>
      </c>
      <c r="Z1547">
        <v>54096</v>
      </c>
      <c r="AA1547">
        <v>5950.56</v>
      </c>
      <c r="AB1547">
        <v>172633.86</v>
      </c>
      <c r="AC1547">
        <v>3</v>
      </c>
      <c r="AD1547" t="s">
        <v>82</v>
      </c>
      <c r="AE1547">
        <v>3</v>
      </c>
      <c r="AF1547" t="s">
        <v>116</v>
      </c>
      <c r="AG1547">
        <f>IFERROR(VLOOKUP(AF1547,[1]STOK!J:O,6,0),"")</f>
        <v>12</v>
      </c>
      <c r="AH1547" s="2">
        <f t="shared" si="48"/>
        <v>0.25</v>
      </c>
      <c r="AI1547" t="s">
        <v>116</v>
      </c>
      <c r="AJ1547" t="s">
        <v>117</v>
      </c>
      <c r="AK1547" t="s">
        <v>118</v>
      </c>
      <c r="AL1547" t="s">
        <v>86</v>
      </c>
      <c r="AM1547">
        <v>20424</v>
      </c>
      <c r="AN1547">
        <f t="shared" si="49"/>
        <v>20015.52</v>
      </c>
      <c r="AO1547" t="s">
        <v>66</v>
      </c>
      <c r="AP1547">
        <v>2</v>
      </c>
      <c r="AQ1547" t="s">
        <v>66</v>
      </c>
      <c r="AR1547">
        <v>0</v>
      </c>
      <c r="AS1547" t="s">
        <v>66</v>
      </c>
      <c r="AT1547">
        <v>0</v>
      </c>
      <c r="AU1547" t="s">
        <v>66</v>
      </c>
      <c r="AV1547">
        <v>0</v>
      </c>
      <c r="AW1547" t="s">
        <v>66</v>
      </c>
      <c r="AX1547">
        <v>0</v>
      </c>
      <c r="AY1547" t="s">
        <v>66</v>
      </c>
      <c r="AZ1547">
        <v>0</v>
      </c>
      <c r="BA1547" t="s">
        <v>66</v>
      </c>
      <c r="BB1547">
        <v>0</v>
      </c>
      <c r="BC1547">
        <v>0</v>
      </c>
      <c r="BD1547">
        <v>60046.559999999998</v>
      </c>
      <c r="BE1547">
        <v>16641.740000000002</v>
      </c>
      <c r="BF1547">
        <v>0</v>
      </c>
      <c r="BG1547" t="s">
        <v>87</v>
      </c>
      <c r="BH1547" t="s">
        <v>1677</v>
      </c>
      <c r="BI1547">
        <v>3</v>
      </c>
      <c r="BJ1547" t="s">
        <v>158</v>
      </c>
      <c r="BK1547" t="s">
        <v>88</v>
      </c>
      <c r="BL1547" t="s">
        <v>719</v>
      </c>
      <c r="BM1547" t="s">
        <v>159</v>
      </c>
    </row>
    <row r="1548" spans="1:65" x14ac:dyDescent="0.25">
      <c r="A1548">
        <v>1546</v>
      </c>
      <c r="B1548" t="s">
        <v>1672</v>
      </c>
      <c r="C1548" t="s">
        <v>68</v>
      </c>
      <c r="D1548" s="1">
        <v>46223</v>
      </c>
      <c r="E1548" t="s">
        <v>1673</v>
      </c>
      <c r="F1548" t="s">
        <v>68</v>
      </c>
      <c r="G1548" t="s">
        <v>295</v>
      </c>
      <c r="H1548" t="s">
        <v>296</v>
      </c>
      <c r="I1548" t="s">
        <v>71</v>
      </c>
      <c r="J1548" t="s">
        <v>72</v>
      </c>
      <c r="K1548" t="s">
        <v>73</v>
      </c>
      <c r="L1548" t="s">
        <v>74</v>
      </c>
      <c r="M1548" t="s">
        <v>1674</v>
      </c>
      <c r="N1548" t="s">
        <v>76</v>
      </c>
      <c r="O1548" t="s">
        <v>1675</v>
      </c>
      <c r="P1548" t="s">
        <v>1676</v>
      </c>
      <c r="Q1548" t="s">
        <v>66</v>
      </c>
      <c r="R1548" s="1">
        <v>46223</v>
      </c>
      <c r="S1548" t="s">
        <v>841</v>
      </c>
      <c r="T1548" t="s">
        <v>842</v>
      </c>
      <c r="U1548" t="s">
        <v>843</v>
      </c>
      <c r="V1548" t="s">
        <v>66</v>
      </c>
      <c r="W1548" t="s">
        <v>66</v>
      </c>
      <c r="X1548">
        <v>155526</v>
      </c>
      <c r="Y1548">
        <v>17107.86</v>
      </c>
      <c r="Z1548">
        <v>29694</v>
      </c>
      <c r="AA1548">
        <v>3266.34</v>
      </c>
      <c r="AB1548">
        <v>172633.86</v>
      </c>
      <c r="AC1548">
        <v>3</v>
      </c>
      <c r="AD1548" t="s">
        <v>82</v>
      </c>
      <c r="AE1548">
        <v>3</v>
      </c>
      <c r="AF1548" t="s">
        <v>723</v>
      </c>
      <c r="AG1548">
        <f>IFERROR(VLOOKUP(AF1548,[1]STOK!J:O,6,0),"")</f>
        <v>24</v>
      </c>
      <c r="AH1548" s="2">
        <f t="shared" si="48"/>
        <v>0.125</v>
      </c>
      <c r="AI1548" t="s">
        <v>723</v>
      </c>
      <c r="AJ1548" t="s">
        <v>724</v>
      </c>
      <c r="AK1548" t="s">
        <v>725</v>
      </c>
      <c r="AL1548" t="s">
        <v>86</v>
      </c>
      <c r="AM1548">
        <v>11211</v>
      </c>
      <c r="AN1548">
        <f t="shared" si="49"/>
        <v>10986.779999999999</v>
      </c>
      <c r="AO1548" t="s">
        <v>66</v>
      </c>
      <c r="AP1548">
        <v>2</v>
      </c>
      <c r="AQ1548" t="s">
        <v>66</v>
      </c>
      <c r="AR1548">
        <v>0</v>
      </c>
      <c r="AS1548" t="s">
        <v>66</v>
      </c>
      <c r="AT1548">
        <v>0</v>
      </c>
      <c r="AU1548" t="s">
        <v>66</v>
      </c>
      <c r="AV1548">
        <v>0</v>
      </c>
      <c r="AW1548" t="s">
        <v>66</v>
      </c>
      <c r="AX1548">
        <v>0</v>
      </c>
      <c r="AY1548" t="s">
        <v>66</v>
      </c>
      <c r="AZ1548">
        <v>0</v>
      </c>
      <c r="BA1548" t="s">
        <v>66</v>
      </c>
      <c r="BB1548">
        <v>0</v>
      </c>
      <c r="BC1548">
        <v>0</v>
      </c>
      <c r="BD1548">
        <v>32960.339999999997</v>
      </c>
      <c r="BE1548">
        <v>9094.83</v>
      </c>
      <c r="BF1548">
        <v>0</v>
      </c>
      <c r="BG1548" t="s">
        <v>87</v>
      </c>
      <c r="BH1548" t="s">
        <v>1677</v>
      </c>
      <c r="BI1548">
        <v>3</v>
      </c>
      <c r="BJ1548" t="s">
        <v>158</v>
      </c>
      <c r="BK1548" t="s">
        <v>88</v>
      </c>
      <c r="BL1548" t="s">
        <v>719</v>
      </c>
      <c r="BM1548" t="s">
        <v>159</v>
      </c>
    </row>
    <row r="1549" spans="1:65" x14ac:dyDescent="0.25">
      <c r="A1549">
        <v>1547</v>
      </c>
      <c r="B1549" t="s">
        <v>1672</v>
      </c>
      <c r="C1549" t="s">
        <v>68</v>
      </c>
      <c r="D1549" s="1">
        <v>46223</v>
      </c>
      <c r="E1549" t="s">
        <v>1673</v>
      </c>
      <c r="F1549" t="s">
        <v>68</v>
      </c>
      <c r="G1549" t="s">
        <v>295</v>
      </c>
      <c r="H1549" t="s">
        <v>296</v>
      </c>
      <c r="I1549" t="s">
        <v>71</v>
      </c>
      <c r="J1549" t="s">
        <v>72</v>
      </c>
      <c r="K1549" t="s">
        <v>73</v>
      </c>
      <c r="L1549" t="s">
        <v>74</v>
      </c>
      <c r="M1549" t="s">
        <v>1674</v>
      </c>
      <c r="N1549" t="s">
        <v>76</v>
      </c>
      <c r="O1549" t="s">
        <v>1675</v>
      </c>
      <c r="P1549" t="s">
        <v>1676</v>
      </c>
      <c r="Q1549" t="s">
        <v>66</v>
      </c>
      <c r="R1549" s="1">
        <v>46223</v>
      </c>
      <c r="S1549" t="s">
        <v>841</v>
      </c>
      <c r="T1549" t="s">
        <v>842</v>
      </c>
      <c r="U1549" t="s">
        <v>843</v>
      </c>
      <c r="V1549" t="s">
        <v>66</v>
      </c>
      <c r="W1549" t="s">
        <v>66</v>
      </c>
      <c r="X1549">
        <v>155526</v>
      </c>
      <c r="Y1549">
        <v>17107.86</v>
      </c>
      <c r="Z1549">
        <v>23226</v>
      </c>
      <c r="AA1549">
        <v>2554.86</v>
      </c>
      <c r="AB1549">
        <v>172633.86</v>
      </c>
      <c r="AC1549">
        <v>3</v>
      </c>
      <c r="AD1549" t="s">
        <v>82</v>
      </c>
      <c r="AE1549">
        <v>3</v>
      </c>
      <c r="AF1549" t="s">
        <v>199</v>
      </c>
      <c r="AG1549">
        <f>IFERROR(VLOOKUP(AF1549,[1]STOK!J:O,6,0),"")</f>
        <v>24</v>
      </c>
      <c r="AH1549" s="2">
        <f t="shared" si="48"/>
        <v>0.125</v>
      </c>
      <c r="AI1549" t="s">
        <v>199</v>
      </c>
      <c r="AJ1549" t="s">
        <v>200</v>
      </c>
      <c r="AK1549" t="s">
        <v>201</v>
      </c>
      <c r="AL1549" t="s">
        <v>86</v>
      </c>
      <c r="AM1549">
        <v>8769</v>
      </c>
      <c r="AN1549">
        <f t="shared" si="49"/>
        <v>8593.6200000000008</v>
      </c>
      <c r="AO1549" t="s">
        <v>66</v>
      </c>
      <c r="AP1549">
        <v>2</v>
      </c>
      <c r="AQ1549" t="s">
        <v>66</v>
      </c>
      <c r="AR1549">
        <v>0</v>
      </c>
      <c r="AS1549" t="s">
        <v>66</v>
      </c>
      <c r="AT1549">
        <v>0</v>
      </c>
      <c r="AU1549" t="s">
        <v>66</v>
      </c>
      <c r="AV1549">
        <v>0</v>
      </c>
      <c r="AW1549" t="s">
        <v>66</v>
      </c>
      <c r="AX1549">
        <v>0</v>
      </c>
      <c r="AY1549" t="s">
        <v>66</v>
      </c>
      <c r="AZ1549">
        <v>0</v>
      </c>
      <c r="BA1549" t="s">
        <v>66</v>
      </c>
      <c r="BB1549">
        <v>0</v>
      </c>
      <c r="BC1549">
        <v>0</v>
      </c>
      <c r="BD1549">
        <v>25780.86</v>
      </c>
      <c r="BE1549">
        <v>7265.68</v>
      </c>
      <c r="BF1549">
        <v>0</v>
      </c>
      <c r="BG1549" t="s">
        <v>87</v>
      </c>
      <c r="BH1549" t="s">
        <v>1677</v>
      </c>
      <c r="BI1549">
        <v>3</v>
      </c>
      <c r="BJ1549" t="s">
        <v>158</v>
      </c>
      <c r="BK1549" t="s">
        <v>88</v>
      </c>
      <c r="BL1549" t="s">
        <v>719</v>
      </c>
      <c r="BM1549" t="s">
        <v>159</v>
      </c>
    </row>
    <row r="1550" spans="1:65" x14ac:dyDescent="0.25">
      <c r="A1550">
        <v>1548</v>
      </c>
      <c r="B1550" t="s">
        <v>1672</v>
      </c>
      <c r="C1550" t="s">
        <v>68</v>
      </c>
      <c r="D1550" s="1">
        <v>46223</v>
      </c>
      <c r="E1550" t="s">
        <v>1673</v>
      </c>
      <c r="F1550" t="s">
        <v>68</v>
      </c>
      <c r="G1550" t="s">
        <v>295</v>
      </c>
      <c r="H1550" t="s">
        <v>296</v>
      </c>
      <c r="I1550" t="s">
        <v>71</v>
      </c>
      <c r="J1550" t="s">
        <v>72</v>
      </c>
      <c r="K1550" t="s">
        <v>73</v>
      </c>
      <c r="L1550" t="s">
        <v>74</v>
      </c>
      <c r="M1550" t="s">
        <v>1674</v>
      </c>
      <c r="N1550" t="s">
        <v>76</v>
      </c>
      <c r="O1550" t="s">
        <v>1675</v>
      </c>
      <c r="P1550" t="s">
        <v>1676</v>
      </c>
      <c r="Q1550" t="s">
        <v>66</v>
      </c>
      <c r="R1550" s="1">
        <v>46223</v>
      </c>
      <c r="S1550" t="s">
        <v>841</v>
      </c>
      <c r="T1550" t="s">
        <v>842</v>
      </c>
      <c r="U1550" t="s">
        <v>843</v>
      </c>
      <c r="V1550" t="s">
        <v>66</v>
      </c>
      <c r="W1550" t="s">
        <v>66</v>
      </c>
      <c r="X1550">
        <v>155526</v>
      </c>
      <c r="Y1550">
        <v>17107.86</v>
      </c>
      <c r="Z1550">
        <v>48510</v>
      </c>
      <c r="AA1550">
        <v>5336.1</v>
      </c>
      <c r="AB1550">
        <v>172633.86</v>
      </c>
      <c r="AC1550">
        <v>3</v>
      </c>
      <c r="AD1550" t="s">
        <v>82</v>
      </c>
      <c r="AE1550">
        <v>3</v>
      </c>
      <c r="AF1550" t="s">
        <v>93</v>
      </c>
      <c r="AG1550">
        <f>IFERROR(VLOOKUP(AF1550,[1]STOK!J:O,6,0),"")</f>
        <v>24</v>
      </c>
      <c r="AH1550" s="2">
        <f t="shared" si="48"/>
        <v>0.125</v>
      </c>
      <c r="AI1550" t="s">
        <v>93</v>
      </c>
      <c r="AJ1550" t="s">
        <v>94</v>
      </c>
      <c r="AK1550" t="s">
        <v>95</v>
      </c>
      <c r="AL1550" t="s">
        <v>86</v>
      </c>
      <c r="AM1550">
        <v>18315</v>
      </c>
      <c r="AN1550">
        <f t="shared" si="49"/>
        <v>17948.7</v>
      </c>
      <c r="AO1550" t="s">
        <v>66</v>
      </c>
      <c r="AP1550">
        <v>2</v>
      </c>
      <c r="AQ1550" t="s">
        <v>66</v>
      </c>
      <c r="AR1550">
        <v>0</v>
      </c>
      <c r="AS1550" t="s">
        <v>66</v>
      </c>
      <c r="AT1550">
        <v>0</v>
      </c>
      <c r="AU1550" t="s">
        <v>66</v>
      </c>
      <c r="AV1550">
        <v>0</v>
      </c>
      <c r="AW1550" t="s">
        <v>66</v>
      </c>
      <c r="AX1550">
        <v>0</v>
      </c>
      <c r="AY1550" t="s">
        <v>66</v>
      </c>
      <c r="AZ1550">
        <v>0</v>
      </c>
      <c r="BA1550" t="s">
        <v>66</v>
      </c>
      <c r="BB1550">
        <v>0</v>
      </c>
      <c r="BC1550">
        <v>0</v>
      </c>
      <c r="BD1550">
        <v>53846.1</v>
      </c>
      <c r="BE1550">
        <v>14878.51</v>
      </c>
      <c r="BF1550">
        <v>0</v>
      </c>
      <c r="BG1550" t="s">
        <v>87</v>
      </c>
      <c r="BH1550" t="s">
        <v>1677</v>
      </c>
      <c r="BI1550">
        <v>3</v>
      </c>
      <c r="BJ1550" t="s">
        <v>158</v>
      </c>
      <c r="BK1550" t="s">
        <v>88</v>
      </c>
      <c r="BL1550" t="s">
        <v>719</v>
      </c>
      <c r="BM1550" t="s">
        <v>159</v>
      </c>
    </row>
    <row r="1551" spans="1:65" x14ac:dyDescent="0.25">
      <c r="A1551">
        <v>1549</v>
      </c>
      <c r="B1551" t="s">
        <v>1678</v>
      </c>
      <c r="C1551" t="s">
        <v>1679</v>
      </c>
      <c r="D1551" s="1">
        <v>46223</v>
      </c>
      <c r="E1551" t="s">
        <v>1680</v>
      </c>
      <c r="F1551" t="s">
        <v>1681</v>
      </c>
      <c r="G1551" t="s">
        <v>295</v>
      </c>
      <c r="H1551" t="s">
        <v>296</v>
      </c>
      <c r="I1551" t="s">
        <v>71</v>
      </c>
      <c r="J1551" t="s">
        <v>72</v>
      </c>
      <c r="K1551" t="s">
        <v>73</v>
      </c>
      <c r="L1551" t="s">
        <v>74</v>
      </c>
      <c r="M1551" t="s">
        <v>1344</v>
      </c>
      <c r="N1551" t="s">
        <v>76</v>
      </c>
      <c r="O1551" t="s">
        <v>1345</v>
      </c>
      <c r="P1551" t="s">
        <v>1346</v>
      </c>
      <c r="Q1551" t="s">
        <v>1682</v>
      </c>
      <c r="R1551" s="1">
        <v>46220</v>
      </c>
      <c r="S1551" t="s">
        <v>841</v>
      </c>
      <c r="T1551" t="s">
        <v>842</v>
      </c>
      <c r="U1551" t="s">
        <v>843</v>
      </c>
      <c r="V1551" t="s">
        <v>66</v>
      </c>
      <c r="W1551" t="s">
        <v>66</v>
      </c>
      <c r="X1551">
        <v>2631496</v>
      </c>
      <c r="Y1551">
        <v>289464.56</v>
      </c>
      <c r="Z1551">
        <v>106028.16</v>
      </c>
      <c r="AA1551">
        <v>11663.1</v>
      </c>
      <c r="AB1551">
        <v>2920960.56</v>
      </c>
      <c r="AC1551">
        <v>6</v>
      </c>
      <c r="AD1551" t="s">
        <v>82</v>
      </c>
      <c r="AE1551">
        <v>6</v>
      </c>
      <c r="AF1551" t="s">
        <v>160</v>
      </c>
      <c r="AG1551">
        <f>IFERROR(VLOOKUP(AF1551,[1]STOK!J:O,6,0),"")</f>
        <v>12</v>
      </c>
      <c r="AH1551" s="2">
        <f t="shared" si="48"/>
        <v>0.5</v>
      </c>
      <c r="AI1551" t="s">
        <v>160</v>
      </c>
      <c r="AJ1551" t="s">
        <v>161</v>
      </c>
      <c r="AK1551" t="s">
        <v>162</v>
      </c>
      <c r="AL1551" t="s">
        <v>86</v>
      </c>
      <c r="AM1551">
        <v>20424</v>
      </c>
      <c r="AN1551">
        <f t="shared" si="49"/>
        <v>19615.21</v>
      </c>
      <c r="AO1551" t="s">
        <v>66</v>
      </c>
      <c r="AP1551">
        <v>2</v>
      </c>
      <c r="AQ1551" t="s">
        <v>66</v>
      </c>
      <c r="AR1551">
        <v>0</v>
      </c>
      <c r="AS1551" t="s">
        <v>66</v>
      </c>
      <c r="AT1551">
        <v>0</v>
      </c>
      <c r="AU1551" t="s">
        <v>66</v>
      </c>
      <c r="AV1551">
        <v>2</v>
      </c>
      <c r="AW1551" t="s">
        <v>66</v>
      </c>
      <c r="AX1551">
        <v>0</v>
      </c>
      <c r="AY1551" t="s">
        <v>66</v>
      </c>
      <c r="AZ1551">
        <v>0</v>
      </c>
      <c r="BA1551" t="s">
        <v>66</v>
      </c>
      <c r="BB1551">
        <v>0</v>
      </c>
      <c r="BC1551">
        <v>0</v>
      </c>
      <c r="BD1551">
        <v>117691.26</v>
      </c>
      <c r="BE1551">
        <v>16709.57</v>
      </c>
      <c r="BF1551">
        <v>0</v>
      </c>
      <c r="BG1551" t="s">
        <v>87</v>
      </c>
      <c r="BH1551" t="s">
        <v>66</v>
      </c>
      <c r="BI1551">
        <v>0</v>
      </c>
      <c r="BJ1551" t="s">
        <v>66</v>
      </c>
      <c r="BK1551" t="s">
        <v>88</v>
      </c>
      <c r="BL1551" t="s">
        <v>742</v>
      </c>
      <c r="BM1551" t="s">
        <v>159</v>
      </c>
    </row>
    <row r="1552" spans="1:65" x14ac:dyDescent="0.25">
      <c r="A1552">
        <v>1550</v>
      </c>
      <c r="B1552" t="s">
        <v>1678</v>
      </c>
      <c r="C1552" t="s">
        <v>1679</v>
      </c>
      <c r="D1552" s="1">
        <v>46223</v>
      </c>
      <c r="E1552" t="s">
        <v>1680</v>
      </c>
      <c r="F1552" t="s">
        <v>1681</v>
      </c>
      <c r="G1552" t="s">
        <v>295</v>
      </c>
      <c r="H1552" t="s">
        <v>296</v>
      </c>
      <c r="I1552" t="s">
        <v>71</v>
      </c>
      <c r="J1552" t="s">
        <v>72</v>
      </c>
      <c r="K1552" t="s">
        <v>73</v>
      </c>
      <c r="L1552" t="s">
        <v>74</v>
      </c>
      <c r="M1552" t="s">
        <v>1344</v>
      </c>
      <c r="N1552" t="s">
        <v>76</v>
      </c>
      <c r="O1552" t="s">
        <v>1345</v>
      </c>
      <c r="P1552" t="s">
        <v>1346</v>
      </c>
      <c r="Q1552" t="s">
        <v>1682</v>
      </c>
      <c r="R1552" s="1">
        <v>46220</v>
      </c>
      <c r="S1552" t="s">
        <v>841</v>
      </c>
      <c r="T1552" t="s">
        <v>842</v>
      </c>
      <c r="U1552" t="s">
        <v>843</v>
      </c>
      <c r="V1552" t="s">
        <v>66</v>
      </c>
      <c r="W1552" t="s">
        <v>66</v>
      </c>
      <c r="X1552">
        <v>2631496</v>
      </c>
      <c r="Y1552">
        <v>289464.56</v>
      </c>
      <c r="Z1552">
        <v>106028.16</v>
      </c>
      <c r="AA1552">
        <v>11663.1</v>
      </c>
      <c r="AB1552">
        <v>2920960.56</v>
      </c>
      <c r="AC1552">
        <v>6</v>
      </c>
      <c r="AD1552" t="s">
        <v>82</v>
      </c>
      <c r="AE1552">
        <v>6</v>
      </c>
      <c r="AF1552" t="s">
        <v>116</v>
      </c>
      <c r="AG1552">
        <f>IFERROR(VLOOKUP(AF1552,[1]STOK!J:O,6,0),"")</f>
        <v>12</v>
      </c>
      <c r="AH1552" s="2">
        <f t="shared" si="48"/>
        <v>0.5</v>
      </c>
      <c r="AI1552" t="s">
        <v>116</v>
      </c>
      <c r="AJ1552" t="s">
        <v>117</v>
      </c>
      <c r="AK1552" t="s">
        <v>118</v>
      </c>
      <c r="AL1552" t="s">
        <v>86</v>
      </c>
      <c r="AM1552">
        <v>20424</v>
      </c>
      <c r="AN1552">
        <f t="shared" si="49"/>
        <v>19615.21</v>
      </c>
      <c r="AO1552" t="s">
        <v>66</v>
      </c>
      <c r="AP1552">
        <v>2</v>
      </c>
      <c r="AQ1552" t="s">
        <v>66</v>
      </c>
      <c r="AR1552">
        <v>0</v>
      </c>
      <c r="AS1552" t="s">
        <v>66</v>
      </c>
      <c r="AT1552">
        <v>0</v>
      </c>
      <c r="AU1552" t="s">
        <v>66</v>
      </c>
      <c r="AV1552">
        <v>2</v>
      </c>
      <c r="AW1552" t="s">
        <v>66</v>
      </c>
      <c r="AX1552">
        <v>0</v>
      </c>
      <c r="AY1552" t="s">
        <v>66</v>
      </c>
      <c r="AZ1552">
        <v>0</v>
      </c>
      <c r="BA1552" t="s">
        <v>66</v>
      </c>
      <c r="BB1552">
        <v>0</v>
      </c>
      <c r="BC1552">
        <v>0</v>
      </c>
      <c r="BD1552">
        <v>117691.26</v>
      </c>
      <c r="BE1552">
        <v>16641.740000000002</v>
      </c>
      <c r="BF1552">
        <v>0</v>
      </c>
      <c r="BG1552" t="s">
        <v>87</v>
      </c>
      <c r="BH1552" t="s">
        <v>66</v>
      </c>
      <c r="BI1552">
        <v>0</v>
      </c>
      <c r="BJ1552" t="s">
        <v>66</v>
      </c>
      <c r="BK1552" t="s">
        <v>88</v>
      </c>
      <c r="BL1552" t="s">
        <v>742</v>
      </c>
      <c r="BM1552" t="s">
        <v>159</v>
      </c>
    </row>
    <row r="1553" spans="1:65" x14ac:dyDescent="0.25">
      <c r="A1553">
        <v>1551</v>
      </c>
      <c r="B1553" t="s">
        <v>1678</v>
      </c>
      <c r="C1553" t="s">
        <v>1679</v>
      </c>
      <c r="D1553" s="1">
        <v>46223</v>
      </c>
      <c r="E1553" t="s">
        <v>1680</v>
      </c>
      <c r="F1553" t="s">
        <v>1681</v>
      </c>
      <c r="G1553" t="s">
        <v>295</v>
      </c>
      <c r="H1553" t="s">
        <v>296</v>
      </c>
      <c r="I1553" t="s">
        <v>71</v>
      </c>
      <c r="J1553" t="s">
        <v>72</v>
      </c>
      <c r="K1553" t="s">
        <v>73</v>
      </c>
      <c r="L1553" t="s">
        <v>74</v>
      </c>
      <c r="M1553" t="s">
        <v>1344</v>
      </c>
      <c r="N1553" t="s">
        <v>76</v>
      </c>
      <c r="O1553" t="s">
        <v>1345</v>
      </c>
      <c r="P1553" t="s">
        <v>1346</v>
      </c>
      <c r="Q1553" t="s">
        <v>1682</v>
      </c>
      <c r="R1553" s="1">
        <v>46220</v>
      </c>
      <c r="S1553" t="s">
        <v>841</v>
      </c>
      <c r="T1553" t="s">
        <v>842</v>
      </c>
      <c r="U1553" t="s">
        <v>843</v>
      </c>
      <c r="V1553" t="s">
        <v>66</v>
      </c>
      <c r="W1553" t="s">
        <v>66</v>
      </c>
      <c r="X1553">
        <v>2631496</v>
      </c>
      <c r="Y1553">
        <v>289464.56</v>
      </c>
      <c r="Z1553">
        <v>106028.16</v>
      </c>
      <c r="AA1553">
        <v>11663.1</v>
      </c>
      <c r="AB1553">
        <v>2920960.56</v>
      </c>
      <c r="AC1553">
        <v>6</v>
      </c>
      <c r="AD1553" t="s">
        <v>82</v>
      </c>
      <c r="AE1553">
        <v>6</v>
      </c>
      <c r="AF1553" t="s">
        <v>720</v>
      </c>
      <c r="AG1553">
        <f>IFERROR(VLOOKUP(AF1553,[1]STOK!J:O,6,0),"")</f>
        <v>12</v>
      </c>
      <c r="AH1553" s="2">
        <f t="shared" si="48"/>
        <v>0.5</v>
      </c>
      <c r="AI1553" t="s">
        <v>720</v>
      </c>
      <c r="AJ1553" t="s">
        <v>721</v>
      </c>
      <c r="AK1553" t="s">
        <v>722</v>
      </c>
      <c r="AL1553" t="s">
        <v>86</v>
      </c>
      <c r="AM1553">
        <v>20424</v>
      </c>
      <c r="AN1553">
        <f t="shared" si="49"/>
        <v>19615.21</v>
      </c>
      <c r="AO1553" t="s">
        <v>66</v>
      </c>
      <c r="AP1553">
        <v>2</v>
      </c>
      <c r="AQ1553" t="s">
        <v>66</v>
      </c>
      <c r="AR1553">
        <v>0</v>
      </c>
      <c r="AS1553" t="s">
        <v>66</v>
      </c>
      <c r="AT1553">
        <v>0</v>
      </c>
      <c r="AU1553" t="s">
        <v>66</v>
      </c>
      <c r="AV1553">
        <v>2</v>
      </c>
      <c r="AW1553" t="s">
        <v>66</v>
      </c>
      <c r="AX1553">
        <v>0</v>
      </c>
      <c r="AY1553" t="s">
        <v>66</v>
      </c>
      <c r="AZ1553">
        <v>0</v>
      </c>
      <c r="BA1553" t="s">
        <v>66</v>
      </c>
      <c r="BB1553">
        <v>0</v>
      </c>
      <c r="BC1553">
        <v>0</v>
      </c>
      <c r="BD1553">
        <v>117691.26</v>
      </c>
      <c r="BE1553">
        <v>16667.84</v>
      </c>
      <c r="BF1553">
        <v>0</v>
      </c>
      <c r="BG1553" t="s">
        <v>87</v>
      </c>
      <c r="BH1553" t="s">
        <v>66</v>
      </c>
      <c r="BI1553">
        <v>0</v>
      </c>
      <c r="BJ1553" t="s">
        <v>66</v>
      </c>
      <c r="BK1553" t="s">
        <v>88</v>
      </c>
      <c r="BL1553" t="s">
        <v>742</v>
      </c>
      <c r="BM1553" t="s">
        <v>159</v>
      </c>
    </row>
    <row r="1554" spans="1:65" x14ac:dyDescent="0.25">
      <c r="A1554">
        <v>1552</v>
      </c>
      <c r="B1554" t="s">
        <v>1678</v>
      </c>
      <c r="C1554" t="s">
        <v>1679</v>
      </c>
      <c r="D1554" s="1">
        <v>46223</v>
      </c>
      <c r="E1554" t="s">
        <v>1680</v>
      </c>
      <c r="F1554" t="s">
        <v>1681</v>
      </c>
      <c r="G1554" t="s">
        <v>295</v>
      </c>
      <c r="H1554" t="s">
        <v>296</v>
      </c>
      <c r="I1554" t="s">
        <v>71</v>
      </c>
      <c r="J1554" t="s">
        <v>72</v>
      </c>
      <c r="K1554" t="s">
        <v>73</v>
      </c>
      <c r="L1554" t="s">
        <v>74</v>
      </c>
      <c r="M1554" t="s">
        <v>1344</v>
      </c>
      <c r="N1554" t="s">
        <v>76</v>
      </c>
      <c r="O1554" t="s">
        <v>1345</v>
      </c>
      <c r="P1554" t="s">
        <v>1346</v>
      </c>
      <c r="Q1554" t="s">
        <v>1682</v>
      </c>
      <c r="R1554" s="1">
        <v>46220</v>
      </c>
      <c r="S1554" t="s">
        <v>841</v>
      </c>
      <c r="T1554" t="s">
        <v>842</v>
      </c>
      <c r="U1554" t="s">
        <v>843</v>
      </c>
      <c r="V1554" t="s">
        <v>66</v>
      </c>
      <c r="W1554" t="s">
        <v>66</v>
      </c>
      <c r="X1554">
        <v>2631496</v>
      </c>
      <c r="Y1554">
        <v>289464.56</v>
      </c>
      <c r="Z1554">
        <v>42641.760000000002</v>
      </c>
      <c r="AA1554">
        <v>4690.59</v>
      </c>
      <c r="AB1554">
        <v>2920960.56</v>
      </c>
      <c r="AC1554">
        <v>6</v>
      </c>
      <c r="AD1554" t="s">
        <v>82</v>
      </c>
      <c r="AE1554">
        <v>6</v>
      </c>
      <c r="AF1554" t="s">
        <v>262</v>
      </c>
      <c r="AG1554">
        <f>IFERROR(VLOOKUP(AF1554,[1]STOK!J:O,6,0),"")</f>
        <v>24</v>
      </c>
      <c r="AH1554" s="2">
        <f t="shared" si="48"/>
        <v>0.25</v>
      </c>
      <c r="AI1554" t="s">
        <v>262</v>
      </c>
      <c r="AJ1554" t="s">
        <v>263</v>
      </c>
      <c r="AK1554" t="s">
        <v>264</v>
      </c>
      <c r="AL1554" t="s">
        <v>86</v>
      </c>
      <c r="AM1554">
        <v>8214</v>
      </c>
      <c r="AN1554">
        <f t="shared" si="49"/>
        <v>7888.7249999999995</v>
      </c>
      <c r="AO1554" t="s">
        <v>66</v>
      </c>
      <c r="AP1554">
        <v>2</v>
      </c>
      <c r="AQ1554" t="s">
        <v>66</v>
      </c>
      <c r="AR1554">
        <v>0</v>
      </c>
      <c r="AS1554" t="s">
        <v>66</v>
      </c>
      <c r="AT1554">
        <v>0</v>
      </c>
      <c r="AU1554" t="s">
        <v>66</v>
      </c>
      <c r="AV1554">
        <v>2</v>
      </c>
      <c r="AW1554" t="s">
        <v>66</v>
      </c>
      <c r="AX1554">
        <v>0</v>
      </c>
      <c r="AY1554" t="s">
        <v>66</v>
      </c>
      <c r="AZ1554">
        <v>0</v>
      </c>
      <c r="BA1554" t="s">
        <v>66</v>
      </c>
      <c r="BB1554">
        <v>0</v>
      </c>
      <c r="BC1554">
        <v>0</v>
      </c>
      <c r="BD1554">
        <v>47332.35</v>
      </c>
      <c r="BE1554">
        <v>6681.53</v>
      </c>
      <c r="BF1554">
        <v>0</v>
      </c>
      <c r="BG1554" t="s">
        <v>87</v>
      </c>
      <c r="BH1554" t="s">
        <v>66</v>
      </c>
      <c r="BI1554">
        <v>0</v>
      </c>
      <c r="BJ1554" t="s">
        <v>66</v>
      </c>
      <c r="BK1554" t="s">
        <v>88</v>
      </c>
      <c r="BL1554" t="s">
        <v>742</v>
      </c>
      <c r="BM1554" t="s">
        <v>159</v>
      </c>
    </row>
    <row r="1555" spans="1:65" x14ac:dyDescent="0.25">
      <c r="A1555">
        <v>1553</v>
      </c>
      <c r="B1555" t="s">
        <v>1678</v>
      </c>
      <c r="C1555" t="s">
        <v>1679</v>
      </c>
      <c r="D1555" s="1">
        <v>46223</v>
      </c>
      <c r="E1555" t="s">
        <v>1680</v>
      </c>
      <c r="F1555" t="s">
        <v>1681</v>
      </c>
      <c r="G1555" t="s">
        <v>295</v>
      </c>
      <c r="H1555" t="s">
        <v>296</v>
      </c>
      <c r="I1555" t="s">
        <v>71</v>
      </c>
      <c r="J1555" t="s">
        <v>72</v>
      </c>
      <c r="K1555" t="s">
        <v>73</v>
      </c>
      <c r="L1555" t="s">
        <v>74</v>
      </c>
      <c r="M1555" t="s">
        <v>1344</v>
      </c>
      <c r="N1555" t="s">
        <v>76</v>
      </c>
      <c r="O1555" t="s">
        <v>1345</v>
      </c>
      <c r="P1555" t="s">
        <v>1346</v>
      </c>
      <c r="Q1555" t="s">
        <v>1682</v>
      </c>
      <c r="R1555" s="1">
        <v>46220</v>
      </c>
      <c r="S1555" t="s">
        <v>841</v>
      </c>
      <c r="T1555" t="s">
        <v>842</v>
      </c>
      <c r="U1555" t="s">
        <v>843</v>
      </c>
      <c r="V1555" t="s">
        <v>66</v>
      </c>
      <c r="W1555" t="s">
        <v>66</v>
      </c>
      <c r="X1555">
        <v>2631496</v>
      </c>
      <c r="Y1555">
        <v>289464.56</v>
      </c>
      <c r="Z1555">
        <v>35534.800000000003</v>
      </c>
      <c r="AA1555">
        <v>3908.83</v>
      </c>
      <c r="AB1555">
        <v>2920960.56</v>
      </c>
      <c r="AC1555">
        <v>5</v>
      </c>
      <c r="AD1555" t="s">
        <v>82</v>
      </c>
      <c r="AE1555">
        <v>5</v>
      </c>
      <c r="AF1555" t="s">
        <v>265</v>
      </c>
      <c r="AG1555">
        <f>IFERROR(VLOOKUP(AF1555,[1]STOK!J:O,6,0),"")</f>
        <v>24</v>
      </c>
      <c r="AH1555" s="2">
        <f t="shared" si="48"/>
        <v>0.20833333333333334</v>
      </c>
      <c r="AI1555" t="s">
        <v>265</v>
      </c>
      <c r="AJ1555" t="s">
        <v>266</v>
      </c>
      <c r="AK1555" t="s">
        <v>267</v>
      </c>
      <c r="AL1555" t="s">
        <v>86</v>
      </c>
      <c r="AM1555">
        <v>8214</v>
      </c>
      <c r="AN1555">
        <f t="shared" si="49"/>
        <v>7888.7259999999997</v>
      </c>
      <c r="AO1555" t="s">
        <v>66</v>
      </c>
      <c r="AP1555">
        <v>2</v>
      </c>
      <c r="AQ1555" t="s">
        <v>66</v>
      </c>
      <c r="AR1555">
        <v>0</v>
      </c>
      <c r="AS1555" t="s">
        <v>66</v>
      </c>
      <c r="AT1555">
        <v>0</v>
      </c>
      <c r="AU1555" t="s">
        <v>66</v>
      </c>
      <c r="AV1555">
        <v>2</v>
      </c>
      <c r="AW1555" t="s">
        <v>66</v>
      </c>
      <c r="AX1555">
        <v>0</v>
      </c>
      <c r="AY1555" t="s">
        <v>66</v>
      </c>
      <c r="AZ1555">
        <v>0</v>
      </c>
      <c r="BA1555" t="s">
        <v>66</v>
      </c>
      <c r="BB1555">
        <v>0</v>
      </c>
      <c r="BC1555">
        <v>0</v>
      </c>
      <c r="BD1555">
        <v>39443.629999999997</v>
      </c>
      <c r="BE1555">
        <v>6447.38</v>
      </c>
      <c r="BF1555">
        <v>0</v>
      </c>
      <c r="BG1555" t="s">
        <v>87</v>
      </c>
      <c r="BH1555" t="s">
        <v>66</v>
      </c>
      <c r="BI1555">
        <v>0</v>
      </c>
      <c r="BJ1555" t="s">
        <v>66</v>
      </c>
      <c r="BK1555" t="s">
        <v>88</v>
      </c>
      <c r="BL1555" t="s">
        <v>742</v>
      </c>
      <c r="BM1555" t="s">
        <v>159</v>
      </c>
    </row>
    <row r="1556" spans="1:65" x14ac:dyDescent="0.25">
      <c r="A1556">
        <v>1554</v>
      </c>
      <c r="B1556" t="s">
        <v>1678</v>
      </c>
      <c r="C1556" t="s">
        <v>1679</v>
      </c>
      <c r="D1556" s="1">
        <v>46223</v>
      </c>
      <c r="E1556" t="s">
        <v>1680</v>
      </c>
      <c r="F1556" t="s">
        <v>1681</v>
      </c>
      <c r="G1556" t="s">
        <v>295</v>
      </c>
      <c r="H1556" t="s">
        <v>296</v>
      </c>
      <c r="I1556" t="s">
        <v>71</v>
      </c>
      <c r="J1556" t="s">
        <v>72</v>
      </c>
      <c r="K1556" t="s">
        <v>73</v>
      </c>
      <c r="L1556" t="s">
        <v>74</v>
      </c>
      <c r="M1556" t="s">
        <v>1344</v>
      </c>
      <c r="N1556" t="s">
        <v>76</v>
      </c>
      <c r="O1556" t="s">
        <v>1345</v>
      </c>
      <c r="P1556" t="s">
        <v>1346</v>
      </c>
      <c r="Q1556" t="s">
        <v>1682</v>
      </c>
      <c r="R1556" s="1">
        <v>46220</v>
      </c>
      <c r="S1556" t="s">
        <v>841</v>
      </c>
      <c r="T1556" t="s">
        <v>842</v>
      </c>
      <c r="U1556" t="s">
        <v>843</v>
      </c>
      <c r="V1556" t="s">
        <v>66</v>
      </c>
      <c r="W1556" t="s">
        <v>66</v>
      </c>
      <c r="X1556">
        <v>2631496</v>
      </c>
      <c r="Y1556">
        <v>289464.56</v>
      </c>
      <c r="Z1556">
        <v>42641.760000000002</v>
      </c>
      <c r="AA1556">
        <v>4690.59</v>
      </c>
      <c r="AB1556">
        <v>2920960.56</v>
      </c>
      <c r="AC1556">
        <v>6</v>
      </c>
      <c r="AD1556" t="s">
        <v>82</v>
      </c>
      <c r="AE1556">
        <v>6</v>
      </c>
      <c r="AF1556" t="s">
        <v>83</v>
      </c>
      <c r="AG1556">
        <f>IFERROR(VLOOKUP(AF1556,[1]STOK!J:O,6,0),"")</f>
        <v>24</v>
      </c>
      <c r="AH1556" s="2">
        <f t="shared" si="48"/>
        <v>0.25</v>
      </c>
      <c r="AI1556" t="s">
        <v>83</v>
      </c>
      <c r="AJ1556" t="s">
        <v>84</v>
      </c>
      <c r="AK1556" t="s">
        <v>85</v>
      </c>
      <c r="AL1556" t="s">
        <v>86</v>
      </c>
      <c r="AM1556">
        <v>8214</v>
      </c>
      <c r="AN1556">
        <f t="shared" si="49"/>
        <v>7888.7249999999995</v>
      </c>
      <c r="AO1556" t="s">
        <v>66</v>
      </c>
      <c r="AP1556">
        <v>2</v>
      </c>
      <c r="AQ1556" t="s">
        <v>66</v>
      </c>
      <c r="AR1556">
        <v>0</v>
      </c>
      <c r="AS1556" t="s">
        <v>66</v>
      </c>
      <c r="AT1556">
        <v>0</v>
      </c>
      <c r="AU1556" t="s">
        <v>66</v>
      </c>
      <c r="AV1556">
        <v>2</v>
      </c>
      <c r="AW1556" t="s">
        <v>66</v>
      </c>
      <c r="AX1556">
        <v>0</v>
      </c>
      <c r="AY1556" t="s">
        <v>66</v>
      </c>
      <c r="AZ1556">
        <v>0</v>
      </c>
      <c r="BA1556" t="s">
        <v>66</v>
      </c>
      <c r="BB1556">
        <v>0</v>
      </c>
      <c r="BC1556">
        <v>0</v>
      </c>
      <c r="BD1556">
        <v>47332.35</v>
      </c>
      <c r="BE1556">
        <v>6590.47</v>
      </c>
      <c r="BF1556">
        <v>0</v>
      </c>
      <c r="BG1556" t="s">
        <v>87</v>
      </c>
      <c r="BH1556" t="s">
        <v>66</v>
      </c>
      <c r="BI1556">
        <v>0</v>
      </c>
      <c r="BJ1556" t="s">
        <v>66</v>
      </c>
      <c r="BK1556" t="s">
        <v>88</v>
      </c>
      <c r="BL1556" t="s">
        <v>742</v>
      </c>
      <c r="BM1556" t="s">
        <v>159</v>
      </c>
    </row>
    <row r="1557" spans="1:65" x14ac:dyDescent="0.25">
      <c r="A1557">
        <v>1555</v>
      </c>
      <c r="B1557" t="s">
        <v>1678</v>
      </c>
      <c r="C1557" t="s">
        <v>1679</v>
      </c>
      <c r="D1557" s="1">
        <v>46223</v>
      </c>
      <c r="E1557" t="s">
        <v>1680</v>
      </c>
      <c r="F1557" t="s">
        <v>1681</v>
      </c>
      <c r="G1557" t="s">
        <v>295</v>
      </c>
      <c r="H1557" t="s">
        <v>296</v>
      </c>
      <c r="I1557" t="s">
        <v>71</v>
      </c>
      <c r="J1557" t="s">
        <v>72</v>
      </c>
      <c r="K1557" t="s">
        <v>73</v>
      </c>
      <c r="L1557" t="s">
        <v>74</v>
      </c>
      <c r="M1557" t="s">
        <v>1344</v>
      </c>
      <c r="N1557" t="s">
        <v>76</v>
      </c>
      <c r="O1557" t="s">
        <v>1345</v>
      </c>
      <c r="P1557" t="s">
        <v>1346</v>
      </c>
      <c r="Q1557" t="s">
        <v>1682</v>
      </c>
      <c r="R1557" s="1">
        <v>46220</v>
      </c>
      <c r="S1557" t="s">
        <v>841</v>
      </c>
      <c r="T1557" t="s">
        <v>842</v>
      </c>
      <c r="U1557" t="s">
        <v>843</v>
      </c>
      <c r="V1557" t="s">
        <v>66</v>
      </c>
      <c r="W1557" t="s">
        <v>66</v>
      </c>
      <c r="X1557">
        <v>2631496</v>
      </c>
      <c r="Y1557">
        <v>289464.56</v>
      </c>
      <c r="Z1557">
        <v>114095.52</v>
      </c>
      <c r="AA1557">
        <v>12550.51</v>
      </c>
      <c r="AB1557">
        <v>2920960.56</v>
      </c>
      <c r="AC1557">
        <v>6</v>
      </c>
      <c r="AD1557" t="s">
        <v>82</v>
      </c>
      <c r="AE1557">
        <v>6</v>
      </c>
      <c r="AF1557" t="s">
        <v>370</v>
      </c>
      <c r="AG1557">
        <f>IFERROR(VLOOKUP(AF1557,[1]STOK!J:O,6,0),"")</f>
        <v>12</v>
      </c>
      <c r="AH1557" s="2">
        <f t="shared" si="48"/>
        <v>0.5</v>
      </c>
      <c r="AI1557" t="s">
        <v>370</v>
      </c>
      <c r="AJ1557" t="s">
        <v>371</v>
      </c>
      <c r="AK1557" t="s">
        <v>372</v>
      </c>
      <c r="AL1557" t="s">
        <v>86</v>
      </c>
      <c r="AM1557">
        <v>21978</v>
      </c>
      <c r="AN1557">
        <f t="shared" si="49"/>
        <v>21107.671666666665</v>
      </c>
      <c r="AO1557" t="s">
        <v>66</v>
      </c>
      <c r="AP1557">
        <v>2</v>
      </c>
      <c r="AQ1557" t="s">
        <v>66</v>
      </c>
      <c r="AR1557">
        <v>0</v>
      </c>
      <c r="AS1557" t="s">
        <v>66</v>
      </c>
      <c r="AT1557">
        <v>0</v>
      </c>
      <c r="AU1557" t="s">
        <v>66</v>
      </c>
      <c r="AV1557">
        <v>2</v>
      </c>
      <c r="AW1557" t="s">
        <v>66</v>
      </c>
      <c r="AX1557">
        <v>0</v>
      </c>
      <c r="AY1557" t="s">
        <v>66</v>
      </c>
      <c r="AZ1557">
        <v>0</v>
      </c>
      <c r="BA1557" t="s">
        <v>66</v>
      </c>
      <c r="BB1557">
        <v>0</v>
      </c>
      <c r="BC1557">
        <v>0</v>
      </c>
      <c r="BD1557">
        <v>126646.03</v>
      </c>
      <c r="BE1557">
        <v>17699.07</v>
      </c>
      <c r="BF1557">
        <v>0</v>
      </c>
      <c r="BG1557" t="s">
        <v>87</v>
      </c>
      <c r="BH1557" t="s">
        <v>66</v>
      </c>
      <c r="BI1557">
        <v>0</v>
      </c>
      <c r="BJ1557" t="s">
        <v>66</v>
      </c>
      <c r="BK1557" t="s">
        <v>88</v>
      </c>
      <c r="BL1557" t="s">
        <v>742</v>
      </c>
      <c r="BM1557" t="s">
        <v>159</v>
      </c>
    </row>
    <row r="1558" spans="1:65" x14ac:dyDescent="0.25">
      <c r="A1558">
        <v>1556</v>
      </c>
      <c r="B1558" t="s">
        <v>1678</v>
      </c>
      <c r="C1558" t="s">
        <v>1679</v>
      </c>
      <c r="D1558" s="1">
        <v>46223</v>
      </c>
      <c r="E1558" t="s">
        <v>1680</v>
      </c>
      <c r="F1558" t="s">
        <v>1681</v>
      </c>
      <c r="G1558" t="s">
        <v>295</v>
      </c>
      <c r="H1558" t="s">
        <v>296</v>
      </c>
      <c r="I1558" t="s">
        <v>71</v>
      </c>
      <c r="J1558" t="s">
        <v>72</v>
      </c>
      <c r="K1558" t="s">
        <v>73</v>
      </c>
      <c r="L1558" t="s">
        <v>74</v>
      </c>
      <c r="M1558" t="s">
        <v>1344</v>
      </c>
      <c r="N1558" t="s">
        <v>76</v>
      </c>
      <c r="O1558" t="s">
        <v>1345</v>
      </c>
      <c r="P1558" t="s">
        <v>1346</v>
      </c>
      <c r="Q1558" t="s">
        <v>1682</v>
      </c>
      <c r="R1558" s="1">
        <v>46220</v>
      </c>
      <c r="S1558" t="s">
        <v>841</v>
      </c>
      <c r="T1558" t="s">
        <v>842</v>
      </c>
      <c r="U1558" t="s">
        <v>843</v>
      </c>
      <c r="V1558" t="s">
        <v>66</v>
      </c>
      <c r="W1558" t="s">
        <v>66</v>
      </c>
      <c r="X1558">
        <v>2631496</v>
      </c>
      <c r="Y1558">
        <v>289464.56</v>
      </c>
      <c r="Z1558">
        <v>57047.76</v>
      </c>
      <c r="AA1558">
        <v>6275.25</v>
      </c>
      <c r="AB1558">
        <v>2920960.56</v>
      </c>
      <c r="AC1558">
        <v>3</v>
      </c>
      <c r="AD1558" t="s">
        <v>82</v>
      </c>
      <c r="AE1558">
        <v>3</v>
      </c>
      <c r="AF1558" t="s">
        <v>743</v>
      </c>
      <c r="AG1558">
        <f>IFERROR(VLOOKUP(AF1558,[1]STOK!J:O,6,0),"")</f>
        <v>12</v>
      </c>
      <c r="AH1558" s="2">
        <f t="shared" si="48"/>
        <v>0.25</v>
      </c>
      <c r="AI1558" t="s">
        <v>743</v>
      </c>
      <c r="AJ1558" t="s">
        <v>744</v>
      </c>
      <c r="AK1558" t="s">
        <v>745</v>
      </c>
      <c r="AL1558" t="s">
        <v>86</v>
      </c>
      <c r="AM1558">
        <v>21978</v>
      </c>
      <c r="AN1558">
        <f t="shared" si="49"/>
        <v>21107.670000000002</v>
      </c>
      <c r="AO1558" t="s">
        <v>66</v>
      </c>
      <c r="AP1558">
        <v>2</v>
      </c>
      <c r="AQ1558" t="s">
        <v>66</v>
      </c>
      <c r="AR1558">
        <v>0</v>
      </c>
      <c r="AS1558" t="s">
        <v>66</v>
      </c>
      <c r="AT1558">
        <v>0</v>
      </c>
      <c r="AU1558" t="s">
        <v>66</v>
      </c>
      <c r="AV1558">
        <v>2</v>
      </c>
      <c r="AW1558" t="s">
        <v>66</v>
      </c>
      <c r="AX1558">
        <v>0</v>
      </c>
      <c r="AY1558" t="s">
        <v>66</v>
      </c>
      <c r="AZ1558">
        <v>0</v>
      </c>
      <c r="BA1558" t="s">
        <v>66</v>
      </c>
      <c r="BB1558">
        <v>0</v>
      </c>
      <c r="BC1558">
        <v>0</v>
      </c>
      <c r="BD1558">
        <v>63323.01</v>
      </c>
      <c r="BE1558">
        <v>17808.900000000001</v>
      </c>
      <c r="BF1558">
        <v>0</v>
      </c>
      <c r="BG1558" t="s">
        <v>87</v>
      </c>
      <c r="BH1558" t="s">
        <v>66</v>
      </c>
      <c r="BI1558">
        <v>0</v>
      </c>
      <c r="BJ1558" t="s">
        <v>66</v>
      </c>
      <c r="BK1558" t="s">
        <v>88</v>
      </c>
      <c r="BL1558" t="s">
        <v>742</v>
      </c>
      <c r="BM1558" t="s">
        <v>159</v>
      </c>
    </row>
    <row r="1559" spans="1:65" x14ac:dyDescent="0.25">
      <c r="A1559">
        <v>1557</v>
      </c>
      <c r="B1559" t="s">
        <v>1678</v>
      </c>
      <c r="C1559" t="s">
        <v>1679</v>
      </c>
      <c r="D1559" s="1">
        <v>46223</v>
      </c>
      <c r="E1559" t="s">
        <v>1680</v>
      </c>
      <c r="F1559" t="s">
        <v>1681</v>
      </c>
      <c r="G1559" t="s">
        <v>295</v>
      </c>
      <c r="H1559" t="s">
        <v>296</v>
      </c>
      <c r="I1559" t="s">
        <v>71</v>
      </c>
      <c r="J1559" t="s">
        <v>72</v>
      </c>
      <c r="K1559" t="s">
        <v>73</v>
      </c>
      <c r="L1559" t="s">
        <v>74</v>
      </c>
      <c r="M1559" t="s">
        <v>1344</v>
      </c>
      <c r="N1559" t="s">
        <v>76</v>
      </c>
      <c r="O1559" t="s">
        <v>1345</v>
      </c>
      <c r="P1559" t="s">
        <v>1346</v>
      </c>
      <c r="Q1559" t="s">
        <v>1682</v>
      </c>
      <c r="R1559" s="1">
        <v>46220</v>
      </c>
      <c r="S1559" t="s">
        <v>841</v>
      </c>
      <c r="T1559" t="s">
        <v>842</v>
      </c>
      <c r="U1559" t="s">
        <v>843</v>
      </c>
      <c r="V1559" t="s">
        <v>66</v>
      </c>
      <c r="W1559" t="s">
        <v>66</v>
      </c>
      <c r="X1559">
        <v>2631496</v>
      </c>
      <c r="Y1559">
        <v>289464.56</v>
      </c>
      <c r="Z1559">
        <v>85283.520000000004</v>
      </c>
      <c r="AA1559">
        <v>9381.19</v>
      </c>
      <c r="AB1559">
        <v>2920960.56</v>
      </c>
      <c r="AC1559">
        <v>6</v>
      </c>
      <c r="AD1559" t="s">
        <v>82</v>
      </c>
      <c r="AE1559">
        <v>6</v>
      </c>
      <c r="AF1559" t="s">
        <v>845</v>
      </c>
      <c r="AG1559">
        <f>IFERROR(VLOOKUP(AF1559,[1]STOK!J:O,6,0),"")</f>
        <v>12</v>
      </c>
      <c r="AH1559" s="2">
        <f t="shared" si="48"/>
        <v>0.5</v>
      </c>
      <c r="AI1559" t="s">
        <v>845</v>
      </c>
      <c r="AJ1559" t="s">
        <v>846</v>
      </c>
      <c r="AK1559" t="s">
        <v>847</v>
      </c>
      <c r="AL1559" t="s">
        <v>86</v>
      </c>
      <c r="AM1559">
        <v>16428</v>
      </c>
      <c r="AN1559">
        <f t="shared" si="49"/>
        <v>15777.451666666668</v>
      </c>
      <c r="AO1559" t="s">
        <v>66</v>
      </c>
      <c r="AP1559">
        <v>2</v>
      </c>
      <c r="AQ1559" t="s">
        <v>66</v>
      </c>
      <c r="AR1559">
        <v>0</v>
      </c>
      <c r="AS1559" t="s">
        <v>66</v>
      </c>
      <c r="AT1559">
        <v>0</v>
      </c>
      <c r="AU1559" t="s">
        <v>66</v>
      </c>
      <c r="AV1559">
        <v>2</v>
      </c>
      <c r="AW1559" t="s">
        <v>66</v>
      </c>
      <c r="AX1559">
        <v>0</v>
      </c>
      <c r="AY1559" t="s">
        <v>66</v>
      </c>
      <c r="AZ1559">
        <v>0</v>
      </c>
      <c r="BA1559" t="s">
        <v>66</v>
      </c>
      <c r="BB1559">
        <v>0</v>
      </c>
      <c r="BC1559">
        <v>0</v>
      </c>
      <c r="BD1559">
        <v>94664.71</v>
      </c>
      <c r="BE1559">
        <v>13524.97</v>
      </c>
      <c r="BF1559">
        <v>0</v>
      </c>
      <c r="BG1559" t="s">
        <v>87</v>
      </c>
      <c r="BH1559" t="s">
        <v>66</v>
      </c>
      <c r="BI1559">
        <v>0</v>
      </c>
      <c r="BJ1559" t="s">
        <v>66</v>
      </c>
      <c r="BK1559" t="s">
        <v>88</v>
      </c>
      <c r="BL1559" t="s">
        <v>742</v>
      </c>
      <c r="BM1559" t="s">
        <v>159</v>
      </c>
    </row>
    <row r="1560" spans="1:65" x14ac:dyDescent="0.25">
      <c r="A1560">
        <v>1558</v>
      </c>
      <c r="B1560" t="s">
        <v>1678</v>
      </c>
      <c r="C1560" t="s">
        <v>1679</v>
      </c>
      <c r="D1560" s="1">
        <v>46223</v>
      </c>
      <c r="E1560" t="s">
        <v>1680</v>
      </c>
      <c r="F1560" t="s">
        <v>1681</v>
      </c>
      <c r="G1560" t="s">
        <v>295</v>
      </c>
      <c r="H1560" t="s">
        <v>296</v>
      </c>
      <c r="I1560" t="s">
        <v>71</v>
      </c>
      <c r="J1560" t="s">
        <v>72</v>
      </c>
      <c r="K1560" t="s">
        <v>73</v>
      </c>
      <c r="L1560" t="s">
        <v>74</v>
      </c>
      <c r="M1560" t="s">
        <v>1344</v>
      </c>
      <c r="N1560" t="s">
        <v>76</v>
      </c>
      <c r="O1560" t="s">
        <v>1345</v>
      </c>
      <c r="P1560" t="s">
        <v>1346</v>
      </c>
      <c r="Q1560" t="s">
        <v>1682</v>
      </c>
      <c r="R1560" s="1">
        <v>46220</v>
      </c>
      <c r="S1560" t="s">
        <v>841</v>
      </c>
      <c r="T1560" t="s">
        <v>842</v>
      </c>
      <c r="U1560" t="s">
        <v>843</v>
      </c>
      <c r="V1560" t="s">
        <v>66</v>
      </c>
      <c r="W1560" t="s">
        <v>66</v>
      </c>
      <c r="X1560">
        <v>2631496</v>
      </c>
      <c r="Y1560">
        <v>289464.56</v>
      </c>
      <c r="Z1560">
        <v>85283.520000000004</v>
      </c>
      <c r="AA1560">
        <v>9381.19</v>
      </c>
      <c r="AB1560">
        <v>2920960.56</v>
      </c>
      <c r="AC1560">
        <v>6</v>
      </c>
      <c r="AD1560" t="s">
        <v>82</v>
      </c>
      <c r="AE1560">
        <v>6</v>
      </c>
      <c r="AF1560" t="s">
        <v>548</v>
      </c>
      <c r="AG1560">
        <f>IFERROR(VLOOKUP(AF1560,[1]STOK!J:O,6,0),"")</f>
        <v>12</v>
      </c>
      <c r="AH1560" s="2">
        <f t="shared" si="48"/>
        <v>0.5</v>
      </c>
      <c r="AI1560" t="s">
        <v>548</v>
      </c>
      <c r="AJ1560" t="s">
        <v>549</v>
      </c>
      <c r="AK1560" t="s">
        <v>550</v>
      </c>
      <c r="AL1560" t="s">
        <v>86</v>
      </c>
      <c r="AM1560">
        <v>16428</v>
      </c>
      <c r="AN1560">
        <f t="shared" si="49"/>
        <v>15777.451666666668</v>
      </c>
      <c r="AO1560" t="s">
        <v>66</v>
      </c>
      <c r="AP1560">
        <v>2</v>
      </c>
      <c r="AQ1560" t="s">
        <v>66</v>
      </c>
      <c r="AR1560">
        <v>0</v>
      </c>
      <c r="AS1560" t="s">
        <v>66</v>
      </c>
      <c r="AT1560">
        <v>0</v>
      </c>
      <c r="AU1560" t="s">
        <v>66</v>
      </c>
      <c r="AV1560">
        <v>2</v>
      </c>
      <c r="AW1560" t="s">
        <v>66</v>
      </c>
      <c r="AX1560">
        <v>0</v>
      </c>
      <c r="AY1560" t="s">
        <v>66</v>
      </c>
      <c r="AZ1560">
        <v>0</v>
      </c>
      <c r="BA1560" t="s">
        <v>66</v>
      </c>
      <c r="BB1560">
        <v>0</v>
      </c>
      <c r="BC1560">
        <v>0</v>
      </c>
      <c r="BD1560">
        <v>94664.71</v>
      </c>
      <c r="BE1560">
        <v>12235.75</v>
      </c>
      <c r="BF1560">
        <v>0</v>
      </c>
      <c r="BG1560" t="s">
        <v>87</v>
      </c>
      <c r="BH1560" t="s">
        <v>66</v>
      </c>
      <c r="BI1560">
        <v>0</v>
      </c>
      <c r="BJ1560" t="s">
        <v>66</v>
      </c>
      <c r="BK1560" t="s">
        <v>88</v>
      </c>
      <c r="BL1560" t="s">
        <v>742</v>
      </c>
      <c r="BM1560" t="s">
        <v>159</v>
      </c>
    </row>
    <row r="1561" spans="1:65" x14ac:dyDescent="0.25">
      <c r="A1561">
        <v>1559</v>
      </c>
      <c r="B1561" t="s">
        <v>1678</v>
      </c>
      <c r="C1561" t="s">
        <v>1679</v>
      </c>
      <c r="D1561" s="1">
        <v>46223</v>
      </c>
      <c r="E1561" t="s">
        <v>1680</v>
      </c>
      <c r="F1561" t="s">
        <v>1681</v>
      </c>
      <c r="G1561" t="s">
        <v>295</v>
      </c>
      <c r="H1561" t="s">
        <v>296</v>
      </c>
      <c r="I1561" t="s">
        <v>71</v>
      </c>
      <c r="J1561" t="s">
        <v>72</v>
      </c>
      <c r="K1561" t="s">
        <v>73</v>
      </c>
      <c r="L1561" t="s">
        <v>74</v>
      </c>
      <c r="M1561" t="s">
        <v>1344</v>
      </c>
      <c r="N1561" t="s">
        <v>76</v>
      </c>
      <c r="O1561" t="s">
        <v>1345</v>
      </c>
      <c r="P1561" t="s">
        <v>1346</v>
      </c>
      <c r="Q1561" t="s">
        <v>1682</v>
      </c>
      <c r="R1561" s="1">
        <v>46220</v>
      </c>
      <c r="S1561" t="s">
        <v>841</v>
      </c>
      <c r="T1561" t="s">
        <v>842</v>
      </c>
      <c r="U1561" t="s">
        <v>843</v>
      </c>
      <c r="V1561" t="s">
        <v>66</v>
      </c>
      <c r="W1561" t="s">
        <v>66</v>
      </c>
      <c r="X1561">
        <v>2631496</v>
      </c>
      <c r="Y1561">
        <v>289464.56</v>
      </c>
      <c r="Z1561">
        <v>85283.520000000004</v>
      </c>
      <c r="AA1561">
        <v>9381.19</v>
      </c>
      <c r="AB1561">
        <v>2920960.56</v>
      </c>
      <c r="AC1561">
        <v>6</v>
      </c>
      <c r="AD1561" t="s">
        <v>82</v>
      </c>
      <c r="AE1561">
        <v>6</v>
      </c>
      <c r="AF1561" t="s">
        <v>119</v>
      </c>
      <c r="AG1561">
        <f>IFERROR(VLOOKUP(AF1561,[1]STOK!J:O,6,0),"")</f>
        <v>12</v>
      </c>
      <c r="AH1561" s="2">
        <f t="shared" si="48"/>
        <v>0.5</v>
      </c>
      <c r="AI1561" t="s">
        <v>119</v>
      </c>
      <c r="AJ1561" t="s">
        <v>120</v>
      </c>
      <c r="AK1561" t="s">
        <v>121</v>
      </c>
      <c r="AL1561" t="s">
        <v>86</v>
      </c>
      <c r="AM1561">
        <v>16428</v>
      </c>
      <c r="AN1561">
        <f t="shared" si="49"/>
        <v>15777.451666666668</v>
      </c>
      <c r="AO1561" t="s">
        <v>66</v>
      </c>
      <c r="AP1561">
        <v>2</v>
      </c>
      <c r="AQ1561" t="s">
        <v>66</v>
      </c>
      <c r="AR1561">
        <v>0</v>
      </c>
      <c r="AS1561" t="s">
        <v>66</v>
      </c>
      <c r="AT1561">
        <v>0</v>
      </c>
      <c r="AU1561" t="s">
        <v>66</v>
      </c>
      <c r="AV1561">
        <v>2</v>
      </c>
      <c r="AW1561" t="s">
        <v>66</v>
      </c>
      <c r="AX1561">
        <v>0</v>
      </c>
      <c r="AY1561" t="s">
        <v>66</v>
      </c>
      <c r="AZ1561">
        <v>0</v>
      </c>
      <c r="BA1561" t="s">
        <v>66</v>
      </c>
      <c r="BB1561">
        <v>0</v>
      </c>
      <c r="BC1561">
        <v>0</v>
      </c>
      <c r="BD1561">
        <v>94664.71</v>
      </c>
      <c r="BE1561">
        <v>13393.52</v>
      </c>
      <c r="BF1561">
        <v>0</v>
      </c>
      <c r="BG1561" t="s">
        <v>87</v>
      </c>
      <c r="BH1561" t="s">
        <v>66</v>
      </c>
      <c r="BI1561">
        <v>0</v>
      </c>
      <c r="BJ1561" t="s">
        <v>66</v>
      </c>
      <c r="BK1561" t="s">
        <v>88</v>
      </c>
      <c r="BL1561" t="s">
        <v>742</v>
      </c>
      <c r="BM1561" t="s">
        <v>159</v>
      </c>
    </row>
    <row r="1562" spans="1:65" x14ac:dyDescent="0.25">
      <c r="A1562">
        <v>1560</v>
      </c>
      <c r="B1562" t="s">
        <v>1678</v>
      </c>
      <c r="C1562" t="s">
        <v>1679</v>
      </c>
      <c r="D1562" s="1">
        <v>46223</v>
      </c>
      <c r="E1562" t="s">
        <v>1680</v>
      </c>
      <c r="F1562" t="s">
        <v>1681</v>
      </c>
      <c r="G1562" t="s">
        <v>295</v>
      </c>
      <c r="H1562" t="s">
        <v>296</v>
      </c>
      <c r="I1562" t="s">
        <v>71</v>
      </c>
      <c r="J1562" t="s">
        <v>72</v>
      </c>
      <c r="K1562" t="s">
        <v>73</v>
      </c>
      <c r="L1562" t="s">
        <v>74</v>
      </c>
      <c r="M1562" t="s">
        <v>1344</v>
      </c>
      <c r="N1562" t="s">
        <v>76</v>
      </c>
      <c r="O1562" t="s">
        <v>1345</v>
      </c>
      <c r="P1562" t="s">
        <v>1346</v>
      </c>
      <c r="Q1562" t="s">
        <v>1682</v>
      </c>
      <c r="R1562" s="1">
        <v>46220</v>
      </c>
      <c r="S1562" t="s">
        <v>841</v>
      </c>
      <c r="T1562" t="s">
        <v>842</v>
      </c>
      <c r="U1562" t="s">
        <v>843</v>
      </c>
      <c r="V1562" t="s">
        <v>66</v>
      </c>
      <c r="W1562" t="s">
        <v>66</v>
      </c>
      <c r="X1562">
        <v>2631496</v>
      </c>
      <c r="Y1562">
        <v>289464.56</v>
      </c>
      <c r="Z1562">
        <v>58200.24</v>
      </c>
      <c r="AA1562">
        <v>6402.03</v>
      </c>
      <c r="AB1562">
        <v>2920960.56</v>
      </c>
      <c r="AC1562">
        <v>6</v>
      </c>
      <c r="AD1562" t="s">
        <v>82</v>
      </c>
      <c r="AE1562">
        <v>6</v>
      </c>
      <c r="AF1562" t="s">
        <v>723</v>
      </c>
      <c r="AG1562">
        <f>IFERROR(VLOOKUP(AF1562,[1]STOK!J:O,6,0),"")</f>
        <v>24</v>
      </c>
      <c r="AH1562" s="2">
        <f t="shared" si="48"/>
        <v>0.25</v>
      </c>
      <c r="AI1562" t="s">
        <v>723</v>
      </c>
      <c r="AJ1562" t="s">
        <v>724</v>
      </c>
      <c r="AK1562" t="s">
        <v>725</v>
      </c>
      <c r="AL1562" t="s">
        <v>86</v>
      </c>
      <c r="AM1562">
        <v>11211</v>
      </c>
      <c r="AN1562">
        <f t="shared" si="49"/>
        <v>10767.045</v>
      </c>
      <c r="AO1562" t="s">
        <v>66</v>
      </c>
      <c r="AP1562">
        <v>2</v>
      </c>
      <c r="AQ1562" t="s">
        <v>66</v>
      </c>
      <c r="AR1562">
        <v>0</v>
      </c>
      <c r="AS1562" t="s">
        <v>66</v>
      </c>
      <c r="AT1562">
        <v>0</v>
      </c>
      <c r="AU1562" t="s">
        <v>66</v>
      </c>
      <c r="AV1562">
        <v>2</v>
      </c>
      <c r="AW1562" t="s">
        <v>66</v>
      </c>
      <c r="AX1562">
        <v>0</v>
      </c>
      <c r="AY1562" t="s">
        <v>66</v>
      </c>
      <c r="AZ1562">
        <v>0</v>
      </c>
      <c r="BA1562" t="s">
        <v>66</v>
      </c>
      <c r="BB1562">
        <v>0</v>
      </c>
      <c r="BC1562">
        <v>0</v>
      </c>
      <c r="BD1562">
        <v>64602.27</v>
      </c>
      <c r="BE1562">
        <v>9094.83</v>
      </c>
      <c r="BF1562">
        <v>0</v>
      </c>
      <c r="BG1562" t="s">
        <v>87</v>
      </c>
      <c r="BH1562" t="s">
        <v>66</v>
      </c>
      <c r="BI1562">
        <v>0</v>
      </c>
      <c r="BJ1562" t="s">
        <v>66</v>
      </c>
      <c r="BK1562" t="s">
        <v>88</v>
      </c>
      <c r="BL1562" t="s">
        <v>742</v>
      </c>
      <c r="BM1562" t="s">
        <v>159</v>
      </c>
    </row>
    <row r="1563" spans="1:65" x14ac:dyDescent="0.25">
      <c r="A1563">
        <v>1561</v>
      </c>
      <c r="B1563" t="s">
        <v>1678</v>
      </c>
      <c r="C1563" t="s">
        <v>1679</v>
      </c>
      <c r="D1563" s="1">
        <v>46223</v>
      </c>
      <c r="E1563" t="s">
        <v>1680</v>
      </c>
      <c r="F1563" t="s">
        <v>1681</v>
      </c>
      <c r="G1563" t="s">
        <v>295</v>
      </c>
      <c r="H1563" t="s">
        <v>296</v>
      </c>
      <c r="I1563" t="s">
        <v>71</v>
      </c>
      <c r="J1563" t="s">
        <v>72</v>
      </c>
      <c r="K1563" t="s">
        <v>73</v>
      </c>
      <c r="L1563" t="s">
        <v>74</v>
      </c>
      <c r="M1563" t="s">
        <v>1344</v>
      </c>
      <c r="N1563" t="s">
        <v>76</v>
      </c>
      <c r="O1563" t="s">
        <v>1345</v>
      </c>
      <c r="P1563" t="s">
        <v>1346</v>
      </c>
      <c r="Q1563" t="s">
        <v>1682</v>
      </c>
      <c r="R1563" s="1">
        <v>46220</v>
      </c>
      <c r="S1563" t="s">
        <v>841</v>
      </c>
      <c r="T1563" t="s">
        <v>842</v>
      </c>
      <c r="U1563" t="s">
        <v>843</v>
      </c>
      <c r="V1563" t="s">
        <v>66</v>
      </c>
      <c r="W1563" t="s">
        <v>66</v>
      </c>
      <c r="X1563">
        <v>2631496</v>
      </c>
      <c r="Y1563">
        <v>289464.56</v>
      </c>
      <c r="Z1563">
        <v>58200.24</v>
      </c>
      <c r="AA1563">
        <v>6402.03</v>
      </c>
      <c r="AB1563">
        <v>2920960.56</v>
      </c>
      <c r="AC1563">
        <v>6</v>
      </c>
      <c r="AD1563" t="s">
        <v>82</v>
      </c>
      <c r="AE1563">
        <v>6</v>
      </c>
      <c r="AF1563" t="s">
        <v>746</v>
      </c>
      <c r="AG1563">
        <f>IFERROR(VLOOKUP(AF1563,[1]STOK!J:O,6,0),"")</f>
        <v>24</v>
      </c>
      <c r="AH1563" s="2">
        <f t="shared" si="48"/>
        <v>0.25</v>
      </c>
      <c r="AI1563" t="s">
        <v>746</v>
      </c>
      <c r="AJ1563" t="s">
        <v>747</v>
      </c>
      <c r="AK1563" t="s">
        <v>748</v>
      </c>
      <c r="AL1563" t="s">
        <v>86</v>
      </c>
      <c r="AM1563">
        <v>11211</v>
      </c>
      <c r="AN1563">
        <f t="shared" si="49"/>
        <v>10767.045</v>
      </c>
      <c r="AO1563" t="s">
        <v>66</v>
      </c>
      <c r="AP1563">
        <v>2</v>
      </c>
      <c r="AQ1563" t="s">
        <v>66</v>
      </c>
      <c r="AR1563">
        <v>0</v>
      </c>
      <c r="AS1563" t="s">
        <v>66</v>
      </c>
      <c r="AT1563">
        <v>0</v>
      </c>
      <c r="AU1563" t="s">
        <v>66</v>
      </c>
      <c r="AV1563">
        <v>2</v>
      </c>
      <c r="AW1563" t="s">
        <v>66</v>
      </c>
      <c r="AX1563">
        <v>0</v>
      </c>
      <c r="AY1563" t="s">
        <v>66</v>
      </c>
      <c r="AZ1563">
        <v>0</v>
      </c>
      <c r="BA1563" t="s">
        <v>66</v>
      </c>
      <c r="BB1563">
        <v>0</v>
      </c>
      <c r="BC1563">
        <v>0</v>
      </c>
      <c r="BD1563">
        <v>64602.27</v>
      </c>
      <c r="BE1563">
        <v>9129.35</v>
      </c>
      <c r="BF1563">
        <v>0</v>
      </c>
      <c r="BG1563" t="s">
        <v>87</v>
      </c>
      <c r="BH1563" t="s">
        <v>66</v>
      </c>
      <c r="BI1563">
        <v>0</v>
      </c>
      <c r="BJ1563" t="s">
        <v>66</v>
      </c>
      <c r="BK1563" t="s">
        <v>88</v>
      </c>
      <c r="BL1563" t="s">
        <v>742</v>
      </c>
      <c r="BM1563" t="s">
        <v>159</v>
      </c>
    </row>
    <row r="1564" spans="1:65" x14ac:dyDescent="0.25">
      <c r="A1564">
        <v>1562</v>
      </c>
      <c r="B1564" t="s">
        <v>1678</v>
      </c>
      <c r="C1564" t="s">
        <v>1679</v>
      </c>
      <c r="D1564" s="1">
        <v>46223</v>
      </c>
      <c r="E1564" t="s">
        <v>1680</v>
      </c>
      <c r="F1564" t="s">
        <v>1681</v>
      </c>
      <c r="G1564" t="s">
        <v>295</v>
      </c>
      <c r="H1564" t="s">
        <v>296</v>
      </c>
      <c r="I1564" t="s">
        <v>71</v>
      </c>
      <c r="J1564" t="s">
        <v>72</v>
      </c>
      <c r="K1564" t="s">
        <v>73</v>
      </c>
      <c r="L1564" t="s">
        <v>74</v>
      </c>
      <c r="M1564" t="s">
        <v>1344</v>
      </c>
      <c r="N1564" t="s">
        <v>76</v>
      </c>
      <c r="O1564" t="s">
        <v>1345</v>
      </c>
      <c r="P1564" t="s">
        <v>1346</v>
      </c>
      <c r="Q1564" t="s">
        <v>1682</v>
      </c>
      <c r="R1564" s="1">
        <v>46220</v>
      </c>
      <c r="S1564" t="s">
        <v>841</v>
      </c>
      <c r="T1564" t="s">
        <v>842</v>
      </c>
      <c r="U1564" t="s">
        <v>843</v>
      </c>
      <c r="V1564" t="s">
        <v>66</v>
      </c>
      <c r="W1564" t="s">
        <v>66</v>
      </c>
      <c r="X1564">
        <v>2631496</v>
      </c>
      <c r="Y1564">
        <v>289464.56</v>
      </c>
      <c r="Z1564">
        <v>58200.24</v>
      </c>
      <c r="AA1564">
        <v>6402.03</v>
      </c>
      <c r="AB1564">
        <v>2920960.56</v>
      </c>
      <c r="AC1564">
        <v>6</v>
      </c>
      <c r="AD1564" t="s">
        <v>82</v>
      </c>
      <c r="AE1564">
        <v>6</v>
      </c>
      <c r="AF1564" t="s">
        <v>848</v>
      </c>
      <c r="AG1564">
        <f>IFERROR(VLOOKUP(AF1564,[1]STOK!J:O,6,0),"")</f>
        <v>24</v>
      </c>
      <c r="AH1564" s="2">
        <f t="shared" si="48"/>
        <v>0.25</v>
      </c>
      <c r="AI1564" t="s">
        <v>848</v>
      </c>
      <c r="AJ1564" t="s">
        <v>849</v>
      </c>
      <c r="AK1564" t="s">
        <v>850</v>
      </c>
      <c r="AL1564" t="s">
        <v>86</v>
      </c>
      <c r="AM1564">
        <v>11211</v>
      </c>
      <c r="AN1564">
        <f t="shared" si="49"/>
        <v>10767.045</v>
      </c>
      <c r="AO1564" t="s">
        <v>66</v>
      </c>
      <c r="AP1564">
        <v>2</v>
      </c>
      <c r="AQ1564" t="s">
        <v>66</v>
      </c>
      <c r="AR1564">
        <v>0</v>
      </c>
      <c r="AS1564" t="s">
        <v>66</v>
      </c>
      <c r="AT1564">
        <v>0</v>
      </c>
      <c r="AU1564" t="s">
        <v>66</v>
      </c>
      <c r="AV1564">
        <v>2</v>
      </c>
      <c r="AW1564" t="s">
        <v>66</v>
      </c>
      <c r="AX1564">
        <v>0</v>
      </c>
      <c r="AY1564" t="s">
        <v>66</v>
      </c>
      <c r="AZ1564">
        <v>0</v>
      </c>
      <c r="BA1564" t="s">
        <v>66</v>
      </c>
      <c r="BB1564">
        <v>0</v>
      </c>
      <c r="BC1564">
        <v>0</v>
      </c>
      <c r="BD1564">
        <v>64602.27</v>
      </c>
      <c r="BE1564">
        <v>8922.2099999999991</v>
      </c>
      <c r="BF1564">
        <v>0</v>
      </c>
      <c r="BG1564" t="s">
        <v>87</v>
      </c>
      <c r="BH1564" t="s">
        <v>66</v>
      </c>
      <c r="BI1564">
        <v>0</v>
      </c>
      <c r="BJ1564" t="s">
        <v>66</v>
      </c>
      <c r="BK1564" t="s">
        <v>88</v>
      </c>
      <c r="BL1564" t="s">
        <v>742</v>
      </c>
      <c r="BM1564" t="s">
        <v>159</v>
      </c>
    </row>
    <row r="1565" spans="1:65" x14ac:dyDescent="0.25">
      <c r="A1565">
        <v>1563</v>
      </c>
      <c r="B1565" t="s">
        <v>1678</v>
      </c>
      <c r="C1565" t="s">
        <v>1679</v>
      </c>
      <c r="D1565" s="1">
        <v>46223</v>
      </c>
      <c r="E1565" t="s">
        <v>1680</v>
      </c>
      <c r="F1565" t="s">
        <v>1681</v>
      </c>
      <c r="G1565" t="s">
        <v>295</v>
      </c>
      <c r="H1565" t="s">
        <v>296</v>
      </c>
      <c r="I1565" t="s">
        <v>71</v>
      </c>
      <c r="J1565" t="s">
        <v>72</v>
      </c>
      <c r="K1565" t="s">
        <v>73</v>
      </c>
      <c r="L1565" t="s">
        <v>74</v>
      </c>
      <c r="M1565" t="s">
        <v>1344</v>
      </c>
      <c r="N1565" t="s">
        <v>76</v>
      </c>
      <c r="O1565" t="s">
        <v>1345</v>
      </c>
      <c r="P1565" t="s">
        <v>1346</v>
      </c>
      <c r="Q1565" t="s">
        <v>1682</v>
      </c>
      <c r="R1565" s="1">
        <v>46220</v>
      </c>
      <c r="S1565" t="s">
        <v>841</v>
      </c>
      <c r="T1565" t="s">
        <v>842</v>
      </c>
      <c r="U1565" t="s">
        <v>843</v>
      </c>
      <c r="V1565" t="s">
        <v>66</v>
      </c>
      <c r="W1565" t="s">
        <v>66</v>
      </c>
      <c r="X1565">
        <v>2631496</v>
      </c>
      <c r="Y1565">
        <v>289464.56</v>
      </c>
      <c r="Z1565">
        <v>45522.96</v>
      </c>
      <c r="AA1565">
        <v>5007.53</v>
      </c>
      <c r="AB1565">
        <v>2920960.56</v>
      </c>
      <c r="AC1565">
        <v>6</v>
      </c>
      <c r="AD1565" t="s">
        <v>82</v>
      </c>
      <c r="AE1565">
        <v>6</v>
      </c>
      <c r="AF1565" t="s">
        <v>248</v>
      </c>
      <c r="AG1565">
        <f>IFERROR(VLOOKUP(AF1565,[1]STOK!J:O,6,0),"")</f>
        <v>24</v>
      </c>
      <c r="AH1565" s="2">
        <f t="shared" si="48"/>
        <v>0.25</v>
      </c>
      <c r="AI1565" t="s">
        <v>248</v>
      </c>
      <c r="AJ1565" t="s">
        <v>249</v>
      </c>
      <c r="AK1565" t="s">
        <v>250</v>
      </c>
      <c r="AL1565" t="s">
        <v>86</v>
      </c>
      <c r="AM1565">
        <v>8769</v>
      </c>
      <c r="AN1565">
        <f t="shared" si="49"/>
        <v>8421.748333333333</v>
      </c>
      <c r="AO1565" t="s">
        <v>66</v>
      </c>
      <c r="AP1565">
        <v>2</v>
      </c>
      <c r="AQ1565" t="s">
        <v>66</v>
      </c>
      <c r="AR1565">
        <v>0</v>
      </c>
      <c r="AS1565" t="s">
        <v>66</v>
      </c>
      <c r="AT1565">
        <v>0</v>
      </c>
      <c r="AU1565" t="s">
        <v>66</v>
      </c>
      <c r="AV1565">
        <v>2</v>
      </c>
      <c r="AW1565" t="s">
        <v>66</v>
      </c>
      <c r="AX1565">
        <v>0</v>
      </c>
      <c r="AY1565" t="s">
        <v>66</v>
      </c>
      <c r="AZ1565">
        <v>0</v>
      </c>
      <c r="BA1565" t="s">
        <v>66</v>
      </c>
      <c r="BB1565">
        <v>0</v>
      </c>
      <c r="BC1565">
        <v>0</v>
      </c>
      <c r="BD1565">
        <v>50530.49</v>
      </c>
      <c r="BE1565">
        <v>7274.07</v>
      </c>
      <c r="BF1565">
        <v>0</v>
      </c>
      <c r="BG1565" t="s">
        <v>87</v>
      </c>
      <c r="BH1565" t="s">
        <v>66</v>
      </c>
      <c r="BI1565">
        <v>0</v>
      </c>
      <c r="BJ1565" t="s">
        <v>66</v>
      </c>
      <c r="BK1565" t="s">
        <v>88</v>
      </c>
      <c r="BL1565" t="s">
        <v>742</v>
      </c>
      <c r="BM1565" t="s">
        <v>159</v>
      </c>
    </row>
    <row r="1566" spans="1:65" x14ac:dyDescent="0.25">
      <c r="A1566">
        <v>1564</v>
      </c>
      <c r="B1566" t="s">
        <v>1678</v>
      </c>
      <c r="C1566" t="s">
        <v>1679</v>
      </c>
      <c r="D1566" s="1">
        <v>46223</v>
      </c>
      <c r="E1566" t="s">
        <v>1680</v>
      </c>
      <c r="F1566" t="s">
        <v>1681</v>
      </c>
      <c r="G1566" t="s">
        <v>295</v>
      </c>
      <c r="H1566" t="s">
        <v>296</v>
      </c>
      <c r="I1566" t="s">
        <v>71</v>
      </c>
      <c r="J1566" t="s">
        <v>72</v>
      </c>
      <c r="K1566" t="s">
        <v>73</v>
      </c>
      <c r="L1566" t="s">
        <v>74</v>
      </c>
      <c r="M1566" t="s">
        <v>1344</v>
      </c>
      <c r="N1566" t="s">
        <v>76</v>
      </c>
      <c r="O1566" t="s">
        <v>1345</v>
      </c>
      <c r="P1566" t="s">
        <v>1346</v>
      </c>
      <c r="Q1566" t="s">
        <v>1682</v>
      </c>
      <c r="R1566" s="1">
        <v>46220</v>
      </c>
      <c r="S1566" t="s">
        <v>841</v>
      </c>
      <c r="T1566" t="s">
        <v>842</v>
      </c>
      <c r="U1566" t="s">
        <v>843</v>
      </c>
      <c r="V1566" t="s">
        <v>66</v>
      </c>
      <c r="W1566" t="s">
        <v>66</v>
      </c>
      <c r="X1566">
        <v>2631496</v>
      </c>
      <c r="Y1566">
        <v>289464.56</v>
      </c>
      <c r="Z1566">
        <v>45522.96</v>
      </c>
      <c r="AA1566">
        <v>5007.53</v>
      </c>
      <c r="AB1566">
        <v>2920960.56</v>
      </c>
      <c r="AC1566">
        <v>6</v>
      </c>
      <c r="AD1566" t="s">
        <v>82</v>
      </c>
      <c r="AE1566">
        <v>6</v>
      </c>
      <c r="AF1566" t="s">
        <v>199</v>
      </c>
      <c r="AG1566">
        <f>IFERROR(VLOOKUP(AF1566,[1]STOK!J:O,6,0),"")</f>
        <v>24</v>
      </c>
      <c r="AH1566" s="2">
        <f t="shared" si="48"/>
        <v>0.25</v>
      </c>
      <c r="AI1566" t="s">
        <v>199</v>
      </c>
      <c r="AJ1566" t="s">
        <v>200</v>
      </c>
      <c r="AK1566" t="s">
        <v>201</v>
      </c>
      <c r="AL1566" t="s">
        <v>86</v>
      </c>
      <c r="AM1566">
        <v>8769</v>
      </c>
      <c r="AN1566">
        <f t="shared" si="49"/>
        <v>8421.748333333333</v>
      </c>
      <c r="AO1566" t="s">
        <v>66</v>
      </c>
      <c r="AP1566">
        <v>2</v>
      </c>
      <c r="AQ1566" t="s">
        <v>66</v>
      </c>
      <c r="AR1566">
        <v>0</v>
      </c>
      <c r="AS1566" t="s">
        <v>66</v>
      </c>
      <c r="AT1566">
        <v>0</v>
      </c>
      <c r="AU1566" t="s">
        <v>66</v>
      </c>
      <c r="AV1566">
        <v>2</v>
      </c>
      <c r="AW1566" t="s">
        <v>66</v>
      </c>
      <c r="AX1566">
        <v>0</v>
      </c>
      <c r="AY1566" t="s">
        <v>66</v>
      </c>
      <c r="AZ1566">
        <v>0</v>
      </c>
      <c r="BA1566" t="s">
        <v>66</v>
      </c>
      <c r="BB1566">
        <v>0</v>
      </c>
      <c r="BC1566">
        <v>0</v>
      </c>
      <c r="BD1566">
        <v>50530.49</v>
      </c>
      <c r="BE1566">
        <v>7265.68</v>
      </c>
      <c r="BF1566">
        <v>0</v>
      </c>
      <c r="BG1566" t="s">
        <v>87</v>
      </c>
      <c r="BH1566" t="s">
        <v>66</v>
      </c>
      <c r="BI1566">
        <v>0</v>
      </c>
      <c r="BJ1566" t="s">
        <v>66</v>
      </c>
      <c r="BK1566" t="s">
        <v>88</v>
      </c>
      <c r="BL1566" t="s">
        <v>742</v>
      </c>
      <c r="BM1566" t="s">
        <v>159</v>
      </c>
    </row>
    <row r="1567" spans="1:65" x14ac:dyDescent="0.25">
      <c r="A1567">
        <v>1565</v>
      </c>
      <c r="B1567" t="s">
        <v>1678</v>
      </c>
      <c r="C1567" t="s">
        <v>1679</v>
      </c>
      <c r="D1567" s="1">
        <v>46223</v>
      </c>
      <c r="E1567" t="s">
        <v>1680</v>
      </c>
      <c r="F1567" t="s">
        <v>1681</v>
      </c>
      <c r="G1567" t="s">
        <v>295</v>
      </c>
      <c r="H1567" t="s">
        <v>296</v>
      </c>
      <c r="I1567" t="s">
        <v>71</v>
      </c>
      <c r="J1567" t="s">
        <v>72</v>
      </c>
      <c r="K1567" t="s">
        <v>73</v>
      </c>
      <c r="L1567" t="s">
        <v>74</v>
      </c>
      <c r="M1567" t="s">
        <v>1344</v>
      </c>
      <c r="N1567" t="s">
        <v>76</v>
      </c>
      <c r="O1567" t="s">
        <v>1345</v>
      </c>
      <c r="P1567" t="s">
        <v>1346</v>
      </c>
      <c r="Q1567" t="s">
        <v>1682</v>
      </c>
      <c r="R1567" s="1">
        <v>46220</v>
      </c>
      <c r="S1567" t="s">
        <v>841</v>
      </c>
      <c r="T1567" t="s">
        <v>842</v>
      </c>
      <c r="U1567" t="s">
        <v>843</v>
      </c>
      <c r="V1567" t="s">
        <v>66</v>
      </c>
      <c r="W1567" t="s">
        <v>66</v>
      </c>
      <c r="X1567">
        <v>2631496</v>
      </c>
      <c r="Y1567">
        <v>289464.56</v>
      </c>
      <c r="Z1567">
        <v>45522.96</v>
      </c>
      <c r="AA1567">
        <v>5007.53</v>
      </c>
      <c r="AB1567">
        <v>2920960.56</v>
      </c>
      <c r="AC1567">
        <v>6</v>
      </c>
      <c r="AD1567" t="s">
        <v>82</v>
      </c>
      <c r="AE1567">
        <v>6</v>
      </c>
      <c r="AF1567" t="s">
        <v>344</v>
      </c>
      <c r="AG1567">
        <f>IFERROR(VLOOKUP(AF1567,[1]STOK!J:O,6,0),"")</f>
        <v>24</v>
      </c>
      <c r="AH1567" s="2">
        <f t="shared" si="48"/>
        <v>0.25</v>
      </c>
      <c r="AI1567" t="s">
        <v>344</v>
      </c>
      <c r="AJ1567" t="s">
        <v>345</v>
      </c>
      <c r="AK1567" t="s">
        <v>346</v>
      </c>
      <c r="AL1567" t="s">
        <v>86</v>
      </c>
      <c r="AM1567">
        <v>8769</v>
      </c>
      <c r="AN1567">
        <f t="shared" si="49"/>
        <v>8421.748333333333</v>
      </c>
      <c r="AO1567" t="s">
        <v>66</v>
      </c>
      <c r="AP1567">
        <v>2</v>
      </c>
      <c r="AQ1567" t="s">
        <v>66</v>
      </c>
      <c r="AR1567">
        <v>0</v>
      </c>
      <c r="AS1567" t="s">
        <v>66</v>
      </c>
      <c r="AT1567">
        <v>0</v>
      </c>
      <c r="AU1567" t="s">
        <v>66</v>
      </c>
      <c r="AV1567">
        <v>2</v>
      </c>
      <c r="AW1567" t="s">
        <v>66</v>
      </c>
      <c r="AX1567">
        <v>0</v>
      </c>
      <c r="AY1567" t="s">
        <v>66</v>
      </c>
      <c r="AZ1567">
        <v>0</v>
      </c>
      <c r="BA1567" t="s">
        <v>66</v>
      </c>
      <c r="BB1567">
        <v>0</v>
      </c>
      <c r="BC1567">
        <v>0</v>
      </c>
      <c r="BD1567">
        <v>50530.49</v>
      </c>
      <c r="BE1567">
        <v>6916.14</v>
      </c>
      <c r="BF1567">
        <v>0</v>
      </c>
      <c r="BG1567" t="s">
        <v>87</v>
      </c>
      <c r="BH1567" t="s">
        <v>66</v>
      </c>
      <c r="BI1567">
        <v>0</v>
      </c>
      <c r="BJ1567" t="s">
        <v>66</v>
      </c>
      <c r="BK1567" t="s">
        <v>88</v>
      </c>
      <c r="BL1567" t="s">
        <v>742</v>
      </c>
      <c r="BM1567" t="s">
        <v>159</v>
      </c>
    </row>
    <row r="1568" spans="1:65" x14ac:dyDescent="0.25">
      <c r="A1568">
        <v>1566</v>
      </c>
      <c r="B1568" t="s">
        <v>1678</v>
      </c>
      <c r="C1568" t="s">
        <v>1679</v>
      </c>
      <c r="D1568" s="1">
        <v>46223</v>
      </c>
      <c r="E1568" t="s">
        <v>1680</v>
      </c>
      <c r="F1568" t="s">
        <v>1681</v>
      </c>
      <c r="G1568" t="s">
        <v>295</v>
      </c>
      <c r="H1568" t="s">
        <v>296</v>
      </c>
      <c r="I1568" t="s">
        <v>71</v>
      </c>
      <c r="J1568" t="s">
        <v>72</v>
      </c>
      <c r="K1568" t="s">
        <v>73</v>
      </c>
      <c r="L1568" t="s">
        <v>74</v>
      </c>
      <c r="M1568" t="s">
        <v>1344</v>
      </c>
      <c r="N1568" t="s">
        <v>76</v>
      </c>
      <c r="O1568" t="s">
        <v>1345</v>
      </c>
      <c r="P1568" t="s">
        <v>1346</v>
      </c>
      <c r="Q1568" t="s">
        <v>1682</v>
      </c>
      <c r="R1568" s="1">
        <v>46220</v>
      </c>
      <c r="S1568" t="s">
        <v>841</v>
      </c>
      <c r="T1568" t="s">
        <v>842</v>
      </c>
      <c r="U1568" t="s">
        <v>843</v>
      </c>
      <c r="V1568" t="s">
        <v>66</v>
      </c>
      <c r="W1568" t="s">
        <v>66</v>
      </c>
      <c r="X1568">
        <v>2631496</v>
      </c>
      <c r="Y1568">
        <v>289464.56</v>
      </c>
      <c r="Z1568">
        <v>65115.12</v>
      </c>
      <c r="AA1568">
        <v>7162.66</v>
      </c>
      <c r="AB1568">
        <v>2920960.56</v>
      </c>
      <c r="AC1568">
        <v>6</v>
      </c>
      <c r="AD1568" t="s">
        <v>82</v>
      </c>
      <c r="AE1568">
        <v>6</v>
      </c>
      <c r="AF1568" t="s">
        <v>122</v>
      </c>
      <c r="AG1568">
        <f>IFERROR(VLOOKUP(AF1568,[1]STOK!J:O,6,0),"")</f>
        <v>24</v>
      </c>
      <c r="AH1568" s="2">
        <f t="shared" si="48"/>
        <v>0.25</v>
      </c>
      <c r="AI1568" t="s">
        <v>122</v>
      </c>
      <c r="AJ1568" t="s">
        <v>123</v>
      </c>
      <c r="AK1568" t="s">
        <v>124</v>
      </c>
      <c r="AL1568" t="s">
        <v>86</v>
      </c>
      <c r="AM1568">
        <v>12543</v>
      </c>
      <c r="AN1568">
        <f t="shared" si="49"/>
        <v>12046.296666666667</v>
      </c>
      <c r="AO1568" t="s">
        <v>66</v>
      </c>
      <c r="AP1568">
        <v>2</v>
      </c>
      <c r="AQ1568" t="s">
        <v>66</v>
      </c>
      <c r="AR1568">
        <v>0</v>
      </c>
      <c r="AS1568" t="s">
        <v>66</v>
      </c>
      <c r="AT1568">
        <v>0</v>
      </c>
      <c r="AU1568" t="s">
        <v>66</v>
      </c>
      <c r="AV1568">
        <v>2</v>
      </c>
      <c r="AW1568" t="s">
        <v>66</v>
      </c>
      <c r="AX1568">
        <v>0</v>
      </c>
      <c r="AY1568" t="s">
        <v>66</v>
      </c>
      <c r="AZ1568">
        <v>0</v>
      </c>
      <c r="BA1568" t="s">
        <v>66</v>
      </c>
      <c r="BB1568">
        <v>0</v>
      </c>
      <c r="BC1568">
        <v>0</v>
      </c>
      <c r="BD1568">
        <v>72277.78</v>
      </c>
      <c r="BE1568">
        <v>10167.86</v>
      </c>
      <c r="BF1568">
        <v>0</v>
      </c>
      <c r="BG1568" t="s">
        <v>87</v>
      </c>
      <c r="BH1568" t="s">
        <v>66</v>
      </c>
      <c r="BI1568">
        <v>0</v>
      </c>
      <c r="BJ1568" t="s">
        <v>66</v>
      </c>
      <c r="BK1568" t="s">
        <v>88</v>
      </c>
      <c r="BL1568" t="s">
        <v>742</v>
      </c>
      <c r="BM1568" t="s">
        <v>159</v>
      </c>
    </row>
    <row r="1569" spans="1:65" x14ac:dyDescent="0.25">
      <c r="A1569">
        <v>1567</v>
      </c>
      <c r="B1569" t="s">
        <v>1678</v>
      </c>
      <c r="C1569" t="s">
        <v>1679</v>
      </c>
      <c r="D1569" s="1">
        <v>46223</v>
      </c>
      <c r="E1569" t="s">
        <v>1680</v>
      </c>
      <c r="F1569" t="s">
        <v>1681</v>
      </c>
      <c r="G1569" t="s">
        <v>295</v>
      </c>
      <c r="H1569" t="s">
        <v>296</v>
      </c>
      <c r="I1569" t="s">
        <v>71</v>
      </c>
      <c r="J1569" t="s">
        <v>72</v>
      </c>
      <c r="K1569" t="s">
        <v>73</v>
      </c>
      <c r="L1569" t="s">
        <v>74</v>
      </c>
      <c r="M1569" t="s">
        <v>1344</v>
      </c>
      <c r="N1569" t="s">
        <v>76</v>
      </c>
      <c r="O1569" t="s">
        <v>1345</v>
      </c>
      <c r="P1569" t="s">
        <v>1346</v>
      </c>
      <c r="Q1569" t="s">
        <v>1682</v>
      </c>
      <c r="R1569" s="1">
        <v>46220</v>
      </c>
      <c r="S1569" t="s">
        <v>841</v>
      </c>
      <c r="T1569" t="s">
        <v>842</v>
      </c>
      <c r="U1569" t="s">
        <v>843</v>
      </c>
      <c r="V1569" t="s">
        <v>66</v>
      </c>
      <c r="W1569" t="s">
        <v>66</v>
      </c>
      <c r="X1569">
        <v>2631496</v>
      </c>
      <c r="Y1569">
        <v>289464.56</v>
      </c>
      <c r="Z1569">
        <v>58776.480000000003</v>
      </c>
      <c r="AA1569">
        <v>6465.41</v>
      </c>
      <c r="AB1569">
        <v>2920960.56</v>
      </c>
      <c r="AC1569">
        <v>6</v>
      </c>
      <c r="AD1569" t="s">
        <v>82</v>
      </c>
      <c r="AE1569">
        <v>6</v>
      </c>
      <c r="AF1569" t="s">
        <v>667</v>
      </c>
      <c r="AG1569">
        <f>IFERROR(VLOOKUP(AF1569,[1]STOK!J:O,6,0),"")</f>
        <v>24</v>
      </c>
      <c r="AH1569" s="2">
        <f t="shared" si="48"/>
        <v>0.25</v>
      </c>
      <c r="AI1569" t="s">
        <v>667</v>
      </c>
      <c r="AJ1569" t="s">
        <v>668</v>
      </c>
      <c r="AK1569" t="s">
        <v>669</v>
      </c>
      <c r="AL1569" t="s">
        <v>86</v>
      </c>
      <c r="AM1569">
        <v>11322</v>
      </c>
      <c r="AN1569">
        <f t="shared" si="49"/>
        <v>10873.648333333333</v>
      </c>
      <c r="AO1569" t="s">
        <v>66</v>
      </c>
      <c r="AP1569">
        <v>2</v>
      </c>
      <c r="AQ1569" t="s">
        <v>66</v>
      </c>
      <c r="AR1569">
        <v>0</v>
      </c>
      <c r="AS1569" t="s">
        <v>66</v>
      </c>
      <c r="AT1569">
        <v>0</v>
      </c>
      <c r="AU1569" t="s">
        <v>66</v>
      </c>
      <c r="AV1569">
        <v>2</v>
      </c>
      <c r="AW1569" t="s">
        <v>66</v>
      </c>
      <c r="AX1569">
        <v>0</v>
      </c>
      <c r="AY1569" t="s">
        <v>66</v>
      </c>
      <c r="AZ1569">
        <v>0</v>
      </c>
      <c r="BA1569" t="s">
        <v>66</v>
      </c>
      <c r="BB1569">
        <v>0</v>
      </c>
      <c r="BC1569">
        <v>0</v>
      </c>
      <c r="BD1569">
        <v>65241.89</v>
      </c>
      <c r="BE1569">
        <v>8850.9500000000007</v>
      </c>
      <c r="BF1569">
        <v>0</v>
      </c>
      <c r="BG1569" t="s">
        <v>87</v>
      </c>
      <c r="BH1569" t="s">
        <v>66</v>
      </c>
      <c r="BI1569">
        <v>0</v>
      </c>
      <c r="BJ1569" t="s">
        <v>66</v>
      </c>
      <c r="BK1569" t="s">
        <v>88</v>
      </c>
      <c r="BL1569" t="s">
        <v>742</v>
      </c>
      <c r="BM1569" t="s">
        <v>159</v>
      </c>
    </row>
    <row r="1570" spans="1:65" x14ac:dyDescent="0.25">
      <c r="A1570">
        <v>1568</v>
      </c>
      <c r="B1570" t="s">
        <v>1678</v>
      </c>
      <c r="C1570" t="s">
        <v>1679</v>
      </c>
      <c r="D1570" s="1">
        <v>46223</v>
      </c>
      <c r="E1570" t="s">
        <v>1680</v>
      </c>
      <c r="F1570" t="s">
        <v>1681</v>
      </c>
      <c r="G1570" t="s">
        <v>295</v>
      </c>
      <c r="H1570" t="s">
        <v>296</v>
      </c>
      <c r="I1570" t="s">
        <v>71</v>
      </c>
      <c r="J1570" t="s">
        <v>72</v>
      </c>
      <c r="K1570" t="s">
        <v>73</v>
      </c>
      <c r="L1570" t="s">
        <v>74</v>
      </c>
      <c r="M1570" t="s">
        <v>1344</v>
      </c>
      <c r="N1570" t="s">
        <v>76</v>
      </c>
      <c r="O1570" t="s">
        <v>1345</v>
      </c>
      <c r="P1570" t="s">
        <v>1346</v>
      </c>
      <c r="Q1570" t="s">
        <v>1682</v>
      </c>
      <c r="R1570" s="1">
        <v>46220</v>
      </c>
      <c r="S1570" t="s">
        <v>841</v>
      </c>
      <c r="T1570" t="s">
        <v>842</v>
      </c>
      <c r="U1570" t="s">
        <v>843</v>
      </c>
      <c r="V1570" t="s">
        <v>66</v>
      </c>
      <c r="W1570" t="s">
        <v>66</v>
      </c>
      <c r="X1570">
        <v>2631496</v>
      </c>
      <c r="Y1570">
        <v>289464.56</v>
      </c>
      <c r="Z1570">
        <v>39184.32</v>
      </c>
      <c r="AA1570">
        <v>4310.28</v>
      </c>
      <c r="AB1570">
        <v>2920960.56</v>
      </c>
      <c r="AC1570">
        <v>4</v>
      </c>
      <c r="AD1570" t="s">
        <v>82</v>
      </c>
      <c r="AE1570">
        <v>4</v>
      </c>
      <c r="AF1570" t="s">
        <v>726</v>
      </c>
      <c r="AG1570">
        <f>IFERROR(VLOOKUP(AF1570,[1]STOK!J:O,6,0),"")</f>
        <v>24</v>
      </c>
      <c r="AH1570" s="2">
        <f t="shared" si="48"/>
        <v>0.16666666666666666</v>
      </c>
      <c r="AI1570" t="s">
        <v>726</v>
      </c>
      <c r="AJ1570" t="s">
        <v>727</v>
      </c>
      <c r="AK1570" t="s">
        <v>728</v>
      </c>
      <c r="AL1570" t="s">
        <v>86</v>
      </c>
      <c r="AM1570">
        <v>11322</v>
      </c>
      <c r="AN1570">
        <f t="shared" si="49"/>
        <v>10873.65</v>
      </c>
      <c r="AO1570" t="s">
        <v>66</v>
      </c>
      <c r="AP1570">
        <v>2</v>
      </c>
      <c r="AQ1570" t="s">
        <v>66</v>
      </c>
      <c r="AR1570">
        <v>0</v>
      </c>
      <c r="AS1570" t="s">
        <v>66</v>
      </c>
      <c r="AT1570">
        <v>0</v>
      </c>
      <c r="AU1570" t="s">
        <v>66</v>
      </c>
      <c r="AV1570">
        <v>2</v>
      </c>
      <c r="AW1570" t="s">
        <v>66</v>
      </c>
      <c r="AX1570">
        <v>0</v>
      </c>
      <c r="AY1570" t="s">
        <v>66</v>
      </c>
      <c r="AZ1570">
        <v>0</v>
      </c>
      <c r="BA1570" t="s">
        <v>66</v>
      </c>
      <c r="BB1570">
        <v>0</v>
      </c>
      <c r="BC1570">
        <v>0</v>
      </c>
      <c r="BD1570">
        <v>43494.6</v>
      </c>
      <c r="BE1570">
        <v>8539.5300000000007</v>
      </c>
      <c r="BF1570">
        <v>0</v>
      </c>
      <c r="BG1570" t="s">
        <v>87</v>
      </c>
      <c r="BH1570" t="s">
        <v>66</v>
      </c>
      <c r="BI1570">
        <v>0</v>
      </c>
      <c r="BJ1570" t="s">
        <v>66</v>
      </c>
      <c r="BK1570" t="s">
        <v>88</v>
      </c>
      <c r="BL1570" t="s">
        <v>742</v>
      </c>
      <c r="BM1570" t="s">
        <v>159</v>
      </c>
    </row>
    <row r="1571" spans="1:65" x14ac:dyDescent="0.25">
      <c r="A1571">
        <v>1569</v>
      </c>
      <c r="B1571" t="s">
        <v>1678</v>
      </c>
      <c r="C1571" t="s">
        <v>1679</v>
      </c>
      <c r="D1571" s="1">
        <v>46223</v>
      </c>
      <c r="E1571" t="s">
        <v>1680</v>
      </c>
      <c r="F1571" t="s">
        <v>1681</v>
      </c>
      <c r="G1571" t="s">
        <v>295</v>
      </c>
      <c r="H1571" t="s">
        <v>296</v>
      </c>
      <c r="I1571" t="s">
        <v>71</v>
      </c>
      <c r="J1571" t="s">
        <v>72</v>
      </c>
      <c r="K1571" t="s">
        <v>73</v>
      </c>
      <c r="L1571" t="s">
        <v>74</v>
      </c>
      <c r="M1571" t="s">
        <v>1344</v>
      </c>
      <c r="N1571" t="s">
        <v>76</v>
      </c>
      <c r="O1571" t="s">
        <v>1345</v>
      </c>
      <c r="P1571" t="s">
        <v>1346</v>
      </c>
      <c r="Q1571" t="s">
        <v>1682</v>
      </c>
      <c r="R1571" s="1">
        <v>46220</v>
      </c>
      <c r="S1571" t="s">
        <v>841</v>
      </c>
      <c r="T1571" t="s">
        <v>842</v>
      </c>
      <c r="U1571" t="s">
        <v>843</v>
      </c>
      <c r="V1571" t="s">
        <v>66</v>
      </c>
      <c r="W1571" t="s">
        <v>66</v>
      </c>
      <c r="X1571">
        <v>2631496</v>
      </c>
      <c r="Y1571">
        <v>289464.56</v>
      </c>
      <c r="Z1571">
        <v>58776.480000000003</v>
      </c>
      <c r="AA1571">
        <v>6465.41</v>
      </c>
      <c r="AB1571">
        <v>2920960.56</v>
      </c>
      <c r="AC1571">
        <v>6</v>
      </c>
      <c r="AD1571" t="s">
        <v>82</v>
      </c>
      <c r="AE1571">
        <v>6</v>
      </c>
      <c r="AF1571" t="s">
        <v>670</v>
      </c>
      <c r="AG1571">
        <f>IFERROR(VLOOKUP(AF1571,[1]STOK!J:O,6,0),"")</f>
        <v>24</v>
      </c>
      <c r="AH1571" s="2">
        <f t="shared" si="48"/>
        <v>0.25</v>
      </c>
      <c r="AI1571" t="s">
        <v>670</v>
      </c>
      <c r="AJ1571" t="s">
        <v>671</v>
      </c>
      <c r="AK1571" t="s">
        <v>672</v>
      </c>
      <c r="AL1571" t="s">
        <v>86</v>
      </c>
      <c r="AM1571">
        <v>11322</v>
      </c>
      <c r="AN1571">
        <f t="shared" si="49"/>
        <v>10873.648333333333</v>
      </c>
      <c r="AO1571" t="s">
        <v>66</v>
      </c>
      <c r="AP1571">
        <v>2</v>
      </c>
      <c r="AQ1571" t="s">
        <v>66</v>
      </c>
      <c r="AR1571">
        <v>0</v>
      </c>
      <c r="AS1571" t="s">
        <v>66</v>
      </c>
      <c r="AT1571">
        <v>0</v>
      </c>
      <c r="AU1571" t="s">
        <v>66</v>
      </c>
      <c r="AV1571">
        <v>2</v>
      </c>
      <c r="AW1571" t="s">
        <v>66</v>
      </c>
      <c r="AX1571">
        <v>0</v>
      </c>
      <c r="AY1571" t="s">
        <v>66</v>
      </c>
      <c r="AZ1571">
        <v>0</v>
      </c>
      <c r="BA1571" t="s">
        <v>66</v>
      </c>
      <c r="BB1571">
        <v>0</v>
      </c>
      <c r="BC1571">
        <v>0</v>
      </c>
      <c r="BD1571">
        <v>65241.89</v>
      </c>
      <c r="BE1571">
        <v>9199.0499999999993</v>
      </c>
      <c r="BF1571">
        <v>0</v>
      </c>
      <c r="BG1571" t="s">
        <v>87</v>
      </c>
      <c r="BH1571" t="s">
        <v>66</v>
      </c>
      <c r="BI1571">
        <v>0</v>
      </c>
      <c r="BJ1571" t="s">
        <v>66</v>
      </c>
      <c r="BK1571" t="s">
        <v>88</v>
      </c>
      <c r="BL1571" t="s">
        <v>742</v>
      </c>
      <c r="BM1571" t="s">
        <v>159</v>
      </c>
    </row>
    <row r="1572" spans="1:65" x14ac:dyDescent="0.25">
      <c r="A1572">
        <v>1570</v>
      </c>
      <c r="B1572" t="s">
        <v>1678</v>
      </c>
      <c r="C1572" t="s">
        <v>1679</v>
      </c>
      <c r="D1572" s="1">
        <v>46223</v>
      </c>
      <c r="E1572" t="s">
        <v>1680</v>
      </c>
      <c r="F1572" t="s">
        <v>1681</v>
      </c>
      <c r="G1572" t="s">
        <v>295</v>
      </c>
      <c r="H1572" t="s">
        <v>296</v>
      </c>
      <c r="I1572" t="s">
        <v>71</v>
      </c>
      <c r="J1572" t="s">
        <v>72</v>
      </c>
      <c r="K1572" t="s">
        <v>73</v>
      </c>
      <c r="L1572" t="s">
        <v>74</v>
      </c>
      <c r="M1572" t="s">
        <v>1344</v>
      </c>
      <c r="N1572" t="s">
        <v>76</v>
      </c>
      <c r="O1572" t="s">
        <v>1345</v>
      </c>
      <c r="P1572" t="s">
        <v>1346</v>
      </c>
      <c r="Q1572" t="s">
        <v>1682</v>
      </c>
      <c r="R1572" s="1">
        <v>46220</v>
      </c>
      <c r="S1572" t="s">
        <v>841</v>
      </c>
      <c r="T1572" t="s">
        <v>842</v>
      </c>
      <c r="U1572" t="s">
        <v>843</v>
      </c>
      <c r="V1572" t="s">
        <v>66</v>
      </c>
      <c r="W1572" t="s">
        <v>66</v>
      </c>
      <c r="X1572">
        <v>2631496</v>
      </c>
      <c r="Y1572">
        <v>289464.56</v>
      </c>
      <c r="Z1572">
        <v>58776.480000000003</v>
      </c>
      <c r="AA1572">
        <v>6465.41</v>
      </c>
      <c r="AB1572">
        <v>2920960.56</v>
      </c>
      <c r="AC1572">
        <v>6</v>
      </c>
      <c r="AD1572" t="s">
        <v>82</v>
      </c>
      <c r="AE1572">
        <v>6</v>
      </c>
      <c r="AF1572" t="s">
        <v>860</v>
      </c>
      <c r="AG1572">
        <f>IFERROR(VLOOKUP(AF1572,[1]STOK!J:O,6,0),"")</f>
        <v>24</v>
      </c>
      <c r="AH1572" s="2">
        <f t="shared" si="48"/>
        <v>0.25</v>
      </c>
      <c r="AI1572" t="s">
        <v>860</v>
      </c>
      <c r="AJ1572" t="s">
        <v>861</v>
      </c>
      <c r="AK1572" t="s">
        <v>862</v>
      </c>
      <c r="AL1572" t="s">
        <v>86</v>
      </c>
      <c r="AM1572">
        <v>11322</v>
      </c>
      <c r="AN1572">
        <f t="shared" si="49"/>
        <v>10873.648333333333</v>
      </c>
      <c r="AO1572" t="s">
        <v>66</v>
      </c>
      <c r="AP1572">
        <v>2</v>
      </c>
      <c r="AQ1572" t="s">
        <v>66</v>
      </c>
      <c r="AR1572">
        <v>0</v>
      </c>
      <c r="AS1572" t="s">
        <v>66</v>
      </c>
      <c r="AT1572">
        <v>0</v>
      </c>
      <c r="AU1572" t="s">
        <v>66</v>
      </c>
      <c r="AV1572">
        <v>2</v>
      </c>
      <c r="AW1572" t="s">
        <v>66</v>
      </c>
      <c r="AX1572">
        <v>0</v>
      </c>
      <c r="AY1572" t="s">
        <v>66</v>
      </c>
      <c r="AZ1572">
        <v>0</v>
      </c>
      <c r="BA1572" t="s">
        <v>66</v>
      </c>
      <c r="BB1572">
        <v>0</v>
      </c>
      <c r="BC1572">
        <v>0</v>
      </c>
      <c r="BD1572">
        <v>65241.89</v>
      </c>
      <c r="BE1572">
        <v>8861.33</v>
      </c>
      <c r="BF1572">
        <v>0</v>
      </c>
      <c r="BG1572" t="s">
        <v>87</v>
      </c>
      <c r="BH1572" t="s">
        <v>66</v>
      </c>
      <c r="BI1572">
        <v>0</v>
      </c>
      <c r="BJ1572" t="s">
        <v>66</v>
      </c>
      <c r="BK1572" t="s">
        <v>88</v>
      </c>
      <c r="BL1572" t="s">
        <v>742</v>
      </c>
      <c r="BM1572" t="s">
        <v>159</v>
      </c>
    </row>
    <row r="1573" spans="1:65" x14ac:dyDescent="0.25">
      <c r="A1573">
        <v>1571</v>
      </c>
      <c r="B1573" t="s">
        <v>1678</v>
      </c>
      <c r="C1573" t="s">
        <v>1679</v>
      </c>
      <c r="D1573" s="1">
        <v>46223</v>
      </c>
      <c r="E1573" t="s">
        <v>1680</v>
      </c>
      <c r="F1573" t="s">
        <v>1681</v>
      </c>
      <c r="G1573" t="s">
        <v>295</v>
      </c>
      <c r="H1573" t="s">
        <v>296</v>
      </c>
      <c r="I1573" t="s">
        <v>71</v>
      </c>
      <c r="J1573" t="s">
        <v>72</v>
      </c>
      <c r="K1573" t="s">
        <v>73</v>
      </c>
      <c r="L1573" t="s">
        <v>74</v>
      </c>
      <c r="M1573" t="s">
        <v>1344</v>
      </c>
      <c r="N1573" t="s">
        <v>76</v>
      </c>
      <c r="O1573" t="s">
        <v>1345</v>
      </c>
      <c r="P1573" t="s">
        <v>1346</v>
      </c>
      <c r="Q1573" t="s">
        <v>1682</v>
      </c>
      <c r="R1573" s="1">
        <v>46220</v>
      </c>
      <c r="S1573" t="s">
        <v>841</v>
      </c>
      <c r="T1573" t="s">
        <v>842</v>
      </c>
      <c r="U1573" t="s">
        <v>843</v>
      </c>
      <c r="V1573" t="s">
        <v>66</v>
      </c>
      <c r="W1573" t="s">
        <v>66</v>
      </c>
      <c r="X1573">
        <v>2631496</v>
      </c>
      <c r="Y1573">
        <v>289464.56</v>
      </c>
      <c r="Z1573">
        <v>32845.68</v>
      </c>
      <c r="AA1573">
        <v>3613.02</v>
      </c>
      <c r="AB1573">
        <v>2920960.56</v>
      </c>
      <c r="AC1573">
        <v>6</v>
      </c>
      <c r="AD1573" t="s">
        <v>82</v>
      </c>
      <c r="AE1573">
        <v>6</v>
      </c>
      <c r="AF1573" t="s">
        <v>90</v>
      </c>
      <c r="AG1573">
        <f>IFERROR(VLOOKUP(AF1573,[1]STOK!J:O,6,0),"")</f>
        <v>48</v>
      </c>
      <c r="AH1573" s="2">
        <f t="shared" si="48"/>
        <v>0.125</v>
      </c>
      <c r="AI1573" t="s">
        <v>90</v>
      </c>
      <c r="AJ1573" t="s">
        <v>91</v>
      </c>
      <c r="AK1573" t="s">
        <v>92</v>
      </c>
      <c r="AL1573" t="s">
        <v>86</v>
      </c>
      <c r="AM1573">
        <v>6327</v>
      </c>
      <c r="AN1573">
        <f t="shared" si="49"/>
        <v>6076.45</v>
      </c>
      <c r="AO1573" t="s">
        <v>66</v>
      </c>
      <c r="AP1573">
        <v>2</v>
      </c>
      <c r="AQ1573" t="s">
        <v>66</v>
      </c>
      <c r="AR1573">
        <v>0</v>
      </c>
      <c r="AS1573" t="s">
        <v>66</v>
      </c>
      <c r="AT1573">
        <v>0</v>
      </c>
      <c r="AU1573" t="s">
        <v>66</v>
      </c>
      <c r="AV1573">
        <v>2</v>
      </c>
      <c r="AW1573" t="s">
        <v>66</v>
      </c>
      <c r="AX1573">
        <v>0</v>
      </c>
      <c r="AY1573" t="s">
        <v>66</v>
      </c>
      <c r="AZ1573">
        <v>0</v>
      </c>
      <c r="BA1573" t="s">
        <v>66</v>
      </c>
      <c r="BB1573">
        <v>0</v>
      </c>
      <c r="BC1573">
        <v>0</v>
      </c>
      <c r="BD1573">
        <v>36458.699999999997</v>
      </c>
      <c r="BE1573">
        <v>4887.16</v>
      </c>
      <c r="BF1573">
        <v>0</v>
      </c>
      <c r="BG1573" t="s">
        <v>87</v>
      </c>
      <c r="BH1573" t="s">
        <v>66</v>
      </c>
      <c r="BI1573">
        <v>0</v>
      </c>
      <c r="BJ1573" t="s">
        <v>66</v>
      </c>
      <c r="BK1573" t="s">
        <v>88</v>
      </c>
      <c r="BL1573" t="s">
        <v>742</v>
      </c>
      <c r="BM1573" t="s">
        <v>159</v>
      </c>
    </row>
    <row r="1574" spans="1:65" x14ac:dyDescent="0.25">
      <c r="A1574">
        <v>1572</v>
      </c>
      <c r="B1574" t="s">
        <v>1678</v>
      </c>
      <c r="C1574" t="s">
        <v>1679</v>
      </c>
      <c r="D1574" s="1">
        <v>46223</v>
      </c>
      <c r="E1574" t="s">
        <v>1680</v>
      </c>
      <c r="F1574" t="s">
        <v>1681</v>
      </c>
      <c r="G1574" t="s">
        <v>295</v>
      </c>
      <c r="H1574" t="s">
        <v>296</v>
      </c>
      <c r="I1574" t="s">
        <v>71</v>
      </c>
      <c r="J1574" t="s">
        <v>72</v>
      </c>
      <c r="K1574" t="s">
        <v>73</v>
      </c>
      <c r="L1574" t="s">
        <v>74</v>
      </c>
      <c r="M1574" t="s">
        <v>1344</v>
      </c>
      <c r="N1574" t="s">
        <v>76</v>
      </c>
      <c r="O1574" t="s">
        <v>1345</v>
      </c>
      <c r="P1574" t="s">
        <v>1346</v>
      </c>
      <c r="Q1574" t="s">
        <v>1682</v>
      </c>
      <c r="R1574" s="1">
        <v>46220</v>
      </c>
      <c r="S1574" t="s">
        <v>841</v>
      </c>
      <c r="T1574" t="s">
        <v>842</v>
      </c>
      <c r="U1574" t="s">
        <v>843</v>
      </c>
      <c r="V1574" t="s">
        <v>66</v>
      </c>
      <c r="W1574" t="s">
        <v>66</v>
      </c>
      <c r="X1574">
        <v>2631496</v>
      </c>
      <c r="Y1574">
        <v>289464.56</v>
      </c>
      <c r="Z1574">
        <v>32845.68</v>
      </c>
      <c r="AA1574">
        <v>3613.02</v>
      </c>
      <c r="AB1574">
        <v>2920960.56</v>
      </c>
      <c r="AC1574">
        <v>6</v>
      </c>
      <c r="AD1574" t="s">
        <v>82</v>
      </c>
      <c r="AE1574">
        <v>6</v>
      </c>
      <c r="AF1574" t="s">
        <v>202</v>
      </c>
      <c r="AG1574">
        <f>IFERROR(VLOOKUP(AF1574,[1]STOK!J:O,6,0),"")</f>
        <v>48</v>
      </c>
      <c r="AH1574" s="2">
        <f t="shared" si="48"/>
        <v>0.125</v>
      </c>
      <c r="AI1574" t="s">
        <v>202</v>
      </c>
      <c r="AJ1574" t="s">
        <v>203</v>
      </c>
      <c r="AK1574" t="s">
        <v>204</v>
      </c>
      <c r="AL1574" t="s">
        <v>86</v>
      </c>
      <c r="AM1574">
        <v>6327</v>
      </c>
      <c r="AN1574">
        <f t="shared" si="49"/>
        <v>6076.45</v>
      </c>
      <c r="AO1574" t="s">
        <v>66</v>
      </c>
      <c r="AP1574">
        <v>2</v>
      </c>
      <c r="AQ1574" t="s">
        <v>66</v>
      </c>
      <c r="AR1574">
        <v>0</v>
      </c>
      <c r="AS1574" t="s">
        <v>66</v>
      </c>
      <c r="AT1574">
        <v>0</v>
      </c>
      <c r="AU1574" t="s">
        <v>66</v>
      </c>
      <c r="AV1574">
        <v>2</v>
      </c>
      <c r="AW1574" t="s">
        <v>66</v>
      </c>
      <c r="AX1574">
        <v>0</v>
      </c>
      <c r="AY1574" t="s">
        <v>66</v>
      </c>
      <c r="AZ1574">
        <v>0</v>
      </c>
      <c r="BA1574" t="s">
        <v>66</v>
      </c>
      <c r="BB1574">
        <v>0</v>
      </c>
      <c r="BC1574">
        <v>0</v>
      </c>
      <c r="BD1574">
        <v>36458.699999999997</v>
      </c>
      <c r="BE1574">
        <v>4914.4399999999996</v>
      </c>
      <c r="BF1574">
        <v>0</v>
      </c>
      <c r="BG1574" t="s">
        <v>87</v>
      </c>
      <c r="BH1574" t="s">
        <v>66</v>
      </c>
      <c r="BI1574">
        <v>0</v>
      </c>
      <c r="BJ1574" t="s">
        <v>66</v>
      </c>
      <c r="BK1574" t="s">
        <v>88</v>
      </c>
      <c r="BL1574" t="s">
        <v>742</v>
      </c>
      <c r="BM1574" t="s">
        <v>159</v>
      </c>
    </row>
    <row r="1575" spans="1:65" x14ac:dyDescent="0.25">
      <c r="A1575">
        <v>1573</v>
      </c>
      <c r="B1575" t="s">
        <v>1678</v>
      </c>
      <c r="C1575" t="s">
        <v>1679</v>
      </c>
      <c r="D1575" s="1">
        <v>46223</v>
      </c>
      <c r="E1575" t="s">
        <v>1680</v>
      </c>
      <c r="F1575" t="s">
        <v>1681</v>
      </c>
      <c r="G1575" t="s">
        <v>295</v>
      </c>
      <c r="H1575" t="s">
        <v>296</v>
      </c>
      <c r="I1575" t="s">
        <v>71</v>
      </c>
      <c r="J1575" t="s">
        <v>72</v>
      </c>
      <c r="K1575" t="s">
        <v>73</v>
      </c>
      <c r="L1575" t="s">
        <v>74</v>
      </c>
      <c r="M1575" t="s">
        <v>1344</v>
      </c>
      <c r="N1575" t="s">
        <v>76</v>
      </c>
      <c r="O1575" t="s">
        <v>1345</v>
      </c>
      <c r="P1575" t="s">
        <v>1346</v>
      </c>
      <c r="Q1575" t="s">
        <v>1682</v>
      </c>
      <c r="R1575" s="1">
        <v>46220</v>
      </c>
      <c r="S1575" t="s">
        <v>841</v>
      </c>
      <c r="T1575" t="s">
        <v>842</v>
      </c>
      <c r="U1575" t="s">
        <v>843</v>
      </c>
      <c r="V1575" t="s">
        <v>66</v>
      </c>
      <c r="W1575" t="s">
        <v>66</v>
      </c>
      <c r="X1575">
        <v>2631496</v>
      </c>
      <c r="Y1575">
        <v>289464.56</v>
      </c>
      <c r="Z1575">
        <v>32845.68</v>
      </c>
      <c r="AA1575">
        <v>3613.02</v>
      </c>
      <c r="AB1575">
        <v>2920960.56</v>
      </c>
      <c r="AC1575">
        <v>6</v>
      </c>
      <c r="AD1575" t="s">
        <v>82</v>
      </c>
      <c r="AE1575">
        <v>6</v>
      </c>
      <c r="AF1575" t="s">
        <v>350</v>
      </c>
      <c r="AG1575">
        <f>IFERROR(VLOOKUP(AF1575,[1]STOK!J:O,6,0),"")</f>
        <v>48</v>
      </c>
      <c r="AH1575" s="2">
        <f t="shared" si="48"/>
        <v>0.125</v>
      </c>
      <c r="AI1575" t="s">
        <v>350</v>
      </c>
      <c r="AJ1575" t="s">
        <v>351</v>
      </c>
      <c r="AK1575" t="s">
        <v>352</v>
      </c>
      <c r="AL1575" t="s">
        <v>86</v>
      </c>
      <c r="AM1575">
        <v>6327</v>
      </c>
      <c r="AN1575">
        <f t="shared" si="49"/>
        <v>6076.45</v>
      </c>
      <c r="AO1575" t="s">
        <v>66</v>
      </c>
      <c r="AP1575">
        <v>2</v>
      </c>
      <c r="AQ1575" t="s">
        <v>66</v>
      </c>
      <c r="AR1575">
        <v>0</v>
      </c>
      <c r="AS1575" t="s">
        <v>66</v>
      </c>
      <c r="AT1575">
        <v>0</v>
      </c>
      <c r="AU1575" t="s">
        <v>66</v>
      </c>
      <c r="AV1575">
        <v>2</v>
      </c>
      <c r="AW1575" t="s">
        <v>66</v>
      </c>
      <c r="AX1575">
        <v>0</v>
      </c>
      <c r="AY1575" t="s">
        <v>66</v>
      </c>
      <c r="AZ1575">
        <v>0</v>
      </c>
      <c r="BA1575" t="s">
        <v>66</v>
      </c>
      <c r="BB1575">
        <v>0</v>
      </c>
      <c r="BC1575">
        <v>0</v>
      </c>
      <c r="BD1575">
        <v>36458.699999999997</v>
      </c>
      <c r="BE1575">
        <v>4985.16</v>
      </c>
      <c r="BF1575">
        <v>0</v>
      </c>
      <c r="BG1575" t="s">
        <v>87</v>
      </c>
      <c r="BH1575" t="s">
        <v>66</v>
      </c>
      <c r="BI1575">
        <v>0</v>
      </c>
      <c r="BJ1575" t="s">
        <v>66</v>
      </c>
      <c r="BK1575" t="s">
        <v>88</v>
      </c>
      <c r="BL1575" t="s">
        <v>742</v>
      </c>
      <c r="BM1575" t="s">
        <v>159</v>
      </c>
    </row>
    <row r="1576" spans="1:65" x14ac:dyDescent="0.25">
      <c r="A1576">
        <v>1574</v>
      </c>
      <c r="B1576" t="s">
        <v>1678</v>
      </c>
      <c r="C1576" t="s">
        <v>1679</v>
      </c>
      <c r="D1576" s="1">
        <v>46223</v>
      </c>
      <c r="E1576" t="s">
        <v>1680</v>
      </c>
      <c r="F1576" t="s">
        <v>1681</v>
      </c>
      <c r="G1576" t="s">
        <v>295</v>
      </c>
      <c r="H1576" t="s">
        <v>296</v>
      </c>
      <c r="I1576" t="s">
        <v>71</v>
      </c>
      <c r="J1576" t="s">
        <v>72</v>
      </c>
      <c r="K1576" t="s">
        <v>73</v>
      </c>
      <c r="L1576" t="s">
        <v>74</v>
      </c>
      <c r="M1576" t="s">
        <v>1344</v>
      </c>
      <c r="N1576" t="s">
        <v>76</v>
      </c>
      <c r="O1576" t="s">
        <v>1345</v>
      </c>
      <c r="P1576" t="s">
        <v>1346</v>
      </c>
      <c r="Q1576" t="s">
        <v>1682</v>
      </c>
      <c r="R1576" s="1">
        <v>46220</v>
      </c>
      <c r="S1576" t="s">
        <v>841</v>
      </c>
      <c r="T1576" t="s">
        <v>842</v>
      </c>
      <c r="U1576" t="s">
        <v>843</v>
      </c>
      <c r="V1576" t="s">
        <v>66</v>
      </c>
      <c r="W1576" t="s">
        <v>66</v>
      </c>
      <c r="X1576">
        <v>2631496</v>
      </c>
      <c r="Y1576">
        <v>289464.56</v>
      </c>
      <c r="Z1576">
        <v>95079.6</v>
      </c>
      <c r="AA1576">
        <v>10458.76</v>
      </c>
      <c r="AB1576">
        <v>2920960.56</v>
      </c>
      <c r="AC1576">
        <v>6</v>
      </c>
      <c r="AD1576" t="s">
        <v>82</v>
      </c>
      <c r="AE1576">
        <v>6</v>
      </c>
      <c r="AF1576" t="s">
        <v>128</v>
      </c>
      <c r="AG1576">
        <f>IFERROR(VLOOKUP(AF1576,[1]STOK!J:O,6,0),"")</f>
        <v>24</v>
      </c>
      <c r="AH1576" s="2">
        <f t="shared" si="48"/>
        <v>0.25</v>
      </c>
      <c r="AI1576" t="s">
        <v>128</v>
      </c>
      <c r="AJ1576" t="s">
        <v>129</v>
      </c>
      <c r="AK1576" t="s">
        <v>130</v>
      </c>
      <c r="AL1576" t="s">
        <v>86</v>
      </c>
      <c r="AM1576">
        <v>18315</v>
      </c>
      <c r="AN1576">
        <f t="shared" si="49"/>
        <v>17589.726666666666</v>
      </c>
      <c r="AO1576" t="s">
        <v>66</v>
      </c>
      <c r="AP1576">
        <v>2</v>
      </c>
      <c r="AQ1576" t="s">
        <v>66</v>
      </c>
      <c r="AR1576">
        <v>0</v>
      </c>
      <c r="AS1576" t="s">
        <v>66</v>
      </c>
      <c r="AT1576">
        <v>0</v>
      </c>
      <c r="AU1576" t="s">
        <v>66</v>
      </c>
      <c r="AV1576">
        <v>2</v>
      </c>
      <c r="AW1576" t="s">
        <v>66</v>
      </c>
      <c r="AX1576">
        <v>0</v>
      </c>
      <c r="AY1576" t="s">
        <v>66</v>
      </c>
      <c r="AZ1576">
        <v>0</v>
      </c>
      <c r="BA1576" t="s">
        <v>66</v>
      </c>
      <c r="BB1576">
        <v>0</v>
      </c>
      <c r="BC1576">
        <v>0</v>
      </c>
      <c r="BD1576">
        <v>105538.36</v>
      </c>
      <c r="BE1576">
        <v>14828.88</v>
      </c>
      <c r="BF1576">
        <v>0</v>
      </c>
      <c r="BG1576" t="s">
        <v>87</v>
      </c>
      <c r="BH1576" t="s">
        <v>66</v>
      </c>
      <c r="BI1576">
        <v>0</v>
      </c>
      <c r="BJ1576" t="s">
        <v>66</v>
      </c>
      <c r="BK1576" t="s">
        <v>88</v>
      </c>
      <c r="BL1576" t="s">
        <v>742</v>
      </c>
      <c r="BM1576" t="s">
        <v>159</v>
      </c>
    </row>
    <row r="1577" spans="1:65" x14ac:dyDescent="0.25">
      <c r="A1577">
        <v>1575</v>
      </c>
      <c r="B1577" t="s">
        <v>1678</v>
      </c>
      <c r="C1577" t="s">
        <v>1679</v>
      </c>
      <c r="D1577" s="1">
        <v>46223</v>
      </c>
      <c r="E1577" t="s">
        <v>1680</v>
      </c>
      <c r="F1577" t="s">
        <v>1681</v>
      </c>
      <c r="G1577" t="s">
        <v>295</v>
      </c>
      <c r="H1577" t="s">
        <v>296</v>
      </c>
      <c r="I1577" t="s">
        <v>71</v>
      </c>
      <c r="J1577" t="s">
        <v>72</v>
      </c>
      <c r="K1577" t="s">
        <v>73</v>
      </c>
      <c r="L1577" t="s">
        <v>74</v>
      </c>
      <c r="M1577" t="s">
        <v>1344</v>
      </c>
      <c r="N1577" t="s">
        <v>76</v>
      </c>
      <c r="O1577" t="s">
        <v>1345</v>
      </c>
      <c r="P1577" t="s">
        <v>1346</v>
      </c>
      <c r="Q1577" t="s">
        <v>1682</v>
      </c>
      <c r="R1577" s="1">
        <v>46220</v>
      </c>
      <c r="S1577" t="s">
        <v>841</v>
      </c>
      <c r="T1577" t="s">
        <v>842</v>
      </c>
      <c r="U1577" t="s">
        <v>843</v>
      </c>
      <c r="V1577" t="s">
        <v>66</v>
      </c>
      <c r="W1577" t="s">
        <v>66</v>
      </c>
      <c r="X1577">
        <v>2631496</v>
      </c>
      <c r="Y1577">
        <v>289464.56</v>
      </c>
      <c r="Z1577">
        <v>95079.6</v>
      </c>
      <c r="AA1577">
        <v>10458.76</v>
      </c>
      <c r="AB1577">
        <v>2920960.56</v>
      </c>
      <c r="AC1577">
        <v>6</v>
      </c>
      <c r="AD1577" t="s">
        <v>82</v>
      </c>
      <c r="AE1577">
        <v>6</v>
      </c>
      <c r="AF1577" t="s">
        <v>93</v>
      </c>
      <c r="AG1577">
        <f>IFERROR(VLOOKUP(AF1577,[1]STOK!J:O,6,0),"")</f>
        <v>24</v>
      </c>
      <c r="AH1577" s="2">
        <f t="shared" si="48"/>
        <v>0.25</v>
      </c>
      <c r="AI1577" t="s">
        <v>93</v>
      </c>
      <c r="AJ1577" t="s">
        <v>94</v>
      </c>
      <c r="AK1577" t="s">
        <v>95</v>
      </c>
      <c r="AL1577" t="s">
        <v>86</v>
      </c>
      <c r="AM1577">
        <v>18315</v>
      </c>
      <c r="AN1577">
        <f t="shared" si="49"/>
        <v>17589.726666666666</v>
      </c>
      <c r="AO1577" t="s">
        <v>66</v>
      </c>
      <c r="AP1577">
        <v>2</v>
      </c>
      <c r="AQ1577" t="s">
        <v>66</v>
      </c>
      <c r="AR1577">
        <v>0</v>
      </c>
      <c r="AS1577" t="s">
        <v>66</v>
      </c>
      <c r="AT1577">
        <v>0</v>
      </c>
      <c r="AU1577" t="s">
        <v>66</v>
      </c>
      <c r="AV1577">
        <v>2</v>
      </c>
      <c r="AW1577" t="s">
        <v>66</v>
      </c>
      <c r="AX1577">
        <v>0</v>
      </c>
      <c r="AY1577" t="s">
        <v>66</v>
      </c>
      <c r="AZ1577">
        <v>0</v>
      </c>
      <c r="BA1577" t="s">
        <v>66</v>
      </c>
      <c r="BB1577">
        <v>0</v>
      </c>
      <c r="BC1577">
        <v>0</v>
      </c>
      <c r="BD1577">
        <v>105538.36</v>
      </c>
      <c r="BE1577">
        <v>14878.51</v>
      </c>
      <c r="BF1577">
        <v>0</v>
      </c>
      <c r="BG1577" t="s">
        <v>87</v>
      </c>
      <c r="BH1577" t="s">
        <v>66</v>
      </c>
      <c r="BI1577">
        <v>0</v>
      </c>
      <c r="BJ1577" t="s">
        <v>66</v>
      </c>
      <c r="BK1577" t="s">
        <v>88</v>
      </c>
      <c r="BL1577" t="s">
        <v>742</v>
      </c>
      <c r="BM1577" t="s">
        <v>159</v>
      </c>
    </row>
    <row r="1578" spans="1:65" x14ac:dyDescent="0.25">
      <c r="A1578">
        <v>1576</v>
      </c>
      <c r="B1578" t="s">
        <v>1678</v>
      </c>
      <c r="C1578" t="s">
        <v>1679</v>
      </c>
      <c r="D1578" s="1">
        <v>46223</v>
      </c>
      <c r="E1578" t="s">
        <v>1680</v>
      </c>
      <c r="F1578" t="s">
        <v>1681</v>
      </c>
      <c r="G1578" t="s">
        <v>295</v>
      </c>
      <c r="H1578" t="s">
        <v>296</v>
      </c>
      <c r="I1578" t="s">
        <v>71</v>
      </c>
      <c r="J1578" t="s">
        <v>72</v>
      </c>
      <c r="K1578" t="s">
        <v>73</v>
      </c>
      <c r="L1578" t="s">
        <v>74</v>
      </c>
      <c r="M1578" t="s">
        <v>1344</v>
      </c>
      <c r="N1578" t="s">
        <v>76</v>
      </c>
      <c r="O1578" t="s">
        <v>1345</v>
      </c>
      <c r="P1578" t="s">
        <v>1346</v>
      </c>
      <c r="Q1578" t="s">
        <v>1682</v>
      </c>
      <c r="R1578" s="1">
        <v>46220</v>
      </c>
      <c r="S1578" t="s">
        <v>841</v>
      </c>
      <c r="T1578" t="s">
        <v>842</v>
      </c>
      <c r="U1578" t="s">
        <v>843</v>
      </c>
      <c r="V1578" t="s">
        <v>66</v>
      </c>
      <c r="W1578" t="s">
        <v>66</v>
      </c>
      <c r="X1578">
        <v>2631496</v>
      </c>
      <c r="Y1578">
        <v>289464.56</v>
      </c>
      <c r="Z1578">
        <v>95079.6</v>
      </c>
      <c r="AA1578">
        <v>10458.76</v>
      </c>
      <c r="AB1578">
        <v>2920960.56</v>
      </c>
      <c r="AC1578">
        <v>6</v>
      </c>
      <c r="AD1578" t="s">
        <v>82</v>
      </c>
      <c r="AE1578">
        <v>6</v>
      </c>
      <c r="AF1578" t="s">
        <v>205</v>
      </c>
      <c r="AG1578">
        <f>IFERROR(VLOOKUP(AF1578,[1]STOK!J:O,6,0),"")</f>
        <v>24</v>
      </c>
      <c r="AH1578" s="2">
        <f t="shared" si="48"/>
        <v>0.25</v>
      </c>
      <c r="AI1578" t="s">
        <v>205</v>
      </c>
      <c r="AJ1578" t="s">
        <v>206</v>
      </c>
      <c r="AK1578" t="s">
        <v>207</v>
      </c>
      <c r="AL1578" t="s">
        <v>86</v>
      </c>
      <c r="AM1578">
        <v>18315</v>
      </c>
      <c r="AN1578">
        <f t="shared" si="49"/>
        <v>17589.726666666666</v>
      </c>
      <c r="AO1578" t="s">
        <v>66</v>
      </c>
      <c r="AP1578">
        <v>2</v>
      </c>
      <c r="AQ1578" t="s">
        <v>66</v>
      </c>
      <c r="AR1578">
        <v>0</v>
      </c>
      <c r="AS1578" t="s">
        <v>66</v>
      </c>
      <c r="AT1578">
        <v>0</v>
      </c>
      <c r="AU1578" t="s">
        <v>66</v>
      </c>
      <c r="AV1578">
        <v>2</v>
      </c>
      <c r="AW1578" t="s">
        <v>66</v>
      </c>
      <c r="AX1578">
        <v>0</v>
      </c>
      <c r="AY1578" t="s">
        <v>66</v>
      </c>
      <c r="AZ1578">
        <v>0</v>
      </c>
      <c r="BA1578" t="s">
        <v>66</v>
      </c>
      <c r="BB1578">
        <v>0</v>
      </c>
      <c r="BC1578">
        <v>0</v>
      </c>
      <c r="BD1578">
        <v>105538.36</v>
      </c>
      <c r="BE1578">
        <v>14892.95</v>
      </c>
      <c r="BF1578">
        <v>0</v>
      </c>
      <c r="BG1578" t="s">
        <v>87</v>
      </c>
      <c r="BH1578" t="s">
        <v>66</v>
      </c>
      <c r="BI1578">
        <v>0</v>
      </c>
      <c r="BJ1578" t="s">
        <v>66</v>
      </c>
      <c r="BK1578" t="s">
        <v>88</v>
      </c>
      <c r="BL1578" t="s">
        <v>742</v>
      </c>
      <c r="BM1578" t="s">
        <v>159</v>
      </c>
    </row>
    <row r="1579" spans="1:65" x14ac:dyDescent="0.25">
      <c r="A1579">
        <v>1577</v>
      </c>
      <c r="B1579" t="s">
        <v>1678</v>
      </c>
      <c r="C1579" t="s">
        <v>1679</v>
      </c>
      <c r="D1579" s="1">
        <v>46223</v>
      </c>
      <c r="E1579" t="s">
        <v>1680</v>
      </c>
      <c r="F1579" t="s">
        <v>1681</v>
      </c>
      <c r="G1579" t="s">
        <v>295</v>
      </c>
      <c r="H1579" t="s">
        <v>296</v>
      </c>
      <c r="I1579" t="s">
        <v>71</v>
      </c>
      <c r="J1579" t="s">
        <v>72</v>
      </c>
      <c r="K1579" t="s">
        <v>73</v>
      </c>
      <c r="L1579" t="s">
        <v>74</v>
      </c>
      <c r="M1579" t="s">
        <v>1344</v>
      </c>
      <c r="N1579" t="s">
        <v>76</v>
      </c>
      <c r="O1579" t="s">
        <v>1345</v>
      </c>
      <c r="P1579" t="s">
        <v>1346</v>
      </c>
      <c r="Q1579" t="s">
        <v>1682</v>
      </c>
      <c r="R1579" s="1">
        <v>46220</v>
      </c>
      <c r="S1579" t="s">
        <v>841</v>
      </c>
      <c r="T1579" t="s">
        <v>842</v>
      </c>
      <c r="U1579" t="s">
        <v>843</v>
      </c>
      <c r="V1579" t="s">
        <v>66</v>
      </c>
      <c r="W1579" t="s">
        <v>66</v>
      </c>
      <c r="X1579">
        <v>2631496</v>
      </c>
      <c r="Y1579">
        <v>289464.56</v>
      </c>
      <c r="Z1579">
        <v>95079.6</v>
      </c>
      <c r="AA1579">
        <v>10458.76</v>
      </c>
      <c r="AB1579">
        <v>2920960.56</v>
      </c>
      <c r="AC1579">
        <v>6</v>
      </c>
      <c r="AD1579" t="s">
        <v>82</v>
      </c>
      <c r="AE1579">
        <v>6</v>
      </c>
      <c r="AF1579" t="s">
        <v>99</v>
      </c>
      <c r="AG1579">
        <f>IFERROR(VLOOKUP(AF1579,[1]STOK!J:O,6,0),"")</f>
        <v>24</v>
      </c>
      <c r="AH1579" s="2">
        <f t="shared" si="48"/>
        <v>0.25</v>
      </c>
      <c r="AI1579" t="s">
        <v>99</v>
      </c>
      <c r="AJ1579" t="s">
        <v>100</v>
      </c>
      <c r="AK1579" t="s">
        <v>101</v>
      </c>
      <c r="AL1579" t="s">
        <v>86</v>
      </c>
      <c r="AM1579">
        <v>18315</v>
      </c>
      <c r="AN1579">
        <f t="shared" si="49"/>
        <v>17589.726666666666</v>
      </c>
      <c r="AO1579" t="s">
        <v>66</v>
      </c>
      <c r="AP1579">
        <v>2</v>
      </c>
      <c r="AQ1579" t="s">
        <v>66</v>
      </c>
      <c r="AR1579">
        <v>0</v>
      </c>
      <c r="AS1579" t="s">
        <v>66</v>
      </c>
      <c r="AT1579">
        <v>0</v>
      </c>
      <c r="AU1579" t="s">
        <v>66</v>
      </c>
      <c r="AV1579">
        <v>2</v>
      </c>
      <c r="AW1579" t="s">
        <v>66</v>
      </c>
      <c r="AX1579">
        <v>0</v>
      </c>
      <c r="AY1579" t="s">
        <v>66</v>
      </c>
      <c r="AZ1579">
        <v>0</v>
      </c>
      <c r="BA1579" t="s">
        <v>66</v>
      </c>
      <c r="BB1579">
        <v>0</v>
      </c>
      <c r="BC1579">
        <v>0</v>
      </c>
      <c r="BD1579">
        <v>105538.36</v>
      </c>
      <c r="BE1579">
        <v>14920.37</v>
      </c>
      <c r="BF1579">
        <v>0</v>
      </c>
      <c r="BG1579" t="s">
        <v>87</v>
      </c>
      <c r="BH1579" t="s">
        <v>66</v>
      </c>
      <c r="BI1579">
        <v>0</v>
      </c>
      <c r="BJ1579" t="s">
        <v>66</v>
      </c>
      <c r="BK1579" t="s">
        <v>88</v>
      </c>
      <c r="BL1579" t="s">
        <v>742</v>
      </c>
      <c r="BM1579" t="s">
        <v>159</v>
      </c>
    </row>
    <row r="1580" spans="1:65" x14ac:dyDescent="0.25">
      <c r="A1580">
        <v>1578</v>
      </c>
      <c r="B1580" t="s">
        <v>1678</v>
      </c>
      <c r="C1580" t="s">
        <v>1679</v>
      </c>
      <c r="D1580" s="1">
        <v>46223</v>
      </c>
      <c r="E1580" t="s">
        <v>1680</v>
      </c>
      <c r="F1580" t="s">
        <v>1681</v>
      </c>
      <c r="G1580" t="s">
        <v>295</v>
      </c>
      <c r="H1580" t="s">
        <v>296</v>
      </c>
      <c r="I1580" t="s">
        <v>71</v>
      </c>
      <c r="J1580" t="s">
        <v>72</v>
      </c>
      <c r="K1580" t="s">
        <v>73</v>
      </c>
      <c r="L1580" t="s">
        <v>74</v>
      </c>
      <c r="M1580" t="s">
        <v>1344</v>
      </c>
      <c r="N1580" t="s">
        <v>76</v>
      </c>
      <c r="O1580" t="s">
        <v>1345</v>
      </c>
      <c r="P1580" t="s">
        <v>1346</v>
      </c>
      <c r="Q1580" t="s">
        <v>1682</v>
      </c>
      <c r="R1580" s="1">
        <v>46220</v>
      </c>
      <c r="S1580" t="s">
        <v>841</v>
      </c>
      <c r="T1580" t="s">
        <v>842</v>
      </c>
      <c r="U1580" t="s">
        <v>843</v>
      </c>
      <c r="V1580" t="s">
        <v>66</v>
      </c>
      <c r="W1580" t="s">
        <v>66</v>
      </c>
      <c r="X1580">
        <v>2631496</v>
      </c>
      <c r="Y1580">
        <v>289464.56</v>
      </c>
      <c r="Z1580">
        <v>157313.51999999999</v>
      </c>
      <c r="AA1580">
        <v>17304.490000000002</v>
      </c>
      <c r="AB1580">
        <v>2920960.56</v>
      </c>
      <c r="AC1580">
        <v>6</v>
      </c>
      <c r="AD1580" t="s">
        <v>82</v>
      </c>
      <c r="AE1580">
        <v>6</v>
      </c>
      <c r="AF1580" t="s">
        <v>563</v>
      </c>
      <c r="AG1580">
        <f>IFERROR(VLOOKUP(AF1580,[1]STOK!J:O,6,0),"")</f>
        <v>12</v>
      </c>
      <c r="AH1580" s="2">
        <f t="shared" si="48"/>
        <v>0.5</v>
      </c>
      <c r="AI1580" t="s">
        <v>563</v>
      </c>
      <c r="AJ1580" t="s">
        <v>564</v>
      </c>
      <c r="AK1580" t="s">
        <v>565</v>
      </c>
      <c r="AL1580" t="s">
        <v>86</v>
      </c>
      <c r="AM1580">
        <v>30303</v>
      </c>
      <c r="AN1580">
        <f t="shared" si="49"/>
        <v>29103.001666666667</v>
      </c>
      <c r="AO1580" t="s">
        <v>66</v>
      </c>
      <c r="AP1580">
        <v>2</v>
      </c>
      <c r="AQ1580" t="s">
        <v>66</v>
      </c>
      <c r="AR1580">
        <v>0</v>
      </c>
      <c r="AS1580" t="s">
        <v>66</v>
      </c>
      <c r="AT1580">
        <v>0</v>
      </c>
      <c r="AU1580" t="s">
        <v>66</v>
      </c>
      <c r="AV1580">
        <v>2</v>
      </c>
      <c r="AW1580" t="s">
        <v>66</v>
      </c>
      <c r="AX1580">
        <v>0</v>
      </c>
      <c r="AY1580" t="s">
        <v>66</v>
      </c>
      <c r="AZ1580">
        <v>0</v>
      </c>
      <c r="BA1580" t="s">
        <v>66</v>
      </c>
      <c r="BB1580">
        <v>0</v>
      </c>
      <c r="BC1580">
        <v>0</v>
      </c>
      <c r="BD1580">
        <v>174618.01</v>
      </c>
      <c r="BE1580">
        <v>24645.54</v>
      </c>
      <c r="BF1580">
        <v>0</v>
      </c>
      <c r="BG1580" t="s">
        <v>87</v>
      </c>
      <c r="BH1580" t="s">
        <v>66</v>
      </c>
      <c r="BI1580">
        <v>0</v>
      </c>
      <c r="BJ1580" t="s">
        <v>66</v>
      </c>
      <c r="BK1580" t="s">
        <v>88</v>
      </c>
      <c r="BL1580" t="s">
        <v>742</v>
      </c>
      <c r="BM1580" t="s">
        <v>159</v>
      </c>
    </row>
    <row r="1581" spans="1:65" x14ac:dyDescent="0.25">
      <c r="A1581">
        <v>1579</v>
      </c>
      <c r="B1581" t="s">
        <v>1678</v>
      </c>
      <c r="C1581" t="s">
        <v>1679</v>
      </c>
      <c r="D1581" s="1">
        <v>46223</v>
      </c>
      <c r="E1581" t="s">
        <v>1680</v>
      </c>
      <c r="F1581" t="s">
        <v>1681</v>
      </c>
      <c r="G1581" t="s">
        <v>295</v>
      </c>
      <c r="H1581" t="s">
        <v>296</v>
      </c>
      <c r="I1581" t="s">
        <v>71</v>
      </c>
      <c r="J1581" t="s">
        <v>72</v>
      </c>
      <c r="K1581" t="s">
        <v>73</v>
      </c>
      <c r="L1581" t="s">
        <v>74</v>
      </c>
      <c r="M1581" t="s">
        <v>1344</v>
      </c>
      <c r="N1581" t="s">
        <v>76</v>
      </c>
      <c r="O1581" t="s">
        <v>1345</v>
      </c>
      <c r="P1581" t="s">
        <v>1346</v>
      </c>
      <c r="Q1581" t="s">
        <v>1682</v>
      </c>
      <c r="R1581" s="1">
        <v>46220</v>
      </c>
      <c r="S1581" t="s">
        <v>841</v>
      </c>
      <c r="T1581" t="s">
        <v>842</v>
      </c>
      <c r="U1581" t="s">
        <v>843</v>
      </c>
      <c r="V1581" t="s">
        <v>66</v>
      </c>
      <c r="W1581" t="s">
        <v>66</v>
      </c>
      <c r="X1581">
        <v>2631496</v>
      </c>
      <c r="Y1581">
        <v>289464.56</v>
      </c>
      <c r="Z1581">
        <v>111790.56</v>
      </c>
      <c r="AA1581">
        <v>12296.96</v>
      </c>
      <c r="AB1581">
        <v>2920960.56</v>
      </c>
      <c r="AC1581">
        <v>6</v>
      </c>
      <c r="AD1581" t="s">
        <v>82</v>
      </c>
      <c r="AE1581">
        <v>6</v>
      </c>
      <c r="AF1581" t="s">
        <v>470</v>
      </c>
      <c r="AG1581">
        <f>IFERROR(VLOOKUP(AF1581,[1]STOK!J:O,6,0),"")</f>
        <v>24</v>
      </c>
      <c r="AH1581" s="2">
        <f t="shared" si="48"/>
        <v>0.25</v>
      </c>
      <c r="AI1581" t="s">
        <v>470</v>
      </c>
      <c r="AJ1581" t="s">
        <v>471</v>
      </c>
      <c r="AK1581" t="s">
        <v>472</v>
      </c>
      <c r="AL1581" t="s">
        <v>86</v>
      </c>
      <c r="AM1581">
        <v>21534</v>
      </c>
      <c r="AN1581">
        <f t="shared" si="49"/>
        <v>20681.253333333334</v>
      </c>
      <c r="AO1581" t="s">
        <v>66</v>
      </c>
      <c r="AP1581">
        <v>2</v>
      </c>
      <c r="AQ1581" t="s">
        <v>66</v>
      </c>
      <c r="AR1581">
        <v>0</v>
      </c>
      <c r="AS1581" t="s">
        <v>66</v>
      </c>
      <c r="AT1581">
        <v>0</v>
      </c>
      <c r="AU1581" t="s">
        <v>66</v>
      </c>
      <c r="AV1581">
        <v>2</v>
      </c>
      <c r="AW1581" t="s">
        <v>66</v>
      </c>
      <c r="AX1581">
        <v>0</v>
      </c>
      <c r="AY1581" t="s">
        <v>66</v>
      </c>
      <c r="AZ1581">
        <v>0</v>
      </c>
      <c r="BA1581" t="s">
        <v>66</v>
      </c>
      <c r="BB1581">
        <v>0</v>
      </c>
      <c r="BC1581">
        <v>0</v>
      </c>
      <c r="BD1581">
        <v>124087.52</v>
      </c>
      <c r="BE1581">
        <v>17512.650000000001</v>
      </c>
      <c r="BF1581">
        <v>0</v>
      </c>
      <c r="BG1581" t="s">
        <v>87</v>
      </c>
      <c r="BH1581" t="s">
        <v>66</v>
      </c>
      <c r="BI1581">
        <v>0</v>
      </c>
      <c r="BJ1581" t="s">
        <v>66</v>
      </c>
      <c r="BK1581" t="s">
        <v>88</v>
      </c>
      <c r="BL1581" t="s">
        <v>742</v>
      </c>
      <c r="BM1581" t="s">
        <v>159</v>
      </c>
    </row>
    <row r="1582" spans="1:65" x14ac:dyDescent="0.25">
      <c r="A1582">
        <v>1580</v>
      </c>
      <c r="B1582" t="s">
        <v>1678</v>
      </c>
      <c r="C1582" t="s">
        <v>1679</v>
      </c>
      <c r="D1582" s="1">
        <v>46223</v>
      </c>
      <c r="E1582" t="s">
        <v>1680</v>
      </c>
      <c r="F1582" t="s">
        <v>1681</v>
      </c>
      <c r="G1582" t="s">
        <v>295</v>
      </c>
      <c r="H1582" t="s">
        <v>296</v>
      </c>
      <c r="I1582" t="s">
        <v>71</v>
      </c>
      <c r="J1582" t="s">
        <v>72</v>
      </c>
      <c r="K1582" t="s">
        <v>73</v>
      </c>
      <c r="L1582" t="s">
        <v>74</v>
      </c>
      <c r="M1582" t="s">
        <v>1344</v>
      </c>
      <c r="N1582" t="s">
        <v>76</v>
      </c>
      <c r="O1582" t="s">
        <v>1345</v>
      </c>
      <c r="P1582" t="s">
        <v>1346</v>
      </c>
      <c r="Q1582" t="s">
        <v>1682</v>
      </c>
      <c r="R1582" s="1">
        <v>46220</v>
      </c>
      <c r="S1582" t="s">
        <v>841</v>
      </c>
      <c r="T1582" t="s">
        <v>842</v>
      </c>
      <c r="U1582" t="s">
        <v>843</v>
      </c>
      <c r="V1582" t="s">
        <v>66</v>
      </c>
      <c r="W1582" t="s">
        <v>66</v>
      </c>
      <c r="X1582">
        <v>2631496</v>
      </c>
      <c r="Y1582">
        <v>289464.56</v>
      </c>
      <c r="Z1582">
        <v>76639.92</v>
      </c>
      <c r="AA1582">
        <v>8430.39</v>
      </c>
      <c r="AB1582">
        <v>2920960.56</v>
      </c>
      <c r="AC1582">
        <v>6</v>
      </c>
      <c r="AD1582" t="s">
        <v>82</v>
      </c>
      <c r="AE1582">
        <v>6</v>
      </c>
      <c r="AF1582" t="s">
        <v>135</v>
      </c>
      <c r="AG1582">
        <f>IFERROR(VLOOKUP(AF1582,[1]STOK!J:O,6,0),"")</f>
        <v>12</v>
      </c>
      <c r="AH1582" s="2">
        <f t="shared" si="48"/>
        <v>0.5</v>
      </c>
      <c r="AI1582" t="s">
        <v>135</v>
      </c>
      <c r="AJ1582" t="s">
        <v>136</v>
      </c>
      <c r="AK1582" t="s">
        <v>137</v>
      </c>
      <c r="AL1582" t="s">
        <v>86</v>
      </c>
      <c r="AM1582">
        <v>14763</v>
      </c>
      <c r="AN1582">
        <f t="shared" si="49"/>
        <v>14178.385</v>
      </c>
      <c r="AO1582" t="s">
        <v>66</v>
      </c>
      <c r="AP1582">
        <v>2</v>
      </c>
      <c r="AQ1582" t="s">
        <v>66</v>
      </c>
      <c r="AR1582">
        <v>0</v>
      </c>
      <c r="AS1582" t="s">
        <v>66</v>
      </c>
      <c r="AT1582">
        <v>0</v>
      </c>
      <c r="AU1582" t="s">
        <v>66</v>
      </c>
      <c r="AV1582">
        <v>2</v>
      </c>
      <c r="AW1582" t="s">
        <v>66</v>
      </c>
      <c r="AX1582">
        <v>0</v>
      </c>
      <c r="AY1582" t="s">
        <v>66</v>
      </c>
      <c r="AZ1582">
        <v>0</v>
      </c>
      <c r="BA1582" t="s">
        <v>66</v>
      </c>
      <c r="BB1582">
        <v>0</v>
      </c>
      <c r="BC1582">
        <v>0</v>
      </c>
      <c r="BD1582">
        <v>85070.31</v>
      </c>
      <c r="BE1582">
        <v>12035.93</v>
      </c>
      <c r="BF1582">
        <v>0</v>
      </c>
      <c r="BG1582" t="s">
        <v>87</v>
      </c>
      <c r="BH1582" t="s">
        <v>66</v>
      </c>
      <c r="BI1582">
        <v>0</v>
      </c>
      <c r="BJ1582" t="s">
        <v>66</v>
      </c>
      <c r="BK1582" t="s">
        <v>88</v>
      </c>
      <c r="BL1582" t="s">
        <v>742</v>
      </c>
      <c r="BM1582" t="s">
        <v>159</v>
      </c>
    </row>
    <row r="1583" spans="1:65" x14ac:dyDescent="0.25">
      <c r="A1583">
        <v>1581</v>
      </c>
      <c r="B1583" t="s">
        <v>1678</v>
      </c>
      <c r="C1583" t="s">
        <v>1679</v>
      </c>
      <c r="D1583" s="1">
        <v>46223</v>
      </c>
      <c r="E1583" t="s">
        <v>1680</v>
      </c>
      <c r="F1583" t="s">
        <v>1681</v>
      </c>
      <c r="G1583" t="s">
        <v>295</v>
      </c>
      <c r="H1583" t="s">
        <v>296</v>
      </c>
      <c r="I1583" t="s">
        <v>71</v>
      </c>
      <c r="J1583" t="s">
        <v>72</v>
      </c>
      <c r="K1583" t="s">
        <v>73</v>
      </c>
      <c r="L1583" t="s">
        <v>74</v>
      </c>
      <c r="M1583" t="s">
        <v>1344</v>
      </c>
      <c r="N1583" t="s">
        <v>76</v>
      </c>
      <c r="O1583" t="s">
        <v>1345</v>
      </c>
      <c r="P1583" t="s">
        <v>1346</v>
      </c>
      <c r="Q1583" t="s">
        <v>1682</v>
      </c>
      <c r="R1583" s="1">
        <v>46220</v>
      </c>
      <c r="S1583" t="s">
        <v>841</v>
      </c>
      <c r="T1583" t="s">
        <v>842</v>
      </c>
      <c r="U1583" t="s">
        <v>843</v>
      </c>
      <c r="V1583" t="s">
        <v>66</v>
      </c>
      <c r="W1583" t="s">
        <v>66</v>
      </c>
      <c r="X1583">
        <v>2631496</v>
      </c>
      <c r="Y1583">
        <v>289464.56</v>
      </c>
      <c r="Z1583">
        <v>76639.92</v>
      </c>
      <c r="AA1583">
        <v>8430.39</v>
      </c>
      <c r="AB1583">
        <v>2920960.56</v>
      </c>
      <c r="AC1583">
        <v>6</v>
      </c>
      <c r="AD1583" t="s">
        <v>82</v>
      </c>
      <c r="AE1583">
        <v>6</v>
      </c>
      <c r="AF1583" t="s">
        <v>210</v>
      </c>
      <c r="AG1583">
        <f>IFERROR(VLOOKUP(AF1583,[1]STOK!J:O,6,0),"")</f>
        <v>12</v>
      </c>
      <c r="AH1583" s="2">
        <f t="shared" si="48"/>
        <v>0.5</v>
      </c>
      <c r="AI1583" t="s">
        <v>210</v>
      </c>
      <c r="AJ1583" t="s">
        <v>211</v>
      </c>
      <c r="AK1583" t="s">
        <v>212</v>
      </c>
      <c r="AL1583" t="s">
        <v>86</v>
      </c>
      <c r="AM1583">
        <v>14763</v>
      </c>
      <c r="AN1583">
        <f t="shared" si="49"/>
        <v>14178.385</v>
      </c>
      <c r="AO1583" t="s">
        <v>66</v>
      </c>
      <c r="AP1583">
        <v>2</v>
      </c>
      <c r="AQ1583" t="s">
        <v>66</v>
      </c>
      <c r="AR1583">
        <v>0</v>
      </c>
      <c r="AS1583" t="s">
        <v>66</v>
      </c>
      <c r="AT1583">
        <v>0</v>
      </c>
      <c r="AU1583" t="s">
        <v>66</v>
      </c>
      <c r="AV1583">
        <v>2</v>
      </c>
      <c r="AW1583" t="s">
        <v>66</v>
      </c>
      <c r="AX1583">
        <v>0</v>
      </c>
      <c r="AY1583" t="s">
        <v>66</v>
      </c>
      <c r="AZ1583">
        <v>0</v>
      </c>
      <c r="BA1583" t="s">
        <v>66</v>
      </c>
      <c r="BB1583">
        <v>0</v>
      </c>
      <c r="BC1583">
        <v>0</v>
      </c>
      <c r="BD1583">
        <v>85070.31</v>
      </c>
      <c r="BE1583">
        <v>12013.43</v>
      </c>
      <c r="BF1583">
        <v>0</v>
      </c>
      <c r="BG1583" t="s">
        <v>87</v>
      </c>
      <c r="BH1583" t="s">
        <v>66</v>
      </c>
      <c r="BI1583">
        <v>0</v>
      </c>
      <c r="BJ1583" t="s">
        <v>66</v>
      </c>
      <c r="BK1583" t="s">
        <v>88</v>
      </c>
      <c r="BL1583" t="s">
        <v>742</v>
      </c>
      <c r="BM1583" t="s">
        <v>159</v>
      </c>
    </row>
    <row r="1584" spans="1:65" x14ac:dyDescent="0.25">
      <c r="A1584">
        <v>1582</v>
      </c>
      <c r="B1584" t="s">
        <v>1678</v>
      </c>
      <c r="C1584" t="s">
        <v>1679</v>
      </c>
      <c r="D1584" s="1">
        <v>46223</v>
      </c>
      <c r="E1584" t="s">
        <v>1680</v>
      </c>
      <c r="F1584" t="s">
        <v>1681</v>
      </c>
      <c r="G1584" t="s">
        <v>295</v>
      </c>
      <c r="H1584" t="s">
        <v>296</v>
      </c>
      <c r="I1584" t="s">
        <v>71</v>
      </c>
      <c r="J1584" t="s">
        <v>72</v>
      </c>
      <c r="K1584" t="s">
        <v>73</v>
      </c>
      <c r="L1584" t="s">
        <v>74</v>
      </c>
      <c r="M1584" t="s">
        <v>1344</v>
      </c>
      <c r="N1584" t="s">
        <v>76</v>
      </c>
      <c r="O1584" t="s">
        <v>1345</v>
      </c>
      <c r="P1584" t="s">
        <v>1346</v>
      </c>
      <c r="Q1584" t="s">
        <v>1682</v>
      </c>
      <c r="R1584" s="1">
        <v>46220</v>
      </c>
      <c r="S1584" t="s">
        <v>841</v>
      </c>
      <c r="T1584" t="s">
        <v>842</v>
      </c>
      <c r="U1584" t="s">
        <v>843</v>
      </c>
      <c r="V1584" t="s">
        <v>66</v>
      </c>
      <c r="W1584" t="s">
        <v>66</v>
      </c>
      <c r="X1584">
        <v>2631496</v>
      </c>
      <c r="Y1584">
        <v>289464.56</v>
      </c>
      <c r="Z1584">
        <v>99689.52</v>
      </c>
      <c r="AA1584">
        <v>10965.85</v>
      </c>
      <c r="AB1584">
        <v>2920960.56</v>
      </c>
      <c r="AC1584">
        <v>6</v>
      </c>
      <c r="AD1584" t="s">
        <v>82</v>
      </c>
      <c r="AE1584">
        <v>6</v>
      </c>
      <c r="AF1584" t="s">
        <v>359</v>
      </c>
      <c r="AG1584">
        <f>IFERROR(VLOOKUP(AF1584,[1]STOK!J:O,6,0),"")</f>
        <v>12</v>
      </c>
      <c r="AH1584" s="2">
        <f t="shared" si="48"/>
        <v>0.5</v>
      </c>
      <c r="AI1584" t="s">
        <v>359</v>
      </c>
      <c r="AJ1584" t="s">
        <v>360</v>
      </c>
      <c r="AK1584" t="s">
        <v>361</v>
      </c>
      <c r="AL1584" t="s">
        <v>86</v>
      </c>
      <c r="AM1584">
        <v>19203</v>
      </c>
      <c r="AN1584">
        <f t="shared" si="49"/>
        <v>18442.561666666665</v>
      </c>
      <c r="AO1584" t="s">
        <v>66</v>
      </c>
      <c r="AP1584">
        <v>2</v>
      </c>
      <c r="AQ1584" t="s">
        <v>66</v>
      </c>
      <c r="AR1584">
        <v>0</v>
      </c>
      <c r="AS1584" t="s">
        <v>66</v>
      </c>
      <c r="AT1584">
        <v>0</v>
      </c>
      <c r="AU1584" t="s">
        <v>66</v>
      </c>
      <c r="AV1584">
        <v>2</v>
      </c>
      <c r="AW1584" t="s">
        <v>66</v>
      </c>
      <c r="AX1584">
        <v>0</v>
      </c>
      <c r="AY1584" t="s">
        <v>66</v>
      </c>
      <c r="AZ1584">
        <v>0</v>
      </c>
      <c r="BA1584" t="s">
        <v>66</v>
      </c>
      <c r="BB1584">
        <v>0</v>
      </c>
      <c r="BC1584">
        <v>0</v>
      </c>
      <c r="BD1584">
        <v>110655.37</v>
      </c>
      <c r="BE1584">
        <v>15628.14</v>
      </c>
      <c r="BF1584">
        <v>0</v>
      </c>
      <c r="BG1584" t="s">
        <v>87</v>
      </c>
      <c r="BH1584" t="s">
        <v>66</v>
      </c>
      <c r="BI1584">
        <v>0</v>
      </c>
      <c r="BJ1584" t="s">
        <v>66</v>
      </c>
      <c r="BK1584" t="s">
        <v>88</v>
      </c>
      <c r="BL1584" t="s">
        <v>742</v>
      </c>
      <c r="BM1584" t="s">
        <v>159</v>
      </c>
    </row>
    <row r="1585" spans="1:65" x14ac:dyDescent="0.25">
      <c r="A1585">
        <v>1583</v>
      </c>
      <c r="B1585" t="s">
        <v>1678</v>
      </c>
      <c r="C1585" t="s">
        <v>1679</v>
      </c>
      <c r="D1585" s="1">
        <v>46223</v>
      </c>
      <c r="E1585" t="s">
        <v>1680</v>
      </c>
      <c r="F1585" t="s">
        <v>1681</v>
      </c>
      <c r="G1585" t="s">
        <v>295</v>
      </c>
      <c r="H1585" t="s">
        <v>296</v>
      </c>
      <c r="I1585" t="s">
        <v>71</v>
      </c>
      <c r="J1585" t="s">
        <v>72</v>
      </c>
      <c r="K1585" t="s">
        <v>73</v>
      </c>
      <c r="L1585" t="s">
        <v>74</v>
      </c>
      <c r="M1585" t="s">
        <v>1344</v>
      </c>
      <c r="N1585" t="s">
        <v>76</v>
      </c>
      <c r="O1585" t="s">
        <v>1345</v>
      </c>
      <c r="P1585" t="s">
        <v>1346</v>
      </c>
      <c r="Q1585" t="s">
        <v>1682</v>
      </c>
      <c r="R1585" s="1">
        <v>46220</v>
      </c>
      <c r="S1585" t="s">
        <v>841</v>
      </c>
      <c r="T1585" t="s">
        <v>842</v>
      </c>
      <c r="U1585" t="s">
        <v>843</v>
      </c>
      <c r="V1585" t="s">
        <v>66</v>
      </c>
      <c r="W1585" t="s">
        <v>66</v>
      </c>
      <c r="X1585">
        <v>2631496</v>
      </c>
      <c r="Y1585">
        <v>289464.56</v>
      </c>
      <c r="Z1585">
        <v>57624</v>
      </c>
      <c r="AA1585">
        <v>6338.64</v>
      </c>
      <c r="AB1585">
        <v>2920960.56</v>
      </c>
      <c r="AC1585">
        <v>3</v>
      </c>
      <c r="AD1585" t="s">
        <v>82</v>
      </c>
      <c r="AE1585">
        <v>3</v>
      </c>
      <c r="AF1585" t="s">
        <v>290</v>
      </c>
      <c r="AG1585">
        <f>IFERROR(VLOOKUP(AF1585,[1]STOK!J:O,6,0),"")</f>
        <v>12</v>
      </c>
      <c r="AH1585" s="2">
        <f t="shared" si="48"/>
        <v>0.25</v>
      </c>
      <c r="AI1585" t="s">
        <v>290</v>
      </c>
      <c r="AJ1585" t="s">
        <v>291</v>
      </c>
      <c r="AK1585" t="s">
        <v>292</v>
      </c>
      <c r="AL1585" t="s">
        <v>86</v>
      </c>
      <c r="AM1585">
        <v>22200</v>
      </c>
      <c r="AN1585">
        <f t="shared" si="49"/>
        <v>21320.880000000001</v>
      </c>
      <c r="AO1585" t="s">
        <v>66</v>
      </c>
      <c r="AP1585">
        <v>2</v>
      </c>
      <c r="AQ1585" t="s">
        <v>66</v>
      </c>
      <c r="AR1585">
        <v>0</v>
      </c>
      <c r="AS1585" t="s">
        <v>66</v>
      </c>
      <c r="AT1585">
        <v>0</v>
      </c>
      <c r="AU1585" t="s">
        <v>66</v>
      </c>
      <c r="AV1585">
        <v>2</v>
      </c>
      <c r="AW1585" t="s">
        <v>66</v>
      </c>
      <c r="AX1585">
        <v>0</v>
      </c>
      <c r="AY1585" t="s">
        <v>66</v>
      </c>
      <c r="AZ1585">
        <v>0</v>
      </c>
      <c r="BA1585" t="s">
        <v>66</v>
      </c>
      <c r="BB1585">
        <v>0</v>
      </c>
      <c r="BC1585">
        <v>0</v>
      </c>
      <c r="BD1585">
        <v>63962.64</v>
      </c>
      <c r="BE1585">
        <v>18103.439999999999</v>
      </c>
      <c r="BF1585">
        <v>0</v>
      </c>
      <c r="BG1585" t="s">
        <v>87</v>
      </c>
      <c r="BH1585" t="s">
        <v>66</v>
      </c>
      <c r="BI1585">
        <v>0</v>
      </c>
      <c r="BJ1585" t="s">
        <v>66</v>
      </c>
      <c r="BK1585" t="s">
        <v>88</v>
      </c>
      <c r="BL1585" t="s">
        <v>742</v>
      </c>
      <c r="BM1585" t="s">
        <v>159</v>
      </c>
    </row>
    <row r="1586" spans="1:65" x14ac:dyDescent="0.25">
      <c r="A1586">
        <v>1584</v>
      </c>
      <c r="B1586" t="s">
        <v>1678</v>
      </c>
      <c r="C1586" t="s">
        <v>1679</v>
      </c>
      <c r="D1586" s="1">
        <v>46223</v>
      </c>
      <c r="E1586" t="s">
        <v>1680</v>
      </c>
      <c r="F1586" t="s">
        <v>1681</v>
      </c>
      <c r="G1586" t="s">
        <v>295</v>
      </c>
      <c r="H1586" t="s">
        <v>296</v>
      </c>
      <c r="I1586" t="s">
        <v>71</v>
      </c>
      <c r="J1586" t="s">
        <v>72</v>
      </c>
      <c r="K1586" t="s">
        <v>73</v>
      </c>
      <c r="L1586" t="s">
        <v>74</v>
      </c>
      <c r="M1586" t="s">
        <v>1344</v>
      </c>
      <c r="N1586" t="s">
        <v>76</v>
      </c>
      <c r="O1586" t="s">
        <v>1345</v>
      </c>
      <c r="P1586" t="s">
        <v>1346</v>
      </c>
      <c r="Q1586" t="s">
        <v>1682</v>
      </c>
      <c r="R1586" s="1">
        <v>46220</v>
      </c>
      <c r="S1586" t="s">
        <v>841</v>
      </c>
      <c r="T1586" t="s">
        <v>842</v>
      </c>
      <c r="U1586" t="s">
        <v>843</v>
      </c>
      <c r="V1586" t="s">
        <v>66</v>
      </c>
      <c r="W1586" t="s">
        <v>66</v>
      </c>
      <c r="X1586">
        <v>2631496</v>
      </c>
      <c r="Y1586">
        <v>289464.56</v>
      </c>
      <c r="Z1586">
        <v>115248</v>
      </c>
      <c r="AA1586">
        <v>12677.28</v>
      </c>
      <c r="AB1586">
        <v>2920960.56</v>
      </c>
      <c r="AC1586">
        <v>6</v>
      </c>
      <c r="AD1586" t="s">
        <v>82</v>
      </c>
      <c r="AE1586">
        <v>6</v>
      </c>
      <c r="AF1586" t="s">
        <v>102</v>
      </c>
      <c r="AG1586">
        <f>IFERROR(VLOOKUP(AF1586,[1]STOK!J:O,6,0),"")</f>
        <v>12</v>
      </c>
      <c r="AH1586" s="2">
        <f t="shared" si="48"/>
        <v>0.5</v>
      </c>
      <c r="AI1586" t="s">
        <v>102</v>
      </c>
      <c r="AJ1586" t="s">
        <v>103</v>
      </c>
      <c r="AK1586" t="s">
        <v>104</v>
      </c>
      <c r="AL1586" t="s">
        <v>86</v>
      </c>
      <c r="AM1586">
        <v>22200</v>
      </c>
      <c r="AN1586">
        <f t="shared" si="49"/>
        <v>21320.880000000001</v>
      </c>
      <c r="AO1586" t="s">
        <v>66</v>
      </c>
      <c r="AP1586">
        <v>2</v>
      </c>
      <c r="AQ1586" t="s">
        <v>66</v>
      </c>
      <c r="AR1586">
        <v>0</v>
      </c>
      <c r="AS1586" t="s">
        <v>66</v>
      </c>
      <c r="AT1586">
        <v>0</v>
      </c>
      <c r="AU1586" t="s">
        <v>66</v>
      </c>
      <c r="AV1586">
        <v>2</v>
      </c>
      <c r="AW1586" t="s">
        <v>66</v>
      </c>
      <c r="AX1586">
        <v>0</v>
      </c>
      <c r="AY1586" t="s">
        <v>66</v>
      </c>
      <c r="AZ1586">
        <v>0</v>
      </c>
      <c r="BA1586" t="s">
        <v>66</v>
      </c>
      <c r="BB1586">
        <v>0</v>
      </c>
      <c r="BC1586">
        <v>0</v>
      </c>
      <c r="BD1586">
        <v>127925.28</v>
      </c>
      <c r="BE1586">
        <v>18055.25</v>
      </c>
      <c r="BF1586">
        <v>0</v>
      </c>
      <c r="BG1586" t="s">
        <v>87</v>
      </c>
      <c r="BH1586" t="s">
        <v>66</v>
      </c>
      <c r="BI1586">
        <v>0</v>
      </c>
      <c r="BJ1586" t="s">
        <v>66</v>
      </c>
      <c r="BK1586" t="s">
        <v>88</v>
      </c>
      <c r="BL1586" t="s">
        <v>742</v>
      </c>
      <c r="BM1586" t="s">
        <v>159</v>
      </c>
    </row>
    <row r="1587" spans="1:65" x14ac:dyDescent="0.25">
      <c r="A1587">
        <v>1585</v>
      </c>
      <c r="B1587" t="s">
        <v>1683</v>
      </c>
      <c r="C1587" t="s">
        <v>1684</v>
      </c>
      <c r="D1587" s="1">
        <v>46223</v>
      </c>
      <c r="E1587" t="s">
        <v>1685</v>
      </c>
      <c r="F1587" t="s">
        <v>68</v>
      </c>
      <c r="G1587" t="s">
        <v>295</v>
      </c>
      <c r="H1587" t="s">
        <v>296</v>
      </c>
      <c r="I1587" t="s">
        <v>71</v>
      </c>
      <c r="J1587" t="s">
        <v>72</v>
      </c>
      <c r="K1587" t="s">
        <v>73</v>
      </c>
      <c r="L1587" t="s">
        <v>74</v>
      </c>
      <c r="M1587" t="s">
        <v>1674</v>
      </c>
      <c r="N1587" t="s">
        <v>76</v>
      </c>
      <c r="O1587" t="s">
        <v>1675</v>
      </c>
      <c r="P1587" t="s">
        <v>1676</v>
      </c>
      <c r="Q1587" t="s">
        <v>1686</v>
      </c>
      <c r="R1587" s="1">
        <v>46224</v>
      </c>
      <c r="S1587" t="s">
        <v>841</v>
      </c>
      <c r="T1587" t="s">
        <v>842</v>
      </c>
      <c r="U1587" t="s">
        <v>843</v>
      </c>
      <c r="V1587" t="s">
        <v>66</v>
      </c>
      <c r="W1587" t="s">
        <v>66</v>
      </c>
      <c r="X1587">
        <v>155526</v>
      </c>
      <c r="Y1587">
        <v>17107.86</v>
      </c>
      <c r="Z1587">
        <v>54096</v>
      </c>
      <c r="AA1587">
        <v>5950.56</v>
      </c>
      <c r="AB1587">
        <v>172633.86</v>
      </c>
      <c r="AC1587">
        <v>3</v>
      </c>
      <c r="AD1587" t="s">
        <v>82</v>
      </c>
      <c r="AE1587">
        <v>3</v>
      </c>
      <c r="AF1587" t="s">
        <v>116</v>
      </c>
      <c r="AG1587">
        <f>IFERROR(VLOOKUP(AF1587,[1]STOK!J:O,6,0),"")</f>
        <v>12</v>
      </c>
      <c r="AH1587" s="2">
        <f t="shared" si="48"/>
        <v>0.25</v>
      </c>
      <c r="AI1587" t="s">
        <v>116</v>
      </c>
      <c r="AJ1587" t="s">
        <v>117</v>
      </c>
      <c r="AK1587" t="s">
        <v>118</v>
      </c>
      <c r="AL1587" t="s">
        <v>86</v>
      </c>
      <c r="AM1587">
        <v>20424</v>
      </c>
      <c r="AN1587">
        <f t="shared" si="49"/>
        <v>20015.52</v>
      </c>
      <c r="AO1587" t="s">
        <v>66</v>
      </c>
      <c r="AP1587">
        <v>2</v>
      </c>
      <c r="AQ1587" t="s">
        <v>66</v>
      </c>
      <c r="AR1587">
        <v>0</v>
      </c>
      <c r="AS1587" t="s">
        <v>66</v>
      </c>
      <c r="AT1587">
        <v>0</v>
      </c>
      <c r="AU1587" t="s">
        <v>66</v>
      </c>
      <c r="AV1587">
        <v>0</v>
      </c>
      <c r="AW1587" t="s">
        <v>66</v>
      </c>
      <c r="AX1587">
        <v>0</v>
      </c>
      <c r="AY1587" t="s">
        <v>66</v>
      </c>
      <c r="AZ1587">
        <v>0</v>
      </c>
      <c r="BA1587" t="s">
        <v>66</v>
      </c>
      <c r="BB1587">
        <v>0</v>
      </c>
      <c r="BC1587">
        <v>0</v>
      </c>
      <c r="BD1587">
        <v>60046.559999999998</v>
      </c>
      <c r="BE1587">
        <v>16641.740000000002</v>
      </c>
      <c r="BF1587">
        <v>0</v>
      </c>
      <c r="BG1587" t="s">
        <v>87</v>
      </c>
      <c r="BH1587" t="s">
        <v>66</v>
      </c>
      <c r="BI1587">
        <v>0</v>
      </c>
      <c r="BJ1587" t="s">
        <v>66</v>
      </c>
      <c r="BK1587" t="s">
        <v>88</v>
      </c>
      <c r="BL1587" t="s">
        <v>719</v>
      </c>
      <c r="BM1587" t="s">
        <v>159</v>
      </c>
    </row>
    <row r="1588" spans="1:65" x14ac:dyDescent="0.25">
      <c r="A1588">
        <v>1586</v>
      </c>
      <c r="B1588" t="s">
        <v>1683</v>
      </c>
      <c r="C1588" t="s">
        <v>1684</v>
      </c>
      <c r="D1588" s="1">
        <v>46223</v>
      </c>
      <c r="E1588" t="s">
        <v>1685</v>
      </c>
      <c r="F1588" t="s">
        <v>68</v>
      </c>
      <c r="G1588" t="s">
        <v>295</v>
      </c>
      <c r="H1588" t="s">
        <v>296</v>
      </c>
      <c r="I1588" t="s">
        <v>71</v>
      </c>
      <c r="J1588" t="s">
        <v>72</v>
      </c>
      <c r="K1588" t="s">
        <v>73</v>
      </c>
      <c r="L1588" t="s">
        <v>74</v>
      </c>
      <c r="M1588" t="s">
        <v>1674</v>
      </c>
      <c r="N1588" t="s">
        <v>76</v>
      </c>
      <c r="O1588" t="s">
        <v>1675</v>
      </c>
      <c r="P1588" t="s">
        <v>1676</v>
      </c>
      <c r="Q1588" t="s">
        <v>1686</v>
      </c>
      <c r="R1588" s="1">
        <v>46224</v>
      </c>
      <c r="S1588" t="s">
        <v>841</v>
      </c>
      <c r="T1588" t="s">
        <v>842</v>
      </c>
      <c r="U1588" t="s">
        <v>843</v>
      </c>
      <c r="V1588" t="s">
        <v>66</v>
      </c>
      <c r="W1588" t="s">
        <v>66</v>
      </c>
      <c r="X1588">
        <v>155526</v>
      </c>
      <c r="Y1588">
        <v>17107.86</v>
      </c>
      <c r="Z1588">
        <v>29694</v>
      </c>
      <c r="AA1588">
        <v>3266.34</v>
      </c>
      <c r="AB1588">
        <v>172633.86</v>
      </c>
      <c r="AC1588">
        <v>3</v>
      </c>
      <c r="AD1588" t="s">
        <v>82</v>
      </c>
      <c r="AE1588">
        <v>3</v>
      </c>
      <c r="AF1588" t="s">
        <v>723</v>
      </c>
      <c r="AG1588">
        <f>IFERROR(VLOOKUP(AF1588,[1]STOK!J:O,6,0),"")</f>
        <v>24</v>
      </c>
      <c r="AH1588" s="2">
        <f t="shared" si="48"/>
        <v>0.125</v>
      </c>
      <c r="AI1588" t="s">
        <v>723</v>
      </c>
      <c r="AJ1588" t="s">
        <v>724</v>
      </c>
      <c r="AK1588" t="s">
        <v>725</v>
      </c>
      <c r="AL1588" t="s">
        <v>86</v>
      </c>
      <c r="AM1588">
        <v>11211</v>
      </c>
      <c r="AN1588">
        <f t="shared" si="49"/>
        <v>10986.779999999999</v>
      </c>
      <c r="AO1588" t="s">
        <v>66</v>
      </c>
      <c r="AP1588">
        <v>2</v>
      </c>
      <c r="AQ1588" t="s">
        <v>66</v>
      </c>
      <c r="AR1588">
        <v>0</v>
      </c>
      <c r="AS1588" t="s">
        <v>66</v>
      </c>
      <c r="AT1588">
        <v>0</v>
      </c>
      <c r="AU1588" t="s">
        <v>66</v>
      </c>
      <c r="AV1588">
        <v>0</v>
      </c>
      <c r="AW1588" t="s">
        <v>66</v>
      </c>
      <c r="AX1588">
        <v>0</v>
      </c>
      <c r="AY1588" t="s">
        <v>66</v>
      </c>
      <c r="AZ1588">
        <v>0</v>
      </c>
      <c r="BA1588" t="s">
        <v>66</v>
      </c>
      <c r="BB1588">
        <v>0</v>
      </c>
      <c r="BC1588">
        <v>0</v>
      </c>
      <c r="BD1588">
        <v>32960.339999999997</v>
      </c>
      <c r="BE1588">
        <v>9094.83</v>
      </c>
      <c r="BF1588">
        <v>0</v>
      </c>
      <c r="BG1588" t="s">
        <v>87</v>
      </c>
      <c r="BH1588" t="s">
        <v>66</v>
      </c>
      <c r="BI1588">
        <v>0</v>
      </c>
      <c r="BJ1588" t="s">
        <v>66</v>
      </c>
      <c r="BK1588" t="s">
        <v>88</v>
      </c>
      <c r="BL1588" t="s">
        <v>719</v>
      </c>
      <c r="BM1588" t="s">
        <v>159</v>
      </c>
    </row>
    <row r="1589" spans="1:65" x14ac:dyDescent="0.25">
      <c r="A1589">
        <v>1587</v>
      </c>
      <c r="B1589" t="s">
        <v>1683</v>
      </c>
      <c r="C1589" t="s">
        <v>1684</v>
      </c>
      <c r="D1589" s="1">
        <v>46223</v>
      </c>
      <c r="E1589" t="s">
        <v>1685</v>
      </c>
      <c r="F1589" t="s">
        <v>68</v>
      </c>
      <c r="G1589" t="s">
        <v>295</v>
      </c>
      <c r="H1589" t="s">
        <v>296</v>
      </c>
      <c r="I1589" t="s">
        <v>71</v>
      </c>
      <c r="J1589" t="s">
        <v>72</v>
      </c>
      <c r="K1589" t="s">
        <v>73</v>
      </c>
      <c r="L1589" t="s">
        <v>74</v>
      </c>
      <c r="M1589" t="s">
        <v>1674</v>
      </c>
      <c r="N1589" t="s">
        <v>76</v>
      </c>
      <c r="O1589" t="s">
        <v>1675</v>
      </c>
      <c r="P1589" t="s">
        <v>1676</v>
      </c>
      <c r="Q1589" t="s">
        <v>1686</v>
      </c>
      <c r="R1589" s="1">
        <v>46224</v>
      </c>
      <c r="S1589" t="s">
        <v>841</v>
      </c>
      <c r="T1589" t="s">
        <v>842</v>
      </c>
      <c r="U1589" t="s">
        <v>843</v>
      </c>
      <c r="V1589" t="s">
        <v>66</v>
      </c>
      <c r="W1589" t="s">
        <v>66</v>
      </c>
      <c r="X1589">
        <v>155526</v>
      </c>
      <c r="Y1589">
        <v>17107.86</v>
      </c>
      <c r="Z1589">
        <v>23226</v>
      </c>
      <c r="AA1589">
        <v>2554.86</v>
      </c>
      <c r="AB1589">
        <v>172633.86</v>
      </c>
      <c r="AC1589">
        <v>3</v>
      </c>
      <c r="AD1589" t="s">
        <v>82</v>
      </c>
      <c r="AE1589">
        <v>3</v>
      </c>
      <c r="AF1589" t="s">
        <v>199</v>
      </c>
      <c r="AG1589">
        <f>IFERROR(VLOOKUP(AF1589,[1]STOK!J:O,6,0),"")</f>
        <v>24</v>
      </c>
      <c r="AH1589" s="2">
        <f t="shared" si="48"/>
        <v>0.125</v>
      </c>
      <c r="AI1589" t="s">
        <v>199</v>
      </c>
      <c r="AJ1589" t="s">
        <v>200</v>
      </c>
      <c r="AK1589" t="s">
        <v>201</v>
      </c>
      <c r="AL1589" t="s">
        <v>86</v>
      </c>
      <c r="AM1589">
        <v>8769</v>
      </c>
      <c r="AN1589">
        <f t="shared" si="49"/>
        <v>8593.6200000000008</v>
      </c>
      <c r="AO1589" t="s">
        <v>66</v>
      </c>
      <c r="AP1589">
        <v>2</v>
      </c>
      <c r="AQ1589" t="s">
        <v>66</v>
      </c>
      <c r="AR1589">
        <v>0</v>
      </c>
      <c r="AS1589" t="s">
        <v>66</v>
      </c>
      <c r="AT1589">
        <v>0</v>
      </c>
      <c r="AU1589" t="s">
        <v>66</v>
      </c>
      <c r="AV1589">
        <v>0</v>
      </c>
      <c r="AW1589" t="s">
        <v>66</v>
      </c>
      <c r="AX1589">
        <v>0</v>
      </c>
      <c r="AY1589" t="s">
        <v>66</v>
      </c>
      <c r="AZ1589">
        <v>0</v>
      </c>
      <c r="BA1589" t="s">
        <v>66</v>
      </c>
      <c r="BB1589">
        <v>0</v>
      </c>
      <c r="BC1589">
        <v>0</v>
      </c>
      <c r="BD1589">
        <v>25780.86</v>
      </c>
      <c r="BE1589">
        <v>7265.68</v>
      </c>
      <c r="BF1589">
        <v>0</v>
      </c>
      <c r="BG1589" t="s">
        <v>87</v>
      </c>
      <c r="BH1589" t="s">
        <v>66</v>
      </c>
      <c r="BI1589">
        <v>0</v>
      </c>
      <c r="BJ1589" t="s">
        <v>66</v>
      </c>
      <c r="BK1589" t="s">
        <v>88</v>
      </c>
      <c r="BL1589" t="s">
        <v>719</v>
      </c>
      <c r="BM1589" t="s">
        <v>159</v>
      </c>
    </row>
    <row r="1590" spans="1:65" x14ac:dyDescent="0.25">
      <c r="A1590">
        <v>1588</v>
      </c>
      <c r="B1590" t="s">
        <v>1683</v>
      </c>
      <c r="C1590" t="s">
        <v>1684</v>
      </c>
      <c r="D1590" s="1">
        <v>46223</v>
      </c>
      <c r="E1590" t="s">
        <v>1685</v>
      </c>
      <c r="F1590" t="s">
        <v>68</v>
      </c>
      <c r="G1590" t="s">
        <v>295</v>
      </c>
      <c r="H1590" t="s">
        <v>296</v>
      </c>
      <c r="I1590" t="s">
        <v>71</v>
      </c>
      <c r="J1590" t="s">
        <v>72</v>
      </c>
      <c r="K1590" t="s">
        <v>73</v>
      </c>
      <c r="L1590" t="s">
        <v>74</v>
      </c>
      <c r="M1590" t="s">
        <v>1674</v>
      </c>
      <c r="N1590" t="s">
        <v>76</v>
      </c>
      <c r="O1590" t="s">
        <v>1675</v>
      </c>
      <c r="P1590" t="s">
        <v>1676</v>
      </c>
      <c r="Q1590" t="s">
        <v>1686</v>
      </c>
      <c r="R1590" s="1">
        <v>46224</v>
      </c>
      <c r="S1590" t="s">
        <v>841</v>
      </c>
      <c r="T1590" t="s">
        <v>842</v>
      </c>
      <c r="U1590" t="s">
        <v>843</v>
      </c>
      <c r="V1590" t="s">
        <v>66</v>
      </c>
      <c r="W1590" t="s">
        <v>66</v>
      </c>
      <c r="X1590">
        <v>155526</v>
      </c>
      <c r="Y1590">
        <v>17107.86</v>
      </c>
      <c r="Z1590">
        <v>48510</v>
      </c>
      <c r="AA1590">
        <v>5336.1</v>
      </c>
      <c r="AB1590">
        <v>172633.86</v>
      </c>
      <c r="AC1590">
        <v>3</v>
      </c>
      <c r="AD1590" t="s">
        <v>82</v>
      </c>
      <c r="AE1590">
        <v>3</v>
      </c>
      <c r="AF1590" t="s">
        <v>93</v>
      </c>
      <c r="AG1590">
        <f>IFERROR(VLOOKUP(AF1590,[1]STOK!J:O,6,0),"")</f>
        <v>24</v>
      </c>
      <c r="AH1590" s="2">
        <f t="shared" si="48"/>
        <v>0.125</v>
      </c>
      <c r="AI1590" t="s">
        <v>93</v>
      </c>
      <c r="AJ1590" t="s">
        <v>94</v>
      </c>
      <c r="AK1590" t="s">
        <v>95</v>
      </c>
      <c r="AL1590" t="s">
        <v>86</v>
      </c>
      <c r="AM1590">
        <v>18315</v>
      </c>
      <c r="AN1590">
        <f t="shared" si="49"/>
        <v>17948.7</v>
      </c>
      <c r="AO1590" t="s">
        <v>66</v>
      </c>
      <c r="AP1590">
        <v>2</v>
      </c>
      <c r="AQ1590" t="s">
        <v>66</v>
      </c>
      <c r="AR1590">
        <v>0</v>
      </c>
      <c r="AS1590" t="s">
        <v>66</v>
      </c>
      <c r="AT1590">
        <v>0</v>
      </c>
      <c r="AU1590" t="s">
        <v>66</v>
      </c>
      <c r="AV1590">
        <v>0</v>
      </c>
      <c r="AW1590" t="s">
        <v>66</v>
      </c>
      <c r="AX1590">
        <v>0</v>
      </c>
      <c r="AY1590" t="s">
        <v>66</v>
      </c>
      <c r="AZ1590">
        <v>0</v>
      </c>
      <c r="BA1590" t="s">
        <v>66</v>
      </c>
      <c r="BB1590">
        <v>0</v>
      </c>
      <c r="BC1590">
        <v>0</v>
      </c>
      <c r="BD1590">
        <v>53846.1</v>
      </c>
      <c r="BE1590">
        <v>14878.51</v>
      </c>
      <c r="BF1590">
        <v>0</v>
      </c>
      <c r="BG1590" t="s">
        <v>87</v>
      </c>
      <c r="BH1590" t="s">
        <v>66</v>
      </c>
      <c r="BI1590">
        <v>0</v>
      </c>
      <c r="BJ1590" t="s">
        <v>66</v>
      </c>
      <c r="BK1590" t="s">
        <v>88</v>
      </c>
      <c r="BL1590" t="s">
        <v>719</v>
      </c>
      <c r="BM1590" t="s">
        <v>159</v>
      </c>
    </row>
    <row r="1591" spans="1:65" x14ac:dyDescent="0.25">
      <c r="A1591">
        <v>1589</v>
      </c>
      <c r="B1591" t="s">
        <v>1687</v>
      </c>
      <c r="C1591" t="s">
        <v>1688</v>
      </c>
      <c r="D1591" s="1">
        <v>46223</v>
      </c>
      <c r="E1591" t="s">
        <v>1689</v>
      </c>
      <c r="F1591" t="s">
        <v>68</v>
      </c>
      <c r="G1591" t="s">
        <v>295</v>
      </c>
      <c r="H1591" t="s">
        <v>296</v>
      </c>
      <c r="I1591" t="s">
        <v>71</v>
      </c>
      <c r="J1591" t="s">
        <v>72</v>
      </c>
      <c r="K1591" t="s">
        <v>73</v>
      </c>
      <c r="L1591" t="s">
        <v>74</v>
      </c>
      <c r="M1591" t="s">
        <v>987</v>
      </c>
      <c r="N1591" t="s">
        <v>76</v>
      </c>
      <c r="O1591" t="s">
        <v>988</v>
      </c>
      <c r="P1591" t="s">
        <v>989</v>
      </c>
      <c r="Q1591" t="s">
        <v>1690</v>
      </c>
      <c r="R1591" s="1">
        <v>46224</v>
      </c>
      <c r="S1591" t="s">
        <v>841</v>
      </c>
      <c r="T1591" t="s">
        <v>842</v>
      </c>
      <c r="U1591" t="s">
        <v>843</v>
      </c>
      <c r="V1591" t="s">
        <v>66</v>
      </c>
      <c r="W1591" t="s">
        <v>66</v>
      </c>
      <c r="X1591">
        <v>455994</v>
      </c>
      <c r="Y1591">
        <v>50159.34</v>
      </c>
      <c r="Z1591">
        <v>54096</v>
      </c>
      <c r="AA1591">
        <v>5950.56</v>
      </c>
      <c r="AB1591">
        <v>506153.34</v>
      </c>
      <c r="AC1591">
        <v>3</v>
      </c>
      <c r="AD1591" t="s">
        <v>82</v>
      </c>
      <c r="AE1591">
        <v>3</v>
      </c>
      <c r="AF1591" t="s">
        <v>116</v>
      </c>
      <c r="AG1591">
        <f>IFERROR(VLOOKUP(AF1591,[1]STOK!J:O,6,0),"")</f>
        <v>12</v>
      </c>
      <c r="AH1591" s="2">
        <f t="shared" si="48"/>
        <v>0.25</v>
      </c>
      <c r="AI1591" t="s">
        <v>116</v>
      </c>
      <c r="AJ1591" t="s">
        <v>117</v>
      </c>
      <c r="AK1591" t="s">
        <v>118</v>
      </c>
      <c r="AL1591" t="s">
        <v>86</v>
      </c>
      <c r="AM1591">
        <v>20424</v>
      </c>
      <c r="AN1591">
        <f t="shared" si="49"/>
        <v>20015.52</v>
      </c>
      <c r="AO1591" t="s">
        <v>66</v>
      </c>
      <c r="AP1591">
        <v>2</v>
      </c>
      <c r="AQ1591" t="s">
        <v>66</v>
      </c>
      <c r="AR1591">
        <v>0</v>
      </c>
      <c r="AS1591" t="s">
        <v>66</v>
      </c>
      <c r="AT1591">
        <v>0</v>
      </c>
      <c r="AU1591" t="s">
        <v>66</v>
      </c>
      <c r="AV1591">
        <v>0</v>
      </c>
      <c r="AW1591" t="s">
        <v>66</v>
      </c>
      <c r="AX1591">
        <v>0</v>
      </c>
      <c r="AY1591" t="s">
        <v>66</v>
      </c>
      <c r="AZ1591">
        <v>0</v>
      </c>
      <c r="BA1591" t="s">
        <v>66</v>
      </c>
      <c r="BB1591">
        <v>0</v>
      </c>
      <c r="BC1591">
        <v>0</v>
      </c>
      <c r="BD1591">
        <v>60046.559999999998</v>
      </c>
      <c r="BE1591">
        <v>16641.740000000002</v>
      </c>
      <c r="BF1591">
        <v>0</v>
      </c>
      <c r="BG1591" t="s">
        <v>87</v>
      </c>
      <c r="BH1591" t="s">
        <v>66</v>
      </c>
      <c r="BI1591">
        <v>0</v>
      </c>
      <c r="BJ1591" t="s">
        <v>66</v>
      </c>
      <c r="BK1591" t="s">
        <v>88</v>
      </c>
      <c r="BL1591" t="s">
        <v>719</v>
      </c>
      <c r="BM1591" t="s">
        <v>159</v>
      </c>
    </row>
    <row r="1592" spans="1:65" x14ac:dyDescent="0.25">
      <c r="A1592">
        <v>1590</v>
      </c>
      <c r="B1592" t="s">
        <v>1687</v>
      </c>
      <c r="C1592" t="s">
        <v>1688</v>
      </c>
      <c r="D1592" s="1">
        <v>46223</v>
      </c>
      <c r="E1592" t="s">
        <v>1689</v>
      </c>
      <c r="F1592" t="s">
        <v>68</v>
      </c>
      <c r="G1592" t="s">
        <v>295</v>
      </c>
      <c r="H1592" t="s">
        <v>296</v>
      </c>
      <c r="I1592" t="s">
        <v>71</v>
      </c>
      <c r="J1592" t="s">
        <v>72</v>
      </c>
      <c r="K1592" t="s">
        <v>73</v>
      </c>
      <c r="L1592" t="s">
        <v>74</v>
      </c>
      <c r="M1592" t="s">
        <v>987</v>
      </c>
      <c r="N1592" t="s">
        <v>76</v>
      </c>
      <c r="O1592" t="s">
        <v>988</v>
      </c>
      <c r="P1592" t="s">
        <v>989</v>
      </c>
      <c r="Q1592" t="s">
        <v>1690</v>
      </c>
      <c r="R1592" s="1">
        <v>46224</v>
      </c>
      <c r="S1592" t="s">
        <v>841</v>
      </c>
      <c r="T1592" t="s">
        <v>842</v>
      </c>
      <c r="U1592" t="s">
        <v>843</v>
      </c>
      <c r="V1592" t="s">
        <v>66</v>
      </c>
      <c r="W1592" t="s">
        <v>66</v>
      </c>
      <c r="X1592">
        <v>455994</v>
      </c>
      <c r="Y1592">
        <v>50159.34</v>
      </c>
      <c r="Z1592">
        <v>58212</v>
      </c>
      <c r="AA1592">
        <v>6403.32</v>
      </c>
      <c r="AB1592">
        <v>506153.34</v>
      </c>
      <c r="AC1592">
        <v>3</v>
      </c>
      <c r="AD1592" t="s">
        <v>82</v>
      </c>
      <c r="AE1592">
        <v>3</v>
      </c>
      <c r="AF1592" t="s">
        <v>743</v>
      </c>
      <c r="AG1592">
        <f>IFERROR(VLOOKUP(AF1592,[1]STOK!J:O,6,0),"")</f>
        <v>12</v>
      </c>
      <c r="AH1592" s="2">
        <f t="shared" si="48"/>
        <v>0.25</v>
      </c>
      <c r="AI1592" t="s">
        <v>743</v>
      </c>
      <c r="AJ1592" t="s">
        <v>744</v>
      </c>
      <c r="AK1592" t="s">
        <v>745</v>
      </c>
      <c r="AL1592" t="s">
        <v>86</v>
      </c>
      <c r="AM1592">
        <v>21978</v>
      </c>
      <c r="AN1592">
        <f t="shared" si="49"/>
        <v>21538.44</v>
      </c>
      <c r="AO1592" t="s">
        <v>66</v>
      </c>
      <c r="AP1592">
        <v>2</v>
      </c>
      <c r="AQ1592" t="s">
        <v>66</v>
      </c>
      <c r="AR1592">
        <v>0</v>
      </c>
      <c r="AS1592" t="s">
        <v>66</v>
      </c>
      <c r="AT1592">
        <v>0</v>
      </c>
      <c r="AU1592" t="s">
        <v>66</v>
      </c>
      <c r="AV1592">
        <v>0</v>
      </c>
      <c r="AW1592" t="s">
        <v>66</v>
      </c>
      <c r="AX1592">
        <v>0</v>
      </c>
      <c r="AY1592" t="s">
        <v>66</v>
      </c>
      <c r="AZ1592">
        <v>0</v>
      </c>
      <c r="BA1592" t="s">
        <v>66</v>
      </c>
      <c r="BB1592">
        <v>0</v>
      </c>
      <c r="BC1592">
        <v>0</v>
      </c>
      <c r="BD1592">
        <v>64615.32</v>
      </c>
      <c r="BE1592">
        <v>17808.900000000001</v>
      </c>
      <c r="BF1592">
        <v>0</v>
      </c>
      <c r="BG1592" t="s">
        <v>87</v>
      </c>
      <c r="BH1592" t="s">
        <v>66</v>
      </c>
      <c r="BI1592">
        <v>0</v>
      </c>
      <c r="BJ1592" t="s">
        <v>66</v>
      </c>
      <c r="BK1592" t="s">
        <v>88</v>
      </c>
      <c r="BL1592" t="s">
        <v>719</v>
      </c>
      <c r="BM1592" t="s">
        <v>159</v>
      </c>
    </row>
    <row r="1593" spans="1:65" x14ac:dyDescent="0.25">
      <c r="A1593">
        <v>1591</v>
      </c>
      <c r="B1593" t="s">
        <v>1687</v>
      </c>
      <c r="C1593" t="s">
        <v>1688</v>
      </c>
      <c r="D1593" s="1">
        <v>46223</v>
      </c>
      <c r="E1593" t="s">
        <v>1689</v>
      </c>
      <c r="F1593" t="s">
        <v>68</v>
      </c>
      <c r="G1593" t="s">
        <v>295</v>
      </c>
      <c r="H1593" t="s">
        <v>296</v>
      </c>
      <c r="I1593" t="s">
        <v>71</v>
      </c>
      <c r="J1593" t="s">
        <v>72</v>
      </c>
      <c r="K1593" t="s">
        <v>73</v>
      </c>
      <c r="L1593" t="s">
        <v>74</v>
      </c>
      <c r="M1593" t="s">
        <v>987</v>
      </c>
      <c r="N1593" t="s">
        <v>76</v>
      </c>
      <c r="O1593" t="s">
        <v>988</v>
      </c>
      <c r="P1593" t="s">
        <v>989</v>
      </c>
      <c r="Q1593" t="s">
        <v>1690</v>
      </c>
      <c r="R1593" s="1">
        <v>46224</v>
      </c>
      <c r="S1593" t="s">
        <v>841</v>
      </c>
      <c r="T1593" t="s">
        <v>842</v>
      </c>
      <c r="U1593" t="s">
        <v>843</v>
      </c>
      <c r="V1593" t="s">
        <v>66</v>
      </c>
      <c r="W1593" t="s">
        <v>66</v>
      </c>
      <c r="X1593">
        <v>455994</v>
      </c>
      <c r="Y1593">
        <v>50159.34</v>
      </c>
      <c r="Z1593">
        <v>97020</v>
      </c>
      <c r="AA1593">
        <v>10672.2</v>
      </c>
      <c r="AB1593">
        <v>506153.34</v>
      </c>
      <c r="AC1593">
        <v>6</v>
      </c>
      <c r="AD1593" t="s">
        <v>82</v>
      </c>
      <c r="AE1593">
        <v>6</v>
      </c>
      <c r="AF1593" t="s">
        <v>205</v>
      </c>
      <c r="AG1593">
        <f>IFERROR(VLOOKUP(AF1593,[1]STOK!J:O,6,0),"")</f>
        <v>24</v>
      </c>
      <c r="AH1593" s="2">
        <f t="shared" si="48"/>
        <v>0.25</v>
      </c>
      <c r="AI1593" t="s">
        <v>205</v>
      </c>
      <c r="AJ1593" t="s">
        <v>206</v>
      </c>
      <c r="AK1593" t="s">
        <v>207</v>
      </c>
      <c r="AL1593" t="s">
        <v>86</v>
      </c>
      <c r="AM1593">
        <v>18315</v>
      </c>
      <c r="AN1593">
        <f t="shared" si="49"/>
        <v>17948.7</v>
      </c>
      <c r="AO1593" t="s">
        <v>66</v>
      </c>
      <c r="AP1593">
        <v>2</v>
      </c>
      <c r="AQ1593" t="s">
        <v>66</v>
      </c>
      <c r="AR1593">
        <v>0</v>
      </c>
      <c r="AS1593" t="s">
        <v>66</v>
      </c>
      <c r="AT1593">
        <v>0</v>
      </c>
      <c r="AU1593" t="s">
        <v>66</v>
      </c>
      <c r="AV1593">
        <v>0</v>
      </c>
      <c r="AW1593" t="s">
        <v>66</v>
      </c>
      <c r="AX1593">
        <v>0</v>
      </c>
      <c r="AY1593" t="s">
        <v>66</v>
      </c>
      <c r="AZ1593">
        <v>0</v>
      </c>
      <c r="BA1593" t="s">
        <v>66</v>
      </c>
      <c r="BB1593">
        <v>0</v>
      </c>
      <c r="BC1593">
        <v>0</v>
      </c>
      <c r="BD1593">
        <v>107692.2</v>
      </c>
      <c r="BE1593">
        <v>14892.95</v>
      </c>
      <c r="BF1593">
        <v>0</v>
      </c>
      <c r="BG1593" t="s">
        <v>87</v>
      </c>
      <c r="BH1593" t="s">
        <v>66</v>
      </c>
      <c r="BI1593">
        <v>0</v>
      </c>
      <c r="BJ1593" t="s">
        <v>66</v>
      </c>
      <c r="BK1593" t="s">
        <v>88</v>
      </c>
      <c r="BL1593" t="s">
        <v>719</v>
      </c>
      <c r="BM1593" t="s">
        <v>159</v>
      </c>
    </row>
    <row r="1594" spans="1:65" x14ac:dyDescent="0.25">
      <c r="A1594">
        <v>1592</v>
      </c>
      <c r="B1594" t="s">
        <v>1687</v>
      </c>
      <c r="C1594" t="s">
        <v>1688</v>
      </c>
      <c r="D1594" s="1">
        <v>46223</v>
      </c>
      <c r="E1594" t="s">
        <v>1689</v>
      </c>
      <c r="F1594" t="s">
        <v>68</v>
      </c>
      <c r="G1594" t="s">
        <v>295</v>
      </c>
      <c r="H1594" t="s">
        <v>296</v>
      </c>
      <c r="I1594" t="s">
        <v>71</v>
      </c>
      <c r="J1594" t="s">
        <v>72</v>
      </c>
      <c r="K1594" t="s">
        <v>73</v>
      </c>
      <c r="L1594" t="s">
        <v>74</v>
      </c>
      <c r="M1594" t="s">
        <v>987</v>
      </c>
      <c r="N1594" t="s">
        <v>76</v>
      </c>
      <c r="O1594" t="s">
        <v>988</v>
      </c>
      <c r="P1594" t="s">
        <v>989</v>
      </c>
      <c r="Q1594" t="s">
        <v>1690</v>
      </c>
      <c r="R1594" s="1">
        <v>46224</v>
      </c>
      <c r="S1594" t="s">
        <v>841</v>
      </c>
      <c r="T1594" t="s">
        <v>842</v>
      </c>
      <c r="U1594" t="s">
        <v>843</v>
      </c>
      <c r="V1594" t="s">
        <v>66</v>
      </c>
      <c r="W1594" t="s">
        <v>66</v>
      </c>
      <c r="X1594">
        <v>455994</v>
      </c>
      <c r="Y1594">
        <v>50159.34</v>
      </c>
      <c r="Z1594">
        <v>78204</v>
      </c>
      <c r="AA1594">
        <v>8602.44</v>
      </c>
      <c r="AB1594">
        <v>506153.34</v>
      </c>
      <c r="AC1594">
        <v>6</v>
      </c>
      <c r="AD1594" t="s">
        <v>82</v>
      </c>
      <c r="AE1594">
        <v>6</v>
      </c>
      <c r="AF1594" t="s">
        <v>210</v>
      </c>
      <c r="AG1594">
        <f>IFERROR(VLOOKUP(AF1594,[1]STOK!J:O,6,0),"")</f>
        <v>12</v>
      </c>
      <c r="AH1594" s="2">
        <f t="shared" si="48"/>
        <v>0.5</v>
      </c>
      <c r="AI1594" t="s">
        <v>210</v>
      </c>
      <c r="AJ1594" t="s">
        <v>211</v>
      </c>
      <c r="AK1594" t="s">
        <v>212</v>
      </c>
      <c r="AL1594" t="s">
        <v>86</v>
      </c>
      <c r="AM1594">
        <v>14763</v>
      </c>
      <c r="AN1594">
        <f t="shared" si="49"/>
        <v>14467.74</v>
      </c>
      <c r="AO1594" t="s">
        <v>66</v>
      </c>
      <c r="AP1594">
        <v>2</v>
      </c>
      <c r="AQ1594" t="s">
        <v>66</v>
      </c>
      <c r="AR1594">
        <v>0</v>
      </c>
      <c r="AS1594" t="s">
        <v>66</v>
      </c>
      <c r="AT1594">
        <v>0</v>
      </c>
      <c r="AU1594" t="s">
        <v>66</v>
      </c>
      <c r="AV1594">
        <v>0</v>
      </c>
      <c r="AW1594" t="s">
        <v>66</v>
      </c>
      <c r="AX1594">
        <v>0</v>
      </c>
      <c r="AY1594" t="s">
        <v>66</v>
      </c>
      <c r="AZ1594">
        <v>0</v>
      </c>
      <c r="BA1594" t="s">
        <v>66</v>
      </c>
      <c r="BB1594">
        <v>0</v>
      </c>
      <c r="BC1594">
        <v>0</v>
      </c>
      <c r="BD1594">
        <v>86806.44</v>
      </c>
      <c r="BE1594">
        <v>12013.43</v>
      </c>
      <c r="BF1594">
        <v>0</v>
      </c>
      <c r="BG1594" t="s">
        <v>87</v>
      </c>
      <c r="BH1594" t="s">
        <v>66</v>
      </c>
      <c r="BI1594">
        <v>0</v>
      </c>
      <c r="BJ1594" t="s">
        <v>66</v>
      </c>
      <c r="BK1594" t="s">
        <v>88</v>
      </c>
      <c r="BL1594" t="s">
        <v>719</v>
      </c>
      <c r="BM1594" t="s">
        <v>159</v>
      </c>
    </row>
    <row r="1595" spans="1:65" x14ac:dyDescent="0.25">
      <c r="A1595">
        <v>1593</v>
      </c>
      <c r="B1595" t="s">
        <v>1687</v>
      </c>
      <c r="C1595" t="s">
        <v>1688</v>
      </c>
      <c r="D1595" s="1">
        <v>46223</v>
      </c>
      <c r="E1595" t="s">
        <v>1689</v>
      </c>
      <c r="F1595" t="s">
        <v>68</v>
      </c>
      <c r="G1595" t="s">
        <v>295</v>
      </c>
      <c r="H1595" t="s">
        <v>296</v>
      </c>
      <c r="I1595" t="s">
        <v>71</v>
      </c>
      <c r="J1595" t="s">
        <v>72</v>
      </c>
      <c r="K1595" t="s">
        <v>73</v>
      </c>
      <c r="L1595" t="s">
        <v>74</v>
      </c>
      <c r="M1595" t="s">
        <v>987</v>
      </c>
      <c r="N1595" t="s">
        <v>76</v>
      </c>
      <c r="O1595" t="s">
        <v>988</v>
      </c>
      <c r="P1595" t="s">
        <v>989</v>
      </c>
      <c r="Q1595" t="s">
        <v>1690</v>
      </c>
      <c r="R1595" s="1">
        <v>46224</v>
      </c>
      <c r="S1595" t="s">
        <v>841</v>
      </c>
      <c r="T1595" t="s">
        <v>842</v>
      </c>
      <c r="U1595" t="s">
        <v>843</v>
      </c>
      <c r="V1595" t="s">
        <v>66</v>
      </c>
      <c r="W1595" t="s">
        <v>66</v>
      </c>
      <c r="X1595">
        <v>455994</v>
      </c>
      <c r="Y1595">
        <v>50159.34</v>
      </c>
      <c r="Z1595">
        <v>50862</v>
      </c>
      <c r="AA1595">
        <v>5594.82</v>
      </c>
      <c r="AB1595">
        <v>506153.34</v>
      </c>
      <c r="AC1595">
        <v>3</v>
      </c>
      <c r="AD1595" t="s">
        <v>82</v>
      </c>
      <c r="AE1595">
        <v>3</v>
      </c>
      <c r="AF1595" t="s">
        <v>359</v>
      </c>
      <c r="AG1595">
        <f>IFERROR(VLOOKUP(AF1595,[1]STOK!J:O,6,0),"")</f>
        <v>12</v>
      </c>
      <c r="AH1595" s="2">
        <f t="shared" si="48"/>
        <v>0.25</v>
      </c>
      <c r="AI1595" t="s">
        <v>359</v>
      </c>
      <c r="AJ1595" t="s">
        <v>360</v>
      </c>
      <c r="AK1595" t="s">
        <v>361</v>
      </c>
      <c r="AL1595" t="s">
        <v>86</v>
      </c>
      <c r="AM1595">
        <v>19203</v>
      </c>
      <c r="AN1595">
        <f t="shared" si="49"/>
        <v>18818.939999999999</v>
      </c>
      <c r="AO1595" t="s">
        <v>66</v>
      </c>
      <c r="AP1595">
        <v>2</v>
      </c>
      <c r="AQ1595" t="s">
        <v>66</v>
      </c>
      <c r="AR1595">
        <v>0</v>
      </c>
      <c r="AS1595" t="s">
        <v>66</v>
      </c>
      <c r="AT1595">
        <v>0</v>
      </c>
      <c r="AU1595" t="s">
        <v>66</v>
      </c>
      <c r="AV1595">
        <v>0</v>
      </c>
      <c r="AW1595" t="s">
        <v>66</v>
      </c>
      <c r="AX1595">
        <v>0</v>
      </c>
      <c r="AY1595" t="s">
        <v>66</v>
      </c>
      <c r="AZ1595">
        <v>0</v>
      </c>
      <c r="BA1595" t="s">
        <v>66</v>
      </c>
      <c r="BB1595">
        <v>0</v>
      </c>
      <c r="BC1595">
        <v>0</v>
      </c>
      <c r="BD1595">
        <v>56456.82</v>
      </c>
      <c r="BE1595">
        <v>15628.14</v>
      </c>
      <c r="BF1595">
        <v>0</v>
      </c>
      <c r="BG1595" t="s">
        <v>87</v>
      </c>
      <c r="BH1595" t="s">
        <v>66</v>
      </c>
      <c r="BI1595">
        <v>0</v>
      </c>
      <c r="BJ1595" t="s">
        <v>66</v>
      </c>
      <c r="BK1595" t="s">
        <v>88</v>
      </c>
      <c r="BL1595" t="s">
        <v>719</v>
      </c>
      <c r="BM1595" t="s">
        <v>159</v>
      </c>
    </row>
    <row r="1596" spans="1:65" x14ac:dyDescent="0.25">
      <c r="A1596">
        <v>1594</v>
      </c>
      <c r="B1596" t="s">
        <v>1687</v>
      </c>
      <c r="C1596" t="s">
        <v>1688</v>
      </c>
      <c r="D1596" s="1">
        <v>46223</v>
      </c>
      <c r="E1596" t="s">
        <v>1689</v>
      </c>
      <c r="F1596" t="s">
        <v>68</v>
      </c>
      <c r="G1596" t="s">
        <v>295</v>
      </c>
      <c r="H1596" t="s">
        <v>296</v>
      </c>
      <c r="I1596" t="s">
        <v>71</v>
      </c>
      <c r="J1596" t="s">
        <v>72</v>
      </c>
      <c r="K1596" t="s">
        <v>73</v>
      </c>
      <c r="L1596" t="s">
        <v>74</v>
      </c>
      <c r="M1596" t="s">
        <v>987</v>
      </c>
      <c r="N1596" t="s">
        <v>76</v>
      </c>
      <c r="O1596" t="s">
        <v>988</v>
      </c>
      <c r="P1596" t="s">
        <v>989</v>
      </c>
      <c r="Q1596" t="s">
        <v>1690</v>
      </c>
      <c r="R1596" s="1">
        <v>46224</v>
      </c>
      <c r="S1596" t="s">
        <v>841</v>
      </c>
      <c r="T1596" t="s">
        <v>842</v>
      </c>
      <c r="U1596" t="s">
        <v>843</v>
      </c>
      <c r="V1596" t="s">
        <v>66</v>
      </c>
      <c r="W1596" t="s">
        <v>66</v>
      </c>
      <c r="X1596">
        <v>455994</v>
      </c>
      <c r="Y1596">
        <v>50159.34</v>
      </c>
      <c r="Z1596">
        <v>58800</v>
      </c>
      <c r="AA1596">
        <v>6468</v>
      </c>
      <c r="AB1596">
        <v>506153.34</v>
      </c>
      <c r="AC1596">
        <v>3</v>
      </c>
      <c r="AD1596" t="s">
        <v>82</v>
      </c>
      <c r="AE1596">
        <v>3</v>
      </c>
      <c r="AF1596" t="s">
        <v>290</v>
      </c>
      <c r="AG1596">
        <f>IFERROR(VLOOKUP(AF1596,[1]STOK!J:O,6,0),"")</f>
        <v>12</v>
      </c>
      <c r="AH1596" s="2">
        <f t="shared" si="48"/>
        <v>0.25</v>
      </c>
      <c r="AI1596" t="s">
        <v>290</v>
      </c>
      <c r="AJ1596" t="s">
        <v>291</v>
      </c>
      <c r="AK1596" t="s">
        <v>292</v>
      </c>
      <c r="AL1596" t="s">
        <v>86</v>
      </c>
      <c r="AM1596">
        <v>22200</v>
      </c>
      <c r="AN1596">
        <f t="shared" si="49"/>
        <v>21756</v>
      </c>
      <c r="AO1596" t="s">
        <v>66</v>
      </c>
      <c r="AP1596">
        <v>2</v>
      </c>
      <c r="AQ1596" t="s">
        <v>66</v>
      </c>
      <c r="AR1596">
        <v>0</v>
      </c>
      <c r="AS1596" t="s">
        <v>66</v>
      </c>
      <c r="AT1596">
        <v>0</v>
      </c>
      <c r="AU1596" t="s">
        <v>66</v>
      </c>
      <c r="AV1596">
        <v>0</v>
      </c>
      <c r="AW1596" t="s">
        <v>66</v>
      </c>
      <c r="AX1596">
        <v>0</v>
      </c>
      <c r="AY1596" t="s">
        <v>66</v>
      </c>
      <c r="AZ1596">
        <v>0</v>
      </c>
      <c r="BA1596" t="s">
        <v>66</v>
      </c>
      <c r="BB1596">
        <v>0</v>
      </c>
      <c r="BC1596">
        <v>0</v>
      </c>
      <c r="BD1596">
        <v>65268</v>
      </c>
      <c r="BE1596">
        <v>18103.439999999999</v>
      </c>
      <c r="BF1596">
        <v>0</v>
      </c>
      <c r="BG1596" t="s">
        <v>87</v>
      </c>
      <c r="BH1596" t="s">
        <v>66</v>
      </c>
      <c r="BI1596">
        <v>0</v>
      </c>
      <c r="BJ1596" t="s">
        <v>66</v>
      </c>
      <c r="BK1596" t="s">
        <v>88</v>
      </c>
      <c r="BL1596" t="s">
        <v>719</v>
      </c>
      <c r="BM1596" t="s">
        <v>159</v>
      </c>
    </row>
    <row r="1597" spans="1:65" x14ac:dyDescent="0.25">
      <c r="A1597">
        <v>1595</v>
      </c>
      <c r="B1597" t="s">
        <v>1687</v>
      </c>
      <c r="C1597" t="s">
        <v>1688</v>
      </c>
      <c r="D1597" s="1">
        <v>46223</v>
      </c>
      <c r="E1597" t="s">
        <v>1689</v>
      </c>
      <c r="F1597" t="s">
        <v>68</v>
      </c>
      <c r="G1597" t="s">
        <v>295</v>
      </c>
      <c r="H1597" t="s">
        <v>296</v>
      </c>
      <c r="I1597" t="s">
        <v>71</v>
      </c>
      <c r="J1597" t="s">
        <v>72</v>
      </c>
      <c r="K1597" t="s">
        <v>73</v>
      </c>
      <c r="L1597" t="s">
        <v>74</v>
      </c>
      <c r="M1597" t="s">
        <v>987</v>
      </c>
      <c r="N1597" t="s">
        <v>76</v>
      </c>
      <c r="O1597" t="s">
        <v>988</v>
      </c>
      <c r="P1597" t="s">
        <v>989</v>
      </c>
      <c r="Q1597" t="s">
        <v>1690</v>
      </c>
      <c r="R1597" s="1">
        <v>46224</v>
      </c>
      <c r="S1597" t="s">
        <v>841</v>
      </c>
      <c r="T1597" t="s">
        <v>842</v>
      </c>
      <c r="U1597" t="s">
        <v>843</v>
      </c>
      <c r="V1597" t="s">
        <v>66</v>
      </c>
      <c r="W1597" t="s">
        <v>66</v>
      </c>
      <c r="X1597">
        <v>455994</v>
      </c>
      <c r="Y1597">
        <v>50159.34</v>
      </c>
      <c r="Z1597">
        <v>58800</v>
      </c>
      <c r="AA1597">
        <v>6468</v>
      </c>
      <c r="AB1597">
        <v>506153.34</v>
      </c>
      <c r="AC1597">
        <v>3</v>
      </c>
      <c r="AD1597" t="s">
        <v>82</v>
      </c>
      <c r="AE1597">
        <v>3</v>
      </c>
      <c r="AF1597" t="s">
        <v>102</v>
      </c>
      <c r="AG1597">
        <f>IFERROR(VLOOKUP(AF1597,[1]STOK!J:O,6,0),"")</f>
        <v>12</v>
      </c>
      <c r="AH1597" s="2">
        <f t="shared" si="48"/>
        <v>0.25</v>
      </c>
      <c r="AI1597" t="s">
        <v>102</v>
      </c>
      <c r="AJ1597" t="s">
        <v>103</v>
      </c>
      <c r="AK1597" t="s">
        <v>104</v>
      </c>
      <c r="AL1597" t="s">
        <v>86</v>
      </c>
      <c r="AM1597">
        <v>22200</v>
      </c>
      <c r="AN1597">
        <f t="shared" si="49"/>
        <v>21756</v>
      </c>
      <c r="AO1597" t="s">
        <v>66</v>
      </c>
      <c r="AP1597">
        <v>2</v>
      </c>
      <c r="AQ1597" t="s">
        <v>66</v>
      </c>
      <c r="AR1597">
        <v>0</v>
      </c>
      <c r="AS1597" t="s">
        <v>66</v>
      </c>
      <c r="AT1597">
        <v>0</v>
      </c>
      <c r="AU1597" t="s">
        <v>66</v>
      </c>
      <c r="AV1597">
        <v>0</v>
      </c>
      <c r="AW1597" t="s">
        <v>66</v>
      </c>
      <c r="AX1597">
        <v>0</v>
      </c>
      <c r="AY1597" t="s">
        <v>66</v>
      </c>
      <c r="AZ1597">
        <v>0</v>
      </c>
      <c r="BA1597" t="s">
        <v>66</v>
      </c>
      <c r="BB1597">
        <v>0</v>
      </c>
      <c r="BC1597">
        <v>0</v>
      </c>
      <c r="BD1597">
        <v>65268</v>
      </c>
      <c r="BE1597">
        <v>18055.25</v>
      </c>
      <c r="BF1597">
        <v>0</v>
      </c>
      <c r="BG1597" t="s">
        <v>87</v>
      </c>
      <c r="BH1597" t="s">
        <v>66</v>
      </c>
      <c r="BI1597">
        <v>0</v>
      </c>
      <c r="BJ1597" t="s">
        <v>66</v>
      </c>
      <c r="BK1597" t="s">
        <v>88</v>
      </c>
      <c r="BL1597" t="s">
        <v>719</v>
      </c>
      <c r="BM1597" t="s">
        <v>159</v>
      </c>
    </row>
    <row r="1598" spans="1:65" x14ac:dyDescent="0.25">
      <c r="A1598">
        <v>1596</v>
      </c>
      <c r="B1598" t="s">
        <v>1691</v>
      </c>
      <c r="C1598" t="s">
        <v>68</v>
      </c>
      <c r="D1598" s="1">
        <v>46224</v>
      </c>
      <c r="E1598" t="s">
        <v>1692</v>
      </c>
      <c r="F1598" t="s">
        <v>1593</v>
      </c>
      <c r="G1598" t="s">
        <v>295</v>
      </c>
      <c r="H1598" t="s">
        <v>296</v>
      </c>
      <c r="I1598" t="s">
        <v>71</v>
      </c>
      <c r="J1598" t="s">
        <v>72</v>
      </c>
      <c r="K1598" t="s">
        <v>73</v>
      </c>
      <c r="L1598" t="s">
        <v>74</v>
      </c>
      <c r="M1598" t="s">
        <v>1648</v>
      </c>
      <c r="N1598" t="s">
        <v>696</v>
      </c>
      <c r="O1598" t="s">
        <v>1649</v>
      </c>
      <c r="P1598" t="s">
        <v>1650</v>
      </c>
      <c r="Q1598" t="s">
        <v>66</v>
      </c>
      <c r="R1598" s="1">
        <v>46224</v>
      </c>
      <c r="S1598" t="s">
        <v>1651</v>
      </c>
      <c r="T1598" t="s">
        <v>1652</v>
      </c>
      <c r="U1598" t="s">
        <v>1653</v>
      </c>
      <c r="V1598" t="s">
        <v>66</v>
      </c>
      <c r="W1598" t="s">
        <v>66</v>
      </c>
      <c r="X1598">
        <v>62882400</v>
      </c>
      <c r="Y1598">
        <v>6917064</v>
      </c>
      <c r="Z1598">
        <v>62882400</v>
      </c>
      <c r="AA1598">
        <v>6917064</v>
      </c>
      <c r="AB1598">
        <v>69799464</v>
      </c>
      <c r="AC1598">
        <v>400</v>
      </c>
      <c r="AD1598" t="s">
        <v>134</v>
      </c>
      <c r="AE1598">
        <v>4800</v>
      </c>
      <c r="AF1598" t="s">
        <v>135</v>
      </c>
      <c r="AG1598">
        <f>IFERROR(VLOOKUP(AF1598,[1]STOK!J:O,6,0),"")</f>
        <v>12</v>
      </c>
      <c r="AH1598" s="2">
        <f t="shared" si="48"/>
        <v>400</v>
      </c>
      <c r="AI1598" t="s">
        <v>135</v>
      </c>
      <c r="AJ1598" t="s">
        <v>136</v>
      </c>
      <c r="AK1598" t="s">
        <v>137</v>
      </c>
      <c r="AL1598" t="s">
        <v>86</v>
      </c>
      <c r="AM1598">
        <v>177156</v>
      </c>
      <c r="AN1598">
        <f t="shared" si="49"/>
        <v>174498.66</v>
      </c>
      <c r="AO1598" t="s">
        <v>66</v>
      </c>
      <c r="AP1598">
        <v>1.5</v>
      </c>
      <c r="AQ1598" t="s">
        <v>66</v>
      </c>
      <c r="AR1598">
        <v>0</v>
      </c>
      <c r="AS1598" t="s">
        <v>66</v>
      </c>
      <c r="AT1598">
        <v>0</v>
      </c>
      <c r="AU1598" t="s">
        <v>66</v>
      </c>
      <c r="AV1598">
        <v>0</v>
      </c>
      <c r="AW1598" t="s">
        <v>66</v>
      </c>
      <c r="AX1598">
        <v>0</v>
      </c>
      <c r="AY1598" t="s">
        <v>66</v>
      </c>
      <c r="AZ1598">
        <v>0</v>
      </c>
      <c r="BA1598" t="s">
        <v>66</v>
      </c>
      <c r="BB1598">
        <v>0</v>
      </c>
      <c r="BC1598">
        <v>0</v>
      </c>
      <c r="BD1598">
        <v>69799464</v>
      </c>
      <c r="BE1598">
        <v>12035.93</v>
      </c>
      <c r="BF1598">
        <v>0</v>
      </c>
      <c r="BG1598" t="s">
        <v>87</v>
      </c>
      <c r="BH1598" t="s">
        <v>1693</v>
      </c>
      <c r="BI1598">
        <v>4800</v>
      </c>
      <c r="BJ1598" t="s">
        <v>1694</v>
      </c>
      <c r="BK1598" t="s">
        <v>88</v>
      </c>
      <c r="BL1598" t="s">
        <v>66</v>
      </c>
      <c r="BM1598" t="s">
        <v>159</v>
      </c>
    </row>
    <row r="1599" spans="1:65" x14ac:dyDescent="0.25">
      <c r="A1599">
        <v>1597</v>
      </c>
      <c r="B1599" t="s">
        <v>1695</v>
      </c>
      <c r="C1599" t="s">
        <v>1660</v>
      </c>
      <c r="D1599" s="1">
        <v>46224</v>
      </c>
      <c r="E1599" t="s">
        <v>1696</v>
      </c>
      <c r="F1599" t="s">
        <v>1593</v>
      </c>
      <c r="G1599" t="s">
        <v>295</v>
      </c>
      <c r="H1599" t="s">
        <v>296</v>
      </c>
      <c r="I1599" t="s">
        <v>71</v>
      </c>
      <c r="J1599" t="s">
        <v>72</v>
      </c>
      <c r="K1599" t="s">
        <v>73</v>
      </c>
      <c r="L1599" t="s">
        <v>74</v>
      </c>
      <c r="M1599" t="s">
        <v>1648</v>
      </c>
      <c r="N1599" t="s">
        <v>696</v>
      </c>
      <c r="O1599" t="s">
        <v>1649</v>
      </c>
      <c r="P1599" t="s">
        <v>1650</v>
      </c>
      <c r="Q1599" t="s">
        <v>66</v>
      </c>
      <c r="R1599" s="1">
        <v>46224</v>
      </c>
      <c r="S1599" t="s">
        <v>1651</v>
      </c>
      <c r="T1599" t="s">
        <v>1652</v>
      </c>
      <c r="U1599" t="s">
        <v>1653</v>
      </c>
      <c r="V1599" t="s">
        <v>66</v>
      </c>
      <c r="W1599" t="s">
        <v>66</v>
      </c>
      <c r="X1599">
        <v>47871000</v>
      </c>
      <c r="Y1599">
        <v>5265810</v>
      </c>
      <c r="Z1599">
        <v>47871000</v>
      </c>
      <c r="AA1599">
        <v>5265810</v>
      </c>
      <c r="AB1599">
        <v>53136810</v>
      </c>
      <c r="AC1599">
        <v>225</v>
      </c>
      <c r="AD1599" t="s">
        <v>134</v>
      </c>
      <c r="AE1599">
        <v>2700</v>
      </c>
      <c r="AF1599" t="s">
        <v>290</v>
      </c>
      <c r="AG1599">
        <f>IFERROR(VLOOKUP(AF1599,[1]STOK!J:O,6,0),"")</f>
        <v>12</v>
      </c>
      <c r="AH1599" s="2">
        <f t="shared" si="48"/>
        <v>225</v>
      </c>
      <c r="AI1599" t="s">
        <v>290</v>
      </c>
      <c r="AJ1599" t="s">
        <v>291</v>
      </c>
      <c r="AK1599" t="s">
        <v>292</v>
      </c>
      <c r="AL1599" t="s">
        <v>86</v>
      </c>
      <c r="AM1599">
        <v>266400</v>
      </c>
      <c r="AN1599">
        <f t="shared" si="49"/>
        <v>236163.6</v>
      </c>
      <c r="AO1599" t="s">
        <v>66</v>
      </c>
      <c r="AP1599">
        <v>1.5</v>
      </c>
      <c r="AQ1599" t="s">
        <v>66</v>
      </c>
      <c r="AR1599">
        <v>0</v>
      </c>
      <c r="AS1599" t="s">
        <v>66</v>
      </c>
      <c r="AT1599">
        <v>0</v>
      </c>
      <c r="AU1599" t="s">
        <v>66</v>
      </c>
      <c r="AV1599">
        <v>10</v>
      </c>
      <c r="AW1599" t="s">
        <v>66</v>
      </c>
      <c r="AX1599">
        <v>0</v>
      </c>
      <c r="AY1599" t="s">
        <v>66</v>
      </c>
      <c r="AZ1599">
        <v>0</v>
      </c>
      <c r="BA1599" t="s">
        <v>66</v>
      </c>
      <c r="BB1599">
        <v>0</v>
      </c>
      <c r="BC1599">
        <v>0</v>
      </c>
      <c r="BD1599">
        <v>53136810</v>
      </c>
      <c r="BE1599">
        <v>18103.439999999999</v>
      </c>
      <c r="BF1599">
        <v>0</v>
      </c>
      <c r="BG1599" t="s">
        <v>87</v>
      </c>
      <c r="BH1599" t="s">
        <v>1697</v>
      </c>
      <c r="BI1599">
        <v>2700</v>
      </c>
      <c r="BJ1599" t="s">
        <v>1694</v>
      </c>
      <c r="BK1599" t="s">
        <v>88</v>
      </c>
      <c r="BL1599" t="s">
        <v>66</v>
      </c>
      <c r="BM1599" t="s">
        <v>159</v>
      </c>
    </row>
    <row r="1600" spans="1:65" x14ac:dyDescent="0.25">
      <c r="A1600">
        <v>1598</v>
      </c>
      <c r="B1600" t="s">
        <v>1698</v>
      </c>
      <c r="C1600" t="s">
        <v>66</v>
      </c>
      <c r="D1600" s="1">
        <v>46224</v>
      </c>
      <c r="E1600" t="s">
        <v>1699</v>
      </c>
      <c r="F1600" t="s">
        <v>68</v>
      </c>
      <c r="G1600" t="s">
        <v>69</v>
      </c>
      <c r="H1600" t="s">
        <v>70</v>
      </c>
      <c r="I1600" t="s">
        <v>71</v>
      </c>
      <c r="J1600" t="s">
        <v>72</v>
      </c>
      <c r="K1600" t="s">
        <v>73</v>
      </c>
      <c r="L1600" t="s">
        <v>74</v>
      </c>
      <c r="M1600" t="s">
        <v>556</v>
      </c>
      <c r="N1600" t="s">
        <v>111</v>
      </c>
      <c r="O1600" t="s">
        <v>557</v>
      </c>
      <c r="P1600" t="s">
        <v>558</v>
      </c>
      <c r="Q1600" t="s">
        <v>1700</v>
      </c>
      <c r="R1600" s="1">
        <v>46225</v>
      </c>
      <c r="S1600" t="s">
        <v>560</v>
      </c>
      <c r="T1600" t="s">
        <v>561</v>
      </c>
      <c r="U1600" t="s">
        <v>562</v>
      </c>
      <c r="V1600" t="s">
        <v>66</v>
      </c>
      <c r="W1600" t="s">
        <v>66</v>
      </c>
      <c r="X1600">
        <v>2645676</v>
      </c>
      <c r="Y1600">
        <v>291024.36</v>
      </c>
      <c r="Z1600">
        <v>392040</v>
      </c>
      <c r="AA1600">
        <v>43124.4</v>
      </c>
      <c r="AB1600">
        <v>2936700.36</v>
      </c>
      <c r="AC1600">
        <v>1</v>
      </c>
      <c r="AD1600" t="s">
        <v>134</v>
      </c>
      <c r="AE1600">
        <v>24</v>
      </c>
      <c r="AF1600" t="s">
        <v>96</v>
      </c>
      <c r="AG1600">
        <f>IFERROR(VLOOKUP(AF1600,[1]STOK!J:O,6,0),"")</f>
        <v>24</v>
      </c>
      <c r="AH1600" s="2">
        <f t="shared" si="48"/>
        <v>1</v>
      </c>
      <c r="AI1600" t="s">
        <v>96</v>
      </c>
      <c r="AJ1600" t="s">
        <v>97</v>
      </c>
      <c r="AK1600" t="s">
        <v>98</v>
      </c>
      <c r="AL1600" t="s">
        <v>86</v>
      </c>
      <c r="AM1600">
        <v>439560</v>
      </c>
      <c r="AN1600">
        <f t="shared" si="49"/>
        <v>435164.4</v>
      </c>
      <c r="AO1600" t="s">
        <v>66</v>
      </c>
      <c r="AP1600">
        <v>1</v>
      </c>
      <c r="AQ1600" t="s">
        <v>66</v>
      </c>
      <c r="AR1600">
        <v>0</v>
      </c>
      <c r="AS1600" t="s">
        <v>66</v>
      </c>
      <c r="AT1600">
        <v>0</v>
      </c>
      <c r="AU1600" t="s">
        <v>66</v>
      </c>
      <c r="AV1600">
        <v>0</v>
      </c>
      <c r="AW1600" t="s">
        <v>66</v>
      </c>
      <c r="AX1600">
        <v>0</v>
      </c>
      <c r="AY1600" t="s">
        <v>66</v>
      </c>
      <c r="AZ1600">
        <v>0</v>
      </c>
      <c r="BA1600" t="s">
        <v>66</v>
      </c>
      <c r="BB1600">
        <v>0</v>
      </c>
      <c r="BC1600">
        <v>0</v>
      </c>
      <c r="BD1600">
        <v>435164.4</v>
      </c>
      <c r="BE1600">
        <v>14906.41</v>
      </c>
      <c r="BF1600">
        <v>0</v>
      </c>
      <c r="BG1600" t="s">
        <v>87</v>
      </c>
      <c r="BH1600" t="s">
        <v>66</v>
      </c>
      <c r="BI1600">
        <v>0</v>
      </c>
      <c r="BJ1600" t="s">
        <v>66</v>
      </c>
      <c r="BK1600" t="s">
        <v>88</v>
      </c>
      <c r="BL1600" t="s">
        <v>66</v>
      </c>
      <c r="BM1600" t="s">
        <v>159</v>
      </c>
    </row>
    <row r="1601" spans="1:65" x14ac:dyDescent="0.25">
      <c r="A1601">
        <v>1599</v>
      </c>
      <c r="B1601" t="s">
        <v>1698</v>
      </c>
      <c r="C1601" t="s">
        <v>66</v>
      </c>
      <c r="D1601" s="1">
        <v>46224</v>
      </c>
      <c r="E1601" t="s">
        <v>1699</v>
      </c>
      <c r="F1601" t="s">
        <v>68</v>
      </c>
      <c r="G1601" t="s">
        <v>69</v>
      </c>
      <c r="H1601" t="s">
        <v>70</v>
      </c>
      <c r="I1601" t="s">
        <v>71</v>
      </c>
      <c r="J1601" t="s">
        <v>72</v>
      </c>
      <c r="K1601" t="s">
        <v>73</v>
      </c>
      <c r="L1601" t="s">
        <v>74</v>
      </c>
      <c r="M1601" t="s">
        <v>556</v>
      </c>
      <c r="N1601" t="s">
        <v>111</v>
      </c>
      <c r="O1601" t="s">
        <v>557</v>
      </c>
      <c r="P1601" t="s">
        <v>558</v>
      </c>
      <c r="Q1601" t="s">
        <v>1700</v>
      </c>
      <c r="R1601" s="1">
        <v>46225</v>
      </c>
      <c r="S1601" t="s">
        <v>560</v>
      </c>
      <c r="T1601" t="s">
        <v>561</v>
      </c>
      <c r="U1601" t="s">
        <v>562</v>
      </c>
      <c r="V1601" t="s">
        <v>66</v>
      </c>
      <c r="W1601" t="s">
        <v>66</v>
      </c>
      <c r="X1601">
        <v>2645676</v>
      </c>
      <c r="Y1601">
        <v>291024.36</v>
      </c>
      <c r="Z1601">
        <v>392040</v>
      </c>
      <c r="AA1601">
        <v>43124.4</v>
      </c>
      <c r="AB1601">
        <v>2936700.36</v>
      </c>
      <c r="AC1601">
        <v>1</v>
      </c>
      <c r="AD1601" t="s">
        <v>134</v>
      </c>
      <c r="AE1601">
        <v>24</v>
      </c>
      <c r="AF1601" t="s">
        <v>99</v>
      </c>
      <c r="AG1601">
        <f>IFERROR(VLOOKUP(AF1601,[1]STOK!J:O,6,0),"")</f>
        <v>24</v>
      </c>
      <c r="AH1601" s="2">
        <f t="shared" si="48"/>
        <v>1</v>
      </c>
      <c r="AI1601" t="s">
        <v>99</v>
      </c>
      <c r="AJ1601" t="s">
        <v>100</v>
      </c>
      <c r="AK1601" t="s">
        <v>101</v>
      </c>
      <c r="AL1601" t="s">
        <v>86</v>
      </c>
      <c r="AM1601">
        <v>439560</v>
      </c>
      <c r="AN1601">
        <f t="shared" si="49"/>
        <v>435164.4</v>
      </c>
      <c r="AO1601" t="s">
        <v>66</v>
      </c>
      <c r="AP1601">
        <v>1</v>
      </c>
      <c r="AQ1601" t="s">
        <v>66</v>
      </c>
      <c r="AR1601">
        <v>0</v>
      </c>
      <c r="AS1601" t="s">
        <v>66</v>
      </c>
      <c r="AT1601">
        <v>0</v>
      </c>
      <c r="AU1601" t="s">
        <v>66</v>
      </c>
      <c r="AV1601">
        <v>0</v>
      </c>
      <c r="AW1601" t="s">
        <v>66</v>
      </c>
      <c r="AX1601">
        <v>0</v>
      </c>
      <c r="AY1601" t="s">
        <v>66</v>
      </c>
      <c r="AZ1601">
        <v>0</v>
      </c>
      <c r="BA1601" t="s">
        <v>66</v>
      </c>
      <c r="BB1601">
        <v>0</v>
      </c>
      <c r="BC1601">
        <v>0</v>
      </c>
      <c r="BD1601">
        <v>435164.4</v>
      </c>
      <c r="BE1601">
        <v>14920.37</v>
      </c>
      <c r="BF1601">
        <v>0</v>
      </c>
      <c r="BG1601" t="s">
        <v>87</v>
      </c>
      <c r="BH1601" t="s">
        <v>66</v>
      </c>
      <c r="BI1601">
        <v>0</v>
      </c>
      <c r="BJ1601" t="s">
        <v>66</v>
      </c>
      <c r="BK1601" t="s">
        <v>88</v>
      </c>
      <c r="BL1601" t="s">
        <v>66</v>
      </c>
      <c r="BM1601" t="s">
        <v>159</v>
      </c>
    </row>
    <row r="1602" spans="1:65" x14ac:dyDescent="0.25">
      <c r="A1602">
        <v>1600</v>
      </c>
      <c r="B1602" t="s">
        <v>1698</v>
      </c>
      <c r="C1602" t="s">
        <v>66</v>
      </c>
      <c r="D1602" s="1">
        <v>46224</v>
      </c>
      <c r="E1602" t="s">
        <v>1699</v>
      </c>
      <c r="F1602" t="s">
        <v>68</v>
      </c>
      <c r="G1602" t="s">
        <v>69</v>
      </c>
      <c r="H1602" t="s">
        <v>70</v>
      </c>
      <c r="I1602" t="s">
        <v>71</v>
      </c>
      <c r="J1602" t="s">
        <v>72</v>
      </c>
      <c r="K1602" t="s">
        <v>73</v>
      </c>
      <c r="L1602" t="s">
        <v>74</v>
      </c>
      <c r="M1602" t="s">
        <v>556</v>
      </c>
      <c r="N1602" t="s">
        <v>111</v>
      </c>
      <c r="O1602" t="s">
        <v>557</v>
      </c>
      <c r="P1602" t="s">
        <v>558</v>
      </c>
      <c r="Q1602" t="s">
        <v>1700</v>
      </c>
      <c r="R1602" s="1">
        <v>46225</v>
      </c>
      <c r="S1602" t="s">
        <v>560</v>
      </c>
      <c r="T1602" t="s">
        <v>561</v>
      </c>
      <c r="U1602" t="s">
        <v>562</v>
      </c>
      <c r="V1602" t="s">
        <v>66</v>
      </c>
      <c r="W1602" t="s">
        <v>66</v>
      </c>
      <c r="X1602">
        <v>2645676</v>
      </c>
      <c r="Y1602">
        <v>291024.36</v>
      </c>
      <c r="Z1602">
        <v>460944</v>
      </c>
      <c r="AA1602">
        <v>50703.839999999997</v>
      </c>
      <c r="AB1602">
        <v>2936700.36</v>
      </c>
      <c r="AC1602">
        <v>2</v>
      </c>
      <c r="AD1602" t="s">
        <v>134</v>
      </c>
      <c r="AE1602">
        <v>24</v>
      </c>
      <c r="AF1602" t="s">
        <v>284</v>
      </c>
      <c r="AG1602">
        <f>IFERROR(VLOOKUP(AF1602,[1]STOK!J:O,6,0),"")</f>
        <v>12</v>
      </c>
      <c r="AH1602" s="2">
        <f t="shared" si="48"/>
        <v>2</v>
      </c>
      <c r="AI1602" t="s">
        <v>284</v>
      </c>
      <c r="AJ1602" t="s">
        <v>285</v>
      </c>
      <c r="AK1602" t="s">
        <v>286</v>
      </c>
      <c r="AL1602" t="s">
        <v>86</v>
      </c>
      <c r="AM1602">
        <v>258408</v>
      </c>
      <c r="AN1602">
        <f t="shared" si="49"/>
        <v>255823.92</v>
      </c>
      <c r="AO1602" t="s">
        <v>66</v>
      </c>
      <c r="AP1602">
        <v>1</v>
      </c>
      <c r="AQ1602" t="s">
        <v>66</v>
      </c>
      <c r="AR1602">
        <v>0</v>
      </c>
      <c r="AS1602" t="s">
        <v>66</v>
      </c>
      <c r="AT1602">
        <v>0</v>
      </c>
      <c r="AU1602" t="s">
        <v>66</v>
      </c>
      <c r="AV1602">
        <v>0</v>
      </c>
      <c r="AW1602" t="s">
        <v>66</v>
      </c>
      <c r="AX1602">
        <v>0</v>
      </c>
      <c r="AY1602" t="s">
        <v>66</v>
      </c>
      <c r="AZ1602">
        <v>0</v>
      </c>
      <c r="BA1602" t="s">
        <v>66</v>
      </c>
      <c r="BB1602">
        <v>0</v>
      </c>
      <c r="BC1602">
        <v>0</v>
      </c>
      <c r="BD1602">
        <v>511647.84</v>
      </c>
      <c r="BE1602">
        <v>17519.32</v>
      </c>
      <c r="BF1602">
        <v>0</v>
      </c>
      <c r="BG1602" t="s">
        <v>87</v>
      </c>
      <c r="BH1602" t="s">
        <v>66</v>
      </c>
      <c r="BI1602">
        <v>0</v>
      </c>
      <c r="BJ1602" t="s">
        <v>66</v>
      </c>
      <c r="BK1602" t="s">
        <v>88</v>
      </c>
      <c r="BL1602" t="s">
        <v>66</v>
      </c>
      <c r="BM1602" t="s">
        <v>159</v>
      </c>
    </row>
    <row r="1603" spans="1:65" x14ac:dyDescent="0.25">
      <c r="A1603">
        <v>1601</v>
      </c>
      <c r="B1603" t="s">
        <v>1698</v>
      </c>
      <c r="C1603" t="s">
        <v>66</v>
      </c>
      <c r="D1603" s="1">
        <v>46224</v>
      </c>
      <c r="E1603" t="s">
        <v>1699</v>
      </c>
      <c r="F1603" t="s">
        <v>68</v>
      </c>
      <c r="G1603" t="s">
        <v>69</v>
      </c>
      <c r="H1603" t="s">
        <v>70</v>
      </c>
      <c r="I1603" t="s">
        <v>71</v>
      </c>
      <c r="J1603" t="s">
        <v>72</v>
      </c>
      <c r="K1603" t="s">
        <v>73</v>
      </c>
      <c r="L1603" t="s">
        <v>74</v>
      </c>
      <c r="M1603" t="s">
        <v>556</v>
      </c>
      <c r="N1603" t="s">
        <v>111</v>
      </c>
      <c r="O1603" t="s">
        <v>557</v>
      </c>
      <c r="P1603" t="s">
        <v>558</v>
      </c>
      <c r="Q1603" t="s">
        <v>1700</v>
      </c>
      <c r="R1603" s="1">
        <v>46225</v>
      </c>
      <c r="S1603" t="s">
        <v>560</v>
      </c>
      <c r="T1603" t="s">
        <v>561</v>
      </c>
      <c r="U1603" t="s">
        <v>562</v>
      </c>
      <c r="V1603" t="s">
        <v>66</v>
      </c>
      <c r="W1603" t="s">
        <v>66</v>
      </c>
      <c r="X1603">
        <v>2645676</v>
      </c>
      <c r="Y1603">
        <v>291024.36</v>
      </c>
      <c r="Z1603">
        <v>230472</v>
      </c>
      <c r="AA1603">
        <v>25351.919999999998</v>
      </c>
      <c r="AB1603">
        <v>2936700.36</v>
      </c>
      <c r="AC1603">
        <v>1</v>
      </c>
      <c r="AD1603" t="s">
        <v>134</v>
      </c>
      <c r="AE1603">
        <v>12</v>
      </c>
      <c r="AF1603" t="s">
        <v>287</v>
      </c>
      <c r="AG1603">
        <f>IFERROR(VLOOKUP(AF1603,[1]STOK!J:O,6,0),"")</f>
        <v>12</v>
      </c>
      <c r="AH1603" s="2">
        <f t="shared" si="48"/>
        <v>1</v>
      </c>
      <c r="AI1603" t="s">
        <v>287</v>
      </c>
      <c r="AJ1603" t="s">
        <v>288</v>
      </c>
      <c r="AK1603" t="s">
        <v>289</v>
      </c>
      <c r="AL1603" t="s">
        <v>86</v>
      </c>
      <c r="AM1603">
        <v>258408</v>
      </c>
      <c r="AN1603">
        <f t="shared" si="49"/>
        <v>255823.92</v>
      </c>
      <c r="AO1603" t="s">
        <v>66</v>
      </c>
      <c r="AP1603">
        <v>1</v>
      </c>
      <c r="AQ1603" t="s">
        <v>66</v>
      </c>
      <c r="AR1603">
        <v>0</v>
      </c>
      <c r="AS1603" t="s">
        <v>66</v>
      </c>
      <c r="AT1603">
        <v>0</v>
      </c>
      <c r="AU1603" t="s">
        <v>66</v>
      </c>
      <c r="AV1603">
        <v>0</v>
      </c>
      <c r="AW1603" t="s">
        <v>66</v>
      </c>
      <c r="AX1603">
        <v>0</v>
      </c>
      <c r="AY1603" t="s">
        <v>66</v>
      </c>
      <c r="AZ1603">
        <v>0</v>
      </c>
      <c r="BA1603" t="s">
        <v>66</v>
      </c>
      <c r="BB1603">
        <v>0</v>
      </c>
      <c r="BC1603">
        <v>0</v>
      </c>
      <c r="BD1603">
        <v>255823.92</v>
      </c>
      <c r="BE1603">
        <v>17472.2</v>
      </c>
      <c r="BF1603">
        <v>0</v>
      </c>
      <c r="BG1603" t="s">
        <v>87</v>
      </c>
      <c r="BH1603" t="s">
        <v>66</v>
      </c>
      <c r="BI1603">
        <v>0</v>
      </c>
      <c r="BJ1603" t="s">
        <v>66</v>
      </c>
      <c r="BK1603" t="s">
        <v>88</v>
      </c>
      <c r="BL1603" t="s">
        <v>66</v>
      </c>
      <c r="BM1603" t="s">
        <v>159</v>
      </c>
    </row>
    <row r="1604" spans="1:65" x14ac:dyDescent="0.25">
      <c r="A1604">
        <v>1602</v>
      </c>
      <c r="B1604" t="s">
        <v>1698</v>
      </c>
      <c r="C1604" t="s">
        <v>66</v>
      </c>
      <c r="D1604" s="1">
        <v>46224</v>
      </c>
      <c r="E1604" t="s">
        <v>1699</v>
      </c>
      <c r="F1604" t="s">
        <v>68</v>
      </c>
      <c r="G1604" t="s">
        <v>69</v>
      </c>
      <c r="H1604" t="s">
        <v>70</v>
      </c>
      <c r="I1604" t="s">
        <v>71</v>
      </c>
      <c r="J1604" t="s">
        <v>72</v>
      </c>
      <c r="K1604" t="s">
        <v>73</v>
      </c>
      <c r="L1604" t="s">
        <v>74</v>
      </c>
      <c r="M1604" t="s">
        <v>556</v>
      </c>
      <c r="N1604" t="s">
        <v>111</v>
      </c>
      <c r="O1604" t="s">
        <v>557</v>
      </c>
      <c r="P1604" t="s">
        <v>558</v>
      </c>
      <c r="Q1604" t="s">
        <v>1700</v>
      </c>
      <c r="R1604" s="1">
        <v>46225</v>
      </c>
      <c r="S1604" t="s">
        <v>560</v>
      </c>
      <c r="T1604" t="s">
        <v>561</v>
      </c>
      <c r="U1604" t="s">
        <v>562</v>
      </c>
      <c r="V1604" t="s">
        <v>66</v>
      </c>
      <c r="W1604" t="s">
        <v>66</v>
      </c>
      <c r="X1604">
        <v>2645676</v>
      </c>
      <c r="Y1604">
        <v>291024.36</v>
      </c>
      <c r="Z1604">
        <v>319572</v>
      </c>
      <c r="AA1604">
        <v>35152.92</v>
      </c>
      <c r="AB1604">
        <v>2936700.36</v>
      </c>
      <c r="AC1604">
        <v>1</v>
      </c>
      <c r="AD1604" t="s">
        <v>134</v>
      </c>
      <c r="AE1604">
        <v>6</v>
      </c>
      <c r="AF1604" t="s">
        <v>525</v>
      </c>
      <c r="AG1604">
        <f>IFERROR(VLOOKUP(AF1604,[1]STOK!J:O,6,0),"")</f>
        <v>6</v>
      </c>
      <c r="AH1604" s="2">
        <f t="shared" ref="AH1604:AH1667" si="50">AE1604/AG1604</f>
        <v>1</v>
      </c>
      <c r="AI1604" t="s">
        <v>525</v>
      </c>
      <c r="AJ1604" t="s">
        <v>526</v>
      </c>
      <c r="AK1604" t="s">
        <v>527</v>
      </c>
      <c r="AL1604" t="s">
        <v>86</v>
      </c>
      <c r="AM1604">
        <v>358308</v>
      </c>
      <c r="AN1604">
        <f t="shared" ref="AN1604:AN1667" si="51">BD1604/AC1604</f>
        <v>354724.92</v>
      </c>
      <c r="AO1604" t="s">
        <v>66</v>
      </c>
      <c r="AP1604">
        <v>1</v>
      </c>
      <c r="AQ1604" t="s">
        <v>66</v>
      </c>
      <c r="AR1604">
        <v>0</v>
      </c>
      <c r="AS1604" t="s">
        <v>66</v>
      </c>
      <c r="AT1604">
        <v>0</v>
      </c>
      <c r="AU1604" t="s">
        <v>66</v>
      </c>
      <c r="AV1604">
        <v>0</v>
      </c>
      <c r="AW1604" t="s">
        <v>66</v>
      </c>
      <c r="AX1604">
        <v>0</v>
      </c>
      <c r="AY1604" t="s">
        <v>66</v>
      </c>
      <c r="AZ1604">
        <v>0</v>
      </c>
      <c r="BA1604" t="s">
        <v>66</v>
      </c>
      <c r="BB1604">
        <v>0</v>
      </c>
      <c r="BC1604">
        <v>0</v>
      </c>
      <c r="BD1604">
        <v>354724.92</v>
      </c>
      <c r="BE1604">
        <v>48441.52</v>
      </c>
      <c r="BF1604">
        <v>0</v>
      </c>
      <c r="BG1604" t="s">
        <v>87</v>
      </c>
      <c r="BH1604" t="s">
        <v>66</v>
      </c>
      <c r="BI1604">
        <v>0</v>
      </c>
      <c r="BJ1604" t="s">
        <v>66</v>
      </c>
      <c r="BK1604" t="s">
        <v>88</v>
      </c>
      <c r="BL1604" t="s">
        <v>66</v>
      </c>
      <c r="BM1604" t="s">
        <v>159</v>
      </c>
    </row>
    <row r="1605" spans="1:65" x14ac:dyDescent="0.25">
      <c r="A1605">
        <v>1603</v>
      </c>
      <c r="B1605" t="s">
        <v>1698</v>
      </c>
      <c r="C1605" t="s">
        <v>66</v>
      </c>
      <c r="D1605" s="1">
        <v>46224</v>
      </c>
      <c r="E1605" t="s">
        <v>1699</v>
      </c>
      <c r="F1605" t="s">
        <v>68</v>
      </c>
      <c r="G1605" t="s">
        <v>69</v>
      </c>
      <c r="H1605" t="s">
        <v>70</v>
      </c>
      <c r="I1605" t="s">
        <v>71</v>
      </c>
      <c r="J1605" t="s">
        <v>72</v>
      </c>
      <c r="K1605" t="s">
        <v>73</v>
      </c>
      <c r="L1605" t="s">
        <v>74</v>
      </c>
      <c r="M1605" t="s">
        <v>556</v>
      </c>
      <c r="N1605" t="s">
        <v>111</v>
      </c>
      <c r="O1605" t="s">
        <v>557</v>
      </c>
      <c r="P1605" t="s">
        <v>558</v>
      </c>
      <c r="Q1605" t="s">
        <v>1700</v>
      </c>
      <c r="R1605" s="1">
        <v>46225</v>
      </c>
      <c r="S1605" t="s">
        <v>560</v>
      </c>
      <c r="T1605" t="s">
        <v>561</v>
      </c>
      <c r="U1605" t="s">
        <v>562</v>
      </c>
      <c r="V1605" t="s">
        <v>66</v>
      </c>
      <c r="W1605" t="s">
        <v>66</v>
      </c>
      <c r="X1605">
        <v>2645676</v>
      </c>
      <c r="Y1605">
        <v>291024.36</v>
      </c>
      <c r="Z1605">
        <v>168102</v>
      </c>
      <c r="AA1605">
        <v>18491.22</v>
      </c>
      <c r="AB1605">
        <v>2936700.36</v>
      </c>
      <c r="AC1605">
        <v>1</v>
      </c>
      <c r="AD1605" t="s">
        <v>134</v>
      </c>
      <c r="AE1605">
        <v>6</v>
      </c>
      <c r="AF1605" t="s">
        <v>510</v>
      </c>
      <c r="AG1605">
        <f>IFERROR(VLOOKUP(AF1605,[1]STOK!J:O,6,0),"")</f>
        <v>6</v>
      </c>
      <c r="AH1605" s="2">
        <f t="shared" si="50"/>
        <v>1</v>
      </c>
      <c r="AI1605" t="s">
        <v>510</v>
      </c>
      <c r="AJ1605" t="s">
        <v>511</v>
      </c>
      <c r="AK1605" t="s">
        <v>512</v>
      </c>
      <c r="AL1605" t="s">
        <v>86</v>
      </c>
      <c r="AM1605">
        <v>188478</v>
      </c>
      <c r="AN1605">
        <f t="shared" si="51"/>
        <v>186593.22</v>
      </c>
      <c r="AO1605" t="s">
        <v>66</v>
      </c>
      <c r="AP1605">
        <v>1</v>
      </c>
      <c r="AQ1605" t="s">
        <v>66</v>
      </c>
      <c r="AR1605">
        <v>0</v>
      </c>
      <c r="AS1605" t="s">
        <v>66</v>
      </c>
      <c r="AT1605">
        <v>0</v>
      </c>
      <c r="AU1605" t="s">
        <v>66</v>
      </c>
      <c r="AV1605">
        <v>0</v>
      </c>
      <c r="AW1605" t="s">
        <v>66</v>
      </c>
      <c r="AX1605">
        <v>0</v>
      </c>
      <c r="AY1605" t="s">
        <v>66</v>
      </c>
      <c r="AZ1605">
        <v>0</v>
      </c>
      <c r="BA1605" t="s">
        <v>66</v>
      </c>
      <c r="BB1605">
        <v>0</v>
      </c>
      <c r="BC1605">
        <v>0</v>
      </c>
      <c r="BD1605">
        <v>186593.22</v>
      </c>
      <c r="BE1605">
        <v>25562.95</v>
      </c>
      <c r="BF1605">
        <v>0</v>
      </c>
      <c r="BG1605" t="s">
        <v>87</v>
      </c>
      <c r="BH1605" t="s">
        <v>66</v>
      </c>
      <c r="BI1605">
        <v>0</v>
      </c>
      <c r="BJ1605" t="s">
        <v>66</v>
      </c>
      <c r="BK1605" t="s">
        <v>88</v>
      </c>
      <c r="BL1605" t="s">
        <v>66</v>
      </c>
      <c r="BM1605" t="s">
        <v>159</v>
      </c>
    </row>
    <row r="1606" spans="1:65" x14ac:dyDescent="0.25">
      <c r="A1606">
        <v>1604</v>
      </c>
      <c r="B1606" t="s">
        <v>1698</v>
      </c>
      <c r="C1606" t="s">
        <v>66</v>
      </c>
      <c r="D1606" s="1">
        <v>46224</v>
      </c>
      <c r="E1606" t="s">
        <v>1699</v>
      </c>
      <c r="F1606" t="s">
        <v>68</v>
      </c>
      <c r="G1606" t="s">
        <v>69</v>
      </c>
      <c r="H1606" t="s">
        <v>70</v>
      </c>
      <c r="I1606" t="s">
        <v>71</v>
      </c>
      <c r="J1606" t="s">
        <v>72</v>
      </c>
      <c r="K1606" t="s">
        <v>73</v>
      </c>
      <c r="L1606" t="s">
        <v>74</v>
      </c>
      <c r="M1606" t="s">
        <v>556</v>
      </c>
      <c r="N1606" t="s">
        <v>111</v>
      </c>
      <c r="O1606" t="s">
        <v>557</v>
      </c>
      <c r="P1606" t="s">
        <v>558</v>
      </c>
      <c r="Q1606" t="s">
        <v>1700</v>
      </c>
      <c r="R1606" s="1">
        <v>46225</v>
      </c>
      <c r="S1606" t="s">
        <v>560</v>
      </c>
      <c r="T1606" t="s">
        <v>561</v>
      </c>
      <c r="U1606" t="s">
        <v>562</v>
      </c>
      <c r="V1606" t="s">
        <v>66</v>
      </c>
      <c r="W1606" t="s">
        <v>66</v>
      </c>
      <c r="X1606">
        <v>2645676</v>
      </c>
      <c r="Y1606">
        <v>291024.36</v>
      </c>
      <c r="Z1606">
        <v>682506</v>
      </c>
      <c r="AA1606">
        <v>75075.66</v>
      </c>
      <c r="AB1606">
        <v>2936700.36</v>
      </c>
      <c r="AC1606">
        <v>3</v>
      </c>
      <c r="AD1606" t="s">
        <v>134</v>
      </c>
      <c r="AE1606">
        <v>18</v>
      </c>
      <c r="AF1606" t="s">
        <v>138</v>
      </c>
      <c r="AG1606">
        <f>IFERROR(VLOOKUP(AF1606,[1]STOK!J:O,6,0),"")</f>
        <v>6</v>
      </c>
      <c r="AH1606" s="2">
        <f t="shared" si="50"/>
        <v>3</v>
      </c>
      <c r="AI1606" t="s">
        <v>138</v>
      </c>
      <c r="AJ1606" t="s">
        <v>139</v>
      </c>
      <c r="AK1606" t="s">
        <v>140</v>
      </c>
      <c r="AL1606" t="s">
        <v>86</v>
      </c>
      <c r="AM1606">
        <v>255078</v>
      </c>
      <c r="AN1606">
        <f t="shared" si="51"/>
        <v>252527.22</v>
      </c>
      <c r="AO1606" t="s">
        <v>66</v>
      </c>
      <c r="AP1606">
        <v>1</v>
      </c>
      <c r="AQ1606" t="s">
        <v>66</v>
      </c>
      <c r="AR1606">
        <v>0</v>
      </c>
      <c r="AS1606" t="s">
        <v>66</v>
      </c>
      <c r="AT1606">
        <v>0</v>
      </c>
      <c r="AU1606" t="s">
        <v>66</v>
      </c>
      <c r="AV1606">
        <v>0</v>
      </c>
      <c r="AW1606" t="s">
        <v>66</v>
      </c>
      <c r="AX1606">
        <v>0</v>
      </c>
      <c r="AY1606" t="s">
        <v>66</v>
      </c>
      <c r="AZ1606">
        <v>0</v>
      </c>
      <c r="BA1606" t="s">
        <v>66</v>
      </c>
      <c r="BB1606">
        <v>0</v>
      </c>
      <c r="BC1606">
        <v>0</v>
      </c>
      <c r="BD1606">
        <v>757581.66</v>
      </c>
      <c r="BE1606">
        <v>34654.5</v>
      </c>
      <c r="BF1606">
        <v>0</v>
      </c>
      <c r="BG1606" t="s">
        <v>87</v>
      </c>
      <c r="BH1606" t="s">
        <v>66</v>
      </c>
      <c r="BI1606">
        <v>0</v>
      </c>
      <c r="BJ1606" t="s">
        <v>66</v>
      </c>
      <c r="BK1606" t="s">
        <v>88</v>
      </c>
      <c r="BL1606" t="s">
        <v>66</v>
      </c>
      <c r="BM1606" t="s">
        <v>159</v>
      </c>
    </row>
    <row r="1607" spans="1:65" x14ac:dyDescent="0.25">
      <c r="A1607">
        <v>1605</v>
      </c>
      <c r="B1607" t="s">
        <v>1701</v>
      </c>
      <c r="C1607" t="s">
        <v>66</v>
      </c>
      <c r="D1607" s="1">
        <v>46224</v>
      </c>
      <c r="E1607" t="s">
        <v>1702</v>
      </c>
      <c r="F1607" t="s">
        <v>68</v>
      </c>
      <c r="G1607" t="s">
        <v>69</v>
      </c>
      <c r="H1607" t="s">
        <v>70</v>
      </c>
      <c r="I1607" t="s">
        <v>71</v>
      </c>
      <c r="J1607" t="s">
        <v>72</v>
      </c>
      <c r="K1607" t="s">
        <v>73</v>
      </c>
      <c r="L1607" t="s">
        <v>74</v>
      </c>
      <c r="M1607" t="s">
        <v>556</v>
      </c>
      <c r="N1607" t="s">
        <v>111</v>
      </c>
      <c r="O1607" t="s">
        <v>557</v>
      </c>
      <c r="P1607" t="s">
        <v>558</v>
      </c>
      <c r="Q1607" t="s">
        <v>1703</v>
      </c>
      <c r="R1607" s="1">
        <v>46225</v>
      </c>
      <c r="S1607" t="s">
        <v>560</v>
      </c>
      <c r="T1607" t="s">
        <v>561</v>
      </c>
      <c r="U1607" t="s">
        <v>562</v>
      </c>
      <c r="V1607" t="s">
        <v>66</v>
      </c>
      <c r="W1607" t="s">
        <v>66</v>
      </c>
      <c r="X1607">
        <v>1489158</v>
      </c>
      <c r="Y1607">
        <v>163807.38</v>
      </c>
      <c r="Z1607">
        <v>214434</v>
      </c>
      <c r="AA1607">
        <v>23587.74</v>
      </c>
      <c r="AB1607">
        <v>1652965.38</v>
      </c>
      <c r="AC1607">
        <v>6</v>
      </c>
      <c r="AD1607" t="s">
        <v>82</v>
      </c>
      <c r="AE1607">
        <v>6</v>
      </c>
      <c r="AF1607" t="s">
        <v>1221</v>
      </c>
      <c r="AG1607">
        <f>IFERROR(VLOOKUP(AF1607,[1]STOK!J:O,6,0),"")</f>
        <v>12</v>
      </c>
      <c r="AH1607" s="2">
        <f t="shared" si="50"/>
        <v>0.5</v>
      </c>
      <c r="AI1607" t="s">
        <v>1221</v>
      </c>
      <c r="AJ1607" t="s">
        <v>1222</v>
      </c>
      <c r="AK1607" t="s">
        <v>1223</v>
      </c>
      <c r="AL1607" t="s">
        <v>86</v>
      </c>
      <c r="AM1607">
        <v>40071</v>
      </c>
      <c r="AN1607">
        <f t="shared" si="51"/>
        <v>39670.29</v>
      </c>
      <c r="AO1607" t="s">
        <v>66</v>
      </c>
      <c r="AP1607">
        <v>1</v>
      </c>
      <c r="AQ1607" t="s">
        <v>66</v>
      </c>
      <c r="AR1607">
        <v>0</v>
      </c>
      <c r="AS1607" t="s">
        <v>66</v>
      </c>
      <c r="AT1607">
        <v>0</v>
      </c>
      <c r="AU1607" t="s">
        <v>66</v>
      </c>
      <c r="AV1607">
        <v>0</v>
      </c>
      <c r="AW1607" t="s">
        <v>66</v>
      </c>
      <c r="AX1607">
        <v>0</v>
      </c>
      <c r="AY1607" t="s">
        <v>66</v>
      </c>
      <c r="AZ1607">
        <v>0</v>
      </c>
      <c r="BA1607" t="s">
        <v>66</v>
      </c>
      <c r="BB1607">
        <v>0</v>
      </c>
      <c r="BC1607">
        <v>0</v>
      </c>
      <c r="BD1607">
        <v>238021.74</v>
      </c>
      <c r="BE1607">
        <v>40839.06</v>
      </c>
      <c r="BF1607">
        <v>0</v>
      </c>
      <c r="BG1607" t="s">
        <v>87</v>
      </c>
      <c r="BH1607" t="s">
        <v>66</v>
      </c>
      <c r="BI1607">
        <v>0</v>
      </c>
      <c r="BJ1607" t="s">
        <v>66</v>
      </c>
      <c r="BK1607" t="s">
        <v>88</v>
      </c>
      <c r="BL1607" t="s">
        <v>66</v>
      </c>
      <c r="BM1607" t="s">
        <v>159</v>
      </c>
    </row>
    <row r="1608" spans="1:65" x14ac:dyDescent="0.25">
      <c r="A1608">
        <v>1606</v>
      </c>
      <c r="B1608" t="s">
        <v>1701</v>
      </c>
      <c r="C1608" t="s">
        <v>66</v>
      </c>
      <c r="D1608" s="1">
        <v>46224</v>
      </c>
      <c r="E1608" t="s">
        <v>1702</v>
      </c>
      <c r="F1608" t="s">
        <v>68</v>
      </c>
      <c r="G1608" t="s">
        <v>69</v>
      </c>
      <c r="H1608" t="s">
        <v>70</v>
      </c>
      <c r="I1608" t="s">
        <v>71</v>
      </c>
      <c r="J1608" t="s">
        <v>72</v>
      </c>
      <c r="K1608" t="s">
        <v>73</v>
      </c>
      <c r="L1608" t="s">
        <v>74</v>
      </c>
      <c r="M1608" t="s">
        <v>556</v>
      </c>
      <c r="N1608" t="s">
        <v>111</v>
      </c>
      <c r="O1608" t="s">
        <v>557</v>
      </c>
      <c r="P1608" t="s">
        <v>558</v>
      </c>
      <c r="Q1608" t="s">
        <v>1703</v>
      </c>
      <c r="R1608" s="1">
        <v>46225</v>
      </c>
      <c r="S1608" t="s">
        <v>560</v>
      </c>
      <c r="T1608" t="s">
        <v>561</v>
      </c>
      <c r="U1608" t="s">
        <v>562</v>
      </c>
      <c r="V1608" t="s">
        <v>66</v>
      </c>
      <c r="W1608" t="s">
        <v>66</v>
      </c>
      <c r="X1608">
        <v>1489158</v>
      </c>
      <c r="Y1608">
        <v>163807.38</v>
      </c>
      <c r="Z1608">
        <v>218592</v>
      </c>
      <c r="AA1608">
        <v>24045.119999999999</v>
      </c>
      <c r="AB1608">
        <v>1652965.38</v>
      </c>
      <c r="AC1608">
        <v>1</v>
      </c>
      <c r="AD1608" t="s">
        <v>134</v>
      </c>
      <c r="AE1608">
        <v>12</v>
      </c>
      <c r="AF1608" t="s">
        <v>116</v>
      </c>
      <c r="AG1608">
        <f>IFERROR(VLOOKUP(AF1608,[1]STOK!J:O,6,0),"")</f>
        <v>12</v>
      </c>
      <c r="AH1608" s="2">
        <f t="shared" si="50"/>
        <v>1</v>
      </c>
      <c r="AI1608" t="s">
        <v>116</v>
      </c>
      <c r="AJ1608" t="s">
        <v>117</v>
      </c>
      <c r="AK1608" t="s">
        <v>118</v>
      </c>
      <c r="AL1608" t="s">
        <v>86</v>
      </c>
      <c r="AM1608">
        <v>245088</v>
      </c>
      <c r="AN1608">
        <f t="shared" si="51"/>
        <v>242637.12</v>
      </c>
      <c r="AO1608" t="s">
        <v>66</v>
      </c>
      <c r="AP1608">
        <v>1</v>
      </c>
      <c r="AQ1608" t="s">
        <v>66</v>
      </c>
      <c r="AR1608">
        <v>0</v>
      </c>
      <c r="AS1608" t="s">
        <v>66</v>
      </c>
      <c r="AT1608">
        <v>0</v>
      </c>
      <c r="AU1608" t="s">
        <v>66</v>
      </c>
      <c r="AV1608">
        <v>0</v>
      </c>
      <c r="AW1608" t="s">
        <v>66</v>
      </c>
      <c r="AX1608">
        <v>0</v>
      </c>
      <c r="AY1608" t="s">
        <v>66</v>
      </c>
      <c r="AZ1608">
        <v>0</v>
      </c>
      <c r="BA1608" t="s">
        <v>66</v>
      </c>
      <c r="BB1608">
        <v>0</v>
      </c>
      <c r="BC1608">
        <v>0</v>
      </c>
      <c r="BD1608">
        <v>242637.12</v>
      </c>
      <c r="BE1608">
        <v>16641.740000000002</v>
      </c>
      <c r="BF1608">
        <v>0</v>
      </c>
      <c r="BG1608" t="s">
        <v>87</v>
      </c>
      <c r="BH1608" t="s">
        <v>66</v>
      </c>
      <c r="BI1608">
        <v>0</v>
      </c>
      <c r="BJ1608" t="s">
        <v>66</v>
      </c>
      <c r="BK1608" t="s">
        <v>88</v>
      </c>
      <c r="BL1608" t="s">
        <v>66</v>
      </c>
      <c r="BM1608" t="s">
        <v>159</v>
      </c>
    </row>
    <row r="1609" spans="1:65" x14ac:dyDescent="0.25">
      <c r="A1609">
        <v>1607</v>
      </c>
      <c r="B1609" t="s">
        <v>1701</v>
      </c>
      <c r="C1609" t="s">
        <v>66</v>
      </c>
      <c r="D1609" s="1">
        <v>46224</v>
      </c>
      <c r="E1609" t="s">
        <v>1702</v>
      </c>
      <c r="F1609" t="s">
        <v>68</v>
      </c>
      <c r="G1609" t="s">
        <v>69</v>
      </c>
      <c r="H1609" t="s">
        <v>70</v>
      </c>
      <c r="I1609" t="s">
        <v>71</v>
      </c>
      <c r="J1609" t="s">
        <v>72</v>
      </c>
      <c r="K1609" t="s">
        <v>73</v>
      </c>
      <c r="L1609" t="s">
        <v>74</v>
      </c>
      <c r="M1609" t="s">
        <v>556</v>
      </c>
      <c r="N1609" t="s">
        <v>111</v>
      </c>
      <c r="O1609" t="s">
        <v>557</v>
      </c>
      <c r="P1609" t="s">
        <v>558</v>
      </c>
      <c r="Q1609" t="s">
        <v>1703</v>
      </c>
      <c r="R1609" s="1">
        <v>46225</v>
      </c>
      <c r="S1609" t="s">
        <v>560</v>
      </c>
      <c r="T1609" t="s">
        <v>561</v>
      </c>
      <c r="U1609" t="s">
        <v>562</v>
      </c>
      <c r="V1609" t="s">
        <v>66</v>
      </c>
      <c r="W1609" t="s">
        <v>66</v>
      </c>
      <c r="X1609">
        <v>1489158</v>
      </c>
      <c r="Y1609">
        <v>163807.38</v>
      </c>
      <c r="Z1609">
        <v>29700</v>
      </c>
      <c r="AA1609">
        <v>3267</v>
      </c>
      <c r="AB1609">
        <v>1652965.38</v>
      </c>
      <c r="AC1609">
        <v>12</v>
      </c>
      <c r="AD1609" t="s">
        <v>82</v>
      </c>
      <c r="AE1609">
        <v>12</v>
      </c>
      <c r="AF1609" t="s">
        <v>185</v>
      </c>
      <c r="AG1609">
        <f>IFERROR(VLOOKUP(AF1609,[1]STOK!J:O,6,0),"")</f>
        <v>72</v>
      </c>
      <c r="AH1609" s="2">
        <f t="shared" si="50"/>
        <v>0.16666666666666666</v>
      </c>
      <c r="AI1609" t="s">
        <v>185</v>
      </c>
      <c r="AJ1609" t="s">
        <v>186</v>
      </c>
      <c r="AK1609" t="s">
        <v>187</v>
      </c>
      <c r="AL1609" t="s">
        <v>86</v>
      </c>
      <c r="AM1609">
        <v>2775</v>
      </c>
      <c r="AN1609">
        <f t="shared" si="51"/>
        <v>2747.25</v>
      </c>
      <c r="AO1609" t="s">
        <v>66</v>
      </c>
      <c r="AP1609">
        <v>1</v>
      </c>
      <c r="AQ1609" t="s">
        <v>66</v>
      </c>
      <c r="AR1609">
        <v>0</v>
      </c>
      <c r="AS1609" t="s">
        <v>66</v>
      </c>
      <c r="AT1609">
        <v>0</v>
      </c>
      <c r="AU1609" t="s">
        <v>66</v>
      </c>
      <c r="AV1609">
        <v>0</v>
      </c>
      <c r="AW1609" t="s">
        <v>66</v>
      </c>
      <c r="AX1609">
        <v>0</v>
      </c>
      <c r="AY1609" t="s">
        <v>66</v>
      </c>
      <c r="AZ1609">
        <v>0</v>
      </c>
      <c r="BA1609" t="s">
        <v>66</v>
      </c>
      <c r="BB1609">
        <v>0</v>
      </c>
      <c r="BC1609">
        <v>0</v>
      </c>
      <c r="BD1609">
        <v>32967</v>
      </c>
      <c r="BE1609">
        <v>2254.66</v>
      </c>
      <c r="BF1609">
        <v>0</v>
      </c>
      <c r="BG1609" t="s">
        <v>87</v>
      </c>
      <c r="BH1609" t="s">
        <v>66</v>
      </c>
      <c r="BI1609">
        <v>0</v>
      </c>
      <c r="BJ1609" t="s">
        <v>66</v>
      </c>
      <c r="BK1609" t="s">
        <v>88</v>
      </c>
      <c r="BL1609" t="s">
        <v>66</v>
      </c>
      <c r="BM1609" t="s">
        <v>159</v>
      </c>
    </row>
    <row r="1610" spans="1:65" x14ac:dyDescent="0.25">
      <c r="A1610">
        <v>1608</v>
      </c>
      <c r="B1610" t="s">
        <v>1701</v>
      </c>
      <c r="C1610" t="s">
        <v>66</v>
      </c>
      <c r="D1610" s="1">
        <v>46224</v>
      </c>
      <c r="E1610" t="s">
        <v>1702</v>
      </c>
      <c r="F1610" t="s">
        <v>68</v>
      </c>
      <c r="G1610" t="s">
        <v>69</v>
      </c>
      <c r="H1610" t="s">
        <v>70</v>
      </c>
      <c r="I1610" t="s">
        <v>71</v>
      </c>
      <c r="J1610" t="s">
        <v>72</v>
      </c>
      <c r="K1610" t="s">
        <v>73</v>
      </c>
      <c r="L1610" t="s">
        <v>74</v>
      </c>
      <c r="M1610" t="s">
        <v>556</v>
      </c>
      <c r="N1610" t="s">
        <v>111</v>
      </c>
      <c r="O1610" t="s">
        <v>557</v>
      </c>
      <c r="P1610" t="s">
        <v>558</v>
      </c>
      <c r="Q1610" t="s">
        <v>1703</v>
      </c>
      <c r="R1610" s="1">
        <v>46225</v>
      </c>
      <c r="S1610" t="s">
        <v>560</v>
      </c>
      <c r="T1610" t="s">
        <v>561</v>
      </c>
      <c r="U1610" t="s">
        <v>562</v>
      </c>
      <c r="V1610" t="s">
        <v>66</v>
      </c>
      <c r="W1610" t="s">
        <v>66</v>
      </c>
      <c r="X1610">
        <v>1489158</v>
      </c>
      <c r="Y1610">
        <v>163807.38</v>
      </c>
      <c r="Z1610">
        <v>513216</v>
      </c>
      <c r="AA1610">
        <v>56453.760000000002</v>
      </c>
      <c r="AB1610">
        <v>1652965.38</v>
      </c>
      <c r="AC1610">
        <v>3</v>
      </c>
      <c r="AD1610" t="s">
        <v>134</v>
      </c>
      <c r="AE1610">
        <v>36</v>
      </c>
      <c r="AF1610" t="s">
        <v>141</v>
      </c>
      <c r="AG1610">
        <f>IFERROR(VLOOKUP(AF1610,[1]STOK!J:O,6,0),"")</f>
        <v>12</v>
      </c>
      <c r="AH1610" s="2">
        <f t="shared" si="50"/>
        <v>3</v>
      </c>
      <c r="AI1610" t="s">
        <v>141</v>
      </c>
      <c r="AJ1610" t="s">
        <v>142</v>
      </c>
      <c r="AK1610" t="s">
        <v>143</v>
      </c>
      <c r="AL1610" t="s">
        <v>86</v>
      </c>
      <c r="AM1610">
        <v>191808</v>
      </c>
      <c r="AN1610">
        <f t="shared" si="51"/>
        <v>189889.92000000001</v>
      </c>
      <c r="AO1610" t="s">
        <v>66</v>
      </c>
      <c r="AP1610">
        <v>1</v>
      </c>
      <c r="AQ1610" t="s">
        <v>66</v>
      </c>
      <c r="AR1610">
        <v>0</v>
      </c>
      <c r="AS1610" t="s">
        <v>66</v>
      </c>
      <c r="AT1610">
        <v>0</v>
      </c>
      <c r="AU1610" t="s">
        <v>66</v>
      </c>
      <c r="AV1610">
        <v>0</v>
      </c>
      <c r="AW1610" t="s">
        <v>66</v>
      </c>
      <c r="AX1610">
        <v>0</v>
      </c>
      <c r="AY1610" t="s">
        <v>66</v>
      </c>
      <c r="AZ1610">
        <v>0</v>
      </c>
      <c r="BA1610" t="s">
        <v>66</v>
      </c>
      <c r="BB1610">
        <v>0</v>
      </c>
      <c r="BC1610">
        <v>0</v>
      </c>
      <c r="BD1610">
        <v>569669.76</v>
      </c>
      <c r="BE1610">
        <v>13019.17</v>
      </c>
      <c r="BF1610">
        <v>0</v>
      </c>
      <c r="BG1610" t="s">
        <v>87</v>
      </c>
      <c r="BH1610" t="s">
        <v>66</v>
      </c>
      <c r="BI1610">
        <v>0</v>
      </c>
      <c r="BJ1610" t="s">
        <v>66</v>
      </c>
      <c r="BK1610" t="s">
        <v>88</v>
      </c>
      <c r="BL1610" t="s">
        <v>66</v>
      </c>
      <c r="BM1610" t="s">
        <v>159</v>
      </c>
    </row>
    <row r="1611" spans="1:65" x14ac:dyDescent="0.25">
      <c r="A1611">
        <v>1609</v>
      </c>
      <c r="B1611" t="s">
        <v>1701</v>
      </c>
      <c r="C1611" t="s">
        <v>66</v>
      </c>
      <c r="D1611" s="1">
        <v>46224</v>
      </c>
      <c r="E1611" t="s">
        <v>1702</v>
      </c>
      <c r="F1611" t="s">
        <v>68</v>
      </c>
      <c r="G1611" t="s">
        <v>69</v>
      </c>
      <c r="H1611" t="s">
        <v>70</v>
      </c>
      <c r="I1611" t="s">
        <v>71</v>
      </c>
      <c r="J1611" t="s">
        <v>72</v>
      </c>
      <c r="K1611" t="s">
        <v>73</v>
      </c>
      <c r="L1611" t="s">
        <v>74</v>
      </c>
      <c r="M1611" t="s">
        <v>556</v>
      </c>
      <c r="N1611" t="s">
        <v>111</v>
      </c>
      <c r="O1611" t="s">
        <v>557</v>
      </c>
      <c r="P1611" t="s">
        <v>558</v>
      </c>
      <c r="Q1611" t="s">
        <v>1703</v>
      </c>
      <c r="R1611" s="1">
        <v>46225</v>
      </c>
      <c r="S1611" t="s">
        <v>560</v>
      </c>
      <c r="T1611" t="s">
        <v>561</v>
      </c>
      <c r="U1611" t="s">
        <v>562</v>
      </c>
      <c r="V1611" t="s">
        <v>66</v>
      </c>
      <c r="W1611" t="s">
        <v>66</v>
      </c>
      <c r="X1611">
        <v>1489158</v>
      </c>
      <c r="Y1611">
        <v>163807.38</v>
      </c>
      <c r="Z1611">
        <v>513216</v>
      </c>
      <c r="AA1611">
        <v>56453.760000000002</v>
      </c>
      <c r="AB1611">
        <v>1652965.38</v>
      </c>
      <c r="AC1611">
        <v>3</v>
      </c>
      <c r="AD1611" t="s">
        <v>134</v>
      </c>
      <c r="AE1611">
        <v>36</v>
      </c>
      <c r="AF1611" t="s">
        <v>213</v>
      </c>
      <c r="AG1611">
        <f>IFERROR(VLOOKUP(AF1611,[1]STOK!J:O,6,0),"")</f>
        <v>12</v>
      </c>
      <c r="AH1611" s="2">
        <f t="shared" si="50"/>
        <v>3</v>
      </c>
      <c r="AI1611" t="s">
        <v>213</v>
      </c>
      <c r="AJ1611" t="s">
        <v>214</v>
      </c>
      <c r="AK1611" t="s">
        <v>215</v>
      </c>
      <c r="AL1611" t="s">
        <v>86</v>
      </c>
      <c r="AM1611">
        <v>191808</v>
      </c>
      <c r="AN1611">
        <f t="shared" si="51"/>
        <v>189889.92000000001</v>
      </c>
      <c r="AO1611" t="s">
        <v>66</v>
      </c>
      <c r="AP1611">
        <v>1</v>
      </c>
      <c r="AQ1611" t="s">
        <v>66</v>
      </c>
      <c r="AR1611">
        <v>0</v>
      </c>
      <c r="AS1611" t="s">
        <v>66</v>
      </c>
      <c r="AT1611">
        <v>0</v>
      </c>
      <c r="AU1611" t="s">
        <v>66</v>
      </c>
      <c r="AV1611">
        <v>0</v>
      </c>
      <c r="AW1611" t="s">
        <v>66</v>
      </c>
      <c r="AX1611">
        <v>0</v>
      </c>
      <c r="AY1611" t="s">
        <v>66</v>
      </c>
      <c r="AZ1611">
        <v>0</v>
      </c>
      <c r="BA1611" t="s">
        <v>66</v>
      </c>
      <c r="BB1611">
        <v>0</v>
      </c>
      <c r="BC1611">
        <v>0</v>
      </c>
      <c r="BD1611">
        <v>569669.76</v>
      </c>
      <c r="BE1611">
        <v>13028.24</v>
      </c>
      <c r="BF1611">
        <v>0</v>
      </c>
      <c r="BG1611" t="s">
        <v>87</v>
      </c>
      <c r="BH1611" t="s">
        <v>66</v>
      </c>
      <c r="BI1611">
        <v>0</v>
      </c>
      <c r="BJ1611" t="s">
        <v>66</v>
      </c>
      <c r="BK1611" t="s">
        <v>88</v>
      </c>
      <c r="BL1611" t="s">
        <v>66</v>
      </c>
      <c r="BM1611" t="s">
        <v>159</v>
      </c>
    </row>
    <row r="1612" spans="1:65" x14ac:dyDescent="0.25">
      <c r="A1612">
        <v>1610</v>
      </c>
      <c r="B1612" t="s">
        <v>1704</v>
      </c>
      <c r="C1612" t="s">
        <v>66</v>
      </c>
      <c r="D1612" s="1">
        <v>46224</v>
      </c>
      <c r="E1612" t="s">
        <v>1705</v>
      </c>
      <c r="F1612" t="s">
        <v>68</v>
      </c>
      <c r="G1612" t="s">
        <v>69</v>
      </c>
      <c r="H1612" t="s">
        <v>70</v>
      </c>
      <c r="I1612" t="s">
        <v>71</v>
      </c>
      <c r="J1612" t="s">
        <v>72</v>
      </c>
      <c r="K1612" t="s">
        <v>73</v>
      </c>
      <c r="L1612" t="s">
        <v>74</v>
      </c>
      <c r="M1612" t="s">
        <v>571</v>
      </c>
      <c r="N1612" t="s">
        <v>76</v>
      </c>
      <c r="O1612" t="s">
        <v>572</v>
      </c>
      <c r="P1612" t="s">
        <v>573</v>
      </c>
      <c r="Q1612" t="s">
        <v>1706</v>
      </c>
      <c r="R1612" s="1">
        <v>46226</v>
      </c>
      <c r="S1612" t="s">
        <v>575</v>
      </c>
      <c r="T1612" t="s">
        <v>576</v>
      </c>
      <c r="U1612" t="s">
        <v>577</v>
      </c>
      <c r="V1612" t="s">
        <v>66</v>
      </c>
      <c r="W1612" t="s">
        <v>66</v>
      </c>
      <c r="X1612">
        <v>4753970</v>
      </c>
      <c r="Y1612">
        <v>522936.7</v>
      </c>
      <c r="Z1612">
        <v>384120</v>
      </c>
      <c r="AA1612">
        <v>42253.2</v>
      </c>
      <c r="AB1612">
        <v>5276906.7</v>
      </c>
      <c r="AC1612">
        <v>1</v>
      </c>
      <c r="AD1612" t="s">
        <v>134</v>
      </c>
      <c r="AE1612">
        <v>24</v>
      </c>
      <c r="AF1612" t="s">
        <v>99</v>
      </c>
      <c r="AG1612">
        <f>IFERROR(VLOOKUP(AF1612,[1]STOK!J:O,6,0),"")</f>
        <v>24</v>
      </c>
      <c r="AH1612" s="2">
        <f t="shared" si="50"/>
        <v>1</v>
      </c>
      <c r="AI1612" t="s">
        <v>99</v>
      </c>
      <c r="AJ1612" t="s">
        <v>100</v>
      </c>
      <c r="AK1612" t="s">
        <v>101</v>
      </c>
      <c r="AL1612" t="s">
        <v>86</v>
      </c>
      <c r="AM1612">
        <v>439560</v>
      </c>
      <c r="AN1612">
        <f t="shared" si="51"/>
        <v>426373.2</v>
      </c>
      <c r="AO1612" t="s">
        <v>66</v>
      </c>
      <c r="AP1612">
        <v>3</v>
      </c>
      <c r="AQ1612" t="s">
        <v>66</v>
      </c>
      <c r="AR1612">
        <v>0</v>
      </c>
      <c r="AS1612" t="s">
        <v>66</v>
      </c>
      <c r="AT1612">
        <v>0</v>
      </c>
      <c r="AU1612" t="s">
        <v>66</v>
      </c>
      <c r="AV1612">
        <v>0</v>
      </c>
      <c r="AW1612" t="s">
        <v>66</v>
      </c>
      <c r="AX1612">
        <v>0</v>
      </c>
      <c r="AY1612" t="s">
        <v>66</v>
      </c>
      <c r="AZ1612">
        <v>0</v>
      </c>
      <c r="BA1612" t="s">
        <v>66</v>
      </c>
      <c r="BB1612">
        <v>0</v>
      </c>
      <c r="BC1612">
        <v>0</v>
      </c>
      <c r="BD1612">
        <v>426373.2</v>
      </c>
      <c r="BE1612">
        <v>14920.37</v>
      </c>
      <c r="BF1612">
        <v>0</v>
      </c>
      <c r="BG1612" t="s">
        <v>87</v>
      </c>
      <c r="BH1612" t="s">
        <v>66</v>
      </c>
      <c r="BI1612">
        <v>0</v>
      </c>
      <c r="BJ1612" t="s">
        <v>66</v>
      </c>
      <c r="BK1612" t="s">
        <v>88</v>
      </c>
      <c r="BL1612" t="s">
        <v>66</v>
      </c>
      <c r="BM1612" t="s">
        <v>159</v>
      </c>
    </row>
    <row r="1613" spans="1:65" x14ac:dyDescent="0.25">
      <c r="A1613">
        <v>1611</v>
      </c>
      <c r="B1613" t="s">
        <v>1704</v>
      </c>
      <c r="C1613" t="s">
        <v>66</v>
      </c>
      <c r="D1613" s="1">
        <v>46224</v>
      </c>
      <c r="E1613" t="s">
        <v>1705</v>
      </c>
      <c r="F1613" t="s">
        <v>68</v>
      </c>
      <c r="G1613" t="s">
        <v>69</v>
      </c>
      <c r="H1613" t="s">
        <v>70</v>
      </c>
      <c r="I1613" t="s">
        <v>71</v>
      </c>
      <c r="J1613" t="s">
        <v>72</v>
      </c>
      <c r="K1613" t="s">
        <v>73</v>
      </c>
      <c r="L1613" t="s">
        <v>74</v>
      </c>
      <c r="M1613" t="s">
        <v>571</v>
      </c>
      <c r="N1613" t="s">
        <v>76</v>
      </c>
      <c r="O1613" t="s">
        <v>572</v>
      </c>
      <c r="P1613" t="s">
        <v>573</v>
      </c>
      <c r="Q1613" t="s">
        <v>1706</v>
      </c>
      <c r="R1613" s="1">
        <v>46226</v>
      </c>
      <c r="S1613" t="s">
        <v>575</v>
      </c>
      <c r="T1613" t="s">
        <v>576</v>
      </c>
      <c r="U1613" t="s">
        <v>577</v>
      </c>
      <c r="V1613" t="s">
        <v>66</v>
      </c>
      <c r="W1613" t="s">
        <v>66</v>
      </c>
      <c r="X1613">
        <v>4753970</v>
      </c>
      <c r="Y1613">
        <v>522936.7</v>
      </c>
      <c r="Z1613">
        <v>502072</v>
      </c>
      <c r="AA1613">
        <v>55227.92</v>
      </c>
      <c r="AB1613">
        <v>5276906.7</v>
      </c>
      <c r="AC1613">
        <v>1</v>
      </c>
      <c r="AD1613" t="s">
        <v>134</v>
      </c>
      <c r="AE1613">
        <v>4</v>
      </c>
      <c r="AF1613" t="s">
        <v>596</v>
      </c>
      <c r="AG1613">
        <f>IFERROR(VLOOKUP(AF1613,[1]STOK!J:O,6,0),"")</f>
        <v>4</v>
      </c>
      <c r="AH1613" s="2">
        <f t="shared" si="50"/>
        <v>1</v>
      </c>
      <c r="AI1613" t="s">
        <v>596</v>
      </c>
      <c r="AJ1613" t="s">
        <v>597</v>
      </c>
      <c r="AK1613" t="s">
        <v>598</v>
      </c>
      <c r="AL1613" t="s">
        <v>86</v>
      </c>
      <c r="AM1613">
        <v>574536</v>
      </c>
      <c r="AN1613">
        <f t="shared" si="51"/>
        <v>557299.92000000004</v>
      </c>
      <c r="AO1613" t="s">
        <v>66</v>
      </c>
      <c r="AP1613">
        <v>3</v>
      </c>
      <c r="AQ1613" t="s">
        <v>66</v>
      </c>
      <c r="AR1613">
        <v>0</v>
      </c>
      <c r="AS1613" t="s">
        <v>66</v>
      </c>
      <c r="AT1613">
        <v>0</v>
      </c>
      <c r="AU1613" t="s">
        <v>66</v>
      </c>
      <c r="AV1613">
        <v>0</v>
      </c>
      <c r="AW1613" t="s">
        <v>66</v>
      </c>
      <c r="AX1613">
        <v>0</v>
      </c>
      <c r="AY1613" t="s">
        <v>66</v>
      </c>
      <c r="AZ1613">
        <v>0</v>
      </c>
      <c r="BA1613" t="s">
        <v>66</v>
      </c>
      <c r="BB1613">
        <v>0</v>
      </c>
      <c r="BC1613">
        <v>0</v>
      </c>
      <c r="BD1613">
        <v>557299.92000000004</v>
      </c>
      <c r="BE1613">
        <v>115429.28</v>
      </c>
      <c r="BF1613">
        <v>0</v>
      </c>
      <c r="BG1613" t="s">
        <v>87</v>
      </c>
      <c r="BH1613" t="s">
        <v>66</v>
      </c>
      <c r="BI1613">
        <v>0</v>
      </c>
      <c r="BJ1613" t="s">
        <v>66</v>
      </c>
      <c r="BK1613" t="s">
        <v>88</v>
      </c>
      <c r="BL1613" t="s">
        <v>66</v>
      </c>
      <c r="BM1613" t="s">
        <v>159</v>
      </c>
    </row>
    <row r="1614" spans="1:65" x14ac:dyDescent="0.25">
      <c r="A1614">
        <v>1612</v>
      </c>
      <c r="B1614" t="s">
        <v>1704</v>
      </c>
      <c r="C1614" t="s">
        <v>66</v>
      </c>
      <c r="D1614" s="1">
        <v>46224</v>
      </c>
      <c r="E1614" t="s">
        <v>1705</v>
      </c>
      <c r="F1614" t="s">
        <v>68</v>
      </c>
      <c r="G1614" t="s">
        <v>69</v>
      </c>
      <c r="H1614" t="s">
        <v>70</v>
      </c>
      <c r="I1614" t="s">
        <v>71</v>
      </c>
      <c r="J1614" t="s">
        <v>72</v>
      </c>
      <c r="K1614" t="s">
        <v>73</v>
      </c>
      <c r="L1614" t="s">
        <v>74</v>
      </c>
      <c r="M1614" t="s">
        <v>571</v>
      </c>
      <c r="N1614" t="s">
        <v>76</v>
      </c>
      <c r="O1614" t="s">
        <v>572</v>
      </c>
      <c r="P1614" t="s">
        <v>573</v>
      </c>
      <c r="Q1614" t="s">
        <v>1706</v>
      </c>
      <c r="R1614" s="1">
        <v>46226</v>
      </c>
      <c r="S1614" t="s">
        <v>575</v>
      </c>
      <c r="T1614" t="s">
        <v>576</v>
      </c>
      <c r="U1614" t="s">
        <v>577</v>
      </c>
      <c r="V1614" t="s">
        <v>66</v>
      </c>
      <c r="W1614" t="s">
        <v>66</v>
      </c>
      <c r="X1614">
        <v>4753970</v>
      </c>
      <c r="Y1614">
        <v>522936.7</v>
      </c>
      <c r="Z1614">
        <v>502072</v>
      </c>
      <c r="AA1614">
        <v>55227.92</v>
      </c>
      <c r="AB1614">
        <v>5276906.7</v>
      </c>
      <c r="AC1614">
        <v>1</v>
      </c>
      <c r="AD1614" t="s">
        <v>134</v>
      </c>
      <c r="AE1614">
        <v>4</v>
      </c>
      <c r="AF1614" t="s">
        <v>1064</v>
      </c>
      <c r="AG1614">
        <f>IFERROR(VLOOKUP(AF1614,[1]STOK!J:O,6,0),"")</f>
        <v>4</v>
      </c>
      <c r="AH1614" s="2">
        <f t="shared" si="50"/>
        <v>1</v>
      </c>
      <c r="AI1614" t="s">
        <v>1064</v>
      </c>
      <c r="AJ1614" t="s">
        <v>1065</v>
      </c>
      <c r="AK1614" t="s">
        <v>1066</v>
      </c>
      <c r="AL1614" t="s">
        <v>86</v>
      </c>
      <c r="AM1614">
        <v>574536</v>
      </c>
      <c r="AN1614">
        <f t="shared" si="51"/>
        <v>557299.92000000004</v>
      </c>
      <c r="AO1614" t="s">
        <v>66</v>
      </c>
      <c r="AP1614">
        <v>3</v>
      </c>
      <c r="AQ1614" t="s">
        <v>66</v>
      </c>
      <c r="AR1614">
        <v>0</v>
      </c>
      <c r="AS1614" t="s">
        <v>66</v>
      </c>
      <c r="AT1614">
        <v>0</v>
      </c>
      <c r="AU1614" t="s">
        <v>66</v>
      </c>
      <c r="AV1614">
        <v>0</v>
      </c>
      <c r="AW1614" t="s">
        <v>66</v>
      </c>
      <c r="AX1614">
        <v>0</v>
      </c>
      <c r="AY1614" t="s">
        <v>66</v>
      </c>
      <c r="AZ1614">
        <v>0</v>
      </c>
      <c r="BA1614" t="s">
        <v>66</v>
      </c>
      <c r="BB1614">
        <v>0</v>
      </c>
      <c r="BC1614">
        <v>0</v>
      </c>
      <c r="BD1614">
        <v>557299.92000000004</v>
      </c>
      <c r="BE1614">
        <v>115062.98</v>
      </c>
      <c r="BF1614">
        <v>0</v>
      </c>
      <c r="BG1614" t="s">
        <v>87</v>
      </c>
      <c r="BH1614" t="s">
        <v>66</v>
      </c>
      <c r="BI1614">
        <v>0</v>
      </c>
      <c r="BJ1614" t="s">
        <v>66</v>
      </c>
      <c r="BK1614" t="s">
        <v>88</v>
      </c>
      <c r="BL1614" t="s">
        <v>66</v>
      </c>
      <c r="BM1614" t="s">
        <v>159</v>
      </c>
    </row>
    <row r="1615" spans="1:65" x14ac:dyDescent="0.25">
      <c r="A1615">
        <v>1613</v>
      </c>
      <c r="B1615" t="s">
        <v>1704</v>
      </c>
      <c r="C1615" t="s">
        <v>66</v>
      </c>
      <c r="D1615" s="1">
        <v>46224</v>
      </c>
      <c r="E1615" t="s">
        <v>1705</v>
      </c>
      <c r="F1615" t="s">
        <v>68</v>
      </c>
      <c r="G1615" t="s">
        <v>69</v>
      </c>
      <c r="H1615" t="s">
        <v>70</v>
      </c>
      <c r="I1615" t="s">
        <v>71</v>
      </c>
      <c r="J1615" t="s">
        <v>72</v>
      </c>
      <c r="K1615" t="s">
        <v>73</v>
      </c>
      <c r="L1615" t="s">
        <v>74</v>
      </c>
      <c r="M1615" t="s">
        <v>571</v>
      </c>
      <c r="N1615" t="s">
        <v>76</v>
      </c>
      <c r="O1615" t="s">
        <v>572</v>
      </c>
      <c r="P1615" t="s">
        <v>573</v>
      </c>
      <c r="Q1615" t="s">
        <v>1706</v>
      </c>
      <c r="R1615" s="1">
        <v>46226</v>
      </c>
      <c r="S1615" t="s">
        <v>575</v>
      </c>
      <c r="T1615" t="s">
        <v>576</v>
      </c>
      <c r="U1615" t="s">
        <v>577</v>
      </c>
      <c r="V1615" t="s">
        <v>66</v>
      </c>
      <c r="W1615" t="s">
        <v>66</v>
      </c>
      <c r="X1615">
        <v>4753970</v>
      </c>
      <c r="Y1615">
        <v>522936.7</v>
      </c>
      <c r="Z1615">
        <v>1129080</v>
      </c>
      <c r="AA1615">
        <v>124198.8</v>
      </c>
      <c r="AB1615">
        <v>5276906.7</v>
      </c>
      <c r="AC1615">
        <v>5</v>
      </c>
      <c r="AD1615" t="s">
        <v>134</v>
      </c>
      <c r="AE1615">
        <v>60</v>
      </c>
      <c r="AF1615" t="s">
        <v>287</v>
      </c>
      <c r="AG1615">
        <f>IFERROR(VLOOKUP(AF1615,[1]STOK!J:O,6,0),"")</f>
        <v>12</v>
      </c>
      <c r="AH1615" s="2">
        <f t="shared" si="50"/>
        <v>5</v>
      </c>
      <c r="AI1615" t="s">
        <v>287</v>
      </c>
      <c r="AJ1615" t="s">
        <v>288</v>
      </c>
      <c r="AK1615" t="s">
        <v>289</v>
      </c>
      <c r="AL1615" t="s">
        <v>86</v>
      </c>
      <c r="AM1615">
        <v>258408</v>
      </c>
      <c r="AN1615">
        <f t="shared" si="51"/>
        <v>250655.76</v>
      </c>
      <c r="AO1615" t="s">
        <v>66</v>
      </c>
      <c r="AP1615">
        <v>3</v>
      </c>
      <c r="AQ1615" t="s">
        <v>66</v>
      </c>
      <c r="AR1615">
        <v>0</v>
      </c>
      <c r="AS1615" t="s">
        <v>66</v>
      </c>
      <c r="AT1615">
        <v>0</v>
      </c>
      <c r="AU1615" t="s">
        <v>66</v>
      </c>
      <c r="AV1615">
        <v>0</v>
      </c>
      <c r="AW1615" t="s">
        <v>66</v>
      </c>
      <c r="AX1615">
        <v>0</v>
      </c>
      <c r="AY1615" t="s">
        <v>66</v>
      </c>
      <c r="AZ1615">
        <v>0</v>
      </c>
      <c r="BA1615" t="s">
        <v>66</v>
      </c>
      <c r="BB1615">
        <v>0</v>
      </c>
      <c r="BC1615">
        <v>0</v>
      </c>
      <c r="BD1615">
        <v>1253278.8</v>
      </c>
      <c r="BE1615">
        <v>17472.2</v>
      </c>
      <c r="BF1615">
        <v>0</v>
      </c>
      <c r="BG1615" t="s">
        <v>87</v>
      </c>
      <c r="BH1615" t="s">
        <v>66</v>
      </c>
      <c r="BI1615">
        <v>0</v>
      </c>
      <c r="BJ1615" t="s">
        <v>66</v>
      </c>
      <c r="BK1615" t="s">
        <v>88</v>
      </c>
      <c r="BL1615" t="s">
        <v>66</v>
      </c>
      <c r="BM1615" t="s">
        <v>159</v>
      </c>
    </row>
    <row r="1616" spans="1:65" x14ac:dyDescent="0.25">
      <c r="A1616">
        <v>1614</v>
      </c>
      <c r="B1616" t="s">
        <v>1704</v>
      </c>
      <c r="C1616" t="s">
        <v>66</v>
      </c>
      <c r="D1616" s="1">
        <v>46224</v>
      </c>
      <c r="E1616" t="s">
        <v>1705</v>
      </c>
      <c r="F1616" t="s">
        <v>68</v>
      </c>
      <c r="G1616" t="s">
        <v>69</v>
      </c>
      <c r="H1616" t="s">
        <v>70</v>
      </c>
      <c r="I1616" t="s">
        <v>71</v>
      </c>
      <c r="J1616" t="s">
        <v>72</v>
      </c>
      <c r="K1616" t="s">
        <v>73</v>
      </c>
      <c r="L1616" t="s">
        <v>74</v>
      </c>
      <c r="M1616" t="s">
        <v>571</v>
      </c>
      <c r="N1616" t="s">
        <v>76</v>
      </c>
      <c r="O1616" t="s">
        <v>572</v>
      </c>
      <c r="P1616" t="s">
        <v>573</v>
      </c>
      <c r="Q1616" t="s">
        <v>1706</v>
      </c>
      <c r="R1616" s="1">
        <v>46226</v>
      </c>
      <c r="S1616" t="s">
        <v>575</v>
      </c>
      <c r="T1616" t="s">
        <v>576</v>
      </c>
      <c r="U1616" t="s">
        <v>577</v>
      </c>
      <c r="V1616" t="s">
        <v>66</v>
      </c>
      <c r="W1616" t="s">
        <v>66</v>
      </c>
      <c r="X1616">
        <v>4753970</v>
      </c>
      <c r="Y1616">
        <v>522936.7</v>
      </c>
      <c r="Z1616">
        <v>171108</v>
      </c>
      <c r="AA1616">
        <v>18821.88</v>
      </c>
      <c r="AB1616">
        <v>5276906.7</v>
      </c>
      <c r="AC1616">
        <v>1</v>
      </c>
      <c r="AD1616" t="s">
        <v>134</v>
      </c>
      <c r="AE1616">
        <v>12</v>
      </c>
      <c r="AF1616" t="s">
        <v>473</v>
      </c>
      <c r="AG1616">
        <f>IFERROR(VLOOKUP(AF1616,[1]STOK!J:O,6,0),"")</f>
        <v>12</v>
      </c>
      <c r="AH1616" s="2">
        <f t="shared" si="50"/>
        <v>1</v>
      </c>
      <c r="AI1616" t="s">
        <v>473</v>
      </c>
      <c r="AJ1616" t="s">
        <v>474</v>
      </c>
      <c r="AK1616" t="s">
        <v>475</v>
      </c>
      <c r="AL1616" t="s">
        <v>86</v>
      </c>
      <c r="AM1616">
        <v>195804</v>
      </c>
      <c r="AN1616">
        <f t="shared" si="51"/>
        <v>189929.88</v>
      </c>
      <c r="AO1616" t="s">
        <v>66</v>
      </c>
      <c r="AP1616">
        <v>3</v>
      </c>
      <c r="AQ1616" t="s">
        <v>66</v>
      </c>
      <c r="AR1616">
        <v>0</v>
      </c>
      <c r="AS1616" t="s">
        <v>66</v>
      </c>
      <c r="AT1616">
        <v>0</v>
      </c>
      <c r="AU1616" t="s">
        <v>66</v>
      </c>
      <c r="AV1616">
        <v>0</v>
      </c>
      <c r="AW1616" t="s">
        <v>66</v>
      </c>
      <c r="AX1616">
        <v>0</v>
      </c>
      <c r="AY1616" t="s">
        <v>66</v>
      </c>
      <c r="AZ1616">
        <v>0</v>
      </c>
      <c r="BA1616" t="s">
        <v>66</v>
      </c>
      <c r="BB1616">
        <v>0</v>
      </c>
      <c r="BC1616">
        <v>0</v>
      </c>
      <c r="BD1616">
        <v>189929.88</v>
      </c>
      <c r="BE1616">
        <v>13385.34</v>
      </c>
      <c r="BF1616">
        <v>0</v>
      </c>
      <c r="BG1616" t="s">
        <v>87</v>
      </c>
      <c r="BH1616" t="s">
        <v>66</v>
      </c>
      <c r="BI1616">
        <v>0</v>
      </c>
      <c r="BJ1616" t="s">
        <v>66</v>
      </c>
      <c r="BK1616" t="s">
        <v>88</v>
      </c>
      <c r="BL1616" t="s">
        <v>66</v>
      </c>
      <c r="BM1616" t="s">
        <v>159</v>
      </c>
    </row>
    <row r="1617" spans="1:65" x14ac:dyDescent="0.25">
      <c r="A1617">
        <v>1615</v>
      </c>
      <c r="B1617" t="s">
        <v>1704</v>
      </c>
      <c r="C1617" t="s">
        <v>66</v>
      </c>
      <c r="D1617" s="1">
        <v>46224</v>
      </c>
      <c r="E1617" t="s">
        <v>1705</v>
      </c>
      <c r="F1617" t="s">
        <v>68</v>
      </c>
      <c r="G1617" t="s">
        <v>69</v>
      </c>
      <c r="H1617" t="s">
        <v>70</v>
      </c>
      <c r="I1617" t="s">
        <v>71</v>
      </c>
      <c r="J1617" t="s">
        <v>72</v>
      </c>
      <c r="K1617" t="s">
        <v>73</v>
      </c>
      <c r="L1617" t="s">
        <v>74</v>
      </c>
      <c r="M1617" t="s">
        <v>571</v>
      </c>
      <c r="N1617" t="s">
        <v>76</v>
      </c>
      <c r="O1617" t="s">
        <v>572</v>
      </c>
      <c r="P1617" t="s">
        <v>573</v>
      </c>
      <c r="Q1617" t="s">
        <v>1706</v>
      </c>
      <c r="R1617" s="1">
        <v>46226</v>
      </c>
      <c r="S1617" t="s">
        <v>575</v>
      </c>
      <c r="T1617" t="s">
        <v>576</v>
      </c>
      <c r="U1617" t="s">
        <v>577</v>
      </c>
      <c r="V1617" t="s">
        <v>66</v>
      </c>
      <c r="W1617" t="s">
        <v>66</v>
      </c>
      <c r="X1617">
        <v>4753970</v>
      </c>
      <c r="Y1617">
        <v>522936.7</v>
      </c>
      <c r="Z1617">
        <v>195552</v>
      </c>
      <c r="AA1617">
        <v>21510.720000000001</v>
      </c>
      <c r="AB1617">
        <v>5276906.7</v>
      </c>
      <c r="AC1617">
        <v>1</v>
      </c>
      <c r="AD1617" t="s">
        <v>134</v>
      </c>
      <c r="AE1617">
        <v>4</v>
      </c>
      <c r="AF1617" t="s">
        <v>881</v>
      </c>
      <c r="AG1617">
        <f>IFERROR(VLOOKUP(AF1617,[1]STOK!J:O,6,0),"")</f>
        <v>4</v>
      </c>
      <c r="AH1617" s="2">
        <f t="shared" si="50"/>
        <v>1</v>
      </c>
      <c r="AI1617" t="s">
        <v>881</v>
      </c>
      <c r="AJ1617" t="s">
        <v>882</v>
      </c>
      <c r="AK1617" t="s">
        <v>883</v>
      </c>
      <c r="AL1617" t="s">
        <v>86</v>
      </c>
      <c r="AM1617">
        <v>223776</v>
      </c>
      <c r="AN1617">
        <f t="shared" si="51"/>
        <v>217062.72</v>
      </c>
      <c r="AO1617" t="s">
        <v>66</v>
      </c>
      <c r="AP1617">
        <v>3</v>
      </c>
      <c r="AQ1617" t="s">
        <v>66</v>
      </c>
      <c r="AR1617">
        <v>0</v>
      </c>
      <c r="AS1617" t="s">
        <v>66</v>
      </c>
      <c r="AT1617">
        <v>0</v>
      </c>
      <c r="AU1617" t="s">
        <v>66</v>
      </c>
      <c r="AV1617">
        <v>0</v>
      </c>
      <c r="AW1617" t="s">
        <v>66</v>
      </c>
      <c r="AX1617">
        <v>0</v>
      </c>
      <c r="AY1617" t="s">
        <v>66</v>
      </c>
      <c r="AZ1617">
        <v>0</v>
      </c>
      <c r="BA1617" t="s">
        <v>66</v>
      </c>
      <c r="BB1617">
        <v>0</v>
      </c>
      <c r="BC1617">
        <v>0</v>
      </c>
      <c r="BD1617">
        <v>217062.72</v>
      </c>
      <c r="BE1617">
        <v>45099.040000000001</v>
      </c>
      <c r="BF1617">
        <v>0</v>
      </c>
      <c r="BG1617" t="s">
        <v>87</v>
      </c>
      <c r="BH1617" t="s">
        <v>66</v>
      </c>
      <c r="BI1617">
        <v>0</v>
      </c>
      <c r="BJ1617" t="s">
        <v>66</v>
      </c>
      <c r="BK1617" t="s">
        <v>88</v>
      </c>
      <c r="BL1617" t="s">
        <v>66</v>
      </c>
      <c r="BM1617" t="s">
        <v>159</v>
      </c>
    </row>
    <row r="1618" spans="1:65" x14ac:dyDescent="0.25">
      <c r="A1618">
        <v>1616</v>
      </c>
      <c r="B1618" t="s">
        <v>1704</v>
      </c>
      <c r="C1618" t="s">
        <v>66</v>
      </c>
      <c r="D1618" s="1">
        <v>46224</v>
      </c>
      <c r="E1618" t="s">
        <v>1705</v>
      </c>
      <c r="F1618" t="s">
        <v>68</v>
      </c>
      <c r="G1618" t="s">
        <v>69</v>
      </c>
      <c r="H1618" t="s">
        <v>70</v>
      </c>
      <c r="I1618" t="s">
        <v>71</v>
      </c>
      <c r="J1618" t="s">
        <v>72</v>
      </c>
      <c r="K1618" t="s">
        <v>73</v>
      </c>
      <c r="L1618" t="s">
        <v>74</v>
      </c>
      <c r="M1618" t="s">
        <v>571</v>
      </c>
      <c r="N1618" t="s">
        <v>76</v>
      </c>
      <c r="O1618" t="s">
        <v>572</v>
      </c>
      <c r="P1618" t="s">
        <v>573</v>
      </c>
      <c r="Q1618" t="s">
        <v>1706</v>
      </c>
      <c r="R1618" s="1">
        <v>46226</v>
      </c>
      <c r="S1618" t="s">
        <v>575</v>
      </c>
      <c r="T1618" t="s">
        <v>576</v>
      </c>
      <c r="U1618" t="s">
        <v>577</v>
      </c>
      <c r="V1618" t="s">
        <v>66</v>
      </c>
      <c r="W1618" t="s">
        <v>66</v>
      </c>
      <c r="X1618">
        <v>4753970</v>
      </c>
      <c r="Y1618">
        <v>522936.7</v>
      </c>
      <c r="Z1618">
        <v>309624</v>
      </c>
      <c r="AA1618">
        <v>34058.639999999999</v>
      </c>
      <c r="AB1618">
        <v>5276906.7</v>
      </c>
      <c r="AC1618">
        <v>2</v>
      </c>
      <c r="AD1618" t="s">
        <v>134</v>
      </c>
      <c r="AE1618">
        <v>24</v>
      </c>
      <c r="AF1618" t="s">
        <v>135</v>
      </c>
      <c r="AG1618">
        <f>IFERROR(VLOOKUP(AF1618,[1]STOK!J:O,6,0),"")</f>
        <v>12</v>
      </c>
      <c r="AH1618" s="2">
        <f t="shared" si="50"/>
        <v>2</v>
      </c>
      <c r="AI1618" t="s">
        <v>135</v>
      </c>
      <c r="AJ1618" t="s">
        <v>136</v>
      </c>
      <c r="AK1618" t="s">
        <v>137</v>
      </c>
      <c r="AL1618" t="s">
        <v>86</v>
      </c>
      <c r="AM1618">
        <v>177156</v>
      </c>
      <c r="AN1618">
        <f t="shared" si="51"/>
        <v>171841.32</v>
      </c>
      <c r="AO1618" t="s">
        <v>66</v>
      </c>
      <c r="AP1618">
        <v>3</v>
      </c>
      <c r="AQ1618" t="s">
        <v>66</v>
      </c>
      <c r="AR1618">
        <v>0</v>
      </c>
      <c r="AS1618" t="s">
        <v>66</v>
      </c>
      <c r="AT1618">
        <v>0</v>
      </c>
      <c r="AU1618" t="s">
        <v>66</v>
      </c>
      <c r="AV1618">
        <v>0</v>
      </c>
      <c r="AW1618" t="s">
        <v>66</v>
      </c>
      <c r="AX1618">
        <v>0</v>
      </c>
      <c r="AY1618" t="s">
        <v>66</v>
      </c>
      <c r="AZ1618">
        <v>0</v>
      </c>
      <c r="BA1618" t="s">
        <v>66</v>
      </c>
      <c r="BB1618">
        <v>0</v>
      </c>
      <c r="BC1618">
        <v>0</v>
      </c>
      <c r="BD1618">
        <v>343682.64</v>
      </c>
      <c r="BE1618">
        <v>12035.93</v>
      </c>
      <c r="BF1618">
        <v>0</v>
      </c>
      <c r="BG1618" t="s">
        <v>87</v>
      </c>
      <c r="BH1618" t="s">
        <v>66</v>
      </c>
      <c r="BI1618">
        <v>0</v>
      </c>
      <c r="BJ1618" t="s">
        <v>66</v>
      </c>
      <c r="BK1618" t="s">
        <v>88</v>
      </c>
      <c r="BL1618" t="s">
        <v>66</v>
      </c>
      <c r="BM1618" t="s">
        <v>159</v>
      </c>
    </row>
    <row r="1619" spans="1:65" x14ac:dyDescent="0.25">
      <c r="A1619">
        <v>1617</v>
      </c>
      <c r="B1619" t="s">
        <v>1704</v>
      </c>
      <c r="C1619" t="s">
        <v>66</v>
      </c>
      <c r="D1619" s="1">
        <v>46224</v>
      </c>
      <c r="E1619" t="s">
        <v>1705</v>
      </c>
      <c r="F1619" t="s">
        <v>68</v>
      </c>
      <c r="G1619" t="s">
        <v>69</v>
      </c>
      <c r="H1619" t="s">
        <v>70</v>
      </c>
      <c r="I1619" t="s">
        <v>71</v>
      </c>
      <c r="J1619" t="s">
        <v>72</v>
      </c>
      <c r="K1619" t="s">
        <v>73</v>
      </c>
      <c r="L1619" t="s">
        <v>74</v>
      </c>
      <c r="M1619" t="s">
        <v>571</v>
      </c>
      <c r="N1619" t="s">
        <v>76</v>
      </c>
      <c r="O1619" t="s">
        <v>572</v>
      </c>
      <c r="P1619" t="s">
        <v>573</v>
      </c>
      <c r="Q1619" t="s">
        <v>1706</v>
      </c>
      <c r="R1619" s="1">
        <v>46226</v>
      </c>
      <c r="S1619" t="s">
        <v>575</v>
      </c>
      <c r="T1619" t="s">
        <v>576</v>
      </c>
      <c r="U1619" t="s">
        <v>577</v>
      </c>
      <c r="V1619" t="s">
        <v>66</v>
      </c>
      <c r="W1619" t="s">
        <v>66</v>
      </c>
      <c r="X1619">
        <v>4753970</v>
      </c>
      <c r="Y1619">
        <v>522936.7</v>
      </c>
      <c r="Z1619">
        <v>1114530</v>
      </c>
      <c r="AA1619">
        <v>122598.3</v>
      </c>
      <c r="AB1619">
        <v>5276906.7</v>
      </c>
      <c r="AC1619">
        <v>5</v>
      </c>
      <c r="AD1619" t="s">
        <v>134</v>
      </c>
      <c r="AE1619">
        <v>30</v>
      </c>
      <c r="AF1619" t="s">
        <v>138</v>
      </c>
      <c r="AG1619">
        <f>IFERROR(VLOOKUP(AF1619,[1]STOK!J:O,6,0),"")</f>
        <v>6</v>
      </c>
      <c r="AH1619" s="2">
        <f t="shared" si="50"/>
        <v>5</v>
      </c>
      <c r="AI1619" t="s">
        <v>138</v>
      </c>
      <c r="AJ1619" t="s">
        <v>139</v>
      </c>
      <c r="AK1619" t="s">
        <v>140</v>
      </c>
      <c r="AL1619" t="s">
        <v>86</v>
      </c>
      <c r="AM1619">
        <v>255078</v>
      </c>
      <c r="AN1619">
        <f t="shared" si="51"/>
        <v>247425.66</v>
      </c>
      <c r="AO1619" t="s">
        <v>66</v>
      </c>
      <c r="AP1619">
        <v>3</v>
      </c>
      <c r="AQ1619" t="s">
        <v>66</v>
      </c>
      <c r="AR1619">
        <v>0</v>
      </c>
      <c r="AS1619" t="s">
        <v>66</v>
      </c>
      <c r="AT1619">
        <v>0</v>
      </c>
      <c r="AU1619" t="s">
        <v>66</v>
      </c>
      <c r="AV1619">
        <v>0</v>
      </c>
      <c r="AW1619" t="s">
        <v>66</v>
      </c>
      <c r="AX1619">
        <v>0</v>
      </c>
      <c r="AY1619" t="s">
        <v>66</v>
      </c>
      <c r="AZ1619">
        <v>0</v>
      </c>
      <c r="BA1619" t="s">
        <v>66</v>
      </c>
      <c r="BB1619">
        <v>0</v>
      </c>
      <c r="BC1619">
        <v>0</v>
      </c>
      <c r="BD1619">
        <v>1237128.3</v>
      </c>
      <c r="BE1619">
        <v>34654.5</v>
      </c>
      <c r="BF1619">
        <v>0</v>
      </c>
      <c r="BG1619" t="s">
        <v>87</v>
      </c>
      <c r="BH1619" t="s">
        <v>66</v>
      </c>
      <c r="BI1619">
        <v>0</v>
      </c>
      <c r="BJ1619" t="s">
        <v>66</v>
      </c>
      <c r="BK1619" t="s">
        <v>88</v>
      </c>
      <c r="BL1619" t="s">
        <v>66</v>
      </c>
      <c r="BM1619" t="s">
        <v>159</v>
      </c>
    </row>
    <row r="1620" spans="1:65" x14ac:dyDescent="0.25">
      <c r="A1620">
        <v>1618</v>
      </c>
      <c r="B1620" t="s">
        <v>1704</v>
      </c>
      <c r="C1620" t="s">
        <v>66</v>
      </c>
      <c r="D1620" s="1">
        <v>46224</v>
      </c>
      <c r="E1620" t="s">
        <v>1705</v>
      </c>
      <c r="F1620" t="s">
        <v>68</v>
      </c>
      <c r="G1620" t="s">
        <v>69</v>
      </c>
      <c r="H1620" t="s">
        <v>70</v>
      </c>
      <c r="I1620" t="s">
        <v>71</v>
      </c>
      <c r="J1620" t="s">
        <v>72</v>
      </c>
      <c r="K1620" t="s">
        <v>73</v>
      </c>
      <c r="L1620" t="s">
        <v>74</v>
      </c>
      <c r="M1620" t="s">
        <v>571</v>
      </c>
      <c r="N1620" t="s">
        <v>76</v>
      </c>
      <c r="O1620" t="s">
        <v>572</v>
      </c>
      <c r="P1620" t="s">
        <v>573</v>
      </c>
      <c r="Q1620" t="s">
        <v>1706</v>
      </c>
      <c r="R1620" s="1">
        <v>46226</v>
      </c>
      <c r="S1620" t="s">
        <v>575</v>
      </c>
      <c r="T1620" t="s">
        <v>576</v>
      </c>
      <c r="U1620" t="s">
        <v>577</v>
      </c>
      <c r="V1620" t="s">
        <v>66</v>
      </c>
      <c r="W1620" t="s">
        <v>66</v>
      </c>
      <c r="X1620">
        <v>4753970</v>
      </c>
      <c r="Y1620">
        <v>522936.7</v>
      </c>
      <c r="Z1620">
        <v>445812</v>
      </c>
      <c r="AA1620">
        <v>49039.32</v>
      </c>
      <c r="AB1620">
        <v>5276906.7</v>
      </c>
      <c r="AC1620">
        <v>2</v>
      </c>
      <c r="AD1620" t="s">
        <v>134</v>
      </c>
      <c r="AE1620">
        <v>12</v>
      </c>
      <c r="AF1620" t="s">
        <v>323</v>
      </c>
      <c r="AG1620">
        <f>IFERROR(VLOOKUP(AF1620,[1]STOK!J:O,6,0),"")</f>
        <v>6</v>
      </c>
      <c r="AH1620" s="2">
        <f t="shared" si="50"/>
        <v>2</v>
      </c>
      <c r="AI1620" t="s">
        <v>323</v>
      </c>
      <c r="AJ1620" t="s">
        <v>324</v>
      </c>
      <c r="AK1620" t="s">
        <v>325</v>
      </c>
      <c r="AL1620" t="s">
        <v>86</v>
      </c>
      <c r="AM1620">
        <v>255078</v>
      </c>
      <c r="AN1620">
        <f t="shared" si="51"/>
        <v>247425.66</v>
      </c>
      <c r="AO1620" t="s">
        <v>66</v>
      </c>
      <c r="AP1620">
        <v>3</v>
      </c>
      <c r="AQ1620" t="s">
        <v>66</v>
      </c>
      <c r="AR1620">
        <v>0</v>
      </c>
      <c r="AS1620" t="s">
        <v>66</v>
      </c>
      <c r="AT1620">
        <v>0</v>
      </c>
      <c r="AU1620" t="s">
        <v>66</v>
      </c>
      <c r="AV1620">
        <v>0</v>
      </c>
      <c r="AW1620" t="s">
        <v>66</v>
      </c>
      <c r="AX1620">
        <v>0</v>
      </c>
      <c r="AY1620" t="s">
        <v>66</v>
      </c>
      <c r="AZ1620">
        <v>0</v>
      </c>
      <c r="BA1620" t="s">
        <v>66</v>
      </c>
      <c r="BB1620">
        <v>0</v>
      </c>
      <c r="BC1620">
        <v>0</v>
      </c>
      <c r="BD1620">
        <v>494851.32</v>
      </c>
      <c r="BE1620">
        <v>34536.9</v>
      </c>
      <c r="BF1620">
        <v>0</v>
      </c>
      <c r="BG1620" t="s">
        <v>87</v>
      </c>
      <c r="BH1620" t="s">
        <v>66</v>
      </c>
      <c r="BI1620">
        <v>0</v>
      </c>
      <c r="BJ1620" t="s">
        <v>66</v>
      </c>
      <c r="BK1620" t="s">
        <v>88</v>
      </c>
      <c r="BL1620" t="s">
        <v>66</v>
      </c>
      <c r="BM1620" t="s">
        <v>159</v>
      </c>
    </row>
    <row r="1621" spans="1:65" x14ac:dyDescent="0.25">
      <c r="A1621">
        <v>1619</v>
      </c>
      <c r="B1621" t="s">
        <v>1707</v>
      </c>
      <c r="C1621" t="s">
        <v>66</v>
      </c>
      <c r="D1621" s="1">
        <v>46224</v>
      </c>
      <c r="E1621" t="s">
        <v>1708</v>
      </c>
      <c r="F1621" t="s">
        <v>68</v>
      </c>
      <c r="G1621" t="s">
        <v>69</v>
      </c>
      <c r="H1621" t="s">
        <v>70</v>
      </c>
      <c r="I1621" t="s">
        <v>71</v>
      </c>
      <c r="J1621" t="s">
        <v>72</v>
      </c>
      <c r="K1621" t="s">
        <v>73</v>
      </c>
      <c r="L1621" t="s">
        <v>74</v>
      </c>
      <c r="M1621" t="s">
        <v>810</v>
      </c>
      <c r="N1621" t="s">
        <v>76</v>
      </c>
      <c r="O1621" t="s">
        <v>811</v>
      </c>
      <c r="P1621" t="s">
        <v>812</v>
      </c>
      <c r="Q1621" t="s">
        <v>1709</v>
      </c>
      <c r="R1621" s="1">
        <v>46226</v>
      </c>
      <c r="S1621" t="s">
        <v>814</v>
      </c>
      <c r="T1621" t="s">
        <v>815</v>
      </c>
      <c r="U1621" t="s">
        <v>816</v>
      </c>
      <c r="V1621" t="s">
        <v>817</v>
      </c>
      <c r="W1621" t="s">
        <v>66</v>
      </c>
      <c r="X1621">
        <v>5171250</v>
      </c>
      <c r="Y1621">
        <v>568837.5</v>
      </c>
      <c r="Z1621">
        <v>1182000</v>
      </c>
      <c r="AA1621">
        <v>130020</v>
      </c>
      <c r="AB1621">
        <v>5740087.5</v>
      </c>
      <c r="AC1621">
        <v>60</v>
      </c>
      <c r="AD1621" t="s">
        <v>82</v>
      </c>
      <c r="AE1621">
        <v>60</v>
      </c>
      <c r="AF1621" t="s">
        <v>290</v>
      </c>
      <c r="AG1621">
        <f>IFERROR(VLOOKUP(AF1621,[1]STOK!J:O,6,0),"")</f>
        <v>12</v>
      </c>
      <c r="AH1621" s="2">
        <f t="shared" si="50"/>
        <v>5</v>
      </c>
      <c r="AI1621" t="s">
        <v>290</v>
      </c>
      <c r="AJ1621" t="s">
        <v>291</v>
      </c>
      <c r="AK1621" t="s">
        <v>292</v>
      </c>
      <c r="AL1621" t="s">
        <v>86</v>
      </c>
      <c r="AM1621">
        <v>22200</v>
      </c>
      <c r="AN1621">
        <f t="shared" si="51"/>
        <v>21867</v>
      </c>
      <c r="AO1621" t="s">
        <v>66</v>
      </c>
      <c r="AP1621">
        <v>1.5</v>
      </c>
      <c r="AQ1621" t="s">
        <v>66</v>
      </c>
      <c r="AR1621">
        <v>0</v>
      </c>
      <c r="AS1621" t="s">
        <v>66</v>
      </c>
      <c r="AT1621">
        <v>0</v>
      </c>
      <c r="AU1621" t="s">
        <v>66</v>
      </c>
      <c r="AV1621">
        <v>0</v>
      </c>
      <c r="AW1621" t="s">
        <v>66</v>
      </c>
      <c r="AX1621">
        <v>0</v>
      </c>
      <c r="AY1621" t="s">
        <v>66</v>
      </c>
      <c r="AZ1621">
        <v>0</v>
      </c>
      <c r="BA1621" t="s">
        <v>66</v>
      </c>
      <c r="BB1621">
        <v>0</v>
      </c>
      <c r="BC1621">
        <v>0</v>
      </c>
      <c r="BD1621">
        <v>1312020</v>
      </c>
      <c r="BE1621">
        <v>18103.439999999999</v>
      </c>
      <c r="BF1621">
        <v>0</v>
      </c>
      <c r="BG1621" t="s">
        <v>87</v>
      </c>
      <c r="BH1621" t="s">
        <v>66</v>
      </c>
      <c r="BI1621">
        <v>0</v>
      </c>
      <c r="BJ1621" t="s">
        <v>66</v>
      </c>
      <c r="BK1621" t="s">
        <v>88</v>
      </c>
      <c r="BL1621" t="s">
        <v>66</v>
      </c>
      <c r="BM1621" t="s">
        <v>89</v>
      </c>
    </row>
    <row r="1622" spans="1:65" x14ac:dyDescent="0.25">
      <c r="A1622">
        <v>1620</v>
      </c>
      <c r="B1622" t="s">
        <v>1707</v>
      </c>
      <c r="C1622" t="s">
        <v>66</v>
      </c>
      <c r="D1622" s="1">
        <v>46224</v>
      </c>
      <c r="E1622" t="s">
        <v>1708</v>
      </c>
      <c r="F1622" t="s">
        <v>68</v>
      </c>
      <c r="G1622" t="s">
        <v>69</v>
      </c>
      <c r="H1622" t="s">
        <v>70</v>
      </c>
      <c r="I1622" t="s">
        <v>71</v>
      </c>
      <c r="J1622" t="s">
        <v>72</v>
      </c>
      <c r="K1622" t="s">
        <v>73</v>
      </c>
      <c r="L1622" t="s">
        <v>74</v>
      </c>
      <c r="M1622" t="s">
        <v>810</v>
      </c>
      <c r="N1622" t="s">
        <v>76</v>
      </c>
      <c r="O1622" t="s">
        <v>811</v>
      </c>
      <c r="P1622" t="s">
        <v>812</v>
      </c>
      <c r="Q1622" t="s">
        <v>1709</v>
      </c>
      <c r="R1622" s="1">
        <v>46226</v>
      </c>
      <c r="S1622" t="s">
        <v>814</v>
      </c>
      <c r="T1622" t="s">
        <v>815</v>
      </c>
      <c r="U1622" t="s">
        <v>816</v>
      </c>
      <c r="V1622" t="s">
        <v>817</v>
      </c>
      <c r="W1622" t="s">
        <v>66</v>
      </c>
      <c r="X1622">
        <v>5171250</v>
      </c>
      <c r="Y1622">
        <v>568837.5</v>
      </c>
      <c r="Z1622">
        <v>3989250</v>
      </c>
      <c r="AA1622">
        <v>438817.5</v>
      </c>
      <c r="AB1622">
        <v>5740087.5</v>
      </c>
      <c r="AC1622">
        <v>60</v>
      </c>
      <c r="AD1622" t="s">
        <v>82</v>
      </c>
      <c r="AE1622">
        <v>60</v>
      </c>
      <c r="AF1622" t="s">
        <v>312</v>
      </c>
      <c r="AG1622">
        <f>IFERROR(VLOOKUP(AF1622,[1]STOK!J:O,6,0),"")</f>
        <v>4</v>
      </c>
      <c r="AH1622" s="2">
        <f t="shared" si="50"/>
        <v>15</v>
      </c>
      <c r="AI1622" t="s">
        <v>312</v>
      </c>
      <c r="AJ1622" t="s">
        <v>313</v>
      </c>
      <c r="AK1622" t="s">
        <v>314</v>
      </c>
      <c r="AL1622" t="s">
        <v>86</v>
      </c>
      <c r="AM1622">
        <v>74925</v>
      </c>
      <c r="AN1622">
        <f t="shared" si="51"/>
        <v>73801.125</v>
      </c>
      <c r="AO1622" t="s">
        <v>66</v>
      </c>
      <c r="AP1622">
        <v>1.5</v>
      </c>
      <c r="AQ1622" t="s">
        <v>66</v>
      </c>
      <c r="AR1622">
        <v>0</v>
      </c>
      <c r="AS1622" t="s">
        <v>66</v>
      </c>
      <c r="AT1622">
        <v>0</v>
      </c>
      <c r="AU1622" t="s">
        <v>66</v>
      </c>
      <c r="AV1622">
        <v>0</v>
      </c>
      <c r="AW1622" t="s">
        <v>66</v>
      </c>
      <c r="AX1622">
        <v>0</v>
      </c>
      <c r="AY1622" t="s">
        <v>66</v>
      </c>
      <c r="AZ1622">
        <v>0</v>
      </c>
      <c r="BA1622" t="s">
        <v>66</v>
      </c>
      <c r="BB1622">
        <v>0</v>
      </c>
      <c r="BC1622">
        <v>0</v>
      </c>
      <c r="BD1622">
        <v>4428067.5</v>
      </c>
      <c r="BE1622">
        <v>60360.82</v>
      </c>
      <c r="BF1622">
        <v>0</v>
      </c>
      <c r="BG1622" t="s">
        <v>87</v>
      </c>
      <c r="BH1622" t="s">
        <v>66</v>
      </c>
      <c r="BI1622">
        <v>0</v>
      </c>
      <c r="BJ1622" t="s">
        <v>66</v>
      </c>
      <c r="BK1622" t="s">
        <v>88</v>
      </c>
      <c r="BL1622" t="s">
        <v>66</v>
      </c>
      <c r="BM1622" t="s">
        <v>89</v>
      </c>
    </row>
    <row r="1623" spans="1:65" x14ac:dyDescent="0.25">
      <c r="A1623">
        <v>1621</v>
      </c>
      <c r="B1623" t="s">
        <v>1710</v>
      </c>
      <c r="C1623" t="s">
        <v>68</v>
      </c>
      <c r="D1623" s="1">
        <v>46224</v>
      </c>
      <c r="E1623" t="s">
        <v>1711</v>
      </c>
      <c r="F1623" t="s">
        <v>68</v>
      </c>
      <c r="G1623" t="s">
        <v>295</v>
      </c>
      <c r="H1623" t="s">
        <v>296</v>
      </c>
      <c r="I1623" t="s">
        <v>71</v>
      </c>
      <c r="J1623" t="s">
        <v>72</v>
      </c>
      <c r="K1623" t="s">
        <v>73</v>
      </c>
      <c r="L1623" t="s">
        <v>74</v>
      </c>
      <c r="M1623" t="s">
        <v>1021</v>
      </c>
      <c r="N1623" t="s">
        <v>76</v>
      </c>
      <c r="O1623" t="s">
        <v>1022</v>
      </c>
      <c r="P1623" t="s">
        <v>1023</v>
      </c>
      <c r="Q1623" t="s">
        <v>1712</v>
      </c>
      <c r="R1623" s="1">
        <v>46226</v>
      </c>
      <c r="S1623" t="s">
        <v>841</v>
      </c>
      <c r="T1623" t="s">
        <v>842</v>
      </c>
      <c r="U1623" t="s">
        <v>843</v>
      </c>
      <c r="V1623" t="s">
        <v>66</v>
      </c>
      <c r="W1623" t="s">
        <v>66</v>
      </c>
      <c r="X1623">
        <v>526260</v>
      </c>
      <c r="Y1623">
        <v>57888.6</v>
      </c>
      <c r="Z1623">
        <v>54096</v>
      </c>
      <c r="AA1623">
        <v>5950.56</v>
      </c>
      <c r="AB1623">
        <v>584148.6</v>
      </c>
      <c r="AC1623">
        <v>3</v>
      </c>
      <c r="AD1623" t="s">
        <v>82</v>
      </c>
      <c r="AE1623">
        <v>3</v>
      </c>
      <c r="AF1623" t="s">
        <v>160</v>
      </c>
      <c r="AG1623">
        <f>IFERROR(VLOOKUP(AF1623,[1]STOK!J:O,6,0),"")</f>
        <v>12</v>
      </c>
      <c r="AH1623" s="2">
        <f t="shared" si="50"/>
        <v>0.25</v>
      </c>
      <c r="AI1623" t="s">
        <v>160</v>
      </c>
      <c r="AJ1623" t="s">
        <v>161</v>
      </c>
      <c r="AK1623" t="s">
        <v>162</v>
      </c>
      <c r="AL1623" t="s">
        <v>86</v>
      </c>
      <c r="AM1623">
        <v>20424</v>
      </c>
      <c r="AN1623">
        <f t="shared" si="51"/>
        <v>20015.52</v>
      </c>
      <c r="AO1623" t="s">
        <v>66</v>
      </c>
      <c r="AP1623">
        <v>2</v>
      </c>
      <c r="AQ1623" t="s">
        <v>66</v>
      </c>
      <c r="AR1623">
        <v>0</v>
      </c>
      <c r="AS1623" t="s">
        <v>66</v>
      </c>
      <c r="AT1623">
        <v>0</v>
      </c>
      <c r="AU1623" t="s">
        <v>66</v>
      </c>
      <c r="AV1623">
        <v>0</v>
      </c>
      <c r="AW1623" t="s">
        <v>66</v>
      </c>
      <c r="AX1623">
        <v>0</v>
      </c>
      <c r="AY1623" t="s">
        <v>66</v>
      </c>
      <c r="AZ1623">
        <v>0</v>
      </c>
      <c r="BA1623" t="s">
        <v>66</v>
      </c>
      <c r="BB1623">
        <v>0</v>
      </c>
      <c r="BC1623">
        <v>0</v>
      </c>
      <c r="BD1623">
        <v>60046.559999999998</v>
      </c>
      <c r="BE1623">
        <v>16709.57</v>
      </c>
      <c r="BF1623">
        <v>0</v>
      </c>
      <c r="BG1623" t="s">
        <v>87</v>
      </c>
      <c r="BH1623" t="s">
        <v>66</v>
      </c>
      <c r="BI1623">
        <v>0</v>
      </c>
      <c r="BJ1623" t="s">
        <v>66</v>
      </c>
      <c r="BK1623" t="s">
        <v>88</v>
      </c>
      <c r="BL1623" t="s">
        <v>719</v>
      </c>
      <c r="BM1623" t="s">
        <v>159</v>
      </c>
    </row>
    <row r="1624" spans="1:65" x14ac:dyDescent="0.25">
      <c r="A1624">
        <v>1622</v>
      </c>
      <c r="B1624" t="s">
        <v>1710</v>
      </c>
      <c r="C1624" t="s">
        <v>68</v>
      </c>
      <c r="D1624" s="1">
        <v>46224</v>
      </c>
      <c r="E1624" t="s">
        <v>1711</v>
      </c>
      <c r="F1624" t="s">
        <v>68</v>
      </c>
      <c r="G1624" t="s">
        <v>295</v>
      </c>
      <c r="H1624" t="s">
        <v>296</v>
      </c>
      <c r="I1624" t="s">
        <v>71</v>
      </c>
      <c r="J1624" t="s">
        <v>72</v>
      </c>
      <c r="K1624" t="s">
        <v>73</v>
      </c>
      <c r="L1624" t="s">
        <v>74</v>
      </c>
      <c r="M1624" t="s">
        <v>1021</v>
      </c>
      <c r="N1624" t="s">
        <v>76</v>
      </c>
      <c r="O1624" t="s">
        <v>1022</v>
      </c>
      <c r="P1624" t="s">
        <v>1023</v>
      </c>
      <c r="Q1624" t="s">
        <v>1712</v>
      </c>
      <c r="R1624" s="1">
        <v>46226</v>
      </c>
      <c r="S1624" t="s">
        <v>841</v>
      </c>
      <c r="T1624" t="s">
        <v>842</v>
      </c>
      <c r="U1624" t="s">
        <v>843</v>
      </c>
      <c r="V1624" t="s">
        <v>66</v>
      </c>
      <c r="W1624" t="s">
        <v>66</v>
      </c>
      <c r="X1624">
        <v>526260</v>
      </c>
      <c r="Y1624">
        <v>57888.6</v>
      </c>
      <c r="Z1624">
        <v>108192</v>
      </c>
      <c r="AA1624">
        <v>11901.12</v>
      </c>
      <c r="AB1624">
        <v>584148.6</v>
      </c>
      <c r="AC1624">
        <v>6</v>
      </c>
      <c r="AD1624" t="s">
        <v>82</v>
      </c>
      <c r="AE1624">
        <v>6</v>
      </c>
      <c r="AF1624" t="s">
        <v>116</v>
      </c>
      <c r="AG1624">
        <f>IFERROR(VLOOKUP(AF1624,[1]STOK!J:O,6,0),"")</f>
        <v>12</v>
      </c>
      <c r="AH1624" s="2">
        <f t="shared" si="50"/>
        <v>0.5</v>
      </c>
      <c r="AI1624" t="s">
        <v>116</v>
      </c>
      <c r="AJ1624" t="s">
        <v>117</v>
      </c>
      <c r="AK1624" t="s">
        <v>118</v>
      </c>
      <c r="AL1624" t="s">
        <v>86</v>
      </c>
      <c r="AM1624">
        <v>20424</v>
      </c>
      <c r="AN1624">
        <f t="shared" si="51"/>
        <v>20015.52</v>
      </c>
      <c r="AO1624" t="s">
        <v>66</v>
      </c>
      <c r="AP1624">
        <v>2</v>
      </c>
      <c r="AQ1624" t="s">
        <v>66</v>
      </c>
      <c r="AR1624">
        <v>0</v>
      </c>
      <c r="AS1624" t="s">
        <v>66</v>
      </c>
      <c r="AT1624">
        <v>0</v>
      </c>
      <c r="AU1624" t="s">
        <v>66</v>
      </c>
      <c r="AV1624">
        <v>0</v>
      </c>
      <c r="AW1624" t="s">
        <v>66</v>
      </c>
      <c r="AX1624">
        <v>0</v>
      </c>
      <c r="AY1624" t="s">
        <v>66</v>
      </c>
      <c r="AZ1624">
        <v>0</v>
      </c>
      <c r="BA1624" t="s">
        <v>66</v>
      </c>
      <c r="BB1624">
        <v>0</v>
      </c>
      <c r="BC1624">
        <v>0</v>
      </c>
      <c r="BD1624">
        <v>120093.12</v>
      </c>
      <c r="BE1624">
        <v>16641.740000000002</v>
      </c>
      <c r="BF1624">
        <v>0</v>
      </c>
      <c r="BG1624" t="s">
        <v>87</v>
      </c>
      <c r="BH1624" t="s">
        <v>66</v>
      </c>
      <c r="BI1624">
        <v>0</v>
      </c>
      <c r="BJ1624" t="s">
        <v>66</v>
      </c>
      <c r="BK1624" t="s">
        <v>88</v>
      </c>
      <c r="BL1624" t="s">
        <v>719</v>
      </c>
      <c r="BM1624" t="s">
        <v>159</v>
      </c>
    </row>
    <row r="1625" spans="1:65" x14ac:dyDescent="0.25">
      <c r="A1625">
        <v>1623</v>
      </c>
      <c r="B1625" t="s">
        <v>1710</v>
      </c>
      <c r="C1625" t="s">
        <v>68</v>
      </c>
      <c r="D1625" s="1">
        <v>46224</v>
      </c>
      <c r="E1625" t="s">
        <v>1711</v>
      </c>
      <c r="F1625" t="s">
        <v>68</v>
      </c>
      <c r="G1625" t="s">
        <v>295</v>
      </c>
      <c r="H1625" t="s">
        <v>296</v>
      </c>
      <c r="I1625" t="s">
        <v>71</v>
      </c>
      <c r="J1625" t="s">
        <v>72</v>
      </c>
      <c r="K1625" t="s">
        <v>73</v>
      </c>
      <c r="L1625" t="s">
        <v>74</v>
      </c>
      <c r="M1625" t="s">
        <v>1021</v>
      </c>
      <c r="N1625" t="s">
        <v>76</v>
      </c>
      <c r="O1625" t="s">
        <v>1022</v>
      </c>
      <c r="P1625" t="s">
        <v>1023</v>
      </c>
      <c r="Q1625" t="s">
        <v>1712</v>
      </c>
      <c r="R1625" s="1">
        <v>46226</v>
      </c>
      <c r="S1625" t="s">
        <v>841</v>
      </c>
      <c r="T1625" t="s">
        <v>842</v>
      </c>
      <c r="U1625" t="s">
        <v>843</v>
      </c>
      <c r="V1625" t="s">
        <v>66</v>
      </c>
      <c r="W1625" t="s">
        <v>66</v>
      </c>
      <c r="X1625">
        <v>526260</v>
      </c>
      <c r="Y1625">
        <v>57888.6</v>
      </c>
      <c r="Z1625">
        <v>23226</v>
      </c>
      <c r="AA1625">
        <v>2554.86</v>
      </c>
      <c r="AB1625">
        <v>584148.6</v>
      </c>
      <c r="AC1625">
        <v>3</v>
      </c>
      <c r="AD1625" t="s">
        <v>82</v>
      </c>
      <c r="AE1625">
        <v>3</v>
      </c>
      <c r="AF1625" t="s">
        <v>248</v>
      </c>
      <c r="AG1625">
        <f>IFERROR(VLOOKUP(AF1625,[1]STOK!J:O,6,0),"")</f>
        <v>24</v>
      </c>
      <c r="AH1625" s="2">
        <f t="shared" si="50"/>
        <v>0.125</v>
      </c>
      <c r="AI1625" t="s">
        <v>248</v>
      </c>
      <c r="AJ1625" t="s">
        <v>249</v>
      </c>
      <c r="AK1625" t="s">
        <v>250</v>
      </c>
      <c r="AL1625" t="s">
        <v>86</v>
      </c>
      <c r="AM1625">
        <v>8769</v>
      </c>
      <c r="AN1625">
        <f t="shared" si="51"/>
        <v>8593.6200000000008</v>
      </c>
      <c r="AO1625" t="s">
        <v>66</v>
      </c>
      <c r="AP1625">
        <v>2</v>
      </c>
      <c r="AQ1625" t="s">
        <v>66</v>
      </c>
      <c r="AR1625">
        <v>0</v>
      </c>
      <c r="AS1625" t="s">
        <v>66</v>
      </c>
      <c r="AT1625">
        <v>0</v>
      </c>
      <c r="AU1625" t="s">
        <v>66</v>
      </c>
      <c r="AV1625">
        <v>0</v>
      </c>
      <c r="AW1625" t="s">
        <v>66</v>
      </c>
      <c r="AX1625">
        <v>0</v>
      </c>
      <c r="AY1625" t="s">
        <v>66</v>
      </c>
      <c r="AZ1625">
        <v>0</v>
      </c>
      <c r="BA1625" t="s">
        <v>66</v>
      </c>
      <c r="BB1625">
        <v>0</v>
      </c>
      <c r="BC1625">
        <v>0</v>
      </c>
      <c r="BD1625">
        <v>25780.86</v>
      </c>
      <c r="BE1625">
        <v>7274.07</v>
      </c>
      <c r="BF1625">
        <v>0</v>
      </c>
      <c r="BG1625" t="s">
        <v>87</v>
      </c>
      <c r="BH1625" t="s">
        <v>66</v>
      </c>
      <c r="BI1625">
        <v>0</v>
      </c>
      <c r="BJ1625" t="s">
        <v>66</v>
      </c>
      <c r="BK1625" t="s">
        <v>88</v>
      </c>
      <c r="BL1625" t="s">
        <v>719</v>
      </c>
      <c r="BM1625" t="s">
        <v>159</v>
      </c>
    </row>
    <row r="1626" spans="1:65" x14ac:dyDescent="0.25">
      <c r="A1626">
        <v>1624</v>
      </c>
      <c r="B1626" t="s">
        <v>1710</v>
      </c>
      <c r="C1626" t="s">
        <v>68</v>
      </c>
      <c r="D1626" s="1">
        <v>46224</v>
      </c>
      <c r="E1626" t="s">
        <v>1711</v>
      </c>
      <c r="F1626" t="s">
        <v>68</v>
      </c>
      <c r="G1626" t="s">
        <v>295</v>
      </c>
      <c r="H1626" t="s">
        <v>296</v>
      </c>
      <c r="I1626" t="s">
        <v>71</v>
      </c>
      <c r="J1626" t="s">
        <v>72</v>
      </c>
      <c r="K1626" t="s">
        <v>73</v>
      </c>
      <c r="L1626" t="s">
        <v>74</v>
      </c>
      <c r="M1626" t="s">
        <v>1021</v>
      </c>
      <c r="N1626" t="s">
        <v>76</v>
      </c>
      <c r="O1626" t="s">
        <v>1022</v>
      </c>
      <c r="P1626" t="s">
        <v>1023</v>
      </c>
      <c r="Q1626" t="s">
        <v>1712</v>
      </c>
      <c r="R1626" s="1">
        <v>46226</v>
      </c>
      <c r="S1626" t="s">
        <v>841</v>
      </c>
      <c r="T1626" t="s">
        <v>842</v>
      </c>
      <c r="U1626" t="s">
        <v>843</v>
      </c>
      <c r="V1626" t="s">
        <v>66</v>
      </c>
      <c r="W1626" t="s">
        <v>66</v>
      </c>
      <c r="X1626">
        <v>526260</v>
      </c>
      <c r="Y1626">
        <v>57888.6</v>
      </c>
      <c r="Z1626">
        <v>46452</v>
      </c>
      <c r="AA1626">
        <v>5109.72</v>
      </c>
      <c r="AB1626">
        <v>584148.6</v>
      </c>
      <c r="AC1626">
        <v>6</v>
      </c>
      <c r="AD1626" t="s">
        <v>82</v>
      </c>
      <c r="AE1626">
        <v>6</v>
      </c>
      <c r="AF1626" t="s">
        <v>199</v>
      </c>
      <c r="AG1626">
        <f>IFERROR(VLOOKUP(AF1626,[1]STOK!J:O,6,0),"")</f>
        <v>24</v>
      </c>
      <c r="AH1626" s="2">
        <f t="shared" si="50"/>
        <v>0.25</v>
      </c>
      <c r="AI1626" t="s">
        <v>199</v>
      </c>
      <c r="AJ1626" t="s">
        <v>200</v>
      </c>
      <c r="AK1626" t="s">
        <v>201</v>
      </c>
      <c r="AL1626" t="s">
        <v>86</v>
      </c>
      <c r="AM1626">
        <v>8769</v>
      </c>
      <c r="AN1626">
        <f t="shared" si="51"/>
        <v>8593.6200000000008</v>
      </c>
      <c r="AO1626" t="s">
        <v>66</v>
      </c>
      <c r="AP1626">
        <v>2</v>
      </c>
      <c r="AQ1626" t="s">
        <v>66</v>
      </c>
      <c r="AR1626">
        <v>0</v>
      </c>
      <c r="AS1626" t="s">
        <v>66</v>
      </c>
      <c r="AT1626">
        <v>0</v>
      </c>
      <c r="AU1626" t="s">
        <v>66</v>
      </c>
      <c r="AV1626">
        <v>0</v>
      </c>
      <c r="AW1626" t="s">
        <v>66</v>
      </c>
      <c r="AX1626">
        <v>0</v>
      </c>
      <c r="AY1626" t="s">
        <v>66</v>
      </c>
      <c r="AZ1626">
        <v>0</v>
      </c>
      <c r="BA1626" t="s">
        <v>66</v>
      </c>
      <c r="BB1626">
        <v>0</v>
      </c>
      <c r="BC1626">
        <v>0</v>
      </c>
      <c r="BD1626">
        <v>51561.72</v>
      </c>
      <c r="BE1626">
        <v>7265.68</v>
      </c>
      <c r="BF1626">
        <v>0</v>
      </c>
      <c r="BG1626" t="s">
        <v>87</v>
      </c>
      <c r="BH1626" t="s">
        <v>66</v>
      </c>
      <c r="BI1626">
        <v>0</v>
      </c>
      <c r="BJ1626" t="s">
        <v>66</v>
      </c>
      <c r="BK1626" t="s">
        <v>88</v>
      </c>
      <c r="BL1626" t="s">
        <v>719</v>
      </c>
      <c r="BM1626" t="s">
        <v>159</v>
      </c>
    </row>
    <row r="1627" spans="1:65" x14ac:dyDescent="0.25">
      <c r="A1627">
        <v>1625</v>
      </c>
      <c r="B1627" t="s">
        <v>1710</v>
      </c>
      <c r="C1627" t="s">
        <v>68</v>
      </c>
      <c r="D1627" s="1">
        <v>46224</v>
      </c>
      <c r="E1627" t="s">
        <v>1711</v>
      </c>
      <c r="F1627" t="s">
        <v>68</v>
      </c>
      <c r="G1627" t="s">
        <v>295</v>
      </c>
      <c r="H1627" t="s">
        <v>296</v>
      </c>
      <c r="I1627" t="s">
        <v>71</v>
      </c>
      <c r="J1627" t="s">
        <v>72</v>
      </c>
      <c r="K1627" t="s">
        <v>73</v>
      </c>
      <c r="L1627" t="s">
        <v>74</v>
      </c>
      <c r="M1627" t="s">
        <v>1021</v>
      </c>
      <c r="N1627" t="s">
        <v>76</v>
      </c>
      <c r="O1627" t="s">
        <v>1022</v>
      </c>
      <c r="P1627" t="s">
        <v>1023</v>
      </c>
      <c r="Q1627" t="s">
        <v>1712</v>
      </c>
      <c r="R1627" s="1">
        <v>46226</v>
      </c>
      <c r="S1627" t="s">
        <v>841</v>
      </c>
      <c r="T1627" t="s">
        <v>842</v>
      </c>
      <c r="U1627" t="s">
        <v>843</v>
      </c>
      <c r="V1627" t="s">
        <v>66</v>
      </c>
      <c r="W1627" t="s">
        <v>66</v>
      </c>
      <c r="X1627">
        <v>526260</v>
      </c>
      <c r="Y1627">
        <v>57888.6</v>
      </c>
      <c r="Z1627">
        <v>66444</v>
      </c>
      <c r="AA1627">
        <v>7308.84</v>
      </c>
      <c r="AB1627">
        <v>584148.6</v>
      </c>
      <c r="AC1627">
        <v>6</v>
      </c>
      <c r="AD1627" t="s">
        <v>82</v>
      </c>
      <c r="AE1627">
        <v>6</v>
      </c>
      <c r="AF1627" t="s">
        <v>122</v>
      </c>
      <c r="AG1627">
        <f>IFERROR(VLOOKUP(AF1627,[1]STOK!J:O,6,0),"")</f>
        <v>24</v>
      </c>
      <c r="AH1627" s="2">
        <f t="shared" si="50"/>
        <v>0.25</v>
      </c>
      <c r="AI1627" t="s">
        <v>122</v>
      </c>
      <c r="AJ1627" t="s">
        <v>123</v>
      </c>
      <c r="AK1627" t="s">
        <v>124</v>
      </c>
      <c r="AL1627" t="s">
        <v>86</v>
      </c>
      <c r="AM1627">
        <v>12543</v>
      </c>
      <c r="AN1627">
        <f t="shared" si="51"/>
        <v>12292.14</v>
      </c>
      <c r="AO1627" t="s">
        <v>66</v>
      </c>
      <c r="AP1627">
        <v>2</v>
      </c>
      <c r="AQ1627" t="s">
        <v>66</v>
      </c>
      <c r="AR1627">
        <v>0</v>
      </c>
      <c r="AS1627" t="s">
        <v>66</v>
      </c>
      <c r="AT1627">
        <v>0</v>
      </c>
      <c r="AU1627" t="s">
        <v>66</v>
      </c>
      <c r="AV1627">
        <v>0</v>
      </c>
      <c r="AW1627" t="s">
        <v>66</v>
      </c>
      <c r="AX1627">
        <v>0</v>
      </c>
      <c r="AY1627" t="s">
        <v>66</v>
      </c>
      <c r="AZ1627">
        <v>0</v>
      </c>
      <c r="BA1627" t="s">
        <v>66</v>
      </c>
      <c r="BB1627">
        <v>0</v>
      </c>
      <c r="BC1627">
        <v>0</v>
      </c>
      <c r="BD1627">
        <v>73752.84</v>
      </c>
      <c r="BE1627">
        <v>10167.86</v>
      </c>
      <c r="BF1627">
        <v>0</v>
      </c>
      <c r="BG1627" t="s">
        <v>87</v>
      </c>
      <c r="BH1627" t="s">
        <v>66</v>
      </c>
      <c r="BI1627">
        <v>0</v>
      </c>
      <c r="BJ1627" t="s">
        <v>66</v>
      </c>
      <c r="BK1627" t="s">
        <v>88</v>
      </c>
      <c r="BL1627" t="s">
        <v>719</v>
      </c>
      <c r="BM1627" t="s">
        <v>159</v>
      </c>
    </row>
    <row r="1628" spans="1:65" x14ac:dyDescent="0.25">
      <c r="A1628">
        <v>1626</v>
      </c>
      <c r="B1628" t="s">
        <v>1710</v>
      </c>
      <c r="C1628" t="s">
        <v>68</v>
      </c>
      <c r="D1628" s="1">
        <v>46224</v>
      </c>
      <c r="E1628" t="s">
        <v>1711</v>
      </c>
      <c r="F1628" t="s">
        <v>68</v>
      </c>
      <c r="G1628" t="s">
        <v>295</v>
      </c>
      <c r="H1628" t="s">
        <v>296</v>
      </c>
      <c r="I1628" t="s">
        <v>71</v>
      </c>
      <c r="J1628" t="s">
        <v>72</v>
      </c>
      <c r="K1628" t="s">
        <v>73</v>
      </c>
      <c r="L1628" t="s">
        <v>74</v>
      </c>
      <c r="M1628" t="s">
        <v>1021</v>
      </c>
      <c r="N1628" t="s">
        <v>76</v>
      </c>
      <c r="O1628" t="s">
        <v>1022</v>
      </c>
      <c r="P1628" t="s">
        <v>1023</v>
      </c>
      <c r="Q1628" t="s">
        <v>1712</v>
      </c>
      <c r="R1628" s="1">
        <v>46226</v>
      </c>
      <c r="S1628" t="s">
        <v>841</v>
      </c>
      <c r="T1628" t="s">
        <v>842</v>
      </c>
      <c r="U1628" t="s">
        <v>843</v>
      </c>
      <c r="V1628" t="s">
        <v>66</v>
      </c>
      <c r="W1628" t="s">
        <v>66</v>
      </c>
      <c r="X1628">
        <v>526260</v>
      </c>
      <c r="Y1628">
        <v>57888.6</v>
      </c>
      <c r="Z1628">
        <v>59976</v>
      </c>
      <c r="AA1628">
        <v>6597.36</v>
      </c>
      <c r="AB1628">
        <v>584148.6</v>
      </c>
      <c r="AC1628">
        <v>6</v>
      </c>
      <c r="AD1628" t="s">
        <v>82</v>
      </c>
      <c r="AE1628">
        <v>6</v>
      </c>
      <c r="AF1628" t="s">
        <v>667</v>
      </c>
      <c r="AG1628">
        <f>IFERROR(VLOOKUP(AF1628,[1]STOK!J:O,6,0),"")</f>
        <v>24</v>
      </c>
      <c r="AH1628" s="2">
        <f t="shared" si="50"/>
        <v>0.25</v>
      </c>
      <c r="AI1628" t="s">
        <v>667</v>
      </c>
      <c r="AJ1628" t="s">
        <v>668</v>
      </c>
      <c r="AK1628" t="s">
        <v>669</v>
      </c>
      <c r="AL1628" t="s">
        <v>86</v>
      </c>
      <c r="AM1628">
        <v>11322</v>
      </c>
      <c r="AN1628">
        <f t="shared" si="51"/>
        <v>11095.56</v>
      </c>
      <c r="AO1628" t="s">
        <v>66</v>
      </c>
      <c r="AP1628">
        <v>2</v>
      </c>
      <c r="AQ1628" t="s">
        <v>66</v>
      </c>
      <c r="AR1628">
        <v>0</v>
      </c>
      <c r="AS1628" t="s">
        <v>66</v>
      </c>
      <c r="AT1628">
        <v>0</v>
      </c>
      <c r="AU1628" t="s">
        <v>66</v>
      </c>
      <c r="AV1628">
        <v>0</v>
      </c>
      <c r="AW1628" t="s">
        <v>66</v>
      </c>
      <c r="AX1628">
        <v>0</v>
      </c>
      <c r="AY1628" t="s">
        <v>66</v>
      </c>
      <c r="AZ1628">
        <v>0</v>
      </c>
      <c r="BA1628" t="s">
        <v>66</v>
      </c>
      <c r="BB1628">
        <v>0</v>
      </c>
      <c r="BC1628">
        <v>0</v>
      </c>
      <c r="BD1628">
        <v>66573.36</v>
      </c>
      <c r="BE1628">
        <v>8850.9500000000007</v>
      </c>
      <c r="BF1628">
        <v>0</v>
      </c>
      <c r="BG1628" t="s">
        <v>87</v>
      </c>
      <c r="BH1628" t="s">
        <v>66</v>
      </c>
      <c r="BI1628">
        <v>0</v>
      </c>
      <c r="BJ1628" t="s">
        <v>66</v>
      </c>
      <c r="BK1628" t="s">
        <v>88</v>
      </c>
      <c r="BL1628" t="s">
        <v>719</v>
      </c>
      <c r="BM1628" t="s">
        <v>159</v>
      </c>
    </row>
    <row r="1629" spans="1:65" x14ac:dyDescent="0.25">
      <c r="A1629">
        <v>1627</v>
      </c>
      <c r="B1629" t="s">
        <v>1710</v>
      </c>
      <c r="C1629" t="s">
        <v>68</v>
      </c>
      <c r="D1629" s="1">
        <v>46224</v>
      </c>
      <c r="E1629" t="s">
        <v>1711</v>
      </c>
      <c r="F1629" t="s">
        <v>68</v>
      </c>
      <c r="G1629" t="s">
        <v>295</v>
      </c>
      <c r="H1629" t="s">
        <v>296</v>
      </c>
      <c r="I1629" t="s">
        <v>71</v>
      </c>
      <c r="J1629" t="s">
        <v>72</v>
      </c>
      <c r="K1629" t="s">
        <v>73</v>
      </c>
      <c r="L1629" t="s">
        <v>74</v>
      </c>
      <c r="M1629" t="s">
        <v>1021</v>
      </c>
      <c r="N1629" t="s">
        <v>76</v>
      </c>
      <c r="O1629" t="s">
        <v>1022</v>
      </c>
      <c r="P1629" t="s">
        <v>1023</v>
      </c>
      <c r="Q1629" t="s">
        <v>1712</v>
      </c>
      <c r="R1629" s="1">
        <v>46226</v>
      </c>
      <c r="S1629" t="s">
        <v>841</v>
      </c>
      <c r="T1629" t="s">
        <v>842</v>
      </c>
      <c r="U1629" t="s">
        <v>843</v>
      </c>
      <c r="V1629" t="s">
        <v>66</v>
      </c>
      <c r="W1629" t="s">
        <v>66</v>
      </c>
      <c r="X1629">
        <v>526260</v>
      </c>
      <c r="Y1629">
        <v>57888.6</v>
      </c>
      <c r="Z1629">
        <v>16758</v>
      </c>
      <c r="AA1629">
        <v>1843.38</v>
      </c>
      <c r="AB1629">
        <v>584148.6</v>
      </c>
      <c r="AC1629">
        <v>3</v>
      </c>
      <c r="AD1629" t="s">
        <v>82</v>
      </c>
      <c r="AE1629">
        <v>3</v>
      </c>
      <c r="AF1629" t="s">
        <v>202</v>
      </c>
      <c r="AG1629">
        <f>IFERROR(VLOOKUP(AF1629,[1]STOK!J:O,6,0),"")</f>
        <v>48</v>
      </c>
      <c r="AH1629" s="2">
        <f t="shared" si="50"/>
        <v>6.25E-2</v>
      </c>
      <c r="AI1629" t="s">
        <v>202</v>
      </c>
      <c r="AJ1629" t="s">
        <v>203</v>
      </c>
      <c r="AK1629" t="s">
        <v>204</v>
      </c>
      <c r="AL1629" t="s">
        <v>86</v>
      </c>
      <c r="AM1629">
        <v>6327</v>
      </c>
      <c r="AN1629">
        <f t="shared" si="51"/>
        <v>6200.46</v>
      </c>
      <c r="AO1629" t="s">
        <v>66</v>
      </c>
      <c r="AP1629">
        <v>2</v>
      </c>
      <c r="AQ1629" t="s">
        <v>66</v>
      </c>
      <c r="AR1629">
        <v>0</v>
      </c>
      <c r="AS1629" t="s">
        <v>66</v>
      </c>
      <c r="AT1629">
        <v>0</v>
      </c>
      <c r="AU1629" t="s">
        <v>66</v>
      </c>
      <c r="AV1629">
        <v>0</v>
      </c>
      <c r="AW1629" t="s">
        <v>66</v>
      </c>
      <c r="AX1629">
        <v>0</v>
      </c>
      <c r="AY1629" t="s">
        <v>66</v>
      </c>
      <c r="AZ1629">
        <v>0</v>
      </c>
      <c r="BA1629" t="s">
        <v>66</v>
      </c>
      <c r="BB1629">
        <v>0</v>
      </c>
      <c r="BC1629">
        <v>0</v>
      </c>
      <c r="BD1629">
        <v>18601.38</v>
      </c>
      <c r="BE1629">
        <v>4914.4399999999996</v>
      </c>
      <c r="BF1629">
        <v>0</v>
      </c>
      <c r="BG1629" t="s">
        <v>87</v>
      </c>
      <c r="BH1629" t="s">
        <v>66</v>
      </c>
      <c r="BI1629">
        <v>0</v>
      </c>
      <c r="BJ1629" t="s">
        <v>66</v>
      </c>
      <c r="BK1629" t="s">
        <v>88</v>
      </c>
      <c r="BL1629" t="s">
        <v>719</v>
      </c>
      <c r="BM1629" t="s">
        <v>159</v>
      </c>
    </row>
    <row r="1630" spans="1:65" x14ac:dyDescent="0.25">
      <c r="A1630">
        <v>1628</v>
      </c>
      <c r="B1630" t="s">
        <v>1710</v>
      </c>
      <c r="C1630" t="s">
        <v>68</v>
      </c>
      <c r="D1630" s="1">
        <v>46224</v>
      </c>
      <c r="E1630" t="s">
        <v>1711</v>
      </c>
      <c r="F1630" t="s">
        <v>68</v>
      </c>
      <c r="G1630" t="s">
        <v>295</v>
      </c>
      <c r="H1630" t="s">
        <v>296</v>
      </c>
      <c r="I1630" t="s">
        <v>71</v>
      </c>
      <c r="J1630" t="s">
        <v>72</v>
      </c>
      <c r="K1630" t="s">
        <v>73</v>
      </c>
      <c r="L1630" t="s">
        <v>74</v>
      </c>
      <c r="M1630" t="s">
        <v>1021</v>
      </c>
      <c r="N1630" t="s">
        <v>76</v>
      </c>
      <c r="O1630" t="s">
        <v>1022</v>
      </c>
      <c r="P1630" t="s">
        <v>1023</v>
      </c>
      <c r="Q1630" t="s">
        <v>1712</v>
      </c>
      <c r="R1630" s="1">
        <v>46226</v>
      </c>
      <c r="S1630" t="s">
        <v>841</v>
      </c>
      <c r="T1630" t="s">
        <v>842</v>
      </c>
      <c r="U1630" t="s">
        <v>843</v>
      </c>
      <c r="V1630" t="s">
        <v>66</v>
      </c>
      <c r="W1630" t="s">
        <v>66</v>
      </c>
      <c r="X1630">
        <v>526260</v>
      </c>
      <c r="Y1630">
        <v>57888.6</v>
      </c>
      <c r="Z1630">
        <v>33516</v>
      </c>
      <c r="AA1630">
        <v>3686.76</v>
      </c>
      <c r="AB1630">
        <v>584148.6</v>
      </c>
      <c r="AC1630">
        <v>6</v>
      </c>
      <c r="AD1630" t="s">
        <v>82</v>
      </c>
      <c r="AE1630">
        <v>6</v>
      </c>
      <c r="AF1630" t="s">
        <v>202</v>
      </c>
      <c r="AG1630">
        <f>IFERROR(VLOOKUP(AF1630,[1]STOK!J:O,6,0),"")</f>
        <v>48</v>
      </c>
      <c r="AH1630" s="2">
        <f t="shared" si="50"/>
        <v>0.125</v>
      </c>
      <c r="AI1630" t="s">
        <v>202</v>
      </c>
      <c r="AJ1630" t="s">
        <v>203</v>
      </c>
      <c r="AK1630" t="s">
        <v>204</v>
      </c>
      <c r="AL1630" t="s">
        <v>86</v>
      </c>
      <c r="AM1630">
        <v>6327</v>
      </c>
      <c r="AN1630">
        <f t="shared" si="51"/>
        <v>6200.46</v>
      </c>
      <c r="AO1630" t="s">
        <v>66</v>
      </c>
      <c r="AP1630">
        <v>2</v>
      </c>
      <c r="AQ1630" t="s">
        <v>66</v>
      </c>
      <c r="AR1630">
        <v>0</v>
      </c>
      <c r="AS1630" t="s">
        <v>66</v>
      </c>
      <c r="AT1630">
        <v>0</v>
      </c>
      <c r="AU1630" t="s">
        <v>66</v>
      </c>
      <c r="AV1630">
        <v>0</v>
      </c>
      <c r="AW1630" t="s">
        <v>66</v>
      </c>
      <c r="AX1630">
        <v>0</v>
      </c>
      <c r="AY1630" t="s">
        <v>66</v>
      </c>
      <c r="AZ1630">
        <v>0</v>
      </c>
      <c r="BA1630" t="s">
        <v>66</v>
      </c>
      <c r="BB1630">
        <v>0</v>
      </c>
      <c r="BC1630">
        <v>0</v>
      </c>
      <c r="BD1630">
        <v>37202.76</v>
      </c>
      <c r="BE1630">
        <v>4914.4399999999996</v>
      </c>
      <c r="BF1630">
        <v>0</v>
      </c>
      <c r="BG1630" t="s">
        <v>87</v>
      </c>
      <c r="BH1630" t="s">
        <v>66</v>
      </c>
      <c r="BI1630">
        <v>0</v>
      </c>
      <c r="BJ1630" t="s">
        <v>66</v>
      </c>
      <c r="BK1630" t="s">
        <v>88</v>
      </c>
      <c r="BL1630" t="s">
        <v>719</v>
      </c>
      <c r="BM1630" t="s">
        <v>159</v>
      </c>
    </row>
    <row r="1631" spans="1:65" x14ac:dyDescent="0.25">
      <c r="A1631">
        <v>1629</v>
      </c>
      <c r="B1631" t="s">
        <v>1710</v>
      </c>
      <c r="C1631" t="s">
        <v>68</v>
      </c>
      <c r="D1631" s="1">
        <v>46224</v>
      </c>
      <c r="E1631" t="s">
        <v>1711</v>
      </c>
      <c r="F1631" t="s">
        <v>68</v>
      </c>
      <c r="G1631" t="s">
        <v>295</v>
      </c>
      <c r="H1631" t="s">
        <v>296</v>
      </c>
      <c r="I1631" t="s">
        <v>71</v>
      </c>
      <c r="J1631" t="s">
        <v>72</v>
      </c>
      <c r="K1631" t="s">
        <v>73</v>
      </c>
      <c r="L1631" t="s">
        <v>74</v>
      </c>
      <c r="M1631" t="s">
        <v>1021</v>
      </c>
      <c r="N1631" t="s">
        <v>76</v>
      </c>
      <c r="O1631" t="s">
        <v>1022</v>
      </c>
      <c r="P1631" t="s">
        <v>1023</v>
      </c>
      <c r="Q1631" t="s">
        <v>1712</v>
      </c>
      <c r="R1631" s="1">
        <v>46226</v>
      </c>
      <c r="S1631" t="s">
        <v>841</v>
      </c>
      <c r="T1631" t="s">
        <v>842</v>
      </c>
      <c r="U1631" t="s">
        <v>843</v>
      </c>
      <c r="V1631" t="s">
        <v>66</v>
      </c>
      <c r="W1631" t="s">
        <v>66</v>
      </c>
      <c r="X1631">
        <v>526260</v>
      </c>
      <c r="Y1631">
        <v>57888.6</v>
      </c>
      <c r="Z1631">
        <v>117600</v>
      </c>
      <c r="AA1631">
        <v>12936</v>
      </c>
      <c r="AB1631">
        <v>584148.6</v>
      </c>
      <c r="AC1631">
        <v>6</v>
      </c>
      <c r="AD1631" t="s">
        <v>82</v>
      </c>
      <c r="AE1631">
        <v>6</v>
      </c>
      <c r="AF1631" t="s">
        <v>290</v>
      </c>
      <c r="AG1631">
        <f>IFERROR(VLOOKUP(AF1631,[1]STOK!J:O,6,0),"")</f>
        <v>12</v>
      </c>
      <c r="AH1631" s="2">
        <f t="shared" si="50"/>
        <v>0.5</v>
      </c>
      <c r="AI1631" t="s">
        <v>290</v>
      </c>
      <c r="AJ1631" t="s">
        <v>291</v>
      </c>
      <c r="AK1631" t="s">
        <v>292</v>
      </c>
      <c r="AL1631" t="s">
        <v>86</v>
      </c>
      <c r="AM1631">
        <v>22200</v>
      </c>
      <c r="AN1631">
        <f t="shared" si="51"/>
        <v>21756</v>
      </c>
      <c r="AO1631" t="s">
        <v>66</v>
      </c>
      <c r="AP1631">
        <v>2</v>
      </c>
      <c r="AQ1631" t="s">
        <v>66</v>
      </c>
      <c r="AR1631">
        <v>0</v>
      </c>
      <c r="AS1631" t="s">
        <v>66</v>
      </c>
      <c r="AT1631">
        <v>0</v>
      </c>
      <c r="AU1631" t="s">
        <v>66</v>
      </c>
      <c r="AV1631">
        <v>0</v>
      </c>
      <c r="AW1631" t="s">
        <v>66</v>
      </c>
      <c r="AX1631">
        <v>0</v>
      </c>
      <c r="AY1631" t="s">
        <v>66</v>
      </c>
      <c r="AZ1631">
        <v>0</v>
      </c>
      <c r="BA1631" t="s">
        <v>66</v>
      </c>
      <c r="BB1631">
        <v>0</v>
      </c>
      <c r="BC1631">
        <v>0</v>
      </c>
      <c r="BD1631">
        <v>130536</v>
      </c>
      <c r="BE1631">
        <v>18103.439999999999</v>
      </c>
      <c r="BF1631">
        <v>0</v>
      </c>
      <c r="BG1631" t="s">
        <v>87</v>
      </c>
      <c r="BH1631" t="s">
        <v>66</v>
      </c>
      <c r="BI1631">
        <v>0</v>
      </c>
      <c r="BJ1631" t="s">
        <v>66</v>
      </c>
      <c r="BK1631" t="s">
        <v>88</v>
      </c>
      <c r="BL1631" t="s">
        <v>719</v>
      </c>
      <c r="BM1631" t="s">
        <v>159</v>
      </c>
    </row>
    <row r="1632" spans="1:65" x14ac:dyDescent="0.25">
      <c r="A1632">
        <v>1630</v>
      </c>
      <c r="B1632" t="s">
        <v>1713</v>
      </c>
      <c r="C1632" t="s">
        <v>68</v>
      </c>
      <c r="D1632" s="1">
        <v>46224</v>
      </c>
      <c r="E1632" t="s">
        <v>1714</v>
      </c>
      <c r="F1632" t="s">
        <v>68</v>
      </c>
      <c r="G1632" t="s">
        <v>295</v>
      </c>
      <c r="H1632" t="s">
        <v>296</v>
      </c>
      <c r="I1632" t="s">
        <v>71</v>
      </c>
      <c r="J1632" t="s">
        <v>72</v>
      </c>
      <c r="K1632" t="s">
        <v>73</v>
      </c>
      <c r="L1632" t="s">
        <v>74</v>
      </c>
      <c r="M1632" t="s">
        <v>981</v>
      </c>
      <c r="N1632" t="s">
        <v>76</v>
      </c>
      <c r="O1632" t="s">
        <v>982</v>
      </c>
      <c r="P1632" t="s">
        <v>983</v>
      </c>
      <c r="Q1632" t="s">
        <v>1715</v>
      </c>
      <c r="R1632" s="1">
        <v>46226</v>
      </c>
      <c r="S1632" t="s">
        <v>841</v>
      </c>
      <c r="T1632" t="s">
        <v>913</v>
      </c>
      <c r="U1632" t="s">
        <v>843</v>
      </c>
      <c r="V1632" t="s">
        <v>66</v>
      </c>
      <c r="W1632" t="s">
        <v>66</v>
      </c>
      <c r="X1632">
        <v>503034</v>
      </c>
      <c r="Y1632">
        <v>55333.74</v>
      </c>
      <c r="Z1632">
        <v>43512</v>
      </c>
      <c r="AA1632">
        <v>4786.32</v>
      </c>
      <c r="AB1632">
        <v>558367.74</v>
      </c>
      <c r="AC1632">
        <v>6</v>
      </c>
      <c r="AD1632" t="s">
        <v>82</v>
      </c>
      <c r="AE1632">
        <v>6</v>
      </c>
      <c r="AF1632" t="s">
        <v>262</v>
      </c>
      <c r="AG1632">
        <f>IFERROR(VLOOKUP(AF1632,[1]STOK!J:O,6,0),"")</f>
        <v>24</v>
      </c>
      <c r="AH1632" s="2">
        <f t="shared" si="50"/>
        <v>0.25</v>
      </c>
      <c r="AI1632" t="s">
        <v>262</v>
      </c>
      <c r="AJ1632" t="s">
        <v>263</v>
      </c>
      <c r="AK1632" t="s">
        <v>264</v>
      </c>
      <c r="AL1632" t="s">
        <v>86</v>
      </c>
      <c r="AM1632">
        <v>8214</v>
      </c>
      <c r="AN1632">
        <f t="shared" si="51"/>
        <v>8049.72</v>
      </c>
      <c r="AO1632" t="s">
        <v>66</v>
      </c>
      <c r="AP1632">
        <v>2</v>
      </c>
      <c r="AQ1632" t="s">
        <v>66</v>
      </c>
      <c r="AR1632">
        <v>0</v>
      </c>
      <c r="AS1632" t="s">
        <v>66</v>
      </c>
      <c r="AT1632">
        <v>0</v>
      </c>
      <c r="AU1632" t="s">
        <v>66</v>
      </c>
      <c r="AV1632">
        <v>0</v>
      </c>
      <c r="AW1632" t="s">
        <v>66</v>
      </c>
      <c r="AX1632">
        <v>0</v>
      </c>
      <c r="AY1632" t="s">
        <v>66</v>
      </c>
      <c r="AZ1632">
        <v>0</v>
      </c>
      <c r="BA1632" t="s">
        <v>66</v>
      </c>
      <c r="BB1632">
        <v>0</v>
      </c>
      <c r="BC1632">
        <v>0</v>
      </c>
      <c r="BD1632">
        <v>48298.32</v>
      </c>
      <c r="BE1632">
        <v>6681.53</v>
      </c>
      <c r="BF1632">
        <v>0</v>
      </c>
      <c r="BG1632" t="s">
        <v>87</v>
      </c>
      <c r="BH1632" t="s">
        <v>66</v>
      </c>
      <c r="BI1632">
        <v>0</v>
      </c>
      <c r="BJ1632" t="s">
        <v>66</v>
      </c>
      <c r="BK1632" t="s">
        <v>88</v>
      </c>
      <c r="BL1632" t="s">
        <v>742</v>
      </c>
      <c r="BM1632" t="s">
        <v>159</v>
      </c>
    </row>
    <row r="1633" spans="1:65" x14ac:dyDescent="0.25">
      <c r="A1633">
        <v>1631</v>
      </c>
      <c r="B1633" t="s">
        <v>1713</v>
      </c>
      <c r="C1633" t="s">
        <v>68</v>
      </c>
      <c r="D1633" s="1">
        <v>46224</v>
      </c>
      <c r="E1633" t="s">
        <v>1714</v>
      </c>
      <c r="F1633" t="s">
        <v>68</v>
      </c>
      <c r="G1633" t="s">
        <v>295</v>
      </c>
      <c r="H1633" t="s">
        <v>296</v>
      </c>
      <c r="I1633" t="s">
        <v>71</v>
      </c>
      <c r="J1633" t="s">
        <v>72</v>
      </c>
      <c r="K1633" t="s">
        <v>73</v>
      </c>
      <c r="L1633" t="s">
        <v>74</v>
      </c>
      <c r="M1633" t="s">
        <v>981</v>
      </c>
      <c r="N1633" t="s">
        <v>76</v>
      </c>
      <c r="O1633" t="s">
        <v>982</v>
      </c>
      <c r="P1633" t="s">
        <v>983</v>
      </c>
      <c r="Q1633" t="s">
        <v>1715</v>
      </c>
      <c r="R1633" s="1">
        <v>46226</v>
      </c>
      <c r="S1633" t="s">
        <v>841</v>
      </c>
      <c r="T1633" t="s">
        <v>913</v>
      </c>
      <c r="U1633" t="s">
        <v>843</v>
      </c>
      <c r="V1633" t="s">
        <v>66</v>
      </c>
      <c r="W1633" t="s">
        <v>66</v>
      </c>
      <c r="X1633">
        <v>503034</v>
      </c>
      <c r="Y1633">
        <v>55333.74</v>
      </c>
      <c r="Z1633">
        <v>59388</v>
      </c>
      <c r="AA1633">
        <v>6532.68</v>
      </c>
      <c r="AB1633">
        <v>558367.74</v>
      </c>
      <c r="AC1633">
        <v>6</v>
      </c>
      <c r="AD1633" t="s">
        <v>82</v>
      </c>
      <c r="AE1633">
        <v>6</v>
      </c>
      <c r="AF1633" t="s">
        <v>723</v>
      </c>
      <c r="AG1633">
        <f>IFERROR(VLOOKUP(AF1633,[1]STOK!J:O,6,0),"")</f>
        <v>24</v>
      </c>
      <c r="AH1633" s="2">
        <f t="shared" si="50"/>
        <v>0.25</v>
      </c>
      <c r="AI1633" t="s">
        <v>723</v>
      </c>
      <c r="AJ1633" t="s">
        <v>724</v>
      </c>
      <c r="AK1633" t="s">
        <v>725</v>
      </c>
      <c r="AL1633" t="s">
        <v>86</v>
      </c>
      <c r="AM1633">
        <v>11211</v>
      </c>
      <c r="AN1633">
        <f t="shared" si="51"/>
        <v>10986.779999999999</v>
      </c>
      <c r="AO1633" t="s">
        <v>66</v>
      </c>
      <c r="AP1633">
        <v>2</v>
      </c>
      <c r="AQ1633" t="s">
        <v>66</v>
      </c>
      <c r="AR1633">
        <v>0</v>
      </c>
      <c r="AS1633" t="s">
        <v>66</v>
      </c>
      <c r="AT1633">
        <v>0</v>
      </c>
      <c r="AU1633" t="s">
        <v>66</v>
      </c>
      <c r="AV1633">
        <v>0</v>
      </c>
      <c r="AW1633" t="s">
        <v>66</v>
      </c>
      <c r="AX1633">
        <v>0</v>
      </c>
      <c r="AY1633" t="s">
        <v>66</v>
      </c>
      <c r="AZ1633">
        <v>0</v>
      </c>
      <c r="BA1633" t="s">
        <v>66</v>
      </c>
      <c r="BB1633">
        <v>0</v>
      </c>
      <c r="BC1633">
        <v>0</v>
      </c>
      <c r="BD1633">
        <v>65920.679999999993</v>
      </c>
      <c r="BE1633">
        <v>9094.83</v>
      </c>
      <c r="BF1633">
        <v>0</v>
      </c>
      <c r="BG1633" t="s">
        <v>87</v>
      </c>
      <c r="BH1633" t="s">
        <v>66</v>
      </c>
      <c r="BI1633">
        <v>0</v>
      </c>
      <c r="BJ1633" t="s">
        <v>66</v>
      </c>
      <c r="BK1633" t="s">
        <v>88</v>
      </c>
      <c r="BL1633" t="s">
        <v>742</v>
      </c>
      <c r="BM1633" t="s">
        <v>159</v>
      </c>
    </row>
    <row r="1634" spans="1:65" x14ac:dyDescent="0.25">
      <c r="A1634">
        <v>1632</v>
      </c>
      <c r="B1634" t="s">
        <v>1713</v>
      </c>
      <c r="C1634" t="s">
        <v>68</v>
      </c>
      <c r="D1634" s="1">
        <v>46224</v>
      </c>
      <c r="E1634" t="s">
        <v>1714</v>
      </c>
      <c r="F1634" t="s">
        <v>68</v>
      </c>
      <c r="G1634" t="s">
        <v>295</v>
      </c>
      <c r="H1634" t="s">
        <v>296</v>
      </c>
      <c r="I1634" t="s">
        <v>71</v>
      </c>
      <c r="J1634" t="s">
        <v>72</v>
      </c>
      <c r="K1634" t="s">
        <v>73</v>
      </c>
      <c r="L1634" t="s">
        <v>74</v>
      </c>
      <c r="M1634" t="s">
        <v>981</v>
      </c>
      <c r="N1634" t="s">
        <v>76</v>
      </c>
      <c r="O1634" t="s">
        <v>982</v>
      </c>
      <c r="P1634" t="s">
        <v>983</v>
      </c>
      <c r="Q1634" t="s">
        <v>1715</v>
      </c>
      <c r="R1634" s="1">
        <v>46226</v>
      </c>
      <c r="S1634" t="s">
        <v>841</v>
      </c>
      <c r="T1634" t="s">
        <v>913</v>
      </c>
      <c r="U1634" t="s">
        <v>843</v>
      </c>
      <c r="V1634" t="s">
        <v>66</v>
      </c>
      <c r="W1634" t="s">
        <v>66</v>
      </c>
      <c r="X1634">
        <v>503034</v>
      </c>
      <c r="Y1634">
        <v>55333.74</v>
      </c>
      <c r="Z1634">
        <v>114072</v>
      </c>
      <c r="AA1634">
        <v>12547.92</v>
      </c>
      <c r="AB1634">
        <v>558367.74</v>
      </c>
      <c r="AC1634">
        <v>6</v>
      </c>
      <c r="AD1634" t="s">
        <v>82</v>
      </c>
      <c r="AE1634">
        <v>6</v>
      </c>
      <c r="AF1634" t="s">
        <v>470</v>
      </c>
      <c r="AG1634">
        <f>IFERROR(VLOOKUP(AF1634,[1]STOK!J:O,6,0),"")</f>
        <v>24</v>
      </c>
      <c r="AH1634" s="2">
        <f t="shared" si="50"/>
        <v>0.25</v>
      </c>
      <c r="AI1634" t="s">
        <v>470</v>
      </c>
      <c r="AJ1634" t="s">
        <v>471</v>
      </c>
      <c r="AK1634" t="s">
        <v>472</v>
      </c>
      <c r="AL1634" t="s">
        <v>86</v>
      </c>
      <c r="AM1634">
        <v>21534</v>
      </c>
      <c r="AN1634">
        <f t="shared" si="51"/>
        <v>21103.32</v>
      </c>
      <c r="AO1634" t="s">
        <v>66</v>
      </c>
      <c r="AP1634">
        <v>2</v>
      </c>
      <c r="AQ1634" t="s">
        <v>66</v>
      </c>
      <c r="AR1634">
        <v>0</v>
      </c>
      <c r="AS1634" t="s">
        <v>66</v>
      </c>
      <c r="AT1634">
        <v>0</v>
      </c>
      <c r="AU1634" t="s">
        <v>66</v>
      </c>
      <c r="AV1634">
        <v>0</v>
      </c>
      <c r="AW1634" t="s">
        <v>66</v>
      </c>
      <c r="AX1634">
        <v>0</v>
      </c>
      <c r="AY1634" t="s">
        <v>66</v>
      </c>
      <c r="AZ1634">
        <v>0</v>
      </c>
      <c r="BA1634" t="s">
        <v>66</v>
      </c>
      <c r="BB1634">
        <v>0</v>
      </c>
      <c r="BC1634">
        <v>0</v>
      </c>
      <c r="BD1634">
        <v>126619.92</v>
      </c>
      <c r="BE1634">
        <v>17512.650000000001</v>
      </c>
      <c r="BF1634">
        <v>0</v>
      </c>
      <c r="BG1634" t="s">
        <v>87</v>
      </c>
      <c r="BH1634" t="s">
        <v>66</v>
      </c>
      <c r="BI1634">
        <v>0</v>
      </c>
      <c r="BJ1634" t="s">
        <v>66</v>
      </c>
      <c r="BK1634" t="s">
        <v>88</v>
      </c>
      <c r="BL1634" t="s">
        <v>742</v>
      </c>
      <c r="BM1634" t="s">
        <v>159</v>
      </c>
    </row>
    <row r="1635" spans="1:65" x14ac:dyDescent="0.25">
      <c r="A1635">
        <v>1633</v>
      </c>
      <c r="B1635" t="s">
        <v>1713</v>
      </c>
      <c r="C1635" t="s">
        <v>68</v>
      </c>
      <c r="D1635" s="1">
        <v>46224</v>
      </c>
      <c r="E1635" t="s">
        <v>1714</v>
      </c>
      <c r="F1635" t="s">
        <v>68</v>
      </c>
      <c r="G1635" t="s">
        <v>295</v>
      </c>
      <c r="H1635" t="s">
        <v>296</v>
      </c>
      <c r="I1635" t="s">
        <v>71</v>
      </c>
      <c r="J1635" t="s">
        <v>72</v>
      </c>
      <c r="K1635" t="s">
        <v>73</v>
      </c>
      <c r="L1635" t="s">
        <v>74</v>
      </c>
      <c r="M1635" t="s">
        <v>981</v>
      </c>
      <c r="N1635" t="s">
        <v>76</v>
      </c>
      <c r="O1635" t="s">
        <v>982</v>
      </c>
      <c r="P1635" t="s">
        <v>983</v>
      </c>
      <c r="Q1635" t="s">
        <v>1715</v>
      </c>
      <c r="R1635" s="1">
        <v>46226</v>
      </c>
      <c r="S1635" t="s">
        <v>841</v>
      </c>
      <c r="T1635" t="s">
        <v>913</v>
      </c>
      <c r="U1635" t="s">
        <v>843</v>
      </c>
      <c r="V1635" t="s">
        <v>66</v>
      </c>
      <c r="W1635" t="s">
        <v>66</v>
      </c>
      <c r="X1635">
        <v>503034</v>
      </c>
      <c r="Y1635">
        <v>55333.74</v>
      </c>
      <c r="Z1635">
        <v>50862</v>
      </c>
      <c r="AA1635">
        <v>5594.82</v>
      </c>
      <c r="AB1635">
        <v>558367.74</v>
      </c>
      <c r="AC1635">
        <v>3</v>
      </c>
      <c r="AD1635" t="s">
        <v>82</v>
      </c>
      <c r="AE1635">
        <v>3</v>
      </c>
      <c r="AF1635" t="s">
        <v>359</v>
      </c>
      <c r="AG1635">
        <f>IFERROR(VLOOKUP(AF1635,[1]STOK!J:O,6,0),"")</f>
        <v>12</v>
      </c>
      <c r="AH1635" s="2">
        <f t="shared" si="50"/>
        <v>0.25</v>
      </c>
      <c r="AI1635" t="s">
        <v>359</v>
      </c>
      <c r="AJ1635" t="s">
        <v>360</v>
      </c>
      <c r="AK1635" t="s">
        <v>361</v>
      </c>
      <c r="AL1635" t="s">
        <v>86</v>
      </c>
      <c r="AM1635">
        <v>19203</v>
      </c>
      <c r="AN1635">
        <f t="shared" si="51"/>
        <v>18818.939999999999</v>
      </c>
      <c r="AO1635" t="s">
        <v>66</v>
      </c>
      <c r="AP1635">
        <v>2</v>
      </c>
      <c r="AQ1635" t="s">
        <v>66</v>
      </c>
      <c r="AR1635">
        <v>0</v>
      </c>
      <c r="AS1635" t="s">
        <v>66</v>
      </c>
      <c r="AT1635">
        <v>0</v>
      </c>
      <c r="AU1635" t="s">
        <v>66</v>
      </c>
      <c r="AV1635">
        <v>0</v>
      </c>
      <c r="AW1635" t="s">
        <v>66</v>
      </c>
      <c r="AX1635">
        <v>0</v>
      </c>
      <c r="AY1635" t="s">
        <v>66</v>
      </c>
      <c r="AZ1635">
        <v>0</v>
      </c>
      <c r="BA1635" t="s">
        <v>66</v>
      </c>
      <c r="BB1635">
        <v>0</v>
      </c>
      <c r="BC1635">
        <v>0</v>
      </c>
      <c r="BD1635">
        <v>56456.82</v>
      </c>
      <c r="BE1635">
        <v>15628.14</v>
      </c>
      <c r="BF1635">
        <v>0</v>
      </c>
      <c r="BG1635" t="s">
        <v>87</v>
      </c>
      <c r="BH1635" t="s">
        <v>66</v>
      </c>
      <c r="BI1635">
        <v>0</v>
      </c>
      <c r="BJ1635" t="s">
        <v>66</v>
      </c>
      <c r="BK1635" t="s">
        <v>88</v>
      </c>
      <c r="BL1635" t="s">
        <v>742</v>
      </c>
      <c r="BM1635" t="s">
        <v>159</v>
      </c>
    </row>
    <row r="1636" spans="1:65" x14ac:dyDescent="0.25">
      <c r="A1636">
        <v>1634</v>
      </c>
      <c r="B1636" t="s">
        <v>1713</v>
      </c>
      <c r="C1636" t="s">
        <v>68</v>
      </c>
      <c r="D1636" s="1">
        <v>46224</v>
      </c>
      <c r="E1636" t="s">
        <v>1714</v>
      </c>
      <c r="F1636" t="s">
        <v>68</v>
      </c>
      <c r="G1636" t="s">
        <v>295</v>
      </c>
      <c r="H1636" t="s">
        <v>296</v>
      </c>
      <c r="I1636" t="s">
        <v>71</v>
      </c>
      <c r="J1636" t="s">
        <v>72</v>
      </c>
      <c r="K1636" t="s">
        <v>73</v>
      </c>
      <c r="L1636" t="s">
        <v>74</v>
      </c>
      <c r="M1636" t="s">
        <v>981</v>
      </c>
      <c r="N1636" t="s">
        <v>76</v>
      </c>
      <c r="O1636" t="s">
        <v>982</v>
      </c>
      <c r="P1636" t="s">
        <v>983</v>
      </c>
      <c r="Q1636" t="s">
        <v>1715</v>
      </c>
      <c r="R1636" s="1">
        <v>46226</v>
      </c>
      <c r="S1636" t="s">
        <v>841</v>
      </c>
      <c r="T1636" t="s">
        <v>913</v>
      </c>
      <c r="U1636" t="s">
        <v>843</v>
      </c>
      <c r="V1636" t="s">
        <v>66</v>
      </c>
      <c r="W1636" t="s">
        <v>66</v>
      </c>
      <c r="X1636">
        <v>503034</v>
      </c>
      <c r="Y1636">
        <v>55333.74</v>
      </c>
      <c r="Z1636">
        <v>117600</v>
      </c>
      <c r="AA1636">
        <v>12936</v>
      </c>
      <c r="AB1636">
        <v>558367.74</v>
      </c>
      <c r="AC1636">
        <v>6</v>
      </c>
      <c r="AD1636" t="s">
        <v>82</v>
      </c>
      <c r="AE1636">
        <v>6</v>
      </c>
      <c r="AF1636" t="s">
        <v>290</v>
      </c>
      <c r="AG1636">
        <f>IFERROR(VLOOKUP(AF1636,[1]STOK!J:O,6,0),"")</f>
        <v>12</v>
      </c>
      <c r="AH1636" s="2">
        <f t="shared" si="50"/>
        <v>0.5</v>
      </c>
      <c r="AI1636" t="s">
        <v>290</v>
      </c>
      <c r="AJ1636" t="s">
        <v>291</v>
      </c>
      <c r="AK1636" t="s">
        <v>292</v>
      </c>
      <c r="AL1636" t="s">
        <v>86</v>
      </c>
      <c r="AM1636">
        <v>22200</v>
      </c>
      <c r="AN1636">
        <f t="shared" si="51"/>
        <v>21756</v>
      </c>
      <c r="AO1636" t="s">
        <v>66</v>
      </c>
      <c r="AP1636">
        <v>2</v>
      </c>
      <c r="AQ1636" t="s">
        <v>66</v>
      </c>
      <c r="AR1636">
        <v>0</v>
      </c>
      <c r="AS1636" t="s">
        <v>66</v>
      </c>
      <c r="AT1636">
        <v>0</v>
      </c>
      <c r="AU1636" t="s">
        <v>66</v>
      </c>
      <c r="AV1636">
        <v>0</v>
      </c>
      <c r="AW1636" t="s">
        <v>66</v>
      </c>
      <c r="AX1636">
        <v>0</v>
      </c>
      <c r="AY1636" t="s">
        <v>66</v>
      </c>
      <c r="AZ1636">
        <v>0</v>
      </c>
      <c r="BA1636" t="s">
        <v>66</v>
      </c>
      <c r="BB1636">
        <v>0</v>
      </c>
      <c r="BC1636">
        <v>0</v>
      </c>
      <c r="BD1636">
        <v>130536</v>
      </c>
      <c r="BE1636">
        <v>18103.439999999999</v>
      </c>
      <c r="BF1636">
        <v>0</v>
      </c>
      <c r="BG1636" t="s">
        <v>87</v>
      </c>
      <c r="BH1636" t="s">
        <v>66</v>
      </c>
      <c r="BI1636">
        <v>0</v>
      </c>
      <c r="BJ1636" t="s">
        <v>66</v>
      </c>
      <c r="BK1636" t="s">
        <v>88</v>
      </c>
      <c r="BL1636" t="s">
        <v>742</v>
      </c>
      <c r="BM1636" t="s">
        <v>159</v>
      </c>
    </row>
    <row r="1637" spans="1:65" x14ac:dyDescent="0.25">
      <c r="A1637">
        <v>1635</v>
      </c>
      <c r="B1637" t="s">
        <v>1713</v>
      </c>
      <c r="C1637" t="s">
        <v>68</v>
      </c>
      <c r="D1637" s="1">
        <v>46224</v>
      </c>
      <c r="E1637" t="s">
        <v>1714</v>
      </c>
      <c r="F1637" t="s">
        <v>68</v>
      </c>
      <c r="G1637" t="s">
        <v>295</v>
      </c>
      <c r="H1637" t="s">
        <v>296</v>
      </c>
      <c r="I1637" t="s">
        <v>71</v>
      </c>
      <c r="J1637" t="s">
        <v>72</v>
      </c>
      <c r="K1637" t="s">
        <v>73</v>
      </c>
      <c r="L1637" t="s">
        <v>74</v>
      </c>
      <c r="M1637" t="s">
        <v>981</v>
      </c>
      <c r="N1637" t="s">
        <v>76</v>
      </c>
      <c r="O1637" t="s">
        <v>982</v>
      </c>
      <c r="P1637" t="s">
        <v>983</v>
      </c>
      <c r="Q1637" t="s">
        <v>1715</v>
      </c>
      <c r="R1637" s="1">
        <v>46226</v>
      </c>
      <c r="S1637" t="s">
        <v>841</v>
      </c>
      <c r="T1637" t="s">
        <v>913</v>
      </c>
      <c r="U1637" t="s">
        <v>843</v>
      </c>
      <c r="V1637" t="s">
        <v>66</v>
      </c>
      <c r="W1637" t="s">
        <v>66</v>
      </c>
      <c r="X1637">
        <v>503034</v>
      </c>
      <c r="Y1637">
        <v>55333.74</v>
      </c>
      <c r="Z1637">
        <v>117600</v>
      </c>
      <c r="AA1637">
        <v>12936</v>
      </c>
      <c r="AB1637">
        <v>558367.74</v>
      </c>
      <c r="AC1637">
        <v>6</v>
      </c>
      <c r="AD1637" t="s">
        <v>82</v>
      </c>
      <c r="AE1637">
        <v>6</v>
      </c>
      <c r="AF1637" t="s">
        <v>102</v>
      </c>
      <c r="AG1637">
        <f>IFERROR(VLOOKUP(AF1637,[1]STOK!J:O,6,0),"")</f>
        <v>12</v>
      </c>
      <c r="AH1637" s="2">
        <f t="shared" si="50"/>
        <v>0.5</v>
      </c>
      <c r="AI1637" t="s">
        <v>102</v>
      </c>
      <c r="AJ1637" t="s">
        <v>103</v>
      </c>
      <c r="AK1637" t="s">
        <v>104</v>
      </c>
      <c r="AL1637" t="s">
        <v>86</v>
      </c>
      <c r="AM1637">
        <v>22200</v>
      </c>
      <c r="AN1637">
        <f t="shared" si="51"/>
        <v>21756</v>
      </c>
      <c r="AO1637" t="s">
        <v>66</v>
      </c>
      <c r="AP1637">
        <v>2</v>
      </c>
      <c r="AQ1637" t="s">
        <v>66</v>
      </c>
      <c r="AR1637">
        <v>0</v>
      </c>
      <c r="AS1637" t="s">
        <v>66</v>
      </c>
      <c r="AT1637">
        <v>0</v>
      </c>
      <c r="AU1637" t="s">
        <v>66</v>
      </c>
      <c r="AV1637">
        <v>0</v>
      </c>
      <c r="AW1637" t="s">
        <v>66</v>
      </c>
      <c r="AX1637">
        <v>0</v>
      </c>
      <c r="AY1637" t="s">
        <v>66</v>
      </c>
      <c r="AZ1637">
        <v>0</v>
      </c>
      <c r="BA1637" t="s">
        <v>66</v>
      </c>
      <c r="BB1637">
        <v>0</v>
      </c>
      <c r="BC1637">
        <v>0</v>
      </c>
      <c r="BD1637">
        <v>130536</v>
      </c>
      <c r="BE1637">
        <v>18055.25</v>
      </c>
      <c r="BF1637">
        <v>0</v>
      </c>
      <c r="BG1637" t="s">
        <v>87</v>
      </c>
      <c r="BH1637" t="s">
        <v>66</v>
      </c>
      <c r="BI1637">
        <v>0</v>
      </c>
      <c r="BJ1637" t="s">
        <v>66</v>
      </c>
      <c r="BK1637" t="s">
        <v>88</v>
      </c>
      <c r="BL1637" t="s">
        <v>742</v>
      </c>
      <c r="BM1637" t="s">
        <v>159</v>
      </c>
    </row>
    <row r="1638" spans="1:65" x14ac:dyDescent="0.25">
      <c r="A1638">
        <v>1636</v>
      </c>
      <c r="B1638" t="s">
        <v>1716</v>
      </c>
      <c r="C1638" t="s">
        <v>68</v>
      </c>
      <c r="D1638" s="1">
        <v>46224</v>
      </c>
      <c r="E1638" t="s">
        <v>1717</v>
      </c>
      <c r="F1638" t="s">
        <v>1718</v>
      </c>
      <c r="G1638" t="s">
        <v>295</v>
      </c>
      <c r="H1638" t="s">
        <v>296</v>
      </c>
      <c r="I1638" t="s">
        <v>71</v>
      </c>
      <c r="J1638" t="s">
        <v>72</v>
      </c>
      <c r="K1638" t="s">
        <v>73</v>
      </c>
      <c r="L1638" t="s">
        <v>74</v>
      </c>
      <c r="M1638" t="s">
        <v>1111</v>
      </c>
      <c r="N1638" t="s">
        <v>696</v>
      </c>
      <c r="O1638" t="s">
        <v>1112</v>
      </c>
      <c r="P1638" t="s">
        <v>1113</v>
      </c>
      <c r="Q1638" t="s">
        <v>1719</v>
      </c>
      <c r="R1638" s="1">
        <v>46225</v>
      </c>
      <c r="S1638" t="s">
        <v>1115</v>
      </c>
      <c r="T1638" t="s">
        <v>1116</v>
      </c>
      <c r="U1638" t="s">
        <v>1117</v>
      </c>
      <c r="V1638" t="s">
        <v>66</v>
      </c>
      <c r="W1638" t="s">
        <v>66</v>
      </c>
      <c r="X1638">
        <v>891624</v>
      </c>
      <c r="Y1638">
        <v>98078.64</v>
      </c>
      <c r="Z1638">
        <v>891624</v>
      </c>
      <c r="AA1638">
        <v>98078.64</v>
      </c>
      <c r="AB1638">
        <v>989702.64</v>
      </c>
      <c r="AC1638">
        <v>4</v>
      </c>
      <c r="AD1638" t="s">
        <v>134</v>
      </c>
      <c r="AE1638">
        <v>24</v>
      </c>
      <c r="AF1638" t="s">
        <v>138</v>
      </c>
      <c r="AG1638">
        <f>IFERROR(VLOOKUP(AF1638,[1]STOK!J:O,6,0),"")</f>
        <v>6</v>
      </c>
      <c r="AH1638" s="2">
        <f t="shared" si="50"/>
        <v>4</v>
      </c>
      <c r="AI1638" t="s">
        <v>138</v>
      </c>
      <c r="AJ1638" t="s">
        <v>139</v>
      </c>
      <c r="AK1638" t="s">
        <v>140</v>
      </c>
      <c r="AL1638" t="s">
        <v>86</v>
      </c>
      <c r="AM1638">
        <v>255078</v>
      </c>
      <c r="AN1638">
        <f t="shared" si="51"/>
        <v>247425.66</v>
      </c>
      <c r="AO1638" t="s">
        <v>66</v>
      </c>
      <c r="AP1638">
        <v>3</v>
      </c>
      <c r="AQ1638" t="s">
        <v>66</v>
      </c>
      <c r="AR1638">
        <v>0</v>
      </c>
      <c r="AS1638" t="s">
        <v>66</v>
      </c>
      <c r="AT1638">
        <v>0</v>
      </c>
      <c r="AU1638" t="s">
        <v>66</v>
      </c>
      <c r="AV1638">
        <v>0</v>
      </c>
      <c r="AW1638" t="s">
        <v>66</v>
      </c>
      <c r="AX1638">
        <v>0</v>
      </c>
      <c r="AY1638" t="s">
        <v>66</v>
      </c>
      <c r="AZ1638">
        <v>0</v>
      </c>
      <c r="BA1638" t="s">
        <v>66</v>
      </c>
      <c r="BB1638">
        <v>0</v>
      </c>
      <c r="BC1638">
        <v>0</v>
      </c>
      <c r="BD1638">
        <v>989702.64</v>
      </c>
      <c r="BE1638">
        <v>34654.5</v>
      </c>
      <c r="BF1638">
        <v>0</v>
      </c>
      <c r="BG1638" t="s">
        <v>87</v>
      </c>
      <c r="BH1638" t="s">
        <v>66</v>
      </c>
      <c r="BI1638">
        <v>0</v>
      </c>
      <c r="BJ1638" t="s">
        <v>66</v>
      </c>
      <c r="BK1638" t="s">
        <v>88</v>
      </c>
      <c r="BL1638" t="s">
        <v>66</v>
      </c>
      <c r="BM1638" t="s">
        <v>159</v>
      </c>
    </row>
    <row r="1639" spans="1:65" x14ac:dyDescent="0.25">
      <c r="A1639">
        <v>1637</v>
      </c>
      <c r="B1639" t="s">
        <v>1720</v>
      </c>
      <c r="C1639" t="s">
        <v>68</v>
      </c>
      <c r="D1639" s="1">
        <v>46224</v>
      </c>
      <c r="E1639" t="s">
        <v>1721</v>
      </c>
      <c r="F1639" t="s">
        <v>68</v>
      </c>
      <c r="G1639" t="s">
        <v>295</v>
      </c>
      <c r="H1639" t="s">
        <v>296</v>
      </c>
      <c r="I1639" t="s">
        <v>71</v>
      </c>
      <c r="J1639" t="s">
        <v>72</v>
      </c>
      <c r="K1639" t="s">
        <v>73</v>
      </c>
      <c r="L1639" t="s">
        <v>74</v>
      </c>
      <c r="M1639" t="s">
        <v>1722</v>
      </c>
      <c r="N1639" t="s">
        <v>76</v>
      </c>
      <c r="O1639" t="s">
        <v>1723</v>
      </c>
      <c r="P1639" t="s">
        <v>1724</v>
      </c>
      <c r="Q1639" t="s">
        <v>66</v>
      </c>
      <c r="R1639" s="1">
        <v>46224</v>
      </c>
      <c r="S1639" t="s">
        <v>716</v>
      </c>
      <c r="T1639" t="s">
        <v>717</v>
      </c>
      <c r="U1639" t="s">
        <v>718</v>
      </c>
      <c r="V1639" t="s">
        <v>66</v>
      </c>
      <c r="W1639" t="s">
        <v>66</v>
      </c>
      <c r="X1639">
        <v>311934</v>
      </c>
      <c r="Y1639">
        <v>34312.74</v>
      </c>
      <c r="Z1639">
        <v>54096</v>
      </c>
      <c r="AA1639">
        <v>5950.56</v>
      </c>
      <c r="AB1639">
        <v>346246.74</v>
      </c>
      <c r="AC1639">
        <v>3</v>
      </c>
      <c r="AD1639" t="s">
        <v>82</v>
      </c>
      <c r="AE1639">
        <v>3</v>
      </c>
      <c r="AF1639" t="s">
        <v>160</v>
      </c>
      <c r="AG1639">
        <f>IFERROR(VLOOKUP(AF1639,[1]STOK!J:O,6,0),"")</f>
        <v>12</v>
      </c>
      <c r="AH1639" s="2">
        <f t="shared" si="50"/>
        <v>0.25</v>
      </c>
      <c r="AI1639" t="s">
        <v>160</v>
      </c>
      <c r="AJ1639" t="s">
        <v>161</v>
      </c>
      <c r="AK1639" t="s">
        <v>162</v>
      </c>
      <c r="AL1639" t="s">
        <v>86</v>
      </c>
      <c r="AM1639">
        <v>20424</v>
      </c>
      <c r="AN1639">
        <f t="shared" si="51"/>
        <v>20015.52</v>
      </c>
      <c r="AO1639" t="s">
        <v>66</v>
      </c>
      <c r="AP1639">
        <v>2</v>
      </c>
      <c r="AQ1639" t="s">
        <v>66</v>
      </c>
      <c r="AR1639">
        <v>0</v>
      </c>
      <c r="AS1639" t="s">
        <v>66</v>
      </c>
      <c r="AT1639">
        <v>0</v>
      </c>
      <c r="AU1639" t="s">
        <v>66</v>
      </c>
      <c r="AV1639">
        <v>0</v>
      </c>
      <c r="AW1639" t="s">
        <v>66</v>
      </c>
      <c r="AX1639">
        <v>0</v>
      </c>
      <c r="AY1639" t="s">
        <v>66</v>
      </c>
      <c r="AZ1639">
        <v>0</v>
      </c>
      <c r="BA1639" t="s">
        <v>66</v>
      </c>
      <c r="BB1639">
        <v>0</v>
      </c>
      <c r="BC1639">
        <v>0</v>
      </c>
      <c r="BD1639">
        <v>60046.559999999998</v>
      </c>
      <c r="BE1639">
        <v>16709.57</v>
      </c>
      <c r="BF1639">
        <v>0</v>
      </c>
      <c r="BG1639" t="s">
        <v>87</v>
      </c>
      <c r="BH1639" t="s">
        <v>1725</v>
      </c>
      <c r="BI1639">
        <v>3</v>
      </c>
      <c r="BJ1639" t="s">
        <v>158</v>
      </c>
      <c r="BK1639" t="s">
        <v>88</v>
      </c>
      <c r="BL1639" t="s">
        <v>742</v>
      </c>
      <c r="BM1639" t="s">
        <v>159</v>
      </c>
    </row>
    <row r="1640" spans="1:65" x14ac:dyDescent="0.25">
      <c r="A1640">
        <v>1638</v>
      </c>
      <c r="B1640" t="s">
        <v>1720</v>
      </c>
      <c r="C1640" t="s">
        <v>68</v>
      </c>
      <c r="D1640" s="1">
        <v>46224</v>
      </c>
      <c r="E1640" t="s">
        <v>1721</v>
      </c>
      <c r="F1640" t="s">
        <v>68</v>
      </c>
      <c r="G1640" t="s">
        <v>295</v>
      </c>
      <c r="H1640" t="s">
        <v>296</v>
      </c>
      <c r="I1640" t="s">
        <v>71</v>
      </c>
      <c r="J1640" t="s">
        <v>72</v>
      </c>
      <c r="K1640" t="s">
        <v>73</v>
      </c>
      <c r="L1640" t="s">
        <v>74</v>
      </c>
      <c r="M1640" t="s">
        <v>1722</v>
      </c>
      <c r="N1640" t="s">
        <v>76</v>
      </c>
      <c r="O1640" t="s">
        <v>1723</v>
      </c>
      <c r="P1640" t="s">
        <v>1724</v>
      </c>
      <c r="Q1640" t="s">
        <v>66</v>
      </c>
      <c r="R1640" s="1">
        <v>46224</v>
      </c>
      <c r="S1640" t="s">
        <v>716</v>
      </c>
      <c r="T1640" t="s">
        <v>717</v>
      </c>
      <c r="U1640" t="s">
        <v>718</v>
      </c>
      <c r="V1640" t="s">
        <v>66</v>
      </c>
      <c r="W1640" t="s">
        <v>66</v>
      </c>
      <c r="X1640">
        <v>311934</v>
      </c>
      <c r="Y1640">
        <v>34312.74</v>
      </c>
      <c r="Z1640">
        <v>54096</v>
      </c>
      <c r="AA1640">
        <v>5950.56</v>
      </c>
      <c r="AB1640">
        <v>346246.74</v>
      </c>
      <c r="AC1640">
        <v>3</v>
      </c>
      <c r="AD1640" t="s">
        <v>82</v>
      </c>
      <c r="AE1640">
        <v>3</v>
      </c>
      <c r="AF1640" t="s">
        <v>160</v>
      </c>
      <c r="AG1640">
        <f>IFERROR(VLOOKUP(AF1640,[1]STOK!J:O,6,0),"")</f>
        <v>12</v>
      </c>
      <c r="AH1640" s="2">
        <f t="shared" si="50"/>
        <v>0.25</v>
      </c>
      <c r="AI1640" t="s">
        <v>160</v>
      </c>
      <c r="AJ1640" t="s">
        <v>161</v>
      </c>
      <c r="AK1640" t="s">
        <v>162</v>
      </c>
      <c r="AL1640" t="s">
        <v>86</v>
      </c>
      <c r="AM1640">
        <v>20424</v>
      </c>
      <c r="AN1640">
        <f t="shared" si="51"/>
        <v>20015.52</v>
      </c>
      <c r="AO1640" t="s">
        <v>66</v>
      </c>
      <c r="AP1640">
        <v>2</v>
      </c>
      <c r="AQ1640" t="s">
        <v>66</v>
      </c>
      <c r="AR1640">
        <v>0</v>
      </c>
      <c r="AS1640" t="s">
        <v>66</v>
      </c>
      <c r="AT1640">
        <v>0</v>
      </c>
      <c r="AU1640" t="s">
        <v>66</v>
      </c>
      <c r="AV1640">
        <v>0</v>
      </c>
      <c r="AW1640" t="s">
        <v>66</v>
      </c>
      <c r="AX1640">
        <v>0</v>
      </c>
      <c r="AY1640" t="s">
        <v>66</v>
      </c>
      <c r="AZ1640">
        <v>0</v>
      </c>
      <c r="BA1640" t="s">
        <v>66</v>
      </c>
      <c r="BB1640">
        <v>0</v>
      </c>
      <c r="BC1640">
        <v>0</v>
      </c>
      <c r="BD1640">
        <v>60046.559999999998</v>
      </c>
      <c r="BE1640">
        <v>16709.57</v>
      </c>
      <c r="BF1640">
        <v>0</v>
      </c>
      <c r="BG1640" t="s">
        <v>87</v>
      </c>
      <c r="BH1640" t="s">
        <v>1725</v>
      </c>
      <c r="BI1640">
        <v>3</v>
      </c>
      <c r="BJ1640" t="s">
        <v>158</v>
      </c>
      <c r="BK1640" t="s">
        <v>88</v>
      </c>
      <c r="BL1640" t="s">
        <v>742</v>
      </c>
      <c r="BM1640" t="s">
        <v>159</v>
      </c>
    </row>
    <row r="1641" spans="1:65" x14ac:dyDescent="0.25">
      <c r="A1641">
        <v>1639</v>
      </c>
      <c r="B1641" t="s">
        <v>1720</v>
      </c>
      <c r="C1641" t="s">
        <v>68</v>
      </c>
      <c r="D1641" s="1">
        <v>46224</v>
      </c>
      <c r="E1641" t="s">
        <v>1721</v>
      </c>
      <c r="F1641" t="s">
        <v>68</v>
      </c>
      <c r="G1641" t="s">
        <v>295</v>
      </c>
      <c r="H1641" t="s">
        <v>296</v>
      </c>
      <c r="I1641" t="s">
        <v>71</v>
      </c>
      <c r="J1641" t="s">
        <v>72</v>
      </c>
      <c r="K1641" t="s">
        <v>73</v>
      </c>
      <c r="L1641" t="s">
        <v>74</v>
      </c>
      <c r="M1641" t="s">
        <v>1722</v>
      </c>
      <c r="N1641" t="s">
        <v>76</v>
      </c>
      <c r="O1641" t="s">
        <v>1723</v>
      </c>
      <c r="P1641" t="s">
        <v>1724</v>
      </c>
      <c r="Q1641" t="s">
        <v>66</v>
      </c>
      <c r="R1641" s="1">
        <v>46224</v>
      </c>
      <c r="S1641" t="s">
        <v>716</v>
      </c>
      <c r="T1641" t="s">
        <v>717</v>
      </c>
      <c r="U1641" t="s">
        <v>718</v>
      </c>
      <c r="V1641" t="s">
        <v>66</v>
      </c>
      <c r="W1641" t="s">
        <v>66</v>
      </c>
      <c r="X1641">
        <v>311934</v>
      </c>
      <c r="Y1641">
        <v>34312.74</v>
      </c>
      <c r="Z1641">
        <v>21756</v>
      </c>
      <c r="AA1641">
        <v>2393.16</v>
      </c>
      <c r="AB1641">
        <v>346246.74</v>
      </c>
      <c r="AC1641">
        <v>3</v>
      </c>
      <c r="AD1641" t="s">
        <v>82</v>
      </c>
      <c r="AE1641">
        <v>3</v>
      </c>
      <c r="AF1641" t="s">
        <v>262</v>
      </c>
      <c r="AG1641">
        <f>IFERROR(VLOOKUP(AF1641,[1]STOK!J:O,6,0),"")</f>
        <v>24</v>
      </c>
      <c r="AH1641" s="2">
        <f t="shared" si="50"/>
        <v>0.125</v>
      </c>
      <c r="AI1641" t="s">
        <v>262</v>
      </c>
      <c r="AJ1641" t="s">
        <v>263</v>
      </c>
      <c r="AK1641" t="s">
        <v>264</v>
      </c>
      <c r="AL1641" t="s">
        <v>86</v>
      </c>
      <c r="AM1641">
        <v>8214</v>
      </c>
      <c r="AN1641">
        <f t="shared" si="51"/>
        <v>8049.72</v>
      </c>
      <c r="AO1641" t="s">
        <v>66</v>
      </c>
      <c r="AP1641">
        <v>2</v>
      </c>
      <c r="AQ1641" t="s">
        <v>66</v>
      </c>
      <c r="AR1641">
        <v>0</v>
      </c>
      <c r="AS1641" t="s">
        <v>66</v>
      </c>
      <c r="AT1641">
        <v>0</v>
      </c>
      <c r="AU1641" t="s">
        <v>66</v>
      </c>
      <c r="AV1641">
        <v>0</v>
      </c>
      <c r="AW1641" t="s">
        <v>66</v>
      </c>
      <c r="AX1641">
        <v>0</v>
      </c>
      <c r="AY1641" t="s">
        <v>66</v>
      </c>
      <c r="AZ1641">
        <v>0</v>
      </c>
      <c r="BA1641" t="s">
        <v>66</v>
      </c>
      <c r="BB1641">
        <v>0</v>
      </c>
      <c r="BC1641">
        <v>0</v>
      </c>
      <c r="BD1641">
        <v>24149.16</v>
      </c>
      <c r="BE1641">
        <v>6681.53</v>
      </c>
      <c r="BF1641">
        <v>0</v>
      </c>
      <c r="BG1641" t="s">
        <v>87</v>
      </c>
      <c r="BH1641" t="s">
        <v>1725</v>
      </c>
      <c r="BI1641">
        <v>3</v>
      </c>
      <c r="BJ1641" t="s">
        <v>158</v>
      </c>
      <c r="BK1641" t="s">
        <v>88</v>
      </c>
      <c r="BL1641" t="s">
        <v>742</v>
      </c>
      <c r="BM1641" t="s">
        <v>159</v>
      </c>
    </row>
    <row r="1642" spans="1:65" x14ac:dyDescent="0.25">
      <c r="A1642">
        <v>1640</v>
      </c>
      <c r="B1642" t="s">
        <v>1720</v>
      </c>
      <c r="C1642" t="s">
        <v>68</v>
      </c>
      <c r="D1642" s="1">
        <v>46224</v>
      </c>
      <c r="E1642" t="s">
        <v>1721</v>
      </c>
      <c r="F1642" t="s">
        <v>68</v>
      </c>
      <c r="G1642" t="s">
        <v>295</v>
      </c>
      <c r="H1642" t="s">
        <v>296</v>
      </c>
      <c r="I1642" t="s">
        <v>71</v>
      </c>
      <c r="J1642" t="s">
        <v>72</v>
      </c>
      <c r="K1642" t="s">
        <v>73</v>
      </c>
      <c r="L1642" t="s">
        <v>74</v>
      </c>
      <c r="M1642" t="s">
        <v>1722</v>
      </c>
      <c r="N1642" t="s">
        <v>76</v>
      </c>
      <c r="O1642" t="s">
        <v>1723</v>
      </c>
      <c r="P1642" t="s">
        <v>1724</v>
      </c>
      <c r="Q1642" t="s">
        <v>66</v>
      </c>
      <c r="R1642" s="1">
        <v>46224</v>
      </c>
      <c r="S1642" t="s">
        <v>716</v>
      </c>
      <c r="T1642" t="s">
        <v>717</v>
      </c>
      <c r="U1642" t="s">
        <v>718</v>
      </c>
      <c r="V1642" t="s">
        <v>66</v>
      </c>
      <c r="W1642" t="s">
        <v>66</v>
      </c>
      <c r="X1642">
        <v>311934</v>
      </c>
      <c r="Y1642">
        <v>34312.74</v>
      </c>
      <c r="Z1642">
        <v>29694</v>
      </c>
      <c r="AA1642">
        <v>3266.34</v>
      </c>
      <c r="AB1642">
        <v>346246.74</v>
      </c>
      <c r="AC1642">
        <v>3</v>
      </c>
      <c r="AD1642" t="s">
        <v>82</v>
      </c>
      <c r="AE1642">
        <v>3</v>
      </c>
      <c r="AF1642" t="s">
        <v>848</v>
      </c>
      <c r="AG1642">
        <f>IFERROR(VLOOKUP(AF1642,[1]STOK!J:O,6,0),"")</f>
        <v>24</v>
      </c>
      <c r="AH1642" s="2">
        <f t="shared" si="50"/>
        <v>0.125</v>
      </c>
      <c r="AI1642" t="s">
        <v>848</v>
      </c>
      <c r="AJ1642" t="s">
        <v>849</v>
      </c>
      <c r="AK1642" t="s">
        <v>850</v>
      </c>
      <c r="AL1642" t="s">
        <v>86</v>
      </c>
      <c r="AM1642">
        <v>11211</v>
      </c>
      <c r="AN1642">
        <f t="shared" si="51"/>
        <v>10986.779999999999</v>
      </c>
      <c r="AO1642" t="s">
        <v>66</v>
      </c>
      <c r="AP1642">
        <v>2</v>
      </c>
      <c r="AQ1642" t="s">
        <v>66</v>
      </c>
      <c r="AR1642">
        <v>0</v>
      </c>
      <c r="AS1642" t="s">
        <v>66</v>
      </c>
      <c r="AT1642">
        <v>0</v>
      </c>
      <c r="AU1642" t="s">
        <v>66</v>
      </c>
      <c r="AV1642">
        <v>0</v>
      </c>
      <c r="AW1642" t="s">
        <v>66</v>
      </c>
      <c r="AX1642">
        <v>0</v>
      </c>
      <c r="AY1642" t="s">
        <v>66</v>
      </c>
      <c r="AZ1642">
        <v>0</v>
      </c>
      <c r="BA1642" t="s">
        <v>66</v>
      </c>
      <c r="BB1642">
        <v>0</v>
      </c>
      <c r="BC1642">
        <v>0</v>
      </c>
      <c r="BD1642">
        <v>32960.339999999997</v>
      </c>
      <c r="BE1642">
        <v>8922.2099999999991</v>
      </c>
      <c r="BF1642">
        <v>0</v>
      </c>
      <c r="BG1642" t="s">
        <v>87</v>
      </c>
      <c r="BH1642" t="s">
        <v>1725</v>
      </c>
      <c r="BI1642">
        <v>3</v>
      </c>
      <c r="BJ1642" t="s">
        <v>158</v>
      </c>
      <c r="BK1642" t="s">
        <v>88</v>
      </c>
      <c r="BL1642" t="s">
        <v>742</v>
      </c>
      <c r="BM1642" t="s">
        <v>159</v>
      </c>
    </row>
    <row r="1643" spans="1:65" x14ac:dyDescent="0.25">
      <c r="A1643">
        <v>1641</v>
      </c>
      <c r="B1643" t="s">
        <v>1720</v>
      </c>
      <c r="C1643" t="s">
        <v>68</v>
      </c>
      <c r="D1643" s="1">
        <v>46224</v>
      </c>
      <c r="E1643" t="s">
        <v>1721</v>
      </c>
      <c r="F1643" t="s">
        <v>68</v>
      </c>
      <c r="G1643" t="s">
        <v>295</v>
      </c>
      <c r="H1643" t="s">
        <v>296</v>
      </c>
      <c r="I1643" t="s">
        <v>71</v>
      </c>
      <c r="J1643" t="s">
        <v>72</v>
      </c>
      <c r="K1643" t="s">
        <v>73</v>
      </c>
      <c r="L1643" t="s">
        <v>74</v>
      </c>
      <c r="M1643" t="s">
        <v>1722</v>
      </c>
      <c r="N1643" t="s">
        <v>76</v>
      </c>
      <c r="O1643" t="s">
        <v>1723</v>
      </c>
      <c r="P1643" t="s">
        <v>1724</v>
      </c>
      <c r="Q1643" t="s">
        <v>66</v>
      </c>
      <c r="R1643" s="1">
        <v>46224</v>
      </c>
      <c r="S1643" t="s">
        <v>716</v>
      </c>
      <c r="T1643" t="s">
        <v>717</v>
      </c>
      <c r="U1643" t="s">
        <v>718</v>
      </c>
      <c r="V1643" t="s">
        <v>66</v>
      </c>
      <c r="W1643" t="s">
        <v>66</v>
      </c>
      <c r="X1643">
        <v>311934</v>
      </c>
      <c r="Y1643">
        <v>34312.74</v>
      </c>
      <c r="Z1643">
        <v>23226</v>
      </c>
      <c r="AA1643">
        <v>2554.86</v>
      </c>
      <c r="AB1643">
        <v>346246.74</v>
      </c>
      <c r="AC1643">
        <v>3</v>
      </c>
      <c r="AD1643" t="s">
        <v>82</v>
      </c>
      <c r="AE1643">
        <v>3</v>
      </c>
      <c r="AF1643" t="s">
        <v>199</v>
      </c>
      <c r="AG1643">
        <f>IFERROR(VLOOKUP(AF1643,[1]STOK!J:O,6,0),"")</f>
        <v>24</v>
      </c>
      <c r="AH1643" s="2">
        <f t="shared" si="50"/>
        <v>0.125</v>
      </c>
      <c r="AI1643" t="s">
        <v>199</v>
      </c>
      <c r="AJ1643" t="s">
        <v>200</v>
      </c>
      <c r="AK1643" t="s">
        <v>201</v>
      </c>
      <c r="AL1643" t="s">
        <v>86</v>
      </c>
      <c r="AM1643">
        <v>8769</v>
      </c>
      <c r="AN1643">
        <f t="shared" si="51"/>
        <v>8593.6200000000008</v>
      </c>
      <c r="AO1643" t="s">
        <v>66</v>
      </c>
      <c r="AP1643">
        <v>2</v>
      </c>
      <c r="AQ1643" t="s">
        <v>66</v>
      </c>
      <c r="AR1643">
        <v>0</v>
      </c>
      <c r="AS1643" t="s">
        <v>66</v>
      </c>
      <c r="AT1643">
        <v>0</v>
      </c>
      <c r="AU1643" t="s">
        <v>66</v>
      </c>
      <c r="AV1643">
        <v>0</v>
      </c>
      <c r="AW1643" t="s">
        <v>66</v>
      </c>
      <c r="AX1643">
        <v>0</v>
      </c>
      <c r="AY1643" t="s">
        <v>66</v>
      </c>
      <c r="AZ1643">
        <v>0</v>
      </c>
      <c r="BA1643" t="s">
        <v>66</v>
      </c>
      <c r="BB1643">
        <v>0</v>
      </c>
      <c r="BC1643">
        <v>0</v>
      </c>
      <c r="BD1643">
        <v>25780.86</v>
      </c>
      <c r="BE1643">
        <v>7265.68</v>
      </c>
      <c r="BF1643">
        <v>0</v>
      </c>
      <c r="BG1643" t="s">
        <v>87</v>
      </c>
      <c r="BH1643" t="s">
        <v>1725</v>
      </c>
      <c r="BI1643">
        <v>3</v>
      </c>
      <c r="BJ1643" t="s">
        <v>158</v>
      </c>
      <c r="BK1643" t="s">
        <v>88</v>
      </c>
      <c r="BL1643" t="s">
        <v>742</v>
      </c>
      <c r="BM1643" t="s">
        <v>159</v>
      </c>
    </row>
    <row r="1644" spans="1:65" x14ac:dyDescent="0.25">
      <c r="A1644">
        <v>1642</v>
      </c>
      <c r="B1644" t="s">
        <v>1720</v>
      </c>
      <c r="C1644" t="s">
        <v>68</v>
      </c>
      <c r="D1644" s="1">
        <v>46224</v>
      </c>
      <c r="E1644" t="s">
        <v>1721</v>
      </c>
      <c r="F1644" t="s">
        <v>68</v>
      </c>
      <c r="G1644" t="s">
        <v>295</v>
      </c>
      <c r="H1644" t="s">
        <v>296</v>
      </c>
      <c r="I1644" t="s">
        <v>71</v>
      </c>
      <c r="J1644" t="s">
        <v>72</v>
      </c>
      <c r="K1644" t="s">
        <v>73</v>
      </c>
      <c r="L1644" t="s">
        <v>74</v>
      </c>
      <c r="M1644" t="s">
        <v>1722</v>
      </c>
      <c r="N1644" t="s">
        <v>76</v>
      </c>
      <c r="O1644" t="s">
        <v>1723</v>
      </c>
      <c r="P1644" t="s">
        <v>1724</v>
      </c>
      <c r="Q1644" t="s">
        <v>66</v>
      </c>
      <c r="R1644" s="1">
        <v>46224</v>
      </c>
      <c r="S1644" t="s">
        <v>716</v>
      </c>
      <c r="T1644" t="s">
        <v>717</v>
      </c>
      <c r="U1644" t="s">
        <v>718</v>
      </c>
      <c r="V1644" t="s">
        <v>66</v>
      </c>
      <c r="W1644" t="s">
        <v>66</v>
      </c>
      <c r="X1644">
        <v>311934</v>
      </c>
      <c r="Y1644">
        <v>34312.74</v>
      </c>
      <c r="Z1644">
        <v>78204</v>
      </c>
      <c r="AA1644">
        <v>8602.44</v>
      </c>
      <c r="AB1644">
        <v>346246.74</v>
      </c>
      <c r="AC1644">
        <v>6</v>
      </c>
      <c r="AD1644" t="s">
        <v>82</v>
      </c>
      <c r="AE1644">
        <v>6</v>
      </c>
      <c r="AF1644" t="s">
        <v>210</v>
      </c>
      <c r="AG1644">
        <f>IFERROR(VLOOKUP(AF1644,[1]STOK!J:O,6,0),"")</f>
        <v>12</v>
      </c>
      <c r="AH1644" s="2">
        <f t="shared" si="50"/>
        <v>0.5</v>
      </c>
      <c r="AI1644" t="s">
        <v>210</v>
      </c>
      <c r="AJ1644" t="s">
        <v>211</v>
      </c>
      <c r="AK1644" t="s">
        <v>212</v>
      </c>
      <c r="AL1644" t="s">
        <v>86</v>
      </c>
      <c r="AM1644">
        <v>14763</v>
      </c>
      <c r="AN1644">
        <f t="shared" si="51"/>
        <v>14467.74</v>
      </c>
      <c r="AO1644" t="s">
        <v>66</v>
      </c>
      <c r="AP1644">
        <v>2</v>
      </c>
      <c r="AQ1644" t="s">
        <v>66</v>
      </c>
      <c r="AR1644">
        <v>0</v>
      </c>
      <c r="AS1644" t="s">
        <v>66</v>
      </c>
      <c r="AT1644">
        <v>0</v>
      </c>
      <c r="AU1644" t="s">
        <v>66</v>
      </c>
      <c r="AV1644">
        <v>0</v>
      </c>
      <c r="AW1644" t="s">
        <v>66</v>
      </c>
      <c r="AX1644">
        <v>0</v>
      </c>
      <c r="AY1644" t="s">
        <v>66</v>
      </c>
      <c r="AZ1644">
        <v>0</v>
      </c>
      <c r="BA1644" t="s">
        <v>66</v>
      </c>
      <c r="BB1644">
        <v>0</v>
      </c>
      <c r="BC1644">
        <v>0</v>
      </c>
      <c r="BD1644">
        <v>86806.44</v>
      </c>
      <c r="BE1644">
        <v>12013.43</v>
      </c>
      <c r="BF1644">
        <v>0</v>
      </c>
      <c r="BG1644" t="s">
        <v>87</v>
      </c>
      <c r="BH1644" t="s">
        <v>1725</v>
      </c>
      <c r="BI1644">
        <v>6</v>
      </c>
      <c r="BJ1644" t="s">
        <v>158</v>
      </c>
      <c r="BK1644" t="s">
        <v>88</v>
      </c>
      <c r="BL1644" t="s">
        <v>742</v>
      </c>
      <c r="BM1644" t="s">
        <v>159</v>
      </c>
    </row>
    <row r="1645" spans="1:65" x14ac:dyDescent="0.25">
      <c r="A1645">
        <v>1643</v>
      </c>
      <c r="B1645" t="s">
        <v>1720</v>
      </c>
      <c r="C1645" t="s">
        <v>68</v>
      </c>
      <c r="D1645" s="1">
        <v>46224</v>
      </c>
      <c r="E1645" t="s">
        <v>1721</v>
      </c>
      <c r="F1645" t="s">
        <v>68</v>
      </c>
      <c r="G1645" t="s">
        <v>295</v>
      </c>
      <c r="H1645" t="s">
        <v>296</v>
      </c>
      <c r="I1645" t="s">
        <v>71</v>
      </c>
      <c r="J1645" t="s">
        <v>72</v>
      </c>
      <c r="K1645" t="s">
        <v>73</v>
      </c>
      <c r="L1645" t="s">
        <v>74</v>
      </c>
      <c r="M1645" t="s">
        <v>1722</v>
      </c>
      <c r="N1645" t="s">
        <v>76</v>
      </c>
      <c r="O1645" t="s">
        <v>1723</v>
      </c>
      <c r="P1645" t="s">
        <v>1724</v>
      </c>
      <c r="Q1645" t="s">
        <v>66</v>
      </c>
      <c r="R1645" s="1">
        <v>46224</v>
      </c>
      <c r="S1645" t="s">
        <v>716</v>
      </c>
      <c r="T1645" t="s">
        <v>717</v>
      </c>
      <c r="U1645" t="s">
        <v>718</v>
      </c>
      <c r="V1645" t="s">
        <v>66</v>
      </c>
      <c r="W1645" t="s">
        <v>66</v>
      </c>
      <c r="X1645">
        <v>311934</v>
      </c>
      <c r="Y1645">
        <v>34312.74</v>
      </c>
      <c r="Z1645">
        <v>50862</v>
      </c>
      <c r="AA1645">
        <v>5594.82</v>
      </c>
      <c r="AB1645">
        <v>346246.74</v>
      </c>
      <c r="AC1645">
        <v>3</v>
      </c>
      <c r="AD1645" t="s">
        <v>82</v>
      </c>
      <c r="AE1645">
        <v>3</v>
      </c>
      <c r="AF1645" t="s">
        <v>359</v>
      </c>
      <c r="AG1645">
        <f>IFERROR(VLOOKUP(AF1645,[1]STOK!J:O,6,0),"")</f>
        <v>12</v>
      </c>
      <c r="AH1645" s="2">
        <f t="shared" si="50"/>
        <v>0.25</v>
      </c>
      <c r="AI1645" t="s">
        <v>359</v>
      </c>
      <c r="AJ1645" t="s">
        <v>360</v>
      </c>
      <c r="AK1645" t="s">
        <v>361</v>
      </c>
      <c r="AL1645" t="s">
        <v>86</v>
      </c>
      <c r="AM1645">
        <v>19203</v>
      </c>
      <c r="AN1645">
        <f t="shared" si="51"/>
        <v>18818.939999999999</v>
      </c>
      <c r="AO1645" t="s">
        <v>66</v>
      </c>
      <c r="AP1645">
        <v>2</v>
      </c>
      <c r="AQ1645" t="s">
        <v>66</v>
      </c>
      <c r="AR1645">
        <v>0</v>
      </c>
      <c r="AS1645" t="s">
        <v>66</v>
      </c>
      <c r="AT1645">
        <v>0</v>
      </c>
      <c r="AU1645" t="s">
        <v>66</v>
      </c>
      <c r="AV1645">
        <v>0</v>
      </c>
      <c r="AW1645" t="s">
        <v>66</v>
      </c>
      <c r="AX1645">
        <v>0</v>
      </c>
      <c r="AY1645" t="s">
        <v>66</v>
      </c>
      <c r="AZ1645">
        <v>0</v>
      </c>
      <c r="BA1645" t="s">
        <v>66</v>
      </c>
      <c r="BB1645">
        <v>0</v>
      </c>
      <c r="BC1645">
        <v>0</v>
      </c>
      <c r="BD1645">
        <v>56456.82</v>
      </c>
      <c r="BE1645">
        <v>15628.14</v>
      </c>
      <c r="BF1645">
        <v>0</v>
      </c>
      <c r="BG1645" t="s">
        <v>87</v>
      </c>
      <c r="BH1645" t="s">
        <v>1725</v>
      </c>
      <c r="BI1645">
        <v>3</v>
      </c>
      <c r="BJ1645" t="s">
        <v>158</v>
      </c>
      <c r="BK1645" t="s">
        <v>88</v>
      </c>
      <c r="BL1645" t="s">
        <v>742</v>
      </c>
      <c r="BM1645" t="s">
        <v>159</v>
      </c>
    </row>
    <row r="1646" spans="1:65" x14ac:dyDescent="0.25">
      <c r="A1646">
        <v>1644</v>
      </c>
      <c r="B1646" t="s">
        <v>1726</v>
      </c>
      <c r="C1646" t="s">
        <v>1727</v>
      </c>
      <c r="D1646" s="1">
        <v>46224</v>
      </c>
      <c r="E1646" t="s">
        <v>1728</v>
      </c>
      <c r="F1646" t="s">
        <v>1729</v>
      </c>
      <c r="G1646" t="s">
        <v>295</v>
      </c>
      <c r="H1646" t="s">
        <v>296</v>
      </c>
      <c r="I1646" t="s">
        <v>71</v>
      </c>
      <c r="J1646" t="s">
        <v>72</v>
      </c>
      <c r="K1646" t="s">
        <v>73</v>
      </c>
      <c r="L1646" t="s">
        <v>74</v>
      </c>
      <c r="M1646" t="s">
        <v>1111</v>
      </c>
      <c r="N1646" t="s">
        <v>696</v>
      </c>
      <c r="O1646" t="s">
        <v>1112</v>
      </c>
      <c r="P1646" t="s">
        <v>1113</v>
      </c>
      <c r="Q1646" t="s">
        <v>1730</v>
      </c>
      <c r="R1646" s="1">
        <v>46225</v>
      </c>
      <c r="S1646" t="s">
        <v>1115</v>
      </c>
      <c r="T1646" t="s">
        <v>1116</v>
      </c>
      <c r="U1646" t="s">
        <v>1117</v>
      </c>
      <c r="V1646" t="s">
        <v>66</v>
      </c>
      <c r="W1646" t="s">
        <v>66</v>
      </c>
      <c r="X1646">
        <v>7490922</v>
      </c>
      <c r="Y1646">
        <v>824001.42</v>
      </c>
      <c r="Z1646">
        <v>619248</v>
      </c>
      <c r="AA1646">
        <v>68117.279999999999</v>
      </c>
      <c r="AB1646">
        <v>8314923.4199999999</v>
      </c>
      <c r="AC1646">
        <v>4</v>
      </c>
      <c r="AD1646" t="s">
        <v>134</v>
      </c>
      <c r="AE1646">
        <v>48</v>
      </c>
      <c r="AF1646" t="s">
        <v>135</v>
      </c>
      <c r="AG1646">
        <f>IFERROR(VLOOKUP(AF1646,[1]STOK!J:O,6,0),"")</f>
        <v>12</v>
      </c>
      <c r="AH1646" s="2">
        <f t="shared" si="50"/>
        <v>4</v>
      </c>
      <c r="AI1646" t="s">
        <v>135</v>
      </c>
      <c r="AJ1646" t="s">
        <v>136</v>
      </c>
      <c r="AK1646" t="s">
        <v>137</v>
      </c>
      <c r="AL1646" t="s">
        <v>86</v>
      </c>
      <c r="AM1646">
        <v>177156</v>
      </c>
      <c r="AN1646">
        <f t="shared" si="51"/>
        <v>171841.32</v>
      </c>
      <c r="AO1646" t="s">
        <v>66</v>
      </c>
      <c r="AP1646">
        <v>3</v>
      </c>
      <c r="AQ1646" t="s">
        <v>66</v>
      </c>
      <c r="AR1646">
        <v>0</v>
      </c>
      <c r="AS1646" t="s">
        <v>66</v>
      </c>
      <c r="AT1646">
        <v>0</v>
      </c>
      <c r="AU1646" t="s">
        <v>66</v>
      </c>
      <c r="AV1646">
        <v>0</v>
      </c>
      <c r="AW1646" t="s">
        <v>66</v>
      </c>
      <c r="AX1646">
        <v>0</v>
      </c>
      <c r="AY1646" t="s">
        <v>66</v>
      </c>
      <c r="AZ1646">
        <v>0</v>
      </c>
      <c r="BA1646" t="s">
        <v>66</v>
      </c>
      <c r="BB1646">
        <v>0</v>
      </c>
      <c r="BC1646">
        <v>0</v>
      </c>
      <c r="BD1646">
        <v>687365.28</v>
      </c>
      <c r="BE1646">
        <v>12035.93</v>
      </c>
      <c r="BF1646">
        <v>0</v>
      </c>
      <c r="BG1646" t="s">
        <v>87</v>
      </c>
      <c r="BH1646" t="s">
        <v>66</v>
      </c>
      <c r="BI1646">
        <v>0</v>
      </c>
      <c r="BJ1646" t="s">
        <v>66</v>
      </c>
      <c r="BK1646" t="s">
        <v>88</v>
      </c>
      <c r="BL1646" t="s">
        <v>66</v>
      </c>
      <c r="BM1646" t="s">
        <v>159</v>
      </c>
    </row>
    <row r="1647" spans="1:65" x14ac:dyDescent="0.25">
      <c r="A1647">
        <v>1645</v>
      </c>
      <c r="B1647" t="s">
        <v>1726</v>
      </c>
      <c r="C1647" t="s">
        <v>1727</v>
      </c>
      <c r="D1647" s="1">
        <v>46224</v>
      </c>
      <c r="E1647" t="s">
        <v>1728</v>
      </c>
      <c r="F1647" t="s">
        <v>1729</v>
      </c>
      <c r="G1647" t="s">
        <v>295</v>
      </c>
      <c r="H1647" t="s">
        <v>296</v>
      </c>
      <c r="I1647" t="s">
        <v>71</v>
      </c>
      <c r="J1647" t="s">
        <v>72</v>
      </c>
      <c r="K1647" t="s">
        <v>73</v>
      </c>
      <c r="L1647" t="s">
        <v>74</v>
      </c>
      <c r="M1647" t="s">
        <v>1111</v>
      </c>
      <c r="N1647" t="s">
        <v>696</v>
      </c>
      <c r="O1647" t="s">
        <v>1112</v>
      </c>
      <c r="P1647" t="s">
        <v>1113</v>
      </c>
      <c r="Q1647" t="s">
        <v>1730</v>
      </c>
      <c r="R1647" s="1">
        <v>46225</v>
      </c>
      <c r="S1647" t="s">
        <v>1115</v>
      </c>
      <c r="T1647" t="s">
        <v>1116</v>
      </c>
      <c r="U1647" t="s">
        <v>1117</v>
      </c>
      <c r="V1647" t="s">
        <v>66</v>
      </c>
      <c r="W1647" t="s">
        <v>66</v>
      </c>
      <c r="X1647">
        <v>7490922</v>
      </c>
      <c r="Y1647">
        <v>824001.42</v>
      </c>
      <c r="Z1647">
        <v>402744</v>
      </c>
      <c r="AA1647">
        <v>44301.84</v>
      </c>
      <c r="AB1647">
        <v>8314923.4199999999</v>
      </c>
      <c r="AC1647">
        <v>2</v>
      </c>
      <c r="AD1647" t="s">
        <v>134</v>
      </c>
      <c r="AE1647">
        <v>24</v>
      </c>
      <c r="AF1647" t="s">
        <v>359</v>
      </c>
      <c r="AG1647">
        <f>IFERROR(VLOOKUP(AF1647,[1]STOK!J:O,6,0),"")</f>
        <v>12</v>
      </c>
      <c r="AH1647" s="2">
        <f t="shared" si="50"/>
        <v>2</v>
      </c>
      <c r="AI1647" t="s">
        <v>359</v>
      </c>
      <c r="AJ1647" t="s">
        <v>360</v>
      </c>
      <c r="AK1647" t="s">
        <v>361</v>
      </c>
      <c r="AL1647" t="s">
        <v>86</v>
      </c>
      <c r="AM1647">
        <v>230436</v>
      </c>
      <c r="AN1647">
        <f t="shared" si="51"/>
        <v>223522.92</v>
      </c>
      <c r="AO1647" t="s">
        <v>66</v>
      </c>
      <c r="AP1647">
        <v>3</v>
      </c>
      <c r="AQ1647" t="s">
        <v>66</v>
      </c>
      <c r="AR1647">
        <v>0</v>
      </c>
      <c r="AS1647" t="s">
        <v>66</v>
      </c>
      <c r="AT1647">
        <v>0</v>
      </c>
      <c r="AU1647" t="s">
        <v>66</v>
      </c>
      <c r="AV1647">
        <v>0</v>
      </c>
      <c r="AW1647" t="s">
        <v>66</v>
      </c>
      <c r="AX1647">
        <v>0</v>
      </c>
      <c r="AY1647" t="s">
        <v>66</v>
      </c>
      <c r="AZ1647">
        <v>0</v>
      </c>
      <c r="BA1647" t="s">
        <v>66</v>
      </c>
      <c r="BB1647">
        <v>0</v>
      </c>
      <c r="BC1647">
        <v>0</v>
      </c>
      <c r="BD1647">
        <v>447045.84</v>
      </c>
      <c r="BE1647">
        <v>15628.14</v>
      </c>
      <c r="BF1647">
        <v>0</v>
      </c>
      <c r="BG1647" t="s">
        <v>87</v>
      </c>
      <c r="BH1647" t="s">
        <v>66</v>
      </c>
      <c r="BI1647">
        <v>0</v>
      </c>
      <c r="BJ1647" t="s">
        <v>66</v>
      </c>
      <c r="BK1647" t="s">
        <v>88</v>
      </c>
      <c r="BL1647" t="s">
        <v>66</v>
      </c>
      <c r="BM1647" t="s">
        <v>159</v>
      </c>
    </row>
    <row r="1648" spans="1:65" x14ac:dyDescent="0.25">
      <c r="A1648">
        <v>1646</v>
      </c>
      <c r="B1648" t="s">
        <v>1726</v>
      </c>
      <c r="C1648" t="s">
        <v>1727</v>
      </c>
      <c r="D1648" s="1">
        <v>46224</v>
      </c>
      <c r="E1648" t="s">
        <v>1728</v>
      </c>
      <c r="F1648" t="s">
        <v>1729</v>
      </c>
      <c r="G1648" t="s">
        <v>295</v>
      </c>
      <c r="H1648" t="s">
        <v>296</v>
      </c>
      <c r="I1648" t="s">
        <v>71</v>
      </c>
      <c r="J1648" t="s">
        <v>72</v>
      </c>
      <c r="K1648" t="s">
        <v>73</v>
      </c>
      <c r="L1648" t="s">
        <v>74</v>
      </c>
      <c r="M1648" t="s">
        <v>1111</v>
      </c>
      <c r="N1648" t="s">
        <v>696</v>
      </c>
      <c r="O1648" t="s">
        <v>1112</v>
      </c>
      <c r="P1648" t="s">
        <v>1113</v>
      </c>
      <c r="Q1648" t="s">
        <v>1730</v>
      </c>
      <c r="R1648" s="1">
        <v>46225</v>
      </c>
      <c r="S1648" t="s">
        <v>1115</v>
      </c>
      <c r="T1648" t="s">
        <v>1116</v>
      </c>
      <c r="U1648" t="s">
        <v>1117</v>
      </c>
      <c r="V1648" t="s">
        <v>66</v>
      </c>
      <c r="W1648" t="s">
        <v>66</v>
      </c>
      <c r="X1648">
        <v>7490922</v>
      </c>
      <c r="Y1648">
        <v>824001.42</v>
      </c>
      <c r="Z1648">
        <v>1164000</v>
      </c>
      <c r="AA1648">
        <v>128040</v>
      </c>
      <c r="AB1648">
        <v>8314923.4199999999</v>
      </c>
      <c r="AC1648">
        <v>5</v>
      </c>
      <c r="AD1648" t="s">
        <v>134</v>
      </c>
      <c r="AE1648">
        <v>60</v>
      </c>
      <c r="AF1648" t="s">
        <v>290</v>
      </c>
      <c r="AG1648">
        <f>IFERROR(VLOOKUP(AF1648,[1]STOK!J:O,6,0),"")</f>
        <v>12</v>
      </c>
      <c r="AH1648" s="2">
        <f t="shared" si="50"/>
        <v>5</v>
      </c>
      <c r="AI1648" t="s">
        <v>290</v>
      </c>
      <c r="AJ1648" t="s">
        <v>291</v>
      </c>
      <c r="AK1648" t="s">
        <v>292</v>
      </c>
      <c r="AL1648" t="s">
        <v>86</v>
      </c>
      <c r="AM1648">
        <v>266400</v>
      </c>
      <c r="AN1648">
        <f t="shared" si="51"/>
        <v>258408</v>
      </c>
      <c r="AO1648" t="s">
        <v>66</v>
      </c>
      <c r="AP1648">
        <v>3</v>
      </c>
      <c r="AQ1648" t="s">
        <v>66</v>
      </c>
      <c r="AR1648">
        <v>0</v>
      </c>
      <c r="AS1648" t="s">
        <v>66</v>
      </c>
      <c r="AT1648">
        <v>0</v>
      </c>
      <c r="AU1648" t="s">
        <v>66</v>
      </c>
      <c r="AV1648">
        <v>0</v>
      </c>
      <c r="AW1648" t="s">
        <v>66</v>
      </c>
      <c r="AX1648">
        <v>0</v>
      </c>
      <c r="AY1648" t="s">
        <v>66</v>
      </c>
      <c r="AZ1648">
        <v>0</v>
      </c>
      <c r="BA1648" t="s">
        <v>66</v>
      </c>
      <c r="BB1648">
        <v>0</v>
      </c>
      <c r="BC1648">
        <v>0</v>
      </c>
      <c r="BD1648">
        <v>1292040</v>
      </c>
      <c r="BE1648">
        <v>18103.439999999999</v>
      </c>
      <c r="BF1648">
        <v>0</v>
      </c>
      <c r="BG1648" t="s">
        <v>87</v>
      </c>
      <c r="BH1648" t="s">
        <v>66</v>
      </c>
      <c r="BI1648">
        <v>0</v>
      </c>
      <c r="BJ1648" t="s">
        <v>66</v>
      </c>
      <c r="BK1648" t="s">
        <v>88</v>
      </c>
      <c r="BL1648" t="s">
        <v>66</v>
      </c>
      <c r="BM1648" t="s">
        <v>159</v>
      </c>
    </row>
    <row r="1649" spans="1:65" x14ac:dyDescent="0.25">
      <c r="A1649">
        <v>1647</v>
      </c>
      <c r="B1649" t="s">
        <v>1726</v>
      </c>
      <c r="C1649" t="s">
        <v>1727</v>
      </c>
      <c r="D1649" s="1">
        <v>46224</v>
      </c>
      <c r="E1649" t="s">
        <v>1728</v>
      </c>
      <c r="F1649" t="s">
        <v>1729</v>
      </c>
      <c r="G1649" t="s">
        <v>295</v>
      </c>
      <c r="H1649" t="s">
        <v>296</v>
      </c>
      <c r="I1649" t="s">
        <v>71</v>
      </c>
      <c r="J1649" t="s">
        <v>72</v>
      </c>
      <c r="K1649" t="s">
        <v>73</v>
      </c>
      <c r="L1649" t="s">
        <v>74</v>
      </c>
      <c r="M1649" t="s">
        <v>1111</v>
      </c>
      <c r="N1649" t="s">
        <v>696</v>
      </c>
      <c r="O1649" t="s">
        <v>1112</v>
      </c>
      <c r="P1649" t="s">
        <v>1113</v>
      </c>
      <c r="Q1649" t="s">
        <v>1730</v>
      </c>
      <c r="R1649" s="1">
        <v>46225</v>
      </c>
      <c r="S1649" t="s">
        <v>1115</v>
      </c>
      <c r="T1649" t="s">
        <v>1116</v>
      </c>
      <c r="U1649" t="s">
        <v>1117</v>
      </c>
      <c r="V1649" t="s">
        <v>66</v>
      </c>
      <c r="W1649" t="s">
        <v>66</v>
      </c>
      <c r="X1649">
        <v>7490922</v>
      </c>
      <c r="Y1649">
        <v>824001.42</v>
      </c>
      <c r="Z1649">
        <v>1114530</v>
      </c>
      <c r="AA1649">
        <v>122598.3</v>
      </c>
      <c r="AB1649">
        <v>8314923.4199999999</v>
      </c>
      <c r="AC1649">
        <v>5</v>
      </c>
      <c r="AD1649" t="s">
        <v>134</v>
      </c>
      <c r="AE1649">
        <v>30</v>
      </c>
      <c r="AF1649" t="s">
        <v>138</v>
      </c>
      <c r="AG1649">
        <f>IFERROR(VLOOKUP(AF1649,[1]STOK!J:O,6,0),"")</f>
        <v>6</v>
      </c>
      <c r="AH1649" s="2">
        <f t="shared" si="50"/>
        <v>5</v>
      </c>
      <c r="AI1649" t="s">
        <v>138</v>
      </c>
      <c r="AJ1649" t="s">
        <v>139</v>
      </c>
      <c r="AK1649" t="s">
        <v>140</v>
      </c>
      <c r="AL1649" t="s">
        <v>86</v>
      </c>
      <c r="AM1649">
        <v>255078</v>
      </c>
      <c r="AN1649">
        <f t="shared" si="51"/>
        <v>247425.66</v>
      </c>
      <c r="AO1649" t="s">
        <v>66</v>
      </c>
      <c r="AP1649">
        <v>3</v>
      </c>
      <c r="AQ1649" t="s">
        <v>66</v>
      </c>
      <c r="AR1649">
        <v>0</v>
      </c>
      <c r="AS1649" t="s">
        <v>66</v>
      </c>
      <c r="AT1649">
        <v>0</v>
      </c>
      <c r="AU1649" t="s">
        <v>66</v>
      </c>
      <c r="AV1649">
        <v>0</v>
      </c>
      <c r="AW1649" t="s">
        <v>66</v>
      </c>
      <c r="AX1649">
        <v>0</v>
      </c>
      <c r="AY1649" t="s">
        <v>66</v>
      </c>
      <c r="AZ1649">
        <v>0</v>
      </c>
      <c r="BA1649" t="s">
        <v>66</v>
      </c>
      <c r="BB1649">
        <v>0</v>
      </c>
      <c r="BC1649">
        <v>0</v>
      </c>
      <c r="BD1649">
        <v>1237128.3</v>
      </c>
      <c r="BE1649">
        <v>34654.5</v>
      </c>
      <c r="BF1649">
        <v>0</v>
      </c>
      <c r="BG1649" t="s">
        <v>87</v>
      </c>
      <c r="BH1649" t="s">
        <v>66</v>
      </c>
      <c r="BI1649">
        <v>0</v>
      </c>
      <c r="BJ1649" t="s">
        <v>66</v>
      </c>
      <c r="BK1649" t="s">
        <v>88</v>
      </c>
      <c r="BL1649" t="s">
        <v>66</v>
      </c>
      <c r="BM1649" t="s">
        <v>159</v>
      </c>
    </row>
    <row r="1650" spans="1:65" x14ac:dyDescent="0.25">
      <c r="A1650">
        <v>1648</v>
      </c>
      <c r="B1650" t="s">
        <v>1726</v>
      </c>
      <c r="C1650" t="s">
        <v>1727</v>
      </c>
      <c r="D1650" s="1">
        <v>46224</v>
      </c>
      <c r="E1650" t="s">
        <v>1728</v>
      </c>
      <c r="F1650" t="s">
        <v>1729</v>
      </c>
      <c r="G1650" t="s">
        <v>295</v>
      </c>
      <c r="H1650" t="s">
        <v>296</v>
      </c>
      <c r="I1650" t="s">
        <v>71</v>
      </c>
      <c r="J1650" t="s">
        <v>72</v>
      </c>
      <c r="K1650" t="s">
        <v>73</v>
      </c>
      <c r="L1650" t="s">
        <v>74</v>
      </c>
      <c r="M1650" t="s">
        <v>1111</v>
      </c>
      <c r="N1650" t="s">
        <v>696</v>
      </c>
      <c r="O1650" t="s">
        <v>1112</v>
      </c>
      <c r="P1650" t="s">
        <v>1113</v>
      </c>
      <c r="Q1650" t="s">
        <v>1730</v>
      </c>
      <c r="R1650" s="1">
        <v>46225</v>
      </c>
      <c r="S1650" t="s">
        <v>1115</v>
      </c>
      <c r="T1650" t="s">
        <v>1116</v>
      </c>
      <c r="U1650" t="s">
        <v>1117</v>
      </c>
      <c r="V1650" t="s">
        <v>66</v>
      </c>
      <c r="W1650" t="s">
        <v>66</v>
      </c>
      <c r="X1650">
        <v>7490922</v>
      </c>
      <c r="Y1650">
        <v>824001.42</v>
      </c>
      <c r="Z1650">
        <v>4190400</v>
      </c>
      <c r="AA1650">
        <v>460944</v>
      </c>
      <c r="AB1650">
        <v>8314923.4199999999</v>
      </c>
      <c r="AC1650">
        <v>16</v>
      </c>
      <c r="AD1650" t="s">
        <v>134</v>
      </c>
      <c r="AE1650">
        <v>64</v>
      </c>
      <c r="AF1650" t="s">
        <v>312</v>
      </c>
      <c r="AG1650">
        <f>IFERROR(VLOOKUP(AF1650,[1]STOK!J:O,6,0),"")</f>
        <v>4</v>
      </c>
      <c r="AH1650" s="2">
        <f t="shared" si="50"/>
        <v>16</v>
      </c>
      <c r="AI1650" t="s">
        <v>312</v>
      </c>
      <c r="AJ1650" t="s">
        <v>313</v>
      </c>
      <c r="AK1650" t="s">
        <v>314</v>
      </c>
      <c r="AL1650" t="s">
        <v>86</v>
      </c>
      <c r="AM1650">
        <v>299700</v>
      </c>
      <c r="AN1650">
        <f t="shared" si="51"/>
        <v>290709</v>
      </c>
      <c r="AO1650" t="s">
        <v>66</v>
      </c>
      <c r="AP1650">
        <v>3</v>
      </c>
      <c r="AQ1650" t="s">
        <v>66</v>
      </c>
      <c r="AR1650">
        <v>0</v>
      </c>
      <c r="AS1650" t="s">
        <v>66</v>
      </c>
      <c r="AT1650">
        <v>0</v>
      </c>
      <c r="AU1650" t="s">
        <v>66</v>
      </c>
      <c r="AV1650">
        <v>0</v>
      </c>
      <c r="AW1650" t="s">
        <v>66</v>
      </c>
      <c r="AX1650">
        <v>0</v>
      </c>
      <c r="AY1650" t="s">
        <v>66</v>
      </c>
      <c r="AZ1650">
        <v>0</v>
      </c>
      <c r="BA1650" t="s">
        <v>66</v>
      </c>
      <c r="BB1650">
        <v>0</v>
      </c>
      <c r="BC1650">
        <v>0</v>
      </c>
      <c r="BD1650">
        <v>4651344</v>
      </c>
      <c r="BE1650">
        <v>60360.82</v>
      </c>
      <c r="BF1650">
        <v>0</v>
      </c>
      <c r="BG1650" t="s">
        <v>87</v>
      </c>
      <c r="BH1650" t="s">
        <v>66</v>
      </c>
      <c r="BI1650">
        <v>0</v>
      </c>
      <c r="BJ1650" t="s">
        <v>66</v>
      </c>
      <c r="BK1650" t="s">
        <v>88</v>
      </c>
      <c r="BL1650" t="s">
        <v>66</v>
      </c>
      <c r="BM1650" t="s">
        <v>159</v>
      </c>
    </row>
    <row r="1651" spans="1:65" x14ac:dyDescent="0.25">
      <c r="A1651">
        <v>1649</v>
      </c>
      <c r="B1651" t="s">
        <v>1731</v>
      </c>
      <c r="C1651" t="s">
        <v>68</v>
      </c>
      <c r="D1651" s="1">
        <v>46224</v>
      </c>
      <c r="E1651" t="s">
        <v>1732</v>
      </c>
      <c r="F1651" t="s">
        <v>1733</v>
      </c>
      <c r="G1651" t="s">
        <v>295</v>
      </c>
      <c r="H1651" t="s">
        <v>296</v>
      </c>
      <c r="I1651" t="s">
        <v>71</v>
      </c>
      <c r="J1651" t="s">
        <v>72</v>
      </c>
      <c r="K1651" t="s">
        <v>73</v>
      </c>
      <c r="L1651" t="s">
        <v>74</v>
      </c>
      <c r="M1651" t="s">
        <v>1164</v>
      </c>
      <c r="N1651" t="s">
        <v>696</v>
      </c>
      <c r="O1651" t="s">
        <v>1165</v>
      </c>
      <c r="P1651" t="s">
        <v>1166</v>
      </c>
      <c r="Q1651" t="s">
        <v>1734</v>
      </c>
      <c r="R1651" s="1">
        <v>46225</v>
      </c>
      <c r="S1651" t="s">
        <v>1168</v>
      </c>
      <c r="T1651" t="s">
        <v>1169</v>
      </c>
      <c r="U1651" t="s">
        <v>1170</v>
      </c>
      <c r="V1651" t="s">
        <v>66</v>
      </c>
      <c r="W1651" t="s">
        <v>66</v>
      </c>
      <c r="X1651">
        <v>201372</v>
      </c>
      <c r="Y1651">
        <v>22150.92</v>
      </c>
      <c r="Z1651">
        <v>201372</v>
      </c>
      <c r="AA1651">
        <v>22150.92</v>
      </c>
      <c r="AB1651">
        <v>223522.92</v>
      </c>
      <c r="AC1651">
        <v>12</v>
      </c>
      <c r="AD1651" t="s">
        <v>82</v>
      </c>
      <c r="AE1651">
        <v>12</v>
      </c>
      <c r="AF1651" t="s">
        <v>359</v>
      </c>
      <c r="AG1651">
        <f>IFERROR(VLOOKUP(AF1651,[1]STOK!J:O,6,0),"")</f>
        <v>12</v>
      </c>
      <c r="AH1651" s="2">
        <f t="shared" si="50"/>
        <v>1</v>
      </c>
      <c r="AI1651" t="s">
        <v>359</v>
      </c>
      <c r="AJ1651" t="s">
        <v>360</v>
      </c>
      <c r="AK1651" t="s">
        <v>361</v>
      </c>
      <c r="AL1651" t="s">
        <v>86</v>
      </c>
      <c r="AM1651">
        <v>19203</v>
      </c>
      <c r="AN1651">
        <f t="shared" si="51"/>
        <v>18626.91</v>
      </c>
      <c r="AO1651" t="s">
        <v>66</v>
      </c>
      <c r="AP1651">
        <v>3</v>
      </c>
      <c r="AQ1651" t="s">
        <v>66</v>
      </c>
      <c r="AR1651">
        <v>0</v>
      </c>
      <c r="AS1651" t="s">
        <v>66</v>
      </c>
      <c r="AT1651">
        <v>0</v>
      </c>
      <c r="AU1651" t="s">
        <v>66</v>
      </c>
      <c r="AV1651">
        <v>0</v>
      </c>
      <c r="AW1651" t="s">
        <v>66</v>
      </c>
      <c r="AX1651">
        <v>0</v>
      </c>
      <c r="AY1651" t="s">
        <v>66</v>
      </c>
      <c r="AZ1651">
        <v>0</v>
      </c>
      <c r="BA1651" t="s">
        <v>66</v>
      </c>
      <c r="BB1651">
        <v>0</v>
      </c>
      <c r="BC1651">
        <v>0</v>
      </c>
      <c r="BD1651">
        <v>223522.92</v>
      </c>
      <c r="BE1651">
        <v>15628.14</v>
      </c>
      <c r="BF1651">
        <v>0</v>
      </c>
      <c r="BG1651" t="s">
        <v>87</v>
      </c>
      <c r="BH1651" t="s">
        <v>66</v>
      </c>
      <c r="BI1651">
        <v>0</v>
      </c>
      <c r="BJ1651" t="s">
        <v>66</v>
      </c>
      <c r="BK1651" t="s">
        <v>88</v>
      </c>
      <c r="BL1651" t="s">
        <v>66</v>
      </c>
      <c r="BM1651" t="s">
        <v>159</v>
      </c>
    </row>
    <row r="1652" spans="1:65" x14ac:dyDescent="0.25">
      <c r="A1652">
        <v>1650</v>
      </c>
      <c r="B1652" t="s">
        <v>1735</v>
      </c>
      <c r="C1652" t="s">
        <v>68</v>
      </c>
      <c r="D1652" s="1">
        <v>46224</v>
      </c>
      <c r="E1652" t="s">
        <v>1736</v>
      </c>
      <c r="F1652" t="s">
        <v>68</v>
      </c>
      <c r="G1652" t="s">
        <v>69</v>
      </c>
      <c r="H1652" t="s">
        <v>70</v>
      </c>
      <c r="I1652" t="s">
        <v>71</v>
      </c>
      <c r="J1652" t="s">
        <v>72</v>
      </c>
      <c r="K1652" t="s">
        <v>73</v>
      </c>
      <c r="L1652" t="s">
        <v>74</v>
      </c>
      <c r="M1652" t="s">
        <v>1054</v>
      </c>
      <c r="N1652" t="s">
        <v>76</v>
      </c>
      <c r="O1652" t="s">
        <v>1055</v>
      </c>
      <c r="P1652" t="s">
        <v>1056</v>
      </c>
      <c r="Q1652" t="s">
        <v>1737</v>
      </c>
      <c r="R1652" s="1">
        <v>46226</v>
      </c>
      <c r="S1652" t="s">
        <v>278</v>
      </c>
      <c r="T1652" t="s">
        <v>279</v>
      </c>
      <c r="U1652" t="s">
        <v>280</v>
      </c>
      <c r="V1652" t="s">
        <v>66</v>
      </c>
      <c r="W1652" t="s">
        <v>66</v>
      </c>
      <c r="X1652">
        <v>2224918</v>
      </c>
      <c r="Y1652">
        <v>244740.98</v>
      </c>
      <c r="Z1652">
        <v>390060</v>
      </c>
      <c r="AA1652">
        <v>42906.6</v>
      </c>
      <c r="AB1652">
        <v>2469658.98</v>
      </c>
      <c r="AC1652">
        <v>1</v>
      </c>
      <c r="AD1652" t="s">
        <v>134</v>
      </c>
      <c r="AE1652">
        <v>24</v>
      </c>
      <c r="AF1652" t="s">
        <v>99</v>
      </c>
      <c r="AG1652">
        <f>IFERROR(VLOOKUP(AF1652,[1]STOK!J:O,6,0),"")</f>
        <v>24</v>
      </c>
      <c r="AH1652" s="2">
        <f t="shared" si="50"/>
        <v>1</v>
      </c>
      <c r="AI1652" t="s">
        <v>99</v>
      </c>
      <c r="AJ1652" t="s">
        <v>100</v>
      </c>
      <c r="AK1652" t="s">
        <v>101</v>
      </c>
      <c r="AL1652" t="s">
        <v>86</v>
      </c>
      <c r="AM1652">
        <v>439560</v>
      </c>
      <c r="AN1652">
        <f t="shared" si="51"/>
        <v>432966.6</v>
      </c>
      <c r="AO1652" t="s">
        <v>66</v>
      </c>
      <c r="AP1652">
        <v>1.5</v>
      </c>
      <c r="AQ1652" t="s">
        <v>66</v>
      </c>
      <c r="AR1652">
        <v>0</v>
      </c>
      <c r="AS1652" t="s">
        <v>66</v>
      </c>
      <c r="AT1652">
        <v>0</v>
      </c>
      <c r="AU1652" t="s">
        <v>66</v>
      </c>
      <c r="AV1652">
        <v>0</v>
      </c>
      <c r="AW1652" t="s">
        <v>66</v>
      </c>
      <c r="AX1652">
        <v>0</v>
      </c>
      <c r="AY1652" t="s">
        <v>66</v>
      </c>
      <c r="AZ1652">
        <v>0</v>
      </c>
      <c r="BA1652" t="s">
        <v>66</v>
      </c>
      <c r="BB1652">
        <v>0</v>
      </c>
      <c r="BC1652">
        <v>0</v>
      </c>
      <c r="BD1652">
        <v>432966.6</v>
      </c>
      <c r="BE1652">
        <v>14920.37</v>
      </c>
      <c r="BF1652">
        <v>0</v>
      </c>
      <c r="BG1652" t="s">
        <v>87</v>
      </c>
      <c r="BH1652" t="s">
        <v>66</v>
      </c>
      <c r="BI1652">
        <v>0</v>
      </c>
      <c r="BJ1652" t="s">
        <v>66</v>
      </c>
      <c r="BK1652" t="s">
        <v>88</v>
      </c>
      <c r="BL1652" t="s">
        <v>66</v>
      </c>
      <c r="BM1652" t="s">
        <v>159</v>
      </c>
    </row>
    <row r="1653" spans="1:65" x14ac:dyDescent="0.25">
      <c r="A1653">
        <v>1651</v>
      </c>
      <c r="B1653" t="s">
        <v>1735</v>
      </c>
      <c r="C1653" t="s">
        <v>68</v>
      </c>
      <c r="D1653" s="1">
        <v>46224</v>
      </c>
      <c r="E1653" t="s">
        <v>1736</v>
      </c>
      <c r="F1653" t="s">
        <v>68</v>
      </c>
      <c r="G1653" t="s">
        <v>69</v>
      </c>
      <c r="H1653" t="s">
        <v>70</v>
      </c>
      <c r="I1653" t="s">
        <v>71</v>
      </c>
      <c r="J1653" t="s">
        <v>72</v>
      </c>
      <c r="K1653" t="s">
        <v>73</v>
      </c>
      <c r="L1653" t="s">
        <v>74</v>
      </c>
      <c r="M1653" t="s">
        <v>1054</v>
      </c>
      <c r="N1653" t="s">
        <v>76</v>
      </c>
      <c r="O1653" t="s">
        <v>1055</v>
      </c>
      <c r="P1653" t="s">
        <v>1056</v>
      </c>
      <c r="Q1653" t="s">
        <v>1737</v>
      </c>
      <c r="R1653" s="1">
        <v>46226</v>
      </c>
      <c r="S1653" t="s">
        <v>278</v>
      </c>
      <c r="T1653" t="s">
        <v>279</v>
      </c>
      <c r="U1653" t="s">
        <v>280</v>
      </c>
      <c r="V1653" t="s">
        <v>66</v>
      </c>
      <c r="W1653" t="s">
        <v>66</v>
      </c>
      <c r="X1653">
        <v>2224918</v>
      </c>
      <c r="Y1653">
        <v>244740.98</v>
      </c>
      <c r="Z1653">
        <v>509836</v>
      </c>
      <c r="AA1653">
        <v>56081.96</v>
      </c>
      <c r="AB1653">
        <v>2469658.98</v>
      </c>
      <c r="AC1653">
        <v>1</v>
      </c>
      <c r="AD1653" t="s">
        <v>134</v>
      </c>
      <c r="AE1653">
        <v>4</v>
      </c>
      <c r="AF1653" t="s">
        <v>522</v>
      </c>
      <c r="AG1653">
        <f>IFERROR(VLOOKUP(AF1653,[1]STOK!J:O,6,0),"")</f>
        <v>4</v>
      </c>
      <c r="AH1653" s="2">
        <f t="shared" si="50"/>
        <v>1</v>
      </c>
      <c r="AI1653" t="s">
        <v>522</v>
      </c>
      <c r="AJ1653" t="s">
        <v>523</v>
      </c>
      <c r="AK1653" t="s">
        <v>524</v>
      </c>
      <c r="AL1653" t="s">
        <v>86</v>
      </c>
      <c r="AM1653">
        <v>574536</v>
      </c>
      <c r="AN1653">
        <f t="shared" si="51"/>
        <v>565917.96</v>
      </c>
      <c r="AO1653" t="s">
        <v>66</v>
      </c>
      <c r="AP1653">
        <v>1.5</v>
      </c>
      <c r="AQ1653" t="s">
        <v>66</v>
      </c>
      <c r="AR1653">
        <v>0</v>
      </c>
      <c r="AS1653" t="s">
        <v>66</v>
      </c>
      <c r="AT1653">
        <v>0</v>
      </c>
      <c r="AU1653" t="s">
        <v>66</v>
      </c>
      <c r="AV1653">
        <v>0</v>
      </c>
      <c r="AW1653" t="s">
        <v>66</v>
      </c>
      <c r="AX1653">
        <v>0</v>
      </c>
      <c r="AY1653" t="s">
        <v>66</v>
      </c>
      <c r="AZ1653">
        <v>0</v>
      </c>
      <c r="BA1653" t="s">
        <v>66</v>
      </c>
      <c r="BB1653">
        <v>0</v>
      </c>
      <c r="BC1653">
        <v>0</v>
      </c>
      <c r="BD1653">
        <v>565917.96</v>
      </c>
      <c r="BE1653">
        <v>115200.59</v>
      </c>
      <c r="BF1653">
        <v>0</v>
      </c>
      <c r="BG1653" t="s">
        <v>87</v>
      </c>
      <c r="BH1653" t="s">
        <v>66</v>
      </c>
      <c r="BI1653">
        <v>0</v>
      </c>
      <c r="BJ1653" t="s">
        <v>66</v>
      </c>
      <c r="BK1653" t="s">
        <v>88</v>
      </c>
      <c r="BL1653" t="s">
        <v>66</v>
      </c>
      <c r="BM1653" t="s">
        <v>159</v>
      </c>
    </row>
    <row r="1654" spans="1:65" x14ac:dyDescent="0.25">
      <c r="A1654">
        <v>1652</v>
      </c>
      <c r="B1654" t="s">
        <v>1735</v>
      </c>
      <c r="C1654" t="s">
        <v>68</v>
      </c>
      <c r="D1654" s="1">
        <v>46224</v>
      </c>
      <c r="E1654" t="s">
        <v>1736</v>
      </c>
      <c r="F1654" t="s">
        <v>68</v>
      </c>
      <c r="G1654" t="s">
        <v>69</v>
      </c>
      <c r="H1654" t="s">
        <v>70</v>
      </c>
      <c r="I1654" t="s">
        <v>71</v>
      </c>
      <c r="J1654" t="s">
        <v>72</v>
      </c>
      <c r="K1654" t="s">
        <v>73</v>
      </c>
      <c r="L1654" t="s">
        <v>74</v>
      </c>
      <c r="M1654" t="s">
        <v>1054</v>
      </c>
      <c r="N1654" t="s">
        <v>76</v>
      </c>
      <c r="O1654" t="s">
        <v>1055</v>
      </c>
      <c r="P1654" t="s">
        <v>1056</v>
      </c>
      <c r="Q1654" t="s">
        <v>1737</v>
      </c>
      <c r="R1654" s="1">
        <v>46226</v>
      </c>
      <c r="S1654" t="s">
        <v>278</v>
      </c>
      <c r="T1654" t="s">
        <v>279</v>
      </c>
      <c r="U1654" t="s">
        <v>280</v>
      </c>
      <c r="V1654" t="s">
        <v>66</v>
      </c>
      <c r="W1654" t="s">
        <v>66</v>
      </c>
      <c r="X1654">
        <v>2224918</v>
      </c>
      <c r="Y1654">
        <v>244740.98</v>
      </c>
      <c r="Z1654">
        <v>399516</v>
      </c>
      <c r="AA1654">
        <v>43946.76</v>
      </c>
      <c r="AB1654">
        <v>2469658.98</v>
      </c>
      <c r="AC1654">
        <v>1</v>
      </c>
      <c r="AD1654" t="s">
        <v>134</v>
      </c>
      <c r="AE1654">
        <v>12</v>
      </c>
      <c r="AF1654" t="s">
        <v>1356</v>
      </c>
      <c r="AG1654">
        <f>IFERROR(VLOOKUP(AF1654,[1]STOK!J:O,6,0),"")</f>
        <v>12</v>
      </c>
      <c r="AH1654" s="2">
        <f t="shared" si="50"/>
        <v>1</v>
      </c>
      <c r="AI1654" t="s">
        <v>1356</v>
      </c>
      <c r="AJ1654" t="s">
        <v>1357</v>
      </c>
      <c r="AK1654" t="s">
        <v>1358</v>
      </c>
      <c r="AL1654" t="s">
        <v>86</v>
      </c>
      <c r="AM1654">
        <v>450216</v>
      </c>
      <c r="AN1654">
        <f t="shared" si="51"/>
        <v>443462.76</v>
      </c>
      <c r="AO1654" t="s">
        <v>66</v>
      </c>
      <c r="AP1654">
        <v>1.5</v>
      </c>
      <c r="AQ1654" t="s">
        <v>66</v>
      </c>
      <c r="AR1654">
        <v>0</v>
      </c>
      <c r="AS1654" t="s">
        <v>66</v>
      </c>
      <c r="AT1654">
        <v>0</v>
      </c>
      <c r="AU1654" t="s">
        <v>66</v>
      </c>
      <c r="AV1654">
        <v>0</v>
      </c>
      <c r="AW1654" t="s">
        <v>66</v>
      </c>
      <c r="AX1654">
        <v>0</v>
      </c>
      <c r="AY1654" t="s">
        <v>66</v>
      </c>
      <c r="AZ1654">
        <v>0</v>
      </c>
      <c r="BA1654" t="s">
        <v>66</v>
      </c>
      <c r="BB1654">
        <v>0</v>
      </c>
      <c r="BC1654">
        <v>0</v>
      </c>
      <c r="BD1654">
        <v>443462.76</v>
      </c>
      <c r="BE1654">
        <v>30952.19</v>
      </c>
      <c r="BF1654">
        <v>0</v>
      </c>
      <c r="BG1654" t="s">
        <v>87</v>
      </c>
      <c r="BH1654" t="s">
        <v>66</v>
      </c>
      <c r="BI1654">
        <v>0</v>
      </c>
      <c r="BJ1654" t="s">
        <v>66</v>
      </c>
      <c r="BK1654" t="s">
        <v>88</v>
      </c>
      <c r="BL1654" t="s">
        <v>66</v>
      </c>
      <c r="BM1654" t="s">
        <v>159</v>
      </c>
    </row>
    <row r="1655" spans="1:65" x14ac:dyDescent="0.25">
      <c r="A1655">
        <v>1653</v>
      </c>
      <c r="B1655" t="s">
        <v>1735</v>
      </c>
      <c r="C1655" t="s">
        <v>68</v>
      </c>
      <c r="D1655" s="1">
        <v>46224</v>
      </c>
      <c r="E1655" t="s">
        <v>1736</v>
      </c>
      <c r="F1655" t="s">
        <v>68</v>
      </c>
      <c r="G1655" t="s">
        <v>69</v>
      </c>
      <c r="H1655" t="s">
        <v>70</v>
      </c>
      <c r="I1655" t="s">
        <v>71</v>
      </c>
      <c r="J1655" t="s">
        <v>72</v>
      </c>
      <c r="K1655" t="s">
        <v>73</v>
      </c>
      <c r="L1655" t="s">
        <v>74</v>
      </c>
      <c r="M1655" t="s">
        <v>1054</v>
      </c>
      <c r="N1655" t="s">
        <v>76</v>
      </c>
      <c r="O1655" t="s">
        <v>1055</v>
      </c>
      <c r="P1655" t="s">
        <v>1056</v>
      </c>
      <c r="Q1655" t="s">
        <v>1737</v>
      </c>
      <c r="R1655" s="1">
        <v>46226</v>
      </c>
      <c r="S1655" t="s">
        <v>278</v>
      </c>
      <c r="T1655" t="s">
        <v>279</v>
      </c>
      <c r="U1655" t="s">
        <v>280</v>
      </c>
      <c r="V1655" t="s">
        <v>66</v>
      </c>
      <c r="W1655" t="s">
        <v>66</v>
      </c>
      <c r="X1655">
        <v>2224918</v>
      </c>
      <c r="Y1655">
        <v>244740.98</v>
      </c>
      <c r="Z1655">
        <v>472800</v>
      </c>
      <c r="AA1655">
        <v>52008</v>
      </c>
      <c r="AB1655">
        <v>2469658.98</v>
      </c>
      <c r="AC1655">
        <v>2</v>
      </c>
      <c r="AD1655" t="s">
        <v>134</v>
      </c>
      <c r="AE1655">
        <v>24</v>
      </c>
      <c r="AF1655" t="s">
        <v>290</v>
      </c>
      <c r="AG1655">
        <f>IFERROR(VLOOKUP(AF1655,[1]STOK!J:O,6,0),"")</f>
        <v>12</v>
      </c>
      <c r="AH1655" s="2">
        <f t="shared" si="50"/>
        <v>2</v>
      </c>
      <c r="AI1655" t="s">
        <v>290</v>
      </c>
      <c r="AJ1655" t="s">
        <v>291</v>
      </c>
      <c r="AK1655" t="s">
        <v>292</v>
      </c>
      <c r="AL1655" t="s">
        <v>86</v>
      </c>
      <c r="AM1655">
        <v>266400</v>
      </c>
      <c r="AN1655">
        <f t="shared" si="51"/>
        <v>262404</v>
      </c>
      <c r="AO1655" t="s">
        <v>66</v>
      </c>
      <c r="AP1655">
        <v>1.5</v>
      </c>
      <c r="AQ1655" t="s">
        <v>66</v>
      </c>
      <c r="AR1655">
        <v>0</v>
      </c>
      <c r="AS1655" t="s">
        <v>66</v>
      </c>
      <c r="AT1655">
        <v>0</v>
      </c>
      <c r="AU1655" t="s">
        <v>66</v>
      </c>
      <c r="AV1655">
        <v>0</v>
      </c>
      <c r="AW1655" t="s">
        <v>66</v>
      </c>
      <c r="AX1655">
        <v>0</v>
      </c>
      <c r="AY1655" t="s">
        <v>66</v>
      </c>
      <c r="AZ1655">
        <v>0</v>
      </c>
      <c r="BA1655" t="s">
        <v>66</v>
      </c>
      <c r="BB1655">
        <v>0</v>
      </c>
      <c r="BC1655">
        <v>0</v>
      </c>
      <c r="BD1655">
        <v>524808</v>
      </c>
      <c r="BE1655">
        <v>18103.439999999999</v>
      </c>
      <c r="BF1655">
        <v>0</v>
      </c>
      <c r="BG1655" t="s">
        <v>87</v>
      </c>
      <c r="BH1655" t="s">
        <v>66</v>
      </c>
      <c r="BI1655">
        <v>0</v>
      </c>
      <c r="BJ1655" t="s">
        <v>66</v>
      </c>
      <c r="BK1655" t="s">
        <v>88</v>
      </c>
      <c r="BL1655" t="s">
        <v>66</v>
      </c>
      <c r="BM1655" t="s">
        <v>159</v>
      </c>
    </row>
    <row r="1656" spans="1:65" x14ac:dyDescent="0.25">
      <c r="A1656">
        <v>1654</v>
      </c>
      <c r="B1656" t="s">
        <v>1735</v>
      </c>
      <c r="C1656" t="s">
        <v>68</v>
      </c>
      <c r="D1656" s="1">
        <v>46224</v>
      </c>
      <c r="E1656" t="s">
        <v>1736</v>
      </c>
      <c r="F1656" t="s">
        <v>68</v>
      </c>
      <c r="G1656" t="s">
        <v>69</v>
      </c>
      <c r="H1656" t="s">
        <v>70</v>
      </c>
      <c r="I1656" t="s">
        <v>71</v>
      </c>
      <c r="J1656" t="s">
        <v>72</v>
      </c>
      <c r="K1656" t="s">
        <v>73</v>
      </c>
      <c r="L1656" t="s">
        <v>74</v>
      </c>
      <c r="M1656" t="s">
        <v>1054</v>
      </c>
      <c r="N1656" t="s">
        <v>76</v>
      </c>
      <c r="O1656" t="s">
        <v>1055</v>
      </c>
      <c r="P1656" t="s">
        <v>1056</v>
      </c>
      <c r="Q1656" t="s">
        <v>1737</v>
      </c>
      <c r="R1656" s="1">
        <v>46226</v>
      </c>
      <c r="S1656" t="s">
        <v>278</v>
      </c>
      <c r="T1656" t="s">
        <v>279</v>
      </c>
      <c r="U1656" t="s">
        <v>280</v>
      </c>
      <c r="V1656" t="s">
        <v>66</v>
      </c>
      <c r="W1656" t="s">
        <v>66</v>
      </c>
      <c r="X1656">
        <v>2224918</v>
      </c>
      <c r="Y1656">
        <v>244740.98</v>
      </c>
      <c r="Z1656">
        <v>452706</v>
      </c>
      <c r="AA1656">
        <v>49797.66</v>
      </c>
      <c r="AB1656">
        <v>2469658.98</v>
      </c>
      <c r="AC1656">
        <v>2</v>
      </c>
      <c r="AD1656" t="s">
        <v>134</v>
      </c>
      <c r="AE1656">
        <v>12</v>
      </c>
      <c r="AF1656" t="s">
        <v>138</v>
      </c>
      <c r="AG1656">
        <f>IFERROR(VLOOKUP(AF1656,[1]STOK!J:O,6,0),"")</f>
        <v>6</v>
      </c>
      <c r="AH1656" s="2">
        <f t="shared" si="50"/>
        <v>2</v>
      </c>
      <c r="AI1656" t="s">
        <v>138</v>
      </c>
      <c r="AJ1656" t="s">
        <v>139</v>
      </c>
      <c r="AK1656" t="s">
        <v>140</v>
      </c>
      <c r="AL1656" t="s">
        <v>86</v>
      </c>
      <c r="AM1656">
        <v>255078</v>
      </c>
      <c r="AN1656">
        <f t="shared" si="51"/>
        <v>251251.83</v>
      </c>
      <c r="AO1656" t="s">
        <v>66</v>
      </c>
      <c r="AP1656">
        <v>1.5</v>
      </c>
      <c r="AQ1656" t="s">
        <v>66</v>
      </c>
      <c r="AR1656">
        <v>0</v>
      </c>
      <c r="AS1656" t="s">
        <v>66</v>
      </c>
      <c r="AT1656">
        <v>0</v>
      </c>
      <c r="AU1656" t="s">
        <v>66</v>
      </c>
      <c r="AV1656">
        <v>0</v>
      </c>
      <c r="AW1656" t="s">
        <v>66</v>
      </c>
      <c r="AX1656">
        <v>0</v>
      </c>
      <c r="AY1656" t="s">
        <v>66</v>
      </c>
      <c r="AZ1656">
        <v>0</v>
      </c>
      <c r="BA1656" t="s">
        <v>66</v>
      </c>
      <c r="BB1656">
        <v>0</v>
      </c>
      <c r="BC1656">
        <v>0</v>
      </c>
      <c r="BD1656">
        <v>502503.66</v>
      </c>
      <c r="BE1656">
        <v>34654.5</v>
      </c>
      <c r="BF1656">
        <v>0</v>
      </c>
      <c r="BG1656" t="s">
        <v>87</v>
      </c>
      <c r="BH1656" t="s">
        <v>66</v>
      </c>
      <c r="BI1656">
        <v>0</v>
      </c>
      <c r="BJ1656" t="s">
        <v>66</v>
      </c>
      <c r="BK1656" t="s">
        <v>88</v>
      </c>
      <c r="BL1656" t="s">
        <v>66</v>
      </c>
      <c r="BM1656" t="s">
        <v>159</v>
      </c>
    </row>
    <row r="1657" spans="1:65" x14ac:dyDescent="0.25">
      <c r="A1657">
        <v>1655</v>
      </c>
      <c r="B1657" t="s">
        <v>1738</v>
      </c>
      <c r="C1657" t="s">
        <v>68</v>
      </c>
      <c r="D1657" s="1">
        <v>46224</v>
      </c>
      <c r="E1657" t="s">
        <v>1739</v>
      </c>
      <c r="F1657" t="s">
        <v>68</v>
      </c>
      <c r="G1657" t="s">
        <v>69</v>
      </c>
      <c r="H1657" t="s">
        <v>70</v>
      </c>
      <c r="I1657" t="s">
        <v>71</v>
      </c>
      <c r="J1657" t="s">
        <v>72</v>
      </c>
      <c r="K1657" t="s">
        <v>73</v>
      </c>
      <c r="L1657" t="s">
        <v>74</v>
      </c>
      <c r="M1657" t="s">
        <v>586</v>
      </c>
      <c r="N1657" t="s">
        <v>111</v>
      </c>
      <c r="O1657" t="s">
        <v>587</v>
      </c>
      <c r="P1657" t="s">
        <v>588</v>
      </c>
      <c r="Q1657" t="s">
        <v>1740</v>
      </c>
      <c r="R1657" s="1">
        <v>46226</v>
      </c>
      <c r="S1657" t="s">
        <v>590</v>
      </c>
      <c r="T1657" t="s">
        <v>591</v>
      </c>
      <c r="U1657" t="s">
        <v>592</v>
      </c>
      <c r="V1657" t="s">
        <v>66</v>
      </c>
      <c r="W1657" t="s">
        <v>66</v>
      </c>
      <c r="X1657">
        <v>11387782</v>
      </c>
      <c r="Y1657">
        <v>1252656.02</v>
      </c>
      <c r="Z1657">
        <v>780120</v>
      </c>
      <c r="AA1657">
        <v>85813.2</v>
      </c>
      <c r="AB1657">
        <v>12640438.02</v>
      </c>
      <c r="AC1657">
        <v>2</v>
      </c>
      <c r="AD1657" t="s">
        <v>134</v>
      </c>
      <c r="AE1657">
        <v>48</v>
      </c>
      <c r="AF1657" t="s">
        <v>128</v>
      </c>
      <c r="AG1657">
        <f>IFERROR(VLOOKUP(AF1657,[1]STOK!J:O,6,0),"")</f>
        <v>24</v>
      </c>
      <c r="AH1657" s="2">
        <f t="shared" si="50"/>
        <v>2</v>
      </c>
      <c r="AI1657" t="s">
        <v>128</v>
      </c>
      <c r="AJ1657" t="s">
        <v>129</v>
      </c>
      <c r="AK1657" t="s">
        <v>130</v>
      </c>
      <c r="AL1657" t="s">
        <v>86</v>
      </c>
      <c r="AM1657">
        <v>439560</v>
      </c>
      <c r="AN1657">
        <f t="shared" si="51"/>
        <v>432966.6</v>
      </c>
      <c r="AO1657" t="s">
        <v>66</v>
      </c>
      <c r="AP1657">
        <v>1.5</v>
      </c>
      <c r="AQ1657" t="s">
        <v>66</v>
      </c>
      <c r="AR1657">
        <v>0</v>
      </c>
      <c r="AS1657" t="s">
        <v>66</v>
      </c>
      <c r="AT1657">
        <v>0</v>
      </c>
      <c r="AU1657" t="s">
        <v>66</v>
      </c>
      <c r="AV1657">
        <v>0</v>
      </c>
      <c r="AW1657" t="s">
        <v>66</v>
      </c>
      <c r="AX1657">
        <v>0</v>
      </c>
      <c r="AY1657" t="s">
        <v>66</v>
      </c>
      <c r="AZ1657">
        <v>0</v>
      </c>
      <c r="BA1657" t="s">
        <v>66</v>
      </c>
      <c r="BB1657">
        <v>0</v>
      </c>
      <c r="BC1657">
        <v>0</v>
      </c>
      <c r="BD1657">
        <v>865933.2</v>
      </c>
      <c r="BE1657">
        <v>14828.88</v>
      </c>
      <c r="BF1657">
        <v>0</v>
      </c>
      <c r="BG1657" t="s">
        <v>87</v>
      </c>
      <c r="BH1657" t="s">
        <v>66</v>
      </c>
      <c r="BI1657">
        <v>0</v>
      </c>
      <c r="BJ1657" t="s">
        <v>66</v>
      </c>
      <c r="BK1657" t="s">
        <v>88</v>
      </c>
      <c r="BL1657" t="s">
        <v>66</v>
      </c>
      <c r="BM1657" t="s">
        <v>159</v>
      </c>
    </row>
    <row r="1658" spans="1:65" x14ac:dyDescent="0.25">
      <c r="A1658">
        <v>1656</v>
      </c>
      <c r="B1658" t="s">
        <v>1738</v>
      </c>
      <c r="C1658" t="s">
        <v>68</v>
      </c>
      <c r="D1658" s="1">
        <v>46224</v>
      </c>
      <c r="E1658" t="s">
        <v>1739</v>
      </c>
      <c r="F1658" t="s">
        <v>68</v>
      </c>
      <c r="G1658" t="s">
        <v>69</v>
      </c>
      <c r="H1658" t="s">
        <v>70</v>
      </c>
      <c r="I1658" t="s">
        <v>71</v>
      </c>
      <c r="J1658" t="s">
        <v>72</v>
      </c>
      <c r="K1658" t="s">
        <v>73</v>
      </c>
      <c r="L1658" t="s">
        <v>74</v>
      </c>
      <c r="M1658" t="s">
        <v>586</v>
      </c>
      <c r="N1658" t="s">
        <v>111</v>
      </c>
      <c r="O1658" t="s">
        <v>587</v>
      </c>
      <c r="P1658" t="s">
        <v>588</v>
      </c>
      <c r="Q1658" t="s">
        <v>1740</v>
      </c>
      <c r="R1658" s="1">
        <v>46226</v>
      </c>
      <c r="S1658" t="s">
        <v>590</v>
      </c>
      <c r="T1658" t="s">
        <v>591</v>
      </c>
      <c r="U1658" t="s">
        <v>592</v>
      </c>
      <c r="V1658" t="s">
        <v>66</v>
      </c>
      <c r="W1658" t="s">
        <v>66</v>
      </c>
      <c r="X1658">
        <v>11387782</v>
      </c>
      <c r="Y1658">
        <v>1252656.02</v>
      </c>
      <c r="Z1658">
        <v>780120</v>
      </c>
      <c r="AA1658">
        <v>85813.2</v>
      </c>
      <c r="AB1658">
        <v>12640438.02</v>
      </c>
      <c r="AC1658">
        <v>2</v>
      </c>
      <c r="AD1658" t="s">
        <v>134</v>
      </c>
      <c r="AE1658">
        <v>48</v>
      </c>
      <c r="AF1658" t="s">
        <v>93</v>
      </c>
      <c r="AG1658">
        <f>IFERROR(VLOOKUP(AF1658,[1]STOK!J:O,6,0),"")</f>
        <v>24</v>
      </c>
      <c r="AH1658" s="2">
        <f t="shared" si="50"/>
        <v>2</v>
      </c>
      <c r="AI1658" t="s">
        <v>93</v>
      </c>
      <c r="AJ1658" t="s">
        <v>94</v>
      </c>
      <c r="AK1658" t="s">
        <v>95</v>
      </c>
      <c r="AL1658" t="s">
        <v>86</v>
      </c>
      <c r="AM1658">
        <v>439560</v>
      </c>
      <c r="AN1658">
        <f t="shared" si="51"/>
        <v>432966.6</v>
      </c>
      <c r="AO1658" t="s">
        <v>66</v>
      </c>
      <c r="AP1658">
        <v>1.5</v>
      </c>
      <c r="AQ1658" t="s">
        <v>66</v>
      </c>
      <c r="AR1658">
        <v>0</v>
      </c>
      <c r="AS1658" t="s">
        <v>66</v>
      </c>
      <c r="AT1658">
        <v>0</v>
      </c>
      <c r="AU1658" t="s">
        <v>66</v>
      </c>
      <c r="AV1658">
        <v>0</v>
      </c>
      <c r="AW1658" t="s">
        <v>66</v>
      </c>
      <c r="AX1658">
        <v>0</v>
      </c>
      <c r="AY1658" t="s">
        <v>66</v>
      </c>
      <c r="AZ1658">
        <v>0</v>
      </c>
      <c r="BA1658" t="s">
        <v>66</v>
      </c>
      <c r="BB1658">
        <v>0</v>
      </c>
      <c r="BC1658">
        <v>0</v>
      </c>
      <c r="BD1658">
        <v>865933.2</v>
      </c>
      <c r="BE1658">
        <v>14878.51</v>
      </c>
      <c r="BF1658">
        <v>0</v>
      </c>
      <c r="BG1658" t="s">
        <v>87</v>
      </c>
      <c r="BH1658" t="s">
        <v>66</v>
      </c>
      <c r="BI1658">
        <v>0</v>
      </c>
      <c r="BJ1658" t="s">
        <v>66</v>
      </c>
      <c r="BK1658" t="s">
        <v>88</v>
      </c>
      <c r="BL1658" t="s">
        <v>66</v>
      </c>
      <c r="BM1658" t="s">
        <v>159</v>
      </c>
    </row>
    <row r="1659" spans="1:65" x14ac:dyDescent="0.25">
      <c r="A1659">
        <v>1657</v>
      </c>
      <c r="B1659" t="s">
        <v>1738</v>
      </c>
      <c r="C1659" t="s">
        <v>68</v>
      </c>
      <c r="D1659" s="1">
        <v>46224</v>
      </c>
      <c r="E1659" t="s">
        <v>1739</v>
      </c>
      <c r="F1659" t="s">
        <v>68</v>
      </c>
      <c r="G1659" t="s">
        <v>69</v>
      </c>
      <c r="H1659" t="s">
        <v>70</v>
      </c>
      <c r="I1659" t="s">
        <v>71</v>
      </c>
      <c r="J1659" t="s">
        <v>72</v>
      </c>
      <c r="K1659" t="s">
        <v>73</v>
      </c>
      <c r="L1659" t="s">
        <v>74</v>
      </c>
      <c r="M1659" t="s">
        <v>586</v>
      </c>
      <c r="N1659" t="s">
        <v>111</v>
      </c>
      <c r="O1659" t="s">
        <v>587</v>
      </c>
      <c r="P1659" t="s">
        <v>588</v>
      </c>
      <c r="Q1659" t="s">
        <v>1740</v>
      </c>
      <c r="R1659" s="1">
        <v>46226</v>
      </c>
      <c r="S1659" t="s">
        <v>590</v>
      </c>
      <c r="T1659" t="s">
        <v>591</v>
      </c>
      <c r="U1659" t="s">
        <v>592</v>
      </c>
      <c r="V1659" t="s">
        <v>66</v>
      </c>
      <c r="W1659" t="s">
        <v>66</v>
      </c>
      <c r="X1659">
        <v>11387782</v>
      </c>
      <c r="Y1659">
        <v>1252656.02</v>
      </c>
      <c r="Z1659">
        <v>780120</v>
      </c>
      <c r="AA1659">
        <v>85813.2</v>
      </c>
      <c r="AB1659">
        <v>12640438.02</v>
      </c>
      <c r="AC1659">
        <v>2</v>
      </c>
      <c r="AD1659" t="s">
        <v>134</v>
      </c>
      <c r="AE1659">
        <v>48</v>
      </c>
      <c r="AF1659" t="s">
        <v>99</v>
      </c>
      <c r="AG1659">
        <f>IFERROR(VLOOKUP(AF1659,[1]STOK!J:O,6,0),"")</f>
        <v>24</v>
      </c>
      <c r="AH1659" s="2">
        <f t="shared" si="50"/>
        <v>2</v>
      </c>
      <c r="AI1659" t="s">
        <v>99</v>
      </c>
      <c r="AJ1659" t="s">
        <v>100</v>
      </c>
      <c r="AK1659" t="s">
        <v>101</v>
      </c>
      <c r="AL1659" t="s">
        <v>86</v>
      </c>
      <c r="AM1659">
        <v>439560</v>
      </c>
      <c r="AN1659">
        <f t="shared" si="51"/>
        <v>432966.6</v>
      </c>
      <c r="AO1659" t="s">
        <v>66</v>
      </c>
      <c r="AP1659">
        <v>1.5</v>
      </c>
      <c r="AQ1659" t="s">
        <v>66</v>
      </c>
      <c r="AR1659">
        <v>0</v>
      </c>
      <c r="AS1659" t="s">
        <v>66</v>
      </c>
      <c r="AT1659">
        <v>0</v>
      </c>
      <c r="AU1659" t="s">
        <v>66</v>
      </c>
      <c r="AV1659">
        <v>0</v>
      </c>
      <c r="AW1659" t="s">
        <v>66</v>
      </c>
      <c r="AX1659">
        <v>0</v>
      </c>
      <c r="AY1659" t="s">
        <v>66</v>
      </c>
      <c r="AZ1659">
        <v>0</v>
      </c>
      <c r="BA1659" t="s">
        <v>66</v>
      </c>
      <c r="BB1659">
        <v>0</v>
      </c>
      <c r="BC1659">
        <v>0</v>
      </c>
      <c r="BD1659">
        <v>865933.2</v>
      </c>
      <c r="BE1659">
        <v>14920.37</v>
      </c>
      <c r="BF1659">
        <v>0</v>
      </c>
      <c r="BG1659" t="s">
        <v>87</v>
      </c>
      <c r="BH1659" t="s">
        <v>66</v>
      </c>
      <c r="BI1659">
        <v>0</v>
      </c>
      <c r="BJ1659" t="s">
        <v>66</v>
      </c>
      <c r="BK1659" t="s">
        <v>88</v>
      </c>
      <c r="BL1659" t="s">
        <v>66</v>
      </c>
      <c r="BM1659" t="s">
        <v>159</v>
      </c>
    </row>
    <row r="1660" spans="1:65" x14ac:dyDescent="0.25">
      <c r="A1660">
        <v>1658</v>
      </c>
      <c r="B1660" t="s">
        <v>1738</v>
      </c>
      <c r="C1660" t="s">
        <v>68</v>
      </c>
      <c r="D1660" s="1">
        <v>46224</v>
      </c>
      <c r="E1660" t="s">
        <v>1739</v>
      </c>
      <c r="F1660" t="s">
        <v>68</v>
      </c>
      <c r="G1660" t="s">
        <v>69</v>
      </c>
      <c r="H1660" t="s">
        <v>70</v>
      </c>
      <c r="I1660" t="s">
        <v>71</v>
      </c>
      <c r="J1660" t="s">
        <v>72</v>
      </c>
      <c r="K1660" t="s">
        <v>73</v>
      </c>
      <c r="L1660" t="s">
        <v>74</v>
      </c>
      <c r="M1660" t="s">
        <v>586</v>
      </c>
      <c r="N1660" t="s">
        <v>111</v>
      </c>
      <c r="O1660" t="s">
        <v>587</v>
      </c>
      <c r="P1660" t="s">
        <v>588</v>
      </c>
      <c r="Q1660" t="s">
        <v>1740</v>
      </c>
      <c r="R1660" s="1">
        <v>46226</v>
      </c>
      <c r="S1660" t="s">
        <v>590</v>
      </c>
      <c r="T1660" t="s">
        <v>591</v>
      </c>
      <c r="U1660" t="s">
        <v>592</v>
      </c>
      <c r="V1660" t="s">
        <v>66</v>
      </c>
      <c r="W1660" t="s">
        <v>66</v>
      </c>
      <c r="X1660">
        <v>11387782</v>
      </c>
      <c r="Y1660">
        <v>1252656.02</v>
      </c>
      <c r="Z1660">
        <v>1019672</v>
      </c>
      <c r="AA1660">
        <v>112163.92</v>
      </c>
      <c r="AB1660">
        <v>12640438.02</v>
      </c>
      <c r="AC1660">
        <v>2</v>
      </c>
      <c r="AD1660" t="s">
        <v>134</v>
      </c>
      <c r="AE1660">
        <v>8</v>
      </c>
      <c r="AF1660" t="s">
        <v>1064</v>
      </c>
      <c r="AG1660">
        <f>IFERROR(VLOOKUP(AF1660,[1]STOK!J:O,6,0),"")</f>
        <v>4</v>
      </c>
      <c r="AH1660" s="2">
        <f t="shared" si="50"/>
        <v>2</v>
      </c>
      <c r="AI1660" t="s">
        <v>1064</v>
      </c>
      <c r="AJ1660" t="s">
        <v>1065</v>
      </c>
      <c r="AK1660" t="s">
        <v>1066</v>
      </c>
      <c r="AL1660" t="s">
        <v>86</v>
      </c>
      <c r="AM1660">
        <v>574536</v>
      </c>
      <c r="AN1660">
        <f t="shared" si="51"/>
        <v>565917.96</v>
      </c>
      <c r="AO1660" t="s">
        <v>66</v>
      </c>
      <c r="AP1660">
        <v>1.5</v>
      </c>
      <c r="AQ1660" t="s">
        <v>66</v>
      </c>
      <c r="AR1660">
        <v>0</v>
      </c>
      <c r="AS1660" t="s">
        <v>66</v>
      </c>
      <c r="AT1660">
        <v>0</v>
      </c>
      <c r="AU1660" t="s">
        <v>66</v>
      </c>
      <c r="AV1660">
        <v>0</v>
      </c>
      <c r="AW1660" t="s">
        <v>66</v>
      </c>
      <c r="AX1660">
        <v>0</v>
      </c>
      <c r="AY1660" t="s">
        <v>66</v>
      </c>
      <c r="AZ1660">
        <v>0</v>
      </c>
      <c r="BA1660" t="s">
        <v>66</v>
      </c>
      <c r="BB1660">
        <v>0</v>
      </c>
      <c r="BC1660">
        <v>0</v>
      </c>
      <c r="BD1660">
        <v>1131835.92</v>
      </c>
      <c r="BE1660">
        <v>115062.98</v>
      </c>
      <c r="BF1660">
        <v>0</v>
      </c>
      <c r="BG1660" t="s">
        <v>87</v>
      </c>
      <c r="BH1660" t="s">
        <v>66</v>
      </c>
      <c r="BI1660">
        <v>0</v>
      </c>
      <c r="BJ1660" t="s">
        <v>66</v>
      </c>
      <c r="BK1660" t="s">
        <v>88</v>
      </c>
      <c r="BL1660" t="s">
        <v>66</v>
      </c>
      <c r="BM1660" t="s">
        <v>159</v>
      </c>
    </row>
    <row r="1661" spans="1:65" x14ac:dyDescent="0.25">
      <c r="A1661">
        <v>1659</v>
      </c>
      <c r="B1661" t="s">
        <v>1738</v>
      </c>
      <c r="C1661" t="s">
        <v>68</v>
      </c>
      <c r="D1661" s="1">
        <v>46224</v>
      </c>
      <c r="E1661" t="s">
        <v>1739</v>
      </c>
      <c r="F1661" t="s">
        <v>68</v>
      </c>
      <c r="G1661" t="s">
        <v>69</v>
      </c>
      <c r="H1661" t="s">
        <v>70</v>
      </c>
      <c r="I1661" t="s">
        <v>71</v>
      </c>
      <c r="J1661" t="s">
        <v>72</v>
      </c>
      <c r="K1661" t="s">
        <v>73</v>
      </c>
      <c r="L1661" t="s">
        <v>74</v>
      </c>
      <c r="M1661" t="s">
        <v>586</v>
      </c>
      <c r="N1661" t="s">
        <v>111</v>
      </c>
      <c r="O1661" t="s">
        <v>587</v>
      </c>
      <c r="P1661" t="s">
        <v>588</v>
      </c>
      <c r="Q1661" t="s">
        <v>1740</v>
      </c>
      <c r="R1661" s="1">
        <v>46226</v>
      </c>
      <c r="S1661" t="s">
        <v>590</v>
      </c>
      <c r="T1661" t="s">
        <v>591</v>
      </c>
      <c r="U1661" t="s">
        <v>592</v>
      </c>
      <c r="V1661" t="s">
        <v>66</v>
      </c>
      <c r="W1661" t="s">
        <v>66</v>
      </c>
      <c r="X1661">
        <v>11387782</v>
      </c>
      <c r="Y1661">
        <v>1252656.02</v>
      </c>
      <c r="Z1661">
        <v>1019672</v>
      </c>
      <c r="AA1661">
        <v>112163.92</v>
      </c>
      <c r="AB1661">
        <v>12640438.02</v>
      </c>
      <c r="AC1661">
        <v>2</v>
      </c>
      <c r="AD1661" t="s">
        <v>134</v>
      </c>
      <c r="AE1661">
        <v>8</v>
      </c>
      <c r="AF1661" t="s">
        <v>651</v>
      </c>
      <c r="AG1661">
        <f>IFERROR(VLOOKUP(AF1661,[1]STOK!J:O,6,0),"")</f>
        <v>4</v>
      </c>
      <c r="AH1661" s="2">
        <f t="shared" si="50"/>
        <v>2</v>
      </c>
      <c r="AI1661" t="s">
        <v>651</v>
      </c>
      <c r="AJ1661" t="s">
        <v>652</v>
      </c>
      <c r="AK1661" t="s">
        <v>653</v>
      </c>
      <c r="AL1661" t="s">
        <v>86</v>
      </c>
      <c r="AM1661">
        <v>574536</v>
      </c>
      <c r="AN1661">
        <f t="shared" si="51"/>
        <v>565917.96</v>
      </c>
      <c r="AO1661" t="s">
        <v>66</v>
      </c>
      <c r="AP1661">
        <v>1.5</v>
      </c>
      <c r="AQ1661" t="s">
        <v>66</v>
      </c>
      <c r="AR1661">
        <v>0</v>
      </c>
      <c r="AS1661" t="s">
        <v>66</v>
      </c>
      <c r="AT1661">
        <v>0</v>
      </c>
      <c r="AU1661" t="s">
        <v>66</v>
      </c>
      <c r="AV1661">
        <v>0</v>
      </c>
      <c r="AW1661" t="s">
        <v>66</v>
      </c>
      <c r="AX1661">
        <v>0</v>
      </c>
      <c r="AY1661" t="s">
        <v>66</v>
      </c>
      <c r="AZ1661">
        <v>0</v>
      </c>
      <c r="BA1661" t="s">
        <v>66</v>
      </c>
      <c r="BB1661">
        <v>0</v>
      </c>
      <c r="BC1661">
        <v>0</v>
      </c>
      <c r="BD1661">
        <v>1131835.92</v>
      </c>
      <c r="BE1661">
        <v>115445.32</v>
      </c>
      <c r="BF1661">
        <v>0</v>
      </c>
      <c r="BG1661" t="s">
        <v>87</v>
      </c>
      <c r="BH1661" t="s">
        <v>66</v>
      </c>
      <c r="BI1661">
        <v>0</v>
      </c>
      <c r="BJ1661" t="s">
        <v>66</v>
      </c>
      <c r="BK1661" t="s">
        <v>88</v>
      </c>
      <c r="BL1661" t="s">
        <v>66</v>
      </c>
      <c r="BM1661" t="s">
        <v>159</v>
      </c>
    </row>
    <row r="1662" spans="1:65" x14ac:dyDescent="0.25">
      <c r="A1662">
        <v>1660</v>
      </c>
      <c r="B1662" t="s">
        <v>1738</v>
      </c>
      <c r="C1662" t="s">
        <v>68</v>
      </c>
      <c r="D1662" s="1">
        <v>46224</v>
      </c>
      <c r="E1662" t="s">
        <v>1739</v>
      </c>
      <c r="F1662" t="s">
        <v>68</v>
      </c>
      <c r="G1662" t="s">
        <v>69</v>
      </c>
      <c r="H1662" t="s">
        <v>70</v>
      </c>
      <c r="I1662" t="s">
        <v>71</v>
      </c>
      <c r="J1662" t="s">
        <v>72</v>
      </c>
      <c r="K1662" t="s">
        <v>73</v>
      </c>
      <c r="L1662" t="s">
        <v>74</v>
      </c>
      <c r="M1662" t="s">
        <v>586</v>
      </c>
      <c r="N1662" t="s">
        <v>111</v>
      </c>
      <c r="O1662" t="s">
        <v>587</v>
      </c>
      <c r="P1662" t="s">
        <v>588</v>
      </c>
      <c r="Q1662" t="s">
        <v>1740</v>
      </c>
      <c r="R1662" s="1">
        <v>46226</v>
      </c>
      <c r="S1662" t="s">
        <v>590</v>
      </c>
      <c r="T1662" t="s">
        <v>591</v>
      </c>
      <c r="U1662" t="s">
        <v>592</v>
      </c>
      <c r="V1662" t="s">
        <v>66</v>
      </c>
      <c r="W1662" t="s">
        <v>66</v>
      </c>
      <c r="X1662">
        <v>11387782</v>
      </c>
      <c r="Y1662">
        <v>1252656.02</v>
      </c>
      <c r="Z1662">
        <v>1375848</v>
      </c>
      <c r="AA1662">
        <v>151343.28</v>
      </c>
      <c r="AB1662">
        <v>12640438.02</v>
      </c>
      <c r="AC1662">
        <v>3</v>
      </c>
      <c r="AD1662" t="s">
        <v>134</v>
      </c>
      <c r="AE1662">
        <v>72</v>
      </c>
      <c r="AF1662" t="s">
        <v>470</v>
      </c>
      <c r="AG1662">
        <f>IFERROR(VLOOKUP(AF1662,[1]STOK!J:O,6,0),"")</f>
        <v>24</v>
      </c>
      <c r="AH1662" s="2">
        <f t="shared" si="50"/>
        <v>3</v>
      </c>
      <c r="AI1662" t="s">
        <v>470</v>
      </c>
      <c r="AJ1662" t="s">
        <v>471</v>
      </c>
      <c r="AK1662" t="s">
        <v>472</v>
      </c>
      <c r="AL1662" t="s">
        <v>86</v>
      </c>
      <c r="AM1662">
        <v>516816</v>
      </c>
      <c r="AN1662">
        <f t="shared" si="51"/>
        <v>509063.76</v>
      </c>
      <c r="AO1662" t="s">
        <v>66</v>
      </c>
      <c r="AP1662">
        <v>1.5</v>
      </c>
      <c r="AQ1662" t="s">
        <v>66</v>
      </c>
      <c r="AR1662">
        <v>0</v>
      </c>
      <c r="AS1662" t="s">
        <v>66</v>
      </c>
      <c r="AT1662">
        <v>0</v>
      </c>
      <c r="AU1662" t="s">
        <v>66</v>
      </c>
      <c r="AV1662">
        <v>0</v>
      </c>
      <c r="AW1662" t="s">
        <v>66</v>
      </c>
      <c r="AX1662">
        <v>0</v>
      </c>
      <c r="AY1662" t="s">
        <v>66</v>
      </c>
      <c r="AZ1662">
        <v>0</v>
      </c>
      <c r="BA1662" t="s">
        <v>66</v>
      </c>
      <c r="BB1662">
        <v>0</v>
      </c>
      <c r="BC1662">
        <v>0</v>
      </c>
      <c r="BD1662">
        <v>1527191.28</v>
      </c>
      <c r="BE1662">
        <v>17512.650000000001</v>
      </c>
      <c r="BF1662">
        <v>0</v>
      </c>
      <c r="BG1662" t="s">
        <v>87</v>
      </c>
      <c r="BH1662" t="s">
        <v>66</v>
      </c>
      <c r="BI1662">
        <v>0</v>
      </c>
      <c r="BJ1662" t="s">
        <v>66</v>
      </c>
      <c r="BK1662" t="s">
        <v>88</v>
      </c>
      <c r="BL1662" t="s">
        <v>66</v>
      </c>
      <c r="BM1662" t="s">
        <v>159</v>
      </c>
    </row>
    <row r="1663" spans="1:65" x14ac:dyDescent="0.25">
      <c r="A1663">
        <v>1661</v>
      </c>
      <c r="B1663" t="s">
        <v>1738</v>
      </c>
      <c r="C1663" t="s">
        <v>68</v>
      </c>
      <c r="D1663" s="1">
        <v>46224</v>
      </c>
      <c r="E1663" t="s">
        <v>1739</v>
      </c>
      <c r="F1663" t="s">
        <v>68</v>
      </c>
      <c r="G1663" t="s">
        <v>69</v>
      </c>
      <c r="H1663" t="s">
        <v>70</v>
      </c>
      <c r="I1663" t="s">
        <v>71</v>
      </c>
      <c r="J1663" t="s">
        <v>72</v>
      </c>
      <c r="K1663" t="s">
        <v>73</v>
      </c>
      <c r="L1663" t="s">
        <v>74</v>
      </c>
      <c r="M1663" t="s">
        <v>586</v>
      </c>
      <c r="N1663" t="s">
        <v>111</v>
      </c>
      <c r="O1663" t="s">
        <v>587</v>
      </c>
      <c r="P1663" t="s">
        <v>588</v>
      </c>
      <c r="Q1663" t="s">
        <v>1740</v>
      </c>
      <c r="R1663" s="1">
        <v>46226</v>
      </c>
      <c r="S1663" t="s">
        <v>590</v>
      </c>
      <c r="T1663" t="s">
        <v>591</v>
      </c>
      <c r="U1663" t="s">
        <v>592</v>
      </c>
      <c r="V1663" t="s">
        <v>66</v>
      </c>
      <c r="W1663" t="s">
        <v>66</v>
      </c>
      <c r="X1663">
        <v>11387782</v>
      </c>
      <c r="Y1663">
        <v>1252656.02</v>
      </c>
      <c r="Z1663">
        <v>1146540</v>
      </c>
      <c r="AA1663">
        <v>126119.4</v>
      </c>
      <c r="AB1663">
        <v>12640438.02</v>
      </c>
      <c r="AC1663">
        <v>5</v>
      </c>
      <c r="AD1663" t="s">
        <v>134</v>
      </c>
      <c r="AE1663">
        <v>60</v>
      </c>
      <c r="AF1663" t="s">
        <v>284</v>
      </c>
      <c r="AG1663">
        <f>IFERROR(VLOOKUP(AF1663,[1]STOK!J:O,6,0),"")</f>
        <v>12</v>
      </c>
      <c r="AH1663" s="2">
        <f t="shared" si="50"/>
        <v>5</v>
      </c>
      <c r="AI1663" t="s">
        <v>284</v>
      </c>
      <c r="AJ1663" t="s">
        <v>285</v>
      </c>
      <c r="AK1663" t="s">
        <v>286</v>
      </c>
      <c r="AL1663" t="s">
        <v>86</v>
      </c>
      <c r="AM1663">
        <v>258408</v>
      </c>
      <c r="AN1663">
        <f t="shared" si="51"/>
        <v>254531.87999999998</v>
      </c>
      <c r="AO1663" t="s">
        <v>66</v>
      </c>
      <c r="AP1663">
        <v>1.5</v>
      </c>
      <c r="AQ1663" t="s">
        <v>66</v>
      </c>
      <c r="AR1663">
        <v>0</v>
      </c>
      <c r="AS1663" t="s">
        <v>66</v>
      </c>
      <c r="AT1663">
        <v>0</v>
      </c>
      <c r="AU1663" t="s">
        <v>66</v>
      </c>
      <c r="AV1663">
        <v>0</v>
      </c>
      <c r="AW1663" t="s">
        <v>66</v>
      </c>
      <c r="AX1663">
        <v>0</v>
      </c>
      <c r="AY1663" t="s">
        <v>66</v>
      </c>
      <c r="AZ1663">
        <v>0</v>
      </c>
      <c r="BA1663" t="s">
        <v>66</v>
      </c>
      <c r="BB1663">
        <v>0</v>
      </c>
      <c r="BC1663">
        <v>0</v>
      </c>
      <c r="BD1663">
        <v>1272659.3999999999</v>
      </c>
      <c r="BE1663">
        <v>17519.32</v>
      </c>
      <c r="BF1663">
        <v>0</v>
      </c>
      <c r="BG1663" t="s">
        <v>87</v>
      </c>
      <c r="BH1663" t="s">
        <v>66</v>
      </c>
      <c r="BI1663">
        <v>0</v>
      </c>
      <c r="BJ1663" t="s">
        <v>66</v>
      </c>
      <c r="BK1663" t="s">
        <v>88</v>
      </c>
      <c r="BL1663" t="s">
        <v>66</v>
      </c>
      <c r="BM1663" t="s">
        <v>159</v>
      </c>
    </row>
    <row r="1664" spans="1:65" x14ac:dyDescent="0.25">
      <c r="A1664">
        <v>1662</v>
      </c>
      <c r="B1664" t="s">
        <v>1738</v>
      </c>
      <c r="C1664" t="s">
        <v>68</v>
      </c>
      <c r="D1664" s="1">
        <v>46224</v>
      </c>
      <c r="E1664" t="s">
        <v>1739</v>
      </c>
      <c r="F1664" t="s">
        <v>68</v>
      </c>
      <c r="G1664" t="s">
        <v>69</v>
      </c>
      <c r="H1664" t="s">
        <v>70</v>
      </c>
      <c r="I1664" t="s">
        <v>71</v>
      </c>
      <c r="J1664" t="s">
        <v>72</v>
      </c>
      <c r="K1664" t="s">
        <v>73</v>
      </c>
      <c r="L1664" t="s">
        <v>74</v>
      </c>
      <c r="M1664" t="s">
        <v>586</v>
      </c>
      <c r="N1664" t="s">
        <v>111</v>
      </c>
      <c r="O1664" t="s">
        <v>587</v>
      </c>
      <c r="P1664" t="s">
        <v>588</v>
      </c>
      <c r="Q1664" t="s">
        <v>1740</v>
      </c>
      <c r="R1664" s="1">
        <v>46226</v>
      </c>
      <c r="S1664" t="s">
        <v>590</v>
      </c>
      <c r="T1664" t="s">
        <v>591</v>
      </c>
      <c r="U1664" t="s">
        <v>592</v>
      </c>
      <c r="V1664" t="s">
        <v>66</v>
      </c>
      <c r="W1664" t="s">
        <v>66</v>
      </c>
      <c r="X1664">
        <v>11387782</v>
      </c>
      <c r="Y1664">
        <v>1252656.02</v>
      </c>
      <c r="Z1664">
        <v>1146540</v>
      </c>
      <c r="AA1664">
        <v>126119.4</v>
      </c>
      <c r="AB1664">
        <v>12640438.02</v>
      </c>
      <c r="AC1664">
        <v>5</v>
      </c>
      <c r="AD1664" t="s">
        <v>134</v>
      </c>
      <c r="AE1664">
        <v>60</v>
      </c>
      <c r="AF1664" t="s">
        <v>287</v>
      </c>
      <c r="AG1664">
        <f>IFERROR(VLOOKUP(AF1664,[1]STOK!J:O,6,0),"")</f>
        <v>12</v>
      </c>
      <c r="AH1664" s="2">
        <f t="shared" si="50"/>
        <v>5</v>
      </c>
      <c r="AI1664" t="s">
        <v>287</v>
      </c>
      <c r="AJ1664" t="s">
        <v>288</v>
      </c>
      <c r="AK1664" t="s">
        <v>289</v>
      </c>
      <c r="AL1664" t="s">
        <v>86</v>
      </c>
      <c r="AM1664">
        <v>258408</v>
      </c>
      <c r="AN1664">
        <f t="shared" si="51"/>
        <v>254531.87999999998</v>
      </c>
      <c r="AO1664" t="s">
        <v>66</v>
      </c>
      <c r="AP1664">
        <v>1.5</v>
      </c>
      <c r="AQ1664" t="s">
        <v>66</v>
      </c>
      <c r="AR1664">
        <v>0</v>
      </c>
      <c r="AS1664" t="s">
        <v>66</v>
      </c>
      <c r="AT1664">
        <v>0</v>
      </c>
      <c r="AU1664" t="s">
        <v>66</v>
      </c>
      <c r="AV1664">
        <v>0</v>
      </c>
      <c r="AW1664" t="s">
        <v>66</v>
      </c>
      <c r="AX1664">
        <v>0</v>
      </c>
      <c r="AY1664" t="s">
        <v>66</v>
      </c>
      <c r="AZ1664">
        <v>0</v>
      </c>
      <c r="BA1664" t="s">
        <v>66</v>
      </c>
      <c r="BB1664">
        <v>0</v>
      </c>
      <c r="BC1664">
        <v>0</v>
      </c>
      <c r="BD1664">
        <v>1272659.3999999999</v>
      </c>
      <c r="BE1664">
        <v>17472.2</v>
      </c>
      <c r="BF1664">
        <v>0</v>
      </c>
      <c r="BG1664" t="s">
        <v>87</v>
      </c>
      <c r="BH1664" t="s">
        <v>66</v>
      </c>
      <c r="BI1664">
        <v>0</v>
      </c>
      <c r="BJ1664" t="s">
        <v>66</v>
      </c>
      <c r="BK1664" t="s">
        <v>88</v>
      </c>
      <c r="BL1664" t="s">
        <v>66</v>
      </c>
      <c r="BM1664" t="s">
        <v>159</v>
      </c>
    </row>
    <row r="1665" spans="1:65" x14ac:dyDescent="0.25">
      <c r="A1665">
        <v>1663</v>
      </c>
      <c r="B1665" t="s">
        <v>1738</v>
      </c>
      <c r="C1665" t="s">
        <v>68</v>
      </c>
      <c r="D1665" s="1">
        <v>46224</v>
      </c>
      <c r="E1665" t="s">
        <v>1739</v>
      </c>
      <c r="F1665" t="s">
        <v>68</v>
      </c>
      <c r="G1665" t="s">
        <v>69</v>
      </c>
      <c r="H1665" t="s">
        <v>70</v>
      </c>
      <c r="I1665" t="s">
        <v>71</v>
      </c>
      <c r="J1665" t="s">
        <v>72</v>
      </c>
      <c r="K1665" t="s">
        <v>73</v>
      </c>
      <c r="L1665" t="s">
        <v>74</v>
      </c>
      <c r="M1665" t="s">
        <v>586</v>
      </c>
      <c r="N1665" t="s">
        <v>111</v>
      </c>
      <c r="O1665" t="s">
        <v>587</v>
      </c>
      <c r="P1665" t="s">
        <v>588</v>
      </c>
      <c r="Q1665" t="s">
        <v>1740</v>
      </c>
      <c r="R1665" s="1">
        <v>46226</v>
      </c>
      <c r="S1665" t="s">
        <v>590</v>
      </c>
      <c r="T1665" t="s">
        <v>591</v>
      </c>
      <c r="U1665" t="s">
        <v>592</v>
      </c>
      <c r="V1665" t="s">
        <v>66</v>
      </c>
      <c r="W1665" t="s">
        <v>66</v>
      </c>
      <c r="X1665">
        <v>11387782</v>
      </c>
      <c r="Y1665">
        <v>1252656.02</v>
      </c>
      <c r="Z1665">
        <v>356964</v>
      </c>
      <c r="AA1665">
        <v>39266.04</v>
      </c>
      <c r="AB1665">
        <v>12640438.02</v>
      </c>
      <c r="AC1665">
        <v>1</v>
      </c>
      <c r="AD1665" t="s">
        <v>134</v>
      </c>
      <c r="AE1665">
        <v>24</v>
      </c>
      <c r="AF1665" t="s">
        <v>1359</v>
      </c>
      <c r="AG1665">
        <f>IFERROR(VLOOKUP(AF1665,[1]STOK!J:O,6,0),"")</f>
        <v>24</v>
      </c>
      <c r="AH1665" s="2">
        <f t="shared" si="50"/>
        <v>1</v>
      </c>
      <c r="AI1665" t="s">
        <v>1359</v>
      </c>
      <c r="AJ1665" t="s">
        <v>1360</v>
      </c>
      <c r="AK1665" t="s">
        <v>1361</v>
      </c>
      <c r="AL1665" t="s">
        <v>86</v>
      </c>
      <c r="AM1665">
        <v>402264</v>
      </c>
      <c r="AN1665">
        <f t="shared" si="51"/>
        <v>396230.04</v>
      </c>
      <c r="AO1665" t="s">
        <v>66</v>
      </c>
      <c r="AP1665">
        <v>1.5</v>
      </c>
      <c r="AQ1665" t="s">
        <v>66</v>
      </c>
      <c r="AR1665">
        <v>0</v>
      </c>
      <c r="AS1665" t="s">
        <v>66</v>
      </c>
      <c r="AT1665">
        <v>0</v>
      </c>
      <c r="AU1665" t="s">
        <v>66</v>
      </c>
      <c r="AV1665">
        <v>0</v>
      </c>
      <c r="AW1665" t="s">
        <v>66</v>
      </c>
      <c r="AX1665">
        <v>0</v>
      </c>
      <c r="AY1665" t="s">
        <v>66</v>
      </c>
      <c r="AZ1665">
        <v>0</v>
      </c>
      <c r="BA1665" t="s">
        <v>66</v>
      </c>
      <c r="BB1665">
        <v>0</v>
      </c>
      <c r="BC1665">
        <v>0</v>
      </c>
      <c r="BD1665">
        <v>396230.04</v>
      </c>
      <c r="BE1665">
        <v>13535.32</v>
      </c>
      <c r="BF1665">
        <v>0</v>
      </c>
      <c r="BG1665" t="s">
        <v>87</v>
      </c>
      <c r="BH1665" t="s">
        <v>66</v>
      </c>
      <c r="BI1665">
        <v>0</v>
      </c>
      <c r="BJ1665" t="s">
        <v>66</v>
      </c>
      <c r="BK1665" t="s">
        <v>88</v>
      </c>
      <c r="BL1665" t="s">
        <v>66</v>
      </c>
      <c r="BM1665" t="s">
        <v>159</v>
      </c>
    </row>
    <row r="1666" spans="1:65" x14ac:dyDescent="0.25">
      <c r="A1666">
        <v>1664</v>
      </c>
      <c r="B1666" t="s">
        <v>1738</v>
      </c>
      <c r="C1666" t="s">
        <v>68</v>
      </c>
      <c r="D1666" s="1">
        <v>46224</v>
      </c>
      <c r="E1666" t="s">
        <v>1739</v>
      </c>
      <c r="F1666" t="s">
        <v>68</v>
      </c>
      <c r="G1666" t="s">
        <v>69</v>
      </c>
      <c r="H1666" t="s">
        <v>70</v>
      </c>
      <c r="I1666" t="s">
        <v>71</v>
      </c>
      <c r="J1666" t="s">
        <v>72</v>
      </c>
      <c r="K1666" t="s">
        <v>73</v>
      </c>
      <c r="L1666" t="s">
        <v>74</v>
      </c>
      <c r="M1666" t="s">
        <v>586</v>
      </c>
      <c r="N1666" t="s">
        <v>111</v>
      </c>
      <c r="O1666" t="s">
        <v>587</v>
      </c>
      <c r="P1666" t="s">
        <v>588</v>
      </c>
      <c r="Q1666" t="s">
        <v>1740</v>
      </c>
      <c r="R1666" s="1">
        <v>46226</v>
      </c>
      <c r="S1666" t="s">
        <v>590</v>
      </c>
      <c r="T1666" t="s">
        <v>591</v>
      </c>
      <c r="U1666" t="s">
        <v>592</v>
      </c>
      <c r="V1666" t="s">
        <v>66</v>
      </c>
      <c r="W1666" t="s">
        <v>66</v>
      </c>
      <c r="X1666">
        <v>11387782</v>
      </c>
      <c r="Y1666">
        <v>1252656.02</v>
      </c>
      <c r="Z1666">
        <v>65010</v>
      </c>
      <c r="AA1666">
        <v>7151.1</v>
      </c>
      <c r="AB1666">
        <v>12640438.02</v>
      </c>
      <c r="AC1666">
        <v>4</v>
      </c>
      <c r="AD1666" t="s">
        <v>82</v>
      </c>
      <c r="AE1666">
        <v>4</v>
      </c>
      <c r="AF1666" t="s">
        <v>619</v>
      </c>
      <c r="AG1666">
        <f>IFERROR(VLOOKUP(AF1666,[1]STOK!J:O,6,0),"")</f>
        <v>12</v>
      </c>
      <c r="AH1666" s="2">
        <f t="shared" si="50"/>
        <v>0.33333333333333331</v>
      </c>
      <c r="AI1666" t="s">
        <v>619</v>
      </c>
      <c r="AJ1666" t="s">
        <v>620</v>
      </c>
      <c r="AK1666" t="s">
        <v>621</v>
      </c>
      <c r="AL1666" t="s">
        <v>86</v>
      </c>
      <c r="AM1666">
        <v>18315</v>
      </c>
      <c r="AN1666">
        <f t="shared" si="51"/>
        <v>18040.275000000001</v>
      </c>
      <c r="AO1666" t="s">
        <v>66</v>
      </c>
      <c r="AP1666">
        <v>1.5</v>
      </c>
      <c r="AQ1666" t="s">
        <v>66</v>
      </c>
      <c r="AR1666">
        <v>0</v>
      </c>
      <c r="AS1666" t="s">
        <v>66</v>
      </c>
      <c r="AT1666">
        <v>0</v>
      </c>
      <c r="AU1666" t="s">
        <v>66</v>
      </c>
      <c r="AV1666">
        <v>0</v>
      </c>
      <c r="AW1666" t="s">
        <v>66</v>
      </c>
      <c r="AX1666">
        <v>0</v>
      </c>
      <c r="AY1666" t="s">
        <v>66</v>
      </c>
      <c r="AZ1666">
        <v>0</v>
      </c>
      <c r="BA1666" t="s">
        <v>66</v>
      </c>
      <c r="BB1666">
        <v>0</v>
      </c>
      <c r="BC1666">
        <v>0</v>
      </c>
      <c r="BD1666">
        <v>72161.100000000006</v>
      </c>
      <c r="BE1666">
        <v>14123.21</v>
      </c>
      <c r="BF1666">
        <v>0</v>
      </c>
      <c r="BG1666" t="s">
        <v>87</v>
      </c>
      <c r="BH1666" t="s">
        <v>66</v>
      </c>
      <c r="BI1666">
        <v>0</v>
      </c>
      <c r="BJ1666" t="s">
        <v>66</v>
      </c>
      <c r="BK1666" t="s">
        <v>88</v>
      </c>
      <c r="BL1666" t="s">
        <v>66</v>
      </c>
      <c r="BM1666" t="s">
        <v>159</v>
      </c>
    </row>
    <row r="1667" spans="1:65" x14ac:dyDescent="0.25">
      <c r="A1667">
        <v>1665</v>
      </c>
      <c r="B1667" t="s">
        <v>1738</v>
      </c>
      <c r="C1667" t="s">
        <v>68</v>
      </c>
      <c r="D1667" s="1">
        <v>46224</v>
      </c>
      <c r="E1667" t="s">
        <v>1739</v>
      </c>
      <c r="F1667" t="s">
        <v>68</v>
      </c>
      <c r="G1667" t="s">
        <v>69</v>
      </c>
      <c r="H1667" t="s">
        <v>70</v>
      </c>
      <c r="I1667" t="s">
        <v>71</v>
      </c>
      <c r="J1667" t="s">
        <v>72</v>
      </c>
      <c r="K1667" t="s">
        <v>73</v>
      </c>
      <c r="L1667" t="s">
        <v>74</v>
      </c>
      <c r="M1667" t="s">
        <v>586</v>
      </c>
      <c r="N1667" t="s">
        <v>111</v>
      </c>
      <c r="O1667" t="s">
        <v>587</v>
      </c>
      <c r="P1667" t="s">
        <v>588</v>
      </c>
      <c r="Q1667" t="s">
        <v>1740</v>
      </c>
      <c r="R1667" s="1">
        <v>46226</v>
      </c>
      <c r="S1667" t="s">
        <v>590</v>
      </c>
      <c r="T1667" t="s">
        <v>591</v>
      </c>
      <c r="U1667" t="s">
        <v>592</v>
      </c>
      <c r="V1667" t="s">
        <v>66</v>
      </c>
      <c r="W1667" t="s">
        <v>66</v>
      </c>
      <c r="X1667">
        <v>11387782</v>
      </c>
      <c r="Y1667">
        <v>1252656.02</v>
      </c>
      <c r="Z1667">
        <v>198576</v>
      </c>
      <c r="AA1667">
        <v>21843.360000000001</v>
      </c>
      <c r="AB1667">
        <v>12640438.02</v>
      </c>
      <c r="AC1667">
        <v>4</v>
      </c>
      <c r="AD1667" t="s">
        <v>82</v>
      </c>
      <c r="AE1667">
        <v>4</v>
      </c>
      <c r="AF1667" t="s">
        <v>1058</v>
      </c>
      <c r="AG1667">
        <f>IFERROR(VLOOKUP(AF1667,[1]STOK!J:O,6,0),"")</f>
        <v>4</v>
      </c>
      <c r="AH1667" s="2">
        <f t="shared" si="50"/>
        <v>1</v>
      </c>
      <c r="AI1667" t="s">
        <v>1058</v>
      </c>
      <c r="AJ1667" t="s">
        <v>1059</v>
      </c>
      <c r="AK1667" t="s">
        <v>1060</v>
      </c>
      <c r="AL1667" t="s">
        <v>86</v>
      </c>
      <c r="AM1667">
        <v>55944</v>
      </c>
      <c r="AN1667">
        <f t="shared" si="51"/>
        <v>55104.84</v>
      </c>
      <c r="AO1667" t="s">
        <v>66</v>
      </c>
      <c r="AP1667">
        <v>1.5</v>
      </c>
      <c r="AQ1667" t="s">
        <v>66</v>
      </c>
      <c r="AR1667">
        <v>0</v>
      </c>
      <c r="AS1667" t="s">
        <v>66</v>
      </c>
      <c r="AT1667">
        <v>0</v>
      </c>
      <c r="AU1667" t="s">
        <v>66</v>
      </c>
      <c r="AV1667">
        <v>0</v>
      </c>
      <c r="AW1667" t="s">
        <v>66</v>
      </c>
      <c r="AX1667">
        <v>0</v>
      </c>
      <c r="AY1667" t="s">
        <v>66</v>
      </c>
      <c r="AZ1667">
        <v>0</v>
      </c>
      <c r="BA1667" t="s">
        <v>66</v>
      </c>
      <c r="BB1667">
        <v>0</v>
      </c>
      <c r="BC1667">
        <v>0</v>
      </c>
      <c r="BD1667">
        <v>220419.36</v>
      </c>
      <c r="BE1667">
        <v>45079.9</v>
      </c>
      <c r="BF1667">
        <v>0</v>
      </c>
      <c r="BG1667" t="s">
        <v>87</v>
      </c>
      <c r="BH1667" t="s">
        <v>66</v>
      </c>
      <c r="BI1667">
        <v>0</v>
      </c>
      <c r="BJ1667" t="s">
        <v>66</v>
      </c>
      <c r="BK1667" t="s">
        <v>88</v>
      </c>
      <c r="BL1667" t="s">
        <v>66</v>
      </c>
      <c r="BM1667" t="s">
        <v>159</v>
      </c>
    </row>
    <row r="1668" spans="1:65" x14ac:dyDescent="0.25">
      <c r="A1668">
        <v>1666</v>
      </c>
      <c r="B1668" t="s">
        <v>1738</v>
      </c>
      <c r="C1668" t="s">
        <v>68</v>
      </c>
      <c r="D1668" s="1">
        <v>46224</v>
      </c>
      <c r="E1668" t="s">
        <v>1739</v>
      </c>
      <c r="F1668" t="s">
        <v>68</v>
      </c>
      <c r="G1668" t="s">
        <v>69</v>
      </c>
      <c r="H1668" t="s">
        <v>70</v>
      </c>
      <c r="I1668" t="s">
        <v>71</v>
      </c>
      <c r="J1668" t="s">
        <v>72</v>
      </c>
      <c r="K1668" t="s">
        <v>73</v>
      </c>
      <c r="L1668" t="s">
        <v>74</v>
      </c>
      <c r="M1668" t="s">
        <v>586</v>
      </c>
      <c r="N1668" t="s">
        <v>111</v>
      </c>
      <c r="O1668" t="s">
        <v>587</v>
      </c>
      <c r="P1668" t="s">
        <v>588</v>
      </c>
      <c r="Q1668" t="s">
        <v>1740</v>
      </c>
      <c r="R1668" s="1">
        <v>46226</v>
      </c>
      <c r="S1668" t="s">
        <v>590</v>
      </c>
      <c r="T1668" t="s">
        <v>591</v>
      </c>
      <c r="U1668" t="s">
        <v>592</v>
      </c>
      <c r="V1668" t="s">
        <v>66</v>
      </c>
      <c r="W1668" t="s">
        <v>66</v>
      </c>
      <c r="X1668">
        <v>11387782</v>
      </c>
      <c r="Y1668">
        <v>1252656.02</v>
      </c>
      <c r="Z1668">
        <v>198576</v>
      </c>
      <c r="AA1668">
        <v>21843.360000000001</v>
      </c>
      <c r="AB1668">
        <v>12640438.02</v>
      </c>
      <c r="AC1668">
        <v>4</v>
      </c>
      <c r="AD1668" t="s">
        <v>82</v>
      </c>
      <c r="AE1668">
        <v>4</v>
      </c>
      <c r="AF1668" t="s">
        <v>881</v>
      </c>
      <c r="AG1668">
        <f>IFERROR(VLOOKUP(AF1668,[1]STOK!J:O,6,0),"")</f>
        <v>4</v>
      </c>
      <c r="AH1668" s="2">
        <f t="shared" ref="AH1668:AH1731" si="52">AE1668/AG1668</f>
        <v>1</v>
      </c>
      <c r="AI1668" t="s">
        <v>881</v>
      </c>
      <c r="AJ1668" t="s">
        <v>882</v>
      </c>
      <c r="AK1668" t="s">
        <v>883</v>
      </c>
      <c r="AL1668" t="s">
        <v>86</v>
      </c>
      <c r="AM1668">
        <v>55944</v>
      </c>
      <c r="AN1668">
        <f t="shared" ref="AN1668:AN1731" si="53">BD1668/AC1668</f>
        <v>55104.84</v>
      </c>
      <c r="AO1668" t="s">
        <v>66</v>
      </c>
      <c r="AP1668">
        <v>1.5</v>
      </c>
      <c r="AQ1668" t="s">
        <v>66</v>
      </c>
      <c r="AR1668">
        <v>0</v>
      </c>
      <c r="AS1668" t="s">
        <v>66</v>
      </c>
      <c r="AT1668">
        <v>0</v>
      </c>
      <c r="AU1668" t="s">
        <v>66</v>
      </c>
      <c r="AV1668">
        <v>0</v>
      </c>
      <c r="AW1668" t="s">
        <v>66</v>
      </c>
      <c r="AX1668">
        <v>0</v>
      </c>
      <c r="AY1668" t="s">
        <v>66</v>
      </c>
      <c r="AZ1668">
        <v>0</v>
      </c>
      <c r="BA1668" t="s">
        <v>66</v>
      </c>
      <c r="BB1668">
        <v>0</v>
      </c>
      <c r="BC1668">
        <v>0</v>
      </c>
      <c r="BD1668">
        <v>220419.36</v>
      </c>
      <c r="BE1668">
        <v>45099.040000000001</v>
      </c>
      <c r="BF1668">
        <v>0</v>
      </c>
      <c r="BG1668" t="s">
        <v>87</v>
      </c>
      <c r="BH1668" t="s">
        <v>66</v>
      </c>
      <c r="BI1668">
        <v>0</v>
      </c>
      <c r="BJ1668" t="s">
        <v>66</v>
      </c>
      <c r="BK1668" t="s">
        <v>88</v>
      </c>
      <c r="BL1668" t="s">
        <v>66</v>
      </c>
      <c r="BM1668" t="s">
        <v>159</v>
      </c>
    </row>
    <row r="1669" spans="1:65" x14ac:dyDescent="0.25">
      <c r="A1669">
        <v>1667</v>
      </c>
      <c r="B1669" t="s">
        <v>1738</v>
      </c>
      <c r="C1669" t="s">
        <v>68</v>
      </c>
      <c r="D1669" s="1">
        <v>46224</v>
      </c>
      <c r="E1669" t="s">
        <v>1739</v>
      </c>
      <c r="F1669" t="s">
        <v>68</v>
      </c>
      <c r="G1669" t="s">
        <v>69</v>
      </c>
      <c r="H1669" t="s">
        <v>70</v>
      </c>
      <c r="I1669" t="s">
        <v>71</v>
      </c>
      <c r="J1669" t="s">
        <v>72</v>
      </c>
      <c r="K1669" t="s">
        <v>73</v>
      </c>
      <c r="L1669" t="s">
        <v>74</v>
      </c>
      <c r="M1669" t="s">
        <v>586</v>
      </c>
      <c r="N1669" t="s">
        <v>111</v>
      </c>
      <c r="O1669" t="s">
        <v>587</v>
      </c>
      <c r="P1669" t="s">
        <v>588</v>
      </c>
      <c r="Q1669" t="s">
        <v>1740</v>
      </c>
      <c r="R1669" s="1">
        <v>46226</v>
      </c>
      <c r="S1669" t="s">
        <v>590</v>
      </c>
      <c r="T1669" t="s">
        <v>591</v>
      </c>
      <c r="U1669" t="s">
        <v>592</v>
      </c>
      <c r="V1669" t="s">
        <v>66</v>
      </c>
      <c r="W1669" t="s">
        <v>66</v>
      </c>
      <c r="X1669">
        <v>11387782</v>
      </c>
      <c r="Y1669">
        <v>1252656.02</v>
      </c>
      <c r="Z1669">
        <v>709200</v>
      </c>
      <c r="AA1669">
        <v>78012</v>
      </c>
      <c r="AB1669">
        <v>12640438.02</v>
      </c>
      <c r="AC1669">
        <v>3</v>
      </c>
      <c r="AD1669" t="s">
        <v>134</v>
      </c>
      <c r="AE1669">
        <v>36</v>
      </c>
      <c r="AF1669" t="s">
        <v>102</v>
      </c>
      <c r="AG1669">
        <f>IFERROR(VLOOKUP(AF1669,[1]STOK!J:O,6,0),"")</f>
        <v>12</v>
      </c>
      <c r="AH1669" s="2">
        <f t="shared" si="52"/>
        <v>3</v>
      </c>
      <c r="AI1669" t="s">
        <v>102</v>
      </c>
      <c r="AJ1669" t="s">
        <v>103</v>
      </c>
      <c r="AK1669" t="s">
        <v>104</v>
      </c>
      <c r="AL1669" t="s">
        <v>86</v>
      </c>
      <c r="AM1669">
        <v>266400</v>
      </c>
      <c r="AN1669">
        <f t="shared" si="53"/>
        <v>262404</v>
      </c>
      <c r="AO1669" t="s">
        <v>66</v>
      </c>
      <c r="AP1669">
        <v>1.5</v>
      </c>
      <c r="AQ1669" t="s">
        <v>66</v>
      </c>
      <c r="AR1669">
        <v>0</v>
      </c>
      <c r="AS1669" t="s">
        <v>66</v>
      </c>
      <c r="AT1669">
        <v>0</v>
      </c>
      <c r="AU1669" t="s">
        <v>66</v>
      </c>
      <c r="AV1669">
        <v>0</v>
      </c>
      <c r="AW1669" t="s">
        <v>66</v>
      </c>
      <c r="AX1669">
        <v>0</v>
      </c>
      <c r="AY1669" t="s">
        <v>66</v>
      </c>
      <c r="AZ1669">
        <v>0</v>
      </c>
      <c r="BA1669" t="s">
        <v>66</v>
      </c>
      <c r="BB1669">
        <v>0</v>
      </c>
      <c r="BC1669">
        <v>0</v>
      </c>
      <c r="BD1669">
        <v>787212</v>
      </c>
      <c r="BE1669">
        <v>18055.25</v>
      </c>
      <c r="BF1669">
        <v>0</v>
      </c>
      <c r="BG1669" t="s">
        <v>87</v>
      </c>
      <c r="BH1669" t="s">
        <v>66</v>
      </c>
      <c r="BI1669">
        <v>0</v>
      </c>
      <c r="BJ1669" t="s">
        <v>66</v>
      </c>
      <c r="BK1669" t="s">
        <v>88</v>
      </c>
      <c r="BL1669" t="s">
        <v>66</v>
      </c>
      <c r="BM1669" t="s">
        <v>159</v>
      </c>
    </row>
    <row r="1670" spans="1:65" x14ac:dyDescent="0.25">
      <c r="A1670">
        <v>1668</v>
      </c>
      <c r="B1670" t="s">
        <v>1738</v>
      </c>
      <c r="C1670" t="s">
        <v>68</v>
      </c>
      <c r="D1670" s="1">
        <v>46224</v>
      </c>
      <c r="E1670" t="s">
        <v>1739</v>
      </c>
      <c r="F1670" t="s">
        <v>68</v>
      </c>
      <c r="G1670" t="s">
        <v>69</v>
      </c>
      <c r="H1670" t="s">
        <v>70</v>
      </c>
      <c r="I1670" t="s">
        <v>71</v>
      </c>
      <c r="J1670" t="s">
        <v>72</v>
      </c>
      <c r="K1670" t="s">
        <v>73</v>
      </c>
      <c r="L1670" t="s">
        <v>74</v>
      </c>
      <c r="M1670" t="s">
        <v>586</v>
      </c>
      <c r="N1670" t="s">
        <v>111</v>
      </c>
      <c r="O1670" t="s">
        <v>587</v>
      </c>
      <c r="P1670" t="s">
        <v>588</v>
      </c>
      <c r="Q1670" t="s">
        <v>1740</v>
      </c>
      <c r="R1670" s="1">
        <v>46226</v>
      </c>
      <c r="S1670" t="s">
        <v>590</v>
      </c>
      <c r="T1670" t="s">
        <v>591</v>
      </c>
      <c r="U1670" t="s">
        <v>592</v>
      </c>
      <c r="V1670" t="s">
        <v>66</v>
      </c>
      <c r="W1670" t="s">
        <v>66</v>
      </c>
      <c r="X1670">
        <v>11387782</v>
      </c>
      <c r="Y1670">
        <v>1252656.02</v>
      </c>
      <c r="Z1670">
        <v>905412</v>
      </c>
      <c r="AA1670">
        <v>99595.32</v>
      </c>
      <c r="AB1670">
        <v>12640438.02</v>
      </c>
      <c r="AC1670">
        <v>4</v>
      </c>
      <c r="AD1670" t="s">
        <v>134</v>
      </c>
      <c r="AE1670">
        <v>24</v>
      </c>
      <c r="AF1670" t="s">
        <v>138</v>
      </c>
      <c r="AG1670">
        <f>IFERROR(VLOOKUP(AF1670,[1]STOK!J:O,6,0),"")</f>
        <v>6</v>
      </c>
      <c r="AH1670" s="2">
        <f t="shared" si="52"/>
        <v>4</v>
      </c>
      <c r="AI1670" t="s">
        <v>138</v>
      </c>
      <c r="AJ1670" t="s">
        <v>139</v>
      </c>
      <c r="AK1670" t="s">
        <v>140</v>
      </c>
      <c r="AL1670" t="s">
        <v>86</v>
      </c>
      <c r="AM1670">
        <v>255078</v>
      </c>
      <c r="AN1670">
        <f t="shared" si="53"/>
        <v>251251.83</v>
      </c>
      <c r="AO1670" t="s">
        <v>66</v>
      </c>
      <c r="AP1670">
        <v>1.5</v>
      </c>
      <c r="AQ1670" t="s">
        <v>66</v>
      </c>
      <c r="AR1670">
        <v>0</v>
      </c>
      <c r="AS1670" t="s">
        <v>66</v>
      </c>
      <c r="AT1670">
        <v>0</v>
      </c>
      <c r="AU1670" t="s">
        <v>66</v>
      </c>
      <c r="AV1670">
        <v>0</v>
      </c>
      <c r="AW1670" t="s">
        <v>66</v>
      </c>
      <c r="AX1670">
        <v>0</v>
      </c>
      <c r="AY1670" t="s">
        <v>66</v>
      </c>
      <c r="AZ1670">
        <v>0</v>
      </c>
      <c r="BA1670" t="s">
        <v>66</v>
      </c>
      <c r="BB1670">
        <v>0</v>
      </c>
      <c r="BC1670">
        <v>0</v>
      </c>
      <c r="BD1670">
        <v>1005007.32</v>
      </c>
      <c r="BE1670">
        <v>34654.5</v>
      </c>
      <c r="BF1670">
        <v>0</v>
      </c>
      <c r="BG1670" t="s">
        <v>87</v>
      </c>
      <c r="BH1670" t="s">
        <v>66</v>
      </c>
      <c r="BI1670">
        <v>0</v>
      </c>
      <c r="BJ1670" t="s">
        <v>66</v>
      </c>
      <c r="BK1670" t="s">
        <v>88</v>
      </c>
      <c r="BL1670" t="s">
        <v>66</v>
      </c>
      <c r="BM1670" t="s">
        <v>159</v>
      </c>
    </row>
    <row r="1671" spans="1:65" x14ac:dyDescent="0.25">
      <c r="A1671">
        <v>1669</v>
      </c>
      <c r="B1671" t="s">
        <v>1738</v>
      </c>
      <c r="C1671" t="s">
        <v>68</v>
      </c>
      <c r="D1671" s="1">
        <v>46224</v>
      </c>
      <c r="E1671" t="s">
        <v>1739</v>
      </c>
      <c r="F1671" t="s">
        <v>68</v>
      </c>
      <c r="G1671" t="s">
        <v>69</v>
      </c>
      <c r="H1671" t="s">
        <v>70</v>
      </c>
      <c r="I1671" t="s">
        <v>71</v>
      </c>
      <c r="J1671" t="s">
        <v>72</v>
      </c>
      <c r="K1671" t="s">
        <v>73</v>
      </c>
      <c r="L1671" t="s">
        <v>74</v>
      </c>
      <c r="M1671" t="s">
        <v>586</v>
      </c>
      <c r="N1671" t="s">
        <v>111</v>
      </c>
      <c r="O1671" t="s">
        <v>587</v>
      </c>
      <c r="P1671" t="s">
        <v>588</v>
      </c>
      <c r="Q1671" t="s">
        <v>1740</v>
      </c>
      <c r="R1671" s="1">
        <v>46226</v>
      </c>
      <c r="S1671" t="s">
        <v>590</v>
      </c>
      <c r="T1671" t="s">
        <v>591</v>
      </c>
      <c r="U1671" t="s">
        <v>592</v>
      </c>
      <c r="V1671" t="s">
        <v>66</v>
      </c>
      <c r="W1671" t="s">
        <v>66</v>
      </c>
      <c r="X1671">
        <v>11387782</v>
      </c>
      <c r="Y1671">
        <v>1252656.02</v>
      </c>
      <c r="Z1671">
        <v>905412</v>
      </c>
      <c r="AA1671">
        <v>99595.32</v>
      </c>
      <c r="AB1671">
        <v>12640438.02</v>
      </c>
      <c r="AC1671">
        <v>4</v>
      </c>
      <c r="AD1671" t="s">
        <v>134</v>
      </c>
      <c r="AE1671">
        <v>24</v>
      </c>
      <c r="AF1671" t="s">
        <v>323</v>
      </c>
      <c r="AG1671">
        <f>IFERROR(VLOOKUP(AF1671,[1]STOK!J:O,6,0),"")</f>
        <v>6</v>
      </c>
      <c r="AH1671" s="2">
        <f t="shared" si="52"/>
        <v>4</v>
      </c>
      <c r="AI1671" t="s">
        <v>323</v>
      </c>
      <c r="AJ1671" t="s">
        <v>324</v>
      </c>
      <c r="AK1671" t="s">
        <v>325</v>
      </c>
      <c r="AL1671" t="s">
        <v>86</v>
      </c>
      <c r="AM1671">
        <v>255078</v>
      </c>
      <c r="AN1671">
        <f t="shared" si="53"/>
        <v>251251.83</v>
      </c>
      <c r="AO1671" t="s">
        <v>66</v>
      </c>
      <c r="AP1671">
        <v>1.5</v>
      </c>
      <c r="AQ1671" t="s">
        <v>66</v>
      </c>
      <c r="AR1671">
        <v>0</v>
      </c>
      <c r="AS1671" t="s">
        <v>66</v>
      </c>
      <c r="AT1671">
        <v>0</v>
      </c>
      <c r="AU1671" t="s">
        <v>66</v>
      </c>
      <c r="AV1671">
        <v>0</v>
      </c>
      <c r="AW1671" t="s">
        <v>66</v>
      </c>
      <c r="AX1671">
        <v>0</v>
      </c>
      <c r="AY1671" t="s">
        <v>66</v>
      </c>
      <c r="AZ1671">
        <v>0</v>
      </c>
      <c r="BA1671" t="s">
        <v>66</v>
      </c>
      <c r="BB1671">
        <v>0</v>
      </c>
      <c r="BC1671">
        <v>0</v>
      </c>
      <c r="BD1671">
        <v>1005007.32</v>
      </c>
      <c r="BE1671">
        <v>34536.9</v>
      </c>
      <c r="BF1671">
        <v>0</v>
      </c>
      <c r="BG1671" t="s">
        <v>87</v>
      </c>
      <c r="BH1671" t="s">
        <v>66</v>
      </c>
      <c r="BI1671">
        <v>0</v>
      </c>
      <c r="BJ1671" t="s">
        <v>66</v>
      </c>
      <c r="BK1671" t="s">
        <v>88</v>
      </c>
      <c r="BL1671" t="s">
        <v>66</v>
      </c>
      <c r="BM1671" t="s">
        <v>159</v>
      </c>
    </row>
    <row r="1672" spans="1:65" x14ac:dyDescent="0.25">
      <c r="A1672">
        <v>1670</v>
      </c>
      <c r="B1672" t="s">
        <v>1741</v>
      </c>
      <c r="C1672" t="s">
        <v>68</v>
      </c>
      <c r="D1672" s="1">
        <v>46224</v>
      </c>
      <c r="E1672" t="s">
        <v>1742</v>
      </c>
      <c r="F1672" t="s">
        <v>68</v>
      </c>
      <c r="G1672" t="s">
        <v>69</v>
      </c>
      <c r="H1672" t="s">
        <v>70</v>
      </c>
      <c r="I1672" t="s">
        <v>71</v>
      </c>
      <c r="J1672" t="s">
        <v>72</v>
      </c>
      <c r="K1672" t="s">
        <v>73</v>
      </c>
      <c r="L1672" t="s">
        <v>74</v>
      </c>
      <c r="M1672" t="s">
        <v>958</v>
      </c>
      <c r="N1672" t="s">
        <v>76</v>
      </c>
      <c r="O1672" t="s">
        <v>959</v>
      </c>
      <c r="P1672" t="s">
        <v>960</v>
      </c>
      <c r="Q1672" t="s">
        <v>1743</v>
      </c>
      <c r="R1672" s="1">
        <v>46228</v>
      </c>
      <c r="S1672" t="s">
        <v>962</v>
      </c>
      <c r="T1672" t="s">
        <v>963</v>
      </c>
      <c r="U1672" t="s">
        <v>964</v>
      </c>
      <c r="V1672" t="s">
        <v>66</v>
      </c>
      <c r="W1672" t="s">
        <v>66</v>
      </c>
      <c r="X1672">
        <v>1005696</v>
      </c>
      <c r="Y1672">
        <v>110626.56</v>
      </c>
      <c r="Z1672">
        <v>171108</v>
      </c>
      <c r="AA1672">
        <v>18821.88</v>
      </c>
      <c r="AB1672">
        <v>1116322.56</v>
      </c>
      <c r="AC1672">
        <v>1</v>
      </c>
      <c r="AD1672" t="s">
        <v>134</v>
      </c>
      <c r="AE1672">
        <v>12</v>
      </c>
      <c r="AF1672" t="s">
        <v>473</v>
      </c>
      <c r="AG1672">
        <f>IFERROR(VLOOKUP(AF1672,[1]STOK!J:O,6,0),"")</f>
        <v>12</v>
      </c>
      <c r="AH1672" s="2">
        <f t="shared" si="52"/>
        <v>1</v>
      </c>
      <c r="AI1672" t="s">
        <v>473</v>
      </c>
      <c r="AJ1672" t="s">
        <v>474</v>
      </c>
      <c r="AK1672" t="s">
        <v>475</v>
      </c>
      <c r="AL1672" t="s">
        <v>86</v>
      </c>
      <c r="AM1672">
        <v>195804</v>
      </c>
      <c r="AN1672">
        <f t="shared" si="53"/>
        <v>189929.88</v>
      </c>
      <c r="AO1672" t="s">
        <v>66</v>
      </c>
      <c r="AP1672">
        <v>3</v>
      </c>
      <c r="AQ1672" t="s">
        <v>66</v>
      </c>
      <c r="AR1672">
        <v>0</v>
      </c>
      <c r="AS1672" t="s">
        <v>66</v>
      </c>
      <c r="AT1672">
        <v>0</v>
      </c>
      <c r="AU1672" t="s">
        <v>66</v>
      </c>
      <c r="AV1672">
        <v>0</v>
      </c>
      <c r="AW1672" t="s">
        <v>66</v>
      </c>
      <c r="AX1672">
        <v>0</v>
      </c>
      <c r="AY1672" t="s">
        <v>66</v>
      </c>
      <c r="AZ1672">
        <v>0</v>
      </c>
      <c r="BA1672" t="s">
        <v>66</v>
      </c>
      <c r="BB1672">
        <v>0</v>
      </c>
      <c r="BC1672">
        <v>0</v>
      </c>
      <c r="BD1672">
        <v>189929.88</v>
      </c>
      <c r="BE1672">
        <v>13385.34</v>
      </c>
      <c r="BF1672">
        <v>0</v>
      </c>
      <c r="BG1672" t="s">
        <v>87</v>
      </c>
      <c r="BH1672" t="s">
        <v>66</v>
      </c>
      <c r="BI1672">
        <v>0</v>
      </c>
      <c r="BJ1672" t="s">
        <v>66</v>
      </c>
      <c r="BK1672" t="s">
        <v>88</v>
      </c>
      <c r="BL1672" t="s">
        <v>965</v>
      </c>
      <c r="BM1672" t="s">
        <v>159</v>
      </c>
    </row>
    <row r="1673" spans="1:65" x14ac:dyDescent="0.25">
      <c r="A1673">
        <v>1671</v>
      </c>
      <c r="B1673" t="s">
        <v>1741</v>
      </c>
      <c r="C1673" t="s">
        <v>68</v>
      </c>
      <c r="D1673" s="1">
        <v>46224</v>
      </c>
      <c r="E1673" t="s">
        <v>1742</v>
      </c>
      <c r="F1673" t="s">
        <v>68</v>
      </c>
      <c r="G1673" t="s">
        <v>69</v>
      </c>
      <c r="H1673" t="s">
        <v>70</v>
      </c>
      <c r="I1673" t="s">
        <v>71</v>
      </c>
      <c r="J1673" t="s">
        <v>72</v>
      </c>
      <c r="K1673" t="s">
        <v>73</v>
      </c>
      <c r="L1673" t="s">
        <v>74</v>
      </c>
      <c r="M1673" t="s">
        <v>958</v>
      </c>
      <c r="N1673" t="s">
        <v>76</v>
      </c>
      <c r="O1673" t="s">
        <v>959</v>
      </c>
      <c r="P1673" t="s">
        <v>960</v>
      </c>
      <c r="Q1673" t="s">
        <v>1743</v>
      </c>
      <c r="R1673" s="1">
        <v>46228</v>
      </c>
      <c r="S1673" t="s">
        <v>962</v>
      </c>
      <c r="T1673" t="s">
        <v>963</v>
      </c>
      <c r="U1673" t="s">
        <v>964</v>
      </c>
      <c r="V1673" t="s">
        <v>66</v>
      </c>
      <c r="W1673" t="s">
        <v>66</v>
      </c>
      <c r="X1673">
        <v>1005696</v>
      </c>
      <c r="Y1673">
        <v>110626.56</v>
      </c>
      <c r="Z1673">
        <v>201372</v>
      </c>
      <c r="AA1673">
        <v>22150.92</v>
      </c>
      <c r="AB1673">
        <v>1116322.56</v>
      </c>
      <c r="AC1673">
        <v>1</v>
      </c>
      <c r="AD1673" t="s">
        <v>134</v>
      </c>
      <c r="AE1673">
        <v>12</v>
      </c>
      <c r="AF1673" t="s">
        <v>359</v>
      </c>
      <c r="AG1673">
        <f>IFERROR(VLOOKUP(AF1673,[1]STOK!J:O,6,0),"")</f>
        <v>12</v>
      </c>
      <c r="AH1673" s="2">
        <f t="shared" si="52"/>
        <v>1</v>
      </c>
      <c r="AI1673" t="s">
        <v>359</v>
      </c>
      <c r="AJ1673" t="s">
        <v>360</v>
      </c>
      <c r="AK1673" t="s">
        <v>361</v>
      </c>
      <c r="AL1673" t="s">
        <v>86</v>
      </c>
      <c r="AM1673">
        <v>230436</v>
      </c>
      <c r="AN1673">
        <f t="shared" si="53"/>
        <v>223522.92</v>
      </c>
      <c r="AO1673" t="s">
        <v>66</v>
      </c>
      <c r="AP1673">
        <v>3</v>
      </c>
      <c r="AQ1673" t="s">
        <v>66</v>
      </c>
      <c r="AR1673">
        <v>0</v>
      </c>
      <c r="AS1673" t="s">
        <v>66</v>
      </c>
      <c r="AT1673">
        <v>0</v>
      </c>
      <c r="AU1673" t="s">
        <v>66</v>
      </c>
      <c r="AV1673">
        <v>0</v>
      </c>
      <c r="AW1673" t="s">
        <v>66</v>
      </c>
      <c r="AX1673">
        <v>0</v>
      </c>
      <c r="AY1673" t="s">
        <v>66</v>
      </c>
      <c r="AZ1673">
        <v>0</v>
      </c>
      <c r="BA1673" t="s">
        <v>66</v>
      </c>
      <c r="BB1673">
        <v>0</v>
      </c>
      <c r="BC1673">
        <v>0</v>
      </c>
      <c r="BD1673">
        <v>223522.92</v>
      </c>
      <c r="BE1673">
        <v>15628.14</v>
      </c>
      <c r="BF1673">
        <v>0</v>
      </c>
      <c r="BG1673" t="s">
        <v>87</v>
      </c>
      <c r="BH1673" t="s">
        <v>66</v>
      </c>
      <c r="BI1673">
        <v>0</v>
      </c>
      <c r="BJ1673" t="s">
        <v>66</v>
      </c>
      <c r="BK1673" t="s">
        <v>88</v>
      </c>
      <c r="BL1673" t="s">
        <v>965</v>
      </c>
      <c r="BM1673" t="s">
        <v>159</v>
      </c>
    </row>
    <row r="1674" spans="1:65" x14ac:dyDescent="0.25">
      <c r="A1674">
        <v>1672</v>
      </c>
      <c r="B1674" t="s">
        <v>1741</v>
      </c>
      <c r="C1674" t="s">
        <v>68</v>
      </c>
      <c r="D1674" s="1">
        <v>46224</v>
      </c>
      <c r="E1674" t="s">
        <v>1742</v>
      </c>
      <c r="F1674" t="s">
        <v>68</v>
      </c>
      <c r="G1674" t="s">
        <v>69</v>
      </c>
      <c r="H1674" t="s">
        <v>70</v>
      </c>
      <c r="I1674" t="s">
        <v>71</v>
      </c>
      <c r="J1674" t="s">
        <v>72</v>
      </c>
      <c r="K1674" t="s">
        <v>73</v>
      </c>
      <c r="L1674" t="s">
        <v>74</v>
      </c>
      <c r="M1674" t="s">
        <v>958</v>
      </c>
      <c r="N1674" t="s">
        <v>76</v>
      </c>
      <c r="O1674" t="s">
        <v>959</v>
      </c>
      <c r="P1674" t="s">
        <v>960</v>
      </c>
      <c r="Q1674" t="s">
        <v>1743</v>
      </c>
      <c r="R1674" s="1">
        <v>46228</v>
      </c>
      <c r="S1674" t="s">
        <v>962</v>
      </c>
      <c r="T1674" t="s">
        <v>963</v>
      </c>
      <c r="U1674" t="s">
        <v>964</v>
      </c>
      <c r="V1674" t="s">
        <v>66</v>
      </c>
      <c r="W1674" t="s">
        <v>66</v>
      </c>
      <c r="X1674">
        <v>1005696</v>
      </c>
      <c r="Y1674">
        <v>110626.56</v>
      </c>
      <c r="Z1674">
        <v>232800</v>
      </c>
      <c r="AA1674">
        <v>25608</v>
      </c>
      <c r="AB1674">
        <v>1116322.56</v>
      </c>
      <c r="AC1674">
        <v>1</v>
      </c>
      <c r="AD1674" t="s">
        <v>134</v>
      </c>
      <c r="AE1674">
        <v>12</v>
      </c>
      <c r="AF1674" t="s">
        <v>290</v>
      </c>
      <c r="AG1674">
        <f>IFERROR(VLOOKUP(AF1674,[1]STOK!J:O,6,0),"")</f>
        <v>12</v>
      </c>
      <c r="AH1674" s="2">
        <f t="shared" si="52"/>
        <v>1</v>
      </c>
      <c r="AI1674" t="s">
        <v>290</v>
      </c>
      <c r="AJ1674" t="s">
        <v>291</v>
      </c>
      <c r="AK1674" t="s">
        <v>292</v>
      </c>
      <c r="AL1674" t="s">
        <v>86</v>
      </c>
      <c r="AM1674">
        <v>266400</v>
      </c>
      <c r="AN1674">
        <f t="shared" si="53"/>
        <v>258408</v>
      </c>
      <c r="AO1674" t="s">
        <v>66</v>
      </c>
      <c r="AP1674">
        <v>3</v>
      </c>
      <c r="AQ1674" t="s">
        <v>66</v>
      </c>
      <c r="AR1674">
        <v>0</v>
      </c>
      <c r="AS1674" t="s">
        <v>66</v>
      </c>
      <c r="AT1674">
        <v>0</v>
      </c>
      <c r="AU1674" t="s">
        <v>66</v>
      </c>
      <c r="AV1674">
        <v>0</v>
      </c>
      <c r="AW1674" t="s">
        <v>66</v>
      </c>
      <c r="AX1674">
        <v>0</v>
      </c>
      <c r="AY1674" t="s">
        <v>66</v>
      </c>
      <c r="AZ1674">
        <v>0</v>
      </c>
      <c r="BA1674" t="s">
        <v>66</v>
      </c>
      <c r="BB1674">
        <v>0</v>
      </c>
      <c r="BC1674">
        <v>0</v>
      </c>
      <c r="BD1674">
        <v>258408</v>
      </c>
      <c r="BE1674">
        <v>18103.439999999999</v>
      </c>
      <c r="BF1674">
        <v>0</v>
      </c>
      <c r="BG1674" t="s">
        <v>87</v>
      </c>
      <c r="BH1674" t="s">
        <v>66</v>
      </c>
      <c r="BI1674">
        <v>0</v>
      </c>
      <c r="BJ1674" t="s">
        <v>66</v>
      </c>
      <c r="BK1674" t="s">
        <v>88</v>
      </c>
      <c r="BL1674" t="s">
        <v>965</v>
      </c>
      <c r="BM1674" t="s">
        <v>159</v>
      </c>
    </row>
    <row r="1675" spans="1:65" x14ac:dyDescent="0.25">
      <c r="A1675">
        <v>1673</v>
      </c>
      <c r="B1675" t="s">
        <v>1741</v>
      </c>
      <c r="C1675" t="s">
        <v>68</v>
      </c>
      <c r="D1675" s="1">
        <v>46224</v>
      </c>
      <c r="E1675" t="s">
        <v>1742</v>
      </c>
      <c r="F1675" t="s">
        <v>68</v>
      </c>
      <c r="G1675" t="s">
        <v>69</v>
      </c>
      <c r="H1675" t="s">
        <v>70</v>
      </c>
      <c r="I1675" t="s">
        <v>71</v>
      </c>
      <c r="J1675" t="s">
        <v>72</v>
      </c>
      <c r="K1675" t="s">
        <v>73</v>
      </c>
      <c r="L1675" t="s">
        <v>74</v>
      </c>
      <c r="M1675" t="s">
        <v>958</v>
      </c>
      <c r="N1675" t="s">
        <v>76</v>
      </c>
      <c r="O1675" t="s">
        <v>959</v>
      </c>
      <c r="P1675" t="s">
        <v>960</v>
      </c>
      <c r="Q1675" t="s">
        <v>1743</v>
      </c>
      <c r="R1675" s="1">
        <v>46228</v>
      </c>
      <c r="S1675" t="s">
        <v>962</v>
      </c>
      <c r="T1675" t="s">
        <v>963</v>
      </c>
      <c r="U1675" t="s">
        <v>964</v>
      </c>
      <c r="V1675" t="s">
        <v>66</v>
      </c>
      <c r="W1675" t="s">
        <v>66</v>
      </c>
      <c r="X1675">
        <v>1005696</v>
      </c>
      <c r="Y1675">
        <v>110626.56</v>
      </c>
      <c r="Z1675">
        <v>232800</v>
      </c>
      <c r="AA1675">
        <v>25608</v>
      </c>
      <c r="AB1675">
        <v>1116322.56</v>
      </c>
      <c r="AC1675">
        <v>1</v>
      </c>
      <c r="AD1675" t="s">
        <v>134</v>
      </c>
      <c r="AE1675">
        <v>12</v>
      </c>
      <c r="AF1675" t="s">
        <v>102</v>
      </c>
      <c r="AG1675">
        <f>IFERROR(VLOOKUP(AF1675,[1]STOK!J:O,6,0),"")</f>
        <v>12</v>
      </c>
      <c r="AH1675" s="2">
        <f t="shared" si="52"/>
        <v>1</v>
      </c>
      <c r="AI1675" t="s">
        <v>102</v>
      </c>
      <c r="AJ1675" t="s">
        <v>103</v>
      </c>
      <c r="AK1675" t="s">
        <v>104</v>
      </c>
      <c r="AL1675" t="s">
        <v>86</v>
      </c>
      <c r="AM1675">
        <v>266400</v>
      </c>
      <c r="AN1675">
        <f t="shared" si="53"/>
        <v>258408</v>
      </c>
      <c r="AO1675" t="s">
        <v>66</v>
      </c>
      <c r="AP1675">
        <v>3</v>
      </c>
      <c r="AQ1675" t="s">
        <v>66</v>
      </c>
      <c r="AR1675">
        <v>0</v>
      </c>
      <c r="AS1675" t="s">
        <v>66</v>
      </c>
      <c r="AT1675">
        <v>0</v>
      </c>
      <c r="AU1675" t="s">
        <v>66</v>
      </c>
      <c r="AV1675">
        <v>0</v>
      </c>
      <c r="AW1675" t="s">
        <v>66</v>
      </c>
      <c r="AX1675">
        <v>0</v>
      </c>
      <c r="AY1675" t="s">
        <v>66</v>
      </c>
      <c r="AZ1675">
        <v>0</v>
      </c>
      <c r="BA1675" t="s">
        <v>66</v>
      </c>
      <c r="BB1675">
        <v>0</v>
      </c>
      <c r="BC1675">
        <v>0</v>
      </c>
      <c r="BD1675">
        <v>258408</v>
      </c>
      <c r="BE1675">
        <v>18055.25</v>
      </c>
      <c r="BF1675">
        <v>0</v>
      </c>
      <c r="BG1675" t="s">
        <v>87</v>
      </c>
      <c r="BH1675" t="s">
        <v>66</v>
      </c>
      <c r="BI1675">
        <v>0</v>
      </c>
      <c r="BJ1675" t="s">
        <v>66</v>
      </c>
      <c r="BK1675" t="s">
        <v>88</v>
      </c>
      <c r="BL1675" t="s">
        <v>965</v>
      </c>
      <c r="BM1675" t="s">
        <v>159</v>
      </c>
    </row>
    <row r="1676" spans="1:65" x14ac:dyDescent="0.25">
      <c r="A1676">
        <v>1674</v>
      </c>
      <c r="B1676" t="s">
        <v>1741</v>
      </c>
      <c r="C1676" t="s">
        <v>68</v>
      </c>
      <c r="D1676" s="1">
        <v>46224</v>
      </c>
      <c r="E1676" t="s">
        <v>1742</v>
      </c>
      <c r="F1676" t="s">
        <v>68</v>
      </c>
      <c r="G1676" t="s">
        <v>69</v>
      </c>
      <c r="H1676" t="s">
        <v>70</v>
      </c>
      <c r="I1676" t="s">
        <v>71</v>
      </c>
      <c r="J1676" t="s">
        <v>72</v>
      </c>
      <c r="K1676" t="s">
        <v>73</v>
      </c>
      <c r="L1676" t="s">
        <v>74</v>
      </c>
      <c r="M1676" t="s">
        <v>958</v>
      </c>
      <c r="N1676" t="s">
        <v>76</v>
      </c>
      <c r="O1676" t="s">
        <v>959</v>
      </c>
      <c r="P1676" t="s">
        <v>960</v>
      </c>
      <c r="Q1676" t="s">
        <v>1743</v>
      </c>
      <c r="R1676" s="1">
        <v>46228</v>
      </c>
      <c r="S1676" t="s">
        <v>962</v>
      </c>
      <c r="T1676" t="s">
        <v>963</v>
      </c>
      <c r="U1676" t="s">
        <v>964</v>
      </c>
      <c r="V1676" t="s">
        <v>66</v>
      </c>
      <c r="W1676" t="s">
        <v>66</v>
      </c>
      <c r="X1676">
        <v>1005696</v>
      </c>
      <c r="Y1676">
        <v>110626.56</v>
      </c>
      <c r="Z1676">
        <v>167616</v>
      </c>
      <c r="AA1676">
        <v>18437.759999999998</v>
      </c>
      <c r="AB1676">
        <v>1116322.56</v>
      </c>
      <c r="AC1676">
        <v>1</v>
      </c>
      <c r="AD1676" t="s">
        <v>134</v>
      </c>
      <c r="AE1676">
        <v>12</v>
      </c>
      <c r="AF1676" t="s">
        <v>141</v>
      </c>
      <c r="AG1676">
        <f>IFERROR(VLOOKUP(AF1676,[1]STOK!J:O,6,0),"")</f>
        <v>12</v>
      </c>
      <c r="AH1676" s="2">
        <f t="shared" si="52"/>
        <v>1</v>
      </c>
      <c r="AI1676" t="s">
        <v>141</v>
      </c>
      <c r="AJ1676" t="s">
        <v>142</v>
      </c>
      <c r="AK1676" t="s">
        <v>143</v>
      </c>
      <c r="AL1676" t="s">
        <v>86</v>
      </c>
      <c r="AM1676">
        <v>191808</v>
      </c>
      <c r="AN1676">
        <f t="shared" si="53"/>
        <v>186053.76000000001</v>
      </c>
      <c r="AO1676" t="s">
        <v>66</v>
      </c>
      <c r="AP1676">
        <v>3</v>
      </c>
      <c r="AQ1676" t="s">
        <v>66</v>
      </c>
      <c r="AR1676">
        <v>0</v>
      </c>
      <c r="AS1676" t="s">
        <v>66</v>
      </c>
      <c r="AT1676">
        <v>0</v>
      </c>
      <c r="AU1676" t="s">
        <v>66</v>
      </c>
      <c r="AV1676">
        <v>0</v>
      </c>
      <c r="AW1676" t="s">
        <v>66</v>
      </c>
      <c r="AX1676">
        <v>0</v>
      </c>
      <c r="AY1676" t="s">
        <v>66</v>
      </c>
      <c r="AZ1676">
        <v>0</v>
      </c>
      <c r="BA1676" t="s">
        <v>66</v>
      </c>
      <c r="BB1676">
        <v>0</v>
      </c>
      <c r="BC1676">
        <v>0</v>
      </c>
      <c r="BD1676">
        <v>186053.76000000001</v>
      </c>
      <c r="BE1676">
        <v>13019.17</v>
      </c>
      <c r="BF1676">
        <v>0</v>
      </c>
      <c r="BG1676" t="s">
        <v>87</v>
      </c>
      <c r="BH1676" t="s">
        <v>66</v>
      </c>
      <c r="BI1676">
        <v>0</v>
      </c>
      <c r="BJ1676" t="s">
        <v>66</v>
      </c>
      <c r="BK1676" t="s">
        <v>88</v>
      </c>
      <c r="BL1676" t="s">
        <v>965</v>
      </c>
      <c r="BM1676" t="s">
        <v>159</v>
      </c>
    </row>
    <row r="1677" spans="1:65" x14ac:dyDescent="0.25">
      <c r="A1677">
        <v>1675</v>
      </c>
      <c r="B1677" t="s">
        <v>1744</v>
      </c>
      <c r="C1677" t="s">
        <v>1745</v>
      </c>
      <c r="D1677" s="1">
        <v>46224</v>
      </c>
      <c r="E1677" t="s">
        <v>1746</v>
      </c>
      <c r="F1677" t="s">
        <v>1747</v>
      </c>
      <c r="G1677" t="s">
        <v>69</v>
      </c>
      <c r="H1677" t="s">
        <v>70</v>
      </c>
      <c r="I1677" t="s">
        <v>71</v>
      </c>
      <c r="J1677" t="s">
        <v>72</v>
      </c>
      <c r="K1677" t="s">
        <v>73</v>
      </c>
      <c r="L1677" t="s">
        <v>74</v>
      </c>
      <c r="M1677" t="s">
        <v>1449</v>
      </c>
      <c r="N1677" t="s">
        <v>696</v>
      </c>
      <c r="O1677" t="s">
        <v>1450</v>
      </c>
      <c r="P1677" t="s">
        <v>1451</v>
      </c>
      <c r="Q1677" t="s">
        <v>1748</v>
      </c>
      <c r="R1677" s="1">
        <v>46226</v>
      </c>
      <c r="S1677" t="s">
        <v>1453</v>
      </c>
      <c r="T1677" t="s">
        <v>1454</v>
      </c>
      <c r="U1677" t="s">
        <v>1455</v>
      </c>
      <c r="V1677" t="s">
        <v>66</v>
      </c>
      <c r="W1677" t="s">
        <v>66</v>
      </c>
      <c r="X1677">
        <v>423540</v>
      </c>
      <c r="Y1677">
        <v>46589.4</v>
      </c>
      <c r="Z1677">
        <v>145080</v>
      </c>
      <c r="AA1677">
        <v>15958.8</v>
      </c>
      <c r="AB1677">
        <v>470129.4</v>
      </c>
      <c r="AC1677">
        <v>1</v>
      </c>
      <c r="AD1677" t="s">
        <v>134</v>
      </c>
      <c r="AE1677">
        <v>12</v>
      </c>
      <c r="AF1677" t="s">
        <v>1749</v>
      </c>
      <c r="AG1677">
        <f>IFERROR(VLOOKUP(AF1677,[1]STOK!J:O,6,0),"")</f>
        <v>12</v>
      </c>
      <c r="AH1677" s="2">
        <f t="shared" si="52"/>
        <v>1</v>
      </c>
      <c r="AI1677" t="s">
        <v>1749</v>
      </c>
      <c r="AJ1677" t="s">
        <v>1750</v>
      </c>
      <c r="AK1677" t="s">
        <v>1751</v>
      </c>
      <c r="AL1677" t="s">
        <v>86</v>
      </c>
      <c r="AM1677">
        <v>165168</v>
      </c>
      <c r="AN1677">
        <f t="shared" si="53"/>
        <v>161038.79999999999</v>
      </c>
      <c r="AO1677" t="s">
        <v>66</v>
      </c>
      <c r="AP1677">
        <v>2.5</v>
      </c>
      <c r="AQ1677" t="s">
        <v>66</v>
      </c>
      <c r="AR1677">
        <v>0</v>
      </c>
      <c r="AS1677" t="s">
        <v>66</v>
      </c>
      <c r="AT1677">
        <v>0</v>
      </c>
      <c r="AU1677" t="s">
        <v>66</v>
      </c>
      <c r="AV1677">
        <v>0</v>
      </c>
      <c r="AW1677" t="s">
        <v>66</v>
      </c>
      <c r="AX1677">
        <v>0</v>
      </c>
      <c r="AY1677" t="s">
        <v>66</v>
      </c>
      <c r="AZ1677">
        <v>0</v>
      </c>
      <c r="BA1677" t="s">
        <v>66</v>
      </c>
      <c r="BB1677">
        <v>0</v>
      </c>
      <c r="BC1677">
        <v>0</v>
      </c>
      <c r="BD1677">
        <v>161038.79999999999</v>
      </c>
      <c r="BE1677">
        <v>11054.28</v>
      </c>
      <c r="BF1677">
        <v>0</v>
      </c>
      <c r="BG1677" t="s">
        <v>87</v>
      </c>
      <c r="BH1677" t="s">
        <v>66</v>
      </c>
      <c r="BI1677">
        <v>0</v>
      </c>
      <c r="BJ1677" t="s">
        <v>66</v>
      </c>
      <c r="BK1677" t="s">
        <v>88</v>
      </c>
      <c r="BL1677" t="s">
        <v>1459</v>
      </c>
      <c r="BM1677" t="s">
        <v>159</v>
      </c>
    </row>
    <row r="1678" spans="1:65" x14ac:dyDescent="0.25">
      <c r="A1678">
        <v>1676</v>
      </c>
      <c r="B1678" t="s">
        <v>1744</v>
      </c>
      <c r="C1678" t="s">
        <v>1745</v>
      </c>
      <c r="D1678" s="1">
        <v>46224</v>
      </c>
      <c r="E1678" t="s">
        <v>1746</v>
      </c>
      <c r="F1678" t="s">
        <v>1747</v>
      </c>
      <c r="G1678" t="s">
        <v>69</v>
      </c>
      <c r="H1678" t="s">
        <v>70</v>
      </c>
      <c r="I1678" t="s">
        <v>71</v>
      </c>
      <c r="J1678" t="s">
        <v>72</v>
      </c>
      <c r="K1678" t="s">
        <v>73</v>
      </c>
      <c r="L1678" t="s">
        <v>74</v>
      </c>
      <c r="M1678" t="s">
        <v>1449</v>
      </c>
      <c r="N1678" t="s">
        <v>696</v>
      </c>
      <c r="O1678" t="s">
        <v>1450</v>
      </c>
      <c r="P1678" t="s">
        <v>1451</v>
      </c>
      <c r="Q1678" t="s">
        <v>1748</v>
      </c>
      <c r="R1678" s="1">
        <v>46226</v>
      </c>
      <c r="S1678" t="s">
        <v>1453</v>
      </c>
      <c r="T1678" t="s">
        <v>1454</v>
      </c>
      <c r="U1678" t="s">
        <v>1455</v>
      </c>
      <c r="V1678" t="s">
        <v>66</v>
      </c>
      <c r="W1678" t="s">
        <v>66</v>
      </c>
      <c r="X1678">
        <v>423540</v>
      </c>
      <c r="Y1678">
        <v>46589.4</v>
      </c>
      <c r="Z1678">
        <v>278460</v>
      </c>
      <c r="AA1678">
        <v>30630.6</v>
      </c>
      <c r="AB1678">
        <v>470129.4</v>
      </c>
      <c r="AC1678">
        <v>1</v>
      </c>
      <c r="AD1678" t="s">
        <v>134</v>
      </c>
      <c r="AE1678">
        <v>12</v>
      </c>
      <c r="AF1678" t="s">
        <v>1752</v>
      </c>
      <c r="AG1678">
        <f>IFERROR(VLOOKUP(AF1678,[1]STOK!J:O,6,0),"")</f>
        <v>12</v>
      </c>
      <c r="AH1678" s="2">
        <f t="shared" si="52"/>
        <v>1</v>
      </c>
      <c r="AI1678" t="s">
        <v>1752</v>
      </c>
      <c r="AJ1678" t="s">
        <v>1753</v>
      </c>
      <c r="AK1678" t="s">
        <v>1754</v>
      </c>
      <c r="AL1678" t="s">
        <v>86</v>
      </c>
      <c r="AM1678">
        <v>317016</v>
      </c>
      <c r="AN1678">
        <f t="shared" si="53"/>
        <v>309090.59999999998</v>
      </c>
      <c r="AO1678" t="s">
        <v>66</v>
      </c>
      <c r="AP1678">
        <v>2.5</v>
      </c>
      <c r="AQ1678" t="s">
        <v>66</v>
      </c>
      <c r="AR1678">
        <v>0</v>
      </c>
      <c r="AS1678" t="s">
        <v>66</v>
      </c>
      <c r="AT1678">
        <v>0</v>
      </c>
      <c r="AU1678" t="s">
        <v>66</v>
      </c>
      <c r="AV1678">
        <v>0</v>
      </c>
      <c r="AW1678" t="s">
        <v>66</v>
      </c>
      <c r="AX1678">
        <v>0</v>
      </c>
      <c r="AY1678" t="s">
        <v>66</v>
      </c>
      <c r="AZ1678">
        <v>0</v>
      </c>
      <c r="BA1678" t="s">
        <v>66</v>
      </c>
      <c r="BB1678">
        <v>0</v>
      </c>
      <c r="BC1678">
        <v>0</v>
      </c>
      <c r="BD1678">
        <v>309090.59999999998</v>
      </c>
      <c r="BE1678">
        <v>19955.59</v>
      </c>
      <c r="BF1678">
        <v>0</v>
      </c>
      <c r="BG1678" t="s">
        <v>87</v>
      </c>
      <c r="BH1678" t="s">
        <v>66</v>
      </c>
      <c r="BI1678">
        <v>0</v>
      </c>
      <c r="BJ1678" t="s">
        <v>66</v>
      </c>
      <c r="BK1678" t="s">
        <v>88</v>
      </c>
      <c r="BL1678" t="s">
        <v>1459</v>
      </c>
      <c r="BM1678" t="s">
        <v>159</v>
      </c>
    </row>
    <row r="1679" spans="1:65" x14ac:dyDescent="0.25">
      <c r="A1679">
        <v>1677</v>
      </c>
      <c r="B1679" t="s">
        <v>1755</v>
      </c>
      <c r="C1679" t="s">
        <v>1756</v>
      </c>
      <c r="D1679" s="1">
        <v>46224</v>
      </c>
      <c r="E1679" t="s">
        <v>1757</v>
      </c>
      <c r="F1679" t="s">
        <v>1758</v>
      </c>
      <c r="G1679" t="s">
        <v>69</v>
      </c>
      <c r="H1679" t="s">
        <v>70</v>
      </c>
      <c r="I1679" t="s">
        <v>71</v>
      </c>
      <c r="J1679" t="s">
        <v>72</v>
      </c>
      <c r="K1679" t="s">
        <v>73</v>
      </c>
      <c r="L1679" t="s">
        <v>74</v>
      </c>
      <c r="M1679" t="s">
        <v>1449</v>
      </c>
      <c r="N1679" t="s">
        <v>696</v>
      </c>
      <c r="O1679" t="s">
        <v>1450</v>
      </c>
      <c r="P1679" t="s">
        <v>1451</v>
      </c>
      <c r="Q1679" t="s">
        <v>1759</v>
      </c>
      <c r="R1679" s="1">
        <v>46226</v>
      </c>
      <c r="S1679" t="s">
        <v>1453</v>
      </c>
      <c r="T1679" t="s">
        <v>1454</v>
      </c>
      <c r="U1679" t="s">
        <v>1455</v>
      </c>
      <c r="V1679" t="s">
        <v>66</v>
      </c>
      <c r="W1679" t="s">
        <v>66</v>
      </c>
      <c r="X1679">
        <v>95940</v>
      </c>
      <c r="Y1679">
        <v>10553.4</v>
      </c>
      <c r="Z1679">
        <v>95940</v>
      </c>
      <c r="AA1679">
        <v>10553.4</v>
      </c>
      <c r="AB1679">
        <v>106493.4</v>
      </c>
      <c r="AC1679">
        <v>1</v>
      </c>
      <c r="AD1679" t="s">
        <v>134</v>
      </c>
      <c r="AE1679">
        <v>12</v>
      </c>
      <c r="AF1679" t="s">
        <v>1588</v>
      </c>
      <c r="AG1679">
        <f>IFERROR(VLOOKUP(AF1679,[1]STOK!J:O,6,0),"")</f>
        <v>12</v>
      </c>
      <c r="AH1679" s="2">
        <f t="shared" si="52"/>
        <v>1</v>
      </c>
      <c r="AI1679" t="s">
        <v>1588</v>
      </c>
      <c r="AJ1679" t="s">
        <v>1589</v>
      </c>
      <c r="AK1679" t="s">
        <v>1590</v>
      </c>
      <c r="AL1679" t="s">
        <v>86</v>
      </c>
      <c r="AM1679">
        <v>109224</v>
      </c>
      <c r="AN1679">
        <f t="shared" si="53"/>
        <v>106493.4</v>
      </c>
      <c r="AO1679" t="s">
        <v>66</v>
      </c>
      <c r="AP1679">
        <v>2.5</v>
      </c>
      <c r="AQ1679" t="s">
        <v>66</v>
      </c>
      <c r="AR1679">
        <v>0</v>
      </c>
      <c r="AS1679" t="s">
        <v>66</v>
      </c>
      <c r="AT1679">
        <v>0</v>
      </c>
      <c r="AU1679" t="s">
        <v>66</v>
      </c>
      <c r="AV1679">
        <v>0</v>
      </c>
      <c r="AW1679" t="s">
        <v>66</v>
      </c>
      <c r="AX1679">
        <v>0</v>
      </c>
      <c r="AY1679" t="s">
        <v>66</v>
      </c>
      <c r="AZ1679">
        <v>0</v>
      </c>
      <c r="BA1679" t="s">
        <v>66</v>
      </c>
      <c r="BB1679">
        <v>0</v>
      </c>
      <c r="BC1679">
        <v>0</v>
      </c>
      <c r="BD1679">
        <v>106493.4</v>
      </c>
      <c r="BE1679">
        <v>6981.86</v>
      </c>
      <c r="BF1679">
        <v>0</v>
      </c>
      <c r="BG1679" t="s">
        <v>87</v>
      </c>
      <c r="BH1679" t="s">
        <v>66</v>
      </c>
      <c r="BI1679">
        <v>0</v>
      </c>
      <c r="BJ1679" t="s">
        <v>66</v>
      </c>
      <c r="BK1679" t="s">
        <v>88</v>
      </c>
      <c r="BL1679" t="s">
        <v>1459</v>
      </c>
      <c r="BM1679" t="s">
        <v>159</v>
      </c>
    </row>
    <row r="1680" spans="1:65" x14ac:dyDescent="0.25">
      <c r="A1680">
        <v>1678</v>
      </c>
      <c r="B1680" t="s">
        <v>1760</v>
      </c>
      <c r="C1680" t="s">
        <v>1761</v>
      </c>
      <c r="D1680" s="1">
        <v>46224</v>
      </c>
      <c r="E1680" t="s">
        <v>1762</v>
      </c>
      <c r="F1680" t="s">
        <v>1763</v>
      </c>
      <c r="G1680" t="s">
        <v>69</v>
      </c>
      <c r="H1680" t="s">
        <v>70</v>
      </c>
      <c r="I1680" t="s">
        <v>71</v>
      </c>
      <c r="J1680" t="s">
        <v>72</v>
      </c>
      <c r="K1680" t="s">
        <v>73</v>
      </c>
      <c r="L1680" t="s">
        <v>74</v>
      </c>
      <c r="M1680" t="s">
        <v>1449</v>
      </c>
      <c r="N1680" t="s">
        <v>696</v>
      </c>
      <c r="O1680" t="s">
        <v>1450</v>
      </c>
      <c r="P1680" t="s">
        <v>1451</v>
      </c>
      <c r="Q1680" t="s">
        <v>1764</v>
      </c>
      <c r="R1680" s="1">
        <v>46226</v>
      </c>
      <c r="S1680" t="s">
        <v>1453</v>
      </c>
      <c r="T1680" t="s">
        <v>1454</v>
      </c>
      <c r="U1680" t="s">
        <v>1455</v>
      </c>
      <c r="V1680" t="s">
        <v>66</v>
      </c>
      <c r="W1680" t="s">
        <v>66</v>
      </c>
      <c r="X1680">
        <v>889200</v>
      </c>
      <c r="Y1680">
        <v>97812</v>
      </c>
      <c r="Z1680">
        <v>229320</v>
      </c>
      <c r="AA1680">
        <v>25225.200000000001</v>
      </c>
      <c r="AB1680">
        <v>987012</v>
      </c>
      <c r="AC1680">
        <v>2</v>
      </c>
      <c r="AD1680" t="s">
        <v>134</v>
      </c>
      <c r="AE1680">
        <v>48</v>
      </c>
      <c r="AF1680" t="s">
        <v>1310</v>
      </c>
      <c r="AG1680">
        <f>IFERROR(VLOOKUP(AF1680,[1]STOK!J:O,6,0),"")</f>
        <v>24</v>
      </c>
      <c r="AH1680" s="2">
        <f t="shared" si="52"/>
        <v>2</v>
      </c>
      <c r="AI1680" t="s">
        <v>1310</v>
      </c>
      <c r="AJ1680" t="s">
        <v>1311</v>
      </c>
      <c r="AK1680" t="s">
        <v>1312</v>
      </c>
      <c r="AL1680" t="s">
        <v>86</v>
      </c>
      <c r="AM1680">
        <v>130536</v>
      </c>
      <c r="AN1680">
        <f t="shared" si="53"/>
        <v>127272.6</v>
      </c>
      <c r="AO1680" t="s">
        <v>66</v>
      </c>
      <c r="AP1680">
        <v>2.5</v>
      </c>
      <c r="AQ1680" t="s">
        <v>66</v>
      </c>
      <c r="AR1680">
        <v>0</v>
      </c>
      <c r="AS1680" t="s">
        <v>66</v>
      </c>
      <c r="AT1680">
        <v>0</v>
      </c>
      <c r="AU1680" t="s">
        <v>66</v>
      </c>
      <c r="AV1680">
        <v>0</v>
      </c>
      <c r="AW1680" t="s">
        <v>66</v>
      </c>
      <c r="AX1680">
        <v>0</v>
      </c>
      <c r="AY1680" t="s">
        <v>66</v>
      </c>
      <c r="AZ1680">
        <v>0</v>
      </c>
      <c r="BA1680" t="s">
        <v>66</v>
      </c>
      <c r="BB1680">
        <v>0</v>
      </c>
      <c r="BC1680">
        <v>0</v>
      </c>
      <c r="BD1680">
        <v>254545.2</v>
      </c>
      <c r="BE1680">
        <v>4434.24</v>
      </c>
      <c r="BF1680">
        <v>0</v>
      </c>
      <c r="BG1680" t="s">
        <v>87</v>
      </c>
      <c r="BH1680" t="s">
        <v>66</v>
      </c>
      <c r="BI1680">
        <v>0</v>
      </c>
      <c r="BJ1680" t="s">
        <v>66</v>
      </c>
      <c r="BK1680" t="s">
        <v>88</v>
      </c>
      <c r="BL1680" t="s">
        <v>1459</v>
      </c>
      <c r="BM1680" t="s">
        <v>159</v>
      </c>
    </row>
    <row r="1681" spans="1:65" x14ac:dyDescent="0.25">
      <c r="A1681">
        <v>1679</v>
      </c>
      <c r="B1681" t="s">
        <v>1760</v>
      </c>
      <c r="C1681" t="s">
        <v>1761</v>
      </c>
      <c r="D1681" s="1">
        <v>46224</v>
      </c>
      <c r="E1681" t="s">
        <v>1762</v>
      </c>
      <c r="F1681" t="s">
        <v>1763</v>
      </c>
      <c r="G1681" t="s">
        <v>69</v>
      </c>
      <c r="H1681" t="s">
        <v>70</v>
      </c>
      <c r="I1681" t="s">
        <v>71</v>
      </c>
      <c r="J1681" t="s">
        <v>72</v>
      </c>
      <c r="K1681" t="s">
        <v>73</v>
      </c>
      <c r="L1681" t="s">
        <v>74</v>
      </c>
      <c r="M1681" t="s">
        <v>1449</v>
      </c>
      <c r="N1681" t="s">
        <v>696</v>
      </c>
      <c r="O1681" t="s">
        <v>1450</v>
      </c>
      <c r="P1681" t="s">
        <v>1451</v>
      </c>
      <c r="Q1681" t="s">
        <v>1764</v>
      </c>
      <c r="R1681" s="1">
        <v>46226</v>
      </c>
      <c r="S1681" t="s">
        <v>1453</v>
      </c>
      <c r="T1681" t="s">
        <v>1454</v>
      </c>
      <c r="U1681" t="s">
        <v>1455</v>
      </c>
      <c r="V1681" t="s">
        <v>66</v>
      </c>
      <c r="W1681" t="s">
        <v>66</v>
      </c>
      <c r="X1681">
        <v>889200</v>
      </c>
      <c r="Y1681">
        <v>97812</v>
      </c>
      <c r="Z1681">
        <v>659880</v>
      </c>
      <c r="AA1681">
        <v>72586.8</v>
      </c>
      <c r="AB1681">
        <v>987012</v>
      </c>
      <c r="AC1681">
        <v>4</v>
      </c>
      <c r="AD1681" t="s">
        <v>134</v>
      </c>
      <c r="AE1681">
        <v>48</v>
      </c>
      <c r="AF1681" t="s">
        <v>1476</v>
      </c>
      <c r="AG1681">
        <f>IFERROR(VLOOKUP(AF1681,[1]STOK!J:O,6,0),"")</f>
        <v>12</v>
      </c>
      <c r="AH1681" s="2">
        <f t="shared" si="52"/>
        <v>4</v>
      </c>
      <c r="AI1681" t="s">
        <v>1476</v>
      </c>
      <c r="AJ1681" t="s">
        <v>1477</v>
      </c>
      <c r="AK1681" t="s">
        <v>1478</v>
      </c>
      <c r="AL1681" t="s">
        <v>86</v>
      </c>
      <c r="AM1681">
        <v>187812</v>
      </c>
      <c r="AN1681">
        <f t="shared" si="53"/>
        <v>183116.7</v>
      </c>
      <c r="AO1681" t="s">
        <v>66</v>
      </c>
      <c r="AP1681">
        <v>2.5</v>
      </c>
      <c r="AQ1681" t="s">
        <v>66</v>
      </c>
      <c r="AR1681">
        <v>0</v>
      </c>
      <c r="AS1681" t="s">
        <v>66</v>
      </c>
      <c r="AT1681">
        <v>0</v>
      </c>
      <c r="AU1681" t="s">
        <v>66</v>
      </c>
      <c r="AV1681">
        <v>0</v>
      </c>
      <c r="AW1681" t="s">
        <v>66</v>
      </c>
      <c r="AX1681">
        <v>0</v>
      </c>
      <c r="AY1681" t="s">
        <v>66</v>
      </c>
      <c r="AZ1681">
        <v>0</v>
      </c>
      <c r="BA1681" t="s">
        <v>66</v>
      </c>
      <c r="BB1681">
        <v>0</v>
      </c>
      <c r="BC1681">
        <v>0</v>
      </c>
      <c r="BD1681">
        <v>732466.8</v>
      </c>
      <c r="BE1681">
        <v>12662.74</v>
      </c>
      <c r="BF1681">
        <v>0</v>
      </c>
      <c r="BG1681" t="s">
        <v>87</v>
      </c>
      <c r="BH1681" t="s">
        <v>66</v>
      </c>
      <c r="BI1681">
        <v>0</v>
      </c>
      <c r="BJ1681" t="s">
        <v>66</v>
      </c>
      <c r="BK1681" t="s">
        <v>88</v>
      </c>
      <c r="BL1681" t="s">
        <v>1459</v>
      </c>
      <c r="BM1681" t="s">
        <v>159</v>
      </c>
    </row>
    <row r="1682" spans="1:65" x14ac:dyDescent="0.25">
      <c r="A1682">
        <v>1680</v>
      </c>
      <c r="B1682" t="s">
        <v>1765</v>
      </c>
      <c r="C1682" t="s">
        <v>68</v>
      </c>
      <c r="D1682" s="1">
        <v>46224</v>
      </c>
      <c r="E1682" t="s">
        <v>1766</v>
      </c>
      <c r="F1682" t="s">
        <v>68</v>
      </c>
      <c r="G1682" t="s">
        <v>69</v>
      </c>
      <c r="H1682" t="s">
        <v>70</v>
      </c>
      <c r="I1682" t="s">
        <v>71</v>
      </c>
      <c r="J1682" t="s">
        <v>72</v>
      </c>
      <c r="K1682" t="s">
        <v>73</v>
      </c>
      <c r="L1682" t="s">
        <v>74</v>
      </c>
      <c r="M1682" t="s">
        <v>968</v>
      </c>
      <c r="N1682" t="s">
        <v>76</v>
      </c>
      <c r="O1682" t="s">
        <v>969</v>
      </c>
      <c r="P1682" t="s">
        <v>970</v>
      </c>
      <c r="Q1682" t="s">
        <v>1767</v>
      </c>
      <c r="R1682" s="1">
        <v>46227</v>
      </c>
      <c r="S1682" t="s">
        <v>962</v>
      </c>
      <c r="T1682" t="s">
        <v>963</v>
      </c>
      <c r="U1682" t="s">
        <v>964</v>
      </c>
      <c r="V1682" t="s">
        <v>66</v>
      </c>
      <c r="W1682" t="s">
        <v>66</v>
      </c>
      <c r="X1682">
        <v>1106964</v>
      </c>
      <c r="Y1682">
        <v>121766.04</v>
      </c>
      <c r="Z1682">
        <v>29100</v>
      </c>
      <c r="AA1682">
        <v>3201</v>
      </c>
      <c r="AB1682">
        <v>1228730.04</v>
      </c>
      <c r="AC1682">
        <v>12</v>
      </c>
      <c r="AD1682" t="s">
        <v>82</v>
      </c>
      <c r="AE1682">
        <v>12</v>
      </c>
      <c r="AF1682" t="s">
        <v>185</v>
      </c>
      <c r="AG1682">
        <f>IFERROR(VLOOKUP(AF1682,[1]STOK!J:O,6,0),"")</f>
        <v>72</v>
      </c>
      <c r="AH1682" s="2">
        <f t="shared" si="52"/>
        <v>0.16666666666666666</v>
      </c>
      <c r="AI1682" t="s">
        <v>185</v>
      </c>
      <c r="AJ1682" t="s">
        <v>186</v>
      </c>
      <c r="AK1682" t="s">
        <v>187</v>
      </c>
      <c r="AL1682" t="s">
        <v>86</v>
      </c>
      <c r="AM1682">
        <v>2775</v>
      </c>
      <c r="AN1682">
        <f t="shared" si="53"/>
        <v>2691.75</v>
      </c>
      <c r="AO1682" t="s">
        <v>66</v>
      </c>
      <c r="AP1682">
        <v>3</v>
      </c>
      <c r="AQ1682" t="s">
        <v>66</v>
      </c>
      <c r="AR1682">
        <v>0</v>
      </c>
      <c r="AS1682" t="s">
        <v>66</v>
      </c>
      <c r="AT1682">
        <v>0</v>
      </c>
      <c r="AU1682" t="s">
        <v>66</v>
      </c>
      <c r="AV1682">
        <v>0</v>
      </c>
      <c r="AW1682" t="s">
        <v>66</v>
      </c>
      <c r="AX1682">
        <v>0</v>
      </c>
      <c r="AY1682" t="s">
        <v>66</v>
      </c>
      <c r="AZ1682">
        <v>0</v>
      </c>
      <c r="BA1682" t="s">
        <v>66</v>
      </c>
      <c r="BB1682">
        <v>0</v>
      </c>
      <c r="BC1682">
        <v>0</v>
      </c>
      <c r="BD1682">
        <v>32301</v>
      </c>
      <c r="BE1682">
        <v>2254.66</v>
      </c>
      <c r="BF1682">
        <v>0</v>
      </c>
      <c r="BG1682" t="s">
        <v>87</v>
      </c>
      <c r="BH1682" t="s">
        <v>66</v>
      </c>
      <c r="BI1682">
        <v>0</v>
      </c>
      <c r="BJ1682" t="s">
        <v>66</v>
      </c>
      <c r="BK1682" t="s">
        <v>88</v>
      </c>
      <c r="BL1682" t="s">
        <v>965</v>
      </c>
      <c r="BM1682" t="s">
        <v>159</v>
      </c>
    </row>
    <row r="1683" spans="1:65" x14ac:dyDescent="0.25">
      <c r="A1683">
        <v>1681</v>
      </c>
      <c r="B1683" t="s">
        <v>1765</v>
      </c>
      <c r="C1683" t="s">
        <v>68</v>
      </c>
      <c r="D1683" s="1">
        <v>46224</v>
      </c>
      <c r="E1683" t="s">
        <v>1766</v>
      </c>
      <c r="F1683" t="s">
        <v>68</v>
      </c>
      <c r="G1683" t="s">
        <v>69</v>
      </c>
      <c r="H1683" t="s">
        <v>70</v>
      </c>
      <c r="I1683" t="s">
        <v>71</v>
      </c>
      <c r="J1683" t="s">
        <v>72</v>
      </c>
      <c r="K1683" t="s">
        <v>73</v>
      </c>
      <c r="L1683" t="s">
        <v>74</v>
      </c>
      <c r="M1683" t="s">
        <v>968</v>
      </c>
      <c r="N1683" t="s">
        <v>76</v>
      </c>
      <c r="O1683" t="s">
        <v>969</v>
      </c>
      <c r="P1683" t="s">
        <v>970</v>
      </c>
      <c r="Q1683" t="s">
        <v>1767</v>
      </c>
      <c r="R1683" s="1">
        <v>46227</v>
      </c>
      <c r="S1683" t="s">
        <v>962</v>
      </c>
      <c r="T1683" t="s">
        <v>963</v>
      </c>
      <c r="U1683" t="s">
        <v>964</v>
      </c>
      <c r="V1683" t="s">
        <v>66</v>
      </c>
      <c r="W1683" t="s">
        <v>66</v>
      </c>
      <c r="X1683">
        <v>1106964</v>
      </c>
      <c r="Y1683">
        <v>121766.04</v>
      </c>
      <c r="Z1683">
        <v>29100</v>
      </c>
      <c r="AA1683">
        <v>3201</v>
      </c>
      <c r="AB1683">
        <v>1228730.04</v>
      </c>
      <c r="AC1683">
        <v>12</v>
      </c>
      <c r="AD1683" t="s">
        <v>82</v>
      </c>
      <c r="AE1683">
        <v>12</v>
      </c>
      <c r="AF1683" t="s">
        <v>341</v>
      </c>
      <c r="AG1683">
        <f>IFERROR(VLOOKUP(AF1683,[1]STOK!J:O,6,0),"")</f>
        <v>72</v>
      </c>
      <c r="AH1683" s="2">
        <f t="shared" si="52"/>
        <v>0.16666666666666666</v>
      </c>
      <c r="AI1683" t="s">
        <v>341</v>
      </c>
      <c r="AJ1683" t="s">
        <v>342</v>
      </c>
      <c r="AK1683" t="s">
        <v>343</v>
      </c>
      <c r="AL1683" t="s">
        <v>86</v>
      </c>
      <c r="AM1683">
        <v>2775</v>
      </c>
      <c r="AN1683">
        <f t="shared" si="53"/>
        <v>2691.75</v>
      </c>
      <c r="AO1683" t="s">
        <v>66</v>
      </c>
      <c r="AP1683">
        <v>3</v>
      </c>
      <c r="AQ1683" t="s">
        <v>66</v>
      </c>
      <c r="AR1683">
        <v>0</v>
      </c>
      <c r="AS1683" t="s">
        <v>66</v>
      </c>
      <c r="AT1683">
        <v>0</v>
      </c>
      <c r="AU1683" t="s">
        <v>66</v>
      </c>
      <c r="AV1683">
        <v>0</v>
      </c>
      <c r="AW1683" t="s">
        <v>66</v>
      </c>
      <c r="AX1683">
        <v>0</v>
      </c>
      <c r="AY1683" t="s">
        <v>66</v>
      </c>
      <c r="AZ1683">
        <v>0</v>
      </c>
      <c r="BA1683" t="s">
        <v>66</v>
      </c>
      <c r="BB1683">
        <v>0</v>
      </c>
      <c r="BC1683">
        <v>0</v>
      </c>
      <c r="BD1683">
        <v>32301</v>
      </c>
      <c r="BE1683">
        <v>2251.17</v>
      </c>
      <c r="BF1683">
        <v>0</v>
      </c>
      <c r="BG1683" t="s">
        <v>87</v>
      </c>
      <c r="BH1683" t="s">
        <v>66</v>
      </c>
      <c r="BI1683">
        <v>0</v>
      </c>
      <c r="BJ1683" t="s">
        <v>66</v>
      </c>
      <c r="BK1683" t="s">
        <v>88</v>
      </c>
      <c r="BL1683" t="s">
        <v>965</v>
      </c>
      <c r="BM1683" t="s">
        <v>159</v>
      </c>
    </row>
    <row r="1684" spans="1:65" x14ac:dyDescent="0.25">
      <c r="A1684">
        <v>1682</v>
      </c>
      <c r="B1684" t="s">
        <v>1765</v>
      </c>
      <c r="C1684" t="s">
        <v>68</v>
      </c>
      <c r="D1684" s="1">
        <v>46224</v>
      </c>
      <c r="E1684" t="s">
        <v>1766</v>
      </c>
      <c r="F1684" t="s">
        <v>68</v>
      </c>
      <c r="G1684" t="s">
        <v>69</v>
      </c>
      <c r="H1684" t="s">
        <v>70</v>
      </c>
      <c r="I1684" t="s">
        <v>71</v>
      </c>
      <c r="J1684" t="s">
        <v>72</v>
      </c>
      <c r="K1684" t="s">
        <v>73</v>
      </c>
      <c r="L1684" t="s">
        <v>74</v>
      </c>
      <c r="M1684" t="s">
        <v>968</v>
      </c>
      <c r="N1684" t="s">
        <v>76</v>
      </c>
      <c r="O1684" t="s">
        <v>969</v>
      </c>
      <c r="P1684" t="s">
        <v>970</v>
      </c>
      <c r="Q1684" t="s">
        <v>1767</v>
      </c>
      <c r="R1684" s="1">
        <v>46227</v>
      </c>
      <c r="S1684" t="s">
        <v>962</v>
      </c>
      <c r="T1684" t="s">
        <v>963</v>
      </c>
      <c r="U1684" t="s">
        <v>964</v>
      </c>
      <c r="V1684" t="s">
        <v>66</v>
      </c>
      <c r="W1684" t="s">
        <v>66</v>
      </c>
      <c r="X1684">
        <v>1106964</v>
      </c>
      <c r="Y1684">
        <v>121766.04</v>
      </c>
      <c r="Z1684">
        <v>91956</v>
      </c>
      <c r="AA1684">
        <v>10115.16</v>
      </c>
      <c r="AB1684">
        <v>1228730.04</v>
      </c>
      <c r="AC1684">
        <v>12</v>
      </c>
      <c r="AD1684" t="s">
        <v>82</v>
      </c>
      <c r="AE1684">
        <v>12</v>
      </c>
      <c r="AF1684" t="s">
        <v>199</v>
      </c>
      <c r="AG1684">
        <f>IFERROR(VLOOKUP(AF1684,[1]STOK!J:O,6,0),"")</f>
        <v>24</v>
      </c>
      <c r="AH1684" s="2">
        <f t="shared" si="52"/>
        <v>0.5</v>
      </c>
      <c r="AI1684" t="s">
        <v>199</v>
      </c>
      <c r="AJ1684" t="s">
        <v>200</v>
      </c>
      <c r="AK1684" t="s">
        <v>201</v>
      </c>
      <c r="AL1684" t="s">
        <v>86</v>
      </c>
      <c r="AM1684">
        <v>8769</v>
      </c>
      <c r="AN1684">
        <f t="shared" si="53"/>
        <v>8505.93</v>
      </c>
      <c r="AO1684" t="s">
        <v>66</v>
      </c>
      <c r="AP1684">
        <v>3</v>
      </c>
      <c r="AQ1684" t="s">
        <v>66</v>
      </c>
      <c r="AR1684">
        <v>0</v>
      </c>
      <c r="AS1684" t="s">
        <v>66</v>
      </c>
      <c r="AT1684">
        <v>0</v>
      </c>
      <c r="AU1684" t="s">
        <v>66</v>
      </c>
      <c r="AV1684">
        <v>0</v>
      </c>
      <c r="AW1684" t="s">
        <v>66</v>
      </c>
      <c r="AX1684">
        <v>0</v>
      </c>
      <c r="AY1684" t="s">
        <v>66</v>
      </c>
      <c r="AZ1684">
        <v>0</v>
      </c>
      <c r="BA1684" t="s">
        <v>66</v>
      </c>
      <c r="BB1684">
        <v>0</v>
      </c>
      <c r="BC1684">
        <v>0</v>
      </c>
      <c r="BD1684">
        <v>102071.16</v>
      </c>
      <c r="BE1684">
        <v>7265.68</v>
      </c>
      <c r="BF1684">
        <v>0</v>
      </c>
      <c r="BG1684" t="s">
        <v>87</v>
      </c>
      <c r="BH1684" t="s">
        <v>66</v>
      </c>
      <c r="BI1684">
        <v>0</v>
      </c>
      <c r="BJ1684" t="s">
        <v>66</v>
      </c>
      <c r="BK1684" t="s">
        <v>88</v>
      </c>
      <c r="BL1684" t="s">
        <v>965</v>
      </c>
      <c r="BM1684" t="s">
        <v>159</v>
      </c>
    </row>
    <row r="1685" spans="1:65" x14ac:dyDescent="0.25">
      <c r="A1685">
        <v>1683</v>
      </c>
      <c r="B1685" t="s">
        <v>1765</v>
      </c>
      <c r="C1685" t="s">
        <v>68</v>
      </c>
      <c r="D1685" s="1">
        <v>46224</v>
      </c>
      <c r="E1685" t="s">
        <v>1766</v>
      </c>
      <c r="F1685" t="s">
        <v>68</v>
      </c>
      <c r="G1685" t="s">
        <v>69</v>
      </c>
      <c r="H1685" t="s">
        <v>70</v>
      </c>
      <c r="I1685" t="s">
        <v>71</v>
      </c>
      <c r="J1685" t="s">
        <v>72</v>
      </c>
      <c r="K1685" t="s">
        <v>73</v>
      </c>
      <c r="L1685" t="s">
        <v>74</v>
      </c>
      <c r="M1685" t="s">
        <v>968</v>
      </c>
      <c r="N1685" t="s">
        <v>76</v>
      </c>
      <c r="O1685" t="s">
        <v>969</v>
      </c>
      <c r="P1685" t="s">
        <v>970</v>
      </c>
      <c r="Q1685" t="s">
        <v>1767</v>
      </c>
      <c r="R1685" s="1">
        <v>46227</v>
      </c>
      <c r="S1685" t="s">
        <v>962</v>
      </c>
      <c r="T1685" t="s">
        <v>963</v>
      </c>
      <c r="U1685" t="s">
        <v>964</v>
      </c>
      <c r="V1685" t="s">
        <v>66</v>
      </c>
      <c r="W1685" t="s">
        <v>66</v>
      </c>
      <c r="X1685">
        <v>1106964</v>
      </c>
      <c r="Y1685">
        <v>121766.04</v>
      </c>
      <c r="Z1685">
        <v>118728</v>
      </c>
      <c r="AA1685">
        <v>13060.08</v>
      </c>
      <c r="AB1685">
        <v>1228730.04</v>
      </c>
      <c r="AC1685">
        <v>12</v>
      </c>
      <c r="AD1685" t="s">
        <v>82</v>
      </c>
      <c r="AE1685">
        <v>12</v>
      </c>
      <c r="AF1685" t="s">
        <v>670</v>
      </c>
      <c r="AG1685">
        <f>IFERROR(VLOOKUP(AF1685,[1]STOK!J:O,6,0),"")</f>
        <v>24</v>
      </c>
      <c r="AH1685" s="2">
        <f t="shared" si="52"/>
        <v>0.5</v>
      </c>
      <c r="AI1685" t="s">
        <v>670</v>
      </c>
      <c r="AJ1685" t="s">
        <v>671</v>
      </c>
      <c r="AK1685" t="s">
        <v>672</v>
      </c>
      <c r="AL1685" t="s">
        <v>86</v>
      </c>
      <c r="AM1685">
        <v>11322</v>
      </c>
      <c r="AN1685">
        <f t="shared" si="53"/>
        <v>10982.339999999998</v>
      </c>
      <c r="AO1685" t="s">
        <v>66</v>
      </c>
      <c r="AP1685">
        <v>3</v>
      </c>
      <c r="AQ1685" t="s">
        <v>66</v>
      </c>
      <c r="AR1685">
        <v>0</v>
      </c>
      <c r="AS1685" t="s">
        <v>66</v>
      </c>
      <c r="AT1685">
        <v>0</v>
      </c>
      <c r="AU1685" t="s">
        <v>66</v>
      </c>
      <c r="AV1685">
        <v>0</v>
      </c>
      <c r="AW1685" t="s">
        <v>66</v>
      </c>
      <c r="AX1685">
        <v>0</v>
      </c>
      <c r="AY1685" t="s">
        <v>66</v>
      </c>
      <c r="AZ1685">
        <v>0</v>
      </c>
      <c r="BA1685" t="s">
        <v>66</v>
      </c>
      <c r="BB1685">
        <v>0</v>
      </c>
      <c r="BC1685">
        <v>0</v>
      </c>
      <c r="BD1685">
        <v>131788.07999999999</v>
      </c>
      <c r="BE1685">
        <v>9199.0499999999993</v>
      </c>
      <c r="BF1685">
        <v>0</v>
      </c>
      <c r="BG1685" t="s">
        <v>87</v>
      </c>
      <c r="BH1685" t="s">
        <v>66</v>
      </c>
      <c r="BI1685">
        <v>0</v>
      </c>
      <c r="BJ1685" t="s">
        <v>66</v>
      </c>
      <c r="BK1685" t="s">
        <v>88</v>
      </c>
      <c r="BL1685" t="s">
        <v>965</v>
      </c>
      <c r="BM1685" t="s">
        <v>159</v>
      </c>
    </row>
    <row r="1686" spans="1:65" x14ac:dyDescent="0.25">
      <c r="A1686">
        <v>1684</v>
      </c>
      <c r="B1686" t="s">
        <v>1765</v>
      </c>
      <c r="C1686" t="s">
        <v>68</v>
      </c>
      <c r="D1686" s="1">
        <v>46224</v>
      </c>
      <c r="E1686" t="s">
        <v>1766</v>
      </c>
      <c r="F1686" t="s">
        <v>68</v>
      </c>
      <c r="G1686" t="s">
        <v>69</v>
      </c>
      <c r="H1686" t="s">
        <v>70</v>
      </c>
      <c r="I1686" t="s">
        <v>71</v>
      </c>
      <c r="J1686" t="s">
        <v>72</v>
      </c>
      <c r="K1686" t="s">
        <v>73</v>
      </c>
      <c r="L1686" t="s">
        <v>74</v>
      </c>
      <c r="M1686" t="s">
        <v>968</v>
      </c>
      <c r="N1686" t="s">
        <v>76</v>
      </c>
      <c r="O1686" t="s">
        <v>969</v>
      </c>
      <c r="P1686" t="s">
        <v>970</v>
      </c>
      <c r="Q1686" t="s">
        <v>1767</v>
      </c>
      <c r="R1686" s="1">
        <v>46227</v>
      </c>
      <c r="S1686" t="s">
        <v>962</v>
      </c>
      <c r="T1686" t="s">
        <v>963</v>
      </c>
      <c r="U1686" t="s">
        <v>964</v>
      </c>
      <c r="V1686" t="s">
        <v>66</v>
      </c>
      <c r="W1686" t="s">
        <v>66</v>
      </c>
      <c r="X1686">
        <v>1106964</v>
      </c>
      <c r="Y1686">
        <v>121766.04</v>
      </c>
      <c r="Z1686">
        <v>171108</v>
      </c>
      <c r="AA1686">
        <v>18821.88</v>
      </c>
      <c r="AB1686">
        <v>1228730.04</v>
      </c>
      <c r="AC1686">
        <v>1</v>
      </c>
      <c r="AD1686" t="s">
        <v>134</v>
      </c>
      <c r="AE1686">
        <v>12</v>
      </c>
      <c r="AF1686" t="s">
        <v>473</v>
      </c>
      <c r="AG1686">
        <f>IFERROR(VLOOKUP(AF1686,[1]STOK!J:O,6,0),"")</f>
        <v>12</v>
      </c>
      <c r="AH1686" s="2">
        <f t="shared" si="52"/>
        <v>1</v>
      </c>
      <c r="AI1686" t="s">
        <v>473</v>
      </c>
      <c r="AJ1686" t="s">
        <v>474</v>
      </c>
      <c r="AK1686" t="s">
        <v>475</v>
      </c>
      <c r="AL1686" t="s">
        <v>86</v>
      </c>
      <c r="AM1686">
        <v>195804</v>
      </c>
      <c r="AN1686">
        <f t="shared" si="53"/>
        <v>189929.88</v>
      </c>
      <c r="AO1686" t="s">
        <v>66</v>
      </c>
      <c r="AP1686">
        <v>3</v>
      </c>
      <c r="AQ1686" t="s">
        <v>66</v>
      </c>
      <c r="AR1686">
        <v>0</v>
      </c>
      <c r="AS1686" t="s">
        <v>66</v>
      </c>
      <c r="AT1686">
        <v>0</v>
      </c>
      <c r="AU1686" t="s">
        <v>66</v>
      </c>
      <c r="AV1686">
        <v>0</v>
      </c>
      <c r="AW1686" t="s">
        <v>66</v>
      </c>
      <c r="AX1686">
        <v>0</v>
      </c>
      <c r="AY1686" t="s">
        <v>66</v>
      </c>
      <c r="AZ1686">
        <v>0</v>
      </c>
      <c r="BA1686" t="s">
        <v>66</v>
      </c>
      <c r="BB1686">
        <v>0</v>
      </c>
      <c r="BC1686">
        <v>0</v>
      </c>
      <c r="BD1686">
        <v>189929.88</v>
      </c>
      <c r="BE1686">
        <v>13385.34</v>
      </c>
      <c r="BF1686">
        <v>0</v>
      </c>
      <c r="BG1686" t="s">
        <v>87</v>
      </c>
      <c r="BH1686" t="s">
        <v>66</v>
      </c>
      <c r="BI1686">
        <v>0</v>
      </c>
      <c r="BJ1686" t="s">
        <v>66</v>
      </c>
      <c r="BK1686" t="s">
        <v>88</v>
      </c>
      <c r="BL1686" t="s">
        <v>965</v>
      </c>
      <c r="BM1686" t="s">
        <v>159</v>
      </c>
    </row>
    <row r="1687" spans="1:65" x14ac:dyDescent="0.25">
      <c r="A1687">
        <v>1685</v>
      </c>
      <c r="B1687" t="s">
        <v>1765</v>
      </c>
      <c r="C1687" t="s">
        <v>68</v>
      </c>
      <c r="D1687" s="1">
        <v>46224</v>
      </c>
      <c r="E1687" t="s">
        <v>1766</v>
      </c>
      <c r="F1687" t="s">
        <v>68</v>
      </c>
      <c r="G1687" t="s">
        <v>69</v>
      </c>
      <c r="H1687" t="s">
        <v>70</v>
      </c>
      <c r="I1687" t="s">
        <v>71</v>
      </c>
      <c r="J1687" t="s">
        <v>72</v>
      </c>
      <c r="K1687" t="s">
        <v>73</v>
      </c>
      <c r="L1687" t="s">
        <v>74</v>
      </c>
      <c r="M1687" t="s">
        <v>968</v>
      </c>
      <c r="N1687" t="s">
        <v>76</v>
      </c>
      <c r="O1687" t="s">
        <v>969</v>
      </c>
      <c r="P1687" t="s">
        <v>970</v>
      </c>
      <c r="Q1687" t="s">
        <v>1767</v>
      </c>
      <c r="R1687" s="1">
        <v>46227</v>
      </c>
      <c r="S1687" t="s">
        <v>962</v>
      </c>
      <c r="T1687" t="s">
        <v>963</v>
      </c>
      <c r="U1687" t="s">
        <v>964</v>
      </c>
      <c r="V1687" t="s">
        <v>66</v>
      </c>
      <c r="W1687" t="s">
        <v>66</v>
      </c>
      <c r="X1687">
        <v>1106964</v>
      </c>
      <c r="Y1687">
        <v>121766.04</v>
      </c>
      <c r="Z1687">
        <v>201372</v>
      </c>
      <c r="AA1687">
        <v>22150.92</v>
      </c>
      <c r="AB1687">
        <v>1228730.04</v>
      </c>
      <c r="AC1687">
        <v>1</v>
      </c>
      <c r="AD1687" t="s">
        <v>134</v>
      </c>
      <c r="AE1687">
        <v>12</v>
      </c>
      <c r="AF1687" t="s">
        <v>359</v>
      </c>
      <c r="AG1687">
        <f>IFERROR(VLOOKUP(AF1687,[1]STOK!J:O,6,0),"")</f>
        <v>12</v>
      </c>
      <c r="AH1687" s="2">
        <f t="shared" si="52"/>
        <v>1</v>
      </c>
      <c r="AI1687" t="s">
        <v>359</v>
      </c>
      <c r="AJ1687" t="s">
        <v>360</v>
      </c>
      <c r="AK1687" t="s">
        <v>361</v>
      </c>
      <c r="AL1687" t="s">
        <v>86</v>
      </c>
      <c r="AM1687">
        <v>230436</v>
      </c>
      <c r="AN1687">
        <f t="shared" si="53"/>
        <v>223522.92</v>
      </c>
      <c r="AO1687" t="s">
        <v>66</v>
      </c>
      <c r="AP1687">
        <v>3</v>
      </c>
      <c r="AQ1687" t="s">
        <v>66</v>
      </c>
      <c r="AR1687">
        <v>0</v>
      </c>
      <c r="AS1687" t="s">
        <v>66</v>
      </c>
      <c r="AT1687">
        <v>0</v>
      </c>
      <c r="AU1687" t="s">
        <v>66</v>
      </c>
      <c r="AV1687">
        <v>0</v>
      </c>
      <c r="AW1687" t="s">
        <v>66</v>
      </c>
      <c r="AX1687">
        <v>0</v>
      </c>
      <c r="AY1687" t="s">
        <v>66</v>
      </c>
      <c r="AZ1687">
        <v>0</v>
      </c>
      <c r="BA1687" t="s">
        <v>66</v>
      </c>
      <c r="BB1687">
        <v>0</v>
      </c>
      <c r="BC1687">
        <v>0</v>
      </c>
      <c r="BD1687">
        <v>223522.92</v>
      </c>
      <c r="BE1687">
        <v>15628.14</v>
      </c>
      <c r="BF1687">
        <v>0</v>
      </c>
      <c r="BG1687" t="s">
        <v>87</v>
      </c>
      <c r="BH1687" t="s">
        <v>66</v>
      </c>
      <c r="BI1687">
        <v>0</v>
      </c>
      <c r="BJ1687" t="s">
        <v>66</v>
      </c>
      <c r="BK1687" t="s">
        <v>88</v>
      </c>
      <c r="BL1687" t="s">
        <v>965</v>
      </c>
      <c r="BM1687" t="s">
        <v>159</v>
      </c>
    </row>
    <row r="1688" spans="1:65" x14ac:dyDescent="0.25">
      <c r="A1688">
        <v>1686</v>
      </c>
      <c r="B1688" t="s">
        <v>1765</v>
      </c>
      <c r="C1688" t="s">
        <v>68</v>
      </c>
      <c r="D1688" s="1">
        <v>46224</v>
      </c>
      <c r="E1688" t="s">
        <v>1766</v>
      </c>
      <c r="F1688" t="s">
        <v>68</v>
      </c>
      <c r="G1688" t="s">
        <v>69</v>
      </c>
      <c r="H1688" t="s">
        <v>70</v>
      </c>
      <c r="I1688" t="s">
        <v>71</v>
      </c>
      <c r="J1688" t="s">
        <v>72</v>
      </c>
      <c r="K1688" t="s">
        <v>73</v>
      </c>
      <c r="L1688" t="s">
        <v>74</v>
      </c>
      <c r="M1688" t="s">
        <v>968</v>
      </c>
      <c r="N1688" t="s">
        <v>76</v>
      </c>
      <c r="O1688" t="s">
        <v>969</v>
      </c>
      <c r="P1688" t="s">
        <v>970</v>
      </c>
      <c r="Q1688" t="s">
        <v>1767</v>
      </c>
      <c r="R1688" s="1">
        <v>46227</v>
      </c>
      <c r="S1688" t="s">
        <v>962</v>
      </c>
      <c r="T1688" t="s">
        <v>963</v>
      </c>
      <c r="U1688" t="s">
        <v>964</v>
      </c>
      <c r="V1688" t="s">
        <v>66</v>
      </c>
      <c r="W1688" t="s">
        <v>66</v>
      </c>
      <c r="X1688">
        <v>1106964</v>
      </c>
      <c r="Y1688">
        <v>121766.04</v>
      </c>
      <c r="Z1688">
        <v>465600</v>
      </c>
      <c r="AA1688">
        <v>51216</v>
      </c>
      <c r="AB1688">
        <v>1228730.04</v>
      </c>
      <c r="AC1688">
        <v>2</v>
      </c>
      <c r="AD1688" t="s">
        <v>134</v>
      </c>
      <c r="AE1688">
        <v>24</v>
      </c>
      <c r="AF1688" t="s">
        <v>290</v>
      </c>
      <c r="AG1688">
        <f>IFERROR(VLOOKUP(AF1688,[1]STOK!J:O,6,0),"")</f>
        <v>12</v>
      </c>
      <c r="AH1688" s="2">
        <f t="shared" si="52"/>
        <v>2</v>
      </c>
      <c r="AI1688" t="s">
        <v>290</v>
      </c>
      <c r="AJ1688" t="s">
        <v>291</v>
      </c>
      <c r="AK1688" t="s">
        <v>292</v>
      </c>
      <c r="AL1688" t="s">
        <v>86</v>
      </c>
      <c r="AM1688">
        <v>266400</v>
      </c>
      <c r="AN1688">
        <f t="shared" si="53"/>
        <v>258408</v>
      </c>
      <c r="AO1688" t="s">
        <v>66</v>
      </c>
      <c r="AP1688">
        <v>3</v>
      </c>
      <c r="AQ1688" t="s">
        <v>66</v>
      </c>
      <c r="AR1688">
        <v>0</v>
      </c>
      <c r="AS1688" t="s">
        <v>66</v>
      </c>
      <c r="AT1688">
        <v>0</v>
      </c>
      <c r="AU1688" t="s">
        <v>66</v>
      </c>
      <c r="AV1688">
        <v>0</v>
      </c>
      <c r="AW1688" t="s">
        <v>66</v>
      </c>
      <c r="AX1688">
        <v>0</v>
      </c>
      <c r="AY1688" t="s">
        <v>66</v>
      </c>
      <c r="AZ1688">
        <v>0</v>
      </c>
      <c r="BA1688" t="s">
        <v>66</v>
      </c>
      <c r="BB1688">
        <v>0</v>
      </c>
      <c r="BC1688">
        <v>0</v>
      </c>
      <c r="BD1688">
        <v>516816</v>
      </c>
      <c r="BE1688">
        <v>18103.439999999999</v>
      </c>
      <c r="BF1688">
        <v>0</v>
      </c>
      <c r="BG1688" t="s">
        <v>87</v>
      </c>
      <c r="BH1688" t="s">
        <v>66</v>
      </c>
      <c r="BI1688">
        <v>0</v>
      </c>
      <c r="BJ1688" t="s">
        <v>66</v>
      </c>
      <c r="BK1688" t="s">
        <v>88</v>
      </c>
      <c r="BL1688" t="s">
        <v>965</v>
      </c>
      <c r="BM1688" t="s">
        <v>159</v>
      </c>
    </row>
    <row r="1689" spans="1:65" x14ac:dyDescent="0.25">
      <c r="A1689">
        <v>1687</v>
      </c>
      <c r="B1689" t="s">
        <v>1768</v>
      </c>
      <c r="C1689" t="s">
        <v>68</v>
      </c>
      <c r="D1689" s="1">
        <v>46225</v>
      </c>
      <c r="E1689" t="s">
        <v>1769</v>
      </c>
      <c r="F1689" t="s">
        <v>68</v>
      </c>
      <c r="G1689" t="s">
        <v>69</v>
      </c>
      <c r="H1689" t="s">
        <v>70</v>
      </c>
      <c r="I1689" t="s">
        <v>71</v>
      </c>
      <c r="J1689" t="s">
        <v>72</v>
      </c>
      <c r="K1689" t="s">
        <v>73</v>
      </c>
      <c r="L1689" t="s">
        <v>74</v>
      </c>
      <c r="M1689" t="s">
        <v>627</v>
      </c>
      <c r="N1689" t="s">
        <v>111</v>
      </c>
      <c r="O1689" t="s">
        <v>628</v>
      </c>
      <c r="P1689" t="s">
        <v>629</v>
      </c>
      <c r="Q1689" t="s">
        <v>1770</v>
      </c>
      <c r="R1689" s="1">
        <v>46228</v>
      </c>
      <c r="S1689" t="s">
        <v>628</v>
      </c>
      <c r="T1689" t="s">
        <v>631</v>
      </c>
      <c r="U1689" t="s">
        <v>632</v>
      </c>
      <c r="V1689" t="s">
        <v>66</v>
      </c>
      <c r="W1689" t="s">
        <v>66</v>
      </c>
      <c r="X1689">
        <v>708639</v>
      </c>
      <c r="Y1689">
        <v>77950.289999999994</v>
      </c>
      <c r="Z1689">
        <v>125370</v>
      </c>
      <c r="AA1689">
        <v>13790.7</v>
      </c>
      <c r="AB1689">
        <v>786589.29</v>
      </c>
      <c r="AC1689">
        <v>12</v>
      </c>
      <c r="AD1689" t="s">
        <v>82</v>
      </c>
      <c r="AE1689">
        <v>12</v>
      </c>
      <c r="AF1689" t="s">
        <v>1439</v>
      </c>
      <c r="AG1689">
        <f>IFERROR(VLOOKUP(AF1689,[1]STOK!J:O,6,0),"")</f>
        <v>24</v>
      </c>
      <c r="AH1689" s="2">
        <f t="shared" si="52"/>
        <v>0.5</v>
      </c>
      <c r="AI1689" t="s">
        <v>1439</v>
      </c>
      <c r="AJ1689" t="s">
        <v>1440</v>
      </c>
      <c r="AK1689" t="s">
        <v>1441</v>
      </c>
      <c r="AL1689" t="s">
        <v>86</v>
      </c>
      <c r="AM1689">
        <v>11655</v>
      </c>
      <c r="AN1689">
        <f t="shared" si="53"/>
        <v>11596.725</v>
      </c>
      <c r="AO1689" t="s">
        <v>66</v>
      </c>
      <c r="AP1689">
        <v>0.5</v>
      </c>
      <c r="AQ1689" t="s">
        <v>66</v>
      </c>
      <c r="AR1689">
        <v>0</v>
      </c>
      <c r="AS1689" t="s">
        <v>66</v>
      </c>
      <c r="AT1689">
        <v>0</v>
      </c>
      <c r="AU1689" t="s">
        <v>66</v>
      </c>
      <c r="AV1689">
        <v>0</v>
      </c>
      <c r="AW1689" t="s">
        <v>66</v>
      </c>
      <c r="AX1689">
        <v>0</v>
      </c>
      <c r="AY1689" t="s">
        <v>66</v>
      </c>
      <c r="AZ1689">
        <v>0</v>
      </c>
      <c r="BA1689" t="s">
        <v>66</v>
      </c>
      <c r="BB1689">
        <v>0</v>
      </c>
      <c r="BC1689">
        <v>0</v>
      </c>
      <c r="BD1689">
        <v>139160.70000000001</v>
      </c>
      <c r="BE1689">
        <v>9511.9500000000007</v>
      </c>
      <c r="BF1689">
        <v>0</v>
      </c>
      <c r="BG1689" t="s">
        <v>87</v>
      </c>
      <c r="BH1689" t="s">
        <v>66</v>
      </c>
      <c r="BI1689">
        <v>0</v>
      </c>
      <c r="BJ1689" t="s">
        <v>66</v>
      </c>
      <c r="BK1689" t="s">
        <v>88</v>
      </c>
      <c r="BL1689" t="s">
        <v>66</v>
      </c>
      <c r="BM1689" t="s">
        <v>159</v>
      </c>
    </row>
    <row r="1690" spans="1:65" x14ac:dyDescent="0.25">
      <c r="A1690">
        <v>1688</v>
      </c>
      <c r="B1690" t="s">
        <v>1768</v>
      </c>
      <c r="C1690" t="s">
        <v>68</v>
      </c>
      <c r="D1690" s="1">
        <v>46225</v>
      </c>
      <c r="E1690" t="s">
        <v>1769</v>
      </c>
      <c r="F1690" t="s">
        <v>68</v>
      </c>
      <c r="G1690" t="s">
        <v>69</v>
      </c>
      <c r="H1690" t="s">
        <v>70</v>
      </c>
      <c r="I1690" t="s">
        <v>71</v>
      </c>
      <c r="J1690" t="s">
        <v>72</v>
      </c>
      <c r="K1690" t="s">
        <v>73</v>
      </c>
      <c r="L1690" t="s">
        <v>74</v>
      </c>
      <c r="M1690" t="s">
        <v>627</v>
      </c>
      <c r="N1690" t="s">
        <v>111</v>
      </c>
      <c r="O1690" t="s">
        <v>628</v>
      </c>
      <c r="P1690" t="s">
        <v>629</v>
      </c>
      <c r="Q1690" t="s">
        <v>1770</v>
      </c>
      <c r="R1690" s="1">
        <v>46228</v>
      </c>
      <c r="S1690" t="s">
        <v>628</v>
      </c>
      <c r="T1690" t="s">
        <v>631</v>
      </c>
      <c r="U1690" t="s">
        <v>632</v>
      </c>
      <c r="V1690" t="s">
        <v>66</v>
      </c>
      <c r="W1690" t="s">
        <v>66</v>
      </c>
      <c r="X1690">
        <v>708639</v>
      </c>
      <c r="Y1690">
        <v>77950.289999999994</v>
      </c>
      <c r="Z1690">
        <v>30447</v>
      </c>
      <c r="AA1690">
        <v>3349.17</v>
      </c>
      <c r="AB1690">
        <v>786589.29</v>
      </c>
      <c r="AC1690">
        <v>3</v>
      </c>
      <c r="AD1690" t="s">
        <v>82</v>
      </c>
      <c r="AE1690">
        <v>3</v>
      </c>
      <c r="AF1690" t="s">
        <v>667</v>
      </c>
      <c r="AG1690">
        <f>IFERROR(VLOOKUP(AF1690,[1]STOK!J:O,6,0),"")</f>
        <v>24</v>
      </c>
      <c r="AH1690" s="2">
        <f t="shared" si="52"/>
        <v>0.125</v>
      </c>
      <c r="AI1690" t="s">
        <v>667</v>
      </c>
      <c r="AJ1690" t="s">
        <v>668</v>
      </c>
      <c r="AK1690" t="s">
        <v>669</v>
      </c>
      <c r="AL1690" t="s">
        <v>86</v>
      </c>
      <c r="AM1690">
        <v>11322</v>
      </c>
      <c r="AN1690">
        <f t="shared" si="53"/>
        <v>11265.39</v>
      </c>
      <c r="AO1690" t="s">
        <v>66</v>
      </c>
      <c r="AP1690">
        <v>0.5</v>
      </c>
      <c r="AQ1690" t="s">
        <v>66</v>
      </c>
      <c r="AR1690">
        <v>0</v>
      </c>
      <c r="AS1690" t="s">
        <v>66</v>
      </c>
      <c r="AT1690">
        <v>0</v>
      </c>
      <c r="AU1690" t="s">
        <v>66</v>
      </c>
      <c r="AV1690">
        <v>0</v>
      </c>
      <c r="AW1690" t="s">
        <v>66</v>
      </c>
      <c r="AX1690">
        <v>0</v>
      </c>
      <c r="AY1690" t="s">
        <v>66</v>
      </c>
      <c r="AZ1690">
        <v>0</v>
      </c>
      <c r="BA1690" t="s">
        <v>66</v>
      </c>
      <c r="BB1690">
        <v>0</v>
      </c>
      <c r="BC1690">
        <v>0</v>
      </c>
      <c r="BD1690">
        <v>33796.17</v>
      </c>
      <c r="BE1690">
        <v>8850.9500000000007</v>
      </c>
      <c r="BF1690">
        <v>0</v>
      </c>
      <c r="BG1690" t="s">
        <v>87</v>
      </c>
      <c r="BH1690" t="s">
        <v>66</v>
      </c>
      <c r="BI1690">
        <v>0</v>
      </c>
      <c r="BJ1690" t="s">
        <v>66</v>
      </c>
      <c r="BK1690" t="s">
        <v>88</v>
      </c>
      <c r="BL1690" t="s">
        <v>66</v>
      </c>
      <c r="BM1690" t="s">
        <v>159</v>
      </c>
    </row>
    <row r="1691" spans="1:65" x14ac:dyDescent="0.25">
      <c r="A1691">
        <v>1689</v>
      </c>
      <c r="B1691" t="s">
        <v>1768</v>
      </c>
      <c r="C1691" t="s">
        <v>68</v>
      </c>
      <c r="D1691" s="1">
        <v>46225</v>
      </c>
      <c r="E1691" t="s">
        <v>1769</v>
      </c>
      <c r="F1691" t="s">
        <v>68</v>
      </c>
      <c r="G1691" t="s">
        <v>69</v>
      </c>
      <c r="H1691" t="s">
        <v>70</v>
      </c>
      <c r="I1691" t="s">
        <v>71</v>
      </c>
      <c r="J1691" t="s">
        <v>72</v>
      </c>
      <c r="K1691" t="s">
        <v>73</v>
      </c>
      <c r="L1691" t="s">
        <v>74</v>
      </c>
      <c r="M1691" t="s">
        <v>627</v>
      </c>
      <c r="N1691" t="s">
        <v>111</v>
      </c>
      <c r="O1691" t="s">
        <v>628</v>
      </c>
      <c r="P1691" t="s">
        <v>629</v>
      </c>
      <c r="Q1691" t="s">
        <v>1770</v>
      </c>
      <c r="R1691" s="1">
        <v>46228</v>
      </c>
      <c r="S1691" t="s">
        <v>628</v>
      </c>
      <c r="T1691" t="s">
        <v>631</v>
      </c>
      <c r="U1691" t="s">
        <v>632</v>
      </c>
      <c r="V1691" t="s">
        <v>66</v>
      </c>
      <c r="W1691" t="s">
        <v>66</v>
      </c>
      <c r="X1691">
        <v>708639</v>
      </c>
      <c r="Y1691">
        <v>77950.289999999994</v>
      </c>
      <c r="Z1691">
        <v>197010</v>
      </c>
      <c r="AA1691">
        <v>21671.1</v>
      </c>
      <c r="AB1691">
        <v>786589.29</v>
      </c>
      <c r="AC1691">
        <v>12</v>
      </c>
      <c r="AD1691" t="s">
        <v>82</v>
      </c>
      <c r="AE1691">
        <v>12</v>
      </c>
      <c r="AF1691" t="s">
        <v>128</v>
      </c>
      <c r="AG1691">
        <f>IFERROR(VLOOKUP(AF1691,[1]STOK!J:O,6,0),"")</f>
        <v>24</v>
      </c>
      <c r="AH1691" s="2">
        <f t="shared" si="52"/>
        <v>0.5</v>
      </c>
      <c r="AI1691" t="s">
        <v>128</v>
      </c>
      <c r="AJ1691" t="s">
        <v>129</v>
      </c>
      <c r="AK1691" t="s">
        <v>130</v>
      </c>
      <c r="AL1691" t="s">
        <v>86</v>
      </c>
      <c r="AM1691">
        <v>18315</v>
      </c>
      <c r="AN1691">
        <f t="shared" si="53"/>
        <v>18223.424999999999</v>
      </c>
      <c r="AO1691" t="s">
        <v>66</v>
      </c>
      <c r="AP1691">
        <v>0.5</v>
      </c>
      <c r="AQ1691" t="s">
        <v>66</v>
      </c>
      <c r="AR1691">
        <v>0</v>
      </c>
      <c r="AS1691" t="s">
        <v>66</v>
      </c>
      <c r="AT1691">
        <v>0</v>
      </c>
      <c r="AU1691" t="s">
        <v>66</v>
      </c>
      <c r="AV1691">
        <v>0</v>
      </c>
      <c r="AW1691" t="s">
        <v>66</v>
      </c>
      <c r="AX1691">
        <v>0</v>
      </c>
      <c r="AY1691" t="s">
        <v>66</v>
      </c>
      <c r="AZ1691">
        <v>0</v>
      </c>
      <c r="BA1691" t="s">
        <v>66</v>
      </c>
      <c r="BB1691">
        <v>0</v>
      </c>
      <c r="BC1691">
        <v>0</v>
      </c>
      <c r="BD1691">
        <v>218681.1</v>
      </c>
      <c r="BE1691">
        <v>14828.88</v>
      </c>
      <c r="BF1691">
        <v>0</v>
      </c>
      <c r="BG1691" t="s">
        <v>87</v>
      </c>
      <c r="BH1691" t="s">
        <v>66</v>
      </c>
      <c r="BI1691">
        <v>0</v>
      </c>
      <c r="BJ1691" t="s">
        <v>66</v>
      </c>
      <c r="BK1691" t="s">
        <v>88</v>
      </c>
      <c r="BL1691" t="s">
        <v>66</v>
      </c>
      <c r="BM1691" t="s">
        <v>159</v>
      </c>
    </row>
    <row r="1692" spans="1:65" x14ac:dyDescent="0.25">
      <c r="A1692">
        <v>1690</v>
      </c>
      <c r="B1692" t="s">
        <v>1768</v>
      </c>
      <c r="C1692" t="s">
        <v>68</v>
      </c>
      <c r="D1692" s="1">
        <v>46225</v>
      </c>
      <c r="E1692" t="s">
        <v>1769</v>
      </c>
      <c r="F1692" t="s">
        <v>68</v>
      </c>
      <c r="G1692" t="s">
        <v>69</v>
      </c>
      <c r="H1692" t="s">
        <v>70</v>
      </c>
      <c r="I1692" t="s">
        <v>71</v>
      </c>
      <c r="J1692" t="s">
        <v>72</v>
      </c>
      <c r="K1692" t="s">
        <v>73</v>
      </c>
      <c r="L1692" t="s">
        <v>74</v>
      </c>
      <c r="M1692" t="s">
        <v>627</v>
      </c>
      <c r="N1692" t="s">
        <v>111</v>
      </c>
      <c r="O1692" t="s">
        <v>628</v>
      </c>
      <c r="P1692" t="s">
        <v>629</v>
      </c>
      <c r="Q1692" t="s">
        <v>1770</v>
      </c>
      <c r="R1692" s="1">
        <v>46228</v>
      </c>
      <c r="S1692" t="s">
        <v>628</v>
      </c>
      <c r="T1692" t="s">
        <v>631</v>
      </c>
      <c r="U1692" t="s">
        <v>632</v>
      </c>
      <c r="V1692" t="s">
        <v>66</v>
      </c>
      <c r="W1692" t="s">
        <v>66</v>
      </c>
      <c r="X1692">
        <v>708639</v>
      </c>
      <c r="Y1692">
        <v>77950.289999999994</v>
      </c>
      <c r="Z1692">
        <v>197010</v>
      </c>
      <c r="AA1692">
        <v>21671.1</v>
      </c>
      <c r="AB1692">
        <v>786589.29</v>
      </c>
      <c r="AC1692">
        <v>12</v>
      </c>
      <c r="AD1692" t="s">
        <v>82</v>
      </c>
      <c r="AE1692">
        <v>12</v>
      </c>
      <c r="AF1692" t="s">
        <v>99</v>
      </c>
      <c r="AG1692">
        <f>IFERROR(VLOOKUP(AF1692,[1]STOK!J:O,6,0),"")</f>
        <v>24</v>
      </c>
      <c r="AH1692" s="2">
        <f t="shared" si="52"/>
        <v>0.5</v>
      </c>
      <c r="AI1692" t="s">
        <v>99</v>
      </c>
      <c r="AJ1692" t="s">
        <v>100</v>
      </c>
      <c r="AK1692" t="s">
        <v>101</v>
      </c>
      <c r="AL1692" t="s">
        <v>86</v>
      </c>
      <c r="AM1692">
        <v>18315</v>
      </c>
      <c r="AN1692">
        <f t="shared" si="53"/>
        <v>18223.424999999999</v>
      </c>
      <c r="AO1692" t="s">
        <v>66</v>
      </c>
      <c r="AP1692">
        <v>0.5</v>
      </c>
      <c r="AQ1692" t="s">
        <v>66</v>
      </c>
      <c r="AR1692">
        <v>0</v>
      </c>
      <c r="AS1692" t="s">
        <v>66</v>
      </c>
      <c r="AT1692">
        <v>0</v>
      </c>
      <c r="AU1692" t="s">
        <v>66</v>
      </c>
      <c r="AV1692">
        <v>0</v>
      </c>
      <c r="AW1692" t="s">
        <v>66</v>
      </c>
      <c r="AX1692">
        <v>0</v>
      </c>
      <c r="AY1692" t="s">
        <v>66</v>
      </c>
      <c r="AZ1692">
        <v>0</v>
      </c>
      <c r="BA1692" t="s">
        <v>66</v>
      </c>
      <c r="BB1692">
        <v>0</v>
      </c>
      <c r="BC1692">
        <v>0</v>
      </c>
      <c r="BD1692">
        <v>218681.1</v>
      </c>
      <c r="BE1692">
        <v>14920.37</v>
      </c>
      <c r="BF1692">
        <v>0</v>
      </c>
      <c r="BG1692" t="s">
        <v>87</v>
      </c>
      <c r="BH1692" t="s">
        <v>66</v>
      </c>
      <c r="BI1692">
        <v>0</v>
      </c>
      <c r="BJ1692" t="s">
        <v>66</v>
      </c>
      <c r="BK1692" t="s">
        <v>88</v>
      </c>
      <c r="BL1692" t="s">
        <v>66</v>
      </c>
      <c r="BM1692" t="s">
        <v>159</v>
      </c>
    </row>
    <row r="1693" spans="1:65" x14ac:dyDescent="0.25">
      <c r="A1693">
        <v>1691</v>
      </c>
      <c r="B1693" t="s">
        <v>1768</v>
      </c>
      <c r="C1693" t="s">
        <v>68</v>
      </c>
      <c r="D1693" s="1">
        <v>46225</v>
      </c>
      <c r="E1693" t="s">
        <v>1769</v>
      </c>
      <c r="F1693" t="s">
        <v>68</v>
      </c>
      <c r="G1693" t="s">
        <v>69</v>
      </c>
      <c r="H1693" t="s">
        <v>70</v>
      </c>
      <c r="I1693" t="s">
        <v>71</v>
      </c>
      <c r="J1693" t="s">
        <v>72</v>
      </c>
      <c r="K1693" t="s">
        <v>73</v>
      </c>
      <c r="L1693" t="s">
        <v>74</v>
      </c>
      <c r="M1693" t="s">
        <v>627</v>
      </c>
      <c r="N1693" t="s">
        <v>111</v>
      </c>
      <c r="O1693" t="s">
        <v>628</v>
      </c>
      <c r="P1693" t="s">
        <v>629</v>
      </c>
      <c r="Q1693" t="s">
        <v>1770</v>
      </c>
      <c r="R1693" s="1">
        <v>46228</v>
      </c>
      <c r="S1693" t="s">
        <v>628</v>
      </c>
      <c r="T1693" t="s">
        <v>631</v>
      </c>
      <c r="U1693" t="s">
        <v>632</v>
      </c>
      <c r="V1693" t="s">
        <v>66</v>
      </c>
      <c r="W1693" t="s">
        <v>66</v>
      </c>
      <c r="X1693">
        <v>708639</v>
      </c>
      <c r="Y1693">
        <v>77950.289999999994</v>
      </c>
      <c r="Z1693">
        <v>158802</v>
      </c>
      <c r="AA1693">
        <v>17468.22</v>
      </c>
      <c r="AB1693">
        <v>786589.29</v>
      </c>
      <c r="AC1693">
        <v>12</v>
      </c>
      <c r="AD1693" t="s">
        <v>82</v>
      </c>
      <c r="AE1693">
        <v>12</v>
      </c>
      <c r="AF1693" t="s">
        <v>135</v>
      </c>
      <c r="AG1693">
        <f>IFERROR(VLOOKUP(AF1693,[1]STOK!J:O,6,0),"")</f>
        <v>12</v>
      </c>
      <c r="AH1693" s="2">
        <f t="shared" si="52"/>
        <v>1</v>
      </c>
      <c r="AI1693" t="s">
        <v>135</v>
      </c>
      <c r="AJ1693" t="s">
        <v>136</v>
      </c>
      <c r="AK1693" t="s">
        <v>137</v>
      </c>
      <c r="AL1693" t="s">
        <v>86</v>
      </c>
      <c r="AM1693">
        <v>14763</v>
      </c>
      <c r="AN1693">
        <f t="shared" si="53"/>
        <v>14689.184999999999</v>
      </c>
      <c r="AO1693" t="s">
        <v>66</v>
      </c>
      <c r="AP1693">
        <v>0.5</v>
      </c>
      <c r="AQ1693" t="s">
        <v>66</v>
      </c>
      <c r="AR1693">
        <v>0</v>
      </c>
      <c r="AS1693" t="s">
        <v>66</v>
      </c>
      <c r="AT1693">
        <v>0</v>
      </c>
      <c r="AU1693" t="s">
        <v>66</v>
      </c>
      <c r="AV1693">
        <v>0</v>
      </c>
      <c r="AW1693" t="s">
        <v>66</v>
      </c>
      <c r="AX1693">
        <v>0</v>
      </c>
      <c r="AY1693" t="s">
        <v>66</v>
      </c>
      <c r="AZ1693">
        <v>0</v>
      </c>
      <c r="BA1693" t="s">
        <v>66</v>
      </c>
      <c r="BB1693">
        <v>0</v>
      </c>
      <c r="BC1693">
        <v>0</v>
      </c>
      <c r="BD1693">
        <v>176270.22</v>
      </c>
      <c r="BE1693">
        <v>12035.93</v>
      </c>
      <c r="BF1693">
        <v>0</v>
      </c>
      <c r="BG1693" t="s">
        <v>87</v>
      </c>
      <c r="BH1693" t="s">
        <v>66</v>
      </c>
      <c r="BI1693">
        <v>0</v>
      </c>
      <c r="BJ1693" t="s">
        <v>66</v>
      </c>
      <c r="BK1693" t="s">
        <v>88</v>
      </c>
      <c r="BL1693" t="s">
        <v>66</v>
      </c>
      <c r="BM1693" t="s">
        <v>159</v>
      </c>
    </row>
    <row r="1694" spans="1:65" x14ac:dyDescent="0.25">
      <c r="A1694">
        <v>1692</v>
      </c>
      <c r="B1694" t="s">
        <v>1771</v>
      </c>
      <c r="C1694" t="s">
        <v>68</v>
      </c>
      <c r="D1694" s="1">
        <v>46225</v>
      </c>
      <c r="E1694" t="s">
        <v>1772</v>
      </c>
      <c r="F1694" t="s">
        <v>68</v>
      </c>
      <c r="G1694" t="s">
        <v>295</v>
      </c>
      <c r="H1694" t="s">
        <v>296</v>
      </c>
      <c r="I1694" t="s">
        <v>71</v>
      </c>
      <c r="J1694" t="s">
        <v>72</v>
      </c>
      <c r="K1694" t="s">
        <v>73</v>
      </c>
      <c r="L1694" t="s">
        <v>74</v>
      </c>
      <c r="M1694" t="s">
        <v>503</v>
      </c>
      <c r="N1694" t="s">
        <v>111</v>
      </c>
      <c r="O1694" t="s">
        <v>504</v>
      </c>
      <c r="P1694" t="s">
        <v>505</v>
      </c>
      <c r="Q1694" t="s">
        <v>1773</v>
      </c>
      <c r="R1694" s="1">
        <v>46226</v>
      </c>
      <c r="S1694" t="s">
        <v>507</v>
      </c>
      <c r="T1694" t="s">
        <v>508</v>
      </c>
      <c r="U1694" t="s">
        <v>509</v>
      </c>
      <c r="V1694" t="s">
        <v>66</v>
      </c>
      <c r="W1694" t="s">
        <v>66</v>
      </c>
      <c r="X1694">
        <v>2283732</v>
      </c>
      <c r="Y1694">
        <v>251210.52</v>
      </c>
      <c r="Z1694">
        <v>392040</v>
      </c>
      <c r="AA1694">
        <v>43124.4</v>
      </c>
      <c r="AB1694">
        <v>2534942.52</v>
      </c>
      <c r="AC1694">
        <v>1</v>
      </c>
      <c r="AD1694" t="s">
        <v>134</v>
      </c>
      <c r="AE1694">
        <v>24</v>
      </c>
      <c r="AF1694" t="s">
        <v>93</v>
      </c>
      <c r="AG1694">
        <f>IFERROR(VLOOKUP(AF1694,[1]STOK!J:O,6,0),"")</f>
        <v>24</v>
      </c>
      <c r="AH1694" s="2">
        <f t="shared" si="52"/>
        <v>1</v>
      </c>
      <c r="AI1694" t="s">
        <v>93</v>
      </c>
      <c r="AJ1694" t="s">
        <v>94</v>
      </c>
      <c r="AK1694" t="s">
        <v>95</v>
      </c>
      <c r="AL1694" t="s">
        <v>86</v>
      </c>
      <c r="AM1694">
        <v>439560</v>
      </c>
      <c r="AN1694">
        <f t="shared" si="53"/>
        <v>435164.4</v>
      </c>
      <c r="AO1694" t="s">
        <v>66</v>
      </c>
      <c r="AP1694">
        <v>1</v>
      </c>
      <c r="AQ1694" t="s">
        <v>66</v>
      </c>
      <c r="AR1694">
        <v>0</v>
      </c>
      <c r="AS1694" t="s">
        <v>66</v>
      </c>
      <c r="AT1694">
        <v>0</v>
      </c>
      <c r="AU1694" t="s">
        <v>66</v>
      </c>
      <c r="AV1694">
        <v>0</v>
      </c>
      <c r="AW1694" t="s">
        <v>66</v>
      </c>
      <c r="AX1694">
        <v>0</v>
      </c>
      <c r="AY1694" t="s">
        <v>66</v>
      </c>
      <c r="AZ1694">
        <v>0</v>
      </c>
      <c r="BA1694" t="s">
        <v>66</v>
      </c>
      <c r="BB1694">
        <v>0</v>
      </c>
      <c r="BC1694">
        <v>0</v>
      </c>
      <c r="BD1694">
        <v>435164.4</v>
      </c>
      <c r="BE1694">
        <v>14878.51</v>
      </c>
      <c r="BF1694">
        <v>0</v>
      </c>
      <c r="BG1694" t="s">
        <v>87</v>
      </c>
      <c r="BH1694" t="s">
        <v>66</v>
      </c>
      <c r="BI1694">
        <v>0</v>
      </c>
      <c r="BJ1694" t="s">
        <v>66</v>
      </c>
      <c r="BK1694" t="s">
        <v>88</v>
      </c>
      <c r="BL1694" t="s">
        <v>66</v>
      </c>
      <c r="BM1694" t="s">
        <v>159</v>
      </c>
    </row>
    <row r="1695" spans="1:65" x14ac:dyDescent="0.25">
      <c r="A1695">
        <v>1693</v>
      </c>
      <c r="B1695" t="s">
        <v>1771</v>
      </c>
      <c r="C1695" t="s">
        <v>68</v>
      </c>
      <c r="D1695" s="1">
        <v>46225</v>
      </c>
      <c r="E1695" t="s">
        <v>1772</v>
      </c>
      <c r="F1695" t="s">
        <v>68</v>
      </c>
      <c r="G1695" t="s">
        <v>295</v>
      </c>
      <c r="H1695" t="s">
        <v>296</v>
      </c>
      <c r="I1695" t="s">
        <v>71</v>
      </c>
      <c r="J1695" t="s">
        <v>72</v>
      </c>
      <c r="K1695" t="s">
        <v>73</v>
      </c>
      <c r="L1695" t="s">
        <v>74</v>
      </c>
      <c r="M1695" t="s">
        <v>503</v>
      </c>
      <c r="N1695" t="s">
        <v>111</v>
      </c>
      <c r="O1695" t="s">
        <v>504</v>
      </c>
      <c r="P1695" t="s">
        <v>505</v>
      </c>
      <c r="Q1695" t="s">
        <v>1773</v>
      </c>
      <c r="R1695" s="1">
        <v>46226</v>
      </c>
      <c r="S1695" t="s">
        <v>507</v>
      </c>
      <c r="T1695" t="s">
        <v>508</v>
      </c>
      <c r="U1695" t="s">
        <v>509</v>
      </c>
      <c r="V1695" t="s">
        <v>66</v>
      </c>
      <c r="W1695" t="s">
        <v>66</v>
      </c>
      <c r="X1695">
        <v>2283732</v>
      </c>
      <c r="Y1695">
        <v>251210.52</v>
      </c>
      <c r="Z1695">
        <v>163944</v>
      </c>
      <c r="AA1695">
        <v>18033.84</v>
      </c>
      <c r="AB1695">
        <v>2534942.52</v>
      </c>
      <c r="AC1695">
        <v>1</v>
      </c>
      <c r="AD1695" t="s">
        <v>134</v>
      </c>
      <c r="AE1695">
        <v>24</v>
      </c>
      <c r="AF1695" t="s">
        <v>495</v>
      </c>
      <c r="AG1695">
        <f>IFERROR(VLOOKUP(AF1695,[1]STOK!J:O,6,0),"")</f>
        <v>24</v>
      </c>
      <c r="AH1695" s="2">
        <f t="shared" si="52"/>
        <v>1</v>
      </c>
      <c r="AI1695" t="s">
        <v>495</v>
      </c>
      <c r="AJ1695" t="s">
        <v>496</v>
      </c>
      <c r="AK1695" t="s">
        <v>497</v>
      </c>
      <c r="AL1695" t="s">
        <v>86</v>
      </c>
      <c r="AM1695">
        <v>183816</v>
      </c>
      <c r="AN1695">
        <f t="shared" si="53"/>
        <v>181977.84</v>
      </c>
      <c r="AO1695" t="s">
        <v>66</v>
      </c>
      <c r="AP1695">
        <v>1</v>
      </c>
      <c r="AQ1695" t="s">
        <v>66</v>
      </c>
      <c r="AR1695">
        <v>0</v>
      </c>
      <c r="AS1695" t="s">
        <v>66</v>
      </c>
      <c r="AT1695">
        <v>0</v>
      </c>
      <c r="AU1695" t="s">
        <v>66</v>
      </c>
      <c r="AV1695">
        <v>0</v>
      </c>
      <c r="AW1695" t="s">
        <v>66</v>
      </c>
      <c r="AX1695">
        <v>0</v>
      </c>
      <c r="AY1695" t="s">
        <v>66</v>
      </c>
      <c r="AZ1695">
        <v>0</v>
      </c>
      <c r="BA1695" t="s">
        <v>66</v>
      </c>
      <c r="BB1695">
        <v>0</v>
      </c>
      <c r="BC1695">
        <v>0</v>
      </c>
      <c r="BD1695">
        <v>181977.84</v>
      </c>
      <c r="BE1695">
        <v>6242.09</v>
      </c>
      <c r="BF1695">
        <v>0</v>
      </c>
      <c r="BG1695" t="s">
        <v>87</v>
      </c>
      <c r="BH1695" t="s">
        <v>66</v>
      </c>
      <c r="BI1695">
        <v>0</v>
      </c>
      <c r="BJ1695" t="s">
        <v>66</v>
      </c>
      <c r="BK1695" t="s">
        <v>88</v>
      </c>
      <c r="BL1695" t="s">
        <v>66</v>
      </c>
      <c r="BM1695" t="s">
        <v>159</v>
      </c>
    </row>
    <row r="1696" spans="1:65" x14ac:dyDescent="0.25">
      <c r="A1696">
        <v>1694</v>
      </c>
      <c r="B1696" t="s">
        <v>1771</v>
      </c>
      <c r="C1696" t="s">
        <v>68</v>
      </c>
      <c r="D1696" s="1">
        <v>46225</v>
      </c>
      <c r="E1696" t="s">
        <v>1772</v>
      </c>
      <c r="F1696" t="s">
        <v>68</v>
      </c>
      <c r="G1696" t="s">
        <v>295</v>
      </c>
      <c r="H1696" t="s">
        <v>296</v>
      </c>
      <c r="I1696" t="s">
        <v>71</v>
      </c>
      <c r="J1696" t="s">
        <v>72</v>
      </c>
      <c r="K1696" t="s">
        <v>73</v>
      </c>
      <c r="L1696" t="s">
        <v>74</v>
      </c>
      <c r="M1696" t="s">
        <v>503</v>
      </c>
      <c r="N1696" t="s">
        <v>111</v>
      </c>
      <c r="O1696" t="s">
        <v>504</v>
      </c>
      <c r="P1696" t="s">
        <v>505</v>
      </c>
      <c r="Q1696" t="s">
        <v>1773</v>
      </c>
      <c r="R1696" s="1">
        <v>46226</v>
      </c>
      <c r="S1696" t="s">
        <v>507</v>
      </c>
      <c r="T1696" t="s">
        <v>508</v>
      </c>
      <c r="U1696" t="s">
        <v>509</v>
      </c>
      <c r="V1696" t="s">
        <v>66</v>
      </c>
      <c r="W1696" t="s">
        <v>66</v>
      </c>
      <c r="X1696">
        <v>2283732</v>
      </c>
      <c r="Y1696">
        <v>251210.52</v>
      </c>
      <c r="Z1696">
        <v>185328</v>
      </c>
      <c r="AA1696">
        <v>20386.080000000002</v>
      </c>
      <c r="AB1696">
        <v>2534942.52</v>
      </c>
      <c r="AC1696">
        <v>1</v>
      </c>
      <c r="AD1696" t="s">
        <v>134</v>
      </c>
      <c r="AE1696">
        <v>12</v>
      </c>
      <c r="AF1696" t="s">
        <v>1189</v>
      </c>
      <c r="AG1696">
        <f>IFERROR(VLOOKUP(AF1696,[1]STOK!J:O,6,0),"")</f>
        <v>12</v>
      </c>
      <c r="AH1696" s="2">
        <f t="shared" si="52"/>
        <v>1</v>
      </c>
      <c r="AI1696" t="s">
        <v>1189</v>
      </c>
      <c r="AJ1696" t="s">
        <v>1190</v>
      </c>
      <c r="AK1696" t="s">
        <v>1191</v>
      </c>
      <c r="AL1696" t="s">
        <v>86</v>
      </c>
      <c r="AM1696">
        <v>207792</v>
      </c>
      <c r="AN1696">
        <f t="shared" si="53"/>
        <v>205714.08</v>
      </c>
      <c r="AO1696" t="s">
        <v>66</v>
      </c>
      <c r="AP1696">
        <v>1</v>
      </c>
      <c r="AQ1696" t="s">
        <v>66</v>
      </c>
      <c r="AR1696">
        <v>0</v>
      </c>
      <c r="AS1696" t="s">
        <v>66</v>
      </c>
      <c r="AT1696">
        <v>0</v>
      </c>
      <c r="AU1696" t="s">
        <v>66</v>
      </c>
      <c r="AV1696">
        <v>0</v>
      </c>
      <c r="AW1696" t="s">
        <v>66</v>
      </c>
      <c r="AX1696">
        <v>0</v>
      </c>
      <c r="AY1696" t="s">
        <v>66</v>
      </c>
      <c r="AZ1696">
        <v>0</v>
      </c>
      <c r="BA1696" t="s">
        <v>66</v>
      </c>
      <c r="BB1696">
        <v>0</v>
      </c>
      <c r="BC1696">
        <v>0</v>
      </c>
      <c r="BD1696">
        <v>205714.08</v>
      </c>
      <c r="BE1696">
        <v>14055.35</v>
      </c>
      <c r="BF1696">
        <v>0</v>
      </c>
      <c r="BG1696" t="s">
        <v>87</v>
      </c>
      <c r="BH1696" t="s">
        <v>66</v>
      </c>
      <c r="BI1696">
        <v>0</v>
      </c>
      <c r="BJ1696" t="s">
        <v>66</v>
      </c>
      <c r="BK1696" t="s">
        <v>88</v>
      </c>
      <c r="BL1696" t="s">
        <v>66</v>
      </c>
      <c r="BM1696" t="s">
        <v>159</v>
      </c>
    </row>
    <row r="1697" spans="1:65" x14ac:dyDescent="0.25">
      <c r="A1697">
        <v>1695</v>
      </c>
      <c r="B1697" t="s">
        <v>1771</v>
      </c>
      <c r="C1697" t="s">
        <v>68</v>
      </c>
      <c r="D1697" s="1">
        <v>46225</v>
      </c>
      <c r="E1697" t="s">
        <v>1772</v>
      </c>
      <c r="F1697" t="s">
        <v>68</v>
      </c>
      <c r="G1697" t="s">
        <v>295</v>
      </c>
      <c r="H1697" t="s">
        <v>296</v>
      </c>
      <c r="I1697" t="s">
        <v>71</v>
      </c>
      <c r="J1697" t="s">
        <v>72</v>
      </c>
      <c r="K1697" t="s">
        <v>73</v>
      </c>
      <c r="L1697" t="s">
        <v>74</v>
      </c>
      <c r="M1697" t="s">
        <v>503</v>
      </c>
      <c r="N1697" t="s">
        <v>111</v>
      </c>
      <c r="O1697" t="s">
        <v>504</v>
      </c>
      <c r="P1697" t="s">
        <v>505</v>
      </c>
      <c r="Q1697" t="s">
        <v>1773</v>
      </c>
      <c r="R1697" s="1">
        <v>46226</v>
      </c>
      <c r="S1697" t="s">
        <v>507</v>
      </c>
      <c r="T1697" t="s">
        <v>508</v>
      </c>
      <c r="U1697" t="s">
        <v>509</v>
      </c>
      <c r="V1697" t="s">
        <v>66</v>
      </c>
      <c r="W1697" t="s">
        <v>66</v>
      </c>
      <c r="X1697">
        <v>2283732</v>
      </c>
      <c r="Y1697">
        <v>251210.52</v>
      </c>
      <c r="Z1697">
        <v>171072</v>
      </c>
      <c r="AA1697">
        <v>18817.919999999998</v>
      </c>
      <c r="AB1697">
        <v>2534942.52</v>
      </c>
      <c r="AC1697">
        <v>1</v>
      </c>
      <c r="AD1697" t="s">
        <v>134</v>
      </c>
      <c r="AE1697">
        <v>12</v>
      </c>
      <c r="AF1697" t="s">
        <v>551</v>
      </c>
      <c r="AG1697">
        <f>IFERROR(VLOOKUP(AF1697,[1]STOK!J:O,6,0),"")</f>
        <v>12</v>
      </c>
      <c r="AH1697" s="2">
        <f t="shared" si="52"/>
        <v>1</v>
      </c>
      <c r="AI1697" t="s">
        <v>551</v>
      </c>
      <c r="AJ1697" t="s">
        <v>552</v>
      </c>
      <c r="AK1697" t="s">
        <v>553</v>
      </c>
      <c r="AL1697" t="s">
        <v>86</v>
      </c>
      <c r="AM1697">
        <v>191808</v>
      </c>
      <c r="AN1697">
        <f t="shared" si="53"/>
        <v>189889.92000000001</v>
      </c>
      <c r="AO1697" t="s">
        <v>66</v>
      </c>
      <c r="AP1697">
        <v>1</v>
      </c>
      <c r="AQ1697" t="s">
        <v>66</v>
      </c>
      <c r="AR1697">
        <v>0</v>
      </c>
      <c r="AS1697" t="s">
        <v>66</v>
      </c>
      <c r="AT1697">
        <v>0</v>
      </c>
      <c r="AU1697" t="s">
        <v>66</v>
      </c>
      <c r="AV1697">
        <v>0</v>
      </c>
      <c r="AW1697" t="s">
        <v>66</v>
      </c>
      <c r="AX1697">
        <v>0</v>
      </c>
      <c r="AY1697" t="s">
        <v>66</v>
      </c>
      <c r="AZ1697">
        <v>0</v>
      </c>
      <c r="BA1697" t="s">
        <v>66</v>
      </c>
      <c r="BB1697">
        <v>0</v>
      </c>
      <c r="BC1697">
        <v>0</v>
      </c>
      <c r="BD1697">
        <v>189889.92000000001</v>
      </c>
      <c r="BE1697">
        <v>12912.87</v>
      </c>
      <c r="BF1697">
        <v>0</v>
      </c>
      <c r="BG1697" t="s">
        <v>87</v>
      </c>
      <c r="BH1697" t="s">
        <v>66</v>
      </c>
      <c r="BI1697">
        <v>0</v>
      </c>
      <c r="BJ1697" t="s">
        <v>66</v>
      </c>
      <c r="BK1697" t="s">
        <v>88</v>
      </c>
      <c r="BL1697" t="s">
        <v>66</v>
      </c>
      <c r="BM1697" t="s">
        <v>159</v>
      </c>
    </row>
    <row r="1698" spans="1:65" x14ac:dyDescent="0.25">
      <c r="A1698">
        <v>1696</v>
      </c>
      <c r="B1698" t="s">
        <v>1771</v>
      </c>
      <c r="C1698" t="s">
        <v>68</v>
      </c>
      <c r="D1698" s="1">
        <v>46225</v>
      </c>
      <c r="E1698" t="s">
        <v>1772</v>
      </c>
      <c r="F1698" t="s">
        <v>68</v>
      </c>
      <c r="G1698" t="s">
        <v>295</v>
      </c>
      <c r="H1698" t="s">
        <v>296</v>
      </c>
      <c r="I1698" t="s">
        <v>71</v>
      </c>
      <c r="J1698" t="s">
        <v>72</v>
      </c>
      <c r="K1698" t="s">
        <v>73</v>
      </c>
      <c r="L1698" t="s">
        <v>74</v>
      </c>
      <c r="M1698" t="s">
        <v>503</v>
      </c>
      <c r="N1698" t="s">
        <v>111</v>
      </c>
      <c r="O1698" t="s">
        <v>504</v>
      </c>
      <c r="P1698" t="s">
        <v>505</v>
      </c>
      <c r="Q1698" t="s">
        <v>1773</v>
      </c>
      <c r="R1698" s="1">
        <v>46226</v>
      </c>
      <c r="S1698" t="s">
        <v>507</v>
      </c>
      <c r="T1698" t="s">
        <v>508</v>
      </c>
      <c r="U1698" t="s">
        <v>509</v>
      </c>
      <c r="V1698" t="s">
        <v>66</v>
      </c>
      <c r="W1698" t="s">
        <v>66</v>
      </c>
      <c r="X1698">
        <v>2283732</v>
      </c>
      <c r="Y1698">
        <v>251210.52</v>
      </c>
      <c r="Z1698">
        <v>323136</v>
      </c>
      <c r="AA1698">
        <v>35544.959999999999</v>
      </c>
      <c r="AB1698">
        <v>2534942.52</v>
      </c>
      <c r="AC1698">
        <v>1</v>
      </c>
      <c r="AD1698" t="s">
        <v>134</v>
      </c>
      <c r="AE1698">
        <v>12</v>
      </c>
      <c r="AF1698" t="s">
        <v>498</v>
      </c>
      <c r="AG1698">
        <f>IFERROR(VLOOKUP(AF1698,[1]STOK!J:O,6,0),"")</f>
        <v>12</v>
      </c>
      <c r="AH1698" s="2">
        <f t="shared" si="52"/>
        <v>1</v>
      </c>
      <c r="AI1698" t="s">
        <v>498</v>
      </c>
      <c r="AJ1698" t="s">
        <v>499</v>
      </c>
      <c r="AK1698" t="s">
        <v>500</v>
      </c>
      <c r="AL1698" t="s">
        <v>86</v>
      </c>
      <c r="AM1698">
        <v>362304</v>
      </c>
      <c r="AN1698">
        <f t="shared" si="53"/>
        <v>358680.96</v>
      </c>
      <c r="AO1698" t="s">
        <v>66</v>
      </c>
      <c r="AP1698">
        <v>1</v>
      </c>
      <c r="AQ1698" t="s">
        <v>66</v>
      </c>
      <c r="AR1698">
        <v>0</v>
      </c>
      <c r="AS1698" t="s">
        <v>66</v>
      </c>
      <c r="AT1698">
        <v>0</v>
      </c>
      <c r="AU1698" t="s">
        <v>66</v>
      </c>
      <c r="AV1698">
        <v>0</v>
      </c>
      <c r="AW1698" t="s">
        <v>66</v>
      </c>
      <c r="AX1698">
        <v>0</v>
      </c>
      <c r="AY1698" t="s">
        <v>66</v>
      </c>
      <c r="AZ1698">
        <v>0</v>
      </c>
      <c r="BA1698" t="s">
        <v>66</v>
      </c>
      <c r="BB1698">
        <v>0</v>
      </c>
      <c r="BC1698">
        <v>0</v>
      </c>
      <c r="BD1698">
        <v>358680.96</v>
      </c>
      <c r="BE1698">
        <v>24456.46</v>
      </c>
      <c r="BF1698">
        <v>0</v>
      </c>
      <c r="BG1698" t="s">
        <v>87</v>
      </c>
      <c r="BH1698" t="s">
        <v>66</v>
      </c>
      <c r="BI1698">
        <v>0</v>
      </c>
      <c r="BJ1698" t="s">
        <v>66</v>
      </c>
      <c r="BK1698" t="s">
        <v>88</v>
      </c>
      <c r="BL1698" t="s">
        <v>66</v>
      </c>
      <c r="BM1698" t="s">
        <v>159</v>
      </c>
    </row>
    <row r="1699" spans="1:65" x14ac:dyDescent="0.25">
      <c r="A1699">
        <v>1697</v>
      </c>
      <c r="B1699" t="s">
        <v>1771</v>
      </c>
      <c r="C1699" t="s">
        <v>68</v>
      </c>
      <c r="D1699" s="1">
        <v>46225</v>
      </c>
      <c r="E1699" t="s">
        <v>1772</v>
      </c>
      <c r="F1699" t="s">
        <v>68</v>
      </c>
      <c r="G1699" t="s">
        <v>295</v>
      </c>
      <c r="H1699" t="s">
        <v>296</v>
      </c>
      <c r="I1699" t="s">
        <v>71</v>
      </c>
      <c r="J1699" t="s">
        <v>72</v>
      </c>
      <c r="K1699" t="s">
        <v>73</v>
      </c>
      <c r="L1699" t="s">
        <v>74</v>
      </c>
      <c r="M1699" t="s">
        <v>503</v>
      </c>
      <c r="N1699" t="s">
        <v>111</v>
      </c>
      <c r="O1699" t="s">
        <v>504</v>
      </c>
      <c r="P1699" t="s">
        <v>505</v>
      </c>
      <c r="Q1699" t="s">
        <v>1773</v>
      </c>
      <c r="R1699" s="1">
        <v>46226</v>
      </c>
      <c r="S1699" t="s">
        <v>507</v>
      </c>
      <c r="T1699" t="s">
        <v>508</v>
      </c>
      <c r="U1699" t="s">
        <v>509</v>
      </c>
      <c r="V1699" t="s">
        <v>66</v>
      </c>
      <c r="W1699" t="s">
        <v>66</v>
      </c>
      <c r="X1699">
        <v>2283732</v>
      </c>
      <c r="Y1699">
        <v>251210.52</v>
      </c>
      <c r="Z1699">
        <v>417384</v>
      </c>
      <c r="AA1699">
        <v>45912.24</v>
      </c>
      <c r="AB1699">
        <v>2534942.52</v>
      </c>
      <c r="AC1699">
        <v>1</v>
      </c>
      <c r="AD1699" t="s">
        <v>134</v>
      </c>
      <c r="AE1699">
        <v>4</v>
      </c>
      <c r="AF1699" t="s">
        <v>833</v>
      </c>
      <c r="AG1699">
        <f>IFERROR(VLOOKUP(AF1699,[1]STOK!J:O,6,0),"")</f>
        <v>4</v>
      </c>
      <c r="AH1699" s="2">
        <f t="shared" si="52"/>
        <v>1</v>
      </c>
      <c r="AI1699" t="s">
        <v>833</v>
      </c>
      <c r="AJ1699" t="s">
        <v>834</v>
      </c>
      <c r="AK1699" t="s">
        <v>835</v>
      </c>
      <c r="AL1699" t="s">
        <v>86</v>
      </c>
      <c r="AM1699">
        <v>467976</v>
      </c>
      <c r="AN1699">
        <f t="shared" si="53"/>
        <v>463296.24</v>
      </c>
      <c r="AO1699" t="s">
        <v>66</v>
      </c>
      <c r="AP1699">
        <v>1</v>
      </c>
      <c r="AQ1699" t="s">
        <v>66</v>
      </c>
      <c r="AR1699">
        <v>0</v>
      </c>
      <c r="AS1699" t="s">
        <v>66</v>
      </c>
      <c r="AT1699">
        <v>0</v>
      </c>
      <c r="AU1699" t="s">
        <v>66</v>
      </c>
      <c r="AV1699">
        <v>0</v>
      </c>
      <c r="AW1699" t="s">
        <v>66</v>
      </c>
      <c r="AX1699">
        <v>0</v>
      </c>
      <c r="AY1699" t="s">
        <v>66</v>
      </c>
      <c r="AZ1699">
        <v>0</v>
      </c>
      <c r="BA1699" t="s">
        <v>66</v>
      </c>
      <c r="BB1699">
        <v>0</v>
      </c>
      <c r="BC1699">
        <v>0</v>
      </c>
      <c r="BD1699">
        <v>463296.24</v>
      </c>
      <c r="BE1699">
        <v>90213.5</v>
      </c>
      <c r="BF1699">
        <v>0</v>
      </c>
      <c r="BG1699" t="s">
        <v>87</v>
      </c>
      <c r="BH1699" t="s">
        <v>66</v>
      </c>
      <c r="BI1699">
        <v>0</v>
      </c>
      <c r="BJ1699" t="s">
        <v>66</v>
      </c>
      <c r="BK1699" t="s">
        <v>88</v>
      </c>
      <c r="BL1699" t="s">
        <v>66</v>
      </c>
      <c r="BM1699" t="s">
        <v>159</v>
      </c>
    </row>
    <row r="1700" spans="1:65" x14ac:dyDescent="0.25">
      <c r="A1700">
        <v>1698</v>
      </c>
      <c r="B1700" t="s">
        <v>1771</v>
      </c>
      <c r="C1700" t="s">
        <v>68</v>
      </c>
      <c r="D1700" s="1">
        <v>46225</v>
      </c>
      <c r="E1700" t="s">
        <v>1772</v>
      </c>
      <c r="F1700" t="s">
        <v>68</v>
      </c>
      <c r="G1700" t="s">
        <v>295</v>
      </c>
      <c r="H1700" t="s">
        <v>296</v>
      </c>
      <c r="I1700" t="s">
        <v>71</v>
      </c>
      <c r="J1700" t="s">
        <v>72</v>
      </c>
      <c r="K1700" t="s">
        <v>73</v>
      </c>
      <c r="L1700" t="s">
        <v>74</v>
      </c>
      <c r="M1700" t="s">
        <v>503</v>
      </c>
      <c r="N1700" t="s">
        <v>111</v>
      </c>
      <c r="O1700" t="s">
        <v>504</v>
      </c>
      <c r="P1700" t="s">
        <v>505</v>
      </c>
      <c r="Q1700" t="s">
        <v>1773</v>
      </c>
      <c r="R1700" s="1">
        <v>46226</v>
      </c>
      <c r="S1700" t="s">
        <v>507</v>
      </c>
      <c r="T1700" t="s">
        <v>508</v>
      </c>
      <c r="U1700" t="s">
        <v>509</v>
      </c>
      <c r="V1700" t="s">
        <v>66</v>
      </c>
      <c r="W1700" t="s">
        <v>66</v>
      </c>
      <c r="X1700">
        <v>2283732</v>
      </c>
      <c r="Y1700">
        <v>251210.52</v>
      </c>
      <c r="Z1700">
        <v>158004</v>
      </c>
      <c r="AA1700">
        <v>17380.439999999999</v>
      </c>
      <c r="AB1700">
        <v>2534942.52</v>
      </c>
      <c r="AC1700">
        <v>1</v>
      </c>
      <c r="AD1700" t="s">
        <v>134</v>
      </c>
      <c r="AE1700">
        <v>12</v>
      </c>
      <c r="AF1700" t="s">
        <v>135</v>
      </c>
      <c r="AG1700">
        <f>IFERROR(VLOOKUP(AF1700,[1]STOK!J:O,6,0),"")</f>
        <v>12</v>
      </c>
      <c r="AH1700" s="2">
        <f t="shared" si="52"/>
        <v>1</v>
      </c>
      <c r="AI1700" t="s">
        <v>135</v>
      </c>
      <c r="AJ1700" t="s">
        <v>136</v>
      </c>
      <c r="AK1700" t="s">
        <v>137</v>
      </c>
      <c r="AL1700" t="s">
        <v>86</v>
      </c>
      <c r="AM1700">
        <v>177156</v>
      </c>
      <c r="AN1700">
        <f t="shared" si="53"/>
        <v>175384.44</v>
      </c>
      <c r="AO1700" t="s">
        <v>66</v>
      </c>
      <c r="AP1700">
        <v>1</v>
      </c>
      <c r="AQ1700" t="s">
        <v>66</v>
      </c>
      <c r="AR1700">
        <v>0</v>
      </c>
      <c r="AS1700" t="s">
        <v>66</v>
      </c>
      <c r="AT1700">
        <v>0</v>
      </c>
      <c r="AU1700" t="s">
        <v>66</v>
      </c>
      <c r="AV1700">
        <v>0</v>
      </c>
      <c r="AW1700" t="s">
        <v>66</v>
      </c>
      <c r="AX1700">
        <v>0</v>
      </c>
      <c r="AY1700" t="s">
        <v>66</v>
      </c>
      <c r="AZ1700">
        <v>0</v>
      </c>
      <c r="BA1700" t="s">
        <v>66</v>
      </c>
      <c r="BB1700">
        <v>0</v>
      </c>
      <c r="BC1700">
        <v>0</v>
      </c>
      <c r="BD1700">
        <v>175384.44</v>
      </c>
      <c r="BE1700">
        <v>12035.93</v>
      </c>
      <c r="BF1700">
        <v>0</v>
      </c>
      <c r="BG1700" t="s">
        <v>87</v>
      </c>
      <c r="BH1700" t="s">
        <v>66</v>
      </c>
      <c r="BI1700">
        <v>0</v>
      </c>
      <c r="BJ1700" t="s">
        <v>66</v>
      </c>
      <c r="BK1700" t="s">
        <v>88</v>
      </c>
      <c r="BL1700" t="s">
        <v>66</v>
      </c>
      <c r="BM1700" t="s">
        <v>159</v>
      </c>
    </row>
    <row r="1701" spans="1:65" x14ac:dyDescent="0.25">
      <c r="A1701">
        <v>1699</v>
      </c>
      <c r="B1701" t="s">
        <v>1771</v>
      </c>
      <c r="C1701" t="s">
        <v>68</v>
      </c>
      <c r="D1701" s="1">
        <v>46225</v>
      </c>
      <c r="E1701" t="s">
        <v>1772</v>
      </c>
      <c r="F1701" t="s">
        <v>68</v>
      </c>
      <c r="G1701" t="s">
        <v>295</v>
      </c>
      <c r="H1701" t="s">
        <v>296</v>
      </c>
      <c r="I1701" t="s">
        <v>71</v>
      </c>
      <c r="J1701" t="s">
        <v>72</v>
      </c>
      <c r="K1701" t="s">
        <v>73</v>
      </c>
      <c r="L1701" t="s">
        <v>74</v>
      </c>
      <c r="M1701" t="s">
        <v>503</v>
      </c>
      <c r="N1701" t="s">
        <v>111</v>
      </c>
      <c r="O1701" t="s">
        <v>504</v>
      </c>
      <c r="P1701" t="s">
        <v>505</v>
      </c>
      <c r="Q1701" t="s">
        <v>1773</v>
      </c>
      <c r="R1701" s="1">
        <v>46226</v>
      </c>
      <c r="S1701" t="s">
        <v>507</v>
      </c>
      <c r="T1701" t="s">
        <v>508</v>
      </c>
      <c r="U1701" t="s">
        <v>509</v>
      </c>
      <c r="V1701" t="s">
        <v>66</v>
      </c>
      <c r="W1701" t="s">
        <v>66</v>
      </c>
      <c r="X1701">
        <v>2283732</v>
      </c>
      <c r="Y1701">
        <v>251210.52</v>
      </c>
      <c r="Z1701">
        <v>205524</v>
      </c>
      <c r="AA1701">
        <v>22607.64</v>
      </c>
      <c r="AB1701">
        <v>2534942.52</v>
      </c>
      <c r="AC1701">
        <v>1</v>
      </c>
      <c r="AD1701" t="s">
        <v>134</v>
      </c>
      <c r="AE1701">
        <v>12</v>
      </c>
      <c r="AF1701" t="s">
        <v>359</v>
      </c>
      <c r="AG1701">
        <f>IFERROR(VLOOKUP(AF1701,[1]STOK!J:O,6,0),"")</f>
        <v>12</v>
      </c>
      <c r="AH1701" s="2">
        <f t="shared" si="52"/>
        <v>1</v>
      </c>
      <c r="AI1701" t="s">
        <v>359</v>
      </c>
      <c r="AJ1701" t="s">
        <v>360</v>
      </c>
      <c r="AK1701" t="s">
        <v>361</v>
      </c>
      <c r="AL1701" t="s">
        <v>86</v>
      </c>
      <c r="AM1701">
        <v>230436</v>
      </c>
      <c r="AN1701">
        <f t="shared" si="53"/>
        <v>228131.64</v>
      </c>
      <c r="AO1701" t="s">
        <v>66</v>
      </c>
      <c r="AP1701">
        <v>1</v>
      </c>
      <c r="AQ1701" t="s">
        <v>66</v>
      </c>
      <c r="AR1701">
        <v>0</v>
      </c>
      <c r="AS1701" t="s">
        <v>66</v>
      </c>
      <c r="AT1701">
        <v>0</v>
      </c>
      <c r="AU1701" t="s">
        <v>66</v>
      </c>
      <c r="AV1701">
        <v>0</v>
      </c>
      <c r="AW1701" t="s">
        <v>66</v>
      </c>
      <c r="AX1701">
        <v>0</v>
      </c>
      <c r="AY1701" t="s">
        <v>66</v>
      </c>
      <c r="AZ1701">
        <v>0</v>
      </c>
      <c r="BA1701" t="s">
        <v>66</v>
      </c>
      <c r="BB1701">
        <v>0</v>
      </c>
      <c r="BC1701">
        <v>0</v>
      </c>
      <c r="BD1701">
        <v>228131.64</v>
      </c>
      <c r="BE1701">
        <v>15628.14</v>
      </c>
      <c r="BF1701">
        <v>0</v>
      </c>
      <c r="BG1701" t="s">
        <v>87</v>
      </c>
      <c r="BH1701" t="s">
        <v>66</v>
      </c>
      <c r="BI1701">
        <v>0</v>
      </c>
      <c r="BJ1701" t="s">
        <v>66</v>
      </c>
      <c r="BK1701" t="s">
        <v>88</v>
      </c>
      <c r="BL1701" t="s">
        <v>66</v>
      </c>
      <c r="BM1701" t="s">
        <v>159</v>
      </c>
    </row>
    <row r="1702" spans="1:65" x14ac:dyDescent="0.25">
      <c r="A1702">
        <v>1700</v>
      </c>
      <c r="B1702" t="s">
        <v>1771</v>
      </c>
      <c r="C1702" t="s">
        <v>68</v>
      </c>
      <c r="D1702" s="1">
        <v>46225</v>
      </c>
      <c r="E1702" t="s">
        <v>1772</v>
      </c>
      <c r="F1702" t="s">
        <v>68</v>
      </c>
      <c r="G1702" t="s">
        <v>295</v>
      </c>
      <c r="H1702" t="s">
        <v>296</v>
      </c>
      <c r="I1702" t="s">
        <v>71</v>
      </c>
      <c r="J1702" t="s">
        <v>72</v>
      </c>
      <c r="K1702" t="s">
        <v>73</v>
      </c>
      <c r="L1702" t="s">
        <v>74</v>
      </c>
      <c r="M1702" t="s">
        <v>503</v>
      </c>
      <c r="N1702" t="s">
        <v>111</v>
      </c>
      <c r="O1702" t="s">
        <v>504</v>
      </c>
      <c r="P1702" t="s">
        <v>505</v>
      </c>
      <c r="Q1702" t="s">
        <v>1773</v>
      </c>
      <c r="R1702" s="1">
        <v>46226</v>
      </c>
      <c r="S1702" t="s">
        <v>507</v>
      </c>
      <c r="T1702" t="s">
        <v>508</v>
      </c>
      <c r="U1702" t="s">
        <v>509</v>
      </c>
      <c r="V1702" t="s">
        <v>66</v>
      </c>
      <c r="W1702" t="s">
        <v>66</v>
      </c>
      <c r="X1702">
        <v>2283732</v>
      </c>
      <c r="Y1702">
        <v>251210.52</v>
      </c>
      <c r="Z1702">
        <v>267300</v>
      </c>
      <c r="AA1702">
        <v>29403</v>
      </c>
      <c r="AB1702">
        <v>2534942.52</v>
      </c>
      <c r="AC1702">
        <v>1</v>
      </c>
      <c r="AD1702" t="s">
        <v>134</v>
      </c>
      <c r="AE1702">
        <v>4</v>
      </c>
      <c r="AF1702" t="s">
        <v>476</v>
      </c>
      <c r="AG1702">
        <f>IFERROR(VLOOKUP(AF1702,[1]STOK!J:O,6,0),"")</f>
        <v>4</v>
      </c>
      <c r="AH1702" s="2">
        <f t="shared" si="52"/>
        <v>1</v>
      </c>
      <c r="AI1702" t="s">
        <v>476</v>
      </c>
      <c r="AJ1702" t="s">
        <v>477</v>
      </c>
      <c r="AK1702" t="s">
        <v>478</v>
      </c>
      <c r="AL1702" t="s">
        <v>86</v>
      </c>
      <c r="AM1702">
        <v>299700</v>
      </c>
      <c r="AN1702">
        <f t="shared" si="53"/>
        <v>296703</v>
      </c>
      <c r="AO1702" t="s">
        <v>66</v>
      </c>
      <c r="AP1702">
        <v>1</v>
      </c>
      <c r="AQ1702" t="s">
        <v>66</v>
      </c>
      <c r="AR1702">
        <v>0</v>
      </c>
      <c r="AS1702" t="s">
        <v>66</v>
      </c>
      <c r="AT1702">
        <v>0</v>
      </c>
      <c r="AU1702" t="s">
        <v>66</v>
      </c>
      <c r="AV1702">
        <v>0</v>
      </c>
      <c r="AW1702" t="s">
        <v>66</v>
      </c>
      <c r="AX1702">
        <v>0</v>
      </c>
      <c r="AY1702" t="s">
        <v>66</v>
      </c>
      <c r="AZ1702">
        <v>0</v>
      </c>
      <c r="BA1702" t="s">
        <v>66</v>
      </c>
      <c r="BB1702">
        <v>0</v>
      </c>
      <c r="BC1702">
        <v>0</v>
      </c>
      <c r="BD1702">
        <v>296703</v>
      </c>
      <c r="BE1702">
        <v>60048.57</v>
      </c>
      <c r="BF1702">
        <v>0</v>
      </c>
      <c r="BG1702" t="s">
        <v>87</v>
      </c>
      <c r="BH1702" t="s">
        <v>66</v>
      </c>
      <c r="BI1702">
        <v>0</v>
      </c>
      <c r="BJ1702" t="s">
        <v>66</v>
      </c>
      <c r="BK1702" t="s">
        <v>88</v>
      </c>
      <c r="BL1702" t="s">
        <v>66</v>
      </c>
      <c r="BM1702" t="s">
        <v>159</v>
      </c>
    </row>
    <row r="1703" spans="1:65" x14ac:dyDescent="0.25">
      <c r="A1703">
        <v>1701</v>
      </c>
      <c r="B1703" t="s">
        <v>1774</v>
      </c>
      <c r="C1703" t="s">
        <v>68</v>
      </c>
      <c r="D1703" s="1">
        <v>46225</v>
      </c>
      <c r="E1703" t="s">
        <v>1775</v>
      </c>
      <c r="F1703" t="s">
        <v>68</v>
      </c>
      <c r="G1703" t="s">
        <v>295</v>
      </c>
      <c r="H1703" t="s">
        <v>296</v>
      </c>
      <c r="I1703" t="s">
        <v>71</v>
      </c>
      <c r="J1703" t="s">
        <v>72</v>
      </c>
      <c r="K1703" t="s">
        <v>73</v>
      </c>
      <c r="L1703" t="s">
        <v>74</v>
      </c>
      <c r="M1703" t="s">
        <v>503</v>
      </c>
      <c r="N1703" t="s">
        <v>111</v>
      </c>
      <c r="O1703" t="s">
        <v>504</v>
      </c>
      <c r="P1703" t="s">
        <v>505</v>
      </c>
      <c r="Q1703" t="s">
        <v>1776</v>
      </c>
      <c r="R1703" s="1">
        <v>46226</v>
      </c>
      <c r="S1703" t="s">
        <v>507</v>
      </c>
      <c r="T1703" t="s">
        <v>508</v>
      </c>
      <c r="U1703" t="s">
        <v>509</v>
      </c>
      <c r="V1703" t="s">
        <v>66</v>
      </c>
      <c r="W1703" t="s">
        <v>66</v>
      </c>
      <c r="X1703">
        <v>1787049</v>
      </c>
      <c r="Y1703">
        <v>196575.39</v>
      </c>
      <c r="Z1703">
        <v>392040</v>
      </c>
      <c r="AA1703">
        <v>43124.4</v>
      </c>
      <c r="AB1703">
        <v>1983624.39</v>
      </c>
      <c r="AC1703">
        <v>1</v>
      </c>
      <c r="AD1703" t="s">
        <v>134</v>
      </c>
      <c r="AE1703">
        <v>24</v>
      </c>
      <c r="AF1703" t="s">
        <v>205</v>
      </c>
      <c r="AG1703">
        <f>IFERROR(VLOOKUP(AF1703,[1]STOK!J:O,6,0),"")</f>
        <v>24</v>
      </c>
      <c r="AH1703" s="2">
        <f t="shared" si="52"/>
        <v>1</v>
      </c>
      <c r="AI1703" t="s">
        <v>205</v>
      </c>
      <c r="AJ1703" t="s">
        <v>206</v>
      </c>
      <c r="AK1703" t="s">
        <v>207</v>
      </c>
      <c r="AL1703" t="s">
        <v>86</v>
      </c>
      <c r="AM1703">
        <v>439560</v>
      </c>
      <c r="AN1703">
        <f t="shared" si="53"/>
        <v>435164.4</v>
      </c>
      <c r="AO1703" t="s">
        <v>66</v>
      </c>
      <c r="AP1703">
        <v>1</v>
      </c>
      <c r="AQ1703" t="s">
        <v>66</v>
      </c>
      <c r="AR1703">
        <v>0</v>
      </c>
      <c r="AS1703" t="s">
        <v>66</v>
      </c>
      <c r="AT1703">
        <v>0</v>
      </c>
      <c r="AU1703" t="s">
        <v>66</v>
      </c>
      <c r="AV1703">
        <v>0</v>
      </c>
      <c r="AW1703" t="s">
        <v>66</v>
      </c>
      <c r="AX1703">
        <v>0</v>
      </c>
      <c r="AY1703" t="s">
        <v>66</v>
      </c>
      <c r="AZ1703">
        <v>0</v>
      </c>
      <c r="BA1703" t="s">
        <v>66</v>
      </c>
      <c r="BB1703">
        <v>0</v>
      </c>
      <c r="BC1703">
        <v>0</v>
      </c>
      <c r="BD1703">
        <v>435164.4</v>
      </c>
      <c r="BE1703">
        <v>14892.95</v>
      </c>
      <c r="BF1703">
        <v>0</v>
      </c>
      <c r="BG1703" t="s">
        <v>87</v>
      </c>
      <c r="BH1703" t="s">
        <v>66</v>
      </c>
      <c r="BI1703">
        <v>0</v>
      </c>
      <c r="BJ1703" t="s">
        <v>66</v>
      </c>
      <c r="BK1703" t="s">
        <v>88</v>
      </c>
      <c r="BL1703" t="s">
        <v>66</v>
      </c>
      <c r="BM1703" t="s">
        <v>159</v>
      </c>
    </row>
    <row r="1704" spans="1:65" x14ac:dyDescent="0.25">
      <c r="A1704">
        <v>1702</v>
      </c>
      <c r="B1704" t="s">
        <v>1774</v>
      </c>
      <c r="C1704" t="s">
        <v>68</v>
      </c>
      <c r="D1704" s="1">
        <v>46225</v>
      </c>
      <c r="E1704" t="s">
        <v>1775</v>
      </c>
      <c r="F1704" t="s">
        <v>68</v>
      </c>
      <c r="G1704" t="s">
        <v>295</v>
      </c>
      <c r="H1704" t="s">
        <v>296</v>
      </c>
      <c r="I1704" t="s">
        <v>71</v>
      </c>
      <c r="J1704" t="s">
        <v>72</v>
      </c>
      <c r="K1704" t="s">
        <v>73</v>
      </c>
      <c r="L1704" t="s">
        <v>74</v>
      </c>
      <c r="M1704" t="s">
        <v>503</v>
      </c>
      <c r="N1704" t="s">
        <v>111</v>
      </c>
      <c r="O1704" t="s">
        <v>504</v>
      </c>
      <c r="P1704" t="s">
        <v>505</v>
      </c>
      <c r="Q1704" t="s">
        <v>1776</v>
      </c>
      <c r="R1704" s="1">
        <v>46226</v>
      </c>
      <c r="S1704" t="s">
        <v>507</v>
      </c>
      <c r="T1704" t="s">
        <v>508</v>
      </c>
      <c r="U1704" t="s">
        <v>509</v>
      </c>
      <c r="V1704" t="s">
        <v>66</v>
      </c>
      <c r="W1704" t="s">
        <v>66</v>
      </c>
      <c r="X1704">
        <v>1787049</v>
      </c>
      <c r="Y1704">
        <v>196575.39</v>
      </c>
      <c r="Z1704">
        <v>392040</v>
      </c>
      <c r="AA1704">
        <v>43124.4</v>
      </c>
      <c r="AB1704">
        <v>1983624.39</v>
      </c>
      <c r="AC1704">
        <v>1</v>
      </c>
      <c r="AD1704" t="s">
        <v>134</v>
      </c>
      <c r="AE1704">
        <v>24</v>
      </c>
      <c r="AF1704" t="s">
        <v>99</v>
      </c>
      <c r="AG1704">
        <f>IFERROR(VLOOKUP(AF1704,[1]STOK!J:O,6,0),"")</f>
        <v>24</v>
      </c>
      <c r="AH1704" s="2">
        <f t="shared" si="52"/>
        <v>1</v>
      </c>
      <c r="AI1704" t="s">
        <v>99</v>
      </c>
      <c r="AJ1704" t="s">
        <v>100</v>
      </c>
      <c r="AK1704" t="s">
        <v>101</v>
      </c>
      <c r="AL1704" t="s">
        <v>86</v>
      </c>
      <c r="AM1704">
        <v>439560</v>
      </c>
      <c r="AN1704">
        <f t="shared" si="53"/>
        <v>435164.4</v>
      </c>
      <c r="AO1704" t="s">
        <v>66</v>
      </c>
      <c r="AP1704">
        <v>1</v>
      </c>
      <c r="AQ1704" t="s">
        <v>66</v>
      </c>
      <c r="AR1704">
        <v>0</v>
      </c>
      <c r="AS1704" t="s">
        <v>66</v>
      </c>
      <c r="AT1704">
        <v>0</v>
      </c>
      <c r="AU1704" t="s">
        <v>66</v>
      </c>
      <c r="AV1704">
        <v>0</v>
      </c>
      <c r="AW1704" t="s">
        <v>66</v>
      </c>
      <c r="AX1704">
        <v>0</v>
      </c>
      <c r="AY1704" t="s">
        <v>66</v>
      </c>
      <c r="AZ1704">
        <v>0</v>
      </c>
      <c r="BA1704" t="s">
        <v>66</v>
      </c>
      <c r="BB1704">
        <v>0</v>
      </c>
      <c r="BC1704">
        <v>0</v>
      </c>
      <c r="BD1704">
        <v>435164.4</v>
      </c>
      <c r="BE1704">
        <v>14920.37</v>
      </c>
      <c r="BF1704">
        <v>0</v>
      </c>
      <c r="BG1704" t="s">
        <v>87</v>
      </c>
      <c r="BH1704" t="s">
        <v>66</v>
      </c>
      <c r="BI1704">
        <v>0</v>
      </c>
      <c r="BJ1704" t="s">
        <v>66</v>
      </c>
      <c r="BK1704" t="s">
        <v>88</v>
      </c>
      <c r="BL1704" t="s">
        <v>66</v>
      </c>
      <c r="BM1704" t="s">
        <v>159</v>
      </c>
    </row>
    <row r="1705" spans="1:65" x14ac:dyDescent="0.25">
      <c r="A1705">
        <v>1703</v>
      </c>
      <c r="B1705" t="s">
        <v>1774</v>
      </c>
      <c r="C1705" t="s">
        <v>68</v>
      </c>
      <c r="D1705" s="1">
        <v>46225</v>
      </c>
      <c r="E1705" t="s">
        <v>1775</v>
      </c>
      <c r="F1705" t="s">
        <v>68</v>
      </c>
      <c r="G1705" t="s">
        <v>295</v>
      </c>
      <c r="H1705" t="s">
        <v>296</v>
      </c>
      <c r="I1705" t="s">
        <v>71</v>
      </c>
      <c r="J1705" t="s">
        <v>72</v>
      </c>
      <c r="K1705" t="s">
        <v>73</v>
      </c>
      <c r="L1705" t="s">
        <v>74</v>
      </c>
      <c r="M1705" t="s">
        <v>503</v>
      </c>
      <c r="N1705" t="s">
        <v>111</v>
      </c>
      <c r="O1705" t="s">
        <v>504</v>
      </c>
      <c r="P1705" t="s">
        <v>505</v>
      </c>
      <c r="Q1705" t="s">
        <v>1776</v>
      </c>
      <c r="R1705" s="1">
        <v>46226</v>
      </c>
      <c r="S1705" t="s">
        <v>507</v>
      </c>
      <c r="T1705" t="s">
        <v>508</v>
      </c>
      <c r="U1705" t="s">
        <v>509</v>
      </c>
      <c r="V1705" t="s">
        <v>66</v>
      </c>
      <c r="W1705" t="s">
        <v>66</v>
      </c>
      <c r="X1705">
        <v>1787049</v>
      </c>
      <c r="Y1705">
        <v>196575.39</v>
      </c>
      <c r="Z1705">
        <v>81081</v>
      </c>
      <c r="AA1705">
        <v>8918.91</v>
      </c>
      <c r="AB1705">
        <v>1983624.39</v>
      </c>
      <c r="AC1705">
        <v>3</v>
      </c>
      <c r="AD1705" t="s">
        <v>82</v>
      </c>
      <c r="AE1705">
        <v>3</v>
      </c>
      <c r="AF1705" t="s">
        <v>563</v>
      </c>
      <c r="AG1705">
        <f>IFERROR(VLOOKUP(AF1705,[1]STOK!J:O,6,0),"")</f>
        <v>12</v>
      </c>
      <c r="AH1705" s="2">
        <f t="shared" si="52"/>
        <v>0.25</v>
      </c>
      <c r="AI1705" t="s">
        <v>563</v>
      </c>
      <c r="AJ1705" t="s">
        <v>564</v>
      </c>
      <c r="AK1705" t="s">
        <v>565</v>
      </c>
      <c r="AL1705" t="s">
        <v>86</v>
      </c>
      <c r="AM1705">
        <v>30303</v>
      </c>
      <c r="AN1705">
        <f t="shared" si="53"/>
        <v>29999.97</v>
      </c>
      <c r="AO1705" t="s">
        <v>66</v>
      </c>
      <c r="AP1705">
        <v>1</v>
      </c>
      <c r="AQ1705" t="s">
        <v>66</v>
      </c>
      <c r="AR1705">
        <v>0</v>
      </c>
      <c r="AS1705" t="s">
        <v>66</v>
      </c>
      <c r="AT1705">
        <v>0</v>
      </c>
      <c r="AU1705" t="s">
        <v>66</v>
      </c>
      <c r="AV1705">
        <v>0</v>
      </c>
      <c r="AW1705" t="s">
        <v>66</v>
      </c>
      <c r="AX1705">
        <v>0</v>
      </c>
      <c r="AY1705" t="s">
        <v>66</v>
      </c>
      <c r="AZ1705">
        <v>0</v>
      </c>
      <c r="BA1705" t="s">
        <v>66</v>
      </c>
      <c r="BB1705">
        <v>0</v>
      </c>
      <c r="BC1705">
        <v>0</v>
      </c>
      <c r="BD1705">
        <v>89999.91</v>
      </c>
      <c r="BE1705">
        <v>24645.54</v>
      </c>
      <c r="BF1705">
        <v>0</v>
      </c>
      <c r="BG1705" t="s">
        <v>87</v>
      </c>
      <c r="BH1705" t="s">
        <v>66</v>
      </c>
      <c r="BI1705">
        <v>0</v>
      </c>
      <c r="BJ1705" t="s">
        <v>66</v>
      </c>
      <c r="BK1705" t="s">
        <v>88</v>
      </c>
      <c r="BL1705" t="s">
        <v>66</v>
      </c>
      <c r="BM1705" t="s">
        <v>159</v>
      </c>
    </row>
    <row r="1706" spans="1:65" x14ac:dyDescent="0.25">
      <c r="A1706">
        <v>1704</v>
      </c>
      <c r="B1706" t="s">
        <v>1774</v>
      </c>
      <c r="C1706" t="s">
        <v>68</v>
      </c>
      <c r="D1706" s="1">
        <v>46225</v>
      </c>
      <c r="E1706" t="s">
        <v>1775</v>
      </c>
      <c r="F1706" t="s">
        <v>68</v>
      </c>
      <c r="G1706" t="s">
        <v>295</v>
      </c>
      <c r="H1706" t="s">
        <v>296</v>
      </c>
      <c r="I1706" t="s">
        <v>71</v>
      </c>
      <c r="J1706" t="s">
        <v>72</v>
      </c>
      <c r="K1706" t="s">
        <v>73</v>
      </c>
      <c r="L1706" t="s">
        <v>74</v>
      </c>
      <c r="M1706" t="s">
        <v>503</v>
      </c>
      <c r="N1706" t="s">
        <v>111</v>
      </c>
      <c r="O1706" t="s">
        <v>504</v>
      </c>
      <c r="P1706" t="s">
        <v>505</v>
      </c>
      <c r="Q1706" t="s">
        <v>1776</v>
      </c>
      <c r="R1706" s="1">
        <v>46226</v>
      </c>
      <c r="S1706" t="s">
        <v>507</v>
      </c>
      <c r="T1706" t="s">
        <v>508</v>
      </c>
      <c r="U1706" t="s">
        <v>509</v>
      </c>
      <c r="V1706" t="s">
        <v>66</v>
      </c>
      <c r="W1706" t="s">
        <v>66</v>
      </c>
      <c r="X1706">
        <v>1787049</v>
      </c>
      <c r="Y1706">
        <v>196575.39</v>
      </c>
      <c r="Z1706">
        <v>460944</v>
      </c>
      <c r="AA1706">
        <v>50703.839999999997</v>
      </c>
      <c r="AB1706">
        <v>1983624.39</v>
      </c>
      <c r="AC1706">
        <v>1</v>
      </c>
      <c r="AD1706" t="s">
        <v>134</v>
      </c>
      <c r="AE1706">
        <v>24</v>
      </c>
      <c r="AF1706" t="s">
        <v>470</v>
      </c>
      <c r="AG1706">
        <f>IFERROR(VLOOKUP(AF1706,[1]STOK!J:O,6,0),"")</f>
        <v>24</v>
      </c>
      <c r="AH1706" s="2">
        <f t="shared" si="52"/>
        <v>1</v>
      </c>
      <c r="AI1706" t="s">
        <v>470</v>
      </c>
      <c r="AJ1706" t="s">
        <v>471</v>
      </c>
      <c r="AK1706" t="s">
        <v>472</v>
      </c>
      <c r="AL1706" t="s">
        <v>86</v>
      </c>
      <c r="AM1706">
        <v>516816</v>
      </c>
      <c r="AN1706">
        <f t="shared" si="53"/>
        <v>511647.84</v>
      </c>
      <c r="AO1706" t="s">
        <v>66</v>
      </c>
      <c r="AP1706">
        <v>1</v>
      </c>
      <c r="AQ1706" t="s">
        <v>66</v>
      </c>
      <c r="AR1706">
        <v>0</v>
      </c>
      <c r="AS1706" t="s">
        <v>66</v>
      </c>
      <c r="AT1706">
        <v>0</v>
      </c>
      <c r="AU1706" t="s">
        <v>66</v>
      </c>
      <c r="AV1706">
        <v>0</v>
      </c>
      <c r="AW1706" t="s">
        <v>66</v>
      </c>
      <c r="AX1706">
        <v>0</v>
      </c>
      <c r="AY1706" t="s">
        <v>66</v>
      </c>
      <c r="AZ1706">
        <v>0</v>
      </c>
      <c r="BA1706" t="s">
        <v>66</v>
      </c>
      <c r="BB1706">
        <v>0</v>
      </c>
      <c r="BC1706">
        <v>0</v>
      </c>
      <c r="BD1706">
        <v>511647.84</v>
      </c>
      <c r="BE1706">
        <v>17512.650000000001</v>
      </c>
      <c r="BF1706">
        <v>0</v>
      </c>
      <c r="BG1706" t="s">
        <v>87</v>
      </c>
      <c r="BH1706" t="s">
        <v>66</v>
      </c>
      <c r="BI1706">
        <v>0</v>
      </c>
      <c r="BJ1706" t="s">
        <v>66</v>
      </c>
      <c r="BK1706" t="s">
        <v>88</v>
      </c>
      <c r="BL1706" t="s">
        <v>66</v>
      </c>
      <c r="BM1706" t="s">
        <v>159</v>
      </c>
    </row>
    <row r="1707" spans="1:65" x14ac:dyDescent="0.25">
      <c r="A1707">
        <v>1705</v>
      </c>
      <c r="B1707" t="s">
        <v>1774</v>
      </c>
      <c r="C1707" t="s">
        <v>68</v>
      </c>
      <c r="D1707" s="1">
        <v>46225</v>
      </c>
      <c r="E1707" t="s">
        <v>1775</v>
      </c>
      <c r="F1707" t="s">
        <v>68</v>
      </c>
      <c r="G1707" t="s">
        <v>295</v>
      </c>
      <c r="H1707" t="s">
        <v>296</v>
      </c>
      <c r="I1707" t="s">
        <v>71</v>
      </c>
      <c r="J1707" t="s">
        <v>72</v>
      </c>
      <c r="K1707" t="s">
        <v>73</v>
      </c>
      <c r="L1707" t="s">
        <v>74</v>
      </c>
      <c r="M1707" t="s">
        <v>503</v>
      </c>
      <c r="N1707" t="s">
        <v>111</v>
      </c>
      <c r="O1707" t="s">
        <v>504</v>
      </c>
      <c r="P1707" t="s">
        <v>505</v>
      </c>
      <c r="Q1707" t="s">
        <v>1776</v>
      </c>
      <c r="R1707" s="1">
        <v>46226</v>
      </c>
      <c r="S1707" t="s">
        <v>507</v>
      </c>
      <c r="T1707" t="s">
        <v>508</v>
      </c>
      <c r="U1707" t="s">
        <v>509</v>
      </c>
      <c r="V1707" t="s">
        <v>66</v>
      </c>
      <c r="W1707" t="s">
        <v>66</v>
      </c>
      <c r="X1707">
        <v>1787049</v>
      </c>
      <c r="Y1707">
        <v>196575.39</v>
      </c>
      <c r="Z1707">
        <v>460944</v>
      </c>
      <c r="AA1707">
        <v>50703.839999999997</v>
      </c>
      <c r="AB1707">
        <v>1983624.39</v>
      </c>
      <c r="AC1707">
        <v>1</v>
      </c>
      <c r="AD1707" t="s">
        <v>134</v>
      </c>
      <c r="AE1707">
        <v>24</v>
      </c>
      <c r="AF1707" t="s">
        <v>281</v>
      </c>
      <c r="AG1707">
        <f>IFERROR(VLOOKUP(AF1707,[1]STOK!J:O,6,0),"")</f>
        <v>24</v>
      </c>
      <c r="AH1707" s="2">
        <f t="shared" si="52"/>
        <v>1</v>
      </c>
      <c r="AI1707" t="s">
        <v>281</v>
      </c>
      <c r="AJ1707" t="s">
        <v>282</v>
      </c>
      <c r="AK1707" t="s">
        <v>283</v>
      </c>
      <c r="AL1707" t="s">
        <v>86</v>
      </c>
      <c r="AM1707">
        <v>516816</v>
      </c>
      <c r="AN1707">
        <f t="shared" si="53"/>
        <v>511647.84</v>
      </c>
      <c r="AO1707" t="s">
        <v>66</v>
      </c>
      <c r="AP1707">
        <v>1</v>
      </c>
      <c r="AQ1707" t="s">
        <v>66</v>
      </c>
      <c r="AR1707">
        <v>0</v>
      </c>
      <c r="AS1707" t="s">
        <v>66</v>
      </c>
      <c r="AT1707">
        <v>0</v>
      </c>
      <c r="AU1707" t="s">
        <v>66</v>
      </c>
      <c r="AV1707">
        <v>0</v>
      </c>
      <c r="AW1707" t="s">
        <v>66</v>
      </c>
      <c r="AX1707">
        <v>0</v>
      </c>
      <c r="AY1707" t="s">
        <v>66</v>
      </c>
      <c r="AZ1707">
        <v>0</v>
      </c>
      <c r="BA1707" t="s">
        <v>66</v>
      </c>
      <c r="BB1707">
        <v>0</v>
      </c>
      <c r="BC1707">
        <v>0</v>
      </c>
      <c r="BD1707">
        <v>511647.84</v>
      </c>
      <c r="BE1707">
        <v>17424.48</v>
      </c>
      <c r="BF1707">
        <v>0</v>
      </c>
      <c r="BG1707" t="s">
        <v>87</v>
      </c>
      <c r="BH1707" t="s">
        <v>66</v>
      </c>
      <c r="BI1707">
        <v>0</v>
      </c>
      <c r="BJ1707" t="s">
        <v>66</v>
      </c>
      <c r="BK1707" t="s">
        <v>88</v>
      </c>
      <c r="BL1707" t="s">
        <v>66</v>
      </c>
      <c r="BM1707" t="s">
        <v>159</v>
      </c>
    </row>
    <row r="1708" spans="1:65" x14ac:dyDescent="0.25">
      <c r="A1708">
        <v>1706</v>
      </c>
      <c r="B1708" t="s">
        <v>1777</v>
      </c>
      <c r="C1708" t="s">
        <v>68</v>
      </c>
      <c r="D1708" s="1">
        <v>46225</v>
      </c>
      <c r="E1708" t="s">
        <v>1778</v>
      </c>
      <c r="F1708" t="s">
        <v>68</v>
      </c>
      <c r="G1708" t="s">
        <v>295</v>
      </c>
      <c r="H1708" t="s">
        <v>296</v>
      </c>
      <c r="I1708" t="s">
        <v>71</v>
      </c>
      <c r="J1708" t="s">
        <v>72</v>
      </c>
      <c r="K1708" t="s">
        <v>73</v>
      </c>
      <c r="L1708" t="s">
        <v>74</v>
      </c>
      <c r="M1708" t="s">
        <v>1779</v>
      </c>
      <c r="N1708" t="s">
        <v>76</v>
      </c>
      <c r="O1708" t="s">
        <v>1780</v>
      </c>
      <c r="P1708" t="s">
        <v>1781</v>
      </c>
      <c r="Q1708" t="s">
        <v>1782</v>
      </c>
      <c r="R1708" s="1">
        <v>46226</v>
      </c>
      <c r="S1708" t="s">
        <v>1783</v>
      </c>
      <c r="T1708" t="s">
        <v>1784</v>
      </c>
      <c r="U1708" t="s">
        <v>1785</v>
      </c>
      <c r="V1708" t="s">
        <v>66</v>
      </c>
      <c r="W1708" t="s">
        <v>66</v>
      </c>
      <c r="X1708">
        <v>1878300</v>
      </c>
      <c r="Y1708">
        <v>206613</v>
      </c>
      <c r="Z1708">
        <v>110400</v>
      </c>
      <c r="AA1708">
        <v>12144</v>
      </c>
      <c r="AB1708">
        <v>2084913</v>
      </c>
      <c r="AC1708">
        <v>6</v>
      </c>
      <c r="AD1708" t="s">
        <v>82</v>
      </c>
      <c r="AE1708">
        <v>6</v>
      </c>
      <c r="AF1708" t="s">
        <v>160</v>
      </c>
      <c r="AG1708">
        <f>IFERROR(VLOOKUP(AF1708,[1]STOK!J:O,6,0),"")</f>
        <v>12</v>
      </c>
      <c r="AH1708" s="2">
        <f t="shared" si="52"/>
        <v>0.5</v>
      </c>
      <c r="AI1708" t="s">
        <v>160</v>
      </c>
      <c r="AJ1708" t="s">
        <v>161</v>
      </c>
      <c r="AK1708" t="s">
        <v>162</v>
      </c>
      <c r="AL1708" t="s">
        <v>86</v>
      </c>
      <c r="AM1708">
        <v>20424</v>
      </c>
      <c r="AN1708">
        <f t="shared" si="53"/>
        <v>20424</v>
      </c>
      <c r="AO1708" t="s">
        <v>66</v>
      </c>
      <c r="AP1708">
        <v>0</v>
      </c>
      <c r="AQ1708" t="s">
        <v>66</v>
      </c>
      <c r="AR1708">
        <v>0</v>
      </c>
      <c r="AS1708" t="s">
        <v>66</v>
      </c>
      <c r="AT1708">
        <v>0</v>
      </c>
      <c r="AU1708" t="s">
        <v>66</v>
      </c>
      <c r="AV1708">
        <v>0</v>
      </c>
      <c r="AW1708" t="s">
        <v>66</v>
      </c>
      <c r="AX1708">
        <v>0</v>
      </c>
      <c r="AY1708" t="s">
        <v>66</v>
      </c>
      <c r="AZ1708">
        <v>0</v>
      </c>
      <c r="BA1708" t="s">
        <v>66</v>
      </c>
      <c r="BB1708">
        <v>0</v>
      </c>
      <c r="BC1708">
        <v>0</v>
      </c>
      <c r="BD1708">
        <v>122544</v>
      </c>
      <c r="BE1708">
        <v>16709.57</v>
      </c>
      <c r="BF1708">
        <v>0</v>
      </c>
      <c r="BG1708" t="s">
        <v>87</v>
      </c>
      <c r="BH1708" t="s">
        <v>66</v>
      </c>
      <c r="BI1708">
        <v>0</v>
      </c>
      <c r="BJ1708" t="s">
        <v>66</v>
      </c>
      <c r="BK1708" t="s">
        <v>88</v>
      </c>
      <c r="BL1708" t="s">
        <v>66</v>
      </c>
      <c r="BM1708" t="s">
        <v>159</v>
      </c>
    </row>
    <row r="1709" spans="1:65" x14ac:dyDescent="0.25">
      <c r="A1709">
        <v>1707</v>
      </c>
      <c r="B1709" t="s">
        <v>1777</v>
      </c>
      <c r="C1709" t="s">
        <v>68</v>
      </c>
      <c r="D1709" s="1">
        <v>46225</v>
      </c>
      <c r="E1709" t="s">
        <v>1778</v>
      </c>
      <c r="F1709" t="s">
        <v>68</v>
      </c>
      <c r="G1709" t="s">
        <v>295</v>
      </c>
      <c r="H1709" t="s">
        <v>296</v>
      </c>
      <c r="I1709" t="s">
        <v>71</v>
      </c>
      <c r="J1709" t="s">
        <v>72</v>
      </c>
      <c r="K1709" t="s">
        <v>73</v>
      </c>
      <c r="L1709" t="s">
        <v>74</v>
      </c>
      <c r="M1709" t="s">
        <v>1779</v>
      </c>
      <c r="N1709" t="s">
        <v>76</v>
      </c>
      <c r="O1709" t="s">
        <v>1780</v>
      </c>
      <c r="P1709" t="s">
        <v>1781</v>
      </c>
      <c r="Q1709" t="s">
        <v>1782</v>
      </c>
      <c r="R1709" s="1">
        <v>46226</v>
      </c>
      <c r="S1709" t="s">
        <v>1783</v>
      </c>
      <c r="T1709" t="s">
        <v>1784</v>
      </c>
      <c r="U1709" t="s">
        <v>1785</v>
      </c>
      <c r="V1709" t="s">
        <v>66</v>
      </c>
      <c r="W1709" t="s">
        <v>66</v>
      </c>
      <c r="X1709">
        <v>1878300</v>
      </c>
      <c r="Y1709">
        <v>206613</v>
      </c>
      <c r="Z1709">
        <v>110400</v>
      </c>
      <c r="AA1709">
        <v>12144</v>
      </c>
      <c r="AB1709">
        <v>2084913</v>
      </c>
      <c r="AC1709">
        <v>6</v>
      </c>
      <c r="AD1709" t="s">
        <v>82</v>
      </c>
      <c r="AE1709">
        <v>6</v>
      </c>
      <c r="AF1709" t="s">
        <v>720</v>
      </c>
      <c r="AG1709">
        <f>IFERROR(VLOOKUP(AF1709,[1]STOK!J:O,6,0),"")</f>
        <v>12</v>
      </c>
      <c r="AH1709" s="2">
        <f t="shared" si="52"/>
        <v>0.5</v>
      </c>
      <c r="AI1709" t="s">
        <v>720</v>
      </c>
      <c r="AJ1709" t="s">
        <v>721</v>
      </c>
      <c r="AK1709" t="s">
        <v>722</v>
      </c>
      <c r="AL1709" t="s">
        <v>86</v>
      </c>
      <c r="AM1709">
        <v>20424</v>
      </c>
      <c r="AN1709">
        <f t="shared" si="53"/>
        <v>20424</v>
      </c>
      <c r="AO1709" t="s">
        <v>66</v>
      </c>
      <c r="AP1709">
        <v>0</v>
      </c>
      <c r="AQ1709" t="s">
        <v>66</v>
      </c>
      <c r="AR1709">
        <v>0</v>
      </c>
      <c r="AS1709" t="s">
        <v>66</v>
      </c>
      <c r="AT1709">
        <v>0</v>
      </c>
      <c r="AU1709" t="s">
        <v>66</v>
      </c>
      <c r="AV1709">
        <v>0</v>
      </c>
      <c r="AW1709" t="s">
        <v>66</v>
      </c>
      <c r="AX1709">
        <v>0</v>
      </c>
      <c r="AY1709" t="s">
        <v>66</v>
      </c>
      <c r="AZ1709">
        <v>0</v>
      </c>
      <c r="BA1709" t="s">
        <v>66</v>
      </c>
      <c r="BB1709">
        <v>0</v>
      </c>
      <c r="BC1709">
        <v>0</v>
      </c>
      <c r="BD1709">
        <v>122544</v>
      </c>
      <c r="BE1709">
        <v>16667.84</v>
      </c>
      <c r="BF1709">
        <v>0</v>
      </c>
      <c r="BG1709" t="s">
        <v>87</v>
      </c>
      <c r="BH1709" t="s">
        <v>66</v>
      </c>
      <c r="BI1709">
        <v>0</v>
      </c>
      <c r="BJ1709" t="s">
        <v>66</v>
      </c>
      <c r="BK1709" t="s">
        <v>88</v>
      </c>
      <c r="BL1709" t="s">
        <v>66</v>
      </c>
      <c r="BM1709" t="s">
        <v>159</v>
      </c>
    </row>
    <row r="1710" spans="1:65" x14ac:dyDescent="0.25">
      <c r="A1710">
        <v>1708</v>
      </c>
      <c r="B1710" t="s">
        <v>1777</v>
      </c>
      <c r="C1710" t="s">
        <v>68</v>
      </c>
      <c r="D1710" s="1">
        <v>46225</v>
      </c>
      <c r="E1710" t="s">
        <v>1778</v>
      </c>
      <c r="F1710" t="s">
        <v>68</v>
      </c>
      <c r="G1710" t="s">
        <v>295</v>
      </c>
      <c r="H1710" t="s">
        <v>296</v>
      </c>
      <c r="I1710" t="s">
        <v>71</v>
      </c>
      <c r="J1710" t="s">
        <v>72</v>
      </c>
      <c r="K1710" t="s">
        <v>73</v>
      </c>
      <c r="L1710" t="s">
        <v>74</v>
      </c>
      <c r="M1710" t="s">
        <v>1779</v>
      </c>
      <c r="N1710" t="s">
        <v>76</v>
      </c>
      <c r="O1710" t="s">
        <v>1780</v>
      </c>
      <c r="P1710" t="s">
        <v>1781</v>
      </c>
      <c r="Q1710" t="s">
        <v>1782</v>
      </c>
      <c r="R1710" s="1">
        <v>46226</v>
      </c>
      <c r="S1710" t="s">
        <v>1783</v>
      </c>
      <c r="T1710" t="s">
        <v>1784</v>
      </c>
      <c r="U1710" t="s">
        <v>1785</v>
      </c>
      <c r="V1710" t="s">
        <v>66</v>
      </c>
      <c r="W1710" t="s">
        <v>66</v>
      </c>
      <c r="X1710">
        <v>1878300</v>
      </c>
      <c r="Y1710">
        <v>206613</v>
      </c>
      <c r="Z1710">
        <v>110400</v>
      </c>
      <c r="AA1710">
        <v>12144</v>
      </c>
      <c r="AB1710">
        <v>2084913</v>
      </c>
      <c r="AC1710">
        <v>6</v>
      </c>
      <c r="AD1710" t="s">
        <v>82</v>
      </c>
      <c r="AE1710">
        <v>6</v>
      </c>
      <c r="AF1710" t="s">
        <v>116</v>
      </c>
      <c r="AG1710">
        <f>IFERROR(VLOOKUP(AF1710,[1]STOK!J:O,6,0),"")</f>
        <v>12</v>
      </c>
      <c r="AH1710" s="2">
        <f t="shared" si="52"/>
        <v>0.5</v>
      </c>
      <c r="AI1710" t="s">
        <v>116</v>
      </c>
      <c r="AJ1710" t="s">
        <v>117</v>
      </c>
      <c r="AK1710" t="s">
        <v>118</v>
      </c>
      <c r="AL1710" t="s">
        <v>86</v>
      </c>
      <c r="AM1710">
        <v>20424</v>
      </c>
      <c r="AN1710">
        <f t="shared" si="53"/>
        <v>20424</v>
      </c>
      <c r="AO1710" t="s">
        <v>66</v>
      </c>
      <c r="AP1710">
        <v>0</v>
      </c>
      <c r="AQ1710" t="s">
        <v>66</v>
      </c>
      <c r="AR1710">
        <v>0</v>
      </c>
      <c r="AS1710" t="s">
        <v>66</v>
      </c>
      <c r="AT1710">
        <v>0</v>
      </c>
      <c r="AU1710" t="s">
        <v>66</v>
      </c>
      <c r="AV1710">
        <v>0</v>
      </c>
      <c r="AW1710" t="s">
        <v>66</v>
      </c>
      <c r="AX1710">
        <v>0</v>
      </c>
      <c r="AY1710" t="s">
        <v>66</v>
      </c>
      <c r="AZ1710">
        <v>0</v>
      </c>
      <c r="BA1710" t="s">
        <v>66</v>
      </c>
      <c r="BB1710">
        <v>0</v>
      </c>
      <c r="BC1710">
        <v>0</v>
      </c>
      <c r="BD1710">
        <v>122544</v>
      </c>
      <c r="BE1710">
        <v>16641.740000000002</v>
      </c>
      <c r="BF1710">
        <v>0</v>
      </c>
      <c r="BG1710" t="s">
        <v>87</v>
      </c>
      <c r="BH1710" t="s">
        <v>66</v>
      </c>
      <c r="BI1710">
        <v>0</v>
      </c>
      <c r="BJ1710" t="s">
        <v>66</v>
      </c>
      <c r="BK1710" t="s">
        <v>88</v>
      </c>
      <c r="BL1710" t="s">
        <v>66</v>
      </c>
      <c r="BM1710" t="s">
        <v>159</v>
      </c>
    </row>
    <row r="1711" spans="1:65" x14ac:dyDescent="0.25">
      <c r="A1711">
        <v>1709</v>
      </c>
      <c r="B1711" t="s">
        <v>1777</v>
      </c>
      <c r="C1711" t="s">
        <v>68</v>
      </c>
      <c r="D1711" s="1">
        <v>46225</v>
      </c>
      <c r="E1711" t="s">
        <v>1778</v>
      </c>
      <c r="F1711" t="s">
        <v>68</v>
      </c>
      <c r="G1711" t="s">
        <v>295</v>
      </c>
      <c r="H1711" t="s">
        <v>296</v>
      </c>
      <c r="I1711" t="s">
        <v>71</v>
      </c>
      <c r="J1711" t="s">
        <v>72</v>
      </c>
      <c r="K1711" t="s">
        <v>73</v>
      </c>
      <c r="L1711" t="s">
        <v>74</v>
      </c>
      <c r="M1711" t="s">
        <v>1779</v>
      </c>
      <c r="N1711" t="s">
        <v>76</v>
      </c>
      <c r="O1711" t="s">
        <v>1780</v>
      </c>
      <c r="P1711" t="s">
        <v>1781</v>
      </c>
      <c r="Q1711" t="s">
        <v>1782</v>
      </c>
      <c r="R1711" s="1">
        <v>46226</v>
      </c>
      <c r="S1711" t="s">
        <v>1783</v>
      </c>
      <c r="T1711" t="s">
        <v>1784</v>
      </c>
      <c r="U1711" t="s">
        <v>1785</v>
      </c>
      <c r="V1711" t="s">
        <v>66</v>
      </c>
      <c r="W1711" t="s">
        <v>66</v>
      </c>
      <c r="X1711">
        <v>1878300</v>
      </c>
      <c r="Y1711">
        <v>206613</v>
      </c>
      <c r="Z1711">
        <v>22200</v>
      </c>
      <c r="AA1711">
        <v>2442</v>
      </c>
      <c r="AB1711">
        <v>2084913</v>
      </c>
      <c r="AC1711">
        <v>3</v>
      </c>
      <c r="AD1711" t="s">
        <v>82</v>
      </c>
      <c r="AE1711">
        <v>3</v>
      </c>
      <c r="AF1711" t="s">
        <v>262</v>
      </c>
      <c r="AG1711">
        <f>IFERROR(VLOOKUP(AF1711,[1]STOK!J:O,6,0),"")</f>
        <v>24</v>
      </c>
      <c r="AH1711" s="2">
        <f t="shared" si="52"/>
        <v>0.125</v>
      </c>
      <c r="AI1711" t="s">
        <v>262</v>
      </c>
      <c r="AJ1711" t="s">
        <v>263</v>
      </c>
      <c r="AK1711" t="s">
        <v>264</v>
      </c>
      <c r="AL1711" t="s">
        <v>86</v>
      </c>
      <c r="AM1711">
        <v>8214</v>
      </c>
      <c r="AN1711">
        <f t="shared" si="53"/>
        <v>8214</v>
      </c>
      <c r="AO1711" t="s">
        <v>66</v>
      </c>
      <c r="AP1711">
        <v>0</v>
      </c>
      <c r="AQ1711" t="s">
        <v>66</v>
      </c>
      <c r="AR1711">
        <v>0</v>
      </c>
      <c r="AS1711" t="s">
        <v>66</v>
      </c>
      <c r="AT1711">
        <v>0</v>
      </c>
      <c r="AU1711" t="s">
        <v>66</v>
      </c>
      <c r="AV1711">
        <v>0</v>
      </c>
      <c r="AW1711" t="s">
        <v>66</v>
      </c>
      <c r="AX1711">
        <v>0</v>
      </c>
      <c r="AY1711" t="s">
        <v>66</v>
      </c>
      <c r="AZ1711">
        <v>0</v>
      </c>
      <c r="BA1711" t="s">
        <v>66</v>
      </c>
      <c r="BB1711">
        <v>0</v>
      </c>
      <c r="BC1711">
        <v>0</v>
      </c>
      <c r="BD1711">
        <v>24642</v>
      </c>
      <c r="BE1711">
        <v>6681.53</v>
      </c>
      <c r="BF1711">
        <v>0</v>
      </c>
      <c r="BG1711" t="s">
        <v>87</v>
      </c>
      <c r="BH1711" t="s">
        <v>66</v>
      </c>
      <c r="BI1711">
        <v>0</v>
      </c>
      <c r="BJ1711" t="s">
        <v>66</v>
      </c>
      <c r="BK1711" t="s">
        <v>88</v>
      </c>
      <c r="BL1711" t="s">
        <v>66</v>
      </c>
      <c r="BM1711" t="s">
        <v>159</v>
      </c>
    </row>
    <row r="1712" spans="1:65" x14ac:dyDescent="0.25">
      <c r="A1712">
        <v>1710</v>
      </c>
      <c r="B1712" t="s">
        <v>1777</v>
      </c>
      <c r="C1712" t="s">
        <v>68</v>
      </c>
      <c r="D1712" s="1">
        <v>46225</v>
      </c>
      <c r="E1712" t="s">
        <v>1778</v>
      </c>
      <c r="F1712" t="s">
        <v>68</v>
      </c>
      <c r="G1712" t="s">
        <v>295</v>
      </c>
      <c r="H1712" t="s">
        <v>296</v>
      </c>
      <c r="I1712" t="s">
        <v>71</v>
      </c>
      <c r="J1712" t="s">
        <v>72</v>
      </c>
      <c r="K1712" t="s">
        <v>73</v>
      </c>
      <c r="L1712" t="s">
        <v>74</v>
      </c>
      <c r="M1712" t="s">
        <v>1779</v>
      </c>
      <c r="N1712" t="s">
        <v>76</v>
      </c>
      <c r="O1712" t="s">
        <v>1780</v>
      </c>
      <c r="P1712" t="s">
        <v>1781</v>
      </c>
      <c r="Q1712" t="s">
        <v>1782</v>
      </c>
      <c r="R1712" s="1">
        <v>46226</v>
      </c>
      <c r="S1712" t="s">
        <v>1783</v>
      </c>
      <c r="T1712" t="s">
        <v>1784</v>
      </c>
      <c r="U1712" t="s">
        <v>1785</v>
      </c>
      <c r="V1712" t="s">
        <v>66</v>
      </c>
      <c r="W1712" t="s">
        <v>66</v>
      </c>
      <c r="X1712">
        <v>1878300</v>
      </c>
      <c r="Y1712">
        <v>206613</v>
      </c>
      <c r="Z1712">
        <v>22200</v>
      </c>
      <c r="AA1712">
        <v>2442</v>
      </c>
      <c r="AB1712">
        <v>2084913</v>
      </c>
      <c r="AC1712">
        <v>3</v>
      </c>
      <c r="AD1712" t="s">
        <v>82</v>
      </c>
      <c r="AE1712">
        <v>3</v>
      </c>
      <c r="AF1712" t="s">
        <v>265</v>
      </c>
      <c r="AG1712">
        <f>IFERROR(VLOOKUP(AF1712,[1]STOK!J:O,6,0),"")</f>
        <v>24</v>
      </c>
      <c r="AH1712" s="2">
        <f t="shared" si="52"/>
        <v>0.125</v>
      </c>
      <c r="AI1712" t="s">
        <v>265</v>
      </c>
      <c r="AJ1712" t="s">
        <v>266</v>
      </c>
      <c r="AK1712" t="s">
        <v>267</v>
      </c>
      <c r="AL1712" t="s">
        <v>86</v>
      </c>
      <c r="AM1712">
        <v>8214</v>
      </c>
      <c r="AN1712">
        <f t="shared" si="53"/>
        <v>8214</v>
      </c>
      <c r="AO1712" t="s">
        <v>66</v>
      </c>
      <c r="AP1712">
        <v>0</v>
      </c>
      <c r="AQ1712" t="s">
        <v>66</v>
      </c>
      <c r="AR1712">
        <v>0</v>
      </c>
      <c r="AS1712" t="s">
        <v>66</v>
      </c>
      <c r="AT1712">
        <v>0</v>
      </c>
      <c r="AU1712" t="s">
        <v>66</v>
      </c>
      <c r="AV1712">
        <v>0</v>
      </c>
      <c r="AW1712" t="s">
        <v>66</v>
      </c>
      <c r="AX1712">
        <v>0</v>
      </c>
      <c r="AY1712" t="s">
        <v>66</v>
      </c>
      <c r="AZ1712">
        <v>0</v>
      </c>
      <c r="BA1712" t="s">
        <v>66</v>
      </c>
      <c r="BB1712">
        <v>0</v>
      </c>
      <c r="BC1712">
        <v>0</v>
      </c>
      <c r="BD1712">
        <v>24642</v>
      </c>
      <c r="BE1712">
        <v>6447.38</v>
      </c>
      <c r="BF1712">
        <v>0</v>
      </c>
      <c r="BG1712" t="s">
        <v>87</v>
      </c>
      <c r="BH1712" t="s">
        <v>66</v>
      </c>
      <c r="BI1712">
        <v>0</v>
      </c>
      <c r="BJ1712" t="s">
        <v>66</v>
      </c>
      <c r="BK1712" t="s">
        <v>88</v>
      </c>
      <c r="BL1712" t="s">
        <v>66</v>
      </c>
      <c r="BM1712" t="s">
        <v>159</v>
      </c>
    </row>
    <row r="1713" spans="1:65" x14ac:dyDescent="0.25">
      <c r="A1713">
        <v>1711</v>
      </c>
      <c r="B1713" t="s">
        <v>1777</v>
      </c>
      <c r="C1713" t="s">
        <v>68</v>
      </c>
      <c r="D1713" s="1">
        <v>46225</v>
      </c>
      <c r="E1713" t="s">
        <v>1778</v>
      </c>
      <c r="F1713" t="s">
        <v>68</v>
      </c>
      <c r="G1713" t="s">
        <v>295</v>
      </c>
      <c r="H1713" t="s">
        <v>296</v>
      </c>
      <c r="I1713" t="s">
        <v>71</v>
      </c>
      <c r="J1713" t="s">
        <v>72</v>
      </c>
      <c r="K1713" t="s">
        <v>73</v>
      </c>
      <c r="L1713" t="s">
        <v>74</v>
      </c>
      <c r="M1713" t="s">
        <v>1779</v>
      </c>
      <c r="N1713" t="s">
        <v>76</v>
      </c>
      <c r="O1713" t="s">
        <v>1780</v>
      </c>
      <c r="P1713" t="s">
        <v>1781</v>
      </c>
      <c r="Q1713" t="s">
        <v>1782</v>
      </c>
      <c r="R1713" s="1">
        <v>46226</v>
      </c>
      <c r="S1713" t="s">
        <v>1783</v>
      </c>
      <c r="T1713" t="s">
        <v>1784</v>
      </c>
      <c r="U1713" t="s">
        <v>1785</v>
      </c>
      <c r="V1713" t="s">
        <v>66</v>
      </c>
      <c r="W1713" t="s">
        <v>66</v>
      </c>
      <c r="X1713">
        <v>1878300</v>
      </c>
      <c r="Y1713">
        <v>206613</v>
      </c>
      <c r="Z1713">
        <v>22200</v>
      </c>
      <c r="AA1713">
        <v>2442</v>
      </c>
      <c r="AB1713">
        <v>2084913</v>
      </c>
      <c r="AC1713">
        <v>3</v>
      </c>
      <c r="AD1713" t="s">
        <v>82</v>
      </c>
      <c r="AE1713">
        <v>3</v>
      </c>
      <c r="AF1713" t="s">
        <v>83</v>
      </c>
      <c r="AG1713">
        <f>IFERROR(VLOOKUP(AF1713,[1]STOK!J:O,6,0),"")</f>
        <v>24</v>
      </c>
      <c r="AH1713" s="2">
        <f t="shared" si="52"/>
        <v>0.125</v>
      </c>
      <c r="AI1713" t="s">
        <v>83</v>
      </c>
      <c r="AJ1713" t="s">
        <v>84</v>
      </c>
      <c r="AK1713" t="s">
        <v>85</v>
      </c>
      <c r="AL1713" t="s">
        <v>86</v>
      </c>
      <c r="AM1713">
        <v>8214</v>
      </c>
      <c r="AN1713">
        <f t="shared" si="53"/>
        <v>8214</v>
      </c>
      <c r="AO1713" t="s">
        <v>66</v>
      </c>
      <c r="AP1713">
        <v>0</v>
      </c>
      <c r="AQ1713" t="s">
        <v>66</v>
      </c>
      <c r="AR1713">
        <v>0</v>
      </c>
      <c r="AS1713" t="s">
        <v>66</v>
      </c>
      <c r="AT1713">
        <v>0</v>
      </c>
      <c r="AU1713" t="s">
        <v>66</v>
      </c>
      <c r="AV1713">
        <v>0</v>
      </c>
      <c r="AW1713" t="s">
        <v>66</v>
      </c>
      <c r="AX1713">
        <v>0</v>
      </c>
      <c r="AY1713" t="s">
        <v>66</v>
      </c>
      <c r="AZ1713">
        <v>0</v>
      </c>
      <c r="BA1713" t="s">
        <v>66</v>
      </c>
      <c r="BB1713">
        <v>0</v>
      </c>
      <c r="BC1713">
        <v>0</v>
      </c>
      <c r="BD1713">
        <v>24642</v>
      </c>
      <c r="BE1713">
        <v>6590.47</v>
      </c>
      <c r="BF1713">
        <v>0</v>
      </c>
      <c r="BG1713" t="s">
        <v>87</v>
      </c>
      <c r="BH1713" t="s">
        <v>66</v>
      </c>
      <c r="BI1713">
        <v>0</v>
      </c>
      <c r="BJ1713" t="s">
        <v>66</v>
      </c>
      <c r="BK1713" t="s">
        <v>88</v>
      </c>
      <c r="BL1713" t="s">
        <v>66</v>
      </c>
      <c r="BM1713" t="s">
        <v>159</v>
      </c>
    </row>
    <row r="1714" spans="1:65" x14ac:dyDescent="0.25">
      <c r="A1714">
        <v>1712</v>
      </c>
      <c r="B1714" t="s">
        <v>1777</v>
      </c>
      <c r="C1714" t="s">
        <v>68</v>
      </c>
      <c r="D1714" s="1">
        <v>46225</v>
      </c>
      <c r="E1714" t="s">
        <v>1778</v>
      </c>
      <c r="F1714" t="s">
        <v>68</v>
      </c>
      <c r="G1714" t="s">
        <v>295</v>
      </c>
      <c r="H1714" t="s">
        <v>296</v>
      </c>
      <c r="I1714" t="s">
        <v>71</v>
      </c>
      <c r="J1714" t="s">
        <v>72</v>
      </c>
      <c r="K1714" t="s">
        <v>73</v>
      </c>
      <c r="L1714" t="s">
        <v>74</v>
      </c>
      <c r="M1714" t="s">
        <v>1779</v>
      </c>
      <c r="N1714" t="s">
        <v>76</v>
      </c>
      <c r="O1714" t="s">
        <v>1780</v>
      </c>
      <c r="P1714" t="s">
        <v>1781</v>
      </c>
      <c r="Q1714" t="s">
        <v>1782</v>
      </c>
      <c r="R1714" s="1">
        <v>46226</v>
      </c>
      <c r="S1714" t="s">
        <v>1783</v>
      </c>
      <c r="T1714" t="s">
        <v>1784</v>
      </c>
      <c r="U1714" t="s">
        <v>1785</v>
      </c>
      <c r="V1714" t="s">
        <v>66</v>
      </c>
      <c r="W1714" t="s">
        <v>66</v>
      </c>
      <c r="X1714">
        <v>1878300</v>
      </c>
      <c r="Y1714">
        <v>206613</v>
      </c>
      <c r="Z1714">
        <v>30300</v>
      </c>
      <c r="AA1714">
        <v>3333</v>
      </c>
      <c r="AB1714">
        <v>2084913</v>
      </c>
      <c r="AC1714">
        <v>3</v>
      </c>
      <c r="AD1714" t="s">
        <v>82</v>
      </c>
      <c r="AE1714">
        <v>3</v>
      </c>
      <c r="AF1714" t="s">
        <v>723</v>
      </c>
      <c r="AG1714">
        <f>IFERROR(VLOOKUP(AF1714,[1]STOK!J:O,6,0),"")</f>
        <v>24</v>
      </c>
      <c r="AH1714" s="2">
        <f t="shared" si="52"/>
        <v>0.125</v>
      </c>
      <c r="AI1714" t="s">
        <v>723</v>
      </c>
      <c r="AJ1714" t="s">
        <v>724</v>
      </c>
      <c r="AK1714" t="s">
        <v>725</v>
      </c>
      <c r="AL1714" t="s">
        <v>86</v>
      </c>
      <c r="AM1714">
        <v>11211</v>
      </c>
      <c r="AN1714">
        <f t="shared" si="53"/>
        <v>11211</v>
      </c>
      <c r="AO1714" t="s">
        <v>66</v>
      </c>
      <c r="AP1714">
        <v>0</v>
      </c>
      <c r="AQ1714" t="s">
        <v>66</v>
      </c>
      <c r="AR1714">
        <v>0</v>
      </c>
      <c r="AS1714" t="s">
        <v>66</v>
      </c>
      <c r="AT1714">
        <v>0</v>
      </c>
      <c r="AU1714" t="s">
        <v>66</v>
      </c>
      <c r="AV1714">
        <v>0</v>
      </c>
      <c r="AW1714" t="s">
        <v>66</v>
      </c>
      <c r="AX1714">
        <v>0</v>
      </c>
      <c r="AY1714" t="s">
        <v>66</v>
      </c>
      <c r="AZ1714">
        <v>0</v>
      </c>
      <c r="BA1714" t="s">
        <v>66</v>
      </c>
      <c r="BB1714">
        <v>0</v>
      </c>
      <c r="BC1714">
        <v>0</v>
      </c>
      <c r="BD1714">
        <v>33633</v>
      </c>
      <c r="BE1714">
        <v>9094.83</v>
      </c>
      <c r="BF1714">
        <v>0</v>
      </c>
      <c r="BG1714" t="s">
        <v>87</v>
      </c>
      <c r="BH1714" t="s">
        <v>66</v>
      </c>
      <c r="BI1714">
        <v>0</v>
      </c>
      <c r="BJ1714" t="s">
        <v>66</v>
      </c>
      <c r="BK1714" t="s">
        <v>88</v>
      </c>
      <c r="BL1714" t="s">
        <v>66</v>
      </c>
      <c r="BM1714" t="s">
        <v>159</v>
      </c>
    </row>
    <row r="1715" spans="1:65" x14ac:dyDescent="0.25">
      <c r="A1715">
        <v>1713</v>
      </c>
      <c r="B1715" t="s">
        <v>1777</v>
      </c>
      <c r="C1715" t="s">
        <v>68</v>
      </c>
      <c r="D1715" s="1">
        <v>46225</v>
      </c>
      <c r="E1715" t="s">
        <v>1778</v>
      </c>
      <c r="F1715" t="s">
        <v>68</v>
      </c>
      <c r="G1715" t="s">
        <v>295</v>
      </c>
      <c r="H1715" t="s">
        <v>296</v>
      </c>
      <c r="I1715" t="s">
        <v>71</v>
      </c>
      <c r="J1715" t="s">
        <v>72</v>
      </c>
      <c r="K1715" t="s">
        <v>73</v>
      </c>
      <c r="L1715" t="s">
        <v>74</v>
      </c>
      <c r="M1715" t="s">
        <v>1779</v>
      </c>
      <c r="N1715" t="s">
        <v>76</v>
      </c>
      <c r="O1715" t="s">
        <v>1780</v>
      </c>
      <c r="P1715" t="s">
        <v>1781</v>
      </c>
      <c r="Q1715" t="s">
        <v>1782</v>
      </c>
      <c r="R1715" s="1">
        <v>46226</v>
      </c>
      <c r="S1715" t="s">
        <v>1783</v>
      </c>
      <c r="T1715" t="s">
        <v>1784</v>
      </c>
      <c r="U1715" t="s">
        <v>1785</v>
      </c>
      <c r="V1715" t="s">
        <v>66</v>
      </c>
      <c r="W1715" t="s">
        <v>66</v>
      </c>
      <c r="X1715">
        <v>1878300</v>
      </c>
      <c r="Y1715">
        <v>206613</v>
      </c>
      <c r="Z1715">
        <v>30300</v>
      </c>
      <c r="AA1715">
        <v>3333</v>
      </c>
      <c r="AB1715">
        <v>2084913</v>
      </c>
      <c r="AC1715">
        <v>3</v>
      </c>
      <c r="AD1715" t="s">
        <v>82</v>
      </c>
      <c r="AE1715">
        <v>3</v>
      </c>
      <c r="AF1715" t="s">
        <v>746</v>
      </c>
      <c r="AG1715">
        <f>IFERROR(VLOOKUP(AF1715,[1]STOK!J:O,6,0),"")</f>
        <v>24</v>
      </c>
      <c r="AH1715" s="2">
        <f t="shared" si="52"/>
        <v>0.125</v>
      </c>
      <c r="AI1715" t="s">
        <v>746</v>
      </c>
      <c r="AJ1715" t="s">
        <v>747</v>
      </c>
      <c r="AK1715" t="s">
        <v>748</v>
      </c>
      <c r="AL1715" t="s">
        <v>86</v>
      </c>
      <c r="AM1715">
        <v>11211</v>
      </c>
      <c r="AN1715">
        <f t="shared" si="53"/>
        <v>11211</v>
      </c>
      <c r="AO1715" t="s">
        <v>66</v>
      </c>
      <c r="AP1715">
        <v>0</v>
      </c>
      <c r="AQ1715" t="s">
        <v>66</v>
      </c>
      <c r="AR1715">
        <v>0</v>
      </c>
      <c r="AS1715" t="s">
        <v>66</v>
      </c>
      <c r="AT1715">
        <v>0</v>
      </c>
      <c r="AU1715" t="s">
        <v>66</v>
      </c>
      <c r="AV1715">
        <v>0</v>
      </c>
      <c r="AW1715" t="s">
        <v>66</v>
      </c>
      <c r="AX1715">
        <v>0</v>
      </c>
      <c r="AY1715" t="s">
        <v>66</v>
      </c>
      <c r="AZ1715">
        <v>0</v>
      </c>
      <c r="BA1715" t="s">
        <v>66</v>
      </c>
      <c r="BB1715">
        <v>0</v>
      </c>
      <c r="BC1715">
        <v>0</v>
      </c>
      <c r="BD1715">
        <v>33633</v>
      </c>
      <c r="BE1715">
        <v>9129.35</v>
      </c>
      <c r="BF1715">
        <v>0</v>
      </c>
      <c r="BG1715" t="s">
        <v>87</v>
      </c>
      <c r="BH1715" t="s">
        <v>66</v>
      </c>
      <c r="BI1715">
        <v>0</v>
      </c>
      <c r="BJ1715" t="s">
        <v>66</v>
      </c>
      <c r="BK1715" t="s">
        <v>88</v>
      </c>
      <c r="BL1715" t="s">
        <v>66</v>
      </c>
      <c r="BM1715" t="s">
        <v>159</v>
      </c>
    </row>
    <row r="1716" spans="1:65" x14ac:dyDescent="0.25">
      <c r="A1716">
        <v>1714</v>
      </c>
      <c r="B1716" t="s">
        <v>1777</v>
      </c>
      <c r="C1716" t="s">
        <v>68</v>
      </c>
      <c r="D1716" s="1">
        <v>46225</v>
      </c>
      <c r="E1716" t="s">
        <v>1778</v>
      </c>
      <c r="F1716" t="s">
        <v>68</v>
      </c>
      <c r="G1716" t="s">
        <v>295</v>
      </c>
      <c r="H1716" t="s">
        <v>296</v>
      </c>
      <c r="I1716" t="s">
        <v>71</v>
      </c>
      <c r="J1716" t="s">
        <v>72</v>
      </c>
      <c r="K1716" t="s">
        <v>73</v>
      </c>
      <c r="L1716" t="s">
        <v>74</v>
      </c>
      <c r="M1716" t="s">
        <v>1779</v>
      </c>
      <c r="N1716" t="s">
        <v>76</v>
      </c>
      <c r="O1716" t="s">
        <v>1780</v>
      </c>
      <c r="P1716" t="s">
        <v>1781</v>
      </c>
      <c r="Q1716" t="s">
        <v>1782</v>
      </c>
      <c r="R1716" s="1">
        <v>46226</v>
      </c>
      <c r="S1716" t="s">
        <v>1783</v>
      </c>
      <c r="T1716" t="s">
        <v>1784</v>
      </c>
      <c r="U1716" t="s">
        <v>1785</v>
      </c>
      <c r="V1716" t="s">
        <v>66</v>
      </c>
      <c r="W1716" t="s">
        <v>66</v>
      </c>
      <c r="X1716">
        <v>1878300</v>
      </c>
      <c r="Y1716">
        <v>206613</v>
      </c>
      <c r="Z1716">
        <v>30600</v>
      </c>
      <c r="AA1716">
        <v>3366</v>
      </c>
      <c r="AB1716">
        <v>2084913</v>
      </c>
      <c r="AC1716">
        <v>3</v>
      </c>
      <c r="AD1716" t="s">
        <v>82</v>
      </c>
      <c r="AE1716">
        <v>3</v>
      </c>
      <c r="AF1716" t="s">
        <v>670</v>
      </c>
      <c r="AG1716">
        <f>IFERROR(VLOOKUP(AF1716,[1]STOK!J:O,6,0),"")</f>
        <v>24</v>
      </c>
      <c r="AH1716" s="2">
        <f t="shared" si="52"/>
        <v>0.125</v>
      </c>
      <c r="AI1716" t="s">
        <v>670</v>
      </c>
      <c r="AJ1716" t="s">
        <v>671</v>
      </c>
      <c r="AK1716" t="s">
        <v>672</v>
      </c>
      <c r="AL1716" t="s">
        <v>86</v>
      </c>
      <c r="AM1716">
        <v>11322</v>
      </c>
      <c r="AN1716">
        <f t="shared" si="53"/>
        <v>11322</v>
      </c>
      <c r="AO1716" t="s">
        <v>66</v>
      </c>
      <c r="AP1716">
        <v>0</v>
      </c>
      <c r="AQ1716" t="s">
        <v>66</v>
      </c>
      <c r="AR1716">
        <v>0</v>
      </c>
      <c r="AS1716" t="s">
        <v>66</v>
      </c>
      <c r="AT1716">
        <v>0</v>
      </c>
      <c r="AU1716" t="s">
        <v>66</v>
      </c>
      <c r="AV1716">
        <v>0</v>
      </c>
      <c r="AW1716" t="s">
        <v>66</v>
      </c>
      <c r="AX1716">
        <v>0</v>
      </c>
      <c r="AY1716" t="s">
        <v>66</v>
      </c>
      <c r="AZ1716">
        <v>0</v>
      </c>
      <c r="BA1716" t="s">
        <v>66</v>
      </c>
      <c r="BB1716">
        <v>0</v>
      </c>
      <c r="BC1716">
        <v>0</v>
      </c>
      <c r="BD1716">
        <v>33966</v>
      </c>
      <c r="BE1716">
        <v>9199.0499999999993</v>
      </c>
      <c r="BF1716">
        <v>0</v>
      </c>
      <c r="BG1716" t="s">
        <v>87</v>
      </c>
      <c r="BH1716" t="s">
        <v>66</v>
      </c>
      <c r="BI1716">
        <v>0</v>
      </c>
      <c r="BJ1716" t="s">
        <v>66</v>
      </c>
      <c r="BK1716" t="s">
        <v>88</v>
      </c>
      <c r="BL1716" t="s">
        <v>66</v>
      </c>
      <c r="BM1716" t="s">
        <v>159</v>
      </c>
    </row>
    <row r="1717" spans="1:65" x14ac:dyDescent="0.25">
      <c r="A1717">
        <v>1715</v>
      </c>
      <c r="B1717" t="s">
        <v>1777</v>
      </c>
      <c r="C1717" t="s">
        <v>68</v>
      </c>
      <c r="D1717" s="1">
        <v>46225</v>
      </c>
      <c r="E1717" t="s">
        <v>1778</v>
      </c>
      <c r="F1717" t="s">
        <v>68</v>
      </c>
      <c r="G1717" t="s">
        <v>295</v>
      </c>
      <c r="H1717" t="s">
        <v>296</v>
      </c>
      <c r="I1717" t="s">
        <v>71</v>
      </c>
      <c r="J1717" t="s">
        <v>72</v>
      </c>
      <c r="K1717" t="s">
        <v>73</v>
      </c>
      <c r="L1717" t="s">
        <v>74</v>
      </c>
      <c r="M1717" t="s">
        <v>1779</v>
      </c>
      <c r="N1717" t="s">
        <v>76</v>
      </c>
      <c r="O1717" t="s">
        <v>1780</v>
      </c>
      <c r="P1717" t="s">
        <v>1781</v>
      </c>
      <c r="Q1717" t="s">
        <v>1782</v>
      </c>
      <c r="R1717" s="1">
        <v>46226</v>
      </c>
      <c r="S1717" t="s">
        <v>1783</v>
      </c>
      <c r="T1717" t="s">
        <v>1784</v>
      </c>
      <c r="U1717" t="s">
        <v>1785</v>
      </c>
      <c r="V1717" t="s">
        <v>66</v>
      </c>
      <c r="W1717" t="s">
        <v>66</v>
      </c>
      <c r="X1717">
        <v>1878300</v>
      </c>
      <c r="Y1717">
        <v>206613</v>
      </c>
      <c r="Z1717">
        <v>34200</v>
      </c>
      <c r="AA1717">
        <v>3762</v>
      </c>
      <c r="AB1717">
        <v>2084913</v>
      </c>
      <c r="AC1717">
        <v>6</v>
      </c>
      <c r="AD1717" t="s">
        <v>82</v>
      </c>
      <c r="AE1717">
        <v>6</v>
      </c>
      <c r="AF1717" t="s">
        <v>90</v>
      </c>
      <c r="AG1717">
        <f>IFERROR(VLOOKUP(AF1717,[1]STOK!J:O,6,0),"")</f>
        <v>48</v>
      </c>
      <c r="AH1717" s="2">
        <f t="shared" si="52"/>
        <v>0.125</v>
      </c>
      <c r="AI1717" t="s">
        <v>90</v>
      </c>
      <c r="AJ1717" t="s">
        <v>91</v>
      </c>
      <c r="AK1717" t="s">
        <v>92</v>
      </c>
      <c r="AL1717" t="s">
        <v>86</v>
      </c>
      <c r="AM1717">
        <v>6327</v>
      </c>
      <c r="AN1717">
        <f t="shared" si="53"/>
        <v>6327</v>
      </c>
      <c r="AO1717" t="s">
        <v>66</v>
      </c>
      <c r="AP1717">
        <v>0</v>
      </c>
      <c r="AQ1717" t="s">
        <v>66</v>
      </c>
      <c r="AR1717">
        <v>0</v>
      </c>
      <c r="AS1717" t="s">
        <v>66</v>
      </c>
      <c r="AT1717">
        <v>0</v>
      </c>
      <c r="AU1717" t="s">
        <v>66</v>
      </c>
      <c r="AV1717">
        <v>0</v>
      </c>
      <c r="AW1717" t="s">
        <v>66</v>
      </c>
      <c r="AX1717">
        <v>0</v>
      </c>
      <c r="AY1717" t="s">
        <v>66</v>
      </c>
      <c r="AZ1717">
        <v>0</v>
      </c>
      <c r="BA1717" t="s">
        <v>66</v>
      </c>
      <c r="BB1717">
        <v>0</v>
      </c>
      <c r="BC1717">
        <v>0</v>
      </c>
      <c r="BD1717">
        <v>37962</v>
      </c>
      <c r="BE1717">
        <v>4887.16</v>
      </c>
      <c r="BF1717">
        <v>0</v>
      </c>
      <c r="BG1717" t="s">
        <v>87</v>
      </c>
      <c r="BH1717" t="s">
        <v>66</v>
      </c>
      <c r="BI1717">
        <v>0</v>
      </c>
      <c r="BJ1717" t="s">
        <v>66</v>
      </c>
      <c r="BK1717" t="s">
        <v>88</v>
      </c>
      <c r="BL1717" t="s">
        <v>66</v>
      </c>
      <c r="BM1717" t="s">
        <v>159</v>
      </c>
    </row>
    <row r="1718" spans="1:65" x14ac:dyDescent="0.25">
      <c r="A1718">
        <v>1716</v>
      </c>
      <c r="B1718" t="s">
        <v>1777</v>
      </c>
      <c r="C1718" t="s">
        <v>68</v>
      </c>
      <c r="D1718" s="1">
        <v>46225</v>
      </c>
      <c r="E1718" t="s">
        <v>1778</v>
      </c>
      <c r="F1718" t="s">
        <v>68</v>
      </c>
      <c r="G1718" t="s">
        <v>295</v>
      </c>
      <c r="H1718" t="s">
        <v>296</v>
      </c>
      <c r="I1718" t="s">
        <v>71</v>
      </c>
      <c r="J1718" t="s">
        <v>72</v>
      </c>
      <c r="K1718" t="s">
        <v>73</v>
      </c>
      <c r="L1718" t="s">
        <v>74</v>
      </c>
      <c r="M1718" t="s">
        <v>1779</v>
      </c>
      <c r="N1718" t="s">
        <v>76</v>
      </c>
      <c r="O1718" t="s">
        <v>1780</v>
      </c>
      <c r="P1718" t="s">
        <v>1781</v>
      </c>
      <c r="Q1718" t="s">
        <v>1782</v>
      </c>
      <c r="R1718" s="1">
        <v>46226</v>
      </c>
      <c r="S1718" t="s">
        <v>1783</v>
      </c>
      <c r="T1718" t="s">
        <v>1784</v>
      </c>
      <c r="U1718" t="s">
        <v>1785</v>
      </c>
      <c r="V1718" t="s">
        <v>66</v>
      </c>
      <c r="W1718" t="s">
        <v>66</v>
      </c>
      <c r="X1718">
        <v>1878300</v>
      </c>
      <c r="Y1718">
        <v>206613</v>
      </c>
      <c r="Z1718">
        <v>34200</v>
      </c>
      <c r="AA1718">
        <v>3762</v>
      </c>
      <c r="AB1718">
        <v>2084913</v>
      </c>
      <c r="AC1718">
        <v>6</v>
      </c>
      <c r="AD1718" t="s">
        <v>82</v>
      </c>
      <c r="AE1718">
        <v>6</v>
      </c>
      <c r="AF1718" t="s">
        <v>202</v>
      </c>
      <c r="AG1718">
        <f>IFERROR(VLOOKUP(AF1718,[1]STOK!J:O,6,0),"")</f>
        <v>48</v>
      </c>
      <c r="AH1718" s="2">
        <f t="shared" si="52"/>
        <v>0.125</v>
      </c>
      <c r="AI1718" t="s">
        <v>202</v>
      </c>
      <c r="AJ1718" t="s">
        <v>203</v>
      </c>
      <c r="AK1718" t="s">
        <v>204</v>
      </c>
      <c r="AL1718" t="s">
        <v>86</v>
      </c>
      <c r="AM1718">
        <v>6327</v>
      </c>
      <c r="AN1718">
        <f t="shared" si="53"/>
        <v>6327</v>
      </c>
      <c r="AO1718" t="s">
        <v>66</v>
      </c>
      <c r="AP1718">
        <v>0</v>
      </c>
      <c r="AQ1718" t="s">
        <v>66</v>
      </c>
      <c r="AR1718">
        <v>0</v>
      </c>
      <c r="AS1718" t="s">
        <v>66</v>
      </c>
      <c r="AT1718">
        <v>0</v>
      </c>
      <c r="AU1718" t="s">
        <v>66</v>
      </c>
      <c r="AV1718">
        <v>0</v>
      </c>
      <c r="AW1718" t="s">
        <v>66</v>
      </c>
      <c r="AX1718">
        <v>0</v>
      </c>
      <c r="AY1718" t="s">
        <v>66</v>
      </c>
      <c r="AZ1718">
        <v>0</v>
      </c>
      <c r="BA1718" t="s">
        <v>66</v>
      </c>
      <c r="BB1718">
        <v>0</v>
      </c>
      <c r="BC1718">
        <v>0</v>
      </c>
      <c r="BD1718">
        <v>37962</v>
      </c>
      <c r="BE1718">
        <v>4914.4399999999996</v>
      </c>
      <c r="BF1718">
        <v>0</v>
      </c>
      <c r="BG1718" t="s">
        <v>87</v>
      </c>
      <c r="BH1718" t="s">
        <v>66</v>
      </c>
      <c r="BI1718">
        <v>0</v>
      </c>
      <c r="BJ1718" t="s">
        <v>66</v>
      </c>
      <c r="BK1718" t="s">
        <v>88</v>
      </c>
      <c r="BL1718" t="s">
        <v>66</v>
      </c>
      <c r="BM1718" t="s">
        <v>159</v>
      </c>
    </row>
    <row r="1719" spans="1:65" x14ac:dyDescent="0.25">
      <c r="A1719">
        <v>1717</v>
      </c>
      <c r="B1719" t="s">
        <v>1777</v>
      </c>
      <c r="C1719" t="s">
        <v>68</v>
      </c>
      <c r="D1719" s="1">
        <v>46225</v>
      </c>
      <c r="E1719" t="s">
        <v>1778</v>
      </c>
      <c r="F1719" t="s">
        <v>68</v>
      </c>
      <c r="G1719" t="s">
        <v>295</v>
      </c>
      <c r="H1719" t="s">
        <v>296</v>
      </c>
      <c r="I1719" t="s">
        <v>71</v>
      </c>
      <c r="J1719" t="s">
        <v>72</v>
      </c>
      <c r="K1719" t="s">
        <v>73</v>
      </c>
      <c r="L1719" t="s">
        <v>74</v>
      </c>
      <c r="M1719" t="s">
        <v>1779</v>
      </c>
      <c r="N1719" t="s">
        <v>76</v>
      </c>
      <c r="O1719" t="s">
        <v>1780</v>
      </c>
      <c r="P1719" t="s">
        <v>1781</v>
      </c>
      <c r="Q1719" t="s">
        <v>1782</v>
      </c>
      <c r="R1719" s="1">
        <v>46226</v>
      </c>
      <c r="S1719" t="s">
        <v>1783</v>
      </c>
      <c r="T1719" t="s">
        <v>1784</v>
      </c>
      <c r="U1719" t="s">
        <v>1785</v>
      </c>
      <c r="V1719" t="s">
        <v>66</v>
      </c>
      <c r="W1719" t="s">
        <v>66</v>
      </c>
      <c r="X1719">
        <v>1878300</v>
      </c>
      <c r="Y1719">
        <v>206613</v>
      </c>
      <c r="Z1719">
        <v>34200</v>
      </c>
      <c r="AA1719">
        <v>3762</v>
      </c>
      <c r="AB1719">
        <v>2084913</v>
      </c>
      <c r="AC1719">
        <v>6</v>
      </c>
      <c r="AD1719" t="s">
        <v>82</v>
      </c>
      <c r="AE1719">
        <v>6</v>
      </c>
      <c r="AF1719" t="s">
        <v>350</v>
      </c>
      <c r="AG1719">
        <f>IFERROR(VLOOKUP(AF1719,[1]STOK!J:O,6,0),"")</f>
        <v>48</v>
      </c>
      <c r="AH1719" s="2">
        <f t="shared" si="52"/>
        <v>0.125</v>
      </c>
      <c r="AI1719" t="s">
        <v>350</v>
      </c>
      <c r="AJ1719" t="s">
        <v>351</v>
      </c>
      <c r="AK1719" t="s">
        <v>352</v>
      </c>
      <c r="AL1719" t="s">
        <v>86</v>
      </c>
      <c r="AM1719">
        <v>6327</v>
      </c>
      <c r="AN1719">
        <f t="shared" si="53"/>
        <v>6327</v>
      </c>
      <c r="AO1719" t="s">
        <v>66</v>
      </c>
      <c r="AP1719">
        <v>0</v>
      </c>
      <c r="AQ1719" t="s">
        <v>66</v>
      </c>
      <c r="AR1719">
        <v>0</v>
      </c>
      <c r="AS1719" t="s">
        <v>66</v>
      </c>
      <c r="AT1719">
        <v>0</v>
      </c>
      <c r="AU1719" t="s">
        <v>66</v>
      </c>
      <c r="AV1719">
        <v>0</v>
      </c>
      <c r="AW1719" t="s">
        <v>66</v>
      </c>
      <c r="AX1719">
        <v>0</v>
      </c>
      <c r="AY1719" t="s">
        <v>66</v>
      </c>
      <c r="AZ1719">
        <v>0</v>
      </c>
      <c r="BA1719" t="s">
        <v>66</v>
      </c>
      <c r="BB1719">
        <v>0</v>
      </c>
      <c r="BC1719">
        <v>0</v>
      </c>
      <c r="BD1719">
        <v>37962</v>
      </c>
      <c r="BE1719">
        <v>4985.16</v>
      </c>
      <c r="BF1719">
        <v>0</v>
      </c>
      <c r="BG1719" t="s">
        <v>87</v>
      </c>
      <c r="BH1719" t="s">
        <v>66</v>
      </c>
      <c r="BI1719">
        <v>0</v>
      </c>
      <c r="BJ1719" t="s">
        <v>66</v>
      </c>
      <c r="BK1719" t="s">
        <v>88</v>
      </c>
      <c r="BL1719" t="s">
        <v>66</v>
      </c>
      <c r="BM1719" t="s">
        <v>159</v>
      </c>
    </row>
    <row r="1720" spans="1:65" x14ac:dyDescent="0.25">
      <c r="A1720">
        <v>1718</v>
      </c>
      <c r="B1720" t="s">
        <v>1777</v>
      </c>
      <c r="C1720" t="s">
        <v>68</v>
      </c>
      <c r="D1720" s="1">
        <v>46225</v>
      </c>
      <c r="E1720" t="s">
        <v>1778</v>
      </c>
      <c r="F1720" t="s">
        <v>68</v>
      </c>
      <c r="G1720" t="s">
        <v>295</v>
      </c>
      <c r="H1720" t="s">
        <v>296</v>
      </c>
      <c r="I1720" t="s">
        <v>71</v>
      </c>
      <c r="J1720" t="s">
        <v>72</v>
      </c>
      <c r="K1720" t="s">
        <v>73</v>
      </c>
      <c r="L1720" t="s">
        <v>74</v>
      </c>
      <c r="M1720" t="s">
        <v>1779</v>
      </c>
      <c r="N1720" t="s">
        <v>76</v>
      </c>
      <c r="O1720" t="s">
        <v>1780</v>
      </c>
      <c r="P1720" t="s">
        <v>1781</v>
      </c>
      <c r="Q1720" t="s">
        <v>1782</v>
      </c>
      <c r="R1720" s="1">
        <v>46226</v>
      </c>
      <c r="S1720" t="s">
        <v>1783</v>
      </c>
      <c r="T1720" t="s">
        <v>1784</v>
      </c>
      <c r="U1720" t="s">
        <v>1785</v>
      </c>
      <c r="V1720" t="s">
        <v>66</v>
      </c>
      <c r="W1720" t="s">
        <v>66</v>
      </c>
      <c r="X1720">
        <v>1878300</v>
      </c>
      <c r="Y1720">
        <v>206613</v>
      </c>
      <c r="Z1720">
        <v>99000</v>
      </c>
      <c r="AA1720">
        <v>10890</v>
      </c>
      <c r="AB1720">
        <v>2084913</v>
      </c>
      <c r="AC1720">
        <v>6</v>
      </c>
      <c r="AD1720" t="s">
        <v>82</v>
      </c>
      <c r="AE1720">
        <v>6</v>
      </c>
      <c r="AF1720" t="s">
        <v>128</v>
      </c>
      <c r="AG1720">
        <f>IFERROR(VLOOKUP(AF1720,[1]STOK!J:O,6,0),"")</f>
        <v>24</v>
      </c>
      <c r="AH1720" s="2">
        <f t="shared" si="52"/>
        <v>0.25</v>
      </c>
      <c r="AI1720" t="s">
        <v>128</v>
      </c>
      <c r="AJ1720" t="s">
        <v>129</v>
      </c>
      <c r="AK1720" t="s">
        <v>130</v>
      </c>
      <c r="AL1720" t="s">
        <v>86</v>
      </c>
      <c r="AM1720">
        <v>18315</v>
      </c>
      <c r="AN1720">
        <f t="shared" si="53"/>
        <v>18315</v>
      </c>
      <c r="AO1720" t="s">
        <v>66</v>
      </c>
      <c r="AP1720">
        <v>0</v>
      </c>
      <c r="AQ1720" t="s">
        <v>66</v>
      </c>
      <c r="AR1720">
        <v>0</v>
      </c>
      <c r="AS1720" t="s">
        <v>66</v>
      </c>
      <c r="AT1720">
        <v>0</v>
      </c>
      <c r="AU1720" t="s">
        <v>66</v>
      </c>
      <c r="AV1720">
        <v>0</v>
      </c>
      <c r="AW1720" t="s">
        <v>66</v>
      </c>
      <c r="AX1720">
        <v>0</v>
      </c>
      <c r="AY1720" t="s">
        <v>66</v>
      </c>
      <c r="AZ1720">
        <v>0</v>
      </c>
      <c r="BA1720" t="s">
        <v>66</v>
      </c>
      <c r="BB1720">
        <v>0</v>
      </c>
      <c r="BC1720">
        <v>0</v>
      </c>
      <c r="BD1720">
        <v>109890</v>
      </c>
      <c r="BE1720">
        <v>14828.88</v>
      </c>
      <c r="BF1720">
        <v>0</v>
      </c>
      <c r="BG1720" t="s">
        <v>87</v>
      </c>
      <c r="BH1720" t="s">
        <v>66</v>
      </c>
      <c r="BI1720">
        <v>0</v>
      </c>
      <c r="BJ1720" t="s">
        <v>66</v>
      </c>
      <c r="BK1720" t="s">
        <v>88</v>
      </c>
      <c r="BL1720" t="s">
        <v>66</v>
      </c>
      <c r="BM1720" t="s">
        <v>159</v>
      </c>
    </row>
    <row r="1721" spans="1:65" x14ac:dyDescent="0.25">
      <c r="A1721">
        <v>1719</v>
      </c>
      <c r="B1721" t="s">
        <v>1777</v>
      </c>
      <c r="C1721" t="s">
        <v>68</v>
      </c>
      <c r="D1721" s="1">
        <v>46225</v>
      </c>
      <c r="E1721" t="s">
        <v>1778</v>
      </c>
      <c r="F1721" t="s">
        <v>68</v>
      </c>
      <c r="G1721" t="s">
        <v>295</v>
      </c>
      <c r="H1721" t="s">
        <v>296</v>
      </c>
      <c r="I1721" t="s">
        <v>71</v>
      </c>
      <c r="J1721" t="s">
        <v>72</v>
      </c>
      <c r="K1721" t="s">
        <v>73</v>
      </c>
      <c r="L1721" t="s">
        <v>74</v>
      </c>
      <c r="M1721" t="s">
        <v>1779</v>
      </c>
      <c r="N1721" t="s">
        <v>76</v>
      </c>
      <c r="O1721" t="s">
        <v>1780</v>
      </c>
      <c r="P1721" t="s">
        <v>1781</v>
      </c>
      <c r="Q1721" t="s">
        <v>1782</v>
      </c>
      <c r="R1721" s="1">
        <v>46226</v>
      </c>
      <c r="S1721" t="s">
        <v>1783</v>
      </c>
      <c r="T1721" t="s">
        <v>1784</v>
      </c>
      <c r="U1721" t="s">
        <v>1785</v>
      </c>
      <c r="V1721" t="s">
        <v>66</v>
      </c>
      <c r="W1721" t="s">
        <v>66</v>
      </c>
      <c r="X1721">
        <v>1878300</v>
      </c>
      <c r="Y1721">
        <v>206613</v>
      </c>
      <c r="Z1721">
        <v>99000</v>
      </c>
      <c r="AA1721">
        <v>10890</v>
      </c>
      <c r="AB1721">
        <v>2084913</v>
      </c>
      <c r="AC1721">
        <v>6</v>
      </c>
      <c r="AD1721" t="s">
        <v>82</v>
      </c>
      <c r="AE1721">
        <v>6</v>
      </c>
      <c r="AF1721" t="s">
        <v>93</v>
      </c>
      <c r="AG1721">
        <f>IFERROR(VLOOKUP(AF1721,[1]STOK!J:O,6,0),"")</f>
        <v>24</v>
      </c>
      <c r="AH1721" s="2">
        <f t="shared" si="52"/>
        <v>0.25</v>
      </c>
      <c r="AI1721" t="s">
        <v>93</v>
      </c>
      <c r="AJ1721" t="s">
        <v>94</v>
      </c>
      <c r="AK1721" t="s">
        <v>95</v>
      </c>
      <c r="AL1721" t="s">
        <v>86</v>
      </c>
      <c r="AM1721">
        <v>18315</v>
      </c>
      <c r="AN1721">
        <f t="shared" si="53"/>
        <v>18315</v>
      </c>
      <c r="AO1721" t="s">
        <v>66</v>
      </c>
      <c r="AP1721">
        <v>0</v>
      </c>
      <c r="AQ1721" t="s">
        <v>66</v>
      </c>
      <c r="AR1721">
        <v>0</v>
      </c>
      <c r="AS1721" t="s">
        <v>66</v>
      </c>
      <c r="AT1721">
        <v>0</v>
      </c>
      <c r="AU1721" t="s">
        <v>66</v>
      </c>
      <c r="AV1721">
        <v>0</v>
      </c>
      <c r="AW1721" t="s">
        <v>66</v>
      </c>
      <c r="AX1721">
        <v>0</v>
      </c>
      <c r="AY1721" t="s">
        <v>66</v>
      </c>
      <c r="AZ1721">
        <v>0</v>
      </c>
      <c r="BA1721" t="s">
        <v>66</v>
      </c>
      <c r="BB1721">
        <v>0</v>
      </c>
      <c r="BC1721">
        <v>0</v>
      </c>
      <c r="BD1721">
        <v>109890</v>
      </c>
      <c r="BE1721">
        <v>14878.51</v>
      </c>
      <c r="BF1721">
        <v>0</v>
      </c>
      <c r="BG1721" t="s">
        <v>87</v>
      </c>
      <c r="BH1721" t="s">
        <v>66</v>
      </c>
      <c r="BI1721">
        <v>0</v>
      </c>
      <c r="BJ1721" t="s">
        <v>66</v>
      </c>
      <c r="BK1721" t="s">
        <v>88</v>
      </c>
      <c r="BL1721" t="s">
        <v>66</v>
      </c>
      <c r="BM1721" t="s">
        <v>159</v>
      </c>
    </row>
    <row r="1722" spans="1:65" x14ac:dyDescent="0.25">
      <c r="A1722">
        <v>1720</v>
      </c>
      <c r="B1722" t="s">
        <v>1777</v>
      </c>
      <c r="C1722" t="s">
        <v>68</v>
      </c>
      <c r="D1722" s="1">
        <v>46225</v>
      </c>
      <c r="E1722" t="s">
        <v>1778</v>
      </c>
      <c r="F1722" t="s">
        <v>68</v>
      </c>
      <c r="G1722" t="s">
        <v>295</v>
      </c>
      <c r="H1722" t="s">
        <v>296</v>
      </c>
      <c r="I1722" t="s">
        <v>71</v>
      </c>
      <c r="J1722" t="s">
        <v>72</v>
      </c>
      <c r="K1722" t="s">
        <v>73</v>
      </c>
      <c r="L1722" t="s">
        <v>74</v>
      </c>
      <c r="M1722" t="s">
        <v>1779</v>
      </c>
      <c r="N1722" t="s">
        <v>76</v>
      </c>
      <c r="O1722" t="s">
        <v>1780</v>
      </c>
      <c r="P1722" t="s">
        <v>1781</v>
      </c>
      <c r="Q1722" t="s">
        <v>1782</v>
      </c>
      <c r="R1722" s="1">
        <v>46226</v>
      </c>
      <c r="S1722" t="s">
        <v>1783</v>
      </c>
      <c r="T1722" t="s">
        <v>1784</v>
      </c>
      <c r="U1722" t="s">
        <v>1785</v>
      </c>
      <c r="V1722" t="s">
        <v>66</v>
      </c>
      <c r="W1722" t="s">
        <v>66</v>
      </c>
      <c r="X1722">
        <v>1878300</v>
      </c>
      <c r="Y1722">
        <v>206613</v>
      </c>
      <c r="Z1722">
        <v>99000</v>
      </c>
      <c r="AA1722">
        <v>10890</v>
      </c>
      <c r="AB1722">
        <v>2084913</v>
      </c>
      <c r="AC1722">
        <v>6</v>
      </c>
      <c r="AD1722" t="s">
        <v>82</v>
      </c>
      <c r="AE1722">
        <v>6</v>
      </c>
      <c r="AF1722" t="s">
        <v>205</v>
      </c>
      <c r="AG1722">
        <f>IFERROR(VLOOKUP(AF1722,[1]STOK!J:O,6,0),"")</f>
        <v>24</v>
      </c>
      <c r="AH1722" s="2">
        <f t="shared" si="52"/>
        <v>0.25</v>
      </c>
      <c r="AI1722" t="s">
        <v>205</v>
      </c>
      <c r="AJ1722" t="s">
        <v>206</v>
      </c>
      <c r="AK1722" t="s">
        <v>207</v>
      </c>
      <c r="AL1722" t="s">
        <v>86</v>
      </c>
      <c r="AM1722">
        <v>18315</v>
      </c>
      <c r="AN1722">
        <f t="shared" si="53"/>
        <v>18315</v>
      </c>
      <c r="AO1722" t="s">
        <v>66</v>
      </c>
      <c r="AP1722">
        <v>0</v>
      </c>
      <c r="AQ1722" t="s">
        <v>66</v>
      </c>
      <c r="AR1722">
        <v>0</v>
      </c>
      <c r="AS1722" t="s">
        <v>66</v>
      </c>
      <c r="AT1722">
        <v>0</v>
      </c>
      <c r="AU1722" t="s">
        <v>66</v>
      </c>
      <c r="AV1722">
        <v>0</v>
      </c>
      <c r="AW1722" t="s">
        <v>66</v>
      </c>
      <c r="AX1722">
        <v>0</v>
      </c>
      <c r="AY1722" t="s">
        <v>66</v>
      </c>
      <c r="AZ1722">
        <v>0</v>
      </c>
      <c r="BA1722" t="s">
        <v>66</v>
      </c>
      <c r="BB1722">
        <v>0</v>
      </c>
      <c r="BC1722">
        <v>0</v>
      </c>
      <c r="BD1722">
        <v>109890</v>
      </c>
      <c r="BE1722">
        <v>14892.95</v>
      </c>
      <c r="BF1722">
        <v>0</v>
      </c>
      <c r="BG1722" t="s">
        <v>87</v>
      </c>
      <c r="BH1722" t="s">
        <v>66</v>
      </c>
      <c r="BI1722">
        <v>0</v>
      </c>
      <c r="BJ1722" t="s">
        <v>66</v>
      </c>
      <c r="BK1722" t="s">
        <v>88</v>
      </c>
      <c r="BL1722" t="s">
        <v>66</v>
      </c>
      <c r="BM1722" t="s">
        <v>159</v>
      </c>
    </row>
    <row r="1723" spans="1:65" x14ac:dyDescent="0.25">
      <c r="A1723">
        <v>1721</v>
      </c>
      <c r="B1723" t="s">
        <v>1777</v>
      </c>
      <c r="C1723" t="s">
        <v>68</v>
      </c>
      <c r="D1723" s="1">
        <v>46225</v>
      </c>
      <c r="E1723" t="s">
        <v>1778</v>
      </c>
      <c r="F1723" t="s">
        <v>68</v>
      </c>
      <c r="G1723" t="s">
        <v>295</v>
      </c>
      <c r="H1723" t="s">
        <v>296</v>
      </c>
      <c r="I1723" t="s">
        <v>71</v>
      </c>
      <c r="J1723" t="s">
        <v>72</v>
      </c>
      <c r="K1723" t="s">
        <v>73</v>
      </c>
      <c r="L1723" t="s">
        <v>74</v>
      </c>
      <c r="M1723" t="s">
        <v>1779</v>
      </c>
      <c r="N1723" t="s">
        <v>76</v>
      </c>
      <c r="O1723" t="s">
        <v>1780</v>
      </c>
      <c r="P1723" t="s">
        <v>1781</v>
      </c>
      <c r="Q1723" t="s">
        <v>1782</v>
      </c>
      <c r="R1723" s="1">
        <v>46226</v>
      </c>
      <c r="S1723" t="s">
        <v>1783</v>
      </c>
      <c r="T1723" t="s">
        <v>1784</v>
      </c>
      <c r="U1723" t="s">
        <v>1785</v>
      </c>
      <c r="V1723" t="s">
        <v>66</v>
      </c>
      <c r="W1723" t="s">
        <v>66</v>
      </c>
      <c r="X1723">
        <v>1878300</v>
      </c>
      <c r="Y1723">
        <v>206613</v>
      </c>
      <c r="Z1723">
        <v>99000</v>
      </c>
      <c r="AA1723">
        <v>10890</v>
      </c>
      <c r="AB1723">
        <v>2084913</v>
      </c>
      <c r="AC1723">
        <v>6</v>
      </c>
      <c r="AD1723" t="s">
        <v>82</v>
      </c>
      <c r="AE1723">
        <v>6</v>
      </c>
      <c r="AF1723" t="s">
        <v>99</v>
      </c>
      <c r="AG1723">
        <f>IFERROR(VLOOKUP(AF1723,[1]STOK!J:O,6,0),"")</f>
        <v>24</v>
      </c>
      <c r="AH1723" s="2">
        <f t="shared" si="52"/>
        <v>0.25</v>
      </c>
      <c r="AI1723" t="s">
        <v>99</v>
      </c>
      <c r="AJ1723" t="s">
        <v>100</v>
      </c>
      <c r="AK1723" t="s">
        <v>101</v>
      </c>
      <c r="AL1723" t="s">
        <v>86</v>
      </c>
      <c r="AM1723">
        <v>18315</v>
      </c>
      <c r="AN1723">
        <f t="shared" si="53"/>
        <v>18315</v>
      </c>
      <c r="AO1723" t="s">
        <v>66</v>
      </c>
      <c r="AP1723">
        <v>0</v>
      </c>
      <c r="AQ1723" t="s">
        <v>66</v>
      </c>
      <c r="AR1723">
        <v>0</v>
      </c>
      <c r="AS1723" t="s">
        <v>66</v>
      </c>
      <c r="AT1723">
        <v>0</v>
      </c>
      <c r="AU1723" t="s">
        <v>66</v>
      </c>
      <c r="AV1723">
        <v>0</v>
      </c>
      <c r="AW1723" t="s">
        <v>66</v>
      </c>
      <c r="AX1723">
        <v>0</v>
      </c>
      <c r="AY1723" t="s">
        <v>66</v>
      </c>
      <c r="AZ1723">
        <v>0</v>
      </c>
      <c r="BA1723" t="s">
        <v>66</v>
      </c>
      <c r="BB1723">
        <v>0</v>
      </c>
      <c r="BC1723">
        <v>0</v>
      </c>
      <c r="BD1723">
        <v>109890</v>
      </c>
      <c r="BE1723">
        <v>14920.37</v>
      </c>
      <c r="BF1723">
        <v>0</v>
      </c>
      <c r="BG1723" t="s">
        <v>87</v>
      </c>
      <c r="BH1723" t="s">
        <v>66</v>
      </c>
      <c r="BI1723">
        <v>0</v>
      </c>
      <c r="BJ1723" t="s">
        <v>66</v>
      </c>
      <c r="BK1723" t="s">
        <v>88</v>
      </c>
      <c r="BL1723" t="s">
        <v>66</v>
      </c>
      <c r="BM1723" t="s">
        <v>159</v>
      </c>
    </row>
    <row r="1724" spans="1:65" x14ac:dyDescent="0.25">
      <c r="A1724">
        <v>1722</v>
      </c>
      <c r="B1724" t="s">
        <v>1777</v>
      </c>
      <c r="C1724" t="s">
        <v>68</v>
      </c>
      <c r="D1724" s="1">
        <v>46225</v>
      </c>
      <c r="E1724" t="s">
        <v>1778</v>
      </c>
      <c r="F1724" t="s">
        <v>68</v>
      </c>
      <c r="G1724" t="s">
        <v>295</v>
      </c>
      <c r="H1724" t="s">
        <v>296</v>
      </c>
      <c r="I1724" t="s">
        <v>71</v>
      </c>
      <c r="J1724" t="s">
        <v>72</v>
      </c>
      <c r="K1724" t="s">
        <v>73</v>
      </c>
      <c r="L1724" t="s">
        <v>74</v>
      </c>
      <c r="M1724" t="s">
        <v>1779</v>
      </c>
      <c r="N1724" t="s">
        <v>76</v>
      </c>
      <c r="O1724" t="s">
        <v>1780</v>
      </c>
      <c r="P1724" t="s">
        <v>1781</v>
      </c>
      <c r="Q1724" t="s">
        <v>1782</v>
      </c>
      <c r="R1724" s="1">
        <v>46226</v>
      </c>
      <c r="S1724" t="s">
        <v>1783</v>
      </c>
      <c r="T1724" t="s">
        <v>1784</v>
      </c>
      <c r="U1724" t="s">
        <v>1785</v>
      </c>
      <c r="V1724" t="s">
        <v>66</v>
      </c>
      <c r="W1724" t="s">
        <v>66</v>
      </c>
      <c r="X1724">
        <v>1878300</v>
      </c>
      <c r="Y1724">
        <v>206613</v>
      </c>
      <c r="Z1724">
        <v>81900</v>
      </c>
      <c r="AA1724">
        <v>9009</v>
      </c>
      <c r="AB1724">
        <v>2084913</v>
      </c>
      <c r="AC1724">
        <v>3</v>
      </c>
      <c r="AD1724" t="s">
        <v>82</v>
      </c>
      <c r="AE1724">
        <v>3</v>
      </c>
      <c r="AF1724" t="s">
        <v>593</v>
      </c>
      <c r="AG1724">
        <f>IFERROR(VLOOKUP(AF1724,[1]STOK!J:O,6,0),"")</f>
        <v>12</v>
      </c>
      <c r="AH1724" s="2">
        <f t="shared" si="52"/>
        <v>0.25</v>
      </c>
      <c r="AI1724" t="s">
        <v>593</v>
      </c>
      <c r="AJ1724" t="s">
        <v>594</v>
      </c>
      <c r="AK1724" t="s">
        <v>595</v>
      </c>
      <c r="AL1724" t="s">
        <v>86</v>
      </c>
      <c r="AM1724">
        <v>30303</v>
      </c>
      <c r="AN1724">
        <f t="shared" si="53"/>
        <v>30303</v>
      </c>
      <c r="AO1724" t="s">
        <v>66</v>
      </c>
      <c r="AP1724">
        <v>0</v>
      </c>
      <c r="AQ1724" t="s">
        <v>66</v>
      </c>
      <c r="AR1724">
        <v>0</v>
      </c>
      <c r="AS1724" t="s">
        <v>66</v>
      </c>
      <c r="AT1724">
        <v>0</v>
      </c>
      <c r="AU1724" t="s">
        <v>66</v>
      </c>
      <c r="AV1724">
        <v>0</v>
      </c>
      <c r="AW1724" t="s">
        <v>66</v>
      </c>
      <c r="AX1724">
        <v>0</v>
      </c>
      <c r="AY1724" t="s">
        <v>66</v>
      </c>
      <c r="AZ1724">
        <v>0</v>
      </c>
      <c r="BA1724" t="s">
        <v>66</v>
      </c>
      <c r="BB1724">
        <v>0</v>
      </c>
      <c r="BC1724">
        <v>0</v>
      </c>
      <c r="BD1724">
        <v>90909</v>
      </c>
      <c r="BE1724">
        <v>24612.83</v>
      </c>
      <c r="BF1724">
        <v>0</v>
      </c>
      <c r="BG1724" t="s">
        <v>87</v>
      </c>
      <c r="BH1724" t="s">
        <v>66</v>
      </c>
      <c r="BI1724">
        <v>0</v>
      </c>
      <c r="BJ1724" t="s">
        <v>66</v>
      </c>
      <c r="BK1724" t="s">
        <v>88</v>
      </c>
      <c r="BL1724" t="s">
        <v>66</v>
      </c>
      <c r="BM1724" t="s">
        <v>159</v>
      </c>
    </row>
    <row r="1725" spans="1:65" x14ac:dyDescent="0.25">
      <c r="A1725">
        <v>1723</v>
      </c>
      <c r="B1725" t="s">
        <v>1777</v>
      </c>
      <c r="C1725" t="s">
        <v>68</v>
      </c>
      <c r="D1725" s="1">
        <v>46225</v>
      </c>
      <c r="E1725" t="s">
        <v>1778</v>
      </c>
      <c r="F1725" t="s">
        <v>68</v>
      </c>
      <c r="G1725" t="s">
        <v>295</v>
      </c>
      <c r="H1725" t="s">
        <v>296</v>
      </c>
      <c r="I1725" t="s">
        <v>71</v>
      </c>
      <c r="J1725" t="s">
        <v>72</v>
      </c>
      <c r="K1725" t="s">
        <v>73</v>
      </c>
      <c r="L1725" t="s">
        <v>74</v>
      </c>
      <c r="M1725" t="s">
        <v>1779</v>
      </c>
      <c r="N1725" t="s">
        <v>76</v>
      </c>
      <c r="O1725" t="s">
        <v>1780</v>
      </c>
      <c r="P1725" t="s">
        <v>1781</v>
      </c>
      <c r="Q1725" t="s">
        <v>1782</v>
      </c>
      <c r="R1725" s="1">
        <v>46226</v>
      </c>
      <c r="S1725" t="s">
        <v>1783</v>
      </c>
      <c r="T1725" t="s">
        <v>1784</v>
      </c>
      <c r="U1725" t="s">
        <v>1785</v>
      </c>
      <c r="V1725" t="s">
        <v>66</v>
      </c>
      <c r="W1725" t="s">
        <v>66</v>
      </c>
      <c r="X1725">
        <v>1878300</v>
      </c>
      <c r="Y1725">
        <v>206613</v>
      </c>
      <c r="Z1725">
        <v>43200</v>
      </c>
      <c r="AA1725">
        <v>4752</v>
      </c>
      <c r="AB1725">
        <v>2084913</v>
      </c>
      <c r="AC1725">
        <v>3</v>
      </c>
      <c r="AD1725" t="s">
        <v>82</v>
      </c>
      <c r="AE1725">
        <v>3</v>
      </c>
      <c r="AF1725" t="s">
        <v>172</v>
      </c>
      <c r="AG1725">
        <f>IFERROR(VLOOKUP(AF1725,[1]STOK!J:O,6,0),"")</f>
        <v>12</v>
      </c>
      <c r="AH1725" s="2">
        <f t="shared" si="52"/>
        <v>0.25</v>
      </c>
      <c r="AI1725" t="s">
        <v>172</v>
      </c>
      <c r="AJ1725" t="s">
        <v>173</v>
      </c>
      <c r="AK1725" t="s">
        <v>174</v>
      </c>
      <c r="AL1725" t="s">
        <v>86</v>
      </c>
      <c r="AM1725">
        <v>15984</v>
      </c>
      <c r="AN1725">
        <f t="shared" si="53"/>
        <v>15984</v>
      </c>
      <c r="AO1725" t="s">
        <v>66</v>
      </c>
      <c r="AP1725">
        <v>0</v>
      </c>
      <c r="AQ1725" t="s">
        <v>66</v>
      </c>
      <c r="AR1725">
        <v>0</v>
      </c>
      <c r="AS1725" t="s">
        <v>66</v>
      </c>
      <c r="AT1725">
        <v>0</v>
      </c>
      <c r="AU1725" t="s">
        <v>66</v>
      </c>
      <c r="AV1725">
        <v>0</v>
      </c>
      <c r="AW1725" t="s">
        <v>66</v>
      </c>
      <c r="AX1725">
        <v>0</v>
      </c>
      <c r="AY1725" t="s">
        <v>66</v>
      </c>
      <c r="AZ1725">
        <v>0</v>
      </c>
      <c r="BA1725" t="s">
        <v>66</v>
      </c>
      <c r="BB1725">
        <v>0</v>
      </c>
      <c r="BC1725">
        <v>0</v>
      </c>
      <c r="BD1725">
        <v>47952</v>
      </c>
      <c r="BE1725">
        <v>13003.71</v>
      </c>
      <c r="BF1725">
        <v>0</v>
      </c>
      <c r="BG1725" t="s">
        <v>87</v>
      </c>
      <c r="BH1725" t="s">
        <v>66</v>
      </c>
      <c r="BI1725">
        <v>0</v>
      </c>
      <c r="BJ1725" t="s">
        <v>66</v>
      </c>
      <c r="BK1725" t="s">
        <v>88</v>
      </c>
      <c r="BL1725" t="s">
        <v>66</v>
      </c>
      <c r="BM1725" t="s">
        <v>159</v>
      </c>
    </row>
    <row r="1726" spans="1:65" x14ac:dyDescent="0.25">
      <c r="A1726">
        <v>1724</v>
      </c>
      <c r="B1726" t="s">
        <v>1777</v>
      </c>
      <c r="C1726" t="s">
        <v>68</v>
      </c>
      <c r="D1726" s="1">
        <v>46225</v>
      </c>
      <c r="E1726" t="s">
        <v>1778</v>
      </c>
      <c r="F1726" t="s">
        <v>68</v>
      </c>
      <c r="G1726" t="s">
        <v>295</v>
      </c>
      <c r="H1726" t="s">
        <v>296</v>
      </c>
      <c r="I1726" t="s">
        <v>71</v>
      </c>
      <c r="J1726" t="s">
        <v>72</v>
      </c>
      <c r="K1726" t="s">
        <v>73</v>
      </c>
      <c r="L1726" t="s">
        <v>74</v>
      </c>
      <c r="M1726" t="s">
        <v>1779</v>
      </c>
      <c r="N1726" t="s">
        <v>76</v>
      </c>
      <c r="O1726" t="s">
        <v>1780</v>
      </c>
      <c r="P1726" t="s">
        <v>1781</v>
      </c>
      <c r="Q1726" t="s">
        <v>1782</v>
      </c>
      <c r="R1726" s="1">
        <v>46226</v>
      </c>
      <c r="S1726" t="s">
        <v>1783</v>
      </c>
      <c r="T1726" t="s">
        <v>1784</v>
      </c>
      <c r="U1726" t="s">
        <v>1785</v>
      </c>
      <c r="V1726" t="s">
        <v>66</v>
      </c>
      <c r="W1726" t="s">
        <v>66</v>
      </c>
      <c r="X1726">
        <v>1878300</v>
      </c>
      <c r="Y1726">
        <v>206613</v>
      </c>
      <c r="Z1726">
        <v>54300</v>
      </c>
      <c r="AA1726">
        <v>5973</v>
      </c>
      <c r="AB1726">
        <v>2084913</v>
      </c>
      <c r="AC1726">
        <v>3</v>
      </c>
      <c r="AD1726" t="s">
        <v>82</v>
      </c>
      <c r="AE1726">
        <v>3</v>
      </c>
      <c r="AF1726" t="s">
        <v>356</v>
      </c>
      <c r="AG1726">
        <f>IFERROR(VLOOKUP(AF1726,[1]STOK!J:O,6,0),"")</f>
        <v>12</v>
      </c>
      <c r="AH1726" s="2">
        <f t="shared" si="52"/>
        <v>0.25</v>
      </c>
      <c r="AI1726" t="s">
        <v>356</v>
      </c>
      <c r="AJ1726" t="s">
        <v>357</v>
      </c>
      <c r="AK1726" t="s">
        <v>358</v>
      </c>
      <c r="AL1726" t="s">
        <v>86</v>
      </c>
      <c r="AM1726">
        <v>20091</v>
      </c>
      <c r="AN1726">
        <f t="shared" si="53"/>
        <v>20091</v>
      </c>
      <c r="AO1726" t="s">
        <v>66</v>
      </c>
      <c r="AP1726">
        <v>0</v>
      </c>
      <c r="AQ1726" t="s">
        <v>66</v>
      </c>
      <c r="AR1726">
        <v>0</v>
      </c>
      <c r="AS1726" t="s">
        <v>66</v>
      </c>
      <c r="AT1726">
        <v>0</v>
      </c>
      <c r="AU1726" t="s">
        <v>66</v>
      </c>
      <c r="AV1726">
        <v>0</v>
      </c>
      <c r="AW1726" t="s">
        <v>66</v>
      </c>
      <c r="AX1726">
        <v>0</v>
      </c>
      <c r="AY1726" t="s">
        <v>66</v>
      </c>
      <c r="AZ1726">
        <v>0</v>
      </c>
      <c r="BA1726" t="s">
        <v>66</v>
      </c>
      <c r="BB1726">
        <v>0</v>
      </c>
      <c r="BC1726">
        <v>0</v>
      </c>
      <c r="BD1726">
        <v>60273</v>
      </c>
      <c r="BE1726">
        <v>16243.79</v>
      </c>
      <c r="BF1726">
        <v>0</v>
      </c>
      <c r="BG1726" t="s">
        <v>87</v>
      </c>
      <c r="BH1726" t="s">
        <v>66</v>
      </c>
      <c r="BI1726">
        <v>0</v>
      </c>
      <c r="BJ1726" t="s">
        <v>66</v>
      </c>
      <c r="BK1726" t="s">
        <v>88</v>
      </c>
      <c r="BL1726" t="s">
        <v>66</v>
      </c>
      <c r="BM1726" t="s">
        <v>159</v>
      </c>
    </row>
    <row r="1727" spans="1:65" x14ac:dyDescent="0.25">
      <c r="A1727">
        <v>1725</v>
      </c>
      <c r="B1727" t="s">
        <v>1777</v>
      </c>
      <c r="C1727" t="s">
        <v>68</v>
      </c>
      <c r="D1727" s="1">
        <v>46225</v>
      </c>
      <c r="E1727" t="s">
        <v>1778</v>
      </c>
      <c r="F1727" t="s">
        <v>68</v>
      </c>
      <c r="G1727" t="s">
        <v>295</v>
      </c>
      <c r="H1727" t="s">
        <v>296</v>
      </c>
      <c r="I1727" t="s">
        <v>71</v>
      </c>
      <c r="J1727" t="s">
        <v>72</v>
      </c>
      <c r="K1727" t="s">
        <v>73</v>
      </c>
      <c r="L1727" t="s">
        <v>74</v>
      </c>
      <c r="M1727" t="s">
        <v>1779</v>
      </c>
      <c r="N1727" t="s">
        <v>76</v>
      </c>
      <c r="O1727" t="s">
        <v>1780</v>
      </c>
      <c r="P1727" t="s">
        <v>1781</v>
      </c>
      <c r="Q1727" t="s">
        <v>1782</v>
      </c>
      <c r="R1727" s="1">
        <v>46226</v>
      </c>
      <c r="S1727" t="s">
        <v>1783</v>
      </c>
      <c r="T1727" t="s">
        <v>1784</v>
      </c>
      <c r="U1727" t="s">
        <v>1785</v>
      </c>
      <c r="V1727" t="s">
        <v>66</v>
      </c>
      <c r="W1727" t="s">
        <v>66</v>
      </c>
      <c r="X1727">
        <v>1878300</v>
      </c>
      <c r="Y1727">
        <v>206613</v>
      </c>
      <c r="Z1727">
        <v>79800</v>
      </c>
      <c r="AA1727">
        <v>8778</v>
      </c>
      <c r="AB1727">
        <v>2084913</v>
      </c>
      <c r="AC1727">
        <v>6</v>
      </c>
      <c r="AD1727" t="s">
        <v>82</v>
      </c>
      <c r="AE1727">
        <v>6</v>
      </c>
      <c r="AF1727" t="s">
        <v>135</v>
      </c>
      <c r="AG1727">
        <f>IFERROR(VLOOKUP(AF1727,[1]STOK!J:O,6,0),"")</f>
        <v>12</v>
      </c>
      <c r="AH1727" s="2">
        <f t="shared" si="52"/>
        <v>0.5</v>
      </c>
      <c r="AI1727" t="s">
        <v>135</v>
      </c>
      <c r="AJ1727" t="s">
        <v>136</v>
      </c>
      <c r="AK1727" t="s">
        <v>137</v>
      </c>
      <c r="AL1727" t="s">
        <v>86</v>
      </c>
      <c r="AM1727">
        <v>14763</v>
      </c>
      <c r="AN1727">
        <f t="shared" si="53"/>
        <v>14763</v>
      </c>
      <c r="AO1727" t="s">
        <v>66</v>
      </c>
      <c r="AP1727">
        <v>0</v>
      </c>
      <c r="AQ1727" t="s">
        <v>66</v>
      </c>
      <c r="AR1727">
        <v>0</v>
      </c>
      <c r="AS1727" t="s">
        <v>66</v>
      </c>
      <c r="AT1727">
        <v>0</v>
      </c>
      <c r="AU1727" t="s">
        <v>66</v>
      </c>
      <c r="AV1727">
        <v>0</v>
      </c>
      <c r="AW1727" t="s">
        <v>66</v>
      </c>
      <c r="AX1727">
        <v>0</v>
      </c>
      <c r="AY1727" t="s">
        <v>66</v>
      </c>
      <c r="AZ1727">
        <v>0</v>
      </c>
      <c r="BA1727" t="s">
        <v>66</v>
      </c>
      <c r="BB1727">
        <v>0</v>
      </c>
      <c r="BC1727">
        <v>0</v>
      </c>
      <c r="BD1727">
        <v>88578</v>
      </c>
      <c r="BE1727">
        <v>12035.93</v>
      </c>
      <c r="BF1727">
        <v>0</v>
      </c>
      <c r="BG1727" t="s">
        <v>87</v>
      </c>
      <c r="BH1727" t="s">
        <v>66</v>
      </c>
      <c r="BI1727">
        <v>0</v>
      </c>
      <c r="BJ1727" t="s">
        <v>66</v>
      </c>
      <c r="BK1727" t="s">
        <v>88</v>
      </c>
      <c r="BL1727" t="s">
        <v>66</v>
      </c>
      <c r="BM1727" t="s">
        <v>159</v>
      </c>
    </row>
    <row r="1728" spans="1:65" x14ac:dyDescent="0.25">
      <c r="A1728">
        <v>1726</v>
      </c>
      <c r="B1728" t="s">
        <v>1777</v>
      </c>
      <c r="C1728" t="s">
        <v>68</v>
      </c>
      <c r="D1728" s="1">
        <v>46225</v>
      </c>
      <c r="E1728" t="s">
        <v>1778</v>
      </c>
      <c r="F1728" t="s">
        <v>68</v>
      </c>
      <c r="G1728" t="s">
        <v>295</v>
      </c>
      <c r="H1728" t="s">
        <v>296</v>
      </c>
      <c r="I1728" t="s">
        <v>71</v>
      </c>
      <c r="J1728" t="s">
        <v>72</v>
      </c>
      <c r="K1728" t="s">
        <v>73</v>
      </c>
      <c r="L1728" t="s">
        <v>74</v>
      </c>
      <c r="M1728" t="s">
        <v>1779</v>
      </c>
      <c r="N1728" t="s">
        <v>76</v>
      </c>
      <c r="O1728" t="s">
        <v>1780</v>
      </c>
      <c r="P1728" t="s">
        <v>1781</v>
      </c>
      <c r="Q1728" t="s">
        <v>1782</v>
      </c>
      <c r="R1728" s="1">
        <v>46226</v>
      </c>
      <c r="S1728" t="s">
        <v>1783</v>
      </c>
      <c r="T1728" t="s">
        <v>1784</v>
      </c>
      <c r="U1728" t="s">
        <v>1785</v>
      </c>
      <c r="V1728" t="s">
        <v>66</v>
      </c>
      <c r="W1728" t="s">
        <v>66</v>
      </c>
      <c r="X1728">
        <v>1878300</v>
      </c>
      <c r="Y1728">
        <v>206613</v>
      </c>
      <c r="Z1728">
        <v>103800</v>
      </c>
      <c r="AA1728">
        <v>11418</v>
      </c>
      <c r="AB1728">
        <v>2084913</v>
      </c>
      <c r="AC1728">
        <v>6</v>
      </c>
      <c r="AD1728" t="s">
        <v>82</v>
      </c>
      <c r="AE1728">
        <v>6</v>
      </c>
      <c r="AF1728" t="s">
        <v>359</v>
      </c>
      <c r="AG1728">
        <f>IFERROR(VLOOKUP(AF1728,[1]STOK!J:O,6,0),"")</f>
        <v>12</v>
      </c>
      <c r="AH1728" s="2">
        <f t="shared" si="52"/>
        <v>0.5</v>
      </c>
      <c r="AI1728" t="s">
        <v>359</v>
      </c>
      <c r="AJ1728" t="s">
        <v>360</v>
      </c>
      <c r="AK1728" t="s">
        <v>361</v>
      </c>
      <c r="AL1728" t="s">
        <v>86</v>
      </c>
      <c r="AM1728">
        <v>19203</v>
      </c>
      <c r="AN1728">
        <f t="shared" si="53"/>
        <v>19203</v>
      </c>
      <c r="AO1728" t="s">
        <v>66</v>
      </c>
      <c r="AP1728">
        <v>0</v>
      </c>
      <c r="AQ1728" t="s">
        <v>66</v>
      </c>
      <c r="AR1728">
        <v>0</v>
      </c>
      <c r="AS1728" t="s">
        <v>66</v>
      </c>
      <c r="AT1728">
        <v>0</v>
      </c>
      <c r="AU1728" t="s">
        <v>66</v>
      </c>
      <c r="AV1728">
        <v>0</v>
      </c>
      <c r="AW1728" t="s">
        <v>66</v>
      </c>
      <c r="AX1728">
        <v>0</v>
      </c>
      <c r="AY1728" t="s">
        <v>66</v>
      </c>
      <c r="AZ1728">
        <v>0</v>
      </c>
      <c r="BA1728" t="s">
        <v>66</v>
      </c>
      <c r="BB1728">
        <v>0</v>
      </c>
      <c r="BC1728">
        <v>0</v>
      </c>
      <c r="BD1728">
        <v>115218</v>
      </c>
      <c r="BE1728">
        <v>15628.14</v>
      </c>
      <c r="BF1728">
        <v>0</v>
      </c>
      <c r="BG1728" t="s">
        <v>87</v>
      </c>
      <c r="BH1728" t="s">
        <v>66</v>
      </c>
      <c r="BI1728">
        <v>0</v>
      </c>
      <c r="BJ1728" t="s">
        <v>66</v>
      </c>
      <c r="BK1728" t="s">
        <v>88</v>
      </c>
      <c r="BL1728" t="s">
        <v>66</v>
      </c>
      <c r="BM1728" t="s">
        <v>159</v>
      </c>
    </row>
    <row r="1729" spans="1:65" x14ac:dyDescent="0.25">
      <c r="A1729">
        <v>1727</v>
      </c>
      <c r="B1729" t="s">
        <v>1777</v>
      </c>
      <c r="C1729" t="s">
        <v>68</v>
      </c>
      <c r="D1729" s="1">
        <v>46225</v>
      </c>
      <c r="E1729" t="s">
        <v>1778</v>
      </c>
      <c r="F1729" t="s">
        <v>68</v>
      </c>
      <c r="G1729" t="s">
        <v>295</v>
      </c>
      <c r="H1729" t="s">
        <v>296</v>
      </c>
      <c r="I1729" t="s">
        <v>71</v>
      </c>
      <c r="J1729" t="s">
        <v>72</v>
      </c>
      <c r="K1729" t="s">
        <v>73</v>
      </c>
      <c r="L1729" t="s">
        <v>74</v>
      </c>
      <c r="M1729" t="s">
        <v>1779</v>
      </c>
      <c r="N1729" t="s">
        <v>76</v>
      </c>
      <c r="O1729" t="s">
        <v>1780</v>
      </c>
      <c r="P1729" t="s">
        <v>1781</v>
      </c>
      <c r="Q1729" t="s">
        <v>1782</v>
      </c>
      <c r="R1729" s="1">
        <v>46226</v>
      </c>
      <c r="S1729" t="s">
        <v>1783</v>
      </c>
      <c r="T1729" t="s">
        <v>1784</v>
      </c>
      <c r="U1729" t="s">
        <v>1785</v>
      </c>
      <c r="V1729" t="s">
        <v>66</v>
      </c>
      <c r="W1729" t="s">
        <v>66</v>
      </c>
      <c r="X1729">
        <v>1878300</v>
      </c>
      <c r="Y1729">
        <v>206613</v>
      </c>
      <c r="Z1729">
        <v>120000</v>
      </c>
      <c r="AA1729">
        <v>13200</v>
      </c>
      <c r="AB1729">
        <v>2084913</v>
      </c>
      <c r="AC1729">
        <v>6</v>
      </c>
      <c r="AD1729" t="s">
        <v>82</v>
      </c>
      <c r="AE1729">
        <v>6</v>
      </c>
      <c r="AF1729" t="s">
        <v>290</v>
      </c>
      <c r="AG1729">
        <f>IFERROR(VLOOKUP(AF1729,[1]STOK!J:O,6,0),"")</f>
        <v>12</v>
      </c>
      <c r="AH1729" s="2">
        <f t="shared" si="52"/>
        <v>0.5</v>
      </c>
      <c r="AI1729" t="s">
        <v>290</v>
      </c>
      <c r="AJ1729" t="s">
        <v>291</v>
      </c>
      <c r="AK1729" t="s">
        <v>292</v>
      </c>
      <c r="AL1729" t="s">
        <v>86</v>
      </c>
      <c r="AM1729">
        <v>22200</v>
      </c>
      <c r="AN1729">
        <f t="shared" si="53"/>
        <v>22200</v>
      </c>
      <c r="AO1729" t="s">
        <v>66</v>
      </c>
      <c r="AP1729">
        <v>0</v>
      </c>
      <c r="AQ1729" t="s">
        <v>66</v>
      </c>
      <c r="AR1729">
        <v>0</v>
      </c>
      <c r="AS1729" t="s">
        <v>66</v>
      </c>
      <c r="AT1729">
        <v>0</v>
      </c>
      <c r="AU1729" t="s">
        <v>66</v>
      </c>
      <c r="AV1729">
        <v>0</v>
      </c>
      <c r="AW1729" t="s">
        <v>66</v>
      </c>
      <c r="AX1729">
        <v>0</v>
      </c>
      <c r="AY1729" t="s">
        <v>66</v>
      </c>
      <c r="AZ1729">
        <v>0</v>
      </c>
      <c r="BA1729" t="s">
        <v>66</v>
      </c>
      <c r="BB1729">
        <v>0</v>
      </c>
      <c r="BC1729">
        <v>0</v>
      </c>
      <c r="BD1729">
        <v>133200</v>
      </c>
      <c r="BE1729">
        <v>18103.439999999999</v>
      </c>
      <c r="BF1729">
        <v>0</v>
      </c>
      <c r="BG1729" t="s">
        <v>87</v>
      </c>
      <c r="BH1729" t="s">
        <v>66</v>
      </c>
      <c r="BI1729">
        <v>0</v>
      </c>
      <c r="BJ1729" t="s">
        <v>66</v>
      </c>
      <c r="BK1729" t="s">
        <v>88</v>
      </c>
      <c r="BL1729" t="s">
        <v>66</v>
      </c>
      <c r="BM1729" t="s">
        <v>159</v>
      </c>
    </row>
    <row r="1730" spans="1:65" x14ac:dyDescent="0.25">
      <c r="A1730">
        <v>1728</v>
      </c>
      <c r="B1730" t="s">
        <v>1777</v>
      </c>
      <c r="C1730" t="s">
        <v>68</v>
      </c>
      <c r="D1730" s="1">
        <v>46225</v>
      </c>
      <c r="E1730" t="s">
        <v>1778</v>
      </c>
      <c r="F1730" t="s">
        <v>68</v>
      </c>
      <c r="G1730" t="s">
        <v>295</v>
      </c>
      <c r="H1730" t="s">
        <v>296</v>
      </c>
      <c r="I1730" t="s">
        <v>71</v>
      </c>
      <c r="J1730" t="s">
        <v>72</v>
      </c>
      <c r="K1730" t="s">
        <v>73</v>
      </c>
      <c r="L1730" t="s">
        <v>74</v>
      </c>
      <c r="M1730" t="s">
        <v>1779</v>
      </c>
      <c r="N1730" t="s">
        <v>76</v>
      </c>
      <c r="O1730" t="s">
        <v>1780</v>
      </c>
      <c r="P1730" t="s">
        <v>1781</v>
      </c>
      <c r="Q1730" t="s">
        <v>1782</v>
      </c>
      <c r="R1730" s="1">
        <v>46226</v>
      </c>
      <c r="S1730" t="s">
        <v>1783</v>
      </c>
      <c r="T1730" t="s">
        <v>1784</v>
      </c>
      <c r="U1730" t="s">
        <v>1785</v>
      </c>
      <c r="V1730" t="s">
        <v>66</v>
      </c>
      <c r="W1730" t="s">
        <v>66</v>
      </c>
      <c r="X1730">
        <v>1878300</v>
      </c>
      <c r="Y1730">
        <v>206613</v>
      </c>
      <c r="Z1730">
        <v>120000</v>
      </c>
      <c r="AA1730">
        <v>13200</v>
      </c>
      <c r="AB1730">
        <v>2084913</v>
      </c>
      <c r="AC1730">
        <v>6</v>
      </c>
      <c r="AD1730" t="s">
        <v>82</v>
      </c>
      <c r="AE1730">
        <v>6</v>
      </c>
      <c r="AF1730" t="s">
        <v>102</v>
      </c>
      <c r="AG1730">
        <f>IFERROR(VLOOKUP(AF1730,[1]STOK!J:O,6,0),"")</f>
        <v>12</v>
      </c>
      <c r="AH1730" s="2">
        <f t="shared" si="52"/>
        <v>0.5</v>
      </c>
      <c r="AI1730" t="s">
        <v>102</v>
      </c>
      <c r="AJ1730" t="s">
        <v>103</v>
      </c>
      <c r="AK1730" t="s">
        <v>104</v>
      </c>
      <c r="AL1730" t="s">
        <v>86</v>
      </c>
      <c r="AM1730">
        <v>22200</v>
      </c>
      <c r="AN1730">
        <f t="shared" si="53"/>
        <v>22200</v>
      </c>
      <c r="AO1730" t="s">
        <v>66</v>
      </c>
      <c r="AP1730">
        <v>0</v>
      </c>
      <c r="AQ1730" t="s">
        <v>66</v>
      </c>
      <c r="AR1730">
        <v>0</v>
      </c>
      <c r="AS1730" t="s">
        <v>66</v>
      </c>
      <c r="AT1730">
        <v>0</v>
      </c>
      <c r="AU1730" t="s">
        <v>66</v>
      </c>
      <c r="AV1730">
        <v>0</v>
      </c>
      <c r="AW1730" t="s">
        <v>66</v>
      </c>
      <c r="AX1730">
        <v>0</v>
      </c>
      <c r="AY1730" t="s">
        <v>66</v>
      </c>
      <c r="AZ1730">
        <v>0</v>
      </c>
      <c r="BA1730" t="s">
        <v>66</v>
      </c>
      <c r="BB1730">
        <v>0</v>
      </c>
      <c r="BC1730">
        <v>0</v>
      </c>
      <c r="BD1730">
        <v>133200</v>
      </c>
      <c r="BE1730">
        <v>18055.25</v>
      </c>
      <c r="BF1730">
        <v>0</v>
      </c>
      <c r="BG1730" t="s">
        <v>87</v>
      </c>
      <c r="BH1730" t="s">
        <v>66</v>
      </c>
      <c r="BI1730">
        <v>0</v>
      </c>
      <c r="BJ1730" t="s">
        <v>66</v>
      </c>
      <c r="BK1730" t="s">
        <v>88</v>
      </c>
      <c r="BL1730" t="s">
        <v>66</v>
      </c>
      <c r="BM1730" t="s">
        <v>159</v>
      </c>
    </row>
    <row r="1731" spans="1:65" x14ac:dyDescent="0.25">
      <c r="A1731">
        <v>1729</v>
      </c>
      <c r="B1731" t="s">
        <v>1777</v>
      </c>
      <c r="C1731" t="s">
        <v>68</v>
      </c>
      <c r="D1731" s="1">
        <v>46225</v>
      </c>
      <c r="E1731" t="s">
        <v>1778</v>
      </c>
      <c r="F1731" t="s">
        <v>68</v>
      </c>
      <c r="G1731" t="s">
        <v>295</v>
      </c>
      <c r="H1731" t="s">
        <v>296</v>
      </c>
      <c r="I1731" t="s">
        <v>71</v>
      </c>
      <c r="J1731" t="s">
        <v>72</v>
      </c>
      <c r="K1731" t="s">
        <v>73</v>
      </c>
      <c r="L1731" t="s">
        <v>74</v>
      </c>
      <c r="M1731" t="s">
        <v>1779</v>
      </c>
      <c r="N1731" t="s">
        <v>76</v>
      </c>
      <c r="O1731" t="s">
        <v>1780</v>
      </c>
      <c r="P1731" t="s">
        <v>1781</v>
      </c>
      <c r="Q1731" t="s">
        <v>1782</v>
      </c>
      <c r="R1731" s="1">
        <v>46226</v>
      </c>
      <c r="S1731" t="s">
        <v>1783</v>
      </c>
      <c r="T1731" t="s">
        <v>1784</v>
      </c>
      <c r="U1731" t="s">
        <v>1785</v>
      </c>
      <c r="V1731" t="s">
        <v>66</v>
      </c>
      <c r="W1731" t="s">
        <v>66</v>
      </c>
      <c r="X1731">
        <v>1878300</v>
      </c>
      <c r="Y1731">
        <v>206613</v>
      </c>
      <c r="Z1731">
        <v>114900</v>
      </c>
      <c r="AA1731">
        <v>12639</v>
      </c>
      <c r="AB1731">
        <v>2084913</v>
      </c>
      <c r="AC1731">
        <v>3</v>
      </c>
      <c r="AD1731" t="s">
        <v>82</v>
      </c>
      <c r="AE1731">
        <v>3</v>
      </c>
      <c r="AF1731" t="s">
        <v>323</v>
      </c>
      <c r="AG1731">
        <f>IFERROR(VLOOKUP(AF1731,[1]STOK!J:O,6,0),"")</f>
        <v>6</v>
      </c>
      <c r="AH1731" s="2">
        <f t="shared" si="52"/>
        <v>0.5</v>
      </c>
      <c r="AI1731" t="s">
        <v>323</v>
      </c>
      <c r="AJ1731" t="s">
        <v>324</v>
      </c>
      <c r="AK1731" t="s">
        <v>325</v>
      </c>
      <c r="AL1731" t="s">
        <v>86</v>
      </c>
      <c r="AM1731">
        <v>42513</v>
      </c>
      <c r="AN1731">
        <f t="shared" si="53"/>
        <v>42513</v>
      </c>
      <c r="AO1731" t="s">
        <v>66</v>
      </c>
      <c r="AP1731">
        <v>0</v>
      </c>
      <c r="AQ1731" t="s">
        <v>66</v>
      </c>
      <c r="AR1731">
        <v>0</v>
      </c>
      <c r="AS1731" t="s">
        <v>66</v>
      </c>
      <c r="AT1731">
        <v>0</v>
      </c>
      <c r="AU1731" t="s">
        <v>66</v>
      </c>
      <c r="AV1731">
        <v>0</v>
      </c>
      <c r="AW1731" t="s">
        <v>66</v>
      </c>
      <c r="AX1731">
        <v>0</v>
      </c>
      <c r="AY1731" t="s">
        <v>66</v>
      </c>
      <c r="AZ1731">
        <v>0</v>
      </c>
      <c r="BA1731" t="s">
        <v>66</v>
      </c>
      <c r="BB1731">
        <v>0</v>
      </c>
      <c r="BC1731">
        <v>0</v>
      </c>
      <c r="BD1731">
        <v>127539</v>
      </c>
      <c r="BE1731">
        <v>34536.9</v>
      </c>
      <c r="BF1731">
        <v>0</v>
      </c>
      <c r="BG1731" t="s">
        <v>87</v>
      </c>
      <c r="BH1731" t="s">
        <v>66</v>
      </c>
      <c r="BI1731">
        <v>0</v>
      </c>
      <c r="BJ1731" t="s">
        <v>66</v>
      </c>
      <c r="BK1731" t="s">
        <v>88</v>
      </c>
      <c r="BL1731" t="s">
        <v>66</v>
      </c>
      <c r="BM1731" t="s">
        <v>159</v>
      </c>
    </row>
    <row r="1732" spans="1:65" x14ac:dyDescent="0.25">
      <c r="A1732">
        <v>1730</v>
      </c>
      <c r="B1732" t="s">
        <v>1777</v>
      </c>
      <c r="C1732" t="s">
        <v>68</v>
      </c>
      <c r="D1732" s="1">
        <v>46225</v>
      </c>
      <c r="E1732" t="s">
        <v>1778</v>
      </c>
      <c r="F1732" t="s">
        <v>68</v>
      </c>
      <c r="G1732" t="s">
        <v>295</v>
      </c>
      <c r="H1732" t="s">
        <v>296</v>
      </c>
      <c r="I1732" t="s">
        <v>71</v>
      </c>
      <c r="J1732" t="s">
        <v>72</v>
      </c>
      <c r="K1732" t="s">
        <v>73</v>
      </c>
      <c r="L1732" t="s">
        <v>74</v>
      </c>
      <c r="M1732" t="s">
        <v>1779</v>
      </c>
      <c r="N1732" t="s">
        <v>76</v>
      </c>
      <c r="O1732" t="s">
        <v>1780</v>
      </c>
      <c r="P1732" t="s">
        <v>1781</v>
      </c>
      <c r="Q1732" t="s">
        <v>1782</v>
      </c>
      <c r="R1732" s="1">
        <v>46226</v>
      </c>
      <c r="S1732" t="s">
        <v>1783</v>
      </c>
      <c r="T1732" t="s">
        <v>1784</v>
      </c>
      <c r="U1732" t="s">
        <v>1785</v>
      </c>
      <c r="V1732" t="s">
        <v>66</v>
      </c>
      <c r="W1732" t="s">
        <v>66</v>
      </c>
      <c r="X1732">
        <v>1878300</v>
      </c>
      <c r="Y1732">
        <v>206613</v>
      </c>
      <c r="Z1732">
        <v>86400</v>
      </c>
      <c r="AA1732">
        <v>9504</v>
      </c>
      <c r="AB1732">
        <v>2084913</v>
      </c>
      <c r="AC1732">
        <v>6</v>
      </c>
      <c r="AD1732" t="s">
        <v>82</v>
      </c>
      <c r="AE1732">
        <v>6</v>
      </c>
      <c r="AF1732" t="s">
        <v>141</v>
      </c>
      <c r="AG1732">
        <f>IFERROR(VLOOKUP(AF1732,[1]STOK!J:O,6,0),"")</f>
        <v>12</v>
      </c>
      <c r="AH1732" s="2">
        <f t="shared" ref="AH1732:AH1795" si="54">AE1732/AG1732</f>
        <v>0.5</v>
      </c>
      <c r="AI1732" t="s">
        <v>141</v>
      </c>
      <c r="AJ1732" t="s">
        <v>142</v>
      </c>
      <c r="AK1732" t="s">
        <v>143</v>
      </c>
      <c r="AL1732" t="s">
        <v>86</v>
      </c>
      <c r="AM1732">
        <v>15984</v>
      </c>
      <c r="AN1732">
        <f t="shared" ref="AN1732:AN1795" si="55">BD1732/AC1732</f>
        <v>15984</v>
      </c>
      <c r="AO1732" t="s">
        <v>66</v>
      </c>
      <c r="AP1732">
        <v>0</v>
      </c>
      <c r="AQ1732" t="s">
        <v>66</v>
      </c>
      <c r="AR1732">
        <v>0</v>
      </c>
      <c r="AS1732" t="s">
        <v>66</v>
      </c>
      <c r="AT1732">
        <v>0</v>
      </c>
      <c r="AU1732" t="s">
        <v>66</v>
      </c>
      <c r="AV1732">
        <v>0</v>
      </c>
      <c r="AW1732" t="s">
        <v>66</v>
      </c>
      <c r="AX1732">
        <v>0</v>
      </c>
      <c r="AY1732" t="s">
        <v>66</v>
      </c>
      <c r="AZ1732">
        <v>0</v>
      </c>
      <c r="BA1732" t="s">
        <v>66</v>
      </c>
      <c r="BB1732">
        <v>0</v>
      </c>
      <c r="BC1732">
        <v>0</v>
      </c>
      <c r="BD1732">
        <v>95904</v>
      </c>
      <c r="BE1732">
        <v>13019.17</v>
      </c>
      <c r="BF1732">
        <v>0</v>
      </c>
      <c r="BG1732" t="s">
        <v>87</v>
      </c>
      <c r="BH1732" t="s">
        <v>66</v>
      </c>
      <c r="BI1732">
        <v>0</v>
      </c>
      <c r="BJ1732" t="s">
        <v>66</v>
      </c>
      <c r="BK1732" t="s">
        <v>88</v>
      </c>
      <c r="BL1732" t="s">
        <v>66</v>
      </c>
      <c r="BM1732" t="s">
        <v>159</v>
      </c>
    </row>
    <row r="1733" spans="1:65" x14ac:dyDescent="0.25">
      <c r="A1733">
        <v>1731</v>
      </c>
      <c r="B1733" t="s">
        <v>1777</v>
      </c>
      <c r="C1733" t="s">
        <v>68</v>
      </c>
      <c r="D1733" s="1">
        <v>46225</v>
      </c>
      <c r="E1733" t="s">
        <v>1778</v>
      </c>
      <c r="F1733" t="s">
        <v>68</v>
      </c>
      <c r="G1733" t="s">
        <v>295</v>
      </c>
      <c r="H1733" t="s">
        <v>296</v>
      </c>
      <c r="I1733" t="s">
        <v>71</v>
      </c>
      <c r="J1733" t="s">
        <v>72</v>
      </c>
      <c r="K1733" t="s">
        <v>73</v>
      </c>
      <c r="L1733" t="s">
        <v>74</v>
      </c>
      <c r="M1733" t="s">
        <v>1779</v>
      </c>
      <c r="N1733" t="s">
        <v>76</v>
      </c>
      <c r="O1733" t="s">
        <v>1780</v>
      </c>
      <c r="P1733" t="s">
        <v>1781</v>
      </c>
      <c r="Q1733" t="s">
        <v>1782</v>
      </c>
      <c r="R1733" s="1">
        <v>46226</v>
      </c>
      <c r="S1733" t="s">
        <v>1783</v>
      </c>
      <c r="T1733" t="s">
        <v>1784</v>
      </c>
      <c r="U1733" t="s">
        <v>1785</v>
      </c>
      <c r="V1733" t="s">
        <v>66</v>
      </c>
      <c r="W1733" t="s">
        <v>66</v>
      </c>
      <c r="X1733">
        <v>1878300</v>
      </c>
      <c r="Y1733">
        <v>206613</v>
      </c>
      <c r="Z1733">
        <v>86400</v>
      </c>
      <c r="AA1733">
        <v>9504</v>
      </c>
      <c r="AB1733">
        <v>2084913</v>
      </c>
      <c r="AC1733">
        <v>6</v>
      </c>
      <c r="AD1733" t="s">
        <v>82</v>
      </c>
      <c r="AE1733">
        <v>6</v>
      </c>
      <c r="AF1733" t="s">
        <v>213</v>
      </c>
      <c r="AG1733">
        <f>IFERROR(VLOOKUP(AF1733,[1]STOK!J:O,6,0),"")</f>
        <v>12</v>
      </c>
      <c r="AH1733" s="2">
        <f t="shared" si="54"/>
        <v>0.5</v>
      </c>
      <c r="AI1733" t="s">
        <v>213</v>
      </c>
      <c r="AJ1733" t="s">
        <v>214</v>
      </c>
      <c r="AK1733" t="s">
        <v>215</v>
      </c>
      <c r="AL1733" t="s">
        <v>86</v>
      </c>
      <c r="AM1733">
        <v>15984</v>
      </c>
      <c r="AN1733">
        <f t="shared" si="55"/>
        <v>15984</v>
      </c>
      <c r="AO1733" t="s">
        <v>66</v>
      </c>
      <c r="AP1733">
        <v>0</v>
      </c>
      <c r="AQ1733" t="s">
        <v>66</v>
      </c>
      <c r="AR1733">
        <v>0</v>
      </c>
      <c r="AS1733" t="s">
        <v>66</v>
      </c>
      <c r="AT1733">
        <v>0</v>
      </c>
      <c r="AU1733" t="s">
        <v>66</v>
      </c>
      <c r="AV1733">
        <v>0</v>
      </c>
      <c r="AW1733" t="s">
        <v>66</v>
      </c>
      <c r="AX1733">
        <v>0</v>
      </c>
      <c r="AY1733" t="s">
        <v>66</v>
      </c>
      <c r="AZ1733">
        <v>0</v>
      </c>
      <c r="BA1733" t="s">
        <v>66</v>
      </c>
      <c r="BB1733">
        <v>0</v>
      </c>
      <c r="BC1733">
        <v>0</v>
      </c>
      <c r="BD1733">
        <v>95904</v>
      </c>
      <c r="BE1733">
        <v>13028.24</v>
      </c>
      <c r="BF1733">
        <v>0</v>
      </c>
      <c r="BG1733" t="s">
        <v>87</v>
      </c>
      <c r="BH1733" t="s">
        <v>66</v>
      </c>
      <c r="BI1733">
        <v>0</v>
      </c>
      <c r="BJ1733" t="s">
        <v>66</v>
      </c>
      <c r="BK1733" t="s">
        <v>88</v>
      </c>
      <c r="BL1733" t="s">
        <v>66</v>
      </c>
      <c r="BM1733" t="s">
        <v>159</v>
      </c>
    </row>
    <row r="1734" spans="1:65" x14ac:dyDescent="0.25">
      <c r="A1734">
        <v>1732</v>
      </c>
      <c r="B1734" t="s">
        <v>1786</v>
      </c>
      <c r="C1734" t="s">
        <v>68</v>
      </c>
      <c r="D1734" s="1">
        <v>46225</v>
      </c>
      <c r="E1734" t="s">
        <v>1787</v>
      </c>
      <c r="F1734" t="s">
        <v>68</v>
      </c>
      <c r="G1734" t="s">
        <v>295</v>
      </c>
      <c r="H1734" t="s">
        <v>296</v>
      </c>
      <c r="I1734" t="s">
        <v>71</v>
      </c>
      <c r="J1734" t="s">
        <v>72</v>
      </c>
      <c r="K1734" t="s">
        <v>73</v>
      </c>
      <c r="L1734" t="s">
        <v>74</v>
      </c>
      <c r="M1734" t="s">
        <v>1788</v>
      </c>
      <c r="N1734" t="s">
        <v>76</v>
      </c>
      <c r="O1734" t="s">
        <v>1789</v>
      </c>
      <c r="P1734" t="s">
        <v>1790</v>
      </c>
      <c r="Q1734" t="s">
        <v>66</v>
      </c>
      <c r="R1734" s="1">
        <v>46225</v>
      </c>
      <c r="S1734" t="s">
        <v>841</v>
      </c>
      <c r="T1734" t="s">
        <v>842</v>
      </c>
      <c r="U1734" t="s">
        <v>843</v>
      </c>
      <c r="V1734" t="s">
        <v>66</v>
      </c>
      <c r="W1734" t="s">
        <v>66</v>
      </c>
      <c r="X1734">
        <v>1410636</v>
      </c>
      <c r="Y1734">
        <v>155169.96</v>
      </c>
      <c r="Z1734">
        <v>108192</v>
      </c>
      <c r="AA1734">
        <v>11901.12</v>
      </c>
      <c r="AB1734">
        <v>1565805.96</v>
      </c>
      <c r="AC1734">
        <v>6</v>
      </c>
      <c r="AD1734" t="s">
        <v>82</v>
      </c>
      <c r="AE1734">
        <v>6</v>
      </c>
      <c r="AF1734" t="s">
        <v>160</v>
      </c>
      <c r="AG1734">
        <f>IFERROR(VLOOKUP(AF1734,[1]STOK!J:O,6,0),"")</f>
        <v>12</v>
      </c>
      <c r="AH1734" s="2">
        <f t="shared" si="54"/>
        <v>0.5</v>
      </c>
      <c r="AI1734" t="s">
        <v>160</v>
      </c>
      <c r="AJ1734" t="s">
        <v>161</v>
      </c>
      <c r="AK1734" t="s">
        <v>162</v>
      </c>
      <c r="AL1734" t="s">
        <v>86</v>
      </c>
      <c r="AM1734">
        <v>20424</v>
      </c>
      <c r="AN1734">
        <f t="shared" si="55"/>
        <v>20015.52</v>
      </c>
      <c r="AO1734" t="s">
        <v>66</v>
      </c>
      <c r="AP1734">
        <v>2</v>
      </c>
      <c r="AQ1734" t="s">
        <v>66</v>
      </c>
      <c r="AR1734">
        <v>0</v>
      </c>
      <c r="AS1734" t="s">
        <v>66</v>
      </c>
      <c r="AT1734">
        <v>0</v>
      </c>
      <c r="AU1734" t="s">
        <v>66</v>
      </c>
      <c r="AV1734">
        <v>0</v>
      </c>
      <c r="AW1734" t="s">
        <v>66</v>
      </c>
      <c r="AX1734">
        <v>0</v>
      </c>
      <c r="AY1734" t="s">
        <v>66</v>
      </c>
      <c r="AZ1734">
        <v>0</v>
      </c>
      <c r="BA1734" t="s">
        <v>66</v>
      </c>
      <c r="BB1734">
        <v>0</v>
      </c>
      <c r="BC1734">
        <v>0</v>
      </c>
      <c r="BD1734">
        <v>120093.12</v>
      </c>
      <c r="BE1734">
        <v>16709.57</v>
      </c>
      <c r="BF1734">
        <v>0</v>
      </c>
      <c r="BG1734" t="s">
        <v>87</v>
      </c>
      <c r="BH1734" t="s">
        <v>66</v>
      </c>
      <c r="BI1734">
        <v>0</v>
      </c>
      <c r="BJ1734" t="s">
        <v>66</v>
      </c>
      <c r="BK1734" t="s">
        <v>88</v>
      </c>
      <c r="BL1734" t="s">
        <v>719</v>
      </c>
      <c r="BM1734" t="s">
        <v>159</v>
      </c>
    </row>
    <row r="1735" spans="1:65" x14ac:dyDescent="0.25">
      <c r="A1735">
        <v>1733</v>
      </c>
      <c r="B1735" t="s">
        <v>1786</v>
      </c>
      <c r="C1735" t="s">
        <v>68</v>
      </c>
      <c r="D1735" s="1">
        <v>46225</v>
      </c>
      <c r="E1735" t="s">
        <v>1787</v>
      </c>
      <c r="F1735" t="s">
        <v>68</v>
      </c>
      <c r="G1735" t="s">
        <v>295</v>
      </c>
      <c r="H1735" t="s">
        <v>296</v>
      </c>
      <c r="I1735" t="s">
        <v>71</v>
      </c>
      <c r="J1735" t="s">
        <v>72</v>
      </c>
      <c r="K1735" t="s">
        <v>73</v>
      </c>
      <c r="L1735" t="s">
        <v>74</v>
      </c>
      <c r="M1735" t="s">
        <v>1788</v>
      </c>
      <c r="N1735" t="s">
        <v>76</v>
      </c>
      <c r="O1735" t="s">
        <v>1789</v>
      </c>
      <c r="P1735" t="s">
        <v>1790</v>
      </c>
      <c r="Q1735" t="s">
        <v>66</v>
      </c>
      <c r="R1735" s="1">
        <v>46225</v>
      </c>
      <c r="S1735" t="s">
        <v>841</v>
      </c>
      <c r="T1735" t="s">
        <v>842</v>
      </c>
      <c r="U1735" t="s">
        <v>843</v>
      </c>
      <c r="V1735" t="s">
        <v>66</v>
      </c>
      <c r="W1735" t="s">
        <v>66</v>
      </c>
      <c r="X1735">
        <v>1410636</v>
      </c>
      <c r="Y1735">
        <v>155169.96</v>
      </c>
      <c r="Z1735">
        <v>108192</v>
      </c>
      <c r="AA1735">
        <v>11901.12</v>
      </c>
      <c r="AB1735">
        <v>1565805.96</v>
      </c>
      <c r="AC1735">
        <v>6</v>
      </c>
      <c r="AD1735" t="s">
        <v>82</v>
      </c>
      <c r="AE1735">
        <v>6</v>
      </c>
      <c r="AF1735" t="s">
        <v>116</v>
      </c>
      <c r="AG1735">
        <f>IFERROR(VLOOKUP(AF1735,[1]STOK!J:O,6,0),"")</f>
        <v>12</v>
      </c>
      <c r="AH1735" s="2">
        <f t="shared" si="54"/>
        <v>0.5</v>
      </c>
      <c r="AI1735" t="s">
        <v>116</v>
      </c>
      <c r="AJ1735" t="s">
        <v>117</v>
      </c>
      <c r="AK1735" t="s">
        <v>118</v>
      </c>
      <c r="AL1735" t="s">
        <v>86</v>
      </c>
      <c r="AM1735">
        <v>20424</v>
      </c>
      <c r="AN1735">
        <f t="shared" si="55"/>
        <v>20015.52</v>
      </c>
      <c r="AO1735" t="s">
        <v>66</v>
      </c>
      <c r="AP1735">
        <v>2</v>
      </c>
      <c r="AQ1735" t="s">
        <v>66</v>
      </c>
      <c r="AR1735">
        <v>0</v>
      </c>
      <c r="AS1735" t="s">
        <v>66</v>
      </c>
      <c r="AT1735">
        <v>0</v>
      </c>
      <c r="AU1735" t="s">
        <v>66</v>
      </c>
      <c r="AV1735">
        <v>0</v>
      </c>
      <c r="AW1735" t="s">
        <v>66</v>
      </c>
      <c r="AX1735">
        <v>0</v>
      </c>
      <c r="AY1735" t="s">
        <v>66</v>
      </c>
      <c r="AZ1735">
        <v>0</v>
      </c>
      <c r="BA1735" t="s">
        <v>66</v>
      </c>
      <c r="BB1735">
        <v>0</v>
      </c>
      <c r="BC1735">
        <v>0</v>
      </c>
      <c r="BD1735">
        <v>120093.12</v>
      </c>
      <c r="BE1735">
        <v>16641.740000000002</v>
      </c>
      <c r="BF1735">
        <v>0</v>
      </c>
      <c r="BG1735" t="s">
        <v>87</v>
      </c>
      <c r="BH1735" t="s">
        <v>66</v>
      </c>
      <c r="BI1735">
        <v>0</v>
      </c>
      <c r="BJ1735" t="s">
        <v>66</v>
      </c>
      <c r="BK1735" t="s">
        <v>88</v>
      </c>
      <c r="BL1735" t="s">
        <v>719</v>
      </c>
      <c r="BM1735" t="s">
        <v>159</v>
      </c>
    </row>
    <row r="1736" spans="1:65" x14ac:dyDescent="0.25">
      <c r="A1736">
        <v>1734</v>
      </c>
      <c r="B1736" t="s">
        <v>1786</v>
      </c>
      <c r="C1736" t="s">
        <v>68</v>
      </c>
      <c r="D1736" s="1">
        <v>46225</v>
      </c>
      <c r="E1736" t="s">
        <v>1787</v>
      </c>
      <c r="F1736" t="s">
        <v>68</v>
      </c>
      <c r="G1736" t="s">
        <v>295</v>
      </c>
      <c r="H1736" t="s">
        <v>296</v>
      </c>
      <c r="I1736" t="s">
        <v>71</v>
      </c>
      <c r="J1736" t="s">
        <v>72</v>
      </c>
      <c r="K1736" t="s">
        <v>73</v>
      </c>
      <c r="L1736" t="s">
        <v>74</v>
      </c>
      <c r="M1736" t="s">
        <v>1788</v>
      </c>
      <c r="N1736" t="s">
        <v>76</v>
      </c>
      <c r="O1736" t="s">
        <v>1789</v>
      </c>
      <c r="P1736" t="s">
        <v>1790</v>
      </c>
      <c r="Q1736" t="s">
        <v>66</v>
      </c>
      <c r="R1736" s="1">
        <v>46225</v>
      </c>
      <c r="S1736" t="s">
        <v>841</v>
      </c>
      <c r="T1736" t="s">
        <v>842</v>
      </c>
      <c r="U1736" t="s">
        <v>843</v>
      </c>
      <c r="V1736" t="s">
        <v>66</v>
      </c>
      <c r="W1736" t="s">
        <v>66</v>
      </c>
      <c r="X1736">
        <v>1410636</v>
      </c>
      <c r="Y1736">
        <v>155169.96</v>
      </c>
      <c r="Z1736">
        <v>43512</v>
      </c>
      <c r="AA1736">
        <v>4786.32</v>
      </c>
      <c r="AB1736">
        <v>1565805.96</v>
      </c>
      <c r="AC1736">
        <v>6</v>
      </c>
      <c r="AD1736" t="s">
        <v>82</v>
      </c>
      <c r="AE1736">
        <v>6</v>
      </c>
      <c r="AF1736" t="s">
        <v>83</v>
      </c>
      <c r="AG1736">
        <f>IFERROR(VLOOKUP(AF1736,[1]STOK!J:O,6,0),"")</f>
        <v>24</v>
      </c>
      <c r="AH1736" s="2">
        <f t="shared" si="54"/>
        <v>0.25</v>
      </c>
      <c r="AI1736" t="s">
        <v>83</v>
      </c>
      <c r="AJ1736" t="s">
        <v>84</v>
      </c>
      <c r="AK1736" t="s">
        <v>85</v>
      </c>
      <c r="AL1736" t="s">
        <v>86</v>
      </c>
      <c r="AM1736">
        <v>8214</v>
      </c>
      <c r="AN1736">
        <f t="shared" si="55"/>
        <v>8049.72</v>
      </c>
      <c r="AO1736" t="s">
        <v>66</v>
      </c>
      <c r="AP1736">
        <v>2</v>
      </c>
      <c r="AQ1736" t="s">
        <v>66</v>
      </c>
      <c r="AR1736">
        <v>0</v>
      </c>
      <c r="AS1736" t="s">
        <v>66</v>
      </c>
      <c r="AT1736">
        <v>0</v>
      </c>
      <c r="AU1736" t="s">
        <v>66</v>
      </c>
      <c r="AV1736">
        <v>0</v>
      </c>
      <c r="AW1736" t="s">
        <v>66</v>
      </c>
      <c r="AX1736">
        <v>0</v>
      </c>
      <c r="AY1736" t="s">
        <v>66</v>
      </c>
      <c r="AZ1736">
        <v>0</v>
      </c>
      <c r="BA1736" t="s">
        <v>66</v>
      </c>
      <c r="BB1736">
        <v>0</v>
      </c>
      <c r="BC1736">
        <v>0</v>
      </c>
      <c r="BD1736">
        <v>48298.32</v>
      </c>
      <c r="BE1736">
        <v>6590.47</v>
      </c>
      <c r="BF1736">
        <v>0</v>
      </c>
      <c r="BG1736" t="s">
        <v>87</v>
      </c>
      <c r="BH1736" t="s">
        <v>66</v>
      </c>
      <c r="BI1736">
        <v>0</v>
      </c>
      <c r="BJ1736" t="s">
        <v>66</v>
      </c>
      <c r="BK1736" t="s">
        <v>88</v>
      </c>
      <c r="BL1736" t="s">
        <v>719</v>
      </c>
      <c r="BM1736" t="s">
        <v>159</v>
      </c>
    </row>
    <row r="1737" spans="1:65" x14ac:dyDescent="0.25">
      <c r="A1737">
        <v>1735</v>
      </c>
      <c r="B1737" t="s">
        <v>1786</v>
      </c>
      <c r="C1737" t="s">
        <v>68</v>
      </c>
      <c r="D1737" s="1">
        <v>46225</v>
      </c>
      <c r="E1737" t="s">
        <v>1787</v>
      </c>
      <c r="F1737" t="s">
        <v>68</v>
      </c>
      <c r="G1737" t="s">
        <v>295</v>
      </c>
      <c r="H1737" t="s">
        <v>296</v>
      </c>
      <c r="I1737" t="s">
        <v>71</v>
      </c>
      <c r="J1737" t="s">
        <v>72</v>
      </c>
      <c r="K1737" t="s">
        <v>73</v>
      </c>
      <c r="L1737" t="s">
        <v>74</v>
      </c>
      <c r="M1737" t="s">
        <v>1788</v>
      </c>
      <c r="N1737" t="s">
        <v>76</v>
      </c>
      <c r="O1737" t="s">
        <v>1789</v>
      </c>
      <c r="P1737" t="s">
        <v>1790</v>
      </c>
      <c r="Q1737" t="s">
        <v>66</v>
      </c>
      <c r="R1737" s="1">
        <v>46225</v>
      </c>
      <c r="S1737" t="s">
        <v>841</v>
      </c>
      <c r="T1737" t="s">
        <v>842</v>
      </c>
      <c r="U1737" t="s">
        <v>843</v>
      </c>
      <c r="V1737" t="s">
        <v>66</v>
      </c>
      <c r="W1737" t="s">
        <v>66</v>
      </c>
      <c r="X1737">
        <v>1410636</v>
      </c>
      <c r="Y1737">
        <v>155169.96</v>
      </c>
      <c r="Z1737">
        <v>116424</v>
      </c>
      <c r="AA1737">
        <v>12806.64</v>
      </c>
      <c r="AB1737">
        <v>1565805.96</v>
      </c>
      <c r="AC1737">
        <v>6</v>
      </c>
      <c r="AD1737" t="s">
        <v>82</v>
      </c>
      <c r="AE1737">
        <v>6</v>
      </c>
      <c r="AF1737" t="s">
        <v>370</v>
      </c>
      <c r="AG1737">
        <f>IFERROR(VLOOKUP(AF1737,[1]STOK!J:O,6,0),"")</f>
        <v>12</v>
      </c>
      <c r="AH1737" s="2">
        <f t="shared" si="54"/>
        <v>0.5</v>
      </c>
      <c r="AI1737" t="s">
        <v>370</v>
      </c>
      <c r="AJ1737" t="s">
        <v>371</v>
      </c>
      <c r="AK1737" t="s">
        <v>372</v>
      </c>
      <c r="AL1737" t="s">
        <v>86</v>
      </c>
      <c r="AM1737">
        <v>21978</v>
      </c>
      <c r="AN1737">
        <f t="shared" si="55"/>
        <v>21538.44</v>
      </c>
      <c r="AO1737" t="s">
        <v>66</v>
      </c>
      <c r="AP1737">
        <v>2</v>
      </c>
      <c r="AQ1737" t="s">
        <v>66</v>
      </c>
      <c r="AR1737">
        <v>0</v>
      </c>
      <c r="AS1737" t="s">
        <v>66</v>
      </c>
      <c r="AT1737">
        <v>0</v>
      </c>
      <c r="AU1737" t="s">
        <v>66</v>
      </c>
      <c r="AV1737">
        <v>0</v>
      </c>
      <c r="AW1737" t="s">
        <v>66</v>
      </c>
      <c r="AX1737">
        <v>0</v>
      </c>
      <c r="AY1737" t="s">
        <v>66</v>
      </c>
      <c r="AZ1737">
        <v>0</v>
      </c>
      <c r="BA1737" t="s">
        <v>66</v>
      </c>
      <c r="BB1737">
        <v>0</v>
      </c>
      <c r="BC1737">
        <v>0</v>
      </c>
      <c r="BD1737">
        <v>129230.64</v>
      </c>
      <c r="BE1737">
        <v>17699.07</v>
      </c>
      <c r="BF1737">
        <v>0</v>
      </c>
      <c r="BG1737" t="s">
        <v>87</v>
      </c>
      <c r="BH1737" t="s">
        <v>66</v>
      </c>
      <c r="BI1737">
        <v>0</v>
      </c>
      <c r="BJ1737" t="s">
        <v>66</v>
      </c>
      <c r="BK1737" t="s">
        <v>88</v>
      </c>
      <c r="BL1737" t="s">
        <v>719</v>
      </c>
      <c r="BM1737" t="s">
        <v>159</v>
      </c>
    </row>
    <row r="1738" spans="1:65" x14ac:dyDescent="0.25">
      <c r="A1738">
        <v>1736</v>
      </c>
      <c r="B1738" t="s">
        <v>1786</v>
      </c>
      <c r="C1738" t="s">
        <v>68</v>
      </c>
      <c r="D1738" s="1">
        <v>46225</v>
      </c>
      <c r="E1738" t="s">
        <v>1787</v>
      </c>
      <c r="F1738" t="s">
        <v>68</v>
      </c>
      <c r="G1738" t="s">
        <v>295</v>
      </c>
      <c r="H1738" t="s">
        <v>296</v>
      </c>
      <c r="I1738" t="s">
        <v>71</v>
      </c>
      <c r="J1738" t="s">
        <v>72</v>
      </c>
      <c r="K1738" t="s">
        <v>73</v>
      </c>
      <c r="L1738" t="s">
        <v>74</v>
      </c>
      <c r="M1738" t="s">
        <v>1788</v>
      </c>
      <c r="N1738" t="s">
        <v>76</v>
      </c>
      <c r="O1738" t="s">
        <v>1789</v>
      </c>
      <c r="P1738" t="s">
        <v>1790</v>
      </c>
      <c r="Q1738" t="s">
        <v>66</v>
      </c>
      <c r="R1738" s="1">
        <v>46225</v>
      </c>
      <c r="S1738" t="s">
        <v>841</v>
      </c>
      <c r="T1738" t="s">
        <v>842</v>
      </c>
      <c r="U1738" t="s">
        <v>843</v>
      </c>
      <c r="V1738" t="s">
        <v>66</v>
      </c>
      <c r="W1738" t="s">
        <v>66</v>
      </c>
      <c r="X1738">
        <v>1410636</v>
      </c>
      <c r="Y1738">
        <v>155169.96</v>
      </c>
      <c r="Z1738">
        <v>87024</v>
      </c>
      <c r="AA1738">
        <v>9572.64</v>
      </c>
      <c r="AB1738">
        <v>1565805.96</v>
      </c>
      <c r="AC1738">
        <v>6</v>
      </c>
      <c r="AD1738" t="s">
        <v>82</v>
      </c>
      <c r="AE1738">
        <v>6</v>
      </c>
      <c r="AF1738" t="s">
        <v>845</v>
      </c>
      <c r="AG1738">
        <f>IFERROR(VLOOKUP(AF1738,[1]STOK!J:O,6,0),"")</f>
        <v>12</v>
      </c>
      <c r="AH1738" s="2">
        <f t="shared" si="54"/>
        <v>0.5</v>
      </c>
      <c r="AI1738" t="s">
        <v>845</v>
      </c>
      <c r="AJ1738" t="s">
        <v>846</v>
      </c>
      <c r="AK1738" t="s">
        <v>847</v>
      </c>
      <c r="AL1738" t="s">
        <v>86</v>
      </c>
      <c r="AM1738">
        <v>16428</v>
      </c>
      <c r="AN1738">
        <f t="shared" si="55"/>
        <v>16099.44</v>
      </c>
      <c r="AO1738" t="s">
        <v>66</v>
      </c>
      <c r="AP1738">
        <v>2</v>
      </c>
      <c r="AQ1738" t="s">
        <v>66</v>
      </c>
      <c r="AR1738">
        <v>0</v>
      </c>
      <c r="AS1738" t="s">
        <v>66</v>
      </c>
      <c r="AT1738">
        <v>0</v>
      </c>
      <c r="AU1738" t="s">
        <v>66</v>
      </c>
      <c r="AV1738">
        <v>0</v>
      </c>
      <c r="AW1738" t="s">
        <v>66</v>
      </c>
      <c r="AX1738">
        <v>0</v>
      </c>
      <c r="AY1738" t="s">
        <v>66</v>
      </c>
      <c r="AZ1738">
        <v>0</v>
      </c>
      <c r="BA1738" t="s">
        <v>66</v>
      </c>
      <c r="BB1738">
        <v>0</v>
      </c>
      <c r="BC1738">
        <v>0</v>
      </c>
      <c r="BD1738">
        <v>96596.64</v>
      </c>
      <c r="BE1738">
        <v>13524.97</v>
      </c>
      <c r="BF1738">
        <v>0</v>
      </c>
      <c r="BG1738" t="s">
        <v>87</v>
      </c>
      <c r="BH1738" t="s">
        <v>66</v>
      </c>
      <c r="BI1738">
        <v>0</v>
      </c>
      <c r="BJ1738" t="s">
        <v>66</v>
      </c>
      <c r="BK1738" t="s">
        <v>88</v>
      </c>
      <c r="BL1738" t="s">
        <v>719</v>
      </c>
      <c r="BM1738" t="s">
        <v>159</v>
      </c>
    </row>
    <row r="1739" spans="1:65" x14ac:dyDescent="0.25">
      <c r="A1739">
        <v>1737</v>
      </c>
      <c r="B1739" t="s">
        <v>1786</v>
      </c>
      <c r="C1739" t="s">
        <v>68</v>
      </c>
      <c r="D1739" s="1">
        <v>46225</v>
      </c>
      <c r="E1739" t="s">
        <v>1787</v>
      </c>
      <c r="F1739" t="s">
        <v>68</v>
      </c>
      <c r="G1739" t="s">
        <v>295</v>
      </c>
      <c r="H1739" t="s">
        <v>296</v>
      </c>
      <c r="I1739" t="s">
        <v>71</v>
      </c>
      <c r="J1739" t="s">
        <v>72</v>
      </c>
      <c r="K1739" t="s">
        <v>73</v>
      </c>
      <c r="L1739" t="s">
        <v>74</v>
      </c>
      <c r="M1739" t="s">
        <v>1788</v>
      </c>
      <c r="N1739" t="s">
        <v>76</v>
      </c>
      <c r="O1739" t="s">
        <v>1789</v>
      </c>
      <c r="P1739" t="s">
        <v>1790</v>
      </c>
      <c r="Q1739" t="s">
        <v>66</v>
      </c>
      <c r="R1739" s="1">
        <v>46225</v>
      </c>
      <c r="S1739" t="s">
        <v>841</v>
      </c>
      <c r="T1739" t="s">
        <v>842</v>
      </c>
      <c r="U1739" t="s">
        <v>843</v>
      </c>
      <c r="V1739" t="s">
        <v>66</v>
      </c>
      <c r="W1739" t="s">
        <v>66</v>
      </c>
      <c r="X1739">
        <v>1410636</v>
      </c>
      <c r="Y1739">
        <v>155169.96</v>
      </c>
      <c r="Z1739">
        <v>59388</v>
      </c>
      <c r="AA1739">
        <v>6532.68</v>
      </c>
      <c r="AB1739">
        <v>1565805.96</v>
      </c>
      <c r="AC1739">
        <v>6</v>
      </c>
      <c r="AD1739" t="s">
        <v>82</v>
      </c>
      <c r="AE1739">
        <v>6</v>
      </c>
      <c r="AF1739" t="s">
        <v>723</v>
      </c>
      <c r="AG1739">
        <f>IFERROR(VLOOKUP(AF1739,[1]STOK!J:O,6,0),"")</f>
        <v>24</v>
      </c>
      <c r="AH1739" s="2">
        <f t="shared" si="54"/>
        <v>0.25</v>
      </c>
      <c r="AI1739" t="s">
        <v>723</v>
      </c>
      <c r="AJ1739" t="s">
        <v>724</v>
      </c>
      <c r="AK1739" t="s">
        <v>725</v>
      </c>
      <c r="AL1739" t="s">
        <v>86</v>
      </c>
      <c r="AM1739">
        <v>11211</v>
      </c>
      <c r="AN1739">
        <f t="shared" si="55"/>
        <v>10986.779999999999</v>
      </c>
      <c r="AO1739" t="s">
        <v>66</v>
      </c>
      <c r="AP1739">
        <v>2</v>
      </c>
      <c r="AQ1739" t="s">
        <v>66</v>
      </c>
      <c r="AR1739">
        <v>0</v>
      </c>
      <c r="AS1739" t="s">
        <v>66</v>
      </c>
      <c r="AT1739">
        <v>0</v>
      </c>
      <c r="AU1739" t="s">
        <v>66</v>
      </c>
      <c r="AV1739">
        <v>0</v>
      </c>
      <c r="AW1739" t="s">
        <v>66</v>
      </c>
      <c r="AX1739">
        <v>0</v>
      </c>
      <c r="AY1739" t="s">
        <v>66</v>
      </c>
      <c r="AZ1739">
        <v>0</v>
      </c>
      <c r="BA1739" t="s">
        <v>66</v>
      </c>
      <c r="BB1739">
        <v>0</v>
      </c>
      <c r="BC1739">
        <v>0</v>
      </c>
      <c r="BD1739">
        <v>65920.679999999993</v>
      </c>
      <c r="BE1739">
        <v>9094.83</v>
      </c>
      <c r="BF1739">
        <v>0</v>
      </c>
      <c r="BG1739" t="s">
        <v>87</v>
      </c>
      <c r="BH1739" t="s">
        <v>66</v>
      </c>
      <c r="BI1739">
        <v>0</v>
      </c>
      <c r="BJ1739" t="s">
        <v>66</v>
      </c>
      <c r="BK1739" t="s">
        <v>88</v>
      </c>
      <c r="BL1739" t="s">
        <v>719</v>
      </c>
      <c r="BM1739" t="s">
        <v>159</v>
      </c>
    </row>
    <row r="1740" spans="1:65" x14ac:dyDescent="0.25">
      <c r="A1740">
        <v>1738</v>
      </c>
      <c r="B1740" t="s">
        <v>1786</v>
      </c>
      <c r="C1740" t="s">
        <v>68</v>
      </c>
      <c r="D1740" s="1">
        <v>46225</v>
      </c>
      <c r="E1740" t="s">
        <v>1787</v>
      </c>
      <c r="F1740" t="s">
        <v>68</v>
      </c>
      <c r="G1740" t="s">
        <v>295</v>
      </c>
      <c r="H1740" t="s">
        <v>296</v>
      </c>
      <c r="I1740" t="s">
        <v>71</v>
      </c>
      <c r="J1740" t="s">
        <v>72</v>
      </c>
      <c r="K1740" t="s">
        <v>73</v>
      </c>
      <c r="L1740" t="s">
        <v>74</v>
      </c>
      <c r="M1740" t="s">
        <v>1788</v>
      </c>
      <c r="N1740" t="s">
        <v>76</v>
      </c>
      <c r="O1740" t="s">
        <v>1789</v>
      </c>
      <c r="P1740" t="s">
        <v>1790</v>
      </c>
      <c r="Q1740" t="s">
        <v>66</v>
      </c>
      <c r="R1740" s="1">
        <v>46225</v>
      </c>
      <c r="S1740" t="s">
        <v>841</v>
      </c>
      <c r="T1740" t="s">
        <v>842</v>
      </c>
      <c r="U1740" t="s">
        <v>843</v>
      </c>
      <c r="V1740" t="s">
        <v>66</v>
      </c>
      <c r="W1740" t="s">
        <v>66</v>
      </c>
      <c r="X1740">
        <v>1410636</v>
      </c>
      <c r="Y1740">
        <v>155169.96</v>
      </c>
      <c r="Z1740">
        <v>59388</v>
      </c>
      <c r="AA1740">
        <v>6532.68</v>
      </c>
      <c r="AB1740">
        <v>1565805.96</v>
      </c>
      <c r="AC1740">
        <v>6</v>
      </c>
      <c r="AD1740" t="s">
        <v>82</v>
      </c>
      <c r="AE1740">
        <v>6</v>
      </c>
      <c r="AF1740" t="s">
        <v>857</v>
      </c>
      <c r="AG1740">
        <f>IFERROR(VLOOKUP(AF1740,[1]STOK!J:O,6,0),"")</f>
        <v>24</v>
      </c>
      <c r="AH1740" s="2">
        <f t="shared" si="54"/>
        <v>0.25</v>
      </c>
      <c r="AI1740" t="s">
        <v>857</v>
      </c>
      <c r="AJ1740" t="s">
        <v>858</v>
      </c>
      <c r="AK1740" t="s">
        <v>859</v>
      </c>
      <c r="AL1740" t="s">
        <v>86</v>
      </c>
      <c r="AM1740">
        <v>11211</v>
      </c>
      <c r="AN1740">
        <f t="shared" si="55"/>
        <v>10986.779999999999</v>
      </c>
      <c r="AO1740" t="s">
        <v>66</v>
      </c>
      <c r="AP1740">
        <v>2</v>
      </c>
      <c r="AQ1740" t="s">
        <v>66</v>
      </c>
      <c r="AR1740">
        <v>0</v>
      </c>
      <c r="AS1740" t="s">
        <v>66</v>
      </c>
      <c r="AT1740">
        <v>0</v>
      </c>
      <c r="AU1740" t="s">
        <v>66</v>
      </c>
      <c r="AV1740">
        <v>0</v>
      </c>
      <c r="AW1740" t="s">
        <v>66</v>
      </c>
      <c r="AX1740">
        <v>0</v>
      </c>
      <c r="AY1740" t="s">
        <v>66</v>
      </c>
      <c r="AZ1740">
        <v>0</v>
      </c>
      <c r="BA1740" t="s">
        <v>66</v>
      </c>
      <c r="BB1740">
        <v>0</v>
      </c>
      <c r="BC1740">
        <v>0</v>
      </c>
      <c r="BD1740">
        <v>65920.679999999993</v>
      </c>
      <c r="BE1740">
        <v>9287.77</v>
      </c>
      <c r="BF1740">
        <v>0</v>
      </c>
      <c r="BG1740" t="s">
        <v>87</v>
      </c>
      <c r="BH1740" t="s">
        <v>66</v>
      </c>
      <c r="BI1740">
        <v>0</v>
      </c>
      <c r="BJ1740" t="s">
        <v>66</v>
      </c>
      <c r="BK1740" t="s">
        <v>88</v>
      </c>
      <c r="BL1740" t="s">
        <v>719</v>
      </c>
      <c r="BM1740" t="s">
        <v>159</v>
      </c>
    </row>
    <row r="1741" spans="1:65" x14ac:dyDescent="0.25">
      <c r="A1741">
        <v>1739</v>
      </c>
      <c r="B1741" t="s">
        <v>1786</v>
      </c>
      <c r="C1741" t="s">
        <v>68</v>
      </c>
      <c r="D1741" s="1">
        <v>46225</v>
      </c>
      <c r="E1741" t="s">
        <v>1787</v>
      </c>
      <c r="F1741" t="s">
        <v>68</v>
      </c>
      <c r="G1741" t="s">
        <v>295</v>
      </c>
      <c r="H1741" t="s">
        <v>296</v>
      </c>
      <c r="I1741" t="s">
        <v>71</v>
      </c>
      <c r="J1741" t="s">
        <v>72</v>
      </c>
      <c r="K1741" t="s">
        <v>73</v>
      </c>
      <c r="L1741" t="s">
        <v>74</v>
      </c>
      <c r="M1741" t="s">
        <v>1788</v>
      </c>
      <c r="N1741" t="s">
        <v>76</v>
      </c>
      <c r="O1741" t="s">
        <v>1789</v>
      </c>
      <c r="P1741" t="s">
        <v>1790</v>
      </c>
      <c r="Q1741" t="s">
        <v>66</v>
      </c>
      <c r="R1741" s="1">
        <v>46225</v>
      </c>
      <c r="S1741" t="s">
        <v>841</v>
      </c>
      <c r="T1741" t="s">
        <v>842</v>
      </c>
      <c r="U1741" t="s">
        <v>843</v>
      </c>
      <c r="V1741" t="s">
        <v>66</v>
      </c>
      <c r="W1741" t="s">
        <v>66</v>
      </c>
      <c r="X1741">
        <v>1410636</v>
      </c>
      <c r="Y1741">
        <v>155169.96</v>
      </c>
      <c r="Z1741">
        <v>46452</v>
      </c>
      <c r="AA1741">
        <v>5109.72</v>
      </c>
      <c r="AB1741">
        <v>1565805.96</v>
      </c>
      <c r="AC1741">
        <v>6</v>
      </c>
      <c r="AD1741" t="s">
        <v>82</v>
      </c>
      <c r="AE1741">
        <v>6</v>
      </c>
      <c r="AF1741" t="s">
        <v>248</v>
      </c>
      <c r="AG1741">
        <f>IFERROR(VLOOKUP(AF1741,[1]STOK!J:O,6,0),"")</f>
        <v>24</v>
      </c>
      <c r="AH1741" s="2">
        <f t="shared" si="54"/>
        <v>0.25</v>
      </c>
      <c r="AI1741" t="s">
        <v>248</v>
      </c>
      <c r="AJ1741" t="s">
        <v>249</v>
      </c>
      <c r="AK1741" t="s">
        <v>250</v>
      </c>
      <c r="AL1741" t="s">
        <v>86</v>
      </c>
      <c r="AM1741">
        <v>8769</v>
      </c>
      <c r="AN1741">
        <f t="shared" si="55"/>
        <v>8593.6200000000008</v>
      </c>
      <c r="AO1741" t="s">
        <v>66</v>
      </c>
      <c r="AP1741">
        <v>2</v>
      </c>
      <c r="AQ1741" t="s">
        <v>66</v>
      </c>
      <c r="AR1741">
        <v>0</v>
      </c>
      <c r="AS1741" t="s">
        <v>66</v>
      </c>
      <c r="AT1741">
        <v>0</v>
      </c>
      <c r="AU1741" t="s">
        <v>66</v>
      </c>
      <c r="AV1741">
        <v>0</v>
      </c>
      <c r="AW1741" t="s">
        <v>66</v>
      </c>
      <c r="AX1741">
        <v>0</v>
      </c>
      <c r="AY1741" t="s">
        <v>66</v>
      </c>
      <c r="AZ1741">
        <v>0</v>
      </c>
      <c r="BA1741" t="s">
        <v>66</v>
      </c>
      <c r="BB1741">
        <v>0</v>
      </c>
      <c r="BC1741">
        <v>0</v>
      </c>
      <c r="BD1741">
        <v>51561.72</v>
      </c>
      <c r="BE1741">
        <v>7274.07</v>
      </c>
      <c r="BF1741">
        <v>0</v>
      </c>
      <c r="BG1741" t="s">
        <v>87</v>
      </c>
      <c r="BH1741" t="s">
        <v>66</v>
      </c>
      <c r="BI1741">
        <v>0</v>
      </c>
      <c r="BJ1741" t="s">
        <v>66</v>
      </c>
      <c r="BK1741" t="s">
        <v>88</v>
      </c>
      <c r="BL1741" t="s">
        <v>719</v>
      </c>
      <c r="BM1741" t="s">
        <v>159</v>
      </c>
    </row>
    <row r="1742" spans="1:65" x14ac:dyDescent="0.25">
      <c r="A1742">
        <v>1740</v>
      </c>
      <c r="B1742" t="s">
        <v>1786</v>
      </c>
      <c r="C1742" t="s">
        <v>68</v>
      </c>
      <c r="D1742" s="1">
        <v>46225</v>
      </c>
      <c r="E1742" t="s">
        <v>1787</v>
      </c>
      <c r="F1742" t="s">
        <v>68</v>
      </c>
      <c r="G1742" t="s">
        <v>295</v>
      </c>
      <c r="H1742" t="s">
        <v>296</v>
      </c>
      <c r="I1742" t="s">
        <v>71</v>
      </c>
      <c r="J1742" t="s">
        <v>72</v>
      </c>
      <c r="K1742" t="s">
        <v>73</v>
      </c>
      <c r="L1742" t="s">
        <v>74</v>
      </c>
      <c r="M1742" t="s">
        <v>1788</v>
      </c>
      <c r="N1742" t="s">
        <v>76</v>
      </c>
      <c r="O1742" t="s">
        <v>1789</v>
      </c>
      <c r="P1742" t="s">
        <v>1790</v>
      </c>
      <c r="Q1742" t="s">
        <v>66</v>
      </c>
      <c r="R1742" s="1">
        <v>46225</v>
      </c>
      <c r="S1742" t="s">
        <v>841</v>
      </c>
      <c r="T1742" t="s">
        <v>842</v>
      </c>
      <c r="U1742" t="s">
        <v>843</v>
      </c>
      <c r="V1742" t="s">
        <v>66</v>
      </c>
      <c r="W1742" t="s">
        <v>66</v>
      </c>
      <c r="X1742">
        <v>1410636</v>
      </c>
      <c r="Y1742">
        <v>155169.96</v>
      </c>
      <c r="Z1742">
        <v>97020</v>
      </c>
      <c r="AA1742">
        <v>10672.2</v>
      </c>
      <c r="AB1742">
        <v>1565805.96</v>
      </c>
      <c r="AC1742">
        <v>6</v>
      </c>
      <c r="AD1742" t="s">
        <v>82</v>
      </c>
      <c r="AE1742">
        <v>6</v>
      </c>
      <c r="AF1742" t="s">
        <v>93</v>
      </c>
      <c r="AG1742">
        <f>IFERROR(VLOOKUP(AF1742,[1]STOK!J:O,6,0),"")</f>
        <v>24</v>
      </c>
      <c r="AH1742" s="2">
        <f t="shared" si="54"/>
        <v>0.25</v>
      </c>
      <c r="AI1742" t="s">
        <v>93</v>
      </c>
      <c r="AJ1742" t="s">
        <v>94</v>
      </c>
      <c r="AK1742" t="s">
        <v>95</v>
      </c>
      <c r="AL1742" t="s">
        <v>86</v>
      </c>
      <c r="AM1742">
        <v>18315</v>
      </c>
      <c r="AN1742">
        <f t="shared" si="55"/>
        <v>17948.7</v>
      </c>
      <c r="AO1742" t="s">
        <v>66</v>
      </c>
      <c r="AP1742">
        <v>2</v>
      </c>
      <c r="AQ1742" t="s">
        <v>66</v>
      </c>
      <c r="AR1742">
        <v>0</v>
      </c>
      <c r="AS1742" t="s">
        <v>66</v>
      </c>
      <c r="AT1742">
        <v>0</v>
      </c>
      <c r="AU1742" t="s">
        <v>66</v>
      </c>
      <c r="AV1742">
        <v>0</v>
      </c>
      <c r="AW1742" t="s">
        <v>66</v>
      </c>
      <c r="AX1742">
        <v>0</v>
      </c>
      <c r="AY1742" t="s">
        <v>66</v>
      </c>
      <c r="AZ1742">
        <v>0</v>
      </c>
      <c r="BA1742" t="s">
        <v>66</v>
      </c>
      <c r="BB1742">
        <v>0</v>
      </c>
      <c r="BC1742">
        <v>0</v>
      </c>
      <c r="BD1742">
        <v>107692.2</v>
      </c>
      <c r="BE1742">
        <v>14878.51</v>
      </c>
      <c r="BF1742">
        <v>0</v>
      </c>
      <c r="BG1742" t="s">
        <v>87</v>
      </c>
      <c r="BH1742" t="s">
        <v>66</v>
      </c>
      <c r="BI1742">
        <v>0</v>
      </c>
      <c r="BJ1742" t="s">
        <v>66</v>
      </c>
      <c r="BK1742" t="s">
        <v>88</v>
      </c>
      <c r="BL1742" t="s">
        <v>719</v>
      </c>
      <c r="BM1742" t="s">
        <v>159</v>
      </c>
    </row>
    <row r="1743" spans="1:65" x14ac:dyDescent="0.25">
      <c r="A1743">
        <v>1741</v>
      </c>
      <c r="B1743" t="s">
        <v>1786</v>
      </c>
      <c r="C1743" t="s">
        <v>68</v>
      </c>
      <c r="D1743" s="1">
        <v>46225</v>
      </c>
      <c r="E1743" t="s">
        <v>1787</v>
      </c>
      <c r="F1743" t="s">
        <v>68</v>
      </c>
      <c r="G1743" t="s">
        <v>295</v>
      </c>
      <c r="H1743" t="s">
        <v>296</v>
      </c>
      <c r="I1743" t="s">
        <v>71</v>
      </c>
      <c r="J1743" t="s">
        <v>72</v>
      </c>
      <c r="K1743" t="s">
        <v>73</v>
      </c>
      <c r="L1743" t="s">
        <v>74</v>
      </c>
      <c r="M1743" t="s">
        <v>1788</v>
      </c>
      <c r="N1743" t="s">
        <v>76</v>
      </c>
      <c r="O1743" t="s">
        <v>1789</v>
      </c>
      <c r="P1743" t="s">
        <v>1790</v>
      </c>
      <c r="Q1743" t="s">
        <v>66</v>
      </c>
      <c r="R1743" s="1">
        <v>46225</v>
      </c>
      <c r="S1743" t="s">
        <v>841</v>
      </c>
      <c r="T1743" t="s">
        <v>842</v>
      </c>
      <c r="U1743" t="s">
        <v>843</v>
      </c>
      <c r="V1743" t="s">
        <v>66</v>
      </c>
      <c r="W1743" t="s">
        <v>66</v>
      </c>
      <c r="X1743">
        <v>1410636</v>
      </c>
      <c r="Y1743">
        <v>155169.96</v>
      </c>
      <c r="Z1743">
        <v>97020</v>
      </c>
      <c r="AA1743">
        <v>10672.2</v>
      </c>
      <c r="AB1743">
        <v>1565805.96</v>
      </c>
      <c r="AC1743">
        <v>6</v>
      </c>
      <c r="AD1743" t="s">
        <v>82</v>
      </c>
      <c r="AE1743">
        <v>6</v>
      </c>
      <c r="AF1743" t="s">
        <v>205</v>
      </c>
      <c r="AG1743">
        <f>IFERROR(VLOOKUP(AF1743,[1]STOK!J:O,6,0),"")</f>
        <v>24</v>
      </c>
      <c r="AH1743" s="2">
        <f t="shared" si="54"/>
        <v>0.25</v>
      </c>
      <c r="AI1743" t="s">
        <v>205</v>
      </c>
      <c r="AJ1743" t="s">
        <v>206</v>
      </c>
      <c r="AK1743" t="s">
        <v>207</v>
      </c>
      <c r="AL1743" t="s">
        <v>86</v>
      </c>
      <c r="AM1743">
        <v>18315</v>
      </c>
      <c r="AN1743">
        <f t="shared" si="55"/>
        <v>17948.7</v>
      </c>
      <c r="AO1743" t="s">
        <v>66</v>
      </c>
      <c r="AP1743">
        <v>2</v>
      </c>
      <c r="AQ1743" t="s">
        <v>66</v>
      </c>
      <c r="AR1743">
        <v>0</v>
      </c>
      <c r="AS1743" t="s">
        <v>66</v>
      </c>
      <c r="AT1743">
        <v>0</v>
      </c>
      <c r="AU1743" t="s">
        <v>66</v>
      </c>
      <c r="AV1743">
        <v>0</v>
      </c>
      <c r="AW1743" t="s">
        <v>66</v>
      </c>
      <c r="AX1743">
        <v>0</v>
      </c>
      <c r="AY1743" t="s">
        <v>66</v>
      </c>
      <c r="AZ1743">
        <v>0</v>
      </c>
      <c r="BA1743" t="s">
        <v>66</v>
      </c>
      <c r="BB1743">
        <v>0</v>
      </c>
      <c r="BC1743">
        <v>0</v>
      </c>
      <c r="BD1743">
        <v>107692.2</v>
      </c>
      <c r="BE1743">
        <v>14892.95</v>
      </c>
      <c r="BF1743">
        <v>0</v>
      </c>
      <c r="BG1743" t="s">
        <v>87</v>
      </c>
      <c r="BH1743" t="s">
        <v>66</v>
      </c>
      <c r="BI1743">
        <v>0</v>
      </c>
      <c r="BJ1743" t="s">
        <v>66</v>
      </c>
      <c r="BK1743" t="s">
        <v>88</v>
      </c>
      <c r="BL1743" t="s">
        <v>719</v>
      </c>
      <c r="BM1743" t="s">
        <v>159</v>
      </c>
    </row>
    <row r="1744" spans="1:65" x14ac:dyDescent="0.25">
      <c r="A1744">
        <v>1742</v>
      </c>
      <c r="B1744" t="s">
        <v>1786</v>
      </c>
      <c r="C1744" t="s">
        <v>68</v>
      </c>
      <c r="D1744" s="1">
        <v>46225</v>
      </c>
      <c r="E1744" t="s">
        <v>1787</v>
      </c>
      <c r="F1744" t="s">
        <v>68</v>
      </c>
      <c r="G1744" t="s">
        <v>295</v>
      </c>
      <c r="H1744" t="s">
        <v>296</v>
      </c>
      <c r="I1744" t="s">
        <v>71</v>
      </c>
      <c r="J1744" t="s">
        <v>72</v>
      </c>
      <c r="K1744" t="s">
        <v>73</v>
      </c>
      <c r="L1744" t="s">
        <v>74</v>
      </c>
      <c r="M1744" t="s">
        <v>1788</v>
      </c>
      <c r="N1744" t="s">
        <v>76</v>
      </c>
      <c r="O1744" t="s">
        <v>1789</v>
      </c>
      <c r="P1744" t="s">
        <v>1790</v>
      </c>
      <c r="Q1744" t="s">
        <v>66</v>
      </c>
      <c r="R1744" s="1">
        <v>46225</v>
      </c>
      <c r="S1744" t="s">
        <v>841</v>
      </c>
      <c r="T1744" t="s">
        <v>842</v>
      </c>
      <c r="U1744" t="s">
        <v>843</v>
      </c>
      <c r="V1744" t="s">
        <v>66</v>
      </c>
      <c r="W1744" t="s">
        <v>66</v>
      </c>
      <c r="X1744">
        <v>1410636</v>
      </c>
      <c r="Y1744">
        <v>155169.96</v>
      </c>
      <c r="Z1744">
        <v>97020</v>
      </c>
      <c r="AA1744">
        <v>10672.2</v>
      </c>
      <c r="AB1744">
        <v>1565805.96</v>
      </c>
      <c r="AC1744">
        <v>6</v>
      </c>
      <c r="AD1744" t="s">
        <v>82</v>
      </c>
      <c r="AE1744">
        <v>6</v>
      </c>
      <c r="AF1744" t="s">
        <v>96</v>
      </c>
      <c r="AG1744">
        <f>IFERROR(VLOOKUP(AF1744,[1]STOK!J:O,6,0),"")</f>
        <v>24</v>
      </c>
      <c r="AH1744" s="2">
        <f t="shared" si="54"/>
        <v>0.25</v>
      </c>
      <c r="AI1744" t="s">
        <v>96</v>
      </c>
      <c r="AJ1744" t="s">
        <v>97</v>
      </c>
      <c r="AK1744" t="s">
        <v>98</v>
      </c>
      <c r="AL1744" t="s">
        <v>86</v>
      </c>
      <c r="AM1744">
        <v>18315</v>
      </c>
      <c r="AN1744">
        <f t="shared" si="55"/>
        <v>17948.7</v>
      </c>
      <c r="AO1744" t="s">
        <v>66</v>
      </c>
      <c r="AP1744">
        <v>2</v>
      </c>
      <c r="AQ1744" t="s">
        <v>66</v>
      </c>
      <c r="AR1744">
        <v>0</v>
      </c>
      <c r="AS1744" t="s">
        <v>66</v>
      </c>
      <c r="AT1744">
        <v>0</v>
      </c>
      <c r="AU1744" t="s">
        <v>66</v>
      </c>
      <c r="AV1744">
        <v>0</v>
      </c>
      <c r="AW1744" t="s">
        <v>66</v>
      </c>
      <c r="AX1744">
        <v>0</v>
      </c>
      <c r="AY1744" t="s">
        <v>66</v>
      </c>
      <c r="AZ1744">
        <v>0</v>
      </c>
      <c r="BA1744" t="s">
        <v>66</v>
      </c>
      <c r="BB1744">
        <v>0</v>
      </c>
      <c r="BC1744">
        <v>0</v>
      </c>
      <c r="BD1744">
        <v>107692.2</v>
      </c>
      <c r="BE1744">
        <v>14906.41</v>
      </c>
      <c r="BF1744">
        <v>0</v>
      </c>
      <c r="BG1744" t="s">
        <v>87</v>
      </c>
      <c r="BH1744" t="s">
        <v>66</v>
      </c>
      <c r="BI1744">
        <v>0</v>
      </c>
      <c r="BJ1744" t="s">
        <v>66</v>
      </c>
      <c r="BK1744" t="s">
        <v>88</v>
      </c>
      <c r="BL1744" t="s">
        <v>719</v>
      </c>
      <c r="BM1744" t="s">
        <v>159</v>
      </c>
    </row>
    <row r="1745" spans="1:65" x14ac:dyDescent="0.25">
      <c r="A1745">
        <v>1743</v>
      </c>
      <c r="B1745" t="s">
        <v>1786</v>
      </c>
      <c r="C1745" t="s">
        <v>68</v>
      </c>
      <c r="D1745" s="1">
        <v>46225</v>
      </c>
      <c r="E1745" t="s">
        <v>1787</v>
      </c>
      <c r="F1745" t="s">
        <v>68</v>
      </c>
      <c r="G1745" t="s">
        <v>295</v>
      </c>
      <c r="H1745" t="s">
        <v>296</v>
      </c>
      <c r="I1745" t="s">
        <v>71</v>
      </c>
      <c r="J1745" t="s">
        <v>72</v>
      </c>
      <c r="K1745" t="s">
        <v>73</v>
      </c>
      <c r="L1745" t="s">
        <v>74</v>
      </c>
      <c r="M1745" t="s">
        <v>1788</v>
      </c>
      <c r="N1745" t="s">
        <v>76</v>
      </c>
      <c r="O1745" t="s">
        <v>1789</v>
      </c>
      <c r="P1745" t="s">
        <v>1790</v>
      </c>
      <c r="Q1745" t="s">
        <v>66</v>
      </c>
      <c r="R1745" s="1">
        <v>46225</v>
      </c>
      <c r="S1745" t="s">
        <v>841</v>
      </c>
      <c r="T1745" t="s">
        <v>842</v>
      </c>
      <c r="U1745" t="s">
        <v>843</v>
      </c>
      <c r="V1745" t="s">
        <v>66</v>
      </c>
      <c r="W1745" t="s">
        <v>66</v>
      </c>
      <c r="X1745">
        <v>1410636</v>
      </c>
      <c r="Y1745">
        <v>155169.96</v>
      </c>
      <c r="Z1745">
        <v>114072</v>
      </c>
      <c r="AA1745">
        <v>12547.92</v>
      </c>
      <c r="AB1745">
        <v>1565805.96</v>
      </c>
      <c r="AC1745">
        <v>6</v>
      </c>
      <c r="AD1745" t="s">
        <v>82</v>
      </c>
      <c r="AE1745">
        <v>6</v>
      </c>
      <c r="AF1745" t="s">
        <v>470</v>
      </c>
      <c r="AG1745">
        <f>IFERROR(VLOOKUP(AF1745,[1]STOK!J:O,6,0),"")</f>
        <v>24</v>
      </c>
      <c r="AH1745" s="2">
        <f t="shared" si="54"/>
        <v>0.25</v>
      </c>
      <c r="AI1745" t="s">
        <v>470</v>
      </c>
      <c r="AJ1745" t="s">
        <v>471</v>
      </c>
      <c r="AK1745" t="s">
        <v>472</v>
      </c>
      <c r="AL1745" t="s">
        <v>86</v>
      </c>
      <c r="AM1745">
        <v>21534</v>
      </c>
      <c r="AN1745">
        <f t="shared" si="55"/>
        <v>21103.32</v>
      </c>
      <c r="AO1745" t="s">
        <v>66</v>
      </c>
      <c r="AP1745">
        <v>2</v>
      </c>
      <c r="AQ1745" t="s">
        <v>66</v>
      </c>
      <c r="AR1745">
        <v>0</v>
      </c>
      <c r="AS1745" t="s">
        <v>66</v>
      </c>
      <c r="AT1745">
        <v>0</v>
      </c>
      <c r="AU1745" t="s">
        <v>66</v>
      </c>
      <c r="AV1745">
        <v>0</v>
      </c>
      <c r="AW1745" t="s">
        <v>66</v>
      </c>
      <c r="AX1745">
        <v>0</v>
      </c>
      <c r="AY1745" t="s">
        <v>66</v>
      </c>
      <c r="AZ1745">
        <v>0</v>
      </c>
      <c r="BA1745" t="s">
        <v>66</v>
      </c>
      <c r="BB1745">
        <v>0</v>
      </c>
      <c r="BC1745">
        <v>0</v>
      </c>
      <c r="BD1745">
        <v>126619.92</v>
      </c>
      <c r="BE1745">
        <v>17512.650000000001</v>
      </c>
      <c r="BF1745">
        <v>0</v>
      </c>
      <c r="BG1745" t="s">
        <v>87</v>
      </c>
      <c r="BH1745" t="s">
        <v>66</v>
      </c>
      <c r="BI1745">
        <v>0</v>
      </c>
      <c r="BJ1745" t="s">
        <v>66</v>
      </c>
      <c r="BK1745" t="s">
        <v>88</v>
      </c>
      <c r="BL1745" t="s">
        <v>719</v>
      </c>
      <c r="BM1745" t="s">
        <v>159</v>
      </c>
    </row>
    <row r="1746" spans="1:65" x14ac:dyDescent="0.25">
      <c r="A1746">
        <v>1744</v>
      </c>
      <c r="B1746" t="s">
        <v>1786</v>
      </c>
      <c r="C1746" t="s">
        <v>68</v>
      </c>
      <c r="D1746" s="1">
        <v>46225</v>
      </c>
      <c r="E1746" t="s">
        <v>1787</v>
      </c>
      <c r="F1746" t="s">
        <v>68</v>
      </c>
      <c r="G1746" t="s">
        <v>295</v>
      </c>
      <c r="H1746" t="s">
        <v>296</v>
      </c>
      <c r="I1746" t="s">
        <v>71</v>
      </c>
      <c r="J1746" t="s">
        <v>72</v>
      </c>
      <c r="K1746" t="s">
        <v>73</v>
      </c>
      <c r="L1746" t="s">
        <v>74</v>
      </c>
      <c r="M1746" t="s">
        <v>1788</v>
      </c>
      <c r="N1746" t="s">
        <v>76</v>
      </c>
      <c r="O1746" t="s">
        <v>1789</v>
      </c>
      <c r="P1746" t="s">
        <v>1790</v>
      </c>
      <c r="Q1746" t="s">
        <v>66</v>
      </c>
      <c r="R1746" s="1">
        <v>46225</v>
      </c>
      <c r="S1746" t="s">
        <v>841</v>
      </c>
      <c r="T1746" t="s">
        <v>842</v>
      </c>
      <c r="U1746" t="s">
        <v>843</v>
      </c>
      <c r="V1746" t="s">
        <v>66</v>
      </c>
      <c r="W1746" t="s">
        <v>66</v>
      </c>
      <c r="X1746">
        <v>1410636</v>
      </c>
      <c r="Y1746">
        <v>155169.96</v>
      </c>
      <c r="Z1746">
        <v>78204</v>
      </c>
      <c r="AA1746">
        <v>8602.44</v>
      </c>
      <c r="AB1746">
        <v>1565805.96</v>
      </c>
      <c r="AC1746">
        <v>6</v>
      </c>
      <c r="AD1746" t="s">
        <v>82</v>
      </c>
      <c r="AE1746">
        <v>6</v>
      </c>
      <c r="AF1746" t="s">
        <v>135</v>
      </c>
      <c r="AG1746">
        <f>IFERROR(VLOOKUP(AF1746,[1]STOK!J:O,6,0),"")</f>
        <v>12</v>
      </c>
      <c r="AH1746" s="2">
        <f t="shared" si="54"/>
        <v>0.5</v>
      </c>
      <c r="AI1746" t="s">
        <v>135</v>
      </c>
      <c r="AJ1746" t="s">
        <v>136</v>
      </c>
      <c r="AK1746" t="s">
        <v>137</v>
      </c>
      <c r="AL1746" t="s">
        <v>86</v>
      </c>
      <c r="AM1746">
        <v>14763</v>
      </c>
      <c r="AN1746">
        <f t="shared" si="55"/>
        <v>14467.74</v>
      </c>
      <c r="AO1746" t="s">
        <v>66</v>
      </c>
      <c r="AP1746">
        <v>2</v>
      </c>
      <c r="AQ1746" t="s">
        <v>66</v>
      </c>
      <c r="AR1746">
        <v>0</v>
      </c>
      <c r="AS1746" t="s">
        <v>66</v>
      </c>
      <c r="AT1746">
        <v>0</v>
      </c>
      <c r="AU1746" t="s">
        <v>66</v>
      </c>
      <c r="AV1746">
        <v>0</v>
      </c>
      <c r="AW1746" t="s">
        <v>66</v>
      </c>
      <c r="AX1746">
        <v>0</v>
      </c>
      <c r="AY1746" t="s">
        <v>66</v>
      </c>
      <c r="AZ1746">
        <v>0</v>
      </c>
      <c r="BA1746" t="s">
        <v>66</v>
      </c>
      <c r="BB1746">
        <v>0</v>
      </c>
      <c r="BC1746">
        <v>0</v>
      </c>
      <c r="BD1746">
        <v>86806.44</v>
      </c>
      <c r="BE1746">
        <v>12035.93</v>
      </c>
      <c r="BF1746">
        <v>0</v>
      </c>
      <c r="BG1746" t="s">
        <v>87</v>
      </c>
      <c r="BH1746" t="s">
        <v>66</v>
      </c>
      <c r="BI1746">
        <v>0</v>
      </c>
      <c r="BJ1746" t="s">
        <v>66</v>
      </c>
      <c r="BK1746" t="s">
        <v>88</v>
      </c>
      <c r="BL1746" t="s">
        <v>719</v>
      </c>
      <c r="BM1746" t="s">
        <v>159</v>
      </c>
    </row>
    <row r="1747" spans="1:65" x14ac:dyDescent="0.25">
      <c r="A1747">
        <v>1745</v>
      </c>
      <c r="B1747" t="s">
        <v>1786</v>
      </c>
      <c r="C1747" t="s">
        <v>68</v>
      </c>
      <c r="D1747" s="1">
        <v>46225</v>
      </c>
      <c r="E1747" t="s">
        <v>1787</v>
      </c>
      <c r="F1747" t="s">
        <v>68</v>
      </c>
      <c r="G1747" t="s">
        <v>295</v>
      </c>
      <c r="H1747" t="s">
        <v>296</v>
      </c>
      <c r="I1747" t="s">
        <v>71</v>
      </c>
      <c r="J1747" t="s">
        <v>72</v>
      </c>
      <c r="K1747" t="s">
        <v>73</v>
      </c>
      <c r="L1747" t="s">
        <v>74</v>
      </c>
      <c r="M1747" t="s">
        <v>1788</v>
      </c>
      <c r="N1747" t="s">
        <v>76</v>
      </c>
      <c r="O1747" t="s">
        <v>1789</v>
      </c>
      <c r="P1747" t="s">
        <v>1790</v>
      </c>
      <c r="Q1747" t="s">
        <v>66</v>
      </c>
      <c r="R1747" s="1">
        <v>46225</v>
      </c>
      <c r="S1747" t="s">
        <v>841</v>
      </c>
      <c r="T1747" t="s">
        <v>842</v>
      </c>
      <c r="U1747" t="s">
        <v>843</v>
      </c>
      <c r="V1747" t="s">
        <v>66</v>
      </c>
      <c r="W1747" t="s">
        <v>66</v>
      </c>
      <c r="X1747">
        <v>1410636</v>
      </c>
      <c r="Y1747">
        <v>155169.96</v>
      </c>
      <c r="Z1747">
        <v>78204</v>
      </c>
      <c r="AA1747">
        <v>8602.44</v>
      </c>
      <c r="AB1747">
        <v>1565805.96</v>
      </c>
      <c r="AC1747">
        <v>6</v>
      </c>
      <c r="AD1747" t="s">
        <v>82</v>
      </c>
      <c r="AE1747">
        <v>6</v>
      </c>
      <c r="AF1747" t="s">
        <v>210</v>
      </c>
      <c r="AG1747">
        <f>IFERROR(VLOOKUP(AF1747,[1]STOK!J:O,6,0),"")</f>
        <v>12</v>
      </c>
      <c r="AH1747" s="2">
        <f t="shared" si="54"/>
        <v>0.5</v>
      </c>
      <c r="AI1747" t="s">
        <v>210</v>
      </c>
      <c r="AJ1747" t="s">
        <v>211</v>
      </c>
      <c r="AK1747" t="s">
        <v>212</v>
      </c>
      <c r="AL1747" t="s">
        <v>86</v>
      </c>
      <c r="AM1747">
        <v>14763</v>
      </c>
      <c r="AN1747">
        <f t="shared" si="55"/>
        <v>14467.74</v>
      </c>
      <c r="AO1747" t="s">
        <v>66</v>
      </c>
      <c r="AP1747">
        <v>2</v>
      </c>
      <c r="AQ1747" t="s">
        <v>66</v>
      </c>
      <c r="AR1747">
        <v>0</v>
      </c>
      <c r="AS1747" t="s">
        <v>66</v>
      </c>
      <c r="AT1747">
        <v>0</v>
      </c>
      <c r="AU1747" t="s">
        <v>66</v>
      </c>
      <c r="AV1747">
        <v>0</v>
      </c>
      <c r="AW1747" t="s">
        <v>66</v>
      </c>
      <c r="AX1747">
        <v>0</v>
      </c>
      <c r="AY1747" t="s">
        <v>66</v>
      </c>
      <c r="AZ1747">
        <v>0</v>
      </c>
      <c r="BA1747" t="s">
        <v>66</v>
      </c>
      <c r="BB1747">
        <v>0</v>
      </c>
      <c r="BC1747">
        <v>0</v>
      </c>
      <c r="BD1747">
        <v>86806.44</v>
      </c>
      <c r="BE1747">
        <v>12013.43</v>
      </c>
      <c r="BF1747">
        <v>0</v>
      </c>
      <c r="BG1747" t="s">
        <v>87</v>
      </c>
      <c r="BH1747" t="s">
        <v>66</v>
      </c>
      <c r="BI1747">
        <v>0</v>
      </c>
      <c r="BJ1747" t="s">
        <v>66</v>
      </c>
      <c r="BK1747" t="s">
        <v>88</v>
      </c>
      <c r="BL1747" t="s">
        <v>719</v>
      </c>
      <c r="BM1747" t="s">
        <v>159</v>
      </c>
    </row>
    <row r="1748" spans="1:65" x14ac:dyDescent="0.25">
      <c r="A1748">
        <v>1746</v>
      </c>
      <c r="B1748" t="s">
        <v>1786</v>
      </c>
      <c r="C1748" t="s">
        <v>68</v>
      </c>
      <c r="D1748" s="1">
        <v>46225</v>
      </c>
      <c r="E1748" t="s">
        <v>1787</v>
      </c>
      <c r="F1748" t="s">
        <v>68</v>
      </c>
      <c r="G1748" t="s">
        <v>295</v>
      </c>
      <c r="H1748" t="s">
        <v>296</v>
      </c>
      <c r="I1748" t="s">
        <v>71</v>
      </c>
      <c r="J1748" t="s">
        <v>72</v>
      </c>
      <c r="K1748" t="s">
        <v>73</v>
      </c>
      <c r="L1748" t="s">
        <v>74</v>
      </c>
      <c r="M1748" t="s">
        <v>1788</v>
      </c>
      <c r="N1748" t="s">
        <v>76</v>
      </c>
      <c r="O1748" t="s">
        <v>1789</v>
      </c>
      <c r="P1748" t="s">
        <v>1790</v>
      </c>
      <c r="Q1748" t="s">
        <v>66</v>
      </c>
      <c r="R1748" s="1">
        <v>46225</v>
      </c>
      <c r="S1748" t="s">
        <v>841</v>
      </c>
      <c r="T1748" t="s">
        <v>842</v>
      </c>
      <c r="U1748" t="s">
        <v>843</v>
      </c>
      <c r="V1748" t="s">
        <v>66</v>
      </c>
      <c r="W1748" t="s">
        <v>66</v>
      </c>
      <c r="X1748">
        <v>1410636</v>
      </c>
      <c r="Y1748">
        <v>155169.96</v>
      </c>
      <c r="Z1748">
        <v>101724</v>
      </c>
      <c r="AA1748">
        <v>11189.64</v>
      </c>
      <c r="AB1748">
        <v>1565805.96</v>
      </c>
      <c r="AC1748">
        <v>6</v>
      </c>
      <c r="AD1748" t="s">
        <v>82</v>
      </c>
      <c r="AE1748">
        <v>6</v>
      </c>
      <c r="AF1748" t="s">
        <v>359</v>
      </c>
      <c r="AG1748">
        <f>IFERROR(VLOOKUP(AF1748,[1]STOK!J:O,6,0),"")</f>
        <v>12</v>
      </c>
      <c r="AH1748" s="2">
        <f t="shared" si="54"/>
        <v>0.5</v>
      </c>
      <c r="AI1748" t="s">
        <v>359</v>
      </c>
      <c r="AJ1748" t="s">
        <v>360</v>
      </c>
      <c r="AK1748" t="s">
        <v>361</v>
      </c>
      <c r="AL1748" t="s">
        <v>86</v>
      </c>
      <c r="AM1748">
        <v>19203</v>
      </c>
      <c r="AN1748">
        <f t="shared" si="55"/>
        <v>18818.939999999999</v>
      </c>
      <c r="AO1748" t="s">
        <v>66</v>
      </c>
      <c r="AP1748">
        <v>2</v>
      </c>
      <c r="AQ1748" t="s">
        <v>66</v>
      </c>
      <c r="AR1748">
        <v>0</v>
      </c>
      <c r="AS1748" t="s">
        <v>66</v>
      </c>
      <c r="AT1748">
        <v>0</v>
      </c>
      <c r="AU1748" t="s">
        <v>66</v>
      </c>
      <c r="AV1748">
        <v>0</v>
      </c>
      <c r="AW1748" t="s">
        <v>66</v>
      </c>
      <c r="AX1748">
        <v>0</v>
      </c>
      <c r="AY1748" t="s">
        <v>66</v>
      </c>
      <c r="AZ1748">
        <v>0</v>
      </c>
      <c r="BA1748" t="s">
        <v>66</v>
      </c>
      <c r="BB1748">
        <v>0</v>
      </c>
      <c r="BC1748">
        <v>0</v>
      </c>
      <c r="BD1748">
        <v>112913.64</v>
      </c>
      <c r="BE1748">
        <v>15628.14</v>
      </c>
      <c r="BF1748">
        <v>0</v>
      </c>
      <c r="BG1748" t="s">
        <v>87</v>
      </c>
      <c r="BH1748" t="s">
        <v>66</v>
      </c>
      <c r="BI1748">
        <v>0</v>
      </c>
      <c r="BJ1748" t="s">
        <v>66</v>
      </c>
      <c r="BK1748" t="s">
        <v>88</v>
      </c>
      <c r="BL1748" t="s">
        <v>719</v>
      </c>
      <c r="BM1748" t="s">
        <v>159</v>
      </c>
    </row>
    <row r="1749" spans="1:65" x14ac:dyDescent="0.25">
      <c r="A1749">
        <v>1747</v>
      </c>
      <c r="B1749" t="s">
        <v>1786</v>
      </c>
      <c r="C1749" t="s">
        <v>68</v>
      </c>
      <c r="D1749" s="1">
        <v>46225</v>
      </c>
      <c r="E1749" t="s">
        <v>1787</v>
      </c>
      <c r="F1749" t="s">
        <v>68</v>
      </c>
      <c r="G1749" t="s">
        <v>295</v>
      </c>
      <c r="H1749" t="s">
        <v>296</v>
      </c>
      <c r="I1749" t="s">
        <v>71</v>
      </c>
      <c r="J1749" t="s">
        <v>72</v>
      </c>
      <c r="K1749" t="s">
        <v>73</v>
      </c>
      <c r="L1749" t="s">
        <v>74</v>
      </c>
      <c r="M1749" t="s">
        <v>1788</v>
      </c>
      <c r="N1749" t="s">
        <v>76</v>
      </c>
      <c r="O1749" t="s">
        <v>1789</v>
      </c>
      <c r="P1749" t="s">
        <v>1790</v>
      </c>
      <c r="Q1749" t="s">
        <v>66</v>
      </c>
      <c r="R1749" s="1">
        <v>46225</v>
      </c>
      <c r="S1749" t="s">
        <v>841</v>
      </c>
      <c r="T1749" t="s">
        <v>842</v>
      </c>
      <c r="U1749" t="s">
        <v>843</v>
      </c>
      <c r="V1749" t="s">
        <v>66</v>
      </c>
      <c r="W1749" t="s">
        <v>66</v>
      </c>
      <c r="X1749">
        <v>1410636</v>
      </c>
      <c r="Y1749">
        <v>155169.96</v>
      </c>
      <c r="Z1749">
        <v>118800</v>
      </c>
      <c r="AA1749">
        <v>13068</v>
      </c>
      <c r="AB1749">
        <v>1565805.96</v>
      </c>
      <c r="AC1749">
        <v>6</v>
      </c>
      <c r="AD1749" t="s">
        <v>82</v>
      </c>
      <c r="AE1749">
        <v>6</v>
      </c>
      <c r="AF1749" t="s">
        <v>102</v>
      </c>
      <c r="AG1749">
        <f>IFERROR(VLOOKUP(AF1749,[1]STOK!J:O,6,0),"")</f>
        <v>12</v>
      </c>
      <c r="AH1749" s="2">
        <f t="shared" si="54"/>
        <v>0.5</v>
      </c>
      <c r="AI1749" t="s">
        <v>102</v>
      </c>
      <c r="AJ1749" t="s">
        <v>103</v>
      </c>
      <c r="AK1749" t="s">
        <v>104</v>
      </c>
      <c r="AL1749" t="s">
        <v>86</v>
      </c>
      <c r="AM1749">
        <v>22200</v>
      </c>
      <c r="AN1749">
        <f t="shared" si="55"/>
        <v>21978</v>
      </c>
      <c r="AO1749" t="s">
        <v>66</v>
      </c>
      <c r="AP1749">
        <v>1</v>
      </c>
      <c r="AQ1749" t="s">
        <v>66</v>
      </c>
      <c r="AR1749">
        <v>0</v>
      </c>
      <c r="AS1749" t="s">
        <v>66</v>
      </c>
      <c r="AT1749">
        <v>0</v>
      </c>
      <c r="AU1749" t="s">
        <v>66</v>
      </c>
      <c r="AV1749">
        <v>0</v>
      </c>
      <c r="AW1749" t="s">
        <v>66</v>
      </c>
      <c r="AX1749">
        <v>0</v>
      </c>
      <c r="AY1749" t="s">
        <v>66</v>
      </c>
      <c r="AZ1749">
        <v>0</v>
      </c>
      <c r="BA1749" t="s">
        <v>66</v>
      </c>
      <c r="BB1749">
        <v>0</v>
      </c>
      <c r="BC1749">
        <v>0</v>
      </c>
      <c r="BD1749">
        <v>131868</v>
      </c>
      <c r="BE1749">
        <v>18055.25</v>
      </c>
      <c r="BF1749">
        <v>0</v>
      </c>
      <c r="BG1749" t="s">
        <v>87</v>
      </c>
      <c r="BH1749" t="s">
        <v>66</v>
      </c>
      <c r="BI1749">
        <v>0</v>
      </c>
      <c r="BJ1749" t="s">
        <v>66</v>
      </c>
      <c r="BK1749" t="s">
        <v>88</v>
      </c>
      <c r="BL1749" t="s">
        <v>719</v>
      </c>
      <c r="BM1749" t="s">
        <v>159</v>
      </c>
    </row>
    <row r="1750" spans="1:65" x14ac:dyDescent="0.25">
      <c r="A1750">
        <v>1748</v>
      </c>
      <c r="B1750" t="s">
        <v>1791</v>
      </c>
      <c r="C1750" t="s">
        <v>68</v>
      </c>
      <c r="D1750" s="1">
        <v>46226</v>
      </c>
      <c r="E1750" t="s">
        <v>1792</v>
      </c>
      <c r="F1750" t="s">
        <v>68</v>
      </c>
      <c r="G1750" t="s">
        <v>295</v>
      </c>
      <c r="H1750" t="s">
        <v>296</v>
      </c>
      <c r="I1750" t="s">
        <v>71</v>
      </c>
      <c r="J1750" t="s">
        <v>72</v>
      </c>
      <c r="K1750" t="s">
        <v>73</v>
      </c>
      <c r="L1750" t="s">
        <v>74</v>
      </c>
      <c r="M1750" t="s">
        <v>1134</v>
      </c>
      <c r="N1750" t="s">
        <v>111</v>
      </c>
      <c r="O1750" t="s">
        <v>1135</v>
      </c>
      <c r="P1750" t="s">
        <v>1136</v>
      </c>
      <c r="Q1750" t="s">
        <v>66</v>
      </c>
      <c r="R1750" s="1">
        <v>46227</v>
      </c>
      <c r="S1750" t="s">
        <v>1138</v>
      </c>
      <c r="T1750" t="s">
        <v>1139</v>
      </c>
      <c r="U1750" t="s">
        <v>1140</v>
      </c>
      <c r="V1750" t="s">
        <v>66</v>
      </c>
      <c r="W1750" t="s">
        <v>66</v>
      </c>
      <c r="X1750">
        <v>7576620</v>
      </c>
      <c r="Y1750">
        <v>833428.2</v>
      </c>
      <c r="Z1750">
        <v>390060</v>
      </c>
      <c r="AA1750">
        <v>42906.6</v>
      </c>
      <c r="AB1750">
        <v>8410048.1999999993</v>
      </c>
      <c r="AC1750">
        <v>24</v>
      </c>
      <c r="AD1750" t="s">
        <v>82</v>
      </c>
      <c r="AE1750">
        <v>24</v>
      </c>
      <c r="AF1750" t="s">
        <v>128</v>
      </c>
      <c r="AG1750">
        <f>IFERROR(VLOOKUP(AF1750,[1]STOK!J:O,6,0),"")</f>
        <v>24</v>
      </c>
      <c r="AH1750" s="2">
        <f t="shared" si="54"/>
        <v>1</v>
      </c>
      <c r="AI1750" t="s">
        <v>128</v>
      </c>
      <c r="AJ1750" t="s">
        <v>129</v>
      </c>
      <c r="AK1750" t="s">
        <v>130</v>
      </c>
      <c r="AL1750" t="s">
        <v>86</v>
      </c>
      <c r="AM1750">
        <v>18315</v>
      </c>
      <c r="AN1750">
        <f t="shared" si="55"/>
        <v>18040.274999999998</v>
      </c>
      <c r="AO1750" t="s">
        <v>66</v>
      </c>
      <c r="AP1750">
        <v>1.5</v>
      </c>
      <c r="AQ1750" t="s">
        <v>66</v>
      </c>
      <c r="AR1750">
        <v>0</v>
      </c>
      <c r="AS1750" t="s">
        <v>66</v>
      </c>
      <c r="AT1750">
        <v>0</v>
      </c>
      <c r="AU1750" t="s">
        <v>66</v>
      </c>
      <c r="AV1750">
        <v>0</v>
      </c>
      <c r="AW1750" t="s">
        <v>66</v>
      </c>
      <c r="AX1750">
        <v>0</v>
      </c>
      <c r="AY1750" t="s">
        <v>66</v>
      </c>
      <c r="AZ1750">
        <v>0</v>
      </c>
      <c r="BA1750" t="s">
        <v>66</v>
      </c>
      <c r="BB1750">
        <v>0</v>
      </c>
      <c r="BC1750">
        <v>0</v>
      </c>
      <c r="BD1750">
        <v>432966.6</v>
      </c>
      <c r="BE1750">
        <v>14828.88</v>
      </c>
      <c r="BF1750">
        <v>0</v>
      </c>
      <c r="BG1750" t="s">
        <v>87</v>
      </c>
      <c r="BH1750" t="s">
        <v>1793</v>
      </c>
      <c r="BI1750">
        <v>24</v>
      </c>
      <c r="BJ1750" t="s">
        <v>158</v>
      </c>
      <c r="BK1750" t="s">
        <v>88</v>
      </c>
      <c r="BL1750" t="s">
        <v>66</v>
      </c>
      <c r="BM1750" t="s">
        <v>159</v>
      </c>
    </row>
    <row r="1751" spans="1:65" x14ac:dyDescent="0.25">
      <c r="A1751">
        <v>1749</v>
      </c>
      <c r="B1751" t="s">
        <v>1791</v>
      </c>
      <c r="C1751" t="s">
        <v>68</v>
      </c>
      <c r="D1751" s="1">
        <v>46226</v>
      </c>
      <c r="E1751" t="s">
        <v>1792</v>
      </c>
      <c r="F1751" t="s">
        <v>68</v>
      </c>
      <c r="G1751" t="s">
        <v>295</v>
      </c>
      <c r="H1751" t="s">
        <v>296</v>
      </c>
      <c r="I1751" t="s">
        <v>71</v>
      </c>
      <c r="J1751" t="s">
        <v>72</v>
      </c>
      <c r="K1751" t="s">
        <v>73</v>
      </c>
      <c r="L1751" t="s">
        <v>74</v>
      </c>
      <c r="M1751" t="s">
        <v>1134</v>
      </c>
      <c r="N1751" t="s">
        <v>111</v>
      </c>
      <c r="O1751" t="s">
        <v>1135</v>
      </c>
      <c r="P1751" t="s">
        <v>1136</v>
      </c>
      <c r="Q1751" t="s">
        <v>66</v>
      </c>
      <c r="R1751" s="1">
        <v>46227</v>
      </c>
      <c r="S1751" t="s">
        <v>1138</v>
      </c>
      <c r="T1751" t="s">
        <v>1139</v>
      </c>
      <c r="U1751" t="s">
        <v>1140</v>
      </c>
      <c r="V1751" t="s">
        <v>66</v>
      </c>
      <c r="W1751" t="s">
        <v>66</v>
      </c>
      <c r="X1751">
        <v>7576620</v>
      </c>
      <c r="Y1751">
        <v>833428.2</v>
      </c>
      <c r="Z1751">
        <v>390060</v>
      </c>
      <c r="AA1751">
        <v>42906.6</v>
      </c>
      <c r="AB1751">
        <v>8410048.1999999993</v>
      </c>
      <c r="AC1751">
        <v>24</v>
      </c>
      <c r="AD1751" t="s">
        <v>82</v>
      </c>
      <c r="AE1751">
        <v>24</v>
      </c>
      <c r="AF1751" t="s">
        <v>93</v>
      </c>
      <c r="AG1751">
        <f>IFERROR(VLOOKUP(AF1751,[1]STOK!J:O,6,0),"")</f>
        <v>24</v>
      </c>
      <c r="AH1751" s="2">
        <f t="shared" si="54"/>
        <v>1</v>
      </c>
      <c r="AI1751" t="s">
        <v>93</v>
      </c>
      <c r="AJ1751" t="s">
        <v>94</v>
      </c>
      <c r="AK1751" t="s">
        <v>95</v>
      </c>
      <c r="AL1751" t="s">
        <v>86</v>
      </c>
      <c r="AM1751">
        <v>18315</v>
      </c>
      <c r="AN1751">
        <f t="shared" si="55"/>
        <v>18040.274999999998</v>
      </c>
      <c r="AO1751" t="s">
        <v>66</v>
      </c>
      <c r="AP1751">
        <v>1.5</v>
      </c>
      <c r="AQ1751" t="s">
        <v>66</v>
      </c>
      <c r="AR1751">
        <v>0</v>
      </c>
      <c r="AS1751" t="s">
        <v>66</v>
      </c>
      <c r="AT1751">
        <v>0</v>
      </c>
      <c r="AU1751" t="s">
        <v>66</v>
      </c>
      <c r="AV1751">
        <v>0</v>
      </c>
      <c r="AW1751" t="s">
        <v>66</v>
      </c>
      <c r="AX1751">
        <v>0</v>
      </c>
      <c r="AY1751" t="s">
        <v>66</v>
      </c>
      <c r="AZ1751">
        <v>0</v>
      </c>
      <c r="BA1751" t="s">
        <v>66</v>
      </c>
      <c r="BB1751">
        <v>0</v>
      </c>
      <c r="BC1751">
        <v>0</v>
      </c>
      <c r="BD1751">
        <v>432966.6</v>
      </c>
      <c r="BE1751">
        <v>14878.51</v>
      </c>
      <c r="BF1751">
        <v>0</v>
      </c>
      <c r="BG1751" t="s">
        <v>87</v>
      </c>
      <c r="BH1751" t="s">
        <v>1793</v>
      </c>
      <c r="BI1751">
        <v>24</v>
      </c>
      <c r="BJ1751" t="s">
        <v>158</v>
      </c>
      <c r="BK1751" t="s">
        <v>88</v>
      </c>
      <c r="BL1751" t="s">
        <v>66</v>
      </c>
      <c r="BM1751" t="s">
        <v>159</v>
      </c>
    </row>
    <row r="1752" spans="1:65" x14ac:dyDescent="0.25">
      <c r="A1752">
        <v>1750</v>
      </c>
      <c r="B1752" t="s">
        <v>1791</v>
      </c>
      <c r="C1752" t="s">
        <v>68</v>
      </c>
      <c r="D1752" s="1">
        <v>46226</v>
      </c>
      <c r="E1752" t="s">
        <v>1792</v>
      </c>
      <c r="F1752" t="s">
        <v>68</v>
      </c>
      <c r="G1752" t="s">
        <v>295</v>
      </c>
      <c r="H1752" t="s">
        <v>296</v>
      </c>
      <c r="I1752" t="s">
        <v>71</v>
      </c>
      <c r="J1752" t="s">
        <v>72</v>
      </c>
      <c r="K1752" t="s">
        <v>73</v>
      </c>
      <c r="L1752" t="s">
        <v>74</v>
      </c>
      <c r="M1752" t="s">
        <v>1134</v>
      </c>
      <c r="N1752" t="s">
        <v>111</v>
      </c>
      <c r="O1752" t="s">
        <v>1135</v>
      </c>
      <c r="P1752" t="s">
        <v>1136</v>
      </c>
      <c r="Q1752" t="s">
        <v>66</v>
      </c>
      <c r="R1752" s="1">
        <v>46227</v>
      </c>
      <c r="S1752" t="s">
        <v>1138</v>
      </c>
      <c r="T1752" t="s">
        <v>1139</v>
      </c>
      <c r="U1752" t="s">
        <v>1140</v>
      </c>
      <c r="V1752" t="s">
        <v>66</v>
      </c>
      <c r="W1752" t="s">
        <v>66</v>
      </c>
      <c r="X1752">
        <v>7576620</v>
      </c>
      <c r="Y1752">
        <v>833428.2</v>
      </c>
      <c r="Z1752">
        <v>390060</v>
      </c>
      <c r="AA1752">
        <v>42906.6</v>
      </c>
      <c r="AB1752">
        <v>8410048.1999999993</v>
      </c>
      <c r="AC1752">
        <v>24</v>
      </c>
      <c r="AD1752" t="s">
        <v>82</v>
      </c>
      <c r="AE1752">
        <v>24</v>
      </c>
      <c r="AF1752" t="s">
        <v>205</v>
      </c>
      <c r="AG1752">
        <f>IFERROR(VLOOKUP(AF1752,[1]STOK!J:O,6,0),"")</f>
        <v>24</v>
      </c>
      <c r="AH1752" s="2">
        <f t="shared" si="54"/>
        <v>1</v>
      </c>
      <c r="AI1752" t="s">
        <v>205</v>
      </c>
      <c r="AJ1752" t="s">
        <v>206</v>
      </c>
      <c r="AK1752" t="s">
        <v>207</v>
      </c>
      <c r="AL1752" t="s">
        <v>86</v>
      </c>
      <c r="AM1752">
        <v>18315</v>
      </c>
      <c r="AN1752">
        <f t="shared" si="55"/>
        <v>18040.274999999998</v>
      </c>
      <c r="AO1752" t="s">
        <v>66</v>
      </c>
      <c r="AP1752">
        <v>1.5</v>
      </c>
      <c r="AQ1752" t="s">
        <v>66</v>
      </c>
      <c r="AR1752">
        <v>0</v>
      </c>
      <c r="AS1752" t="s">
        <v>66</v>
      </c>
      <c r="AT1752">
        <v>0</v>
      </c>
      <c r="AU1752" t="s">
        <v>66</v>
      </c>
      <c r="AV1752">
        <v>0</v>
      </c>
      <c r="AW1752" t="s">
        <v>66</v>
      </c>
      <c r="AX1752">
        <v>0</v>
      </c>
      <c r="AY1752" t="s">
        <v>66</v>
      </c>
      <c r="AZ1752">
        <v>0</v>
      </c>
      <c r="BA1752" t="s">
        <v>66</v>
      </c>
      <c r="BB1752">
        <v>0</v>
      </c>
      <c r="BC1752">
        <v>0</v>
      </c>
      <c r="BD1752">
        <v>432966.6</v>
      </c>
      <c r="BE1752">
        <v>14892.95</v>
      </c>
      <c r="BF1752">
        <v>0</v>
      </c>
      <c r="BG1752" t="s">
        <v>87</v>
      </c>
      <c r="BH1752" t="s">
        <v>1793</v>
      </c>
      <c r="BI1752">
        <v>24</v>
      </c>
      <c r="BJ1752" t="s">
        <v>158</v>
      </c>
      <c r="BK1752" t="s">
        <v>88</v>
      </c>
      <c r="BL1752" t="s">
        <v>66</v>
      </c>
      <c r="BM1752" t="s">
        <v>159</v>
      </c>
    </row>
    <row r="1753" spans="1:65" x14ac:dyDescent="0.25">
      <c r="A1753">
        <v>1751</v>
      </c>
      <c r="B1753" t="s">
        <v>1791</v>
      </c>
      <c r="C1753" t="s">
        <v>68</v>
      </c>
      <c r="D1753" s="1">
        <v>46226</v>
      </c>
      <c r="E1753" t="s">
        <v>1792</v>
      </c>
      <c r="F1753" t="s">
        <v>68</v>
      </c>
      <c r="G1753" t="s">
        <v>295</v>
      </c>
      <c r="H1753" t="s">
        <v>296</v>
      </c>
      <c r="I1753" t="s">
        <v>71</v>
      </c>
      <c r="J1753" t="s">
        <v>72</v>
      </c>
      <c r="K1753" t="s">
        <v>73</v>
      </c>
      <c r="L1753" t="s">
        <v>74</v>
      </c>
      <c r="M1753" t="s">
        <v>1134</v>
      </c>
      <c r="N1753" t="s">
        <v>111</v>
      </c>
      <c r="O1753" t="s">
        <v>1135</v>
      </c>
      <c r="P1753" t="s">
        <v>1136</v>
      </c>
      <c r="Q1753" t="s">
        <v>66</v>
      </c>
      <c r="R1753" s="1">
        <v>46227</v>
      </c>
      <c r="S1753" t="s">
        <v>1138</v>
      </c>
      <c r="T1753" t="s">
        <v>1139</v>
      </c>
      <c r="U1753" t="s">
        <v>1140</v>
      </c>
      <c r="V1753" t="s">
        <v>66</v>
      </c>
      <c r="W1753" t="s">
        <v>66</v>
      </c>
      <c r="X1753">
        <v>7576620</v>
      </c>
      <c r="Y1753">
        <v>833428.2</v>
      </c>
      <c r="Z1753">
        <v>645372</v>
      </c>
      <c r="AA1753">
        <v>70990.92</v>
      </c>
      <c r="AB1753">
        <v>8410048.1999999993</v>
      </c>
      <c r="AC1753">
        <v>24</v>
      </c>
      <c r="AD1753" t="s">
        <v>82</v>
      </c>
      <c r="AE1753">
        <v>24</v>
      </c>
      <c r="AF1753" t="s">
        <v>593</v>
      </c>
      <c r="AG1753">
        <f>IFERROR(VLOOKUP(AF1753,[1]STOK!J:O,6,0),"")</f>
        <v>12</v>
      </c>
      <c r="AH1753" s="2">
        <f t="shared" si="54"/>
        <v>2</v>
      </c>
      <c r="AI1753" t="s">
        <v>593</v>
      </c>
      <c r="AJ1753" t="s">
        <v>594</v>
      </c>
      <c r="AK1753" t="s">
        <v>595</v>
      </c>
      <c r="AL1753" t="s">
        <v>86</v>
      </c>
      <c r="AM1753">
        <v>30303</v>
      </c>
      <c r="AN1753">
        <f t="shared" si="55"/>
        <v>29848.455000000002</v>
      </c>
      <c r="AO1753" t="s">
        <v>66</v>
      </c>
      <c r="AP1753">
        <v>1.5</v>
      </c>
      <c r="AQ1753" t="s">
        <v>66</v>
      </c>
      <c r="AR1753">
        <v>0</v>
      </c>
      <c r="AS1753" t="s">
        <v>66</v>
      </c>
      <c r="AT1753">
        <v>0</v>
      </c>
      <c r="AU1753" t="s">
        <v>66</v>
      </c>
      <c r="AV1753">
        <v>0</v>
      </c>
      <c r="AW1753" t="s">
        <v>66</v>
      </c>
      <c r="AX1753">
        <v>0</v>
      </c>
      <c r="AY1753" t="s">
        <v>66</v>
      </c>
      <c r="AZ1753">
        <v>0</v>
      </c>
      <c r="BA1753" t="s">
        <v>66</v>
      </c>
      <c r="BB1753">
        <v>0</v>
      </c>
      <c r="BC1753">
        <v>0</v>
      </c>
      <c r="BD1753">
        <v>716362.92</v>
      </c>
      <c r="BE1753">
        <v>24612.83</v>
      </c>
      <c r="BF1753">
        <v>0</v>
      </c>
      <c r="BG1753" t="s">
        <v>87</v>
      </c>
      <c r="BH1753" t="s">
        <v>1793</v>
      </c>
      <c r="BI1753">
        <v>24</v>
      </c>
      <c r="BJ1753" t="s">
        <v>158</v>
      </c>
      <c r="BK1753" t="s">
        <v>88</v>
      </c>
      <c r="BL1753" t="s">
        <v>66</v>
      </c>
      <c r="BM1753" t="s">
        <v>159</v>
      </c>
    </row>
    <row r="1754" spans="1:65" x14ac:dyDescent="0.25">
      <c r="A1754">
        <v>1752</v>
      </c>
      <c r="B1754" t="s">
        <v>1791</v>
      </c>
      <c r="C1754" t="s">
        <v>68</v>
      </c>
      <c r="D1754" s="1">
        <v>46226</v>
      </c>
      <c r="E1754" t="s">
        <v>1792</v>
      </c>
      <c r="F1754" t="s">
        <v>68</v>
      </c>
      <c r="G1754" t="s">
        <v>295</v>
      </c>
      <c r="H1754" t="s">
        <v>296</v>
      </c>
      <c r="I1754" t="s">
        <v>71</v>
      </c>
      <c r="J1754" t="s">
        <v>72</v>
      </c>
      <c r="K1754" t="s">
        <v>73</v>
      </c>
      <c r="L1754" t="s">
        <v>74</v>
      </c>
      <c r="M1754" t="s">
        <v>1134</v>
      </c>
      <c r="N1754" t="s">
        <v>111</v>
      </c>
      <c r="O1754" t="s">
        <v>1135</v>
      </c>
      <c r="P1754" t="s">
        <v>1136</v>
      </c>
      <c r="Q1754" t="s">
        <v>66</v>
      </c>
      <c r="R1754" s="1">
        <v>46227</v>
      </c>
      <c r="S1754" t="s">
        <v>1138</v>
      </c>
      <c r="T1754" t="s">
        <v>1139</v>
      </c>
      <c r="U1754" t="s">
        <v>1140</v>
      </c>
      <c r="V1754" t="s">
        <v>66</v>
      </c>
      <c r="W1754" t="s">
        <v>66</v>
      </c>
      <c r="X1754">
        <v>7576620</v>
      </c>
      <c r="Y1754">
        <v>833428.2</v>
      </c>
      <c r="Z1754">
        <v>968058</v>
      </c>
      <c r="AA1754">
        <v>106486.38</v>
      </c>
      <c r="AB1754">
        <v>8410048.1999999993</v>
      </c>
      <c r="AC1754">
        <v>36</v>
      </c>
      <c r="AD1754" t="s">
        <v>82</v>
      </c>
      <c r="AE1754">
        <v>36</v>
      </c>
      <c r="AF1754" t="s">
        <v>303</v>
      </c>
      <c r="AG1754">
        <f>IFERROR(VLOOKUP(AF1754,[1]STOK!J:O,6,0),"")</f>
        <v>12</v>
      </c>
      <c r="AH1754" s="2">
        <f t="shared" si="54"/>
        <v>3</v>
      </c>
      <c r="AI1754" t="s">
        <v>303</v>
      </c>
      <c r="AJ1754" t="s">
        <v>304</v>
      </c>
      <c r="AK1754" t="s">
        <v>305</v>
      </c>
      <c r="AL1754" t="s">
        <v>86</v>
      </c>
      <c r="AM1754">
        <v>30303</v>
      </c>
      <c r="AN1754">
        <f t="shared" si="55"/>
        <v>29848.454999999998</v>
      </c>
      <c r="AO1754" t="s">
        <v>66</v>
      </c>
      <c r="AP1754">
        <v>1.5</v>
      </c>
      <c r="AQ1754" t="s">
        <v>66</v>
      </c>
      <c r="AR1754">
        <v>0</v>
      </c>
      <c r="AS1754" t="s">
        <v>66</v>
      </c>
      <c r="AT1754">
        <v>0</v>
      </c>
      <c r="AU1754" t="s">
        <v>66</v>
      </c>
      <c r="AV1754">
        <v>0</v>
      </c>
      <c r="AW1754" t="s">
        <v>66</v>
      </c>
      <c r="AX1754">
        <v>0</v>
      </c>
      <c r="AY1754" t="s">
        <v>66</v>
      </c>
      <c r="AZ1754">
        <v>0</v>
      </c>
      <c r="BA1754" t="s">
        <v>66</v>
      </c>
      <c r="BB1754">
        <v>0</v>
      </c>
      <c r="BC1754">
        <v>0</v>
      </c>
      <c r="BD1754">
        <v>1074544.3799999999</v>
      </c>
      <c r="BE1754">
        <v>24618.560000000001</v>
      </c>
      <c r="BF1754">
        <v>0</v>
      </c>
      <c r="BG1754" t="s">
        <v>87</v>
      </c>
      <c r="BH1754" t="s">
        <v>1793</v>
      </c>
      <c r="BI1754">
        <v>36</v>
      </c>
      <c r="BJ1754" t="s">
        <v>158</v>
      </c>
      <c r="BK1754" t="s">
        <v>88</v>
      </c>
      <c r="BL1754" t="s">
        <v>66</v>
      </c>
      <c r="BM1754" t="s">
        <v>159</v>
      </c>
    </row>
    <row r="1755" spans="1:65" x14ac:dyDescent="0.25">
      <c r="A1755">
        <v>1753</v>
      </c>
      <c r="B1755" t="s">
        <v>1791</v>
      </c>
      <c r="C1755" t="s">
        <v>68</v>
      </c>
      <c r="D1755" s="1">
        <v>46226</v>
      </c>
      <c r="E1755" t="s">
        <v>1792</v>
      </c>
      <c r="F1755" t="s">
        <v>68</v>
      </c>
      <c r="G1755" t="s">
        <v>295</v>
      </c>
      <c r="H1755" t="s">
        <v>296</v>
      </c>
      <c r="I1755" t="s">
        <v>71</v>
      </c>
      <c r="J1755" t="s">
        <v>72</v>
      </c>
      <c r="K1755" t="s">
        <v>73</v>
      </c>
      <c r="L1755" t="s">
        <v>74</v>
      </c>
      <c r="M1755" t="s">
        <v>1134</v>
      </c>
      <c r="N1755" t="s">
        <v>111</v>
      </c>
      <c r="O1755" t="s">
        <v>1135</v>
      </c>
      <c r="P1755" t="s">
        <v>1136</v>
      </c>
      <c r="Q1755" t="s">
        <v>66</v>
      </c>
      <c r="R1755" s="1">
        <v>46227</v>
      </c>
      <c r="S1755" t="s">
        <v>1138</v>
      </c>
      <c r="T1755" t="s">
        <v>1139</v>
      </c>
      <c r="U1755" t="s">
        <v>1140</v>
      </c>
      <c r="V1755" t="s">
        <v>66</v>
      </c>
      <c r="W1755" t="s">
        <v>66</v>
      </c>
      <c r="X1755">
        <v>7576620</v>
      </c>
      <c r="Y1755">
        <v>833428.2</v>
      </c>
      <c r="Z1755">
        <v>645372</v>
      </c>
      <c r="AA1755">
        <v>70990.92</v>
      </c>
      <c r="AB1755">
        <v>8410048.1999999993</v>
      </c>
      <c r="AC1755">
        <v>24</v>
      </c>
      <c r="AD1755" t="s">
        <v>82</v>
      </c>
      <c r="AE1755">
        <v>24</v>
      </c>
      <c r="AF1755" t="s">
        <v>306</v>
      </c>
      <c r="AG1755">
        <f>IFERROR(VLOOKUP(AF1755,[1]STOK!J:O,6,0),"")</f>
        <v>12</v>
      </c>
      <c r="AH1755" s="2">
        <f t="shared" si="54"/>
        <v>2</v>
      </c>
      <c r="AI1755" t="s">
        <v>306</v>
      </c>
      <c r="AJ1755" t="s">
        <v>307</v>
      </c>
      <c r="AK1755" t="s">
        <v>308</v>
      </c>
      <c r="AL1755" t="s">
        <v>86</v>
      </c>
      <c r="AM1755">
        <v>30303</v>
      </c>
      <c r="AN1755">
        <f t="shared" si="55"/>
        <v>29848.455000000002</v>
      </c>
      <c r="AO1755" t="s">
        <v>66</v>
      </c>
      <c r="AP1755">
        <v>1.5</v>
      </c>
      <c r="AQ1755" t="s">
        <v>66</v>
      </c>
      <c r="AR1755">
        <v>0</v>
      </c>
      <c r="AS1755" t="s">
        <v>66</v>
      </c>
      <c r="AT1755">
        <v>0</v>
      </c>
      <c r="AU1755" t="s">
        <v>66</v>
      </c>
      <c r="AV1755">
        <v>0</v>
      </c>
      <c r="AW1755" t="s">
        <v>66</v>
      </c>
      <c r="AX1755">
        <v>0</v>
      </c>
      <c r="AY1755" t="s">
        <v>66</v>
      </c>
      <c r="AZ1755">
        <v>0</v>
      </c>
      <c r="BA1755" t="s">
        <v>66</v>
      </c>
      <c r="BB1755">
        <v>0</v>
      </c>
      <c r="BC1755">
        <v>0</v>
      </c>
      <c r="BD1755">
        <v>716362.92</v>
      </c>
      <c r="BE1755">
        <v>24508.18</v>
      </c>
      <c r="BF1755">
        <v>0</v>
      </c>
      <c r="BG1755" t="s">
        <v>87</v>
      </c>
      <c r="BH1755" t="s">
        <v>1793</v>
      </c>
      <c r="BI1755">
        <v>24</v>
      </c>
      <c r="BJ1755" t="s">
        <v>158</v>
      </c>
      <c r="BK1755" t="s">
        <v>88</v>
      </c>
      <c r="BL1755" t="s">
        <v>66</v>
      </c>
      <c r="BM1755" t="s">
        <v>159</v>
      </c>
    </row>
    <row r="1756" spans="1:65" x14ac:dyDescent="0.25">
      <c r="A1756">
        <v>1754</v>
      </c>
      <c r="B1756" t="s">
        <v>1791</v>
      </c>
      <c r="C1756" t="s">
        <v>68</v>
      </c>
      <c r="D1756" s="1">
        <v>46226</v>
      </c>
      <c r="E1756" t="s">
        <v>1792</v>
      </c>
      <c r="F1756" t="s">
        <v>68</v>
      </c>
      <c r="G1756" t="s">
        <v>295</v>
      </c>
      <c r="H1756" t="s">
        <v>296</v>
      </c>
      <c r="I1756" t="s">
        <v>71</v>
      </c>
      <c r="J1756" t="s">
        <v>72</v>
      </c>
      <c r="K1756" t="s">
        <v>73</v>
      </c>
      <c r="L1756" t="s">
        <v>74</v>
      </c>
      <c r="M1756" t="s">
        <v>1134</v>
      </c>
      <c r="N1756" t="s">
        <v>111</v>
      </c>
      <c r="O1756" t="s">
        <v>1135</v>
      </c>
      <c r="P1756" t="s">
        <v>1136</v>
      </c>
      <c r="Q1756" t="s">
        <v>66</v>
      </c>
      <c r="R1756" s="1">
        <v>46227</v>
      </c>
      <c r="S1756" t="s">
        <v>1138</v>
      </c>
      <c r="T1756" t="s">
        <v>1139</v>
      </c>
      <c r="U1756" t="s">
        <v>1140</v>
      </c>
      <c r="V1756" t="s">
        <v>66</v>
      </c>
      <c r="W1756" t="s">
        <v>66</v>
      </c>
      <c r="X1756">
        <v>7576620</v>
      </c>
      <c r="Y1756">
        <v>833428.2</v>
      </c>
      <c r="Z1756">
        <v>645372</v>
      </c>
      <c r="AA1756">
        <v>70990.92</v>
      </c>
      <c r="AB1756">
        <v>8410048.1999999993</v>
      </c>
      <c r="AC1756">
        <v>24</v>
      </c>
      <c r="AD1756" t="s">
        <v>82</v>
      </c>
      <c r="AE1756">
        <v>24</v>
      </c>
      <c r="AF1756" t="s">
        <v>309</v>
      </c>
      <c r="AG1756">
        <f>IFERROR(VLOOKUP(AF1756,[1]STOK!J:O,6,0),"")</f>
        <v>12</v>
      </c>
      <c r="AH1756" s="2">
        <f t="shared" si="54"/>
        <v>2</v>
      </c>
      <c r="AI1756" t="s">
        <v>309</v>
      </c>
      <c r="AJ1756" t="s">
        <v>310</v>
      </c>
      <c r="AK1756" t="s">
        <v>311</v>
      </c>
      <c r="AL1756" t="s">
        <v>86</v>
      </c>
      <c r="AM1756">
        <v>30303</v>
      </c>
      <c r="AN1756">
        <f t="shared" si="55"/>
        <v>29848.455000000002</v>
      </c>
      <c r="AO1756" t="s">
        <v>66</v>
      </c>
      <c r="AP1756">
        <v>1.5</v>
      </c>
      <c r="AQ1756" t="s">
        <v>66</v>
      </c>
      <c r="AR1756">
        <v>0</v>
      </c>
      <c r="AS1756" t="s">
        <v>66</v>
      </c>
      <c r="AT1756">
        <v>0</v>
      </c>
      <c r="AU1756" t="s">
        <v>66</v>
      </c>
      <c r="AV1756">
        <v>0</v>
      </c>
      <c r="AW1756" t="s">
        <v>66</v>
      </c>
      <c r="AX1756">
        <v>0</v>
      </c>
      <c r="AY1756" t="s">
        <v>66</v>
      </c>
      <c r="AZ1756">
        <v>0</v>
      </c>
      <c r="BA1756" t="s">
        <v>66</v>
      </c>
      <c r="BB1756">
        <v>0</v>
      </c>
      <c r="BC1756">
        <v>0</v>
      </c>
      <c r="BD1756">
        <v>716362.92</v>
      </c>
      <c r="BE1756">
        <v>24673.09</v>
      </c>
      <c r="BF1756">
        <v>0</v>
      </c>
      <c r="BG1756" t="s">
        <v>87</v>
      </c>
      <c r="BH1756" t="s">
        <v>1793</v>
      </c>
      <c r="BI1756">
        <v>24</v>
      </c>
      <c r="BJ1756" t="s">
        <v>158</v>
      </c>
      <c r="BK1756" t="s">
        <v>88</v>
      </c>
      <c r="BL1756" t="s">
        <v>66</v>
      </c>
      <c r="BM1756" t="s">
        <v>159</v>
      </c>
    </row>
    <row r="1757" spans="1:65" x14ac:dyDescent="0.25">
      <c r="A1757">
        <v>1755</v>
      </c>
      <c r="B1757" t="s">
        <v>1791</v>
      </c>
      <c r="C1757" t="s">
        <v>68</v>
      </c>
      <c r="D1757" s="1">
        <v>46226</v>
      </c>
      <c r="E1757" t="s">
        <v>1792</v>
      </c>
      <c r="F1757" t="s">
        <v>68</v>
      </c>
      <c r="G1757" t="s">
        <v>295</v>
      </c>
      <c r="H1757" t="s">
        <v>296</v>
      </c>
      <c r="I1757" t="s">
        <v>71</v>
      </c>
      <c r="J1757" t="s">
        <v>72</v>
      </c>
      <c r="K1757" t="s">
        <v>73</v>
      </c>
      <c r="L1757" t="s">
        <v>74</v>
      </c>
      <c r="M1757" t="s">
        <v>1134</v>
      </c>
      <c r="N1757" t="s">
        <v>111</v>
      </c>
      <c r="O1757" t="s">
        <v>1135</v>
      </c>
      <c r="P1757" t="s">
        <v>1136</v>
      </c>
      <c r="Q1757" t="s">
        <v>66</v>
      </c>
      <c r="R1757" s="1">
        <v>46227</v>
      </c>
      <c r="S1757" t="s">
        <v>1138</v>
      </c>
      <c r="T1757" t="s">
        <v>1139</v>
      </c>
      <c r="U1757" t="s">
        <v>1140</v>
      </c>
      <c r="V1757" t="s">
        <v>66</v>
      </c>
      <c r="W1757" t="s">
        <v>66</v>
      </c>
      <c r="X1757">
        <v>7576620</v>
      </c>
      <c r="Y1757">
        <v>833428.2</v>
      </c>
      <c r="Z1757">
        <v>645372</v>
      </c>
      <c r="AA1757">
        <v>70990.92</v>
      </c>
      <c r="AB1757">
        <v>8410048.1999999993</v>
      </c>
      <c r="AC1757">
        <v>24</v>
      </c>
      <c r="AD1757" t="s">
        <v>82</v>
      </c>
      <c r="AE1757">
        <v>24</v>
      </c>
      <c r="AF1757" t="s">
        <v>563</v>
      </c>
      <c r="AG1757">
        <f>IFERROR(VLOOKUP(AF1757,[1]STOK!J:O,6,0),"")</f>
        <v>12</v>
      </c>
      <c r="AH1757" s="2">
        <f t="shared" si="54"/>
        <v>2</v>
      </c>
      <c r="AI1757" t="s">
        <v>563</v>
      </c>
      <c r="AJ1757" t="s">
        <v>564</v>
      </c>
      <c r="AK1757" t="s">
        <v>565</v>
      </c>
      <c r="AL1757" t="s">
        <v>86</v>
      </c>
      <c r="AM1757">
        <v>30303</v>
      </c>
      <c r="AN1757">
        <f t="shared" si="55"/>
        <v>29848.455000000002</v>
      </c>
      <c r="AO1757" t="s">
        <v>66</v>
      </c>
      <c r="AP1757">
        <v>1.5</v>
      </c>
      <c r="AQ1757" t="s">
        <v>66</v>
      </c>
      <c r="AR1757">
        <v>0</v>
      </c>
      <c r="AS1757" t="s">
        <v>66</v>
      </c>
      <c r="AT1757">
        <v>0</v>
      </c>
      <c r="AU1757" t="s">
        <v>66</v>
      </c>
      <c r="AV1757">
        <v>0</v>
      </c>
      <c r="AW1757" t="s">
        <v>66</v>
      </c>
      <c r="AX1757">
        <v>0</v>
      </c>
      <c r="AY1757" t="s">
        <v>66</v>
      </c>
      <c r="AZ1757">
        <v>0</v>
      </c>
      <c r="BA1757" t="s">
        <v>66</v>
      </c>
      <c r="BB1757">
        <v>0</v>
      </c>
      <c r="BC1757">
        <v>0</v>
      </c>
      <c r="BD1757">
        <v>716362.92</v>
      </c>
      <c r="BE1757">
        <v>24645.54</v>
      </c>
      <c r="BF1757">
        <v>0</v>
      </c>
      <c r="BG1757" t="s">
        <v>87</v>
      </c>
      <c r="BH1757" t="s">
        <v>1793</v>
      </c>
      <c r="BI1757">
        <v>24</v>
      </c>
      <c r="BJ1757" t="s">
        <v>158</v>
      </c>
      <c r="BK1757" t="s">
        <v>88</v>
      </c>
      <c r="BL1757" t="s">
        <v>66</v>
      </c>
      <c r="BM1757" t="s">
        <v>159</v>
      </c>
    </row>
    <row r="1758" spans="1:65" x14ac:dyDescent="0.25">
      <c r="A1758">
        <v>1756</v>
      </c>
      <c r="B1758" t="s">
        <v>1791</v>
      </c>
      <c r="C1758" t="s">
        <v>68</v>
      </c>
      <c r="D1758" s="1">
        <v>46226</v>
      </c>
      <c r="E1758" t="s">
        <v>1792</v>
      </c>
      <c r="F1758" t="s">
        <v>68</v>
      </c>
      <c r="G1758" t="s">
        <v>295</v>
      </c>
      <c r="H1758" t="s">
        <v>296</v>
      </c>
      <c r="I1758" t="s">
        <v>71</v>
      </c>
      <c r="J1758" t="s">
        <v>72</v>
      </c>
      <c r="K1758" t="s">
        <v>73</v>
      </c>
      <c r="L1758" t="s">
        <v>74</v>
      </c>
      <c r="M1758" t="s">
        <v>1134</v>
      </c>
      <c r="N1758" t="s">
        <v>111</v>
      </c>
      <c r="O1758" t="s">
        <v>1135</v>
      </c>
      <c r="P1758" t="s">
        <v>1136</v>
      </c>
      <c r="Q1758" t="s">
        <v>66</v>
      </c>
      <c r="R1758" s="1">
        <v>46227</v>
      </c>
      <c r="S1758" t="s">
        <v>1138</v>
      </c>
      <c r="T1758" t="s">
        <v>1139</v>
      </c>
      <c r="U1758" t="s">
        <v>1140</v>
      </c>
      <c r="V1758" t="s">
        <v>66</v>
      </c>
      <c r="W1758" t="s">
        <v>66</v>
      </c>
      <c r="X1758">
        <v>7576620</v>
      </c>
      <c r="Y1758">
        <v>833428.2</v>
      </c>
      <c r="Z1758">
        <v>458616</v>
      </c>
      <c r="AA1758">
        <v>50447.76</v>
      </c>
      <c r="AB1758">
        <v>8410048.1999999993</v>
      </c>
      <c r="AC1758">
        <v>24</v>
      </c>
      <c r="AD1758" t="s">
        <v>82</v>
      </c>
      <c r="AE1758">
        <v>24</v>
      </c>
      <c r="AF1758" t="s">
        <v>470</v>
      </c>
      <c r="AG1758">
        <f>IFERROR(VLOOKUP(AF1758,[1]STOK!J:O,6,0),"")</f>
        <v>24</v>
      </c>
      <c r="AH1758" s="2">
        <f t="shared" si="54"/>
        <v>1</v>
      </c>
      <c r="AI1758" t="s">
        <v>470</v>
      </c>
      <c r="AJ1758" t="s">
        <v>471</v>
      </c>
      <c r="AK1758" t="s">
        <v>472</v>
      </c>
      <c r="AL1758" t="s">
        <v>86</v>
      </c>
      <c r="AM1758">
        <v>21534</v>
      </c>
      <c r="AN1758">
        <f t="shared" si="55"/>
        <v>21210.99</v>
      </c>
      <c r="AO1758" t="s">
        <v>66</v>
      </c>
      <c r="AP1758">
        <v>1.5</v>
      </c>
      <c r="AQ1758" t="s">
        <v>66</v>
      </c>
      <c r="AR1758">
        <v>0</v>
      </c>
      <c r="AS1758" t="s">
        <v>66</v>
      </c>
      <c r="AT1758">
        <v>0</v>
      </c>
      <c r="AU1758" t="s">
        <v>66</v>
      </c>
      <c r="AV1758">
        <v>0</v>
      </c>
      <c r="AW1758" t="s">
        <v>66</v>
      </c>
      <c r="AX1758">
        <v>0</v>
      </c>
      <c r="AY1758" t="s">
        <v>66</v>
      </c>
      <c r="AZ1758">
        <v>0</v>
      </c>
      <c r="BA1758" t="s">
        <v>66</v>
      </c>
      <c r="BB1758">
        <v>0</v>
      </c>
      <c r="BC1758">
        <v>0</v>
      </c>
      <c r="BD1758">
        <v>509063.76</v>
      </c>
      <c r="BE1758">
        <v>17512.650000000001</v>
      </c>
      <c r="BF1758">
        <v>0</v>
      </c>
      <c r="BG1758" t="s">
        <v>87</v>
      </c>
      <c r="BH1758" t="s">
        <v>1793</v>
      </c>
      <c r="BI1758">
        <v>24</v>
      </c>
      <c r="BJ1758" t="s">
        <v>158</v>
      </c>
      <c r="BK1758" t="s">
        <v>88</v>
      </c>
      <c r="BL1758" t="s">
        <v>66</v>
      </c>
      <c r="BM1758" t="s">
        <v>159</v>
      </c>
    </row>
    <row r="1759" spans="1:65" x14ac:dyDescent="0.25">
      <c r="A1759">
        <v>1757</v>
      </c>
      <c r="B1759" t="s">
        <v>1791</v>
      </c>
      <c r="C1759" t="s">
        <v>68</v>
      </c>
      <c r="D1759" s="1">
        <v>46226</v>
      </c>
      <c r="E1759" t="s">
        <v>1792</v>
      </c>
      <c r="F1759" t="s">
        <v>68</v>
      </c>
      <c r="G1759" t="s">
        <v>295</v>
      </c>
      <c r="H1759" t="s">
        <v>296</v>
      </c>
      <c r="I1759" t="s">
        <v>71</v>
      </c>
      <c r="J1759" t="s">
        <v>72</v>
      </c>
      <c r="K1759" t="s">
        <v>73</v>
      </c>
      <c r="L1759" t="s">
        <v>74</v>
      </c>
      <c r="M1759" t="s">
        <v>1134</v>
      </c>
      <c r="N1759" t="s">
        <v>111</v>
      </c>
      <c r="O1759" t="s">
        <v>1135</v>
      </c>
      <c r="P1759" t="s">
        <v>1136</v>
      </c>
      <c r="Q1759" t="s">
        <v>66</v>
      </c>
      <c r="R1759" s="1">
        <v>46227</v>
      </c>
      <c r="S1759" t="s">
        <v>1138</v>
      </c>
      <c r="T1759" t="s">
        <v>1139</v>
      </c>
      <c r="U1759" t="s">
        <v>1140</v>
      </c>
      <c r="V1759" t="s">
        <v>66</v>
      </c>
      <c r="W1759" t="s">
        <v>66</v>
      </c>
      <c r="X1759">
        <v>7576620</v>
      </c>
      <c r="Y1759">
        <v>833428.2</v>
      </c>
      <c r="Z1759">
        <v>458616</v>
      </c>
      <c r="AA1759">
        <v>50447.76</v>
      </c>
      <c r="AB1759">
        <v>8410048.1999999993</v>
      </c>
      <c r="AC1759">
        <v>24</v>
      </c>
      <c r="AD1759" t="s">
        <v>82</v>
      </c>
      <c r="AE1759">
        <v>24</v>
      </c>
      <c r="AF1759" t="s">
        <v>287</v>
      </c>
      <c r="AG1759">
        <f>IFERROR(VLOOKUP(AF1759,[1]STOK!J:O,6,0),"")</f>
        <v>12</v>
      </c>
      <c r="AH1759" s="2">
        <f t="shared" si="54"/>
        <v>2</v>
      </c>
      <c r="AI1759" t="s">
        <v>287</v>
      </c>
      <c r="AJ1759" t="s">
        <v>288</v>
      </c>
      <c r="AK1759" t="s">
        <v>289</v>
      </c>
      <c r="AL1759" t="s">
        <v>86</v>
      </c>
      <c r="AM1759">
        <v>21534</v>
      </c>
      <c r="AN1759">
        <f t="shared" si="55"/>
        <v>21210.99</v>
      </c>
      <c r="AO1759" t="s">
        <v>66</v>
      </c>
      <c r="AP1759">
        <v>1.5</v>
      </c>
      <c r="AQ1759" t="s">
        <v>66</v>
      </c>
      <c r="AR1759">
        <v>0</v>
      </c>
      <c r="AS1759" t="s">
        <v>66</v>
      </c>
      <c r="AT1759">
        <v>0</v>
      </c>
      <c r="AU1759" t="s">
        <v>66</v>
      </c>
      <c r="AV1759">
        <v>0</v>
      </c>
      <c r="AW1759" t="s">
        <v>66</v>
      </c>
      <c r="AX1759">
        <v>0</v>
      </c>
      <c r="AY1759" t="s">
        <v>66</v>
      </c>
      <c r="AZ1759">
        <v>0</v>
      </c>
      <c r="BA1759" t="s">
        <v>66</v>
      </c>
      <c r="BB1759">
        <v>0</v>
      </c>
      <c r="BC1759">
        <v>0</v>
      </c>
      <c r="BD1759">
        <v>509063.76</v>
      </c>
      <c r="BE1759">
        <v>17472.2</v>
      </c>
      <c r="BF1759">
        <v>0</v>
      </c>
      <c r="BG1759" t="s">
        <v>87</v>
      </c>
      <c r="BH1759" t="s">
        <v>1793</v>
      </c>
      <c r="BI1759">
        <v>24</v>
      </c>
      <c r="BJ1759" t="s">
        <v>158</v>
      </c>
      <c r="BK1759" t="s">
        <v>88</v>
      </c>
      <c r="BL1759" t="s">
        <v>66</v>
      </c>
      <c r="BM1759" t="s">
        <v>159</v>
      </c>
    </row>
    <row r="1760" spans="1:65" x14ac:dyDescent="0.25">
      <c r="A1760">
        <v>1758</v>
      </c>
      <c r="B1760" t="s">
        <v>1791</v>
      </c>
      <c r="C1760" t="s">
        <v>68</v>
      </c>
      <c r="D1760" s="1">
        <v>46226</v>
      </c>
      <c r="E1760" t="s">
        <v>1792</v>
      </c>
      <c r="F1760" t="s">
        <v>68</v>
      </c>
      <c r="G1760" t="s">
        <v>295</v>
      </c>
      <c r="H1760" t="s">
        <v>296</v>
      </c>
      <c r="I1760" t="s">
        <v>71</v>
      </c>
      <c r="J1760" t="s">
        <v>72</v>
      </c>
      <c r="K1760" t="s">
        <v>73</v>
      </c>
      <c r="L1760" t="s">
        <v>74</v>
      </c>
      <c r="M1760" t="s">
        <v>1134</v>
      </c>
      <c r="N1760" t="s">
        <v>111</v>
      </c>
      <c r="O1760" t="s">
        <v>1135</v>
      </c>
      <c r="P1760" t="s">
        <v>1136</v>
      </c>
      <c r="Q1760" t="s">
        <v>66</v>
      </c>
      <c r="R1760" s="1">
        <v>46227</v>
      </c>
      <c r="S1760" t="s">
        <v>1138</v>
      </c>
      <c r="T1760" t="s">
        <v>1139</v>
      </c>
      <c r="U1760" t="s">
        <v>1140</v>
      </c>
      <c r="V1760" t="s">
        <v>66</v>
      </c>
      <c r="W1760" t="s">
        <v>66</v>
      </c>
      <c r="X1760">
        <v>7576620</v>
      </c>
      <c r="Y1760">
        <v>833428.2</v>
      </c>
      <c r="Z1760">
        <v>99288</v>
      </c>
      <c r="AA1760">
        <v>10921.68</v>
      </c>
      <c r="AB1760">
        <v>8410048.1999999993</v>
      </c>
      <c r="AC1760">
        <v>24</v>
      </c>
      <c r="AD1760" t="s">
        <v>82</v>
      </c>
      <c r="AE1760">
        <v>24</v>
      </c>
      <c r="AF1760" t="s">
        <v>131</v>
      </c>
      <c r="AG1760">
        <f>IFERROR(VLOOKUP(AF1760,[1]STOK!J:O,6,0),"")</f>
        <v>24</v>
      </c>
      <c r="AH1760" s="2">
        <f t="shared" si="54"/>
        <v>1</v>
      </c>
      <c r="AI1760" t="s">
        <v>131</v>
      </c>
      <c r="AJ1760" t="s">
        <v>132</v>
      </c>
      <c r="AK1760" t="s">
        <v>133</v>
      </c>
      <c r="AL1760" t="s">
        <v>86</v>
      </c>
      <c r="AM1760">
        <v>4662</v>
      </c>
      <c r="AN1760">
        <f t="shared" si="55"/>
        <v>4592.07</v>
      </c>
      <c r="AO1760" t="s">
        <v>66</v>
      </c>
      <c r="AP1760">
        <v>1.5</v>
      </c>
      <c r="AQ1760" t="s">
        <v>66</v>
      </c>
      <c r="AR1760">
        <v>0</v>
      </c>
      <c r="AS1760" t="s">
        <v>66</v>
      </c>
      <c r="AT1760">
        <v>0</v>
      </c>
      <c r="AU1760" t="s">
        <v>66</v>
      </c>
      <c r="AV1760">
        <v>0</v>
      </c>
      <c r="AW1760" t="s">
        <v>66</v>
      </c>
      <c r="AX1760">
        <v>0</v>
      </c>
      <c r="AY1760" t="s">
        <v>66</v>
      </c>
      <c r="AZ1760">
        <v>0</v>
      </c>
      <c r="BA1760" t="s">
        <v>66</v>
      </c>
      <c r="BB1760">
        <v>0</v>
      </c>
      <c r="BC1760">
        <v>0</v>
      </c>
      <c r="BD1760">
        <v>110209.68</v>
      </c>
      <c r="BE1760">
        <v>3801.74</v>
      </c>
      <c r="BF1760">
        <v>0</v>
      </c>
      <c r="BG1760" t="s">
        <v>87</v>
      </c>
      <c r="BH1760" t="s">
        <v>1793</v>
      </c>
      <c r="BI1760">
        <v>24</v>
      </c>
      <c r="BJ1760" t="s">
        <v>158</v>
      </c>
      <c r="BK1760" t="s">
        <v>88</v>
      </c>
      <c r="BL1760" t="s">
        <v>66</v>
      </c>
      <c r="BM1760" t="s">
        <v>159</v>
      </c>
    </row>
    <row r="1761" spans="1:65" x14ac:dyDescent="0.25">
      <c r="A1761">
        <v>1759</v>
      </c>
      <c r="B1761" t="s">
        <v>1791</v>
      </c>
      <c r="C1761" t="s">
        <v>68</v>
      </c>
      <c r="D1761" s="1">
        <v>46226</v>
      </c>
      <c r="E1761" t="s">
        <v>1792</v>
      </c>
      <c r="F1761" t="s">
        <v>68</v>
      </c>
      <c r="G1761" t="s">
        <v>295</v>
      </c>
      <c r="H1761" t="s">
        <v>296</v>
      </c>
      <c r="I1761" t="s">
        <v>71</v>
      </c>
      <c r="J1761" t="s">
        <v>72</v>
      </c>
      <c r="K1761" t="s">
        <v>73</v>
      </c>
      <c r="L1761" t="s">
        <v>74</v>
      </c>
      <c r="M1761" t="s">
        <v>1134</v>
      </c>
      <c r="N1761" t="s">
        <v>111</v>
      </c>
      <c r="O1761" t="s">
        <v>1135</v>
      </c>
      <c r="P1761" t="s">
        <v>1136</v>
      </c>
      <c r="Q1761" t="s">
        <v>66</v>
      </c>
      <c r="R1761" s="1">
        <v>46227</v>
      </c>
      <c r="S1761" t="s">
        <v>1138</v>
      </c>
      <c r="T1761" t="s">
        <v>1139</v>
      </c>
      <c r="U1761" t="s">
        <v>1140</v>
      </c>
      <c r="V1761" t="s">
        <v>66</v>
      </c>
      <c r="W1761" t="s">
        <v>66</v>
      </c>
      <c r="X1761">
        <v>7576620</v>
      </c>
      <c r="Y1761">
        <v>833428.2</v>
      </c>
      <c r="Z1761">
        <v>317958</v>
      </c>
      <c r="AA1761">
        <v>34975.379999999997</v>
      </c>
      <c r="AB1761">
        <v>8410048.1999999993</v>
      </c>
      <c r="AC1761">
        <v>6</v>
      </c>
      <c r="AD1761" t="s">
        <v>82</v>
      </c>
      <c r="AE1761">
        <v>6</v>
      </c>
      <c r="AF1761" t="s">
        <v>525</v>
      </c>
      <c r="AG1761">
        <f>IFERROR(VLOOKUP(AF1761,[1]STOK!J:O,6,0),"")</f>
        <v>6</v>
      </c>
      <c r="AH1761" s="2">
        <f t="shared" si="54"/>
        <v>1</v>
      </c>
      <c r="AI1761" t="s">
        <v>525</v>
      </c>
      <c r="AJ1761" t="s">
        <v>526</v>
      </c>
      <c r="AK1761" t="s">
        <v>527</v>
      </c>
      <c r="AL1761" t="s">
        <v>86</v>
      </c>
      <c r="AM1761">
        <v>59718</v>
      </c>
      <c r="AN1761">
        <f t="shared" si="55"/>
        <v>58822.23</v>
      </c>
      <c r="AO1761" t="s">
        <v>66</v>
      </c>
      <c r="AP1761">
        <v>1.5</v>
      </c>
      <c r="AQ1761" t="s">
        <v>66</v>
      </c>
      <c r="AR1761">
        <v>0</v>
      </c>
      <c r="AS1761" t="s">
        <v>66</v>
      </c>
      <c r="AT1761">
        <v>0</v>
      </c>
      <c r="AU1761" t="s">
        <v>66</v>
      </c>
      <c r="AV1761">
        <v>0</v>
      </c>
      <c r="AW1761" t="s">
        <v>66</v>
      </c>
      <c r="AX1761">
        <v>0</v>
      </c>
      <c r="AY1761" t="s">
        <v>66</v>
      </c>
      <c r="AZ1761">
        <v>0</v>
      </c>
      <c r="BA1761" t="s">
        <v>66</v>
      </c>
      <c r="BB1761">
        <v>0</v>
      </c>
      <c r="BC1761">
        <v>0</v>
      </c>
      <c r="BD1761">
        <v>352933.38</v>
      </c>
      <c r="BE1761">
        <v>48441.52</v>
      </c>
      <c r="BF1761">
        <v>0</v>
      </c>
      <c r="BG1761" t="s">
        <v>87</v>
      </c>
      <c r="BH1761" t="s">
        <v>1793</v>
      </c>
      <c r="BI1761">
        <v>6</v>
      </c>
      <c r="BJ1761" t="s">
        <v>158</v>
      </c>
      <c r="BK1761" t="s">
        <v>88</v>
      </c>
      <c r="BL1761" t="s">
        <v>66</v>
      </c>
      <c r="BM1761" t="s">
        <v>159</v>
      </c>
    </row>
    <row r="1762" spans="1:65" x14ac:dyDescent="0.25">
      <c r="A1762">
        <v>1760</v>
      </c>
      <c r="B1762" t="s">
        <v>1791</v>
      </c>
      <c r="C1762" t="s">
        <v>68</v>
      </c>
      <c r="D1762" s="1">
        <v>46226</v>
      </c>
      <c r="E1762" t="s">
        <v>1792</v>
      </c>
      <c r="F1762" t="s">
        <v>68</v>
      </c>
      <c r="G1762" t="s">
        <v>295</v>
      </c>
      <c r="H1762" t="s">
        <v>296</v>
      </c>
      <c r="I1762" t="s">
        <v>71</v>
      </c>
      <c r="J1762" t="s">
        <v>72</v>
      </c>
      <c r="K1762" t="s">
        <v>73</v>
      </c>
      <c r="L1762" t="s">
        <v>74</v>
      </c>
      <c r="M1762" t="s">
        <v>1134</v>
      </c>
      <c r="N1762" t="s">
        <v>111</v>
      </c>
      <c r="O1762" t="s">
        <v>1135</v>
      </c>
      <c r="P1762" t="s">
        <v>1136</v>
      </c>
      <c r="Q1762" t="s">
        <v>66</v>
      </c>
      <c r="R1762" s="1">
        <v>46227</v>
      </c>
      <c r="S1762" t="s">
        <v>1138</v>
      </c>
      <c r="T1762" t="s">
        <v>1139</v>
      </c>
      <c r="U1762" t="s">
        <v>1140</v>
      </c>
      <c r="V1762" t="s">
        <v>66</v>
      </c>
      <c r="W1762" t="s">
        <v>66</v>
      </c>
      <c r="X1762">
        <v>7576620</v>
      </c>
      <c r="Y1762">
        <v>833428.2</v>
      </c>
      <c r="Z1762">
        <v>1182000</v>
      </c>
      <c r="AA1762">
        <v>130020</v>
      </c>
      <c r="AB1762">
        <v>8410048.1999999993</v>
      </c>
      <c r="AC1762">
        <v>60</v>
      </c>
      <c r="AD1762" t="s">
        <v>82</v>
      </c>
      <c r="AE1762">
        <v>60</v>
      </c>
      <c r="AF1762" t="s">
        <v>290</v>
      </c>
      <c r="AG1762">
        <f>IFERROR(VLOOKUP(AF1762,[1]STOK!J:O,6,0),"")</f>
        <v>12</v>
      </c>
      <c r="AH1762" s="2">
        <f t="shared" si="54"/>
        <v>5</v>
      </c>
      <c r="AI1762" t="s">
        <v>290</v>
      </c>
      <c r="AJ1762" t="s">
        <v>291</v>
      </c>
      <c r="AK1762" t="s">
        <v>292</v>
      </c>
      <c r="AL1762" t="s">
        <v>86</v>
      </c>
      <c r="AM1762">
        <v>22200</v>
      </c>
      <c r="AN1762">
        <f t="shared" si="55"/>
        <v>21867</v>
      </c>
      <c r="AO1762" t="s">
        <v>66</v>
      </c>
      <c r="AP1762">
        <v>1.5</v>
      </c>
      <c r="AQ1762" t="s">
        <v>66</v>
      </c>
      <c r="AR1762">
        <v>0</v>
      </c>
      <c r="AS1762" t="s">
        <v>66</v>
      </c>
      <c r="AT1762">
        <v>0</v>
      </c>
      <c r="AU1762" t="s">
        <v>66</v>
      </c>
      <c r="AV1762">
        <v>0</v>
      </c>
      <c r="AW1762" t="s">
        <v>66</v>
      </c>
      <c r="AX1762">
        <v>0</v>
      </c>
      <c r="AY1762" t="s">
        <v>66</v>
      </c>
      <c r="AZ1762">
        <v>0</v>
      </c>
      <c r="BA1762" t="s">
        <v>66</v>
      </c>
      <c r="BB1762">
        <v>0</v>
      </c>
      <c r="BC1762">
        <v>0</v>
      </c>
      <c r="BD1762">
        <v>1312020</v>
      </c>
      <c r="BE1762">
        <v>18103.439999999999</v>
      </c>
      <c r="BF1762">
        <v>0</v>
      </c>
      <c r="BG1762" t="s">
        <v>87</v>
      </c>
      <c r="BH1762" t="s">
        <v>1793</v>
      </c>
      <c r="BI1762">
        <v>60</v>
      </c>
      <c r="BJ1762" t="s">
        <v>158</v>
      </c>
      <c r="BK1762" t="s">
        <v>88</v>
      </c>
      <c r="BL1762" t="s">
        <v>66</v>
      </c>
      <c r="BM1762" t="s">
        <v>159</v>
      </c>
    </row>
    <row r="1763" spans="1:65" x14ac:dyDescent="0.25">
      <c r="A1763">
        <v>1761</v>
      </c>
      <c r="B1763" t="s">
        <v>1791</v>
      </c>
      <c r="C1763" t="s">
        <v>68</v>
      </c>
      <c r="D1763" s="1">
        <v>46226</v>
      </c>
      <c r="E1763" t="s">
        <v>1792</v>
      </c>
      <c r="F1763" t="s">
        <v>68</v>
      </c>
      <c r="G1763" t="s">
        <v>295</v>
      </c>
      <c r="H1763" t="s">
        <v>296</v>
      </c>
      <c r="I1763" t="s">
        <v>71</v>
      </c>
      <c r="J1763" t="s">
        <v>72</v>
      </c>
      <c r="K1763" t="s">
        <v>73</v>
      </c>
      <c r="L1763" t="s">
        <v>74</v>
      </c>
      <c r="M1763" t="s">
        <v>1134</v>
      </c>
      <c r="N1763" t="s">
        <v>111</v>
      </c>
      <c r="O1763" t="s">
        <v>1135</v>
      </c>
      <c r="P1763" t="s">
        <v>1136</v>
      </c>
      <c r="Q1763" t="s">
        <v>66</v>
      </c>
      <c r="R1763" s="1">
        <v>46227</v>
      </c>
      <c r="S1763" t="s">
        <v>1138</v>
      </c>
      <c r="T1763" t="s">
        <v>1139</v>
      </c>
      <c r="U1763" t="s">
        <v>1140</v>
      </c>
      <c r="V1763" t="s">
        <v>66</v>
      </c>
      <c r="W1763" t="s">
        <v>66</v>
      </c>
      <c r="X1763">
        <v>7576620</v>
      </c>
      <c r="Y1763">
        <v>833428.2</v>
      </c>
      <c r="Z1763">
        <v>340416</v>
      </c>
      <c r="AA1763">
        <v>37445.760000000002</v>
      </c>
      <c r="AB1763">
        <v>8410048.1999999993</v>
      </c>
      <c r="AC1763">
        <v>24</v>
      </c>
      <c r="AD1763" t="s">
        <v>82</v>
      </c>
      <c r="AE1763">
        <v>24</v>
      </c>
      <c r="AF1763" t="s">
        <v>141</v>
      </c>
      <c r="AG1763">
        <f>IFERROR(VLOOKUP(AF1763,[1]STOK!J:O,6,0),"")</f>
        <v>12</v>
      </c>
      <c r="AH1763" s="2">
        <f t="shared" si="54"/>
        <v>2</v>
      </c>
      <c r="AI1763" t="s">
        <v>141</v>
      </c>
      <c r="AJ1763" t="s">
        <v>142</v>
      </c>
      <c r="AK1763" t="s">
        <v>143</v>
      </c>
      <c r="AL1763" t="s">
        <v>86</v>
      </c>
      <c r="AM1763">
        <v>15984</v>
      </c>
      <c r="AN1763">
        <f t="shared" si="55"/>
        <v>15744.24</v>
      </c>
      <c r="AO1763" t="s">
        <v>66</v>
      </c>
      <c r="AP1763">
        <v>1.5</v>
      </c>
      <c r="AQ1763" t="s">
        <v>66</v>
      </c>
      <c r="AR1763">
        <v>0</v>
      </c>
      <c r="AS1763" t="s">
        <v>66</v>
      </c>
      <c r="AT1763">
        <v>0</v>
      </c>
      <c r="AU1763" t="s">
        <v>66</v>
      </c>
      <c r="AV1763">
        <v>0</v>
      </c>
      <c r="AW1763" t="s">
        <v>66</v>
      </c>
      <c r="AX1763">
        <v>0</v>
      </c>
      <c r="AY1763" t="s">
        <v>66</v>
      </c>
      <c r="AZ1763">
        <v>0</v>
      </c>
      <c r="BA1763" t="s">
        <v>66</v>
      </c>
      <c r="BB1763">
        <v>0</v>
      </c>
      <c r="BC1763">
        <v>0</v>
      </c>
      <c r="BD1763">
        <v>377861.76</v>
      </c>
      <c r="BE1763">
        <v>13019.17</v>
      </c>
      <c r="BF1763">
        <v>0</v>
      </c>
      <c r="BG1763" t="s">
        <v>87</v>
      </c>
      <c r="BH1763" t="s">
        <v>1793</v>
      </c>
      <c r="BI1763">
        <v>24</v>
      </c>
      <c r="BJ1763" t="s">
        <v>158</v>
      </c>
      <c r="BK1763" t="s">
        <v>88</v>
      </c>
      <c r="BL1763" t="s">
        <v>66</v>
      </c>
      <c r="BM1763" t="s">
        <v>159</v>
      </c>
    </row>
    <row r="1764" spans="1:65" x14ac:dyDescent="0.25">
      <c r="A1764">
        <v>1762</v>
      </c>
      <c r="B1764" t="s">
        <v>1794</v>
      </c>
      <c r="C1764" t="s">
        <v>68</v>
      </c>
      <c r="D1764" s="1">
        <v>46226</v>
      </c>
      <c r="E1764" t="s">
        <v>1795</v>
      </c>
      <c r="F1764" t="s">
        <v>68</v>
      </c>
      <c r="G1764" t="s">
        <v>295</v>
      </c>
      <c r="H1764" t="s">
        <v>296</v>
      </c>
      <c r="I1764" t="s">
        <v>71</v>
      </c>
      <c r="J1764" t="s">
        <v>72</v>
      </c>
      <c r="K1764" t="s">
        <v>73</v>
      </c>
      <c r="L1764" t="s">
        <v>74</v>
      </c>
      <c r="M1764" t="s">
        <v>684</v>
      </c>
      <c r="N1764" t="s">
        <v>274</v>
      </c>
      <c r="O1764" t="s">
        <v>685</v>
      </c>
      <c r="P1764" t="s">
        <v>686</v>
      </c>
      <c r="Q1764" t="s">
        <v>1796</v>
      </c>
      <c r="R1764" s="1">
        <v>46227</v>
      </c>
      <c r="S1764" t="s">
        <v>688</v>
      </c>
      <c r="T1764" t="s">
        <v>689</v>
      </c>
      <c r="U1764" t="s">
        <v>690</v>
      </c>
      <c r="V1764" t="s">
        <v>66</v>
      </c>
      <c r="W1764" t="s">
        <v>66</v>
      </c>
      <c r="X1764">
        <v>517200</v>
      </c>
      <c r="Y1764">
        <v>56892</v>
      </c>
      <c r="Z1764">
        <v>34200</v>
      </c>
      <c r="AA1764">
        <v>3762</v>
      </c>
      <c r="AB1764">
        <v>574092</v>
      </c>
      <c r="AC1764">
        <v>6</v>
      </c>
      <c r="AD1764" t="s">
        <v>82</v>
      </c>
      <c r="AE1764">
        <v>6</v>
      </c>
      <c r="AF1764" t="s">
        <v>90</v>
      </c>
      <c r="AG1764">
        <f>IFERROR(VLOOKUP(AF1764,[1]STOK!J:O,6,0),"")</f>
        <v>48</v>
      </c>
      <c r="AH1764" s="2">
        <f t="shared" si="54"/>
        <v>0.125</v>
      </c>
      <c r="AI1764" t="s">
        <v>90</v>
      </c>
      <c r="AJ1764" t="s">
        <v>91</v>
      </c>
      <c r="AK1764" t="s">
        <v>92</v>
      </c>
      <c r="AL1764" t="s">
        <v>86</v>
      </c>
      <c r="AM1764">
        <v>6327</v>
      </c>
      <c r="AN1764">
        <f t="shared" si="55"/>
        <v>6327</v>
      </c>
      <c r="AO1764" t="s">
        <v>66</v>
      </c>
      <c r="AP1764">
        <v>0</v>
      </c>
      <c r="AQ1764" t="s">
        <v>66</v>
      </c>
      <c r="AR1764">
        <v>0</v>
      </c>
      <c r="AS1764" t="s">
        <v>66</v>
      </c>
      <c r="AT1764">
        <v>0</v>
      </c>
      <c r="AU1764" t="s">
        <v>66</v>
      </c>
      <c r="AV1764">
        <v>0</v>
      </c>
      <c r="AW1764" t="s">
        <v>66</v>
      </c>
      <c r="AX1764">
        <v>0</v>
      </c>
      <c r="AY1764" t="s">
        <v>66</v>
      </c>
      <c r="AZ1764">
        <v>0</v>
      </c>
      <c r="BA1764" t="s">
        <v>66</v>
      </c>
      <c r="BB1764">
        <v>0</v>
      </c>
      <c r="BC1764">
        <v>0</v>
      </c>
      <c r="BD1764">
        <v>37962</v>
      </c>
      <c r="BE1764">
        <v>4887.16</v>
      </c>
      <c r="BF1764">
        <v>0</v>
      </c>
      <c r="BG1764" t="s">
        <v>87</v>
      </c>
      <c r="BH1764" t="s">
        <v>66</v>
      </c>
      <c r="BI1764">
        <v>0</v>
      </c>
      <c r="BJ1764" t="s">
        <v>66</v>
      </c>
      <c r="BK1764" t="s">
        <v>88</v>
      </c>
      <c r="BL1764" t="s">
        <v>66</v>
      </c>
      <c r="BM1764" t="s">
        <v>159</v>
      </c>
    </row>
    <row r="1765" spans="1:65" x14ac:dyDescent="0.25">
      <c r="A1765">
        <v>1763</v>
      </c>
      <c r="B1765" t="s">
        <v>1794</v>
      </c>
      <c r="C1765" t="s">
        <v>68</v>
      </c>
      <c r="D1765" s="1">
        <v>46226</v>
      </c>
      <c r="E1765" t="s">
        <v>1795</v>
      </c>
      <c r="F1765" t="s">
        <v>68</v>
      </c>
      <c r="G1765" t="s">
        <v>295</v>
      </c>
      <c r="H1765" t="s">
        <v>296</v>
      </c>
      <c r="I1765" t="s">
        <v>71</v>
      </c>
      <c r="J1765" t="s">
        <v>72</v>
      </c>
      <c r="K1765" t="s">
        <v>73</v>
      </c>
      <c r="L1765" t="s">
        <v>74</v>
      </c>
      <c r="M1765" t="s">
        <v>684</v>
      </c>
      <c r="N1765" t="s">
        <v>274</v>
      </c>
      <c r="O1765" t="s">
        <v>685</v>
      </c>
      <c r="P1765" t="s">
        <v>686</v>
      </c>
      <c r="Q1765" t="s">
        <v>1796</v>
      </c>
      <c r="R1765" s="1">
        <v>46227</v>
      </c>
      <c r="S1765" t="s">
        <v>688</v>
      </c>
      <c r="T1765" t="s">
        <v>689</v>
      </c>
      <c r="U1765" t="s">
        <v>690</v>
      </c>
      <c r="V1765" t="s">
        <v>66</v>
      </c>
      <c r="W1765" t="s">
        <v>66</v>
      </c>
      <c r="X1765">
        <v>517200</v>
      </c>
      <c r="Y1765">
        <v>56892</v>
      </c>
      <c r="Z1765">
        <v>34200</v>
      </c>
      <c r="AA1765">
        <v>3762</v>
      </c>
      <c r="AB1765">
        <v>574092</v>
      </c>
      <c r="AC1765">
        <v>6</v>
      </c>
      <c r="AD1765" t="s">
        <v>82</v>
      </c>
      <c r="AE1765">
        <v>6</v>
      </c>
      <c r="AF1765" t="s">
        <v>202</v>
      </c>
      <c r="AG1765">
        <f>IFERROR(VLOOKUP(AF1765,[1]STOK!J:O,6,0),"")</f>
        <v>48</v>
      </c>
      <c r="AH1765" s="2">
        <f t="shared" si="54"/>
        <v>0.125</v>
      </c>
      <c r="AI1765" t="s">
        <v>202</v>
      </c>
      <c r="AJ1765" t="s">
        <v>203</v>
      </c>
      <c r="AK1765" t="s">
        <v>204</v>
      </c>
      <c r="AL1765" t="s">
        <v>86</v>
      </c>
      <c r="AM1765">
        <v>6327</v>
      </c>
      <c r="AN1765">
        <f t="shared" si="55"/>
        <v>6327</v>
      </c>
      <c r="AO1765" t="s">
        <v>66</v>
      </c>
      <c r="AP1765">
        <v>0</v>
      </c>
      <c r="AQ1765" t="s">
        <v>66</v>
      </c>
      <c r="AR1765">
        <v>0</v>
      </c>
      <c r="AS1765" t="s">
        <v>66</v>
      </c>
      <c r="AT1765">
        <v>0</v>
      </c>
      <c r="AU1765" t="s">
        <v>66</v>
      </c>
      <c r="AV1765">
        <v>0</v>
      </c>
      <c r="AW1765" t="s">
        <v>66</v>
      </c>
      <c r="AX1765">
        <v>0</v>
      </c>
      <c r="AY1765" t="s">
        <v>66</v>
      </c>
      <c r="AZ1765">
        <v>0</v>
      </c>
      <c r="BA1765" t="s">
        <v>66</v>
      </c>
      <c r="BB1765">
        <v>0</v>
      </c>
      <c r="BC1765">
        <v>0</v>
      </c>
      <c r="BD1765">
        <v>37962</v>
      </c>
      <c r="BE1765">
        <v>4914.4399999999996</v>
      </c>
      <c r="BF1765">
        <v>0</v>
      </c>
      <c r="BG1765" t="s">
        <v>87</v>
      </c>
      <c r="BH1765" t="s">
        <v>66</v>
      </c>
      <c r="BI1765">
        <v>0</v>
      </c>
      <c r="BJ1765" t="s">
        <v>66</v>
      </c>
      <c r="BK1765" t="s">
        <v>88</v>
      </c>
      <c r="BL1765" t="s">
        <v>66</v>
      </c>
      <c r="BM1765" t="s">
        <v>159</v>
      </c>
    </row>
    <row r="1766" spans="1:65" x14ac:dyDescent="0.25">
      <c r="A1766">
        <v>1764</v>
      </c>
      <c r="B1766" t="s">
        <v>1794</v>
      </c>
      <c r="C1766" t="s">
        <v>68</v>
      </c>
      <c r="D1766" s="1">
        <v>46226</v>
      </c>
      <c r="E1766" t="s">
        <v>1795</v>
      </c>
      <c r="F1766" t="s">
        <v>68</v>
      </c>
      <c r="G1766" t="s">
        <v>295</v>
      </c>
      <c r="H1766" t="s">
        <v>296</v>
      </c>
      <c r="I1766" t="s">
        <v>71</v>
      </c>
      <c r="J1766" t="s">
        <v>72</v>
      </c>
      <c r="K1766" t="s">
        <v>73</v>
      </c>
      <c r="L1766" t="s">
        <v>74</v>
      </c>
      <c r="M1766" t="s">
        <v>684</v>
      </c>
      <c r="N1766" t="s">
        <v>274</v>
      </c>
      <c r="O1766" t="s">
        <v>685</v>
      </c>
      <c r="P1766" t="s">
        <v>686</v>
      </c>
      <c r="Q1766" t="s">
        <v>1796</v>
      </c>
      <c r="R1766" s="1">
        <v>46227</v>
      </c>
      <c r="S1766" t="s">
        <v>688</v>
      </c>
      <c r="T1766" t="s">
        <v>689</v>
      </c>
      <c r="U1766" t="s">
        <v>690</v>
      </c>
      <c r="V1766" t="s">
        <v>66</v>
      </c>
      <c r="W1766" t="s">
        <v>66</v>
      </c>
      <c r="X1766">
        <v>517200</v>
      </c>
      <c r="Y1766">
        <v>56892</v>
      </c>
      <c r="Z1766">
        <v>99000</v>
      </c>
      <c r="AA1766">
        <v>10890</v>
      </c>
      <c r="AB1766">
        <v>574092</v>
      </c>
      <c r="AC1766">
        <v>6</v>
      </c>
      <c r="AD1766" t="s">
        <v>82</v>
      </c>
      <c r="AE1766">
        <v>6</v>
      </c>
      <c r="AF1766" t="s">
        <v>99</v>
      </c>
      <c r="AG1766">
        <f>IFERROR(VLOOKUP(AF1766,[1]STOK!J:O,6,0),"")</f>
        <v>24</v>
      </c>
      <c r="AH1766" s="2">
        <f t="shared" si="54"/>
        <v>0.25</v>
      </c>
      <c r="AI1766" t="s">
        <v>99</v>
      </c>
      <c r="AJ1766" t="s">
        <v>100</v>
      </c>
      <c r="AK1766" t="s">
        <v>101</v>
      </c>
      <c r="AL1766" t="s">
        <v>86</v>
      </c>
      <c r="AM1766">
        <v>18315</v>
      </c>
      <c r="AN1766">
        <f t="shared" si="55"/>
        <v>18315</v>
      </c>
      <c r="AO1766" t="s">
        <v>66</v>
      </c>
      <c r="AP1766">
        <v>0</v>
      </c>
      <c r="AQ1766" t="s">
        <v>66</v>
      </c>
      <c r="AR1766">
        <v>0</v>
      </c>
      <c r="AS1766" t="s">
        <v>66</v>
      </c>
      <c r="AT1766">
        <v>0</v>
      </c>
      <c r="AU1766" t="s">
        <v>66</v>
      </c>
      <c r="AV1766">
        <v>0</v>
      </c>
      <c r="AW1766" t="s">
        <v>66</v>
      </c>
      <c r="AX1766">
        <v>0</v>
      </c>
      <c r="AY1766" t="s">
        <v>66</v>
      </c>
      <c r="AZ1766">
        <v>0</v>
      </c>
      <c r="BA1766" t="s">
        <v>66</v>
      </c>
      <c r="BB1766">
        <v>0</v>
      </c>
      <c r="BC1766">
        <v>0</v>
      </c>
      <c r="BD1766">
        <v>109890</v>
      </c>
      <c r="BE1766">
        <v>14920.37</v>
      </c>
      <c r="BF1766">
        <v>0</v>
      </c>
      <c r="BG1766" t="s">
        <v>87</v>
      </c>
      <c r="BH1766" t="s">
        <v>66</v>
      </c>
      <c r="BI1766">
        <v>0</v>
      </c>
      <c r="BJ1766" t="s">
        <v>66</v>
      </c>
      <c r="BK1766" t="s">
        <v>88</v>
      </c>
      <c r="BL1766" t="s">
        <v>66</v>
      </c>
      <c r="BM1766" t="s">
        <v>159</v>
      </c>
    </row>
    <row r="1767" spans="1:65" x14ac:dyDescent="0.25">
      <c r="A1767">
        <v>1765</v>
      </c>
      <c r="B1767" t="s">
        <v>1794</v>
      </c>
      <c r="C1767" t="s">
        <v>68</v>
      </c>
      <c r="D1767" s="1">
        <v>46226</v>
      </c>
      <c r="E1767" t="s">
        <v>1795</v>
      </c>
      <c r="F1767" t="s">
        <v>68</v>
      </c>
      <c r="G1767" t="s">
        <v>295</v>
      </c>
      <c r="H1767" t="s">
        <v>296</v>
      </c>
      <c r="I1767" t="s">
        <v>71</v>
      </c>
      <c r="J1767" t="s">
        <v>72</v>
      </c>
      <c r="K1767" t="s">
        <v>73</v>
      </c>
      <c r="L1767" t="s">
        <v>74</v>
      </c>
      <c r="M1767" t="s">
        <v>684</v>
      </c>
      <c r="N1767" t="s">
        <v>274</v>
      </c>
      <c r="O1767" t="s">
        <v>685</v>
      </c>
      <c r="P1767" t="s">
        <v>686</v>
      </c>
      <c r="Q1767" t="s">
        <v>1796</v>
      </c>
      <c r="R1767" s="1">
        <v>46227</v>
      </c>
      <c r="S1767" t="s">
        <v>688</v>
      </c>
      <c r="T1767" t="s">
        <v>689</v>
      </c>
      <c r="U1767" t="s">
        <v>690</v>
      </c>
      <c r="V1767" t="s">
        <v>66</v>
      </c>
      <c r="W1767" t="s">
        <v>66</v>
      </c>
      <c r="X1767">
        <v>517200</v>
      </c>
      <c r="Y1767">
        <v>56892</v>
      </c>
      <c r="Z1767">
        <v>120000</v>
      </c>
      <c r="AA1767">
        <v>13200</v>
      </c>
      <c r="AB1767">
        <v>574092</v>
      </c>
      <c r="AC1767">
        <v>6</v>
      </c>
      <c r="AD1767" t="s">
        <v>82</v>
      </c>
      <c r="AE1767">
        <v>6</v>
      </c>
      <c r="AF1767" t="s">
        <v>290</v>
      </c>
      <c r="AG1767">
        <f>IFERROR(VLOOKUP(AF1767,[1]STOK!J:O,6,0),"")</f>
        <v>12</v>
      </c>
      <c r="AH1767" s="2">
        <f t="shared" si="54"/>
        <v>0.5</v>
      </c>
      <c r="AI1767" t="s">
        <v>290</v>
      </c>
      <c r="AJ1767" t="s">
        <v>291</v>
      </c>
      <c r="AK1767" t="s">
        <v>292</v>
      </c>
      <c r="AL1767" t="s">
        <v>86</v>
      </c>
      <c r="AM1767">
        <v>22200</v>
      </c>
      <c r="AN1767">
        <f t="shared" si="55"/>
        <v>22200</v>
      </c>
      <c r="AO1767" t="s">
        <v>66</v>
      </c>
      <c r="AP1767">
        <v>0</v>
      </c>
      <c r="AQ1767" t="s">
        <v>66</v>
      </c>
      <c r="AR1767">
        <v>0</v>
      </c>
      <c r="AS1767" t="s">
        <v>66</v>
      </c>
      <c r="AT1767">
        <v>0</v>
      </c>
      <c r="AU1767" t="s">
        <v>66</v>
      </c>
      <c r="AV1767">
        <v>0</v>
      </c>
      <c r="AW1767" t="s">
        <v>66</v>
      </c>
      <c r="AX1767">
        <v>0</v>
      </c>
      <c r="AY1767" t="s">
        <v>66</v>
      </c>
      <c r="AZ1767">
        <v>0</v>
      </c>
      <c r="BA1767" t="s">
        <v>66</v>
      </c>
      <c r="BB1767">
        <v>0</v>
      </c>
      <c r="BC1767">
        <v>0</v>
      </c>
      <c r="BD1767">
        <v>133200</v>
      </c>
      <c r="BE1767">
        <v>18103.439999999999</v>
      </c>
      <c r="BF1767">
        <v>0</v>
      </c>
      <c r="BG1767" t="s">
        <v>87</v>
      </c>
      <c r="BH1767" t="s">
        <v>66</v>
      </c>
      <c r="BI1767">
        <v>0</v>
      </c>
      <c r="BJ1767" t="s">
        <v>66</v>
      </c>
      <c r="BK1767" t="s">
        <v>88</v>
      </c>
      <c r="BL1767" t="s">
        <v>66</v>
      </c>
      <c r="BM1767" t="s">
        <v>159</v>
      </c>
    </row>
    <row r="1768" spans="1:65" x14ac:dyDescent="0.25">
      <c r="A1768">
        <v>1766</v>
      </c>
      <c r="B1768" t="s">
        <v>1794</v>
      </c>
      <c r="C1768" t="s">
        <v>68</v>
      </c>
      <c r="D1768" s="1">
        <v>46226</v>
      </c>
      <c r="E1768" t="s">
        <v>1795</v>
      </c>
      <c r="F1768" t="s">
        <v>68</v>
      </c>
      <c r="G1768" t="s">
        <v>295</v>
      </c>
      <c r="H1768" t="s">
        <v>296</v>
      </c>
      <c r="I1768" t="s">
        <v>71</v>
      </c>
      <c r="J1768" t="s">
        <v>72</v>
      </c>
      <c r="K1768" t="s">
        <v>73</v>
      </c>
      <c r="L1768" t="s">
        <v>74</v>
      </c>
      <c r="M1768" t="s">
        <v>684</v>
      </c>
      <c r="N1768" t="s">
        <v>274</v>
      </c>
      <c r="O1768" t="s">
        <v>685</v>
      </c>
      <c r="P1768" t="s">
        <v>686</v>
      </c>
      <c r="Q1768" t="s">
        <v>1796</v>
      </c>
      <c r="R1768" s="1">
        <v>46227</v>
      </c>
      <c r="S1768" t="s">
        <v>688</v>
      </c>
      <c r="T1768" t="s">
        <v>689</v>
      </c>
      <c r="U1768" t="s">
        <v>690</v>
      </c>
      <c r="V1768" t="s">
        <v>66</v>
      </c>
      <c r="W1768" t="s">
        <v>66</v>
      </c>
      <c r="X1768">
        <v>517200</v>
      </c>
      <c r="Y1768">
        <v>56892</v>
      </c>
      <c r="Z1768">
        <v>229800</v>
      </c>
      <c r="AA1768">
        <v>25278</v>
      </c>
      <c r="AB1768">
        <v>574092</v>
      </c>
      <c r="AC1768">
        <v>6</v>
      </c>
      <c r="AD1768" t="s">
        <v>82</v>
      </c>
      <c r="AE1768">
        <v>6</v>
      </c>
      <c r="AF1768" t="s">
        <v>138</v>
      </c>
      <c r="AG1768">
        <f>IFERROR(VLOOKUP(AF1768,[1]STOK!J:O,6,0),"")</f>
        <v>6</v>
      </c>
      <c r="AH1768" s="2">
        <f t="shared" si="54"/>
        <v>1</v>
      </c>
      <c r="AI1768" t="s">
        <v>138</v>
      </c>
      <c r="AJ1768" t="s">
        <v>139</v>
      </c>
      <c r="AK1768" t="s">
        <v>140</v>
      </c>
      <c r="AL1768" t="s">
        <v>86</v>
      </c>
      <c r="AM1768">
        <v>42513</v>
      </c>
      <c r="AN1768">
        <f t="shared" si="55"/>
        <v>42513</v>
      </c>
      <c r="AO1768" t="s">
        <v>66</v>
      </c>
      <c r="AP1768">
        <v>0</v>
      </c>
      <c r="AQ1768" t="s">
        <v>66</v>
      </c>
      <c r="AR1768">
        <v>0</v>
      </c>
      <c r="AS1768" t="s">
        <v>66</v>
      </c>
      <c r="AT1768">
        <v>0</v>
      </c>
      <c r="AU1768" t="s">
        <v>66</v>
      </c>
      <c r="AV1768">
        <v>0</v>
      </c>
      <c r="AW1768" t="s">
        <v>66</v>
      </c>
      <c r="AX1768">
        <v>0</v>
      </c>
      <c r="AY1768" t="s">
        <v>66</v>
      </c>
      <c r="AZ1768">
        <v>0</v>
      </c>
      <c r="BA1768" t="s">
        <v>66</v>
      </c>
      <c r="BB1768">
        <v>0</v>
      </c>
      <c r="BC1768">
        <v>0</v>
      </c>
      <c r="BD1768">
        <v>255078</v>
      </c>
      <c r="BE1768">
        <v>34654.5</v>
      </c>
      <c r="BF1768">
        <v>0</v>
      </c>
      <c r="BG1768" t="s">
        <v>87</v>
      </c>
      <c r="BH1768" t="s">
        <v>66</v>
      </c>
      <c r="BI1768">
        <v>0</v>
      </c>
      <c r="BJ1768" t="s">
        <v>66</v>
      </c>
      <c r="BK1768" t="s">
        <v>88</v>
      </c>
      <c r="BL1768" t="s">
        <v>66</v>
      </c>
      <c r="BM1768" t="s">
        <v>159</v>
      </c>
    </row>
    <row r="1769" spans="1:65" x14ac:dyDescent="0.25">
      <c r="A1769">
        <v>1767</v>
      </c>
      <c r="B1769" t="s">
        <v>1797</v>
      </c>
      <c r="C1769" t="s">
        <v>68</v>
      </c>
      <c r="D1769" s="1">
        <v>46226</v>
      </c>
      <c r="E1769" t="s">
        <v>1798</v>
      </c>
      <c r="F1769" t="s">
        <v>68</v>
      </c>
      <c r="G1769" t="s">
        <v>295</v>
      </c>
      <c r="H1769" t="s">
        <v>296</v>
      </c>
      <c r="I1769" t="s">
        <v>71</v>
      </c>
      <c r="J1769" t="s">
        <v>72</v>
      </c>
      <c r="K1769" t="s">
        <v>73</v>
      </c>
      <c r="L1769" t="s">
        <v>74</v>
      </c>
      <c r="M1769" t="s">
        <v>1125</v>
      </c>
      <c r="N1769" t="s">
        <v>274</v>
      </c>
      <c r="O1769" t="s">
        <v>1126</v>
      </c>
      <c r="P1769" t="s">
        <v>1127</v>
      </c>
      <c r="Q1769" t="s">
        <v>1799</v>
      </c>
      <c r="R1769" s="1">
        <v>46227</v>
      </c>
      <c r="S1769" t="s">
        <v>1129</v>
      </c>
      <c r="T1769" t="s">
        <v>1130</v>
      </c>
      <c r="U1769" t="s">
        <v>1131</v>
      </c>
      <c r="V1769" t="s">
        <v>66</v>
      </c>
      <c r="W1769" t="s">
        <v>66</v>
      </c>
      <c r="X1769">
        <v>780000</v>
      </c>
      <c r="Y1769">
        <v>85800</v>
      </c>
      <c r="Z1769">
        <v>240000</v>
      </c>
      <c r="AA1769">
        <v>26400</v>
      </c>
      <c r="AB1769">
        <v>865800</v>
      </c>
      <c r="AC1769">
        <v>1</v>
      </c>
      <c r="AD1769" t="s">
        <v>134</v>
      </c>
      <c r="AE1769">
        <v>12</v>
      </c>
      <c r="AF1769" t="s">
        <v>102</v>
      </c>
      <c r="AG1769">
        <f>IFERROR(VLOOKUP(AF1769,[1]STOK!J:O,6,0),"")</f>
        <v>12</v>
      </c>
      <c r="AH1769" s="2">
        <f t="shared" si="54"/>
        <v>1</v>
      </c>
      <c r="AI1769" t="s">
        <v>102</v>
      </c>
      <c r="AJ1769" t="s">
        <v>103</v>
      </c>
      <c r="AK1769" t="s">
        <v>104</v>
      </c>
      <c r="AL1769" t="s">
        <v>86</v>
      </c>
      <c r="AM1769">
        <v>266400</v>
      </c>
      <c r="AN1769">
        <f t="shared" si="55"/>
        <v>266400</v>
      </c>
      <c r="AO1769" t="s">
        <v>66</v>
      </c>
      <c r="AP1769">
        <v>0</v>
      </c>
      <c r="AQ1769" t="s">
        <v>66</v>
      </c>
      <c r="AR1769">
        <v>0</v>
      </c>
      <c r="AS1769" t="s">
        <v>66</v>
      </c>
      <c r="AT1769">
        <v>0</v>
      </c>
      <c r="AU1769" t="s">
        <v>66</v>
      </c>
      <c r="AV1769">
        <v>0</v>
      </c>
      <c r="AW1769" t="s">
        <v>66</v>
      </c>
      <c r="AX1769">
        <v>0</v>
      </c>
      <c r="AY1769" t="s">
        <v>66</v>
      </c>
      <c r="AZ1769">
        <v>0</v>
      </c>
      <c r="BA1769" t="s">
        <v>66</v>
      </c>
      <c r="BB1769">
        <v>0</v>
      </c>
      <c r="BC1769">
        <v>0</v>
      </c>
      <c r="BD1769">
        <v>266400</v>
      </c>
      <c r="BE1769">
        <v>18055.25</v>
      </c>
      <c r="BF1769">
        <v>0</v>
      </c>
      <c r="BG1769" t="s">
        <v>87</v>
      </c>
      <c r="BH1769" t="s">
        <v>66</v>
      </c>
      <c r="BI1769">
        <v>0</v>
      </c>
      <c r="BJ1769" t="s">
        <v>66</v>
      </c>
      <c r="BK1769" t="s">
        <v>88</v>
      </c>
      <c r="BL1769" t="s">
        <v>66</v>
      </c>
      <c r="BM1769" t="s">
        <v>159</v>
      </c>
    </row>
    <row r="1770" spans="1:65" x14ac:dyDescent="0.25">
      <c r="A1770">
        <v>1768</v>
      </c>
      <c r="B1770" t="s">
        <v>1797</v>
      </c>
      <c r="C1770" t="s">
        <v>68</v>
      </c>
      <c r="D1770" s="1">
        <v>46226</v>
      </c>
      <c r="E1770" t="s">
        <v>1798</v>
      </c>
      <c r="F1770" t="s">
        <v>68</v>
      </c>
      <c r="G1770" t="s">
        <v>295</v>
      </c>
      <c r="H1770" t="s">
        <v>296</v>
      </c>
      <c r="I1770" t="s">
        <v>71</v>
      </c>
      <c r="J1770" t="s">
        <v>72</v>
      </c>
      <c r="K1770" t="s">
        <v>73</v>
      </c>
      <c r="L1770" t="s">
        <v>74</v>
      </c>
      <c r="M1770" t="s">
        <v>1125</v>
      </c>
      <c r="N1770" t="s">
        <v>274</v>
      </c>
      <c r="O1770" t="s">
        <v>1126</v>
      </c>
      <c r="P1770" t="s">
        <v>1127</v>
      </c>
      <c r="Q1770" t="s">
        <v>1799</v>
      </c>
      <c r="R1770" s="1">
        <v>46227</v>
      </c>
      <c r="S1770" t="s">
        <v>1129</v>
      </c>
      <c r="T1770" t="s">
        <v>1130</v>
      </c>
      <c r="U1770" t="s">
        <v>1131</v>
      </c>
      <c r="V1770" t="s">
        <v>66</v>
      </c>
      <c r="W1770" t="s">
        <v>66</v>
      </c>
      <c r="X1770">
        <v>780000</v>
      </c>
      <c r="Y1770">
        <v>85800</v>
      </c>
      <c r="Z1770">
        <v>540000</v>
      </c>
      <c r="AA1770">
        <v>59400</v>
      </c>
      <c r="AB1770">
        <v>865800</v>
      </c>
      <c r="AC1770">
        <v>2</v>
      </c>
      <c r="AD1770" t="s">
        <v>134</v>
      </c>
      <c r="AE1770">
        <v>8</v>
      </c>
      <c r="AF1770" t="s">
        <v>312</v>
      </c>
      <c r="AG1770">
        <f>IFERROR(VLOOKUP(AF1770,[1]STOK!J:O,6,0),"")</f>
        <v>4</v>
      </c>
      <c r="AH1770" s="2">
        <f t="shared" si="54"/>
        <v>2</v>
      </c>
      <c r="AI1770" t="s">
        <v>312</v>
      </c>
      <c r="AJ1770" t="s">
        <v>313</v>
      </c>
      <c r="AK1770" t="s">
        <v>314</v>
      </c>
      <c r="AL1770" t="s">
        <v>86</v>
      </c>
      <c r="AM1770">
        <v>299700</v>
      </c>
      <c r="AN1770">
        <f t="shared" si="55"/>
        <v>299700</v>
      </c>
      <c r="AO1770" t="s">
        <v>66</v>
      </c>
      <c r="AP1770">
        <v>0</v>
      </c>
      <c r="AQ1770" t="s">
        <v>66</v>
      </c>
      <c r="AR1770">
        <v>0</v>
      </c>
      <c r="AS1770" t="s">
        <v>66</v>
      </c>
      <c r="AT1770">
        <v>0</v>
      </c>
      <c r="AU1770" t="s">
        <v>66</v>
      </c>
      <c r="AV1770">
        <v>0</v>
      </c>
      <c r="AW1770" t="s">
        <v>66</v>
      </c>
      <c r="AX1770">
        <v>0</v>
      </c>
      <c r="AY1770" t="s">
        <v>66</v>
      </c>
      <c r="AZ1770">
        <v>0</v>
      </c>
      <c r="BA1770" t="s">
        <v>66</v>
      </c>
      <c r="BB1770">
        <v>0</v>
      </c>
      <c r="BC1770">
        <v>0</v>
      </c>
      <c r="BD1770">
        <v>599400</v>
      </c>
      <c r="BE1770">
        <v>60360.82</v>
      </c>
      <c r="BF1770">
        <v>0</v>
      </c>
      <c r="BG1770" t="s">
        <v>87</v>
      </c>
      <c r="BH1770" t="s">
        <v>66</v>
      </c>
      <c r="BI1770">
        <v>0</v>
      </c>
      <c r="BJ1770" t="s">
        <v>66</v>
      </c>
      <c r="BK1770" t="s">
        <v>88</v>
      </c>
      <c r="BL1770" t="s">
        <v>66</v>
      </c>
      <c r="BM1770" t="s">
        <v>159</v>
      </c>
    </row>
    <row r="1771" spans="1:65" x14ac:dyDescent="0.25">
      <c r="A1771">
        <v>1769</v>
      </c>
      <c r="B1771" t="s">
        <v>1800</v>
      </c>
      <c r="C1771" t="s">
        <v>68</v>
      </c>
      <c r="D1771" s="1">
        <v>46226</v>
      </c>
      <c r="E1771" t="s">
        <v>1801</v>
      </c>
      <c r="F1771" t="s">
        <v>68</v>
      </c>
      <c r="G1771" t="s">
        <v>295</v>
      </c>
      <c r="H1771" t="s">
        <v>296</v>
      </c>
      <c r="I1771" t="s">
        <v>71</v>
      </c>
      <c r="J1771" t="s">
        <v>72</v>
      </c>
      <c r="K1771" t="s">
        <v>73</v>
      </c>
      <c r="L1771" t="s">
        <v>74</v>
      </c>
      <c r="M1771" t="s">
        <v>1205</v>
      </c>
      <c r="N1771" t="s">
        <v>274</v>
      </c>
      <c r="O1771" t="s">
        <v>1206</v>
      </c>
      <c r="P1771" t="s">
        <v>1207</v>
      </c>
      <c r="Q1771" t="s">
        <v>1802</v>
      </c>
      <c r="R1771" s="1">
        <v>46228</v>
      </c>
      <c r="S1771" t="s">
        <v>1209</v>
      </c>
      <c r="T1771" t="s">
        <v>1210</v>
      </c>
      <c r="U1771" t="s">
        <v>1211</v>
      </c>
      <c r="V1771" t="s">
        <v>66</v>
      </c>
      <c r="W1771" t="s">
        <v>66</v>
      </c>
      <c r="X1771">
        <v>1784376</v>
      </c>
      <c r="Y1771">
        <v>196281.36</v>
      </c>
      <c r="Z1771">
        <v>392040</v>
      </c>
      <c r="AA1771">
        <v>43124.4</v>
      </c>
      <c r="AB1771">
        <v>1980657.36</v>
      </c>
      <c r="AC1771">
        <v>24</v>
      </c>
      <c r="AD1771" t="s">
        <v>82</v>
      </c>
      <c r="AE1771">
        <v>24</v>
      </c>
      <c r="AF1771" t="s">
        <v>205</v>
      </c>
      <c r="AG1771">
        <f>IFERROR(VLOOKUP(AF1771,[1]STOK!J:O,6,0),"")</f>
        <v>24</v>
      </c>
      <c r="AH1771" s="2">
        <f t="shared" si="54"/>
        <v>1</v>
      </c>
      <c r="AI1771" t="s">
        <v>205</v>
      </c>
      <c r="AJ1771" t="s">
        <v>206</v>
      </c>
      <c r="AK1771" t="s">
        <v>207</v>
      </c>
      <c r="AL1771" t="s">
        <v>86</v>
      </c>
      <c r="AM1771">
        <v>18315</v>
      </c>
      <c r="AN1771">
        <f t="shared" si="55"/>
        <v>18131.850000000002</v>
      </c>
      <c r="AO1771" t="s">
        <v>66</v>
      </c>
      <c r="AP1771">
        <v>1</v>
      </c>
      <c r="AQ1771" t="s">
        <v>66</v>
      </c>
      <c r="AR1771">
        <v>0</v>
      </c>
      <c r="AS1771" t="s">
        <v>66</v>
      </c>
      <c r="AT1771">
        <v>0</v>
      </c>
      <c r="AU1771" t="s">
        <v>66</v>
      </c>
      <c r="AV1771">
        <v>0</v>
      </c>
      <c r="AW1771" t="s">
        <v>66</v>
      </c>
      <c r="AX1771">
        <v>0</v>
      </c>
      <c r="AY1771" t="s">
        <v>66</v>
      </c>
      <c r="AZ1771">
        <v>0</v>
      </c>
      <c r="BA1771" t="s">
        <v>66</v>
      </c>
      <c r="BB1771">
        <v>0</v>
      </c>
      <c r="BC1771">
        <v>0</v>
      </c>
      <c r="BD1771">
        <v>435164.4</v>
      </c>
      <c r="BE1771">
        <v>14892.95</v>
      </c>
      <c r="BF1771">
        <v>0</v>
      </c>
      <c r="BG1771" t="s">
        <v>87</v>
      </c>
      <c r="BH1771" t="s">
        <v>66</v>
      </c>
      <c r="BI1771">
        <v>0</v>
      </c>
      <c r="BJ1771" t="s">
        <v>66</v>
      </c>
      <c r="BK1771" t="s">
        <v>88</v>
      </c>
      <c r="BL1771" t="s">
        <v>66</v>
      </c>
      <c r="BM1771" t="s">
        <v>159</v>
      </c>
    </row>
    <row r="1772" spans="1:65" x14ac:dyDescent="0.25">
      <c r="A1772">
        <v>1770</v>
      </c>
      <c r="B1772" t="s">
        <v>1800</v>
      </c>
      <c r="C1772" t="s">
        <v>68</v>
      </c>
      <c r="D1772" s="1">
        <v>46226</v>
      </c>
      <c r="E1772" t="s">
        <v>1801</v>
      </c>
      <c r="F1772" t="s">
        <v>68</v>
      </c>
      <c r="G1772" t="s">
        <v>295</v>
      </c>
      <c r="H1772" t="s">
        <v>296</v>
      </c>
      <c r="I1772" t="s">
        <v>71</v>
      </c>
      <c r="J1772" t="s">
        <v>72</v>
      </c>
      <c r="K1772" t="s">
        <v>73</v>
      </c>
      <c r="L1772" t="s">
        <v>74</v>
      </c>
      <c r="M1772" t="s">
        <v>1205</v>
      </c>
      <c r="N1772" t="s">
        <v>274</v>
      </c>
      <c r="O1772" t="s">
        <v>1206</v>
      </c>
      <c r="P1772" t="s">
        <v>1207</v>
      </c>
      <c r="Q1772" t="s">
        <v>1802</v>
      </c>
      <c r="R1772" s="1">
        <v>46228</v>
      </c>
      <c r="S1772" t="s">
        <v>1209</v>
      </c>
      <c r="T1772" t="s">
        <v>1210</v>
      </c>
      <c r="U1772" t="s">
        <v>1211</v>
      </c>
      <c r="V1772" t="s">
        <v>66</v>
      </c>
      <c r="W1772" t="s">
        <v>66</v>
      </c>
      <c r="X1772">
        <v>1784376</v>
      </c>
      <c r="Y1772">
        <v>196281.36</v>
      </c>
      <c r="Z1772">
        <v>324324</v>
      </c>
      <c r="AA1772">
        <v>35675.64</v>
      </c>
      <c r="AB1772">
        <v>1980657.36</v>
      </c>
      <c r="AC1772">
        <v>12</v>
      </c>
      <c r="AD1772" t="s">
        <v>82</v>
      </c>
      <c r="AE1772">
        <v>12</v>
      </c>
      <c r="AF1772" t="s">
        <v>593</v>
      </c>
      <c r="AG1772">
        <f>IFERROR(VLOOKUP(AF1772,[1]STOK!J:O,6,0),"")</f>
        <v>12</v>
      </c>
      <c r="AH1772" s="2">
        <f t="shared" si="54"/>
        <v>1</v>
      </c>
      <c r="AI1772" t="s">
        <v>593</v>
      </c>
      <c r="AJ1772" t="s">
        <v>594</v>
      </c>
      <c r="AK1772" t="s">
        <v>595</v>
      </c>
      <c r="AL1772" t="s">
        <v>86</v>
      </c>
      <c r="AM1772">
        <v>30303</v>
      </c>
      <c r="AN1772">
        <f t="shared" si="55"/>
        <v>29999.97</v>
      </c>
      <c r="AO1772" t="s">
        <v>66</v>
      </c>
      <c r="AP1772">
        <v>1</v>
      </c>
      <c r="AQ1772" t="s">
        <v>66</v>
      </c>
      <c r="AR1772">
        <v>0</v>
      </c>
      <c r="AS1772" t="s">
        <v>66</v>
      </c>
      <c r="AT1772">
        <v>0</v>
      </c>
      <c r="AU1772" t="s">
        <v>66</v>
      </c>
      <c r="AV1772">
        <v>0</v>
      </c>
      <c r="AW1772" t="s">
        <v>66</v>
      </c>
      <c r="AX1772">
        <v>0</v>
      </c>
      <c r="AY1772" t="s">
        <v>66</v>
      </c>
      <c r="AZ1772">
        <v>0</v>
      </c>
      <c r="BA1772" t="s">
        <v>66</v>
      </c>
      <c r="BB1772">
        <v>0</v>
      </c>
      <c r="BC1772">
        <v>0</v>
      </c>
      <c r="BD1772">
        <v>359999.64</v>
      </c>
      <c r="BE1772">
        <v>24612.83</v>
      </c>
      <c r="BF1772">
        <v>0</v>
      </c>
      <c r="BG1772" t="s">
        <v>87</v>
      </c>
      <c r="BH1772" t="s">
        <v>66</v>
      </c>
      <c r="BI1772">
        <v>0</v>
      </c>
      <c r="BJ1772" t="s">
        <v>66</v>
      </c>
      <c r="BK1772" t="s">
        <v>88</v>
      </c>
      <c r="BL1772" t="s">
        <v>66</v>
      </c>
      <c r="BM1772" t="s">
        <v>159</v>
      </c>
    </row>
    <row r="1773" spans="1:65" x14ac:dyDescent="0.25">
      <c r="A1773">
        <v>1771</v>
      </c>
      <c r="B1773" t="s">
        <v>1800</v>
      </c>
      <c r="C1773" t="s">
        <v>68</v>
      </c>
      <c r="D1773" s="1">
        <v>46226</v>
      </c>
      <c r="E1773" t="s">
        <v>1801</v>
      </c>
      <c r="F1773" t="s">
        <v>68</v>
      </c>
      <c r="G1773" t="s">
        <v>295</v>
      </c>
      <c r="H1773" t="s">
        <v>296</v>
      </c>
      <c r="I1773" t="s">
        <v>71</v>
      </c>
      <c r="J1773" t="s">
        <v>72</v>
      </c>
      <c r="K1773" t="s">
        <v>73</v>
      </c>
      <c r="L1773" t="s">
        <v>74</v>
      </c>
      <c r="M1773" t="s">
        <v>1205</v>
      </c>
      <c r="N1773" t="s">
        <v>274</v>
      </c>
      <c r="O1773" t="s">
        <v>1206</v>
      </c>
      <c r="P1773" t="s">
        <v>1207</v>
      </c>
      <c r="Q1773" t="s">
        <v>1802</v>
      </c>
      <c r="R1773" s="1">
        <v>46228</v>
      </c>
      <c r="S1773" t="s">
        <v>1209</v>
      </c>
      <c r="T1773" t="s">
        <v>1210</v>
      </c>
      <c r="U1773" t="s">
        <v>1211</v>
      </c>
      <c r="V1773" t="s">
        <v>66</v>
      </c>
      <c r="W1773" t="s">
        <v>66</v>
      </c>
      <c r="X1773">
        <v>1784376</v>
      </c>
      <c r="Y1773">
        <v>196281.36</v>
      </c>
      <c r="Z1773">
        <v>158004</v>
      </c>
      <c r="AA1773">
        <v>17380.439999999999</v>
      </c>
      <c r="AB1773">
        <v>1980657.36</v>
      </c>
      <c r="AC1773">
        <v>12</v>
      </c>
      <c r="AD1773" t="s">
        <v>82</v>
      </c>
      <c r="AE1773">
        <v>12</v>
      </c>
      <c r="AF1773" t="s">
        <v>135</v>
      </c>
      <c r="AG1773">
        <f>IFERROR(VLOOKUP(AF1773,[1]STOK!J:O,6,0),"")</f>
        <v>12</v>
      </c>
      <c r="AH1773" s="2">
        <f t="shared" si="54"/>
        <v>1</v>
      </c>
      <c r="AI1773" t="s">
        <v>135</v>
      </c>
      <c r="AJ1773" t="s">
        <v>136</v>
      </c>
      <c r="AK1773" t="s">
        <v>137</v>
      </c>
      <c r="AL1773" t="s">
        <v>86</v>
      </c>
      <c r="AM1773">
        <v>14763</v>
      </c>
      <c r="AN1773">
        <f t="shared" si="55"/>
        <v>14615.37</v>
      </c>
      <c r="AO1773" t="s">
        <v>66</v>
      </c>
      <c r="AP1773">
        <v>1</v>
      </c>
      <c r="AQ1773" t="s">
        <v>66</v>
      </c>
      <c r="AR1773">
        <v>0</v>
      </c>
      <c r="AS1773" t="s">
        <v>66</v>
      </c>
      <c r="AT1773">
        <v>0</v>
      </c>
      <c r="AU1773" t="s">
        <v>66</v>
      </c>
      <c r="AV1773">
        <v>0</v>
      </c>
      <c r="AW1773" t="s">
        <v>66</v>
      </c>
      <c r="AX1773">
        <v>0</v>
      </c>
      <c r="AY1773" t="s">
        <v>66</v>
      </c>
      <c r="AZ1773">
        <v>0</v>
      </c>
      <c r="BA1773" t="s">
        <v>66</v>
      </c>
      <c r="BB1773">
        <v>0</v>
      </c>
      <c r="BC1773">
        <v>0</v>
      </c>
      <c r="BD1773">
        <v>175384.44</v>
      </c>
      <c r="BE1773">
        <v>12035.93</v>
      </c>
      <c r="BF1773">
        <v>0</v>
      </c>
      <c r="BG1773" t="s">
        <v>87</v>
      </c>
      <c r="BH1773" t="s">
        <v>66</v>
      </c>
      <c r="BI1773">
        <v>0</v>
      </c>
      <c r="BJ1773" t="s">
        <v>66</v>
      </c>
      <c r="BK1773" t="s">
        <v>88</v>
      </c>
      <c r="BL1773" t="s">
        <v>66</v>
      </c>
      <c r="BM1773" t="s">
        <v>159</v>
      </c>
    </row>
    <row r="1774" spans="1:65" x14ac:dyDescent="0.25">
      <c r="A1774">
        <v>1772</v>
      </c>
      <c r="B1774" t="s">
        <v>1800</v>
      </c>
      <c r="C1774" t="s">
        <v>68</v>
      </c>
      <c r="D1774" s="1">
        <v>46226</v>
      </c>
      <c r="E1774" t="s">
        <v>1801</v>
      </c>
      <c r="F1774" t="s">
        <v>68</v>
      </c>
      <c r="G1774" t="s">
        <v>295</v>
      </c>
      <c r="H1774" t="s">
        <v>296</v>
      </c>
      <c r="I1774" t="s">
        <v>71</v>
      </c>
      <c r="J1774" t="s">
        <v>72</v>
      </c>
      <c r="K1774" t="s">
        <v>73</v>
      </c>
      <c r="L1774" t="s">
        <v>74</v>
      </c>
      <c r="M1774" t="s">
        <v>1205</v>
      </c>
      <c r="N1774" t="s">
        <v>274</v>
      </c>
      <c r="O1774" t="s">
        <v>1206</v>
      </c>
      <c r="P1774" t="s">
        <v>1207</v>
      </c>
      <c r="Q1774" t="s">
        <v>1802</v>
      </c>
      <c r="R1774" s="1">
        <v>46228</v>
      </c>
      <c r="S1774" t="s">
        <v>1209</v>
      </c>
      <c r="T1774" t="s">
        <v>1210</v>
      </c>
      <c r="U1774" t="s">
        <v>1211</v>
      </c>
      <c r="V1774" t="s">
        <v>66</v>
      </c>
      <c r="W1774" t="s">
        <v>66</v>
      </c>
      <c r="X1774">
        <v>1784376</v>
      </c>
      <c r="Y1774">
        <v>196281.36</v>
      </c>
      <c r="Z1774">
        <v>910008</v>
      </c>
      <c r="AA1774">
        <v>100100.88</v>
      </c>
      <c r="AB1774">
        <v>1980657.36</v>
      </c>
      <c r="AC1774">
        <v>24</v>
      </c>
      <c r="AD1774" t="s">
        <v>82</v>
      </c>
      <c r="AE1774">
        <v>24</v>
      </c>
      <c r="AF1774" t="s">
        <v>138</v>
      </c>
      <c r="AG1774">
        <f>IFERROR(VLOOKUP(AF1774,[1]STOK!J:O,6,0),"")</f>
        <v>6</v>
      </c>
      <c r="AH1774" s="2">
        <f t="shared" si="54"/>
        <v>4</v>
      </c>
      <c r="AI1774" t="s">
        <v>138</v>
      </c>
      <c r="AJ1774" t="s">
        <v>139</v>
      </c>
      <c r="AK1774" t="s">
        <v>140</v>
      </c>
      <c r="AL1774" t="s">
        <v>86</v>
      </c>
      <c r="AM1774">
        <v>42513</v>
      </c>
      <c r="AN1774">
        <f t="shared" si="55"/>
        <v>42087.87</v>
      </c>
      <c r="AO1774" t="s">
        <v>66</v>
      </c>
      <c r="AP1774">
        <v>1</v>
      </c>
      <c r="AQ1774" t="s">
        <v>66</v>
      </c>
      <c r="AR1774">
        <v>0</v>
      </c>
      <c r="AS1774" t="s">
        <v>66</v>
      </c>
      <c r="AT1774">
        <v>0</v>
      </c>
      <c r="AU1774" t="s">
        <v>66</v>
      </c>
      <c r="AV1774">
        <v>0</v>
      </c>
      <c r="AW1774" t="s">
        <v>66</v>
      </c>
      <c r="AX1774">
        <v>0</v>
      </c>
      <c r="AY1774" t="s">
        <v>66</v>
      </c>
      <c r="AZ1774">
        <v>0</v>
      </c>
      <c r="BA1774" t="s">
        <v>66</v>
      </c>
      <c r="BB1774">
        <v>0</v>
      </c>
      <c r="BC1774">
        <v>0</v>
      </c>
      <c r="BD1774">
        <v>1010108.88</v>
      </c>
      <c r="BE1774">
        <v>34654.5</v>
      </c>
      <c r="BF1774">
        <v>0</v>
      </c>
      <c r="BG1774" t="s">
        <v>87</v>
      </c>
      <c r="BH1774" t="s">
        <v>66</v>
      </c>
      <c r="BI1774">
        <v>0</v>
      </c>
      <c r="BJ1774" t="s">
        <v>66</v>
      </c>
      <c r="BK1774" t="s">
        <v>88</v>
      </c>
      <c r="BL1774" t="s">
        <v>66</v>
      </c>
      <c r="BM1774" t="s">
        <v>159</v>
      </c>
    </row>
    <row r="1775" spans="1:65" x14ac:dyDescent="0.25">
      <c r="A1775">
        <v>1773</v>
      </c>
      <c r="B1775" t="s">
        <v>1803</v>
      </c>
      <c r="C1775" t="s">
        <v>68</v>
      </c>
      <c r="D1775" s="1">
        <v>46226</v>
      </c>
      <c r="E1775" t="s">
        <v>1804</v>
      </c>
      <c r="F1775" t="s">
        <v>68</v>
      </c>
      <c r="G1775" t="s">
        <v>295</v>
      </c>
      <c r="H1775" t="s">
        <v>296</v>
      </c>
      <c r="I1775" t="s">
        <v>71</v>
      </c>
      <c r="J1775" t="s">
        <v>72</v>
      </c>
      <c r="K1775" t="s">
        <v>73</v>
      </c>
      <c r="L1775" t="s">
        <v>74</v>
      </c>
      <c r="M1775" t="s">
        <v>657</v>
      </c>
      <c r="N1775" t="s">
        <v>111</v>
      </c>
      <c r="O1775" t="s">
        <v>658</v>
      </c>
      <c r="P1775" t="s">
        <v>659</v>
      </c>
      <c r="Q1775" t="s">
        <v>1805</v>
      </c>
      <c r="R1775" s="1">
        <v>46227</v>
      </c>
      <c r="S1775" t="s">
        <v>661</v>
      </c>
      <c r="T1775" t="s">
        <v>662</v>
      </c>
      <c r="U1775" t="s">
        <v>663</v>
      </c>
      <c r="V1775" t="s">
        <v>66</v>
      </c>
      <c r="W1775" t="s">
        <v>66</v>
      </c>
      <c r="X1775">
        <v>851400</v>
      </c>
      <c r="Y1775">
        <v>93654</v>
      </c>
      <c r="Z1775">
        <v>99000</v>
      </c>
      <c r="AA1775">
        <v>10890</v>
      </c>
      <c r="AB1775">
        <v>945054</v>
      </c>
      <c r="AC1775">
        <v>6</v>
      </c>
      <c r="AD1775" t="s">
        <v>82</v>
      </c>
      <c r="AE1775">
        <v>6</v>
      </c>
      <c r="AF1775" t="s">
        <v>99</v>
      </c>
      <c r="AG1775">
        <f>IFERROR(VLOOKUP(AF1775,[1]STOK!J:O,6,0),"")</f>
        <v>24</v>
      </c>
      <c r="AH1775" s="2">
        <f t="shared" si="54"/>
        <v>0.25</v>
      </c>
      <c r="AI1775" t="s">
        <v>99</v>
      </c>
      <c r="AJ1775" t="s">
        <v>100</v>
      </c>
      <c r="AK1775" t="s">
        <v>101</v>
      </c>
      <c r="AL1775" t="s">
        <v>86</v>
      </c>
      <c r="AM1775">
        <v>18315</v>
      </c>
      <c r="AN1775">
        <f t="shared" si="55"/>
        <v>18315</v>
      </c>
      <c r="AO1775" t="s">
        <v>66</v>
      </c>
      <c r="AP1775">
        <v>0</v>
      </c>
      <c r="AQ1775" t="s">
        <v>66</v>
      </c>
      <c r="AR1775">
        <v>0</v>
      </c>
      <c r="AS1775" t="s">
        <v>66</v>
      </c>
      <c r="AT1775">
        <v>0</v>
      </c>
      <c r="AU1775" t="s">
        <v>66</v>
      </c>
      <c r="AV1775">
        <v>0</v>
      </c>
      <c r="AW1775" t="s">
        <v>66</v>
      </c>
      <c r="AX1775">
        <v>0</v>
      </c>
      <c r="AY1775" t="s">
        <v>66</v>
      </c>
      <c r="AZ1775">
        <v>0</v>
      </c>
      <c r="BA1775" t="s">
        <v>66</v>
      </c>
      <c r="BB1775">
        <v>0</v>
      </c>
      <c r="BC1775">
        <v>0</v>
      </c>
      <c r="BD1775">
        <v>109890</v>
      </c>
      <c r="BE1775">
        <v>14920.37</v>
      </c>
      <c r="BF1775">
        <v>0</v>
      </c>
      <c r="BG1775" t="s">
        <v>87</v>
      </c>
      <c r="BH1775" t="s">
        <v>66</v>
      </c>
      <c r="BI1775">
        <v>0</v>
      </c>
      <c r="BJ1775" t="s">
        <v>66</v>
      </c>
      <c r="BK1775" t="s">
        <v>88</v>
      </c>
      <c r="BL1775" t="s">
        <v>66</v>
      </c>
      <c r="BM1775" t="s">
        <v>159</v>
      </c>
    </row>
    <row r="1776" spans="1:65" x14ac:dyDescent="0.25">
      <c r="A1776">
        <v>1774</v>
      </c>
      <c r="B1776" t="s">
        <v>1803</v>
      </c>
      <c r="C1776" t="s">
        <v>68</v>
      </c>
      <c r="D1776" s="1">
        <v>46226</v>
      </c>
      <c r="E1776" t="s">
        <v>1804</v>
      </c>
      <c r="F1776" t="s">
        <v>68</v>
      </c>
      <c r="G1776" t="s">
        <v>295</v>
      </c>
      <c r="H1776" t="s">
        <v>296</v>
      </c>
      <c r="I1776" t="s">
        <v>71</v>
      </c>
      <c r="J1776" t="s">
        <v>72</v>
      </c>
      <c r="K1776" t="s">
        <v>73</v>
      </c>
      <c r="L1776" t="s">
        <v>74</v>
      </c>
      <c r="M1776" t="s">
        <v>657</v>
      </c>
      <c r="N1776" t="s">
        <v>111</v>
      </c>
      <c r="O1776" t="s">
        <v>658</v>
      </c>
      <c r="P1776" t="s">
        <v>659</v>
      </c>
      <c r="Q1776" t="s">
        <v>1805</v>
      </c>
      <c r="R1776" s="1">
        <v>46227</v>
      </c>
      <c r="S1776" t="s">
        <v>661</v>
      </c>
      <c r="T1776" t="s">
        <v>662</v>
      </c>
      <c r="U1776" t="s">
        <v>663</v>
      </c>
      <c r="V1776" t="s">
        <v>66</v>
      </c>
      <c r="W1776" t="s">
        <v>66</v>
      </c>
      <c r="X1776">
        <v>851400</v>
      </c>
      <c r="Y1776">
        <v>93654</v>
      </c>
      <c r="Z1776">
        <v>58200</v>
      </c>
      <c r="AA1776">
        <v>6402</v>
      </c>
      <c r="AB1776">
        <v>945054</v>
      </c>
      <c r="AC1776">
        <v>3</v>
      </c>
      <c r="AD1776" t="s">
        <v>82</v>
      </c>
      <c r="AE1776">
        <v>3</v>
      </c>
      <c r="AF1776" t="s">
        <v>287</v>
      </c>
      <c r="AG1776">
        <f>IFERROR(VLOOKUP(AF1776,[1]STOK!J:O,6,0),"")</f>
        <v>12</v>
      </c>
      <c r="AH1776" s="2">
        <f t="shared" si="54"/>
        <v>0.25</v>
      </c>
      <c r="AI1776" t="s">
        <v>287</v>
      </c>
      <c r="AJ1776" t="s">
        <v>288</v>
      </c>
      <c r="AK1776" t="s">
        <v>289</v>
      </c>
      <c r="AL1776" t="s">
        <v>86</v>
      </c>
      <c r="AM1776">
        <v>21534</v>
      </c>
      <c r="AN1776">
        <f t="shared" si="55"/>
        <v>21534</v>
      </c>
      <c r="AO1776" t="s">
        <v>66</v>
      </c>
      <c r="AP1776">
        <v>0</v>
      </c>
      <c r="AQ1776" t="s">
        <v>66</v>
      </c>
      <c r="AR1776">
        <v>0</v>
      </c>
      <c r="AS1776" t="s">
        <v>66</v>
      </c>
      <c r="AT1776">
        <v>0</v>
      </c>
      <c r="AU1776" t="s">
        <v>66</v>
      </c>
      <c r="AV1776">
        <v>0</v>
      </c>
      <c r="AW1776" t="s">
        <v>66</v>
      </c>
      <c r="AX1776">
        <v>0</v>
      </c>
      <c r="AY1776" t="s">
        <v>66</v>
      </c>
      <c r="AZ1776">
        <v>0</v>
      </c>
      <c r="BA1776" t="s">
        <v>66</v>
      </c>
      <c r="BB1776">
        <v>0</v>
      </c>
      <c r="BC1776">
        <v>0</v>
      </c>
      <c r="BD1776">
        <v>64602</v>
      </c>
      <c r="BE1776">
        <v>17472.2</v>
      </c>
      <c r="BF1776">
        <v>0</v>
      </c>
      <c r="BG1776" t="s">
        <v>87</v>
      </c>
      <c r="BH1776" t="s">
        <v>66</v>
      </c>
      <c r="BI1776">
        <v>0</v>
      </c>
      <c r="BJ1776" t="s">
        <v>66</v>
      </c>
      <c r="BK1776" t="s">
        <v>88</v>
      </c>
      <c r="BL1776" t="s">
        <v>66</v>
      </c>
      <c r="BM1776" t="s">
        <v>159</v>
      </c>
    </row>
    <row r="1777" spans="1:65" x14ac:dyDescent="0.25">
      <c r="A1777">
        <v>1775</v>
      </c>
      <c r="B1777" t="s">
        <v>1803</v>
      </c>
      <c r="C1777" t="s">
        <v>68</v>
      </c>
      <c r="D1777" s="1">
        <v>46226</v>
      </c>
      <c r="E1777" t="s">
        <v>1804</v>
      </c>
      <c r="F1777" t="s">
        <v>68</v>
      </c>
      <c r="G1777" t="s">
        <v>295</v>
      </c>
      <c r="H1777" t="s">
        <v>296</v>
      </c>
      <c r="I1777" t="s">
        <v>71</v>
      </c>
      <c r="J1777" t="s">
        <v>72</v>
      </c>
      <c r="K1777" t="s">
        <v>73</v>
      </c>
      <c r="L1777" t="s">
        <v>74</v>
      </c>
      <c r="M1777" t="s">
        <v>657</v>
      </c>
      <c r="N1777" t="s">
        <v>111</v>
      </c>
      <c r="O1777" t="s">
        <v>658</v>
      </c>
      <c r="P1777" t="s">
        <v>659</v>
      </c>
      <c r="Q1777" t="s">
        <v>1805</v>
      </c>
      <c r="R1777" s="1">
        <v>46227</v>
      </c>
      <c r="S1777" t="s">
        <v>661</v>
      </c>
      <c r="T1777" t="s">
        <v>662</v>
      </c>
      <c r="U1777" t="s">
        <v>663</v>
      </c>
      <c r="V1777" t="s">
        <v>66</v>
      </c>
      <c r="W1777" t="s">
        <v>66</v>
      </c>
      <c r="X1777">
        <v>851400</v>
      </c>
      <c r="Y1777">
        <v>93654</v>
      </c>
      <c r="Z1777">
        <v>159600</v>
      </c>
      <c r="AA1777">
        <v>17556</v>
      </c>
      <c r="AB1777">
        <v>945054</v>
      </c>
      <c r="AC1777">
        <v>1</v>
      </c>
      <c r="AD1777" t="s">
        <v>134</v>
      </c>
      <c r="AE1777">
        <v>12</v>
      </c>
      <c r="AF1777" t="s">
        <v>135</v>
      </c>
      <c r="AG1777">
        <f>IFERROR(VLOOKUP(AF1777,[1]STOK!J:O,6,0),"")</f>
        <v>12</v>
      </c>
      <c r="AH1777" s="2">
        <f t="shared" si="54"/>
        <v>1</v>
      </c>
      <c r="AI1777" t="s">
        <v>135</v>
      </c>
      <c r="AJ1777" t="s">
        <v>136</v>
      </c>
      <c r="AK1777" t="s">
        <v>137</v>
      </c>
      <c r="AL1777" t="s">
        <v>86</v>
      </c>
      <c r="AM1777">
        <v>177156</v>
      </c>
      <c r="AN1777">
        <f t="shared" si="55"/>
        <v>177156</v>
      </c>
      <c r="AO1777" t="s">
        <v>66</v>
      </c>
      <c r="AP1777">
        <v>0</v>
      </c>
      <c r="AQ1777" t="s">
        <v>66</v>
      </c>
      <c r="AR1777">
        <v>0</v>
      </c>
      <c r="AS1777" t="s">
        <v>66</v>
      </c>
      <c r="AT1777">
        <v>0</v>
      </c>
      <c r="AU1777" t="s">
        <v>66</v>
      </c>
      <c r="AV1777">
        <v>0</v>
      </c>
      <c r="AW1777" t="s">
        <v>66</v>
      </c>
      <c r="AX1777">
        <v>0</v>
      </c>
      <c r="AY1777" t="s">
        <v>66</v>
      </c>
      <c r="AZ1777">
        <v>0</v>
      </c>
      <c r="BA1777" t="s">
        <v>66</v>
      </c>
      <c r="BB1777">
        <v>0</v>
      </c>
      <c r="BC1777">
        <v>0</v>
      </c>
      <c r="BD1777">
        <v>177156</v>
      </c>
      <c r="BE1777">
        <v>12035.93</v>
      </c>
      <c r="BF1777">
        <v>0</v>
      </c>
      <c r="BG1777" t="s">
        <v>87</v>
      </c>
      <c r="BH1777" t="s">
        <v>66</v>
      </c>
      <c r="BI1777">
        <v>0</v>
      </c>
      <c r="BJ1777" t="s">
        <v>66</v>
      </c>
      <c r="BK1777" t="s">
        <v>88</v>
      </c>
      <c r="BL1777" t="s">
        <v>66</v>
      </c>
      <c r="BM1777" t="s">
        <v>159</v>
      </c>
    </row>
    <row r="1778" spans="1:65" x14ac:dyDescent="0.25">
      <c r="A1778">
        <v>1776</v>
      </c>
      <c r="B1778" t="s">
        <v>1803</v>
      </c>
      <c r="C1778" t="s">
        <v>68</v>
      </c>
      <c r="D1778" s="1">
        <v>46226</v>
      </c>
      <c r="E1778" t="s">
        <v>1804</v>
      </c>
      <c r="F1778" t="s">
        <v>68</v>
      </c>
      <c r="G1778" t="s">
        <v>295</v>
      </c>
      <c r="H1778" t="s">
        <v>296</v>
      </c>
      <c r="I1778" t="s">
        <v>71</v>
      </c>
      <c r="J1778" t="s">
        <v>72</v>
      </c>
      <c r="K1778" t="s">
        <v>73</v>
      </c>
      <c r="L1778" t="s">
        <v>74</v>
      </c>
      <c r="M1778" t="s">
        <v>657</v>
      </c>
      <c r="N1778" t="s">
        <v>111</v>
      </c>
      <c r="O1778" t="s">
        <v>658</v>
      </c>
      <c r="P1778" t="s">
        <v>659</v>
      </c>
      <c r="Q1778" t="s">
        <v>1805</v>
      </c>
      <c r="R1778" s="1">
        <v>46227</v>
      </c>
      <c r="S1778" t="s">
        <v>661</v>
      </c>
      <c r="T1778" t="s">
        <v>662</v>
      </c>
      <c r="U1778" t="s">
        <v>663</v>
      </c>
      <c r="V1778" t="s">
        <v>66</v>
      </c>
      <c r="W1778" t="s">
        <v>66</v>
      </c>
      <c r="X1778">
        <v>851400</v>
      </c>
      <c r="Y1778">
        <v>93654</v>
      </c>
      <c r="Z1778">
        <v>159600</v>
      </c>
      <c r="AA1778">
        <v>17556</v>
      </c>
      <c r="AB1778">
        <v>945054</v>
      </c>
      <c r="AC1778">
        <v>1</v>
      </c>
      <c r="AD1778" t="s">
        <v>134</v>
      </c>
      <c r="AE1778">
        <v>12</v>
      </c>
      <c r="AF1778" t="s">
        <v>210</v>
      </c>
      <c r="AG1778">
        <f>IFERROR(VLOOKUP(AF1778,[1]STOK!J:O,6,0),"")</f>
        <v>12</v>
      </c>
      <c r="AH1778" s="2">
        <f t="shared" si="54"/>
        <v>1</v>
      </c>
      <c r="AI1778" t="s">
        <v>210</v>
      </c>
      <c r="AJ1778" t="s">
        <v>211</v>
      </c>
      <c r="AK1778" t="s">
        <v>212</v>
      </c>
      <c r="AL1778" t="s">
        <v>86</v>
      </c>
      <c r="AM1778">
        <v>177156</v>
      </c>
      <c r="AN1778">
        <f t="shared" si="55"/>
        <v>177156</v>
      </c>
      <c r="AO1778" t="s">
        <v>66</v>
      </c>
      <c r="AP1778">
        <v>0</v>
      </c>
      <c r="AQ1778" t="s">
        <v>66</v>
      </c>
      <c r="AR1778">
        <v>0</v>
      </c>
      <c r="AS1778" t="s">
        <v>66</v>
      </c>
      <c r="AT1778">
        <v>0</v>
      </c>
      <c r="AU1778" t="s">
        <v>66</v>
      </c>
      <c r="AV1778">
        <v>0</v>
      </c>
      <c r="AW1778" t="s">
        <v>66</v>
      </c>
      <c r="AX1778">
        <v>0</v>
      </c>
      <c r="AY1778" t="s">
        <v>66</v>
      </c>
      <c r="AZ1778">
        <v>0</v>
      </c>
      <c r="BA1778" t="s">
        <v>66</v>
      </c>
      <c r="BB1778">
        <v>0</v>
      </c>
      <c r="BC1778">
        <v>0</v>
      </c>
      <c r="BD1778">
        <v>177156</v>
      </c>
      <c r="BE1778">
        <v>12013.43</v>
      </c>
      <c r="BF1778">
        <v>0</v>
      </c>
      <c r="BG1778" t="s">
        <v>87</v>
      </c>
      <c r="BH1778" t="s">
        <v>66</v>
      </c>
      <c r="BI1778">
        <v>0</v>
      </c>
      <c r="BJ1778" t="s">
        <v>66</v>
      </c>
      <c r="BK1778" t="s">
        <v>88</v>
      </c>
      <c r="BL1778" t="s">
        <v>66</v>
      </c>
      <c r="BM1778" t="s">
        <v>159</v>
      </c>
    </row>
    <row r="1779" spans="1:65" x14ac:dyDescent="0.25">
      <c r="A1779">
        <v>1777</v>
      </c>
      <c r="B1779" t="s">
        <v>1803</v>
      </c>
      <c r="C1779" t="s">
        <v>68</v>
      </c>
      <c r="D1779" s="1">
        <v>46226</v>
      </c>
      <c r="E1779" t="s">
        <v>1804</v>
      </c>
      <c r="F1779" t="s">
        <v>68</v>
      </c>
      <c r="G1779" t="s">
        <v>295</v>
      </c>
      <c r="H1779" t="s">
        <v>296</v>
      </c>
      <c r="I1779" t="s">
        <v>71</v>
      </c>
      <c r="J1779" t="s">
        <v>72</v>
      </c>
      <c r="K1779" t="s">
        <v>73</v>
      </c>
      <c r="L1779" t="s">
        <v>74</v>
      </c>
      <c r="M1779" t="s">
        <v>657</v>
      </c>
      <c r="N1779" t="s">
        <v>111</v>
      </c>
      <c r="O1779" t="s">
        <v>658</v>
      </c>
      <c r="P1779" t="s">
        <v>659</v>
      </c>
      <c r="Q1779" t="s">
        <v>1805</v>
      </c>
      <c r="R1779" s="1">
        <v>46227</v>
      </c>
      <c r="S1779" t="s">
        <v>661</v>
      </c>
      <c r="T1779" t="s">
        <v>662</v>
      </c>
      <c r="U1779" t="s">
        <v>663</v>
      </c>
      <c r="V1779" t="s">
        <v>66</v>
      </c>
      <c r="W1779" t="s">
        <v>66</v>
      </c>
      <c r="X1779">
        <v>851400</v>
      </c>
      <c r="Y1779">
        <v>93654</v>
      </c>
      <c r="Z1779">
        <v>240000</v>
      </c>
      <c r="AA1779">
        <v>26400</v>
      </c>
      <c r="AB1779">
        <v>945054</v>
      </c>
      <c r="AC1779">
        <v>1</v>
      </c>
      <c r="AD1779" t="s">
        <v>134</v>
      </c>
      <c r="AE1779">
        <v>12</v>
      </c>
      <c r="AF1779" t="s">
        <v>290</v>
      </c>
      <c r="AG1779">
        <f>IFERROR(VLOOKUP(AF1779,[1]STOK!J:O,6,0),"")</f>
        <v>12</v>
      </c>
      <c r="AH1779" s="2">
        <f t="shared" si="54"/>
        <v>1</v>
      </c>
      <c r="AI1779" t="s">
        <v>290</v>
      </c>
      <c r="AJ1779" t="s">
        <v>291</v>
      </c>
      <c r="AK1779" t="s">
        <v>292</v>
      </c>
      <c r="AL1779" t="s">
        <v>86</v>
      </c>
      <c r="AM1779">
        <v>266400</v>
      </c>
      <c r="AN1779">
        <f t="shared" si="55"/>
        <v>266400</v>
      </c>
      <c r="AO1779" t="s">
        <v>66</v>
      </c>
      <c r="AP1779">
        <v>0</v>
      </c>
      <c r="AQ1779" t="s">
        <v>66</v>
      </c>
      <c r="AR1779">
        <v>0</v>
      </c>
      <c r="AS1779" t="s">
        <v>66</v>
      </c>
      <c r="AT1779">
        <v>0</v>
      </c>
      <c r="AU1779" t="s">
        <v>66</v>
      </c>
      <c r="AV1779">
        <v>0</v>
      </c>
      <c r="AW1779" t="s">
        <v>66</v>
      </c>
      <c r="AX1779">
        <v>0</v>
      </c>
      <c r="AY1779" t="s">
        <v>66</v>
      </c>
      <c r="AZ1779">
        <v>0</v>
      </c>
      <c r="BA1779" t="s">
        <v>66</v>
      </c>
      <c r="BB1779">
        <v>0</v>
      </c>
      <c r="BC1779">
        <v>0</v>
      </c>
      <c r="BD1779">
        <v>266400</v>
      </c>
      <c r="BE1779">
        <v>18103.439999999999</v>
      </c>
      <c r="BF1779">
        <v>0</v>
      </c>
      <c r="BG1779" t="s">
        <v>87</v>
      </c>
      <c r="BH1779" t="s">
        <v>66</v>
      </c>
      <c r="BI1779">
        <v>0</v>
      </c>
      <c r="BJ1779" t="s">
        <v>66</v>
      </c>
      <c r="BK1779" t="s">
        <v>88</v>
      </c>
      <c r="BL1779" t="s">
        <v>66</v>
      </c>
      <c r="BM1779" t="s">
        <v>159</v>
      </c>
    </row>
    <row r="1780" spans="1:65" x14ac:dyDescent="0.25">
      <c r="A1780">
        <v>1778</v>
      </c>
      <c r="B1780" t="s">
        <v>1803</v>
      </c>
      <c r="C1780" t="s">
        <v>68</v>
      </c>
      <c r="D1780" s="1">
        <v>46226</v>
      </c>
      <c r="E1780" t="s">
        <v>1804</v>
      </c>
      <c r="F1780" t="s">
        <v>68</v>
      </c>
      <c r="G1780" t="s">
        <v>295</v>
      </c>
      <c r="H1780" t="s">
        <v>296</v>
      </c>
      <c r="I1780" t="s">
        <v>71</v>
      </c>
      <c r="J1780" t="s">
        <v>72</v>
      </c>
      <c r="K1780" t="s">
        <v>73</v>
      </c>
      <c r="L1780" t="s">
        <v>74</v>
      </c>
      <c r="M1780" t="s">
        <v>657</v>
      </c>
      <c r="N1780" t="s">
        <v>111</v>
      </c>
      <c r="O1780" t="s">
        <v>658</v>
      </c>
      <c r="P1780" t="s">
        <v>659</v>
      </c>
      <c r="Q1780" t="s">
        <v>1805</v>
      </c>
      <c r="R1780" s="1">
        <v>46227</v>
      </c>
      <c r="S1780" t="s">
        <v>661</v>
      </c>
      <c r="T1780" t="s">
        <v>662</v>
      </c>
      <c r="U1780" t="s">
        <v>663</v>
      </c>
      <c r="V1780" t="s">
        <v>66</v>
      </c>
      <c r="W1780" t="s">
        <v>66</v>
      </c>
      <c r="X1780">
        <v>851400</v>
      </c>
      <c r="Y1780">
        <v>93654</v>
      </c>
      <c r="Z1780">
        <v>135000</v>
      </c>
      <c r="AA1780">
        <v>14850</v>
      </c>
      <c r="AB1780">
        <v>945054</v>
      </c>
      <c r="AC1780">
        <v>2</v>
      </c>
      <c r="AD1780" t="s">
        <v>82</v>
      </c>
      <c r="AE1780">
        <v>2</v>
      </c>
      <c r="AF1780" t="s">
        <v>476</v>
      </c>
      <c r="AG1780">
        <f>IFERROR(VLOOKUP(AF1780,[1]STOK!J:O,6,0),"")</f>
        <v>4</v>
      </c>
      <c r="AH1780" s="2">
        <f t="shared" si="54"/>
        <v>0.5</v>
      </c>
      <c r="AI1780" t="s">
        <v>476</v>
      </c>
      <c r="AJ1780" t="s">
        <v>477</v>
      </c>
      <c r="AK1780" t="s">
        <v>478</v>
      </c>
      <c r="AL1780" t="s">
        <v>86</v>
      </c>
      <c r="AM1780">
        <v>74925</v>
      </c>
      <c r="AN1780">
        <f t="shared" si="55"/>
        <v>74925</v>
      </c>
      <c r="AO1780" t="s">
        <v>66</v>
      </c>
      <c r="AP1780">
        <v>0</v>
      </c>
      <c r="AQ1780" t="s">
        <v>66</v>
      </c>
      <c r="AR1780">
        <v>0</v>
      </c>
      <c r="AS1780" t="s">
        <v>66</v>
      </c>
      <c r="AT1780">
        <v>0</v>
      </c>
      <c r="AU1780" t="s">
        <v>66</v>
      </c>
      <c r="AV1780">
        <v>0</v>
      </c>
      <c r="AW1780" t="s">
        <v>66</v>
      </c>
      <c r="AX1780">
        <v>0</v>
      </c>
      <c r="AY1780" t="s">
        <v>66</v>
      </c>
      <c r="AZ1780">
        <v>0</v>
      </c>
      <c r="BA1780" t="s">
        <v>66</v>
      </c>
      <c r="BB1780">
        <v>0</v>
      </c>
      <c r="BC1780">
        <v>0</v>
      </c>
      <c r="BD1780">
        <v>149850</v>
      </c>
      <c r="BE1780">
        <v>60048.57</v>
      </c>
      <c r="BF1780">
        <v>0</v>
      </c>
      <c r="BG1780" t="s">
        <v>87</v>
      </c>
      <c r="BH1780" t="s">
        <v>66</v>
      </c>
      <c r="BI1780">
        <v>0</v>
      </c>
      <c r="BJ1780" t="s">
        <v>66</v>
      </c>
      <c r="BK1780" t="s">
        <v>88</v>
      </c>
      <c r="BL1780" t="s">
        <v>66</v>
      </c>
      <c r="BM1780" t="s">
        <v>159</v>
      </c>
    </row>
    <row r="1781" spans="1:65" x14ac:dyDescent="0.25">
      <c r="A1781">
        <v>1779</v>
      </c>
      <c r="B1781" t="s">
        <v>1806</v>
      </c>
      <c r="C1781" t="s">
        <v>68</v>
      </c>
      <c r="D1781" s="1">
        <v>46226</v>
      </c>
      <c r="E1781" t="s">
        <v>1807</v>
      </c>
      <c r="F1781" t="s">
        <v>68</v>
      </c>
      <c r="G1781" t="s">
        <v>295</v>
      </c>
      <c r="H1781" t="s">
        <v>296</v>
      </c>
      <c r="I1781" t="s">
        <v>71</v>
      </c>
      <c r="J1781" t="s">
        <v>72</v>
      </c>
      <c r="K1781" t="s">
        <v>73</v>
      </c>
      <c r="L1781" t="s">
        <v>74</v>
      </c>
      <c r="M1781" t="s">
        <v>657</v>
      </c>
      <c r="N1781" t="s">
        <v>111</v>
      </c>
      <c r="O1781" t="s">
        <v>658</v>
      </c>
      <c r="P1781" t="s">
        <v>659</v>
      </c>
      <c r="Q1781" t="s">
        <v>1808</v>
      </c>
      <c r="R1781" s="1">
        <v>46228</v>
      </c>
      <c r="S1781" t="s">
        <v>661</v>
      </c>
      <c r="T1781" t="s">
        <v>662</v>
      </c>
      <c r="U1781" t="s">
        <v>663</v>
      </c>
      <c r="V1781" t="s">
        <v>66</v>
      </c>
      <c r="W1781" t="s">
        <v>66</v>
      </c>
      <c r="X1781">
        <v>1081700</v>
      </c>
      <c r="Y1781">
        <v>118987</v>
      </c>
      <c r="Z1781">
        <v>99000</v>
      </c>
      <c r="AA1781">
        <v>10890</v>
      </c>
      <c r="AB1781">
        <v>1200687</v>
      </c>
      <c r="AC1781">
        <v>6</v>
      </c>
      <c r="AD1781" t="s">
        <v>82</v>
      </c>
      <c r="AE1781">
        <v>6</v>
      </c>
      <c r="AF1781" t="s">
        <v>128</v>
      </c>
      <c r="AG1781">
        <f>IFERROR(VLOOKUP(AF1781,[1]STOK!J:O,6,0),"")</f>
        <v>24</v>
      </c>
      <c r="AH1781" s="2">
        <f t="shared" si="54"/>
        <v>0.25</v>
      </c>
      <c r="AI1781" t="s">
        <v>128</v>
      </c>
      <c r="AJ1781" t="s">
        <v>129</v>
      </c>
      <c r="AK1781" t="s">
        <v>130</v>
      </c>
      <c r="AL1781" t="s">
        <v>86</v>
      </c>
      <c r="AM1781">
        <v>18315</v>
      </c>
      <c r="AN1781">
        <f t="shared" si="55"/>
        <v>18315</v>
      </c>
      <c r="AO1781" t="s">
        <v>66</v>
      </c>
      <c r="AP1781">
        <v>0</v>
      </c>
      <c r="AQ1781" t="s">
        <v>66</v>
      </c>
      <c r="AR1781">
        <v>0</v>
      </c>
      <c r="AS1781" t="s">
        <v>66</v>
      </c>
      <c r="AT1781">
        <v>0</v>
      </c>
      <c r="AU1781" t="s">
        <v>66</v>
      </c>
      <c r="AV1781">
        <v>0</v>
      </c>
      <c r="AW1781" t="s">
        <v>66</v>
      </c>
      <c r="AX1781">
        <v>0</v>
      </c>
      <c r="AY1781" t="s">
        <v>66</v>
      </c>
      <c r="AZ1781">
        <v>0</v>
      </c>
      <c r="BA1781" t="s">
        <v>66</v>
      </c>
      <c r="BB1781">
        <v>0</v>
      </c>
      <c r="BC1781">
        <v>0</v>
      </c>
      <c r="BD1781">
        <v>109890</v>
      </c>
      <c r="BE1781">
        <v>14828.88</v>
      </c>
      <c r="BF1781">
        <v>0</v>
      </c>
      <c r="BG1781" t="s">
        <v>87</v>
      </c>
      <c r="BH1781" t="s">
        <v>66</v>
      </c>
      <c r="BI1781">
        <v>0</v>
      </c>
      <c r="BJ1781" t="s">
        <v>66</v>
      </c>
      <c r="BK1781" t="s">
        <v>88</v>
      </c>
      <c r="BL1781" t="s">
        <v>66</v>
      </c>
      <c r="BM1781" t="s">
        <v>159</v>
      </c>
    </row>
    <row r="1782" spans="1:65" x14ac:dyDescent="0.25">
      <c r="A1782">
        <v>1780</v>
      </c>
      <c r="B1782" t="s">
        <v>1806</v>
      </c>
      <c r="C1782" t="s">
        <v>68</v>
      </c>
      <c r="D1782" s="1">
        <v>46226</v>
      </c>
      <c r="E1782" t="s">
        <v>1807</v>
      </c>
      <c r="F1782" t="s">
        <v>68</v>
      </c>
      <c r="G1782" t="s">
        <v>295</v>
      </c>
      <c r="H1782" t="s">
        <v>296</v>
      </c>
      <c r="I1782" t="s">
        <v>71</v>
      </c>
      <c r="J1782" t="s">
        <v>72</v>
      </c>
      <c r="K1782" t="s">
        <v>73</v>
      </c>
      <c r="L1782" t="s">
        <v>74</v>
      </c>
      <c r="M1782" t="s">
        <v>657</v>
      </c>
      <c r="N1782" t="s">
        <v>111</v>
      </c>
      <c r="O1782" t="s">
        <v>658</v>
      </c>
      <c r="P1782" t="s">
        <v>659</v>
      </c>
      <c r="Q1782" t="s">
        <v>1808</v>
      </c>
      <c r="R1782" s="1">
        <v>46228</v>
      </c>
      <c r="S1782" t="s">
        <v>661</v>
      </c>
      <c r="T1782" t="s">
        <v>662</v>
      </c>
      <c r="U1782" t="s">
        <v>663</v>
      </c>
      <c r="V1782" t="s">
        <v>66</v>
      </c>
      <c r="W1782" t="s">
        <v>66</v>
      </c>
      <c r="X1782">
        <v>1081700</v>
      </c>
      <c r="Y1782">
        <v>118987</v>
      </c>
      <c r="Z1782">
        <v>99000</v>
      </c>
      <c r="AA1782">
        <v>10890</v>
      </c>
      <c r="AB1782">
        <v>1200687</v>
      </c>
      <c r="AC1782">
        <v>6</v>
      </c>
      <c r="AD1782" t="s">
        <v>82</v>
      </c>
      <c r="AE1782">
        <v>6</v>
      </c>
      <c r="AF1782" t="s">
        <v>99</v>
      </c>
      <c r="AG1782">
        <f>IFERROR(VLOOKUP(AF1782,[1]STOK!J:O,6,0),"")</f>
        <v>24</v>
      </c>
      <c r="AH1782" s="2">
        <f t="shared" si="54"/>
        <v>0.25</v>
      </c>
      <c r="AI1782" t="s">
        <v>99</v>
      </c>
      <c r="AJ1782" t="s">
        <v>100</v>
      </c>
      <c r="AK1782" t="s">
        <v>101</v>
      </c>
      <c r="AL1782" t="s">
        <v>86</v>
      </c>
      <c r="AM1782">
        <v>18315</v>
      </c>
      <c r="AN1782">
        <f t="shared" si="55"/>
        <v>18315</v>
      </c>
      <c r="AO1782" t="s">
        <v>66</v>
      </c>
      <c r="AP1782">
        <v>0</v>
      </c>
      <c r="AQ1782" t="s">
        <v>66</v>
      </c>
      <c r="AR1782">
        <v>0</v>
      </c>
      <c r="AS1782" t="s">
        <v>66</v>
      </c>
      <c r="AT1782">
        <v>0</v>
      </c>
      <c r="AU1782" t="s">
        <v>66</v>
      </c>
      <c r="AV1782">
        <v>0</v>
      </c>
      <c r="AW1782" t="s">
        <v>66</v>
      </c>
      <c r="AX1782">
        <v>0</v>
      </c>
      <c r="AY1782" t="s">
        <v>66</v>
      </c>
      <c r="AZ1782">
        <v>0</v>
      </c>
      <c r="BA1782" t="s">
        <v>66</v>
      </c>
      <c r="BB1782">
        <v>0</v>
      </c>
      <c r="BC1782">
        <v>0</v>
      </c>
      <c r="BD1782">
        <v>109890</v>
      </c>
      <c r="BE1782">
        <v>14920.37</v>
      </c>
      <c r="BF1782">
        <v>0</v>
      </c>
      <c r="BG1782" t="s">
        <v>87</v>
      </c>
      <c r="BH1782" t="s">
        <v>66</v>
      </c>
      <c r="BI1782">
        <v>0</v>
      </c>
      <c r="BJ1782" t="s">
        <v>66</v>
      </c>
      <c r="BK1782" t="s">
        <v>88</v>
      </c>
      <c r="BL1782" t="s">
        <v>66</v>
      </c>
      <c r="BM1782" t="s">
        <v>159</v>
      </c>
    </row>
    <row r="1783" spans="1:65" x14ac:dyDescent="0.25">
      <c r="A1783">
        <v>1781</v>
      </c>
      <c r="B1783" t="s">
        <v>1806</v>
      </c>
      <c r="C1783" t="s">
        <v>68</v>
      </c>
      <c r="D1783" s="1">
        <v>46226</v>
      </c>
      <c r="E1783" t="s">
        <v>1807</v>
      </c>
      <c r="F1783" t="s">
        <v>68</v>
      </c>
      <c r="G1783" t="s">
        <v>295</v>
      </c>
      <c r="H1783" t="s">
        <v>296</v>
      </c>
      <c r="I1783" t="s">
        <v>71</v>
      </c>
      <c r="J1783" t="s">
        <v>72</v>
      </c>
      <c r="K1783" t="s">
        <v>73</v>
      </c>
      <c r="L1783" t="s">
        <v>74</v>
      </c>
      <c r="M1783" t="s">
        <v>657</v>
      </c>
      <c r="N1783" t="s">
        <v>111</v>
      </c>
      <c r="O1783" t="s">
        <v>658</v>
      </c>
      <c r="P1783" t="s">
        <v>659</v>
      </c>
      <c r="Q1783" t="s">
        <v>1808</v>
      </c>
      <c r="R1783" s="1">
        <v>46228</v>
      </c>
      <c r="S1783" t="s">
        <v>661</v>
      </c>
      <c r="T1783" t="s">
        <v>662</v>
      </c>
      <c r="U1783" t="s">
        <v>663</v>
      </c>
      <c r="V1783" t="s">
        <v>66</v>
      </c>
      <c r="W1783" t="s">
        <v>66</v>
      </c>
      <c r="X1783">
        <v>1081700</v>
      </c>
      <c r="Y1783">
        <v>118987</v>
      </c>
      <c r="Z1783">
        <v>116400</v>
      </c>
      <c r="AA1783">
        <v>12804</v>
      </c>
      <c r="AB1783">
        <v>1200687</v>
      </c>
      <c r="AC1783">
        <v>6</v>
      </c>
      <c r="AD1783" t="s">
        <v>82</v>
      </c>
      <c r="AE1783">
        <v>6</v>
      </c>
      <c r="AF1783" t="s">
        <v>470</v>
      </c>
      <c r="AG1783">
        <f>IFERROR(VLOOKUP(AF1783,[1]STOK!J:O,6,0),"")</f>
        <v>24</v>
      </c>
      <c r="AH1783" s="2">
        <f t="shared" si="54"/>
        <v>0.25</v>
      </c>
      <c r="AI1783" t="s">
        <v>470</v>
      </c>
      <c r="AJ1783" t="s">
        <v>471</v>
      </c>
      <c r="AK1783" t="s">
        <v>472</v>
      </c>
      <c r="AL1783" t="s">
        <v>86</v>
      </c>
      <c r="AM1783">
        <v>21534</v>
      </c>
      <c r="AN1783">
        <f t="shared" si="55"/>
        <v>21534</v>
      </c>
      <c r="AO1783" t="s">
        <v>66</v>
      </c>
      <c r="AP1783">
        <v>0</v>
      </c>
      <c r="AQ1783" t="s">
        <v>66</v>
      </c>
      <c r="AR1783">
        <v>0</v>
      </c>
      <c r="AS1783" t="s">
        <v>66</v>
      </c>
      <c r="AT1783">
        <v>0</v>
      </c>
      <c r="AU1783" t="s">
        <v>66</v>
      </c>
      <c r="AV1783">
        <v>0</v>
      </c>
      <c r="AW1783" t="s">
        <v>66</v>
      </c>
      <c r="AX1783">
        <v>0</v>
      </c>
      <c r="AY1783" t="s">
        <v>66</v>
      </c>
      <c r="AZ1783">
        <v>0</v>
      </c>
      <c r="BA1783" t="s">
        <v>66</v>
      </c>
      <c r="BB1783">
        <v>0</v>
      </c>
      <c r="BC1783">
        <v>0</v>
      </c>
      <c r="BD1783">
        <v>129204</v>
      </c>
      <c r="BE1783">
        <v>17512.650000000001</v>
      </c>
      <c r="BF1783">
        <v>0</v>
      </c>
      <c r="BG1783" t="s">
        <v>87</v>
      </c>
      <c r="BH1783" t="s">
        <v>66</v>
      </c>
      <c r="BI1783">
        <v>0</v>
      </c>
      <c r="BJ1783" t="s">
        <v>66</v>
      </c>
      <c r="BK1783" t="s">
        <v>88</v>
      </c>
      <c r="BL1783" t="s">
        <v>66</v>
      </c>
      <c r="BM1783" t="s">
        <v>159</v>
      </c>
    </row>
    <row r="1784" spans="1:65" x14ac:dyDescent="0.25">
      <c r="A1784">
        <v>1782</v>
      </c>
      <c r="B1784" t="s">
        <v>1806</v>
      </c>
      <c r="C1784" t="s">
        <v>68</v>
      </c>
      <c r="D1784" s="1">
        <v>46226</v>
      </c>
      <c r="E1784" t="s">
        <v>1807</v>
      </c>
      <c r="F1784" t="s">
        <v>68</v>
      </c>
      <c r="G1784" t="s">
        <v>295</v>
      </c>
      <c r="H1784" t="s">
        <v>296</v>
      </c>
      <c r="I1784" t="s">
        <v>71</v>
      </c>
      <c r="J1784" t="s">
        <v>72</v>
      </c>
      <c r="K1784" t="s">
        <v>73</v>
      </c>
      <c r="L1784" t="s">
        <v>74</v>
      </c>
      <c r="M1784" t="s">
        <v>657</v>
      </c>
      <c r="N1784" t="s">
        <v>111</v>
      </c>
      <c r="O1784" t="s">
        <v>658</v>
      </c>
      <c r="P1784" t="s">
        <v>659</v>
      </c>
      <c r="Q1784" t="s">
        <v>1808</v>
      </c>
      <c r="R1784" s="1">
        <v>46228</v>
      </c>
      <c r="S1784" t="s">
        <v>661</v>
      </c>
      <c r="T1784" t="s">
        <v>662</v>
      </c>
      <c r="U1784" t="s">
        <v>663</v>
      </c>
      <c r="V1784" t="s">
        <v>66</v>
      </c>
      <c r="W1784" t="s">
        <v>66</v>
      </c>
      <c r="X1784">
        <v>1081700</v>
      </c>
      <c r="Y1784">
        <v>118987</v>
      </c>
      <c r="Z1784">
        <v>20000</v>
      </c>
      <c r="AA1784">
        <v>2200</v>
      </c>
      <c r="AB1784">
        <v>1200687</v>
      </c>
      <c r="AC1784">
        <v>1</v>
      </c>
      <c r="AD1784" t="s">
        <v>82</v>
      </c>
      <c r="AE1784">
        <v>1</v>
      </c>
      <c r="AF1784" t="s">
        <v>102</v>
      </c>
      <c r="AG1784">
        <f>IFERROR(VLOOKUP(AF1784,[1]STOK!J:O,6,0),"")</f>
        <v>12</v>
      </c>
      <c r="AH1784" s="2">
        <f t="shared" si="54"/>
        <v>8.3333333333333329E-2</v>
      </c>
      <c r="AI1784" t="s">
        <v>102</v>
      </c>
      <c r="AJ1784" t="s">
        <v>103</v>
      </c>
      <c r="AK1784" t="s">
        <v>104</v>
      </c>
      <c r="AL1784" t="s">
        <v>86</v>
      </c>
      <c r="AM1784">
        <v>22200</v>
      </c>
      <c r="AN1784">
        <f t="shared" si="55"/>
        <v>22200</v>
      </c>
      <c r="AO1784" t="s">
        <v>66</v>
      </c>
      <c r="AP1784">
        <v>0</v>
      </c>
      <c r="AQ1784" t="s">
        <v>66</v>
      </c>
      <c r="AR1784">
        <v>0</v>
      </c>
      <c r="AS1784" t="s">
        <v>66</v>
      </c>
      <c r="AT1784">
        <v>0</v>
      </c>
      <c r="AU1784" t="s">
        <v>66</v>
      </c>
      <c r="AV1784">
        <v>0</v>
      </c>
      <c r="AW1784" t="s">
        <v>66</v>
      </c>
      <c r="AX1784">
        <v>0</v>
      </c>
      <c r="AY1784" t="s">
        <v>66</v>
      </c>
      <c r="AZ1784">
        <v>0</v>
      </c>
      <c r="BA1784" t="s">
        <v>66</v>
      </c>
      <c r="BB1784">
        <v>0</v>
      </c>
      <c r="BC1784">
        <v>0</v>
      </c>
      <c r="BD1784">
        <v>22200</v>
      </c>
      <c r="BE1784">
        <v>18055.25</v>
      </c>
      <c r="BF1784">
        <v>0</v>
      </c>
      <c r="BG1784" t="s">
        <v>87</v>
      </c>
      <c r="BH1784" t="s">
        <v>66</v>
      </c>
      <c r="BI1784">
        <v>0</v>
      </c>
      <c r="BJ1784" t="s">
        <v>66</v>
      </c>
      <c r="BK1784" t="s">
        <v>88</v>
      </c>
      <c r="BL1784" t="s">
        <v>66</v>
      </c>
      <c r="BM1784" t="s">
        <v>159</v>
      </c>
    </row>
    <row r="1785" spans="1:65" x14ac:dyDescent="0.25">
      <c r="A1785">
        <v>1783</v>
      </c>
      <c r="B1785" t="s">
        <v>1806</v>
      </c>
      <c r="C1785" t="s">
        <v>68</v>
      </c>
      <c r="D1785" s="1">
        <v>46226</v>
      </c>
      <c r="E1785" t="s">
        <v>1807</v>
      </c>
      <c r="F1785" t="s">
        <v>68</v>
      </c>
      <c r="G1785" t="s">
        <v>295</v>
      </c>
      <c r="H1785" t="s">
        <v>296</v>
      </c>
      <c r="I1785" t="s">
        <v>71</v>
      </c>
      <c r="J1785" t="s">
        <v>72</v>
      </c>
      <c r="K1785" t="s">
        <v>73</v>
      </c>
      <c r="L1785" t="s">
        <v>74</v>
      </c>
      <c r="M1785" t="s">
        <v>657</v>
      </c>
      <c r="N1785" t="s">
        <v>111</v>
      </c>
      <c r="O1785" t="s">
        <v>658</v>
      </c>
      <c r="P1785" t="s">
        <v>659</v>
      </c>
      <c r="Q1785" t="s">
        <v>1808</v>
      </c>
      <c r="R1785" s="1">
        <v>46228</v>
      </c>
      <c r="S1785" t="s">
        <v>661</v>
      </c>
      <c r="T1785" t="s">
        <v>662</v>
      </c>
      <c r="U1785" t="s">
        <v>663</v>
      </c>
      <c r="V1785" t="s">
        <v>66</v>
      </c>
      <c r="W1785" t="s">
        <v>66</v>
      </c>
      <c r="X1785">
        <v>1081700</v>
      </c>
      <c r="Y1785">
        <v>118987</v>
      </c>
      <c r="Z1785">
        <v>459600</v>
      </c>
      <c r="AA1785">
        <v>50556</v>
      </c>
      <c r="AB1785">
        <v>1200687</v>
      </c>
      <c r="AC1785">
        <v>2</v>
      </c>
      <c r="AD1785" t="s">
        <v>134</v>
      </c>
      <c r="AE1785">
        <v>12</v>
      </c>
      <c r="AF1785" t="s">
        <v>138</v>
      </c>
      <c r="AG1785">
        <f>IFERROR(VLOOKUP(AF1785,[1]STOK!J:O,6,0),"")</f>
        <v>6</v>
      </c>
      <c r="AH1785" s="2">
        <f t="shared" si="54"/>
        <v>2</v>
      </c>
      <c r="AI1785" t="s">
        <v>138</v>
      </c>
      <c r="AJ1785" t="s">
        <v>139</v>
      </c>
      <c r="AK1785" t="s">
        <v>140</v>
      </c>
      <c r="AL1785" t="s">
        <v>86</v>
      </c>
      <c r="AM1785">
        <v>255078</v>
      </c>
      <c r="AN1785">
        <f t="shared" si="55"/>
        <v>255078</v>
      </c>
      <c r="AO1785" t="s">
        <v>66</v>
      </c>
      <c r="AP1785">
        <v>0</v>
      </c>
      <c r="AQ1785" t="s">
        <v>66</v>
      </c>
      <c r="AR1785">
        <v>0</v>
      </c>
      <c r="AS1785" t="s">
        <v>66</v>
      </c>
      <c r="AT1785">
        <v>0</v>
      </c>
      <c r="AU1785" t="s">
        <v>66</v>
      </c>
      <c r="AV1785">
        <v>0</v>
      </c>
      <c r="AW1785" t="s">
        <v>66</v>
      </c>
      <c r="AX1785">
        <v>0</v>
      </c>
      <c r="AY1785" t="s">
        <v>66</v>
      </c>
      <c r="AZ1785">
        <v>0</v>
      </c>
      <c r="BA1785" t="s">
        <v>66</v>
      </c>
      <c r="BB1785">
        <v>0</v>
      </c>
      <c r="BC1785">
        <v>0</v>
      </c>
      <c r="BD1785">
        <v>510156</v>
      </c>
      <c r="BE1785">
        <v>34654.5</v>
      </c>
      <c r="BF1785">
        <v>0</v>
      </c>
      <c r="BG1785" t="s">
        <v>87</v>
      </c>
      <c r="BH1785" t="s">
        <v>66</v>
      </c>
      <c r="BI1785">
        <v>0</v>
      </c>
      <c r="BJ1785" t="s">
        <v>66</v>
      </c>
      <c r="BK1785" t="s">
        <v>88</v>
      </c>
      <c r="BL1785" t="s">
        <v>66</v>
      </c>
      <c r="BM1785" t="s">
        <v>159</v>
      </c>
    </row>
    <row r="1786" spans="1:65" x14ac:dyDescent="0.25">
      <c r="A1786">
        <v>1784</v>
      </c>
      <c r="B1786" t="s">
        <v>1806</v>
      </c>
      <c r="C1786" t="s">
        <v>68</v>
      </c>
      <c r="D1786" s="1">
        <v>46226</v>
      </c>
      <c r="E1786" t="s">
        <v>1807</v>
      </c>
      <c r="F1786" t="s">
        <v>68</v>
      </c>
      <c r="G1786" t="s">
        <v>295</v>
      </c>
      <c r="H1786" t="s">
        <v>296</v>
      </c>
      <c r="I1786" t="s">
        <v>71</v>
      </c>
      <c r="J1786" t="s">
        <v>72</v>
      </c>
      <c r="K1786" t="s">
        <v>73</v>
      </c>
      <c r="L1786" t="s">
        <v>74</v>
      </c>
      <c r="M1786" t="s">
        <v>657</v>
      </c>
      <c r="N1786" t="s">
        <v>111</v>
      </c>
      <c r="O1786" t="s">
        <v>658</v>
      </c>
      <c r="P1786" t="s">
        <v>659</v>
      </c>
      <c r="Q1786" t="s">
        <v>1808</v>
      </c>
      <c r="R1786" s="1">
        <v>46228</v>
      </c>
      <c r="S1786" t="s">
        <v>661</v>
      </c>
      <c r="T1786" t="s">
        <v>662</v>
      </c>
      <c r="U1786" t="s">
        <v>663</v>
      </c>
      <c r="V1786" t="s">
        <v>66</v>
      </c>
      <c r="W1786" t="s">
        <v>66</v>
      </c>
      <c r="X1786">
        <v>1081700</v>
      </c>
      <c r="Y1786">
        <v>118987</v>
      </c>
      <c r="Z1786">
        <v>114900</v>
      </c>
      <c r="AA1786">
        <v>12639</v>
      </c>
      <c r="AB1786">
        <v>1200687</v>
      </c>
      <c r="AC1786">
        <v>3</v>
      </c>
      <c r="AD1786" t="s">
        <v>82</v>
      </c>
      <c r="AE1786">
        <v>3</v>
      </c>
      <c r="AF1786" t="s">
        <v>323</v>
      </c>
      <c r="AG1786">
        <f>IFERROR(VLOOKUP(AF1786,[1]STOK!J:O,6,0),"")</f>
        <v>6</v>
      </c>
      <c r="AH1786" s="2">
        <f t="shared" si="54"/>
        <v>0.5</v>
      </c>
      <c r="AI1786" t="s">
        <v>323</v>
      </c>
      <c r="AJ1786" t="s">
        <v>324</v>
      </c>
      <c r="AK1786" t="s">
        <v>325</v>
      </c>
      <c r="AL1786" t="s">
        <v>86</v>
      </c>
      <c r="AM1786">
        <v>42513</v>
      </c>
      <c r="AN1786">
        <f t="shared" si="55"/>
        <v>42513</v>
      </c>
      <c r="AO1786" t="s">
        <v>66</v>
      </c>
      <c r="AP1786">
        <v>0</v>
      </c>
      <c r="AQ1786" t="s">
        <v>66</v>
      </c>
      <c r="AR1786">
        <v>0</v>
      </c>
      <c r="AS1786" t="s">
        <v>66</v>
      </c>
      <c r="AT1786">
        <v>0</v>
      </c>
      <c r="AU1786" t="s">
        <v>66</v>
      </c>
      <c r="AV1786">
        <v>0</v>
      </c>
      <c r="AW1786" t="s">
        <v>66</v>
      </c>
      <c r="AX1786">
        <v>0</v>
      </c>
      <c r="AY1786" t="s">
        <v>66</v>
      </c>
      <c r="AZ1786">
        <v>0</v>
      </c>
      <c r="BA1786" t="s">
        <v>66</v>
      </c>
      <c r="BB1786">
        <v>0</v>
      </c>
      <c r="BC1786">
        <v>0</v>
      </c>
      <c r="BD1786">
        <v>127539</v>
      </c>
      <c r="BE1786">
        <v>34536.9</v>
      </c>
      <c r="BF1786">
        <v>0</v>
      </c>
      <c r="BG1786" t="s">
        <v>87</v>
      </c>
      <c r="BH1786" t="s">
        <v>66</v>
      </c>
      <c r="BI1786">
        <v>0</v>
      </c>
      <c r="BJ1786" t="s">
        <v>66</v>
      </c>
      <c r="BK1786" t="s">
        <v>88</v>
      </c>
      <c r="BL1786" t="s">
        <v>66</v>
      </c>
      <c r="BM1786" t="s">
        <v>159</v>
      </c>
    </row>
    <row r="1787" spans="1:65" x14ac:dyDescent="0.25">
      <c r="A1787">
        <v>1785</v>
      </c>
      <c r="B1787" t="s">
        <v>1806</v>
      </c>
      <c r="C1787" t="s">
        <v>68</v>
      </c>
      <c r="D1787" s="1">
        <v>46226</v>
      </c>
      <c r="E1787" t="s">
        <v>1807</v>
      </c>
      <c r="F1787" t="s">
        <v>68</v>
      </c>
      <c r="G1787" t="s">
        <v>295</v>
      </c>
      <c r="H1787" t="s">
        <v>296</v>
      </c>
      <c r="I1787" t="s">
        <v>71</v>
      </c>
      <c r="J1787" t="s">
        <v>72</v>
      </c>
      <c r="K1787" t="s">
        <v>73</v>
      </c>
      <c r="L1787" t="s">
        <v>74</v>
      </c>
      <c r="M1787" t="s">
        <v>657</v>
      </c>
      <c r="N1787" t="s">
        <v>111</v>
      </c>
      <c r="O1787" t="s">
        <v>658</v>
      </c>
      <c r="P1787" t="s">
        <v>659</v>
      </c>
      <c r="Q1787" t="s">
        <v>1808</v>
      </c>
      <c r="R1787" s="1">
        <v>46228</v>
      </c>
      <c r="S1787" t="s">
        <v>661</v>
      </c>
      <c r="T1787" t="s">
        <v>662</v>
      </c>
      <c r="U1787" t="s">
        <v>663</v>
      </c>
      <c r="V1787" t="s">
        <v>66</v>
      </c>
      <c r="W1787" t="s">
        <v>66</v>
      </c>
      <c r="X1787">
        <v>1081700</v>
      </c>
      <c r="Y1787">
        <v>118987</v>
      </c>
      <c r="Z1787">
        <v>172800</v>
      </c>
      <c r="AA1787">
        <v>19008</v>
      </c>
      <c r="AB1787">
        <v>1200687</v>
      </c>
      <c r="AC1787">
        <v>1</v>
      </c>
      <c r="AD1787" t="s">
        <v>134</v>
      </c>
      <c r="AE1787">
        <v>12</v>
      </c>
      <c r="AF1787" t="s">
        <v>213</v>
      </c>
      <c r="AG1787">
        <f>IFERROR(VLOOKUP(AF1787,[1]STOK!J:O,6,0),"")</f>
        <v>12</v>
      </c>
      <c r="AH1787" s="2">
        <f t="shared" si="54"/>
        <v>1</v>
      </c>
      <c r="AI1787" t="s">
        <v>213</v>
      </c>
      <c r="AJ1787" t="s">
        <v>214</v>
      </c>
      <c r="AK1787" t="s">
        <v>215</v>
      </c>
      <c r="AL1787" t="s">
        <v>86</v>
      </c>
      <c r="AM1787">
        <v>191808</v>
      </c>
      <c r="AN1787">
        <f t="shared" si="55"/>
        <v>191808</v>
      </c>
      <c r="AO1787" t="s">
        <v>66</v>
      </c>
      <c r="AP1787">
        <v>0</v>
      </c>
      <c r="AQ1787" t="s">
        <v>66</v>
      </c>
      <c r="AR1787">
        <v>0</v>
      </c>
      <c r="AS1787" t="s">
        <v>66</v>
      </c>
      <c r="AT1787">
        <v>0</v>
      </c>
      <c r="AU1787" t="s">
        <v>66</v>
      </c>
      <c r="AV1787">
        <v>0</v>
      </c>
      <c r="AW1787" t="s">
        <v>66</v>
      </c>
      <c r="AX1787">
        <v>0</v>
      </c>
      <c r="AY1787" t="s">
        <v>66</v>
      </c>
      <c r="AZ1787">
        <v>0</v>
      </c>
      <c r="BA1787" t="s">
        <v>66</v>
      </c>
      <c r="BB1787">
        <v>0</v>
      </c>
      <c r="BC1787">
        <v>0</v>
      </c>
      <c r="BD1787">
        <v>191808</v>
      </c>
      <c r="BE1787">
        <v>13028.24</v>
      </c>
      <c r="BF1787">
        <v>0</v>
      </c>
      <c r="BG1787" t="s">
        <v>87</v>
      </c>
      <c r="BH1787" t="s">
        <v>66</v>
      </c>
      <c r="BI1787">
        <v>0</v>
      </c>
      <c r="BJ1787" t="s">
        <v>66</v>
      </c>
      <c r="BK1787" t="s">
        <v>88</v>
      </c>
      <c r="BL1787" t="s">
        <v>66</v>
      </c>
      <c r="BM1787" t="s">
        <v>159</v>
      </c>
    </row>
    <row r="1788" spans="1:65" x14ac:dyDescent="0.25">
      <c r="A1788">
        <v>1786</v>
      </c>
      <c r="B1788" t="s">
        <v>1809</v>
      </c>
      <c r="C1788" t="s">
        <v>68</v>
      </c>
      <c r="D1788" s="1">
        <v>46226</v>
      </c>
      <c r="E1788" t="s">
        <v>1810</v>
      </c>
      <c r="F1788" t="s">
        <v>68</v>
      </c>
      <c r="G1788" t="s">
        <v>295</v>
      </c>
      <c r="H1788" t="s">
        <v>296</v>
      </c>
      <c r="I1788" t="s">
        <v>71</v>
      </c>
      <c r="J1788" t="s">
        <v>72</v>
      </c>
      <c r="K1788" t="s">
        <v>73</v>
      </c>
      <c r="L1788" t="s">
        <v>74</v>
      </c>
      <c r="M1788" t="s">
        <v>1125</v>
      </c>
      <c r="N1788" t="s">
        <v>274</v>
      </c>
      <c r="O1788" t="s">
        <v>1126</v>
      </c>
      <c r="P1788" t="s">
        <v>1127</v>
      </c>
      <c r="Q1788" t="s">
        <v>66</v>
      </c>
      <c r="R1788" s="1">
        <v>46226</v>
      </c>
      <c r="S1788" t="s">
        <v>1129</v>
      </c>
      <c r="T1788" t="s">
        <v>1130</v>
      </c>
      <c r="U1788" t="s">
        <v>1131</v>
      </c>
      <c r="V1788" t="s">
        <v>66</v>
      </c>
      <c r="W1788" t="s">
        <v>66</v>
      </c>
      <c r="X1788">
        <v>170520</v>
      </c>
      <c r="Y1788">
        <v>18757.2</v>
      </c>
      <c r="Z1788">
        <v>108192</v>
      </c>
      <c r="AA1788">
        <v>11901.12</v>
      </c>
      <c r="AB1788">
        <v>189277.2</v>
      </c>
      <c r="AC1788">
        <v>6</v>
      </c>
      <c r="AD1788" t="s">
        <v>82</v>
      </c>
      <c r="AE1788">
        <v>6</v>
      </c>
      <c r="AF1788" t="s">
        <v>116</v>
      </c>
      <c r="AG1788">
        <f>IFERROR(VLOOKUP(AF1788,[1]STOK!J:O,6,0),"")</f>
        <v>12</v>
      </c>
      <c r="AH1788" s="2">
        <f t="shared" si="54"/>
        <v>0.5</v>
      </c>
      <c r="AI1788" t="s">
        <v>116</v>
      </c>
      <c r="AJ1788" t="s">
        <v>117</v>
      </c>
      <c r="AK1788" t="s">
        <v>118</v>
      </c>
      <c r="AL1788" t="s">
        <v>86</v>
      </c>
      <c r="AM1788">
        <v>20424</v>
      </c>
      <c r="AN1788">
        <f t="shared" si="55"/>
        <v>20015.52</v>
      </c>
      <c r="AO1788" t="s">
        <v>66</v>
      </c>
      <c r="AP1788">
        <v>2</v>
      </c>
      <c r="AQ1788" t="s">
        <v>66</v>
      </c>
      <c r="AR1788">
        <v>0</v>
      </c>
      <c r="AS1788" t="s">
        <v>66</v>
      </c>
      <c r="AT1788">
        <v>0</v>
      </c>
      <c r="AU1788" t="s">
        <v>66</v>
      </c>
      <c r="AV1788">
        <v>0</v>
      </c>
      <c r="AW1788" t="s">
        <v>66</v>
      </c>
      <c r="AX1788">
        <v>0</v>
      </c>
      <c r="AY1788" t="s">
        <v>66</v>
      </c>
      <c r="AZ1788">
        <v>0</v>
      </c>
      <c r="BA1788" t="s">
        <v>66</v>
      </c>
      <c r="BB1788">
        <v>0</v>
      </c>
      <c r="BC1788">
        <v>0</v>
      </c>
      <c r="BD1788">
        <v>120093.12</v>
      </c>
      <c r="BE1788">
        <v>16641.740000000002</v>
      </c>
      <c r="BF1788">
        <v>0</v>
      </c>
      <c r="BG1788" t="s">
        <v>87</v>
      </c>
      <c r="BH1788" t="s">
        <v>1811</v>
      </c>
      <c r="BI1788">
        <v>6</v>
      </c>
      <c r="BJ1788" t="s">
        <v>1655</v>
      </c>
      <c r="BK1788" t="s">
        <v>88</v>
      </c>
      <c r="BL1788" t="s">
        <v>66</v>
      </c>
      <c r="BM1788" t="s">
        <v>159</v>
      </c>
    </row>
    <row r="1789" spans="1:65" x14ac:dyDescent="0.25">
      <c r="A1789">
        <v>1787</v>
      </c>
      <c r="B1789" t="s">
        <v>1809</v>
      </c>
      <c r="C1789" t="s">
        <v>68</v>
      </c>
      <c r="D1789" s="1">
        <v>46226</v>
      </c>
      <c r="E1789" t="s">
        <v>1810</v>
      </c>
      <c r="F1789" t="s">
        <v>68</v>
      </c>
      <c r="G1789" t="s">
        <v>295</v>
      </c>
      <c r="H1789" t="s">
        <v>296</v>
      </c>
      <c r="I1789" t="s">
        <v>71</v>
      </c>
      <c r="J1789" t="s">
        <v>72</v>
      </c>
      <c r="K1789" t="s">
        <v>73</v>
      </c>
      <c r="L1789" t="s">
        <v>74</v>
      </c>
      <c r="M1789" t="s">
        <v>1125</v>
      </c>
      <c r="N1789" t="s">
        <v>274</v>
      </c>
      <c r="O1789" t="s">
        <v>1126</v>
      </c>
      <c r="P1789" t="s">
        <v>1127</v>
      </c>
      <c r="Q1789" t="s">
        <v>66</v>
      </c>
      <c r="R1789" s="1">
        <v>46226</v>
      </c>
      <c r="S1789" t="s">
        <v>1129</v>
      </c>
      <c r="T1789" t="s">
        <v>1130</v>
      </c>
      <c r="U1789" t="s">
        <v>1131</v>
      </c>
      <c r="V1789" t="s">
        <v>66</v>
      </c>
      <c r="W1789" t="s">
        <v>66</v>
      </c>
      <c r="X1789">
        <v>170520</v>
      </c>
      <c r="Y1789">
        <v>18757.2</v>
      </c>
      <c r="Z1789">
        <v>23226</v>
      </c>
      <c r="AA1789">
        <v>2554.86</v>
      </c>
      <c r="AB1789">
        <v>189277.2</v>
      </c>
      <c r="AC1789">
        <v>3</v>
      </c>
      <c r="AD1789" t="s">
        <v>82</v>
      </c>
      <c r="AE1789">
        <v>3</v>
      </c>
      <c r="AF1789" t="s">
        <v>248</v>
      </c>
      <c r="AG1789">
        <f>IFERROR(VLOOKUP(AF1789,[1]STOK!J:O,6,0),"")</f>
        <v>24</v>
      </c>
      <c r="AH1789" s="2">
        <f t="shared" si="54"/>
        <v>0.125</v>
      </c>
      <c r="AI1789" t="s">
        <v>248</v>
      </c>
      <c r="AJ1789" t="s">
        <v>249</v>
      </c>
      <c r="AK1789" t="s">
        <v>250</v>
      </c>
      <c r="AL1789" t="s">
        <v>86</v>
      </c>
      <c r="AM1789">
        <v>8769</v>
      </c>
      <c r="AN1789">
        <f t="shared" si="55"/>
        <v>8593.6200000000008</v>
      </c>
      <c r="AO1789" t="s">
        <v>66</v>
      </c>
      <c r="AP1789">
        <v>2</v>
      </c>
      <c r="AQ1789" t="s">
        <v>66</v>
      </c>
      <c r="AR1789">
        <v>0</v>
      </c>
      <c r="AS1789" t="s">
        <v>66</v>
      </c>
      <c r="AT1789">
        <v>0</v>
      </c>
      <c r="AU1789" t="s">
        <v>66</v>
      </c>
      <c r="AV1789">
        <v>0</v>
      </c>
      <c r="AW1789" t="s">
        <v>66</v>
      </c>
      <c r="AX1789">
        <v>0</v>
      </c>
      <c r="AY1789" t="s">
        <v>66</v>
      </c>
      <c r="AZ1789">
        <v>0</v>
      </c>
      <c r="BA1789" t="s">
        <v>66</v>
      </c>
      <c r="BB1789">
        <v>0</v>
      </c>
      <c r="BC1789">
        <v>0</v>
      </c>
      <c r="BD1789">
        <v>25780.86</v>
      </c>
      <c r="BE1789">
        <v>7274.07</v>
      </c>
      <c r="BF1789">
        <v>0</v>
      </c>
      <c r="BG1789" t="s">
        <v>87</v>
      </c>
      <c r="BH1789" t="s">
        <v>1811</v>
      </c>
      <c r="BI1789">
        <v>3</v>
      </c>
      <c r="BJ1789" t="s">
        <v>1655</v>
      </c>
      <c r="BK1789" t="s">
        <v>88</v>
      </c>
      <c r="BL1789" t="s">
        <v>66</v>
      </c>
      <c r="BM1789" t="s">
        <v>159</v>
      </c>
    </row>
    <row r="1790" spans="1:65" x14ac:dyDescent="0.25">
      <c r="A1790">
        <v>1788</v>
      </c>
      <c r="B1790" t="s">
        <v>1809</v>
      </c>
      <c r="C1790" t="s">
        <v>68</v>
      </c>
      <c r="D1790" s="1">
        <v>46226</v>
      </c>
      <c r="E1790" t="s">
        <v>1810</v>
      </c>
      <c r="F1790" t="s">
        <v>68</v>
      </c>
      <c r="G1790" t="s">
        <v>295</v>
      </c>
      <c r="H1790" t="s">
        <v>296</v>
      </c>
      <c r="I1790" t="s">
        <v>71</v>
      </c>
      <c r="J1790" t="s">
        <v>72</v>
      </c>
      <c r="K1790" t="s">
        <v>73</v>
      </c>
      <c r="L1790" t="s">
        <v>74</v>
      </c>
      <c r="M1790" t="s">
        <v>1125</v>
      </c>
      <c r="N1790" t="s">
        <v>274</v>
      </c>
      <c r="O1790" t="s">
        <v>1126</v>
      </c>
      <c r="P1790" t="s">
        <v>1127</v>
      </c>
      <c r="Q1790" t="s">
        <v>66</v>
      </c>
      <c r="R1790" s="1">
        <v>46226</v>
      </c>
      <c r="S1790" t="s">
        <v>1129</v>
      </c>
      <c r="T1790" t="s">
        <v>1130</v>
      </c>
      <c r="U1790" t="s">
        <v>1131</v>
      </c>
      <c r="V1790" t="s">
        <v>66</v>
      </c>
      <c r="W1790" t="s">
        <v>66</v>
      </c>
      <c r="X1790">
        <v>170520</v>
      </c>
      <c r="Y1790">
        <v>18757.2</v>
      </c>
      <c r="Z1790">
        <v>39102</v>
      </c>
      <c r="AA1790">
        <v>4301.22</v>
      </c>
      <c r="AB1790">
        <v>189277.2</v>
      </c>
      <c r="AC1790">
        <v>3</v>
      </c>
      <c r="AD1790" t="s">
        <v>82</v>
      </c>
      <c r="AE1790">
        <v>3</v>
      </c>
      <c r="AF1790" t="s">
        <v>135</v>
      </c>
      <c r="AG1790">
        <f>IFERROR(VLOOKUP(AF1790,[1]STOK!J:O,6,0),"")</f>
        <v>12</v>
      </c>
      <c r="AH1790" s="2">
        <f t="shared" si="54"/>
        <v>0.25</v>
      </c>
      <c r="AI1790" t="s">
        <v>135</v>
      </c>
      <c r="AJ1790" t="s">
        <v>136</v>
      </c>
      <c r="AK1790" t="s">
        <v>137</v>
      </c>
      <c r="AL1790" t="s">
        <v>86</v>
      </c>
      <c r="AM1790">
        <v>14763</v>
      </c>
      <c r="AN1790">
        <f t="shared" si="55"/>
        <v>14467.74</v>
      </c>
      <c r="AO1790" t="s">
        <v>66</v>
      </c>
      <c r="AP1790">
        <v>2</v>
      </c>
      <c r="AQ1790" t="s">
        <v>66</v>
      </c>
      <c r="AR1790">
        <v>0</v>
      </c>
      <c r="AS1790" t="s">
        <v>66</v>
      </c>
      <c r="AT1790">
        <v>0</v>
      </c>
      <c r="AU1790" t="s">
        <v>66</v>
      </c>
      <c r="AV1790">
        <v>0</v>
      </c>
      <c r="AW1790" t="s">
        <v>66</v>
      </c>
      <c r="AX1790">
        <v>0</v>
      </c>
      <c r="AY1790" t="s">
        <v>66</v>
      </c>
      <c r="AZ1790">
        <v>0</v>
      </c>
      <c r="BA1790" t="s">
        <v>66</v>
      </c>
      <c r="BB1790">
        <v>0</v>
      </c>
      <c r="BC1790">
        <v>0</v>
      </c>
      <c r="BD1790">
        <v>43403.22</v>
      </c>
      <c r="BE1790">
        <v>12035.93</v>
      </c>
      <c r="BF1790">
        <v>0</v>
      </c>
      <c r="BG1790" t="s">
        <v>87</v>
      </c>
      <c r="BH1790" t="s">
        <v>1811</v>
      </c>
      <c r="BI1790">
        <v>3</v>
      </c>
      <c r="BJ1790" t="s">
        <v>1655</v>
      </c>
      <c r="BK1790" t="s">
        <v>88</v>
      </c>
      <c r="BL1790" t="s">
        <v>66</v>
      </c>
      <c r="BM1790" t="s">
        <v>159</v>
      </c>
    </row>
    <row r="1791" spans="1:65" x14ac:dyDescent="0.25">
      <c r="A1791">
        <v>1789</v>
      </c>
      <c r="B1791" t="s">
        <v>1812</v>
      </c>
      <c r="C1791" t="s">
        <v>1813</v>
      </c>
      <c r="D1791" s="1">
        <v>46226</v>
      </c>
      <c r="E1791" t="s">
        <v>1814</v>
      </c>
      <c r="F1791" t="s">
        <v>1815</v>
      </c>
      <c r="G1791" t="s">
        <v>69</v>
      </c>
      <c r="H1791" t="s">
        <v>70</v>
      </c>
      <c r="I1791" t="s">
        <v>71</v>
      </c>
      <c r="J1791" t="s">
        <v>72</v>
      </c>
      <c r="K1791" t="s">
        <v>73</v>
      </c>
      <c r="L1791" t="s">
        <v>74</v>
      </c>
      <c r="M1791" t="s">
        <v>1095</v>
      </c>
      <c r="N1791" t="s">
        <v>696</v>
      </c>
      <c r="O1791" t="s">
        <v>1096</v>
      </c>
      <c r="P1791" t="s">
        <v>1097</v>
      </c>
      <c r="Q1791" t="s">
        <v>1816</v>
      </c>
      <c r="R1791" s="1">
        <v>46227</v>
      </c>
      <c r="S1791" t="s">
        <v>1099</v>
      </c>
      <c r="T1791" t="s">
        <v>1100</v>
      </c>
      <c r="U1791" t="s">
        <v>1101</v>
      </c>
      <c r="V1791" t="s">
        <v>66</v>
      </c>
      <c r="W1791" t="s">
        <v>66</v>
      </c>
      <c r="X1791">
        <v>261900</v>
      </c>
      <c r="Y1791">
        <v>28809</v>
      </c>
      <c r="Z1791">
        <v>261900</v>
      </c>
      <c r="AA1791">
        <v>28809</v>
      </c>
      <c r="AB1791">
        <v>290709</v>
      </c>
      <c r="AC1791">
        <v>1</v>
      </c>
      <c r="AD1791" t="s">
        <v>134</v>
      </c>
      <c r="AE1791">
        <v>4</v>
      </c>
      <c r="AF1791" t="s">
        <v>476</v>
      </c>
      <c r="AG1791">
        <f>IFERROR(VLOOKUP(AF1791,[1]STOK!J:O,6,0),"")</f>
        <v>4</v>
      </c>
      <c r="AH1791" s="2">
        <f t="shared" si="54"/>
        <v>1</v>
      </c>
      <c r="AI1791" t="s">
        <v>476</v>
      </c>
      <c r="AJ1791" t="s">
        <v>477</v>
      </c>
      <c r="AK1791" t="s">
        <v>478</v>
      </c>
      <c r="AL1791" t="s">
        <v>86</v>
      </c>
      <c r="AM1791">
        <v>299700</v>
      </c>
      <c r="AN1791">
        <f t="shared" si="55"/>
        <v>290709</v>
      </c>
      <c r="AO1791" t="s">
        <v>66</v>
      </c>
      <c r="AP1791">
        <v>3</v>
      </c>
      <c r="AQ1791" t="s">
        <v>66</v>
      </c>
      <c r="AR1791">
        <v>0</v>
      </c>
      <c r="AS1791" t="s">
        <v>66</v>
      </c>
      <c r="AT1791">
        <v>0</v>
      </c>
      <c r="AU1791" t="s">
        <v>66</v>
      </c>
      <c r="AV1791">
        <v>0</v>
      </c>
      <c r="AW1791" t="s">
        <v>66</v>
      </c>
      <c r="AX1791">
        <v>0</v>
      </c>
      <c r="AY1791" t="s">
        <v>66</v>
      </c>
      <c r="AZ1791">
        <v>0</v>
      </c>
      <c r="BA1791" t="s">
        <v>66</v>
      </c>
      <c r="BB1791">
        <v>0</v>
      </c>
      <c r="BC1791">
        <v>0</v>
      </c>
      <c r="BD1791">
        <v>290709</v>
      </c>
      <c r="BE1791">
        <v>60048.57</v>
      </c>
      <c r="BF1791">
        <v>0</v>
      </c>
      <c r="BG1791" t="s">
        <v>87</v>
      </c>
      <c r="BH1791" t="s">
        <v>66</v>
      </c>
      <c r="BI1791">
        <v>0</v>
      </c>
      <c r="BJ1791" t="s">
        <v>66</v>
      </c>
      <c r="BK1791" t="s">
        <v>88</v>
      </c>
      <c r="BL1791" t="s">
        <v>66</v>
      </c>
      <c r="BM1791" t="s">
        <v>159</v>
      </c>
    </row>
    <row r="1792" spans="1:65" x14ac:dyDescent="0.25">
      <c r="A1792">
        <v>1790</v>
      </c>
      <c r="B1792" t="s">
        <v>1817</v>
      </c>
      <c r="C1792" t="s">
        <v>68</v>
      </c>
      <c r="D1792" s="1">
        <v>46226</v>
      </c>
      <c r="E1792" t="s">
        <v>1818</v>
      </c>
      <c r="F1792" t="s">
        <v>68</v>
      </c>
      <c r="G1792" t="s">
        <v>69</v>
      </c>
      <c r="H1792" t="s">
        <v>70</v>
      </c>
      <c r="I1792" t="s">
        <v>71</v>
      </c>
      <c r="J1792" t="s">
        <v>72</v>
      </c>
      <c r="K1792" t="s">
        <v>73</v>
      </c>
      <c r="L1792" t="s">
        <v>74</v>
      </c>
      <c r="M1792" t="s">
        <v>1272</v>
      </c>
      <c r="N1792" t="s">
        <v>111</v>
      </c>
      <c r="O1792" t="s">
        <v>1273</v>
      </c>
      <c r="P1792" t="s">
        <v>1274</v>
      </c>
      <c r="Q1792" t="s">
        <v>1819</v>
      </c>
      <c r="R1792" s="1">
        <v>46226</v>
      </c>
      <c r="S1792" t="s">
        <v>1276</v>
      </c>
      <c r="T1792" t="s">
        <v>1277</v>
      </c>
      <c r="U1792" t="s">
        <v>1278</v>
      </c>
      <c r="V1792" t="s">
        <v>66</v>
      </c>
      <c r="W1792" t="s">
        <v>66</v>
      </c>
      <c r="X1792">
        <v>4033854</v>
      </c>
      <c r="Y1792">
        <v>443723.94</v>
      </c>
      <c r="Z1792">
        <v>156816</v>
      </c>
      <c r="AA1792">
        <v>17249.759999999998</v>
      </c>
      <c r="AB1792">
        <v>4477577.9400000004</v>
      </c>
      <c r="AC1792">
        <v>6</v>
      </c>
      <c r="AD1792" t="s">
        <v>82</v>
      </c>
      <c r="AE1792">
        <v>6</v>
      </c>
      <c r="AF1792" t="s">
        <v>1820</v>
      </c>
      <c r="AG1792">
        <f>IFERROR(VLOOKUP(AF1792,[1]STOK!J:O,6,0),"")</f>
        <v>24</v>
      </c>
      <c r="AH1792" s="2">
        <f t="shared" si="54"/>
        <v>0.25</v>
      </c>
      <c r="AI1792" t="s">
        <v>1820</v>
      </c>
      <c r="AJ1792" t="s">
        <v>1821</v>
      </c>
      <c r="AK1792" t="s">
        <v>1822</v>
      </c>
      <c r="AL1792" t="s">
        <v>86</v>
      </c>
      <c r="AM1792">
        <v>29304</v>
      </c>
      <c r="AN1792">
        <f t="shared" si="55"/>
        <v>29010.960000000003</v>
      </c>
      <c r="AO1792" t="s">
        <v>66</v>
      </c>
      <c r="AP1792">
        <v>1</v>
      </c>
      <c r="AQ1792" t="s">
        <v>66</v>
      </c>
      <c r="AR1792">
        <v>0</v>
      </c>
      <c r="AS1792" t="s">
        <v>66</v>
      </c>
      <c r="AT1792">
        <v>0</v>
      </c>
      <c r="AU1792" t="s">
        <v>66</v>
      </c>
      <c r="AV1792">
        <v>0</v>
      </c>
      <c r="AW1792" t="s">
        <v>66</v>
      </c>
      <c r="AX1792">
        <v>0</v>
      </c>
      <c r="AY1792" t="s">
        <v>66</v>
      </c>
      <c r="AZ1792">
        <v>0</v>
      </c>
      <c r="BA1792" t="s">
        <v>66</v>
      </c>
      <c r="BB1792">
        <v>0</v>
      </c>
      <c r="BC1792">
        <v>0</v>
      </c>
      <c r="BD1792">
        <v>174065.76</v>
      </c>
      <c r="BE1792">
        <v>23001.56</v>
      </c>
      <c r="BF1792">
        <v>0</v>
      </c>
      <c r="BG1792" t="s">
        <v>87</v>
      </c>
      <c r="BH1792" t="s">
        <v>66</v>
      </c>
      <c r="BI1792">
        <v>0</v>
      </c>
      <c r="BJ1792" t="s">
        <v>66</v>
      </c>
      <c r="BK1792" t="s">
        <v>88</v>
      </c>
      <c r="BL1792" t="s">
        <v>66</v>
      </c>
      <c r="BM1792" t="s">
        <v>159</v>
      </c>
    </row>
    <row r="1793" spans="1:65" x14ac:dyDescent="0.25">
      <c r="A1793">
        <v>1791</v>
      </c>
      <c r="B1793" t="s">
        <v>1817</v>
      </c>
      <c r="C1793" t="s">
        <v>68</v>
      </c>
      <c r="D1793" s="1">
        <v>46226</v>
      </c>
      <c r="E1793" t="s">
        <v>1818</v>
      </c>
      <c r="F1793" t="s">
        <v>68</v>
      </c>
      <c r="G1793" t="s">
        <v>69</v>
      </c>
      <c r="H1793" t="s">
        <v>70</v>
      </c>
      <c r="I1793" t="s">
        <v>71</v>
      </c>
      <c r="J1793" t="s">
        <v>72</v>
      </c>
      <c r="K1793" t="s">
        <v>73</v>
      </c>
      <c r="L1793" t="s">
        <v>74</v>
      </c>
      <c r="M1793" t="s">
        <v>1272</v>
      </c>
      <c r="N1793" t="s">
        <v>111</v>
      </c>
      <c r="O1793" t="s">
        <v>1273</v>
      </c>
      <c r="P1793" t="s">
        <v>1274</v>
      </c>
      <c r="Q1793" t="s">
        <v>1819</v>
      </c>
      <c r="R1793" s="1">
        <v>46226</v>
      </c>
      <c r="S1793" t="s">
        <v>1276</v>
      </c>
      <c r="T1793" t="s">
        <v>1277</v>
      </c>
      <c r="U1793" t="s">
        <v>1278</v>
      </c>
      <c r="V1793" t="s">
        <v>66</v>
      </c>
      <c r="W1793" t="s">
        <v>66</v>
      </c>
      <c r="X1793">
        <v>4033854</v>
      </c>
      <c r="Y1793">
        <v>443723.94</v>
      </c>
      <c r="Z1793">
        <v>117612</v>
      </c>
      <c r="AA1793">
        <v>12937.32</v>
      </c>
      <c r="AB1793">
        <v>4477577.9400000004</v>
      </c>
      <c r="AC1793">
        <v>6</v>
      </c>
      <c r="AD1793" t="s">
        <v>82</v>
      </c>
      <c r="AE1793">
        <v>6</v>
      </c>
      <c r="AF1793" t="s">
        <v>799</v>
      </c>
      <c r="AG1793">
        <f>IFERROR(VLOOKUP(AF1793,[1]STOK!J:O,6,0),"")</f>
        <v>12</v>
      </c>
      <c r="AH1793" s="2">
        <f t="shared" si="54"/>
        <v>0.5</v>
      </c>
      <c r="AI1793" t="s">
        <v>799</v>
      </c>
      <c r="AJ1793" t="s">
        <v>800</v>
      </c>
      <c r="AK1793" t="s">
        <v>801</v>
      </c>
      <c r="AL1793" t="s">
        <v>86</v>
      </c>
      <c r="AM1793">
        <v>21978</v>
      </c>
      <c r="AN1793">
        <f t="shared" si="55"/>
        <v>21758.22</v>
      </c>
      <c r="AO1793" t="s">
        <v>66</v>
      </c>
      <c r="AP1793">
        <v>1</v>
      </c>
      <c r="AQ1793" t="s">
        <v>66</v>
      </c>
      <c r="AR1793">
        <v>0</v>
      </c>
      <c r="AS1793" t="s">
        <v>66</v>
      </c>
      <c r="AT1793">
        <v>0</v>
      </c>
      <c r="AU1793" t="s">
        <v>66</v>
      </c>
      <c r="AV1793">
        <v>0</v>
      </c>
      <c r="AW1793" t="s">
        <v>66</v>
      </c>
      <c r="AX1793">
        <v>0</v>
      </c>
      <c r="AY1793" t="s">
        <v>66</v>
      </c>
      <c r="AZ1793">
        <v>0</v>
      </c>
      <c r="BA1793" t="s">
        <v>66</v>
      </c>
      <c r="BB1793">
        <v>0</v>
      </c>
      <c r="BC1793">
        <v>0</v>
      </c>
      <c r="BD1793">
        <v>130549.32</v>
      </c>
      <c r="BE1793">
        <v>17804.599999999999</v>
      </c>
      <c r="BF1793">
        <v>0</v>
      </c>
      <c r="BG1793" t="s">
        <v>87</v>
      </c>
      <c r="BH1793" t="s">
        <v>66</v>
      </c>
      <c r="BI1793">
        <v>0</v>
      </c>
      <c r="BJ1793" t="s">
        <v>66</v>
      </c>
      <c r="BK1793" t="s">
        <v>88</v>
      </c>
      <c r="BL1793" t="s">
        <v>66</v>
      </c>
      <c r="BM1793" t="s">
        <v>159</v>
      </c>
    </row>
    <row r="1794" spans="1:65" x14ac:dyDescent="0.25">
      <c r="A1794">
        <v>1792</v>
      </c>
      <c r="B1794" t="s">
        <v>1817</v>
      </c>
      <c r="C1794" t="s">
        <v>68</v>
      </c>
      <c r="D1794" s="1">
        <v>46226</v>
      </c>
      <c r="E1794" t="s">
        <v>1818</v>
      </c>
      <c r="F1794" t="s">
        <v>68</v>
      </c>
      <c r="G1794" t="s">
        <v>69</v>
      </c>
      <c r="H1794" t="s">
        <v>70</v>
      </c>
      <c r="I1794" t="s">
        <v>71</v>
      </c>
      <c r="J1794" t="s">
        <v>72</v>
      </c>
      <c r="K1794" t="s">
        <v>73</v>
      </c>
      <c r="L1794" t="s">
        <v>74</v>
      </c>
      <c r="M1794" t="s">
        <v>1272</v>
      </c>
      <c r="N1794" t="s">
        <v>111</v>
      </c>
      <c r="O1794" t="s">
        <v>1273</v>
      </c>
      <c r="P1794" t="s">
        <v>1274</v>
      </c>
      <c r="Q1794" t="s">
        <v>1819</v>
      </c>
      <c r="R1794" s="1">
        <v>46226</v>
      </c>
      <c r="S1794" t="s">
        <v>1276</v>
      </c>
      <c r="T1794" t="s">
        <v>1277</v>
      </c>
      <c r="U1794" t="s">
        <v>1278</v>
      </c>
      <c r="V1794" t="s">
        <v>66</v>
      </c>
      <c r="W1794" t="s">
        <v>66</v>
      </c>
      <c r="X1794">
        <v>4033854</v>
      </c>
      <c r="Y1794">
        <v>443723.94</v>
      </c>
      <c r="Z1794">
        <v>119988</v>
      </c>
      <c r="AA1794">
        <v>13198.68</v>
      </c>
      <c r="AB1794">
        <v>4477577.9400000004</v>
      </c>
      <c r="AC1794">
        <v>6</v>
      </c>
      <c r="AD1794" t="s">
        <v>82</v>
      </c>
      <c r="AE1794">
        <v>6</v>
      </c>
      <c r="AF1794" t="s">
        <v>239</v>
      </c>
      <c r="AG1794">
        <f>IFERROR(VLOOKUP(AF1794,[1]STOK!J:O,6,0),"")</f>
        <v>12</v>
      </c>
      <c r="AH1794" s="2">
        <f t="shared" si="54"/>
        <v>0.5</v>
      </c>
      <c r="AI1794" t="s">
        <v>239</v>
      </c>
      <c r="AJ1794" t="s">
        <v>240</v>
      </c>
      <c r="AK1794" t="s">
        <v>241</v>
      </c>
      <c r="AL1794" t="s">
        <v>86</v>
      </c>
      <c r="AM1794">
        <v>22422</v>
      </c>
      <c r="AN1794">
        <f t="shared" si="55"/>
        <v>22197.78</v>
      </c>
      <c r="AO1794" t="s">
        <v>66</v>
      </c>
      <c r="AP1794">
        <v>1</v>
      </c>
      <c r="AQ1794" t="s">
        <v>66</v>
      </c>
      <c r="AR1794">
        <v>0</v>
      </c>
      <c r="AS1794" t="s">
        <v>66</v>
      </c>
      <c r="AT1794">
        <v>0</v>
      </c>
      <c r="AU1794" t="s">
        <v>66</v>
      </c>
      <c r="AV1794">
        <v>0</v>
      </c>
      <c r="AW1794" t="s">
        <v>66</v>
      </c>
      <c r="AX1794">
        <v>0</v>
      </c>
      <c r="AY1794" t="s">
        <v>66</v>
      </c>
      <c r="AZ1794">
        <v>0</v>
      </c>
      <c r="BA1794" t="s">
        <v>66</v>
      </c>
      <c r="BB1794">
        <v>0</v>
      </c>
      <c r="BC1794">
        <v>0</v>
      </c>
      <c r="BD1794">
        <v>133186.68</v>
      </c>
      <c r="BE1794">
        <v>16652.39</v>
      </c>
      <c r="BF1794">
        <v>0</v>
      </c>
      <c r="BG1794" t="s">
        <v>87</v>
      </c>
      <c r="BH1794" t="s">
        <v>66</v>
      </c>
      <c r="BI1794">
        <v>0</v>
      </c>
      <c r="BJ1794" t="s">
        <v>66</v>
      </c>
      <c r="BK1794" t="s">
        <v>88</v>
      </c>
      <c r="BL1794" t="s">
        <v>66</v>
      </c>
      <c r="BM1794" t="s">
        <v>159</v>
      </c>
    </row>
    <row r="1795" spans="1:65" x14ac:dyDescent="0.25">
      <c r="A1795">
        <v>1793</v>
      </c>
      <c r="B1795" t="s">
        <v>1817</v>
      </c>
      <c r="C1795" t="s">
        <v>68</v>
      </c>
      <c r="D1795" s="1">
        <v>46226</v>
      </c>
      <c r="E1795" t="s">
        <v>1818</v>
      </c>
      <c r="F1795" t="s">
        <v>68</v>
      </c>
      <c r="G1795" t="s">
        <v>69</v>
      </c>
      <c r="H1795" t="s">
        <v>70</v>
      </c>
      <c r="I1795" t="s">
        <v>71</v>
      </c>
      <c r="J1795" t="s">
        <v>72</v>
      </c>
      <c r="K1795" t="s">
        <v>73</v>
      </c>
      <c r="L1795" t="s">
        <v>74</v>
      </c>
      <c r="M1795" t="s">
        <v>1272</v>
      </c>
      <c r="N1795" t="s">
        <v>111</v>
      </c>
      <c r="O1795" t="s">
        <v>1273</v>
      </c>
      <c r="P1795" t="s">
        <v>1274</v>
      </c>
      <c r="Q1795" t="s">
        <v>1819</v>
      </c>
      <c r="R1795" s="1">
        <v>46226</v>
      </c>
      <c r="S1795" t="s">
        <v>1276</v>
      </c>
      <c r="T1795" t="s">
        <v>1277</v>
      </c>
      <c r="U1795" t="s">
        <v>1278</v>
      </c>
      <c r="V1795" t="s">
        <v>66</v>
      </c>
      <c r="W1795" t="s">
        <v>66</v>
      </c>
      <c r="X1795">
        <v>4033854</v>
      </c>
      <c r="Y1795">
        <v>443723.94</v>
      </c>
      <c r="Z1795">
        <v>33858</v>
      </c>
      <c r="AA1795">
        <v>3724.38</v>
      </c>
      <c r="AB1795">
        <v>4477577.9400000004</v>
      </c>
      <c r="AC1795">
        <v>6</v>
      </c>
      <c r="AD1795" t="s">
        <v>82</v>
      </c>
      <c r="AE1795">
        <v>6</v>
      </c>
      <c r="AF1795" t="s">
        <v>350</v>
      </c>
      <c r="AG1795">
        <f>IFERROR(VLOOKUP(AF1795,[1]STOK!J:O,6,0),"")</f>
        <v>48</v>
      </c>
      <c r="AH1795" s="2">
        <f t="shared" si="54"/>
        <v>0.125</v>
      </c>
      <c r="AI1795" t="s">
        <v>350</v>
      </c>
      <c r="AJ1795" t="s">
        <v>351</v>
      </c>
      <c r="AK1795" t="s">
        <v>352</v>
      </c>
      <c r="AL1795" t="s">
        <v>86</v>
      </c>
      <c r="AM1795">
        <v>6327</v>
      </c>
      <c r="AN1795">
        <f t="shared" si="55"/>
        <v>6263.73</v>
      </c>
      <c r="AO1795" t="s">
        <v>66</v>
      </c>
      <c r="AP1795">
        <v>1</v>
      </c>
      <c r="AQ1795" t="s">
        <v>66</v>
      </c>
      <c r="AR1795">
        <v>0</v>
      </c>
      <c r="AS1795" t="s">
        <v>66</v>
      </c>
      <c r="AT1795">
        <v>0</v>
      </c>
      <c r="AU1795" t="s">
        <v>66</v>
      </c>
      <c r="AV1795">
        <v>0</v>
      </c>
      <c r="AW1795" t="s">
        <v>66</v>
      </c>
      <c r="AX1795">
        <v>0</v>
      </c>
      <c r="AY1795" t="s">
        <v>66</v>
      </c>
      <c r="AZ1795">
        <v>0</v>
      </c>
      <c r="BA1795" t="s">
        <v>66</v>
      </c>
      <c r="BB1795">
        <v>0</v>
      </c>
      <c r="BC1795">
        <v>0</v>
      </c>
      <c r="BD1795">
        <v>37582.379999999997</v>
      </c>
      <c r="BE1795">
        <v>4985.16</v>
      </c>
      <c r="BF1795">
        <v>0</v>
      </c>
      <c r="BG1795" t="s">
        <v>87</v>
      </c>
      <c r="BH1795" t="s">
        <v>66</v>
      </c>
      <c r="BI1795">
        <v>0</v>
      </c>
      <c r="BJ1795" t="s">
        <v>66</v>
      </c>
      <c r="BK1795" t="s">
        <v>88</v>
      </c>
      <c r="BL1795" t="s">
        <v>66</v>
      </c>
      <c r="BM1795" t="s">
        <v>159</v>
      </c>
    </row>
    <row r="1796" spans="1:65" x14ac:dyDescent="0.25">
      <c r="A1796">
        <v>1794</v>
      </c>
      <c r="B1796" t="s">
        <v>1817</v>
      </c>
      <c r="C1796" t="s">
        <v>68</v>
      </c>
      <c r="D1796" s="1">
        <v>46226</v>
      </c>
      <c r="E1796" t="s">
        <v>1818</v>
      </c>
      <c r="F1796" t="s">
        <v>68</v>
      </c>
      <c r="G1796" t="s">
        <v>69</v>
      </c>
      <c r="H1796" t="s">
        <v>70</v>
      </c>
      <c r="I1796" t="s">
        <v>71</v>
      </c>
      <c r="J1796" t="s">
        <v>72</v>
      </c>
      <c r="K1796" t="s">
        <v>73</v>
      </c>
      <c r="L1796" t="s">
        <v>74</v>
      </c>
      <c r="M1796" t="s">
        <v>1272</v>
      </c>
      <c r="N1796" t="s">
        <v>111</v>
      </c>
      <c r="O1796" t="s">
        <v>1273</v>
      </c>
      <c r="P1796" t="s">
        <v>1274</v>
      </c>
      <c r="Q1796" t="s">
        <v>1819</v>
      </c>
      <c r="R1796" s="1">
        <v>46226</v>
      </c>
      <c r="S1796" t="s">
        <v>1276</v>
      </c>
      <c r="T1796" t="s">
        <v>1277</v>
      </c>
      <c r="U1796" t="s">
        <v>1278</v>
      </c>
      <c r="V1796" t="s">
        <v>66</v>
      </c>
      <c r="W1796" t="s">
        <v>66</v>
      </c>
      <c r="X1796">
        <v>4033854</v>
      </c>
      <c r="Y1796">
        <v>443723.94</v>
      </c>
      <c r="Z1796">
        <v>768636</v>
      </c>
      <c r="AA1796">
        <v>84549.96</v>
      </c>
      <c r="AB1796">
        <v>4477577.9400000004</v>
      </c>
      <c r="AC1796">
        <v>6</v>
      </c>
      <c r="AD1796" t="s">
        <v>82</v>
      </c>
      <c r="AE1796">
        <v>6</v>
      </c>
      <c r="AF1796" t="s">
        <v>651</v>
      </c>
      <c r="AG1796">
        <f>IFERROR(VLOOKUP(AF1796,[1]STOK!J:O,6,0),"")</f>
        <v>4</v>
      </c>
      <c r="AH1796" s="2">
        <f t="shared" ref="AH1796:AH1859" si="56">AE1796/AG1796</f>
        <v>1.5</v>
      </c>
      <c r="AI1796" t="s">
        <v>651</v>
      </c>
      <c r="AJ1796" t="s">
        <v>652</v>
      </c>
      <c r="AK1796" t="s">
        <v>653</v>
      </c>
      <c r="AL1796" t="s">
        <v>86</v>
      </c>
      <c r="AM1796">
        <v>143634</v>
      </c>
      <c r="AN1796">
        <f t="shared" ref="AN1796:AN1859" si="57">BD1796/AC1796</f>
        <v>142197.66</v>
      </c>
      <c r="AO1796" t="s">
        <v>66</v>
      </c>
      <c r="AP1796">
        <v>1</v>
      </c>
      <c r="AQ1796" t="s">
        <v>66</v>
      </c>
      <c r="AR1796">
        <v>0</v>
      </c>
      <c r="AS1796" t="s">
        <v>66</v>
      </c>
      <c r="AT1796">
        <v>0</v>
      </c>
      <c r="AU1796" t="s">
        <v>66</v>
      </c>
      <c r="AV1796">
        <v>0</v>
      </c>
      <c r="AW1796" t="s">
        <v>66</v>
      </c>
      <c r="AX1796">
        <v>0</v>
      </c>
      <c r="AY1796" t="s">
        <v>66</v>
      </c>
      <c r="AZ1796">
        <v>0</v>
      </c>
      <c r="BA1796" t="s">
        <v>66</v>
      </c>
      <c r="BB1796">
        <v>0</v>
      </c>
      <c r="BC1796">
        <v>0</v>
      </c>
      <c r="BD1796">
        <v>853185.96</v>
      </c>
      <c r="BE1796">
        <v>115445.32</v>
      </c>
      <c r="BF1796">
        <v>0</v>
      </c>
      <c r="BG1796" t="s">
        <v>87</v>
      </c>
      <c r="BH1796" t="s">
        <v>66</v>
      </c>
      <c r="BI1796">
        <v>0</v>
      </c>
      <c r="BJ1796" t="s">
        <v>66</v>
      </c>
      <c r="BK1796" t="s">
        <v>88</v>
      </c>
      <c r="BL1796" t="s">
        <v>66</v>
      </c>
      <c r="BM1796" t="s">
        <v>159</v>
      </c>
    </row>
    <row r="1797" spans="1:65" x14ac:dyDescent="0.25">
      <c r="A1797">
        <v>1795</v>
      </c>
      <c r="B1797" t="s">
        <v>1817</v>
      </c>
      <c r="C1797" t="s">
        <v>68</v>
      </c>
      <c r="D1797" s="1">
        <v>46226</v>
      </c>
      <c r="E1797" t="s">
        <v>1818</v>
      </c>
      <c r="F1797" t="s">
        <v>68</v>
      </c>
      <c r="G1797" t="s">
        <v>69</v>
      </c>
      <c r="H1797" t="s">
        <v>70</v>
      </c>
      <c r="I1797" t="s">
        <v>71</v>
      </c>
      <c r="J1797" t="s">
        <v>72</v>
      </c>
      <c r="K1797" t="s">
        <v>73</v>
      </c>
      <c r="L1797" t="s">
        <v>74</v>
      </c>
      <c r="M1797" t="s">
        <v>1272</v>
      </c>
      <c r="N1797" t="s">
        <v>111</v>
      </c>
      <c r="O1797" t="s">
        <v>1273</v>
      </c>
      <c r="P1797" t="s">
        <v>1274</v>
      </c>
      <c r="Q1797" t="s">
        <v>1819</v>
      </c>
      <c r="R1797" s="1">
        <v>46226</v>
      </c>
      <c r="S1797" t="s">
        <v>1276</v>
      </c>
      <c r="T1797" t="s">
        <v>1277</v>
      </c>
      <c r="U1797" t="s">
        <v>1278</v>
      </c>
      <c r="V1797" t="s">
        <v>66</v>
      </c>
      <c r="W1797" t="s">
        <v>66</v>
      </c>
      <c r="X1797">
        <v>4033854</v>
      </c>
      <c r="Y1797">
        <v>443723.94</v>
      </c>
      <c r="Z1797">
        <v>1537272</v>
      </c>
      <c r="AA1797">
        <v>169099.92</v>
      </c>
      <c r="AB1797">
        <v>4477577.9400000004</v>
      </c>
      <c r="AC1797">
        <v>12</v>
      </c>
      <c r="AD1797" t="s">
        <v>82</v>
      </c>
      <c r="AE1797">
        <v>12</v>
      </c>
      <c r="AF1797" t="s">
        <v>522</v>
      </c>
      <c r="AG1797">
        <f>IFERROR(VLOOKUP(AF1797,[1]STOK!J:O,6,0),"")</f>
        <v>4</v>
      </c>
      <c r="AH1797" s="2">
        <f t="shared" si="56"/>
        <v>3</v>
      </c>
      <c r="AI1797" t="s">
        <v>522</v>
      </c>
      <c r="AJ1797" t="s">
        <v>523</v>
      </c>
      <c r="AK1797" t="s">
        <v>524</v>
      </c>
      <c r="AL1797" t="s">
        <v>86</v>
      </c>
      <c r="AM1797">
        <v>143634</v>
      </c>
      <c r="AN1797">
        <f t="shared" si="57"/>
        <v>142197.66</v>
      </c>
      <c r="AO1797" t="s">
        <v>66</v>
      </c>
      <c r="AP1797">
        <v>1</v>
      </c>
      <c r="AQ1797" t="s">
        <v>66</v>
      </c>
      <c r="AR1797">
        <v>0</v>
      </c>
      <c r="AS1797" t="s">
        <v>66</v>
      </c>
      <c r="AT1797">
        <v>0</v>
      </c>
      <c r="AU1797" t="s">
        <v>66</v>
      </c>
      <c r="AV1797">
        <v>0</v>
      </c>
      <c r="AW1797" t="s">
        <v>66</v>
      </c>
      <c r="AX1797">
        <v>0</v>
      </c>
      <c r="AY1797" t="s">
        <v>66</v>
      </c>
      <c r="AZ1797">
        <v>0</v>
      </c>
      <c r="BA1797" t="s">
        <v>66</v>
      </c>
      <c r="BB1797">
        <v>0</v>
      </c>
      <c r="BC1797">
        <v>0</v>
      </c>
      <c r="BD1797">
        <v>1706371.92</v>
      </c>
      <c r="BE1797">
        <v>115200.59</v>
      </c>
      <c r="BF1797">
        <v>0</v>
      </c>
      <c r="BG1797" t="s">
        <v>87</v>
      </c>
      <c r="BH1797" t="s">
        <v>66</v>
      </c>
      <c r="BI1797">
        <v>0</v>
      </c>
      <c r="BJ1797" t="s">
        <v>66</v>
      </c>
      <c r="BK1797" t="s">
        <v>88</v>
      </c>
      <c r="BL1797" t="s">
        <v>66</v>
      </c>
      <c r="BM1797" t="s">
        <v>159</v>
      </c>
    </row>
    <row r="1798" spans="1:65" x14ac:dyDescent="0.25">
      <c r="A1798">
        <v>1796</v>
      </c>
      <c r="B1798" t="s">
        <v>1817</v>
      </c>
      <c r="C1798" t="s">
        <v>68</v>
      </c>
      <c r="D1798" s="1">
        <v>46226</v>
      </c>
      <c r="E1798" t="s">
        <v>1818</v>
      </c>
      <c r="F1798" t="s">
        <v>68</v>
      </c>
      <c r="G1798" t="s">
        <v>69</v>
      </c>
      <c r="H1798" t="s">
        <v>70</v>
      </c>
      <c r="I1798" t="s">
        <v>71</v>
      </c>
      <c r="J1798" t="s">
        <v>72</v>
      </c>
      <c r="K1798" t="s">
        <v>73</v>
      </c>
      <c r="L1798" t="s">
        <v>74</v>
      </c>
      <c r="M1798" t="s">
        <v>1272</v>
      </c>
      <c r="N1798" t="s">
        <v>111</v>
      </c>
      <c r="O1798" t="s">
        <v>1273</v>
      </c>
      <c r="P1798" t="s">
        <v>1274</v>
      </c>
      <c r="Q1798" t="s">
        <v>1819</v>
      </c>
      <c r="R1798" s="1">
        <v>46226</v>
      </c>
      <c r="S1798" t="s">
        <v>1276</v>
      </c>
      <c r="T1798" t="s">
        <v>1277</v>
      </c>
      <c r="U1798" t="s">
        <v>1278</v>
      </c>
      <c r="V1798" t="s">
        <v>66</v>
      </c>
      <c r="W1798" t="s">
        <v>66</v>
      </c>
      <c r="X1798">
        <v>4033854</v>
      </c>
      <c r="Y1798">
        <v>443723.94</v>
      </c>
      <c r="Z1798">
        <v>230472</v>
      </c>
      <c r="AA1798">
        <v>25351.919999999998</v>
      </c>
      <c r="AB1798">
        <v>4477577.9400000004</v>
      </c>
      <c r="AC1798">
        <v>12</v>
      </c>
      <c r="AD1798" t="s">
        <v>82</v>
      </c>
      <c r="AE1798">
        <v>12</v>
      </c>
      <c r="AF1798" t="s">
        <v>470</v>
      </c>
      <c r="AG1798">
        <f>IFERROR(VLOOKUP(AF1798,[1]STOK!J:O,6,0),"")</f>
        <v>24</v>
      </c>
      <c r="AH1798" s="2">
        <f t="shared" si="56"/>
        <v>0.5</v>
      </c>
      <c r="AI1798" t="s">
        <v>470</v>
      </c>
      <c r="AJ1798" t="s">
        <v>471</v>
      </c>
      <c r="AK1798" t="s">
        <v>472</v>
      </c>
      <c r="AL1798" t="s">
        <v>86</v>
      </c>
      <c r="AM1798">
        <v>21534</v>
      </c>
      <c r="AN1798">
        <f t="shared" si="57"/>
        <v>21318.66</v>
      </c>
      <c r="AO1798" t="s">
        <v>66</v>
      </c>
      <c r="AP1798">
        <v>1</v>
      </c>
      <c r="AQ1798" t="s">
        <v>66</v>
      </c>
      <c r="AR1798">
        <v>0</v>
      </c>
      <c r="AS1798" t="s">
        <v>66</v>
      </c>
      <c r="AT1798">
        <v>0</v>
      </c>
      <c r="AU1798" t="s">
        <v>66</v>
      </c>
      <c r="AV1798">
        <v>0</v>
      </c>
      <c r="AW1798" t="s">
        <v>66</v>
      </c>
      <c r="AX1798">
        <v>0</v>
      </c>
      <c r="AY1798" t="s">
        <v>66</v>
      </c>
      <c r="AZ1798">
        <v>0</v>
      </c>
      <c r="BA1798" t="s">
        <v>66</v>
      </c>
      <c r="BB1798">
        <v>0</v>
      </c>
      <c r="BC1798">
        <v>0</v>
      </c>
      <c r="BD1798">
        <v>255823.92</v>
      </c>
      <c r="BE1798">
        <v>17512.650000000001</v>
      </c>
      <c r="BF1798">
        <v>0</v>
      </c>
      <c r="BG1798" t="s">
        <v>87</v>
      </c>
      <c r="BH1798" t="s">
        <v>66</v>
      </c>
      <c r="BI1798">
        <v>0</v>
      </c>
      <c r="BJ1798" t="s">
        <v>66</v>
      </c>
      <c r="BK1798" t="s">
        <v>88</v>
      </c>
      <c r="BL1798" t="s">
        <v>66</v>
      </c>
      <c r="BM1798" t="s">
        <v>159</v>
      </c>
    </row>
    <row r="1799" spans="1:65" x14ac:dyDescent="0.25">
      <c r="A1799">
        <v>1797</v>
      </c>
      <c r="B1799" t="s">
        <v>1817</v>
      </c>
      <c r="C1799" t="s">
        <v>68</v>
      </c>
      <c r="D1799" s="1">
        <v>46226</v>
      </c>
      <c r="E1799" t="s">
        <v>1818</v>
      </c>
      <c r="F1799" t="s">
        <v>68</v>
      </c>
      <c r="G1799" t="s">
        <v>69</v>
      </c>
      <c r="H1799" t="s">
        <v>70</v>
      </c>
      <c r="I1799" t="s">
        <v>71</v>
      </c>
      <c r="J1799" t="s">
        <v>72</v>
      </c>
      <c r="K1799" t="s">
        <v>73</v>
      </c>
      <c r="L1799" t="s">
        <v>74</v>
      </c>
      <c r="M1799" t="s">
        <v>1272</v>
      </c>
      <c r="N1799" t="s">
        <v>111</v>
      </c>
      <c r="O1799" t="s">
        <v>1273</v>
      </c>
      <c r="P1799" t="s">
        <v>1274</v>
      </c>
      <c r="Q1799" t="s">
        <v>1819</v>
      </c>
      <c r="R1799" s="1">
        <v>46226</v>
      </c>
      <c r="S1799" t="s">
        <v>1276</v>
      </c>
      <c r="T1799" t="s">
        <v>1277</v>
      </c>
      <c r="U1799" t="s">
        <v>1278</v>
      </c>
      <c r="V1799" t="s">
        <v>66</v>
      </c>
      <c r="W1799" t="s">
        <v>66</v>
      </c>
      <c r="X1799">
        <v>4033854</v>
      </c>
      <c r="Y1799">
        <v>443723.94</v>
      </c>
      <c r="Z1799">
        <v>115236</v>
      </c>
      <c r="AA1799">
        <v>12675.96</v>
      </c>
      <c r="AB1799">
        <v>4477577.9400000004</v>
      </c>
      <c r="AC1799">
        <v>6</v>
      </c>
      <c r="AD1799" t="s">
        <v>82</v>
      </c>
      <c r="AE1799">
        <v>6</v>
      </c>
      <c r="AF1799" t="s">
        <v>284</v>
      </c>
      <c r="AG1799">
        <f>IFERROR(VLOOKUP(AF1799,[1]STOK!J:O,6,0),"")</f>
        <v>12</v>
      </c>
      <c r="AH1799" s="2">
        <f t="shared" si="56"/>
        <v>0.5</v>
      </c>
      <c r="AI1799" t="s">
        <v>284</v>
      </c>
      <c r="AJ1799" t="s">
        <v>285</v>
      </c>
      <c r="AK1799" t="s">
        <v>286</v>
      </c>
      <c r="AL1799" t="s">
        <v>86</v>
      </c>
      <c r="AM1799">
        <v>21534</v>
      </c>
      <c r="AN1799">
        <f t="shared" si="57"/>
        <v>21318.66</v>
      </c>
      <c r="AO1799" t="s">
        <v>66</v>
      </c>
      <c r="AP1799">
        <v>1</v>
      </c>
      <c r="AQ1799" t="s">
        <v>66</v>
      </c>
      <c r="AR1799">
        <v>0</v>
      </c>
      <c r="AS1799" t="s">
        <v>66</v>
      </c>
      <c r="AT1799">
        <v>0</v>
      </c>
      <c r="AU1799" t="s">
        <v>66</v>
      </c>
      <c r="AV1799">
        <v>0</v>
      </c>
      <c r="AW1799" t="s">
        <v>66</v>
      </c>
      <c r="AX1799">
        <v>0</v>
      </c>
      <c r="AY1799" t="s">
        <v>66</v>
      </c>
      <c r="AZ1799">
        <v>0</v>
      </c>
      <c r="BA1799" t="s">
        <v>66</v>
      </c>
      <c r="BB1799">
        <v>0</v>
      </c>
      <c r="BC1799">
        <v>0</v>
      </c>
      <c r="BD1799">
        <v>127911.96</v>
      </c>
      <c r="BE1799">
        <v>17519.32</v>
      </c>
      <c r="BF1799">
        <v>0</v>
      </c>
      <c r="BG1799" t="s">
        <v>87</v>
      </c>
      <c r="BH1799" t="s">
        <v>66</v>
      </c>
      <c r="BI1799">
        <v>0</v>
      </c>
      <c r="BJ1799" t="s">
        <v>66</v>
      </c>
      <c r="BK1799" t="s">
        <v>88</v>
      </c>
      <c r="BL1799" t="s">
        <v>66</v>
      </c>
      <c r="BM1799" t="s">
        <v>159</v>
      </c>
    </row>
    <row r="1800" spans="1:65" x14ac:dyDescent="0.25">
      <c r="A1800">
        <v>1798</v>
      </c>
      <c r="B1800" t="s">
        <v>1817</v>
      </c>
      <c r="C1800" t="s">
        <v>68</v>
      </c>
      <c r="D1800" s="1">
        <v>46226</v>
      </c>
      <c r="E1800" t="s">
        <v>1818</v>
      </c>
      <c r="F1800" t="s">
        <v>68</v>
      </c>
      <c r="G1800" t="s">
        <v>69</v>
      </c>
      <c r="H1800" t="s">
        <v>70</v>
      </c>
      <c r="I1800" t="s">
        <v>71</v>
      </c>
      <c r="J1800" t="s">
        <v>72</v>
      </c>
      <c r="K1800" t="s">
        <v>73</v>
      </c>
      <c r="L1800" t="s">
        <v>74</v>
      </c>
      <c r="M1800" t="s">
        <v>1272</v>
      </c>
      <c r="N1800" t="s">
        <v>111</v>
      </c>
      <c r="O1800" t="s">
        <v>1273</v>
      </c>
      <c r="P1800" t="s">
        <v>1274</v>
      </c>
      <c r="Q1800" t="s">
        <v>1819</v>
      </c>
      <c r="R1800" s="1">
        <v>46226</v>
      </c>
      <c r="S1800" t="s">
        <v>1276</v>
      </c>
      <c r="T1800" t="s">
        <v>1277</v>
      </c>
      <c r="U1800" t="s">
        <v>1278</v>
      </c>
      <c r="V1800" t="s">
        <v>66</v>
      </c>
      <c r="W1800" t="s">
        <v>66</v>
      </c>
      <c r="X1800">
        <v>4033854</v>
      </c>
      <c r="Y1800">
        <v>443723.94</v>
      </c>
      <c r="Z1800">
        <v>115236</v>
      </c>
      <c r="AA1800">
        <v>12675.96</v>
      </c>
      <c r="AB1800">
        <v>4477577.9400000004</v>
      </c>
      <c r="AC1800">
        <v>6</v>
      </c>
      <c r="AD1800" t="s">
        <v>82</v>
      </c>
      <c r="AE1800">
        <v>6</v>
      </c>
      <c r="AF1800" t="s">
        <v>287</v>
      </c>
      <c r="AG1800">
        <f>IFERROR(VLOOKUP(AF1800,[1]STOK!J:O,6,0),"")</f>
        <v>12</v>
      </c>
      <c r="AH1800" s="2">
        <f t="shared" si="56"/>
        <v>0.5</v>
      </c>
      <c r="AI1800" t="s">
        <v>287</v>
      </c>
      <c r="AJ1800" t="s">
        <v>288</v>
      </c>
      <c r="AK1800" t="s">
        <v>289</v>
      </c>
      <c r="AL1800" t="s">
        <v>86</v>
      </c>
      <c r="AM1800">
        <v>21534</v>
      </c>
      <c r="AN1800">
        <f t="shared" si="57"/>
        <v>21318.66</v>
      </c>
      <c r="AO1800" t="s">
        <v>66</v>
      </c>
      <c r="AP1800">
        <v>1</v>
      </c>
      <c r="AQ1800" t="s">
        <v>66</v>
      </c>
      <c r="AR1800">
        <v>0</v>
      </c>
      <c r="AS1800" t="s">
        <v>66</v>
      </c>
      <c r="AT1800">
        <v>0</v>
      </c>
      <c r="AU1800" t="s">
        <v>66</v>
      </c>
      <c r="AV1800">
        <v>0</v>
      </c>
      <c r="AW1800" t="s">
        <v>66</v>
      </c>
      <c r="AX1800">
        <v>0</v>
      </c>
      <c r="AY1800" t="s">
        <v>66</v>
      </c>
      <c r="AZ1800">
        <v>0</v>
      </c>
      <c r="BA1800" t="s">
        <v>66</v>
      </c>
      <c r="BB1800">
        <v>0</v>
      </c>
      <c r="BC1800">
        <v>0</v>
      </c>
      <c r="BD1800">
        <v>127911.96</v>
      </c>
      <c r="BE1800">
        <v>17472.2</v>
      </c>
      <c r="BF1800">
        <v>0</v>
      </c>
      <c r="BG1800" t="s">
        <v>87</v>
      </c>
      <c r="BH1800" t="s">
        <v>66</v>
      </c>
      <c r="BI1800">
        <v>0</v>
      </c>
      <c r="BJ1800" t="s">
        <v>66</v>
      </c>
      <c r="BK1800" t="s">
        <v>88</v>
      </c>
      <c r="BL1800" t="s">
        <v>66</v>
      </c>
      <c r="BM1800" t="s">
        <v>159</v>
      </c>
    </row>
    <row r="1801" spans="1:65" x14ac:dyDescent="0.25">
      <c r="A1801">
        <v>1799</v>
      </c>
      <c r="B1801" t="s">
        <v>1817</v>
      </c>
      <c r="C1801" t="s">
        <v>68</v>
      </c>
      <c r="D1801" s="1">
        <v>46226</v>
      </c>
      <c r="E1801" t="s">
        <v>1818</v>
      </c>
      <c r="F1801" t="s">
        <v>68</v>
      </c>
      <c r="G1801" t="s">
        <v>69</v>
      </c>
      <c r="H1801" t="s">
        <v>70</v>
      </c>
      <c r="I1801" t="s">
        <v>71</v>
      </c>
      <c r="J1801" t="s">
        <v>72</v>
      </c>
      <c r="K1801" t="s">
        <v>73</v>
      </c>
      <c r="L1801" t="s">
        <v>74</v>
      </c>
      <c r="M1801" t="s">
        <v>1272</v>
      </c>
      <c r="N1801" t="s">
        <v>111</v>
      </c>
      <c r="O1801" t="s">
        <v>1273</v>
      </c>
      <c r="P1801" t="s">
        <v>1274</v>
      </c>
      <c r="Q1801" t="s">
        <v>1819</v>
      </c>
      <c r="R1801" s="1">
        <v>46226</v>
      </c>
      <c r="S1801" t="s">
        <v>1276</v>
      </c>
      <c r="T1801" t="s">
        <v>1277</v>
      </c>
      <c r="U1801" t="s">
        <v>1278</v>
      </c>
      <c r="V1801" t="s">
        <v>66</v>
      </c>
      <c r="W1801" t="s">
        <v>66</v>
      </c>
      <c r="X1801">
        <v>4033854</v>
      </c>
      <c r="Y1801">
        <v>443723.94</v>
      </c>
      <c r="Z1801">
        <v>63558</v>
      </c>
      <c r="AA1801">
        <v>6991.38</v>
      </c>
      <c r="AB1801">
        <v>4477577.9400000004</v>
      </c>
      <c r="AC1801">
        <v>6</v>
      </c>
      <c r="AD1801" t="s">
        <v>82</v>
      </c>
      <c r="AE1801">
        <v>6</v>
      </c>
      <c r="AF1801" t="s">
        <v>578</v>
      </c>
      <c r="AG1801">
        <f>IFERROR(VLOOKUP(AF1801,[1]STOK!J:O,6,0),"")</f>
        <v>12</v>
      </c>
      <c r="AH1801" s="2">
        <f t="shared" si="56"/>
        <v>0.5</v>
      </c>
      <c r="AI1801" t="s">
        <v>578</v>
      </c>
      <c r="AJ1801" t="s">
        <v>579</v>
      </c>
      <c r="AK1801" t="s">
        <v>580</v>
      </c>
      <c r="AL1801" t="s">
        <v>86</v>
      </c>
      <c r="AM1801">
        <v>11877</v>
      </c>
      <c r="AN1801">
        <f t="shared" si="57"/>
        <v>11758.230000000001</v>
      </c>
      <c r="AO1801" t="s">
        <v>66</v>
      </c>
      <c r="AP1801">
        <v>1</v>
      </c>
      <c r="AQ1801" t="s">
        <v>66</v>
      </c>
      <c r="AR1801">
        <v>0</v>
      </c>
      <c r="AS1801" t="s">
        <v>66</v>
      </c>
      <c r="AT1801">
        <v>0</v>
      </c>
      <c r="AU1801" t="s">
        <v>66</v>
      </c>
      <c r="AV1801">
        <v>0</v>
      </c>
      <c r="AW1801" t="s">
        <v>66</v>
      </c>
      <c r="AX1801">
        <v>0</v>
      </c>
      <c r="AY1801" t="s">
        <v>66</v>
      </c>
      <c r="AZ1801">
        <v>0</v>
      </c>
      <c r="BA1801" t="s">
        <v>66</v>
      </c>
      <c r="BB1801">
        <v>0</v>
      </c>
      <c r="BC1801">
        <v>0</v>
      </c>
      <c r="BD1801">
        <v>70549.38</v>
      </c>
      <c r="BE1801">
        <v>9532.17</v>
      </c>
      <c r="BF1801">
        <v>0</v>
      </c>
      <c r="BG1801" t="s">
        <v>87</v>
      </c>
      <c r="BH1801" t="s">
        <v>66</v>
      </c>
      <c r="BI1801">
        <v>0</v>
      </c>
      <c r="BJ1801" t="s">
        <v>66</v>
      </c>
      <c r="BK1801" t="s">
        <v>88</v>
      </c>
      <c r="BL1801" t="s">
        <v>66</v>
      </c>
      <c r="BM1801" t="s">
        <v>159</v>
      </c>
    </row>
    <row r="1802" spans="1:65" x14ac:dyDescent="0.25">
      <c r="A1802">
        <v>1800</v>
      </c>
      <c r="B1802" t="s">
        <v>1817</v>
      </c>
      <c r="C1802" t="s">
        <v>68</v>
      </c>
      <c r="D1802" s="1">
        <v>46226</v>
      </c>
      <c r="E1802" t="s">
        <v>1818</v>
      </c>
      <c r="F1802" t="s">
        <v>68</v>
      </c>
      <c r="G1802" t="s">
        <v>69</v>
      </c>
      <c r="H1802" t="s">
        <v>70</v>
      </c>
      <c r="I1802" t="s">
        <v>71</v>
      </c>
      <c r="J1802" t="s">
        <v>72</v>
      </c>
      <c r="K1802" t="s">
        <v>73</v>
      </c>
      <c r="L1802" t="s">
        <v>74</v>
      </c>
      <c r="M1802" t="s">
        <v>1272</v>
      </c>
      <c r="N1802" t="s">
        <v>111</v>
      </c>
      <c r="O1802" t="s">
        <v>1273</v>
      </c>
      <c r="P1802" t="s">
        <v>1274</v>
      </c>
      <c r="Q1802" t="s">
        <v>1819</v>
      </c>
      <c r="R1802" s="1">
        <v>46226</v>
      </c>
      <c r="S1802" t="s">
        <v>1276</v>
      </c>
      <c r="T1802" t="s">
        <v>1277</v>
      </c>
      <c r="U1802" t="s">
        <v>1278</v>
      </c>
      <c r="V1802" t="s">
        <v>66</v>
      </c>
      <c r="W1802" t="s">
        <v>66</v>
      </c>
      <c r="X1802">
        <v>4033854</v>
      </c>
      <c r="Y1802">
        <v>443723.94</v>
      </c>
      <c r="Z1802">
        <v>63558</v>
      </c>
      <c r="AA1802">
        <v>6991.38</v>
      </c>
      <c r="AB1802">
        <v>4477577.9400000004</v>
      </c>
      <c r="AC1802">
        <v>6</v>
      </c>
      <c r="AD1802" t="s">
        <v>82</v>
      </c>
      <c r="AE1802">
        <v>6</v>
      </c>
      <c r="AF1802" t="s">
        <v>421</v>
      </c>
      <c r="AG1802">
        <f>IFERROR(VLOOKUP(AF1802,[1]STOK!J:O,6,0),"")</f>
        <v>12</v>
      </c>
      <c r="AH1802" s="2">
        <f t="shared" si="56"/>
        <v>0.5</v>
      </c>
      <c r="AI1802" t="s">
        <v>421</v>
      </c>
      <c r="AJ1802" t="s">
        <v>422</v>
      </c>
      <c r="AK1802" t="s">
        <v>423</v>
      </c>
      <c r="AL1802" t="s">
        <v>86</v>
      </c>
      <c r="AM1802">
        <v>11877</v>
      </c>
      <c r="AN1802">
        <f t="shared" si="57"/>
        <v>11758.230000000001</v>
      </c>
      <c r="AO1802" t="s">
        <v>66</v>
      </c>
      <c r="AP1802">
        <v>1</v>
      </c>
      <c r="AQ1802" t="s">
        <v>66</v>
      </c>
      <c r="AR1802">
        <v>0</v>
      </c>
      <c r="AS1802" t="s">
        <v>66</v>
      </c>
      <c r="AT1802">
        <v>0</v>
      </c>
      <c r="AU1802" t="s">
        <v>66</v>
      </c>
      <c r="AV1802">
        <v>0</v>
      </c>
      <c r="AW1802" t="s">
        <v>66</v>
      </c>
      <c r="AX1802">
        <v>0</v>
      </c>
      <c r="AY1802" t="s">
        <v>66</v>
      </c>
      <c r="AZ1802">
        <v>0</v>
      </c>
      <c r="BA1802" t="s">
        <v>66</v>
      </c>
      <c r="BB1802">
        <v>0</v>
      </c>
      <c r="BC1802">
        <v>0</v>
      </c>
      <c r="BD1802">
        <v>70549.38</v>
      </c>
      <c r="BE1802">
        <v>9166.24</v>
      </c>
      <c r="BF1802">
        <v>0</v>
      </c>
      <c r="BG1802" t="s">
        <v>87</v>
      </c>
      <c r="BH1802" t="s">
        <v>66</v>
      </c>
      <c r="BI1802">
        <v>0</v>
      </c>
      <c r="BJ1802" t="s">
        <v>66</v>
      </c>
      <c r="BK1802" t="s">
        <v>88</v>
      </c>
      <c r="BL1802" t="s">
        <v>66</v>
      </c>
      <c r="BM1802" t="s">
        <v>159</v>
      </c>
    </row>
    <row r="1803" spans="1:65" x14ac:dyDescent="0.25">
      <c r="A1803">
        <v>1801</v>
      </c>
      <c r="B1803" t="s">
        <v>1817</v>
      </c>
      <c r="C1803" t="s">
        <v>68</v>
      </c>
      <c r="D1803" s="1">
        <v>46226</v>
      </c>
      <c r="E1803" t="s">
        <v>1818</v>
      </c>
      <c r="F1803" t="s">
        <v>68</v>
      </c>
      <c r="G1803" t="s">
        <v>69</v>
      </c>
      <c r="H1803" t="s">
        <v>70</v>
      </c>
      <c r="I1803" t="s">
        <v>71</v>
      </c>
      <c r="J1803" t="s">
        <v>72</v>
      </c>
      <c r="K1803" t="s">
        <v>73</v>
      </c>
      <c r="L1803" t="s">
        <v>74</v>
      </c>
      <c r="M1803" t="s">
        <v>1272</v>
      </c>
      <c r="N1803" t="s">
        <v>111</v>
      </c>
      <c r="O1803" t="s">
        <v>1273</v>
      </c>
      <c r="P1803" t="s">
        <v>1274</v>
      </c>
      <c r="Q1803" t="s">
        <v>1819</v>
      </c>
      <c r="R1803" s="1">
        <v>46226</v>
      </c>
      <c r="S1803" t="s">
        <v>1276</v>
      </c>
      <c r="T1803" t="s">
        <v>1277</v>
      </c>
      <c r="U1803" t="s">
        <v>1278</v>
      </c>
      <c r="V1803" t="s">
        <v>66</v>
      </c>
      <c r="W1803" t="s">
        <v>66</v>
      </c>
      <c r="X1803">
        <v>4033854</v>
      </c>
      <c r="Y1803">
        <v>443723.94</v>
      </c>
      <c r="Z1803">
        <v>455004</v>
      </c>
      <c r="AA1803">
        <v>50050.44</v>
      </c>
      <c r="AB1803">
        <v>4477577.9400000004</v>
      </c>
      <c r="AC1803">
        <v>12</v>
      </c>
      <c r="AD1803" t="s">
        <v>82</v>
      </c>
      <c r="AE1803">
        <v>12</v>
      </c>
      <c r="AF1803" t="s">
        <v>138</v>
      </c>
      <c r="AG1803">
        <f>IFERROR(VLOOKUP(AF1803,[1]STOK!J:O,6,0),"")</f>
        <v>6</v>
      </c>
      <c r="AH1803" s="2">
        <f t="shared" si="56"/>
        <v>2</v>
      </c>
      <c r="AI1803" t="s">
        <v>138</v>
      </c>
      <c r="AJ1803" t="s">
        <v>139</v>
      </c>
      <c r="AK1803" t="s">
        <v>140</v>
      </c>
      <c r="AL1803" t="s">
        <v>86</v>
      </c>
      <c r="AM1803">
        <v>42513</v>
      </c>
      <c r="AN1803">
        <f t="shared" si="57"/>
        <v>42087.87</v>
      </c>
      <c r="AO1803" t="s">
        <v>66</v>
      </c>
      <c r="AP1803">
        <v>1</v>
      </c>
      <c r="AQ1803" t="s">
        <v>66</v>
      </c>
      <c r="AR1803">
        <v>0</v>
      </c>
      <c r="AS1803" t="s">
        <v>66</v>
      </c>
      <c r="AT1803">
        <v>0</v>
      </c>
      <c r="AU1803" t="s">
        <v>66</v>
      </c>
      <c r="AV1803">
        <v>0</v>
      </c>
      <c r="AW1803" t="s">
        <v>66</v>
      </c>
      <c r="AX1803">
        <v>0</v>
      </c>
      <c r="AY1803" t="s">
        <v>66</v>
      </c>
      <c r="AZ1803">
        <v>0</v>
      </c>
      <c r="BA1803" t="s">
        <v>66</v>
      </c>
      <c r="BB1803">
        <v>0</v>
      </c>
      <c r="BC1803">
        <v>0</v>
      </c>
      <c r="BD1803">
        <v>505054.44</v>
      </c>
      <c r="BE1803">
        <v>34654.5</v>
      </c>
      <c r="BF1803">
        <v>0</v>
      </c>
      <c r="BG1803" t="s">
        <v>87</v>
      </c>
      <c r="BH1803" t="s">
        <v>66</v>
      </c>
      <c r="BI1803">
        <v>0</v>
      </c>
      <c r="BJ1803" t="s">
        <v>66</v>
      </c>
      <c r="BK1803" t="s">
        <v>88</v>
      </c>
      <c r="BL1803" t="s">
        <v>66</v>
      </c>
      <c r="BM1803" t="s">
        <v>159</v>
      </c>
    </row>
    <row r="1804" spans="1:65" x14ac:dyDescent="0.25">
      <c r="A1804">
        <v>1802</v>
      </c>
      <c r="B1804" t="s">
        <v>1817</v>
      </c>
      <c r="C1804" t="s">
        <v>68</v>
      </c>
      <c r="D1804" s="1">
        <v>46226</v>
      </c>
      <c r="E1804" t="s">
        <v>1818</v>
      </c>
      <c r="F1804" t="s">
        <v>68</v>
      </c>
      <c r="G1804" t="s">
        <v>69</v>
      </c>
      <c r="H1804" t="s">
        <v>70</v>
      </c>
      <c r="I1804" t="s">
        <v>71</v>
      </c>
      <c r="J1804" t="s">
        <v>72</v>
      </c>
      <c r="K1804" t="s">
        <v>73</v>
      </c>
      <c r="L1804" t="s">
        <v>74</v>
      </c>
      <c r="M1804" t="s">
        <v>1272</v>
      </c>
      <c r="N1804" t="s">
        <v>111</v>
      </c>
      <c r="O1804" t="s">
        <v>1273</v>
      </c>
      <c r="P1804" t="s">
        <v>1274</v>
      </c>
      <c r="Q1804" t="s">
        <v>1819</v>
      </c>
      <c r="R1804" s="1">
        <v>46226</v>
      </c>
      <c r="S1804" t="s">
        <v>1276</v>
      </c>
      <c r="T1804" t="s">
        <v>1277</v>
      </c>
      <c r="U1804" t="s">
        <v>1278</v>
      </c>
      <c r="V1804" t="s">
        <v>66</v>
      </c>
      <c r="W1804" t="s">
        <v>66</v>
      </c>
      <c r="X1804">
        <v>4033854</v>
      </c>
      <c r="Y1804">
        <v>443723.94</v>
      </c>
      <c r="Z1804">
        <v>85536</v>
      </c>
      <c r="AA1804">
        <v>9408.9599999999991</v>
      </c>
      <c r="AB1804">
        <v>4477577.9400000004</v>
      </c>
      <c r="AC1804">
        <v>6</v>
      </c>
      <c r="AD1804" t="s">
        <v>82</v>
      </c>
      <c r="AE1804">
        <v>6</v>
      </c>
      <c r="AF1804" t="s">
        <v>141</v>
      </c>
      <c r="AG1804">
        <f>IFERROR(VLOOKUP(AF1804,[1]STOK!J:O,6,0),"")</f>
        <v>12</v>
      </c>
      <c r="AH1804" s="2">
        <f t="shared" si="56"/>
        <v>0.5</v>
      </c>
      <c r="AI1804" t="s">
        <v>141</v>
      </c>
      <c r="AJ1804" t="s">
        <v>142</v>
      </c>
      <c r="AK1804" t="s">
        <v>143</v>
      </c>
      <c r="AL1804" t="s">
        <v>86</v>
      </c>
      <c r="AM1804">
        <v>15984</v>
      </c>
      <c r="AN1804">
        <f t="shared" si="57"/>
        <v>15824.160000000002</v>
      </c>
      <c r="AO1804" t="s">
        <v>66</v>
      </c>
      <c r="AP1804">
        <v>1</v>
      </c>
      <c r="AQ1804" t="s">
        <v>66</v>
      </c>
      <c r="AR1804">
        <v>0</v>
      </c>
      <c r="AS1804" t="s">
        <v>66</v>
      </c>
      <c r="AT1804">
        <v>0</v>
      </c>
      <c r="AU1804" t="s">
        <v>66</v>
      </c>
      <c r="AV1804">
        <v>0</v>
      </c>
      <c r="AW1804" t="s">
        <v>66</v>
      </c>
      <c r="AX1804">
        <v>0</v>
      </c>
      <c r="AY1804" t="s">
        <v>66</v>
      </c>
      <c r="AZ1804">
        <v>0</v>
      </c>
      <c r="BA1804" t="s">
        <v>66</v>
      </c>
      <c r="BB1804">
        <v>0</v>
      </c>
      <c r="BC1804">
        <v>0</v>
      </c>
      <c r="BD1804">
        <v>94944.960000000006</v>
      </c>
      <c r="BE1804">
        <v>13019.17</v>
      </c>
      <c r="BF1804">
        <v>0</v>
      </c>
      <c r="BG1804" t="s">
        <v>87</v>
      </c>
      <c r="BH1804" t="s">
        <v>66</v>
      </c>
      <c r="BI1804">
        <v>0</v>
      </c>
      <c r="BJ1804" t="s">
        <v>66</v>
      </c>
      <c r="BK1804" t="s">
        <v>88</v>
      </c>
      <c r="BL1804" t="s">
        <v>66</v>
      </c>
      <c r="BM1804" t="s">
        <v>159</v>
      </c>
    </row>
    <row r="1805" spans="1:65" x14ac:dyDescent="0.25">
      <c r="A1805">
        <v>1803</v>
      </c>
      <c r="B1805" t="s">
        <v>1817</v>
      </c>
      <c r="C1805" t="s">
        <v>68</v>
      </c>
      <c r="D1805" s="1">
        <v>46226</v>
      </c>
      <c r="E1805" t="s">
        <v>1818</v>
      </c>
      <c r="F1805" t="s">
        <v>68</v>
      </c>
      <c r="G1805" t="s">
        <v>69</v>
      </c>
      <c r="H1805" t="s">
        <v>70</v>
      </c>
      <c r="I1805" t="s">
        <v>71</v>
      </c>
      <c r="J1805" t="s">
        <v>72</v>
      </c>
      <c r="K1805" t="s">
        <v>73</v>
      </c>
      <c r="L1805" t="s">
        <v>74</v>
      </c>
      <c r="M1805" t="s">
        <v>1272</v>
      </c>
      <c r="N1805" t="s">
        <v>111</v>
      </c>
      <c r="O1805" t="s">
        <v>1273</v>
      </c>
      <c r="P1805" t="s">
        <v>1274</v>
      </c>
      <c r="Q1805" t="s">
        <v>1819</v>
      </c>
      <c r="R1805" s="1">
        <v>46226</v>
      </c>
      <c r="S1805" t="s">
        <v>1276</v>
      </c>
      <c r="T1805" t="s">
        <v>1277</v>
      </c>
      <c r="U1805" t="s">
        <v>1278</v>
      </c>
      <c r="V1805" t="s">
        <v>66</v>
      </c>
      <c r="W1805" t="s">
        <v>66</v>
      </c>
      <c r="X1805">
        <v>4033854</v>
      </c>
      <c r="Y1805">
        <v>443723.94</v>
      </c>
      <c r="Z1805">
        <v>171072</v>
      </c>
      <c r="AA1805">
        <v>18817.919999999998</v>
      </c>
      <c r="AB1805">
        <v>4477577.9400000004</v>
      </c>
      <c r="AC1805">
        <v>12</v>
      </c>
      <c r="AD1805" t="s">
        <v>82</v>
      </c>
      <c r="AE1805">
        <v>12</v>
      </c>
      <c r="AF1805" t="s">
        <v>213</v>
      </c>
      <c r="AG1805">
        <f>IFERROR(VLOOKUP(AF1805,[1]STOK!J:O,6,0),"")</f>
        <v>12</v>
      </c>
      <c r="AH1805" s="2">
        <f t="shared" si="56"/>
        <v>1</v>
      </c>
      <c r="AI1805" t="s">
        <v>213</v>
      </c>
      <c r="AJ1805" t="s">
        <v>214</v>
      </c>
      <c r="AK1805" t="s">
        <v>215</v>
      </c>
      <c r="AL1805" t="s">
        <v>86</v>
      </c>
      <c r="AM1805">
        <v>15984</v>
      </c>
      <c r="AN1805">
        <f t="shared" si="57"/>
        <v>15824.160000000002</v>
      </c>
      <c r="AO1805" t="s">
        <v>66</v>
      </c>
      <c r="AP1805">
        <v>1</v>
      </c>
      <c r="AQ1805" t="s">
        <v>66</v>
      </c>
      <c r="AR1805">
        <v>0</v>
      </c>
      <c r="AS1805" t="s">
        <v>66</v>
      </c>
      <c r="AT1805">
        <v>0</v>
      </c>
      <c r="AU1805" t="s">
        <v>66</v>
      </c>
      <c r="AV1805">
        <v>0</v>
      </c>
      <c r="AW1805" t="s">
        <v>66</v>
      </c>
      <c r="AX1805">
        <v>0</v>
      </c>
      <c r="AY1805" t="s">
        <v>66</v>
      </c>
      <c r="AZ1805">
        <v>0</v>
      </c>
      <c r="BA1805" t="s">
        <v>66</v>
      </c>
      <c r="BB1805">
        <v>0</v>
      </c>
      <c r="BC1805">
        <v>0</v>
      </c>
      <c r="BD1805">
        <v>189889.92000000001</v>
      </c>
      <c r="BE1805">
        <v>13028.24</v>
      </c>
      <c r="BF1805">
        <v>0</v>
      </c>
      <c r="BG1805" t="s">
        <v>87</v>
      </c>
      <c r="BH1805" t="s">
        <v>66</v>
      </c>
      <c r="BI1805">
        <v>0</v>
      </c>
      <c r="BJ1805" t="s">
        <v>66</v>
      </c>
      <c r="BK1805" t="s">
        <v>88</v>
      </c>
      <c r="BL1805" t="s">
        <v>66</v>
      </c>
      <c r="BM1805" t="s">
        <v>159</v>
      </c>
    </row>
    <row r="1806" spans="1:65" x14ac:dyDescent="0.25">
      <c r="A1806">
        <v>1804</v>
      </c>
      <c r="B1806" t="s">
        <v>1823</v>
      </c>
      <c r="C1806" t="s">
        <v>68</v>
      </c>
      <c r="D1806" s="1">
        <v>46226</v>
      </c>
      <c r="E1806" t="s">
        <v>1824</v>
      </c>
      <c r="F1806" t="s">
        <v>68</v>
      </c>
      <c r="G1806" t="s">
        <v>69</v>
      </c>
      <c r="H1806" t="s">
        <v>70</v>
      </c>
      <c r="I1806" t="s">
        <v>71</v>
      </c>
      <c r="J1806" t="s">
        <v>72</v>
      </c>
      <c r="K1806" t="s">
        <v>73</v>
      </c>
      <c r="L1806" t="s">
        <v>74</v>
      </c>
      <c r="M1806" t="s">
        <v>1281</v>
      </c>
      <c r="N1806" t="s">
        <v>111</v>
      </c>
      <c r="O1806" t="s">
        <v>1282</v>
      </c>
      <c r="P1806" t="s">
        <v>1283</v>
      </c>
      <c r="Q1806" t="s">
        <v>1825</v>
      </c>
      <c r="R1806" s="1">
        <v>46227</v>
      </c>
      <c r="S1806" t="s">
        <v>1218</v>
      </c>
      <c r="T1806" t="s">
        <v>1219</v>
      </c>
      <c r="U1806" t="s">
        <v>1220</v>
      </c>
      <c r="V1806" t="s">
        <v>66</v>
      </c>
      <c r="W1806" t="s">
        <v>66</v>
      </c>
      <c r="X1806">
        <v>2227500</v>
      </c>
      <c r="Y1806">
        <v>245025</v>
      </c>
      <c r="Z1806">
        <v>109296</v>
      </c>
      <c r="AA1806">
        <v>12022.56</v>
      </c>
      <c r="AB1806">
        <v>2472525</v>
      </c>
      <c r="AC1806">
        <v>6</v>
      </c>
      <c r="AD1806" t="s">
        <v>82</v>
      </c>
      <c r="AE1806">
        <v>6</v>
      </c>
      <c r="AF1806" t="s">
        <v>720</v>
      </c>
      <c r="AG1806">
        <f>IFERROR(VLOOKUP(AF1806,[1]STOK!J:O,6,0),"")</f>
        <v>12</v>
      </c>
      <c r="AH1806" s="2">
        <f t="shared" si="56"/>
        <v>0.5</v>
      </c>
      <c r="AI1806" t="s">
        <v>720</v>
      </c>
      <c r="AJ1806" t="s">
        <v>721</v>
      </c>
      <c r="AK1806" t="s">
        <v>722</v>
      </c>
      <c r="AL1806" t="s">
        <v>86</v>
      </c>
      <c r="AM1806">
        <v>20424</v>
      </c>
      <c r="AN1806">
        <f t="shared" si="57"/>
        <v>20219.759999999998</v>
      </c>
      <c r="AO1806" t="s">
        <v>66</v>
      </c>
      <c r="AP1806">
        <v>1</v>
      </c>
      <c r="AQ1806" t="s">
        <v>66</v>
      </c>
      <c r="AR1806">
        <v>0</v>
      </c>
      <c r="AS1806" t="s">
        <v>66</v>
      </c>
      <c r="AT1806">
        <v>0</v>
      </c>
      <c r="AU1806" t="s">
        <v>66</v>
      </c>
      <c r="AV1806">
        <v>0</v>
      </c>
      <c r="AW1806" t="s">
        <v>66</v>
      </c>
      <c r="AX1806">
        <v>0</v>
      </c>
      <c r="AY1806" t="s">
        <v>66</v>
      </c>
      <c r="AZ1806">
        <v>0</v>
      </c>
      <c r="BA1806" t="s">
        <v>66</v>
      </c>
      <c r="BB1806">
        <v>0</v>
      </c>
      <c r="BC1806">
        <v>0</v>
      </c>
      <c r="BD1806">
        <v>121318.56</v>
      </c>
      <c r="BE1806">
        <v>16667.84</v>
      </c>
      <c r="BF1806">
        <v>0</v>
      </c>
      <c r="BG1806" t="s">
        <v>87</v>
      </c>
      <c r="BH1806" t="s">
        <v>66</v>
      </c>
      <c r="BI1806">
        <v>0</v>
      </c>
      <c r="BJ1806" t="s">
        <v>66</v>
      </c>
      <c r="BK1806" t="s">
        <v>88</v>
      </c>
      <c r="BL1806" t="s">
        <v>66</v>
      </c>
      <c r="BM1806" t="s">
        <v>159</v>
      </c>
    </row>
    <row r="1807" spans="1:65" x14ac:dyDescent="0.25">
      <c r="A1807">
        <v>1805</v>
      </c>
      <c r="B1807" t="s">
        <v>1823</v>
      </c>
      <c r="C1807" t="s">
        <v>68</v>
      </c>
      <c r="D1807" s="1">
        <v>46226</v>
      </c>
      <c r="E1807" t="s">
        <v>1824</v>
      </c>
      <c r="F1807" t="s">
        <v>68</v>
      </c>
      <c r="G1807" t="s">
        <v>69</v>
      </c>
      <c r="H1807" t="s">
        <v>70</v>
      </c>
      <c r="I1807" t="s">
        <v>71</v>
      </c>
      <c r="J1807" t="s">
        <v>72</v>
      </c>
      <c r="K1807" t="s">
        <v>73</v>
      </c>
      <c r="L1807" t="s">
        <v>74</v>
      </c>
      <c r="M1807" t="s">
        <v>1281</v>
      </c>
      <c r="N1807" t="s">
        <v>111</v>
      </c>
      <c r="O1807" t="s">
        <v>1282</v>
      </c>
      <c r="P1807" t="s">
        <v>1283</v>
      </c>
      <c r="Q1807" t="s">
        <v>1825</v>
      </c>
      <c r="R1807" s="1">
        <v>46227</v>
      </c>
      <c r="S1807" t="s">
        <v>1218</v>
      </c>
      <c r="T1807" t="s">
        <v>1219</v>
      </c>
      <c r="U1807" t="s">
        <v>1220</v>
      </c>
      <c r="V1807" t="s">
        <v>66</v>
      </c>
      <c r="W1807" t="s">
        <v>66</v>
      </c>
      <c r="X1807">
        <v>2227500</v>
      </c>
      <c r="Y1807">
        <v>245025</v>
      </c>
      <c r="Z1807">
        <v>119988</v>
      </c>
      <c r="AA1807">
        <v>13198.68</v>
      </c>
      <c r="AB1807">
        <v>2472525</v>
      </c>
      <c r="AC1807">
        <v>6</v>
      </c>
      <c r="AD1807" t="s">
        <v>82</v>
      </c>
      <c r="AE1807">
        <v>6</v>
      </c>
      <c r="AF1807" t="s">
        <v>242</v>
      </c>
      <c r="AG1807">
        <f>IFERROR(VLOOKUP(AF1807,[1]STOK!J:O,6,0),"")</f>
        <v>12</v>
      </c>
      <c r="AH1807" s="2">
        <f t="shared" si="56"/>
        <v>0.5</v>
      </c>
      <c r="AI1807" t="s">
        <v>242</v>
      </c>
      <c r="AJ1807" t="s">
        <v>243</v>
      </c>
      <c r="AK1807" t="s">
        <v>244</v>
      </c>
      <c r="AL1807" t="s">
        <v>86</v>
      </c>
      <c r="AM1807">
        <v>22422</v>
      </c>
      <c r="AN1807">
        <f t="shared" si="57"/>
        <v>22197.78</v>
      </c>
      <c r="AO1807" t="s">
        <v>66</v>
      </c>
      <c r="AP1807">
        <v>1</v>
      </c>
      <c r="AQ1807" t="s">
        <v>66</v>
      </c>
      <c r="AR1807">
        <v>0</v>
      </c>
      <c r="AS1807" t="s">
        <v>66</v>
      </c>
      <c r="AT1807">
        <v>0</v>
      </c>
      <c r="AU1807" t="s">
        <v>66</v>
      </c>
      <c r="AV1807">
        <v>0</v>
      </c>
      <c r="AW1807" t="s">
        <v>66</v>
      </c>
      <c r="AX1807">
        <v>0</v>
      </c>
      <c r="AY1807" t="s">
        <v>66</v>
      </c>
      <c r="AZ1807">
        <v>0</v>
      </c>
      <c r="BA1807" t="s">
        <v>66</v>
      </c>
      <c r="BB1807">
        <v>0</v>
      </c>
      <c r="BC1807">
        <v>0</v>
      </c>
      <c r="BD1807">
        <v>133186.68</v>
      </c>
      <c r="BE1807">
        <v>16642.77</v>
      </c>
      <c r="BF1807">
        <v>0</v>
      </c>
      <c r="BG1807" t="s">
        <v>87</v>
      </c>
      <c r="BH1807" t="s">
        <v>66</v>
      </c>
      <c r="BI1807">
        <v>0</v>
      </c>
      <c r="BJ1807" t="s">
        <v>66</v>
      </c>
      <c r="BK1807" t="s">
        <v>88</v>
      </c>
      <c r="BL1807" t="s">
        <v>66</v>
      </c>
      <c r="BM1807" t="s">
        <v>159</v>
      </c>
    </row>
    <row r="1808" spans="1:65" x14ac:dyDescent="0.25">
      <c r="A1808">
        <v>1806</v>
      </c>
      <c r="B1808" t="s">
        <v>1823</v>
      </c>
      <c r="C1808" t="s">
        <v>68</v>
      </c>
      <c r="D1808" s="1">
        <v>46226</v>
      </c>
      <c r="E1808" t="s">
        <v>1824</v>
      </c>
      <c r="F1808" t="s">
        <v>68</v>
      </c>
      <c r="G1808" t="s">
        <v>69</v>
      </c>
      <c r="H1808" t="s">
        <v>70</v>
      </c>
      <c r="I1808" t="s">
        <v>71</v>
      </c>
      <c r="J1808" t="s">
        <v>72</v>
      </c>
      <c r="K1808" t="s">
        <v>73</v>
      </c>
      <c r="L1808" t="s">
        <v>74</v>
      </c>
      <c r="M1808" t="s">
        <v>1281</v>
      </c>
      <c r="N1808" t="s">
        <v>111</v>
      </c>
      <c r="O1808" t="s">
        <v>1282</v>
      </c>
      <c r="P1808" t="s">
        <v>1283</v>
      </c>
      <c r="Q1808" t="s">
        <v>1825</v>
      </c>
      <c r="R1808" s="1">
        <v>46227</v>
      </c>
      <c r="S1808" t="s">
        <v>1218</v>
      </c>
      <c r="T1808" t="s">
        <v>1219</v>
      </c>
      <c r="U1808" t="s">
        <v>1220</v>
      </c>
      <c r="V1808" t="s">
        <v>66</v>
      </c>
      <c r="W1808" t="s">
        <v>66</v>
      </c>
      <c r="X1808">
        <v>2227500</v>
      </c>
      <c r="Y1808">
        <v>245025</v>
      </c>
      <c r="Z1808">
        <v>98010</v>
      </c>
      <c r="AA1808">
        <v>10781.1</v>
      </c>
      <c r="AB1808">
        <v>2472525</v>
      </c>
      <c r="AC1808">
        <v>6</v>
      </c>
      <c r="AD1808" t="s">
        <v>82</v>
      </c>
      <c r="AE1808">
        <v>6</v>
      </c>
      <c r="AF1808" t="s">
        <v>205</v>
      </c>
      <c r="AG1808">
        <f>IFERROR(VLOOKUP(AF1808,[1]STOK!J:O,6,0),"")</f>
        <v>24</v>
      </c>
      <c r="AH1808" s="2">
        <f t="shared" si="56"/>
        <v>0.25</v>
      </c>
      <c r="AI1808" t="s">
        <v>205</v>
      </c>
      <c r="AJ1808" t="s">
        <v>206</v>
      </c>
      <c r="AK1808" t="s">
        <v>207</v>
      </c>
      <c r="AL1808" t="s">
        <v>86</v>
      </c>
      <c r="AM1808">
        <v>18315</v>
      </c>
      <c r="AN1808">
        <f t="shared" si="57"/>
        <v>18131.850000000002</v>
      </c>
      <c r="AO1808" t="s">
        <v>66</v>
      </c>
      <c r="AP1808">
        <v>1</v>
      </c>
      <c r="AQ1808" t="s">
        <v>66</v>
      </c>
      <c r="AR1808">
        <v>0</v>
      </c>
      <c r="AS1808" t="s">
        <v>66</v>
      </c>
      <c r="AT1808">
        <v>0</v>
      </c>
      <c r="AU1808" t="s">
        <v>66</v>
      </c>
      <c r="AV1808">
        <v>0</v>
      </c>
      <c r="AW1808" t="s">
        <v>66</v>
      </c>
      <c r="AX1808">
        <v>0</v>
      </c>
      <c r="AY1808" t="s">
        <v>66</v>
      </c>
      <c r="AZ1808">
        <v>0</v>
      </c>
      <c r="BA1808" t="s">
        <v>66</v>
      </c>
      <c r="BB1808">
        <v>0</v>
      </c>
      <c r="BC1808">
        <v>0</v>
      </c>
      <c r="BD1808">
        <v>108791.1</v>
      </c>
      <c r="BE1808">
        <v>14892.95</v>
      </c>
      <c r="BF1808">
        <v>0</v>
      </c>
      <c r="BG1808" t="s">
        <v>87</v>
      </c>
      <c r="BH1808" t="s">
        <v>66</v>
      </c>
      <c r="BI1808">
        <v>0</v>
      </c>
      <c r="BJ1808" t="s">
        <v>66</v>
      </c>
      <c r="BK1808" t="s">
        <v>88</v>
      </c>
      <c r="BL1808" t="s">
        <v>66</v>
      </c>
      <c r="BM1808" t="s">
        <v>159</v>
      </c>
    </row>
    <row r="1809" spans="1:65" x14ac:dyDescent="0.25">
      <c r="A1809">
        <v>1807</v>
      </c>
      <c r="B1809" t="s">
        <v>1823</v>
      </c>
      <c r="C1809" t="s">
        <v>68</v>
      </c>
      <c r="D1809" s="1">
        <v>46226</v>
      </c>
      <c r="E1809" t="s">
        <v>1824</v>
      </c>
      <c r="F1809" t="s">
        <v>68</v>
      </c>
      <c r="G1809" t="s">
        <v>69</v>
      </c>
      <c r="H1809" t="s">
        <v>70</v>
      </c>
      <c r="I1809" t="s">
        <v>71</v>
      </c>
      <c r="J1809" t="s">
        <v>72</v>
      </c>
      <c r="K1809" t="s">
        <v>73</v>
      </c>
      <c r="L1809" t="s">
        <v>74</v>
      </c>
      <c r="M1809" t="s">
        <v>1281</v>
      </c>
      <c r="N1809" t="s">
        <v>111</v>
      </c>
      <c r="O1809" t="s">
        <v>1282</v>
      </c>
      <c r="P1809" t="s">
        <v>1283</v>
      </c>
      <c r="Q1809" t="s">
        <v>1825</v>
      </c>
      <c r="R1809" s="1">
        <v>46227</v>
      </c>
      <c r="S1809" t="s">
        <v>1218</v>
      </c>
      <c r="T1809" t="s">
        <v>1219</v>
      </c>
      <c r="U1809" t="s">
        <v>1220</v>
      </c>
      <c r="V1809" t="s">
        <v>66</v>
      </c>
      <c r="W1809" t="s">
        <v>66</v>
      </c>
      <c r="X1809">
        <v>2227500</v>
      </c>
      <c r="Y1809">
        <v>245025</v>
      </c>
      <c r="Z1809">
        <v>324324</v>
      </c>
      <c r="AA1809">
        <v>35675.64</v>
      </c>
      <c r="AB1809">
        <v>2472525</v>
      </c>
      <c r="AC1809">
        <v>12</v>
      </c>
      <c r="AD1809" t="s">
        <v>82</v>
      </c>
      <c r="AE1809">
        <v>12</v>
      </c>
      <c r="AF1809" t="s">
        <v>563</v>
      </c>
      <c r="AG1809">
        <f>IFERROR(VLOOKUP(AF1809,[1]STOK!J:O,6,0),"")</f>
        <v>12</v>
      </c>
      <c r="AH1809" s="2">
        <f t="shared" si="56"/>
        <v>1</v>
      </c>
      <c r="AI1809" t="s">
        <v>563</v>
      </c>
      <c r="AJ1809" t="s">
        <v>564</v>
      </c>
      <c r="AK1809" t="s">
        <v>565</v>
      </c>
      <c r="AL1809" t="s">
        <v>86</v>
      </c>
      <c r="AM1809">
        <v>30303</v>
      </c>
      <c r="AN1809">
        <f t="shared" si="57"/>
        <v>29999.97</v>
      </c>
      <c r="AO1809" t="s">
        <v>66</v>
      </c>
      <c r="AP1809">
        <v>1</v>
      </c>
      <c r="AQ1809" t="s">
        <v>66</v>
      </c>
      <c r="AR1809">
        <v>0</v>
      </c>
      <c r="AS1809" t="s">
        <v>66</v>
      </c>
      <c r="AT1809">
        <v>0</v>
      </c>
      <c r="AU1809" t="s">
        <v>66</v>
      </c>
      <c r="AV1809">
        <v>0</v>
      </c>
      <c r="AW1809" t="s">
        <v>66</v>
      </c>
      <c r="AX1809">
        <v>0</v>
      </c>
      <c r="AY1809" t="s">
        <v>66</v>
      </c>
      <c r="AZ1809">
        <v>0</v>
      </c>
      <c r="BA1809" t="s">
        <v>66</v>
      </c>
      <c r="BB1809">
        <v>0</v>
      </c>
      <c r="BC1809">
        <v>0</v>
      </c>
      <c r="BD1809">
        <v>359999.64</v>
      </c>
      <c r="BE1809">
        <v>24645.54</v>
      </c>
      <c r="BF1809">
        <v>0</v>
      </c>
      <c r="BG1809" t="s">
        <v>87</v>
      </c>
      <c r="BH1809" t="s">
        <v>66</v>
      </c>
      <c r="BI1809">
        <v>0</v>
      </c>
      <c r="BJ1809" t="s">
        <v>66</v>
      </c>
      <c r="BK1809" t="s">
        <v>88</v>
      </c>
      <c r="BL1809" t="s">
        <v>66</v>
      </c>
      <c r="BM1809" t="s">
        <v>159</v>
      </c>
    </row>
    <row r="1810" spans="1:65" x14ac:dyDescent="0.25">
      <c r="A1810">
        <v>1808</v>
      </c>
      <c r="B1810" t="s">
        <v>1823</v>
      </c>
      <c r="C1810" t="s">
        <v>68</v>
      </c>
      <c r="D1810" s="1">
        <v>46226</v>
      </c>
      <c r="E1810" t="s">
        <v>1824</v>
      </c>
      <c r="F1810" t="s">
        <v>68</v>
      </c>
      <c r="G1810" t="s">
        <v>69</v>
      </c>
      <c r="H1810" t="s">
        <v>70</v>
      </c>
      <c r="I1810" t="s">
        <v>71</v>
      </c>
      <c r="J1810" t="s">
        <v>72</v>
      </c>
      <c r="K1810" t="s">
        <v>73</v>
      </c>
      <c r="L1810" t="s">
        <v>74</v>
      </c>
      <c r="M1810" t="s">
        <v>1281</v>
      </c>
      <c r="N1810" t="s">
        <v>111</v>
      </c>
      <c r="O1810" t="s">
        <v>1282</v>
      </c>
      <c r="P1810" t="s">
        <v>1283</v>
      </c>
      <c r="Q1810" t="s">
        <v>1825</v>
      </c>
      <c r="R1810" s="1">
        <v>46227</v>
      </c>
      <c r="S1810" t="s">
        <v>1218</v>
      </c>
      <c r="T1810" t="s">
        <v>1219</v>
      </c>
      <c r="U1810" t="s">
        <v>1220</v>
      </c>
      <c r="V1810" t="s">
        <v>66</v>
      </c>
      <c r="W1810" t="s">
        <v>66</v>
      </c>
      <c r="X1810">
        <v>2227500</v>
      </c>
      <c r="Y1810">
        <v>245025</v>
      </c>
      <c r="Z1810">
        <v>87318</v>
      </c>
      <c r="AA1810">
        <v>9604.98</v>
      </c>
      <c r="AB1810">
        <v>2472525</v>
      </c>
      <c r="AC1810">
        <v>6</v>
      </c>
      <c r="AD1810" t="s">
        <v>82</v>
      </c>
      <c r="AE1810">
        <v>6</v>
      </c>
      <c r="AF1810" t="s">
        <v>473</v>
      </c>
      <c r="AG1810">
        <f>IFERROR(VLOOKUP(AF1810,[1]STOK!J:O,6,0),"")</f>
        <v>12</v>
      </c>
      <c r="AH1810" s="2">
        <f t="shared" si="56"/>
        <v>0.5</v>
      </c>
      <c r="AI1810" t="s">
        <v>473</v>
      </c>
      <c r="AJ1810" t="s">
        <v>474</v>
      </c>
      <c r="AK1810" t="s">
        <v>475</v>
      </c>
      <c r="AL1810" t="s">
        <v>86</v>
      </c>
      <c r="AM1810">
        <v>16317</v>
      </c>
      <c r="AN1810">
        <f t="shared" si="57"/>
        <v>16153.83</v>
      </c>
      <c r="AO1810" t="s">
        <v>66</v>
      </c>
      <c r="AP1810">
        <v>1</v>
      </c>
      <c r="AQ1810" t="s">
        <v>66</v>
      </c>
      <c r="AR1810">
        <v>0</v>
      </c>
      <c r="AS1810" t="s">
        <v>66</v>
      </c>
      <c r="AT1810">
        <v>0</v>
      </c>
      <c r="AU1810" t="s">
        <v>66</v>
      </c>
      <c r="AV1810">
        <v>0</v>
      </c>
      <c r="AW1810" t="s">
        <v>66</v>
      </c>
      <c r="AX1810">
        <v>0</v>
      </c>
      <c r="AY1810" t="s">
        <v>66</v>
      </c>
      <c r="AZ1810">
        <v>0</v>
      </c>
      <c r="BA1810" t="s">
        <v>66</v>
      </c>
      <c r="BB1810">
        <v>0</v>
      </c>
      <c r="BC1810">
        <v>0</v>
      </c>
      <c r="BD1810">
        <v>96922.98</v>
      </c>
      <c r="BE1810">
        <v>13385.34</v>
      </c>
      <c r="BF1810">
        <v>0</v>
      </c>
      <c r="BG1810" t="s">
        <v>87</v>
      </c>
      <c r="BH1810" t="s">
        <v>66</v>
      </c>
      <c r="BI1810">
        <v>0</v>
      </c>
      <c r="BJ1810" t="s">
        <v>66</v>
      </c>
      <c r="BK1810" t="s">
        <v>88</v>
      </c>
      <c r="BL1810" t="s">
        <v>66</v>
      </c>
      <c r="BM1810" t="s">
        <v>159</v>
      </c>
    </row>
    <row r="1811" spans="1:65" x14ac:dyDescent="0.25">
      <c r="A1811">
        <v>1809</v>
      </c>
      <c r="B1811" t="s">
        <v>1823</v>
      </c>
      <c r="C1811" t="s">
        <v>68</v>
      </c>
      <c r="D1811" s="1">
        <v>46226</v>
      </c>
      <c r="E1811" t="s">
        <v>1824</v>
      </c>
      <c r="F1811" t="s">
        <v>68</v>
      </c>
      <c r="G1811" t="s">
        <v>69</v>
      </c>
      <c r="H1811" t="s">
        <v>70</v>
      </c>
      <c r="I1811" t="s">
        <v>71</v>
      </c>
      <c r="J1811" t="s">
        <v>72</v>
      </c>
      <c r="K1811" t="s">
        <v>73</v>
      </c>
      <c r="L1811" t="s">
        <v>74</v>
      </c>
      <c r="M1811" t="s">
        <v>1281</v>
      </c>
      <c r="N1811" t="s">
        <v>111</v>
      </c>
      <c r="O1811" t="s">
        <v>1282</v>
      </c>
      <c r="P1811" t="s">
        <v>1283</v>
      </c>
      <c r="Q1811" t="s">
        <v>1825</v>
      </c>
      <c r="R1811" s="1">
        <v>46227</v>
      </c>
      <c r="S1811" t="s">
        <v>1218</v>
      </c>
      <c r="T1811" t="s">
        <v>1219</v>
      </c>
      <c r="U1811" t="s">
        <v>1220</v>
      </c>
      <c r="V1811" t="s">
        <v>66</v>
      </c>
      <c r="W1811" t="s">
        <v>66</v>
      </c>
      <c r="X1811">
        <v>2227500</v>
      </c>
      <c r="Y1811">
        <v>245025</v>
      </c>
      <c r="Z1811">
        <v>85536</v>
      </c>
      <c r="AA1811">
        <v>9408.9599999999991</v>
      </c>
      <c r="AB1811">
        <v>2472525</v>
      </c>
      <c r="AC1811">
        <v>6</v>
      </c>
      <c r="AD1811" t="s">
        <v>82</v>
      </c>
      <c r="AE1811">
        <v>6</v>
      </c>
      <c r="AF1811" t="s">
        <v>448</v>
      </c>
      <c r="AG1811">
        <f>IFERROR(VLOOKUP(AF1811,[1]STOK!J:O,6,0),"")</f>
        <v>12</v>
      </c>
      <c r="AH1811" s="2">
        <f t="shared" si="56"/>
        <v>0.5</v>
      </c>
      <c r="AI1811" t="s">
        <v>448</v>
      </c>
      <c r="AJ1811" t="s">
        <v>449</v>
      </c>
      <c r="AK1811" t="s">
        <v>450</v>
      </c>
      <c r="AL1811" t="s">
        <v>86</v>
      </c>
      <c r="AM1811">
        <v>15984</v>
      </c>
      <c r="AN1811">
        <f t="shared" si="57"/>
        <v>15824.160000000002</v>
      </c>
      <c r="AO1811" t="s">
        <v>66</v>
      </c>
      <c r="AP1811">
        <v>1</v>
      </c>
      <c r="AQ1811" t="s">
        <v>66</v>
      </c>
      <c r="AR1811">
        <v>0</v>
      </c>
      <c r="AS1811" t="s">
        <v>66</v>
      </c>
      <c r="AT1811">
        <v>0</v>
      </c>
      <c r="AU1811" t="s">
        <v>66</v>
      </c>
      <c r="AV1811">
        <v>0</v>
      </c>
      <c r="AW1811" t="s">
        <v>66</v>
      </c>
      <c r="AX1811">
        <v>0</v>
      </c>
      <c r="AY1811" t="s">
        <v>66</v>
      </c>
      <c r="AZ1811">
        <v>0</v>
      </c>
      <c r="BA1811" t="s">
        <v>66</v>
      </c>
      <c r="BB1811">
        <v>0</v>
      </c>
      <c r="BC1811">
        <v>0</v>
      </c>
      <c r="BD1811">
        <v>94944.960000000006</v>
      </c>
      <c r="BE1811">
        <v>13335.99</v>
      </c>
      <c r="BF1811">
        <v>0</v>
      </c>
      <c r="BG1811" t="s">
        <v>87</v>
      </c>
      <c r="BH1811" t="s">
        <v>66</v>
      </c>
      <c r="BI1811">
        <v>0</v>
      </c>
      <c r="BJ1811" t="s">
        <v>66</v>
      </c>
      <c r="BK1811" t="s">
        <v>88</v>
      </c>
      <c r="BL1811" t="s">
        <v>66</v>
      </c>
      <c r="BM1811" t="s">
        <v>159</v>
      </c>
    </row>
    <row r="1812" spans="1:65" x14ac:dyDescent="0.25">
      <c r="A1812">
        <v>1810</v>
      </c>
      <c r="B1812" t="s">
        <v>1823</v>
      </c>
      <c r="C1812" t="s">
        <v>68</v>
      </c>
      <c r="D1812" s="1">
        <v>46226</v>
      </c>
      <c r="E1812" t="s">
        <v>1824</v>
      </c>
      <c r="F1812" t="s">
        <v>68</v>
      </c>
      <c r="G1812" t="s">
        <v>69</v>
      </c>
      <c r="H1812" t="s">
        <v>70</v>
      </c>
      <c r="I1812" t="s">
        <v>71</v>
      </c>
      <c r="J1812" t="s">
        <v>72</v>
      </c>
      <c r="K1812" t="s">
        <v>73</v>
      </c>
      <c r="L1812" t="s">
        <v>74</v>
      </c>
      <c r="M1812" t="s">
        <v>1281</v>
      </c>
      <c r="N1812" t="s">
        <v>111</v>
      </c>
      <c r="O1812" t="s">
        <v>1282</v>
      </c>
      <c r="P1812" t="s">
        <v>1283</v>
      </c>
      <c r="Q1812" t="s">
        <v>1825</v>
      </c>
      <c r="R1812" s="1">
        <v>46227</v>
      </c>
      <c r="S1812" t="s">
        <v>1218</v>
      </c>
      <c r="T1812" t="s">
        <v>1219</v>
      </c>
      <c r="U1812" t="s">
        <v>1220</v>
      </c>
      <c r="V1812" t="s">
        <v>66</v>
      </c>
      <c r="W1812" t="s">
        <v>66</v>
      </c>
      <c r="X1812">
        <v>2227500</v>
      </c>
      <c r="Y1812">
        <v>245025</v>
      </c>
      <c r="Z1812">
        <v>146124</v>
      </c>
      <c r="AA1812">
        <v>16073.64</v>
      </c>
      <c r="AB1812">
        <v>2472525</v>
      </c>
      <c r="AC1812">
        <v>6</v>
      </c>
      <c r="AD1812" t="s">
        <v>82</v>
      </c>
      <c r="AE1812">
        <v>6</v>
      </c>
      <c r="AF1812" t="s">
        <v>534</v>
      </c>
      <c r="AG1812">
        <f>IFERROR(VLOOKUP(AF1812,[1]STOK!J:O,6,0),"")</f>
        <v>12</v>
      </c>
      <c r="AH1812" s="2">
        <f t="shared" si="56"/>
        <v>0.5</v>
      </c>
      <c r="AI1812" t="s">
        <v>534</v>
      </c>
      <c r="AJ1812" t="s">
        <v>535</v>
      </c>
      <c r="AK1812" t="s">
        <v>536</v>
      </c>
      <c r="AL1812" t="s">
        <v>86</v>
      </c>
      <c r="AM1812">
        <v>27306</v>
      </c>
      <c r="AN1812">
        <f t="shared" si="57"/>
        <v>27032.940000000002</v>
      </c>
      <c r="AO1812" t="s">
        <v>66</v>
      </c>
      <c r="AP1812">
        <v>1</v>
      </c>
      <c r="AQ1812" t="s">
        <v>66</v>
      </c>
      <c r="AR1812">
        <v>0</v>
      </c>
      <c r="AS1812" t="s">
        <v>66</v>
      </c>
      <c r="AT1812">
        <v>0</v>
      </c>
      <c r="AU1812" t="s">
        <v>66</v>
      </c>
      <c r="AV1812">
        <v>0</v>
      </c>
      <c r="AW1812" t="s">
        <v>66</v>
      </c>
      <c r="AX1812">
        <v>0</v>
      </c>
      <c r="AY1812" t="s">
        <v>66</v>
      </c>
      <c r="AZ1812">
        <v>0</v>
      </c>
      <c r="BA1812" t="s">
        <v>66</v>
      </c>
      <c r="BB1812">
        <v>0</v>
      </c>
      <c r="BC1812">
        <v>0</v>
      </c>
      <c r="BD1812">
        <v>162197.64000000001</v>
      </c>
      <c r="BE1812">
        <v>22042.09</v>
      </c>
      <c r="BF1812">
        <v>0</v>
      </c>
      <c r="BG1812" t="s">
        <v>87</v>
      </c>
      <c r="BH1812" t="s">
        <v>66</v>
      </c>
      <c r="BI1812">
        <v>0</v>
      </c>
      <c r="BJ1812" t="s">
        <v>66</v>
      </c>
      <c r="BK1812" t="s">
        <v>88</v>
      </c>
      <c r="BL1812" t="s">
        <v>66</v>
      </c>
      <c r="BM1812" t="s">
        <v>159</v>
      </c>
    </row>
    <row r="1813" spans="1:65" x14ac:dyDescent="0.25">
      <c r="A1813">
        <v>1811</v>
      </c>
      <c r="B1813" t="s">
        <v>1823</v>
      </c>
      <c r="C1813" t="s">
        <v>68</v>
      </c>
      <c r="D1813" s="1">
        <v>46226</v>
      </c>
      <c r="E1813" t="s">
        <v>1824</v>
      </c>
      <c r="F1813" t="s">
        <v>68</v>
      </c>
      <c r="G1813" t="s">
        <v>69</v>
      </c>
      <c r="H1813" t="s">
        <v>70</v>
      </c>
      <c r="I1813" t="s">
        <v>71</v>
      </c>
      <c r="J1813" t="s">
        <v>72</v>
      </c>
      <c r="K1813" t="s">
        <v>73</v>
      </c>
      <c r="L1813" t="s">
        <v>74</v>
      </c>
      <c r="M1813" t="s">
        <v>1281</v>
      </c>
      <c r="N1813" t="s">
        <v>111</v>
      </c>
      <c r="O1813" t="s">
        <v>1282</v>
      </c>
      <c r="P1813" t="s">
        <v>1283</v>
      </c>
      <c r="Q1813" t="s">
        <v>1825</v>
      </c>
      <c r="R1813" s="1">
        <v>46227</v>
      </c>
      <c r="S1813" t="s">
        <v>1218</v>
      </c>
      <c r="T1813" t="s">
        <v>1219</v>
      </c>
      <c r="U1813" t="s">
        <v>1220</v>
      </c>
      <c r="V1813" t="s">
        <v>66</v>
      </c>
      <c r="W1813" t="s">
        <v>66</v>
      </c>
      <c r="X1813">
        <v>2227500</v>
      </c>
      <c r="Y1813">
        <v>245025</v>
      </c>
      <c r="Z1813">
        <v>455004</v>
      </c>
      <c r="AA1813">
        <v>50050.44</v>
      </c>
      <c r="AB1813">
        <v>2472525</v>
      </c>
      <c r="AC1813">
        <v>12</v>
      </c>
      <c r="AD1813" t="s">
        <v>82</v>
      </c>
      <c r="AE1813">
        <v>12</v>
      </c>
      <c r="AF1813" t="s">
        <v>138</v>
      </c>
      <c r="AG1813">
        <f>IFERROR(VLOOKUP(AF1813,[1]STOK!J:O,6,0),"")</f>
        <v>6</v>
      </c>
      <c r="AH1813" s="2">
        <f t="shared" si="56"/>
        <v>2</v>
      </c>
      <c r="AI1813" t="s">
        <v>138</v>
      </c>
      <c r="AJ1813" t="s">
        <v>139</v>
      </c>
      <c r="AK1813" t="s">
        <v>140</v>
      </c>
      <c r="AL1813" t="s">
        <v>86</v>
      </c>
      <c r="AM1813">
        <v>42513</v>
      </c>
      <c r="AN1813">
        <f t="shared" si="57"/>
        <v>42087.87</v>
      </c>
      <c r="AO1813" t="s">
        <v>66</v>
      </c>
      <c r="AP1813">
        <v>1</v>
      </c>
      <c r="AQ1813" t="s">
        <v>66</v>
      </c>
      <c r="AR1813">
        <v>0</v>
      </c>
      <c r="AS1813" t="s">
        <v>66</v>
      </c>
      <c r="AT1813">
        <v>0</v>
      </c>
      <c r="AU1813" t="s">
        <v>66</v>
      </c>
      <c r="AV1813">
        <v>0</v>
      </c>
      <c r="AW1813" t="s">
        <v>66</v>
      </c>
      <c r="AX1813">
        <v>0</v>
      </c>
      <c r="AY1813" t="s">
        <v>66</v>
      </c>
      <c r="AZ1813">
        <v>0</v>
      </c>
      <c r="BA1813" t="s">
        <v>66</v>
      </c>
      <c r="BB1813">
        <v>0</v>
      </c>
      <c r="BC1813">
        <v>0</v>
      </c>
      <c r="BD1813">
        <v>505054.44</v>
      </c>
      <c r="BE1813">
        <v>34654.5</v>
      </c>
      <c r="BF1813">
        <v>0</v>
      </c>
      <c r="BG1813" t="s">
        <v>87</v>
      </c>
      <c r="BH1813" t="s">
        <v>66</v>
      </c>
      <c r="BI1813">
        <v>0</v>
      </c>
      <c r="BJ1813" t="s">
        <v>66</v>
      </c>
      <c r="BK1813" t="s">
        <v>88</v>
      </c>
      <c r="BL1813" t="s">
        <v>66</v>
      </c>
      <c r="BM1813" t="s">
        <v>159</v>
      </c>
    </row>
    <row r="1814" spans="1:65" x14ac:dyDescent="0.25">
      <c r="A1814">
        <v>1812</v>
      </c>
      <c r="B1814" t="s">
        <v>1823</v>
      </c>
      <c r="C1814" t="s">
        <v>68</v>
      </c>
      <c r="D1814" s="1">
        <v>46226</v>
      </c>
      <c r="E1814" t="s">
        <v>1824</v>
      </c>
      <c r="F1814" t="s">
        <v>68</v>
      </c>
      <c r="G1814" t="s">
        <v>69</v>
      </c>
      <c r="H1814" t="s">
        <v>70</v>
      </c>
      <c r="I1814" t="s">
        <v>71</v>
      </c>
      <c r="J1814" t="s">
        <v>72</v>
      </c>
      <c r="K1814" t="s">
        <v>73</v>
      </c>
      <c r="L1814" t="s">
        <v>74</v>
      </c>
      <c r="M1814" t="s">
        <v>1281</v>
      </c>
      <c r="N1814" t="s">
        <v>111</v>
      </c>
      <c r="O1814" t="s">
        <v>1282</v>
      </c>
      <c r="P1814" t="s">
        <v>1283</v>
      </c>
      <c r="Q1814" t="s">
        <v>1825</v>
      </c>
      <c r="R1814" s="1">
        <v>46227</v>
      </c>
      <c r="S1814" t="s">
        <v>1218</v>
      </c>
      <c r="T1814" t="s">
        <v>1219</v>
      </c>
      <c r="U1814" t="s">
        <v>1220</v>
      </c>
      <c r="V1814" t="s">
        <v>66</v>
      </c>
      <c r="W1814" t="s">
        <v>66</v>
      </c>
      <c r="X1814">
        <v>2227500</v>
      </c>
      <c r="Y1814">
        <v>245025</v>
      </c>
      <c r="Z1814">
        <v>801900</v>
      </c>
      <c r="AA1814">
        <v>88209</v>
      </c>
      <c r="AB1814">
        <v>2472525</v>
      </c>
      <c r="AC1814">
        <v>12</v>
      </c>
      <c r="AD1814" t="s">
        <v>82</v>
      </c>
      <c r="AE1814">
        <v>12</v>
      </c>
      <c r="AF1814" t="s">
        <v>312</v>
      </c>
      <c r="AG1814">
        <f>IFERROR(VLOOKUP(AF1814,[1]STOK!J:O,6,0),"")</f>
        <v>4</v>
      </c>
      <c r="AH1814" s="2">
        <f t="shared" si="56"/>
        <v>3</v>
      </c>
      <c r="AI1814" t="s">
        <v>312</v>
      </c>
      <c r="AJ1814" t="s">
        <v>313</v>
      </c>
      <c r="AK1814" t="s">
        <v>314</v>
      </c>
      <c r="AL1814" t="s">
        <v>86</v>
      </c>
      <c r="AM1814">
        <v>74925</v>
      </c>
      <c r="AN1814">
        <f t="shared" si="57"/>
        <v>74175.75</v>
      </c>
      <c r="AO1814" t="s">
        <v>66</v>
      </c>
      <c r="AP1814">
        <v>1</v>
      </c>
      <c r="AQ1814" t="s">
        <v>66</v>
      </c>
      <c r="AR1814">
        <v>0</v>
      </c>
      <c r="AS1814" t="s">
        <v>66</v>
      </c>
      <c r="AT1814">
        <v>0</v>
      </c>
      <c r="AU1814" t="s">
        <v>66</v>
      </c>
      <c r="AV1814">
        <v>0</v>
      </c>
      <c r="AW1814" t="s">
        <v>66</v>
      </c>
      <c r="AX1814">
        <v>0</v>
      </c>
      <c r="AY1814" t="s">
        <v>66</v>
      </c>
      <c r="AZ1814">
        <v>0</v>
      </c>
      <c r="BA1814" t="s">
        <v>66</v>
      </c>
      <c r="BB1814">
        <v>0</v>
      </c>
      <c r="BC1814">
        <v>0</v>
      </c>
      <c r="BD1814">
        <v>890109</v>
      </c>
      <c r="BE1814">
        <v>60360.82</v>
      </c>
      <c r="BF1814">
        <v>0</v>
      </c>
      <c r="BG1814" t="s">
        <v>87</v>
      </c>
      <c r="BH1814" t="s">
        <v>66</v>
      </c>
      <c r="BI1814">
        <v>0</v>
      </c>
      <c r="BJ1814" t="s">
        <v>66</v>
      </c>
      <c r="BK1814" t="s">
        <v>88</v>
      </c>
      <c r="BL1814" t="s">
        <v>66</v>
      </c>
      <c r="BM1814" t="s">
        <v>159</v>
      </c>
    </row>
    <row r="1815" spans="1:65" x14ac:dyDescent="0.25">
      <c r="A1815">
        <v>1813</v>
      </c>
      <c r="B1815" t="s">
        <v>1826</v>
      </c>
      <c r="C1815" t="s">
        <v>68</v>
      </c>
      <c r="D1815" s="1">
        <v>46226</v>
      </c>
      <c r="E1815" t="s">
        <v>1827</v>
      </c>
      <c r="F1815" t="s">
        <v>68</v>
      </c>
      <c r="G1815" t="s">
        <v>69</v>
      </c>
      <c r="H1815" t="s">
        <v>70</v>
      </c>
      <c r="I1815" t="s">
        <v>71</v>
      </c>
      <c r="J1815" t="s">
        <v>72</v>
      </c>
      <c r="K1815" t="s">
        <v>73</v>
      </c>
      <c r="L1815" t="s">
        <v>74</v>
      </c>
      <c r="M1815" t="s">
        <v>1290</v>
      </c>
      <c r="N1815" t="s">
        <v>76</v>
      </c>
      <c r="O1815" t="s">
        <v>1291</v>
      </c>
      <c r="P1815" t="s">
        <v>1292</v>
      </c>
      <c r="Q1815" t="s">
        <v>1828</v>
      </c>
      <c r="R1815" s="1">
        <v>46226</v>
      </c>
      <c r="S1815" t="s">
        <v>1294</v>
      </c>
      <c r="T1815" t="s">
        <v>1277</v>
      </c>
      <c r="U1815" t="s">
        <v>1278</v>
      </c>
      <c r="V1815" t="s">
        <v>66</v>
      </c>
      <c r="W1815" t="s">
        <v>66</v>
      </c>
      <c r="X1815">
        <v>1290762</v>
      </c>
      <c r="Y1815">
        <v>141983.82</v>
      </c>
      <c r="Z1815">
        <v>107217</v>
      </c>
      <c r="AA1815">
        <v>11793.87</v>
      </c>
      <c r="AB1815">
        <v>1432745.82</v>
      </c>
      <c r="AC1815">
        <v>3</v>
      </c>
      <c r="AD1815" t="s">
        <v>82</v>
      </c>
      <c r="AE1815">
        <v>3</v>
      </c>
      <c r="AF1815" t="s">
        <v>1221</v>
      </c>
      <c r="AG1815">
        <f>IFERROR(VLOOKUP(AF1815,[1]STOK!J:O,6,0),"")</f>
        <v>12</v>
      </c>
      <c r="AH1815" s="2">
        <f t="shared" si="56"/>
        <v>0.25</v>
      </c>
      <c r="AI1815" t="s">
        <v>1221</v>
      </c>
      <c r="AJ1815" t="s">
        <v>1222</v>
      </c>
      <c r="AK1815" t="s">
        <v>1223</v>
      </c>
      <c r="AL1815" t="s">
        <v>86</v>
      </c>
      <c r="AM1815">
        <v>40071</v>
      </c>
      <c r="AN1815">
        <f t="shared" si="57"/>
        <v>39670.29</v>
      </c>
      <c r="AO1815" t="s">
        <v>66</v>
      </c>
      <c r="AP1815">
        <v>1</v>
      </c>
      <c r="AQ1815" t="s">
        <v>66</v>
      </c>
      <c r="AR1815">
        <v>0</v>
      </c>
      <c r="AS1815" t="s">
        <v>66</v>
      </c>
      <c r="AT1815">
        <v>0</v>
      </c>
      <c r="AU1815" t="s">
        <v>66</v>
      </c>
      <c r="AV1815">
        <v>0</v>
      </c>
      <c r="AW1815" t="s">
        <v>66</v>
      </c>
      <c r="AX1815">
        <v>0</v>
      </c>
      <c r="AY1815" t="s">
        <v>66</v>
      </c>
      <c r="AZ1815">
        <v>0</v>
      </c>
      <c r="BA1815" t="s">
        <v>66</v>
      </c>
      <c r="BB1815">
        <v>0</v>
      </c>
      <c r="BC1815">
        <v>0</v>
      </c>
      <c r="BD1815">
        <v>119010.87</v>
      </c>
      <c r="BE1815">
        <v>40839.06</v>
      </c>
      <c r="BF1815">
        <v>0</v>
      </c>
      <c r="BG1815" t="s">
        <v>87</v>
      </c>
      <c r="BH1815" t="s">
        <v>66</v>
      </c>
      <c r="BI1815">
        <v>0</v>
      </c>
      <c r="BJ1815" t="s">
        <v>66</v>
      </c>
      <c r="BK1815" t="s">
        <v>88</v>
      </c>
      <c r="BL1815" t="s">
        <v>66</v>
      </c>
      <c r="BM1815" t="s">
        <v>159</v>
      </c>
    </row>
    <row r="1816" spans="1:65" x14ac:dyDescent="0.25">
      <c r="A1816">
        <v>1814</v>
      </c>
      <c r="B1816" t="s">
        <v>1826</v>
      </c>
      <c r="C1816" t="s">
        <v>68</v>
      </c>
      <c r="D1816" s="1">
        <v>46226</v>
      </c>
      <c r="E1816" t="s">
        <v>1827</v>
      </c>
      <c r="F1816" t="s">
        <v>68</v>
      </c>
      <c r="G1816" t="s">
        <v>69</v>
      </c>
      <c r="H1816" t="s">
        <v>70</v>
      </c>
      <c r="I1816" t="s">
        <v>71</v>
      </c>
      <c r="J1816" t="s">
        <v>72</v>
      </c>
      <c r="K1816" t="s">
        <v>73</v>
      </c>
      <c r="L1816" t="s">
        <v>74</v>
      </c>
      <c r="M1816" t="s">
        <v>1290</v>
      </c>
      <c r="N1816" t="s">
        <v>76</v>
      </c>
      <c r="O1816" t="s">
        <v>1291</v>
      </c>
      <c r="P1816" t="s">
        <v>1292</v>
      </c>
      <c r="Q1816" t="s">
        <v>1828</v>
      </c>
      <c r="R1816" s="1">
        <v>46226</v>
      </c>
      <c r="S1816" t="s">
        <v>1294</v>
      </c>
      <c r="T1816" t="s">
        <v>1277</v>
      </c>
      <c r="U1816" t="s">
        <v>1278</v>
      </c>
      <c r="V1816" t="s">
        <v>66</v>
      </c>
      <c r="W1816" t="s">
        <v>66</v>
      </c>
      <c r="X1816">
        <v>1290762</v>
      </c>
      <c r="Y1816">
        <v>141983.82</v>
      </c>
      <c r="Z1816">
        <v>107217</v>
      </c>
      <c r="AA1816">
        <v>11793.87</v>
      </c>
      <c r="AB1816">
        <v>1432745.82</v>
      </c>
      <c r="AC1816">
        <v>3</v>
      </c>
      <c r="AD1816" t="s">
        <v>82</v>
      </c>
      <c r="AE1816">
        <v>3</v>
      </c>
      <c r="AF1816" t="s">
        <v>432</v>
      </c>
      <c r="AG1816">
        <f>IFERROR(VLOOKUP(AF1816,[1]STOK!J:O,6,0),"")</f>
        <v>12</v>
      </c>
      <c r="AH1816" s="2">
        <f t="shared" si="56"/>
        <v>0.25</v>
      </c>
      <c r="AI1816" t="s">
        <v>432</v>
      </c>
      <c r="AJ1816" t="s">
        <v>433</v>
      </c>
      <c r="AK1816" t="s">
        <v>434</v>
      </c>
      <c r="AL1816" t="s">
        <v>86</v>
      </c>
      <c r="AM1816">
        <v>40071</v>
      </c>
      <c r="AN1816">
        <f t="shared" si="57"/>
        <v>39670.29</v>
      </c>
      <c r="AO1816" t="s">
        <v>66</v>
      </c>
      <c r="AP1816">
        <v>1</v>
      </c>
      <c r="AQ1816" t="s">
        <v>66</v>
      </c>
      <c r="AR1816">
        <v>0</v>
      </c>
      <c r="AS1816" t="s">
        <v>66</v>
      </c>
      <c r="AT1816">
        <v>0</v>
      </c>
      <c r="AU1816" t="s">
        <v>66</v>
      </c>
      <c r="AV1816">
        <v>0</v>
      </c>
      <c r="AW1816" t="s">
        <v>66</v>
      </c>
      <c r="AX1816">
        <v>0</v>
      </c>
      <c r="AY1816" t="s">
        <v>66</v>
      </c>
      <c r="AZ1816">
        <v>0</v>
      </c>
      <c r="BA1816" t="s">
        <v>66</v>
      </c>
      <c r="BB1816">
        <v>0</v>
      </c>
      <c r="BC1816">
        <v>0</v>
      </c>
      <c r="BD1816">
        <v>119010.87</v>
      </c>
      <c r="BE1816">
        <v>32671.64</v>
      </c>
      <c r="BF1816">
        <v>0</v>
      </c>
      <c r="BG1816" t="s">
        <v>87</v>
      </c>
      <c r="BH1816" t="s">
        <v>66</v>
      </c>
      <c r="BI1816">
        <v>0</v>
      </c>
      <c r="BJ1816" t="s">
        <v>66</v>
      </c>
      <c r="BK1816" t="s">
        <v>88</v>
      </c>
      <c r="BL1816" t="s">
        <v>66</v>
      </c>
      <c r="BM1816" t="s">
        <v>159</v>
      </c>
    </row>
    <row r="1817" spans="1:65" x14ac:dyDescent="0.25">
      <c r="A1817">
        <v>1815</v>
      </c>
      <c r="B1817" t="s">
        <v>1826</v>
      </c>
      <c r="C1817" t="s">
        <v>68</v>
      </c>
      <c r="D1817" s="1">
        <v>46226</v>
      </c>
      <c r="E1817" t="s">
        <v>1827</v>
      </c>
      <c r="F1817" t="s">
        <v>68</v>
      </c>
      <c r="G1817" t="s">
        <v>69</v>
      </c>
      <c r="H1817" t="s">
        <v>70</v>
      </c>
      <c r="I1817" t="s">
        <v>71</v>
      </c>
      <c r="J1817" t="s">
        <v>72</v>
      </c>
      <c r="K1817" t="s">
        <v>73</v>
      </c>
      <c r="L1817" t="s">
        <v>74</v>
      </c>
      <c r="M1817" t="s">
        <v>1290</v>
      </c>
      <c r="N1817" t="s">
        <v>76</v>
      </c>
      <c r="O1817" t="s">
        <v>1291</v>
      </c>
      <c r="P1817" t="s">
        <v>1292</v>
      </c>
      <c r="Q1817" t="s">
        <v>1828</v>
      </c>
      <c r="R1817" s="1">
        <v>46226</v>
      </c>
      <c r="S1817" t="s">
        <v>1294</v>
      </c>
      <c r="T1817" t="s">
        <v>1277</v>
      </c>
      <c r="U1817" t="s">
        <v>1278</v>
      </c>
      <c r="V1817" t="s">
        <v>66</v>
      </c>
      <c r="W1817" t="s">
        <v>66</v>
      </c>
      <c r="X1817">
        <v>1290762</v>
      </c>
      <c r="Y1817">
        <v>141983.82</v>
      </c>
      <c r="Z1817">
        <v>109296</v>
      </c>
      <c r="AA1817">
        <v>12022.56</v>
      </c>
      <c r="AB1817">
        <v>1432745.82</v>
      </c>
      <c r="AC1817">
        <v>6</v>
      </c>
      <c r="AD1817" t="s">
        <v>82</v>
      </c>
      <c r="AE1817">
        <v>6</v>
      </c>
      <c r="AF1817" t="s">
        <v>160</v>
      </c>
      <c r="AG1817">
        <f>IFERROR(VLOOKUP(AF1817,[1]STOK!J:O,6,0),"")</f>
        <v>12</v>
      </c>
      <c r="AH1817" s="2">
        <f t="shared" si="56"/>
        <v>0.5</v>
      </c>
      <c r="AI1817" t="s">
        <v>160</v>
      </c>
      <c r="AJ1817" t="s">
        <v>161</v>
      </c>
      <c r="AK1817" t="s">
        <v>162</v>
      </c>
      <c r="AL1817" t="s">
        <v>86</v>
      </c>
      <c r="AM1817">
        <v>20424</v>
      </c>
      <c r="AN1817">
        <f t="shared" si="57"/>
        <v>20219.759999999998</v>
      </c>
      <c r="AO1817" t="s">
        <v>66</v>
      </c>
      <c r="AP1817">
        <v>1</v>
      </c>
      <c r="AQ1817" t="s">
        <v>66</v>
      </c>
      <c r="AR1817">
        <v>0</v>
      </c>
      <c r="AS1817" t="s">
        <v>66</v>
      </c>
      <c r="AT1817">
        <v>0</v>
      </c>
      <c r="AU1817" t="s">
        <v>66</v>
      </c>
      <c r="AV1817">
        <v>0</v>
      </c>
      <c r="AW1817" t="s">
        <v>66</v>
      </c>
      <c r="AX1817">
        <v>0</v>
      </c>
      <c r="AY1817" t="s">
        <v>66</v>
      </c>
      <c r="AZ1817">
        <v>0</v>
      </c>
      <c r="BA1817" t="s">
        <v>66</v>
      </c>
      <c r="BB1817">
        <v>0</v>
      </c>
      <c r="BC1817">
        <v>0</v>
      </c>
      <c r="BD1817">
        <v>121318.56</v>
      </c>
      <c r="BE1817">
        <v>16709.57</v>
      </c>
      <c r="BF1817">
        <v>0</v>
      </c>
      <c r="BG1817" t="s">
        <v>87</v>
      </c>
      <c r="BH1817" t="s">
        <v>66</v>
      </c>
      <c r="BI1817">
        <v>0</v>
      </c>
      <c r="BJ1817" t="s">
        <v>66</v>
      </c>
      <c r="BK1817" t="s">
        <v>88</v>
      </c>
      <c r="BL1817" t="s">
        <v>66</v>
      </c>
      <c r="BM1817" t="s">
        <v>159</v>
      </c>
    </row>
    <row r="1818" spans="1:65" x14ac:dyDescent="0.25">
      <c r="A1818">
        <v>1816</v>
      </c>
      <c r="B1818" t="s">
        <v>1826</v>
      </c>
      <c r="C1818" t="s">
        <v>68</v>
      </c>
      <c r="D1818" s="1">
        <v>46226</v>
      </c>
      <c r="E1818" t="s">
        <v>1827</v>
      </c>
      <c r="F1818" t="s">
        <v>68</v>
      </c>
      <c r="G1818" t="s">
        <v>69</v>
      </c>
      <c r="H1818" t="s">
        <v>70</v>
      </c>
      <c r="I1818" t="s">
        <v>71</v>
      </c>
      <c r="J1818" t="s">
        <v>72</v>
      </c>
      <c r="K1818" t="s">
        <v>73</v>
      </c>
      <c r="L1818" t="s">
        <v>74</v>
      </c>
      <c r="M1818" t="s">
        <v>1290</v>
      </c>
      <c r="N1818" t="s">
        <v>76</v>
      </c>
      <c r="O1818" t="s">
        <v>1291</v>
      </c>
      <c r="P1818" t="s">
        <v>1292</v>
      </c>
      <c r="Q1818" t="s">
        <v>1828</v>
      </c>
      <c r="R1818" s="1">
        <v>46226</v>
      </c>
      <c r="S1818" t="s">
        <v>1294</v>
      </c>
      <c r="T1818" t="s">
        <v>1277</v>
      </c>
      <c r="U1818" t="s">
        <v>1278</v>
      </c>
      <c r="V1818" t="s">
        <v>66</v>
      </c>
      <c r="W1818" t="s">
        <v>66</v>
      </c>
      <c r="X1818">
        <v>1290762</v>
      </c>
      <c r="Y1818">
        <v>141983.82</v>
      </c>
      <c r="Z1818">
        <v>109296</v>
      </c>
      <c r="AA1818">
        <v>12022.56</v>
      </c>
      <c r="AB1818">
        <v>1432745.82</v>
      </c>
      <c r="AC1818">
        <v>6</v>
      </c>
      <c r="AD1818" t="s">
        <v>82</v>
      </c>
      <c r="AE1818">
        <v>6</v>
      </c>
      <c r="AF1818" t="s">
        <v>116</v>
      </c>
      <c r="AG1818">
        <f>IFERROR(VLOOKUP(AF1818,[1]STOK!J:O,6,0),"")</f>
        <v>12</v>
      </c>
      <c r="AH1818" s="2">
        <f t="shared" si="56"/>
        <v>0.5</v>
      </c>
      <c r="AI1818" t="s">
        <v>116</v>
      </c>
      <c r="AJ1818" t="s">
        <v>117</v>
      </c>
      <c r="AK1818" t="s">
        <v>118</v>
      </c>
      <c r="AL1818" t="s">
        <v>86</v>
      </c>
      <c r="AM1818">
        <v>20424</v>
      </c>
      <c r="AN1818">
        <f t="shared" si="57"/>
        <v>20219.759999999998</v>
      </c>
      <c r="AO1818" t="s">
        <v>66</v>
      </c>
      <c r="AP1818">
        <v>1</v>
      </c>
      <c r="AQ1818" t="s">
        <v>66</v>
      </c>
      <c r="AR1818">
        <v>0</v>
      </c>
      <c r="AS1818" t="s">
        <v>66</v>
      </c>
      <c r="AT1818">
        <v>0</v>
      </c>
      <c r="AU1818" t="s">
        <v>66</v>
      </c>
      <c r="AV1818">
        <v>0</v>
      </c>
      <c r="AW1818" t="s">
        <v>66</v>
      </c>
      <c r="AX1818">
        <v>0</v>
      </c>
      <c r="AY1818" t="s">
        <v>66</v>
      </c>
      <c r="AZ1818">
        <v>0</v>
      </c>
      <c r="BA1818" t="s">
        <v>66</v>
      </c>
      <c r="BB1818">
        <v>0</v>
      </c>
      <c r="BC1818">
        <v>0</v>
      </c>
      <c r="BD1818">
        <v>121318.56</v>
      </c>
      <c r="BE1818">
        <v>16641.740000000002</v>
      </c>
      <c r="BF1818">
        <v>0</v>
      </c>
      <c r="BG1818" t="s">
        <v>87</v>
      </c>
      <c r="BH1818" t="s">
        <v>66</v>
      </c>
      <c r="BI1818">
        <v>0</v>
      </c>
      <c r="BJ1818" t="s">
        <v>66</v>
      </c>
      <c r="BK1818" t="s">
        <v>88</v>
      </c>
      <c r="BL1818" t="s">
        <v>66</v>
      </c>
      <c r="BM1818" t="s">
        <v>159</v>
      </c>
    </row>
    <row r="1819" spans="1:65" x14ac:dyDescent="0.25">
      <c r="A1819">
        <v>1817</v>
      </c>
      <c r="B1819" t="s">
        <v>1826</v>
      </c>
      <c r="C1819" t="s">
        <v>68</v>
      </c>
      <c r="D1819" s="1">
        <v>46226</v>
      </c>
      <c r="E1819" t="s">
        <v>1827</v>
      </c>
      <c r="F1819" t="s">
        <v>68</v>
      </c>
      <c r="G1819" t="s">
        <v>69</v>
      </c>
      <c r="H1819" t="s">
        <v>70</v>
      </c>
      <c r="I1819" t="s">
        <v>71</v>
      </c>
      <c r="J1819" t="s">
        <v>72</v>
      </c>
      <c r="K1819" t="s">
        <v>73</v>
      </c>
      <c r="L1819" t="s">
        <v>74</v>
      </c>
      <c r="M1819" t="s">
        <v>1290</v>
      </c>
      <c r="N1819" t="s">
        <v>76</v>
      </c>
      <c r="O1819" t="s">
        <v>1291</v>
      </c>
      <c r="P1819" t="s">
        <v>1292</v>
      </c>
      <c r="Q1819" t="s">
        <v>1828</v>
      </c>
      <c r="R1819" s="1">
        <v>46226</v>
      </c>
      <c r="S1819" t="s">
        <v>1294</v>
      </c>
      <c r="T1819" t="s">
        <v>1277</v>
      </c>
      <c r="U1819" t="s">
        <v>1278</v>
      </c>
      <c r="V1819" t="s">
        <v>66</v>
      </c>
      <c r="W1819" t="s">
        <v>66</v>
      </c>
      <c r="X1819">
        <v>1290762</v>
      </c>
      <c r="Y1819">
        <v>141983.82</v>
      </c>
      <c r="Z1819">
        <v>43956</v>
      </c>
      <c r="AA1819">
        <v>4835.16</v>
      </c>
      <c r="AB1819">
        <v>1432745.82</v>
      </c>
      <c r="AC1819">
        <v>6</v>
      </c>
      <c r="AD1819" t="s">
        <v>82</v>
      </c>
      <c r="AE1819">
        <v>6</v>
      </c>
      <c r="AF1819" t="s">
        <v>83</v>
      </c>
      <c r="AG1819">
        <f>IFERROR(VLOOKUP(AF1819,[1]STOK!J:O,6,0),"")</f>
        <v>24</v>
      </c>
      <c r="AH1819" s="2">
        <f t="shared" si="56"/>
        <v>0.25</v>
      </c>
      <c r="AI1819" t="s">
        <v>83</v>
      </c>
      <c r="AJ1819" t="s">
        <v>84</v>
      </c>
      <c r="AK1819" t="s">
        <v>85</v>
      </c>
      <c r="AL1819" t="s">
        <v>86</v>
      </c>
      <c r="AM1819">
        <v>8214</v>
      </c>
      <c r="AN1819">
        <f t="shared" si="57"/>
        <v>8131.8600000000006</v>
      </c>
      <c r="AO1819" t="s">
        <v>66</v>
      </c>
      <c r="AP1819">
        <v>1</v>
      </c>
      <c r="AQ1819" t="s">
        <v>66</v>
      </c>
      <c r="AR1819">
        <v>0</v>
      </c>
      <c r="AS1819" t="s">
        <v>66</v>
      </c>
      <c r="AT1819">
        <v>0</v>
      </c>
      <c r="AU1819" t="s">
        <v>66</v>
      </c>
      <c r="AV1819">
        <v>0</v>
      </c>
      <c r="AW1819" t="s">
        <v>66</v>
      </c>
      <c r="AX1819">
        <v>0</v>
      </c>
      <c r="AY1819" t="s">
        <v>66</v>
      </c>
      <c r="AZ1819">
        <v>0</v>
      </c>
      <c r="BA1819" t="s">
        <v>66</v>
      </c>
      <c r="BB1819">
        <v>0</v>
      </c>
      <c r="BC1819">
        <v>0</v>
      </c>
      <c r="BD1819">
        <v>48791.16</v>
      </c>
      <c r="BE1819">
        <v>6590.47</v>
      </c>
      <c r="BF1819">
        <v>0</v>
      </c>
      <c r="BG1819" t="s">
        <v>87</v>
      </c>
      <c r="BH1819" t="s">
        <v>66</v>
      </c>
      <c r="BI1819">
        <v>0</v>
      </c>
      <c r="BJ1819" t="s">
        <v>66</v>
      </c>
      <c r="BK1819" t="s">
        <v>88</v>
      </c>
      <c r="BL1819" t="s">
        <v>66</v>
      </c>
      <c r="BM1819" t="s">
        <v>159</v>
      </c>
    </row>
    <row r="1820" spans="1:65" x14ac:dyDescent="0.25">
      <c r="A1820">
        <v>1818</v>
      </c>
      <c r="B1820" t="s">
        <v>1826</v>
      </c>
      <c r="C1820" t="s">
        <v>68</v>
      </c>
      <c r="D1820" s="1">
        <v>46226</v>
      </c>
      <c r="E1820" t="s">
        <v>1827</v>
      </c>
      <c r="F1820" t="s">
        <v>68</v>
      </c>
      <c r="G1820" t="s">
        <v>69</v>
      </c>
      <c r="H1820" t="s">
        <v>70</v>
      </c>
      <c r="I1820" t="s">
        <v>71</v>
      </c>
      <c r="J1820" t="s">
        <v>72</v>
      </c>
      <c r="K1820" t="s">
        <v>73</v>
      </c>
      <c r="L1820" t="s">
        <v>74</v>
      </c>
      <c r="M1820" t="s">
        <v>1290</v>
      </c>
      <c r="N1820" t="s">
        <v>76</v>
      </c>
      <c r="O1820" t="s">
        <v>1291</v>
      </c>
      <c r="P1820" t="s">
        <v>1292</v>
      </c>
      <c r="Q1820" t="s">
        <v>1828</v>
      </c>
      <c r="R1820" s="1">
        <v>46226</v>
      </c>
      <c r="S1820" t="s">
        <v>1294</v>
      </c>
      <c r="T1820" t="s">
        <v>1277</v>
      </c>
      <c r="U1820" t="s">
        <v>1278</v>
      </c>
      <c r="V1820" t="s">
        <v>66</v>
      </c>
      <c r="W1820" t="s">
        <v>66</v>
      </c>
      <c r="X1820">
        <v>1290762</v>
      </c>
      <c r="Y1820">
        <v>141983.82</v>
      </c>
      <c r="Z1820">
        <v>59994</v>
      </c>
      <c r="AA1820">
        <v>6599.34</v>
      </c>
      <c r="AB1820">
        <v>1432745.82</v>
      </c>
      <c r="AC1820">
        <v>6</v>
      </c>
      <c r="AD1820" t="s">
        <v>82</v>
      </c>
      <c r="AE1820">
        <v>6</v>
      </c>
      <c r="AF1820" t="s">
        <v>723</v>
      </c>
      <c r="AG1820">
        <f>IFERROR(VLOOKUP(AF1820,[1]STOK!J:O,6,0),"")</f>
        <v>24</v>
      </c>
      <c r="AH1820" s="2">
        <f t="shared" si="56"/>
        <v>0.25</v>
      </c>
      <c r="AI1820" t="s">
        <v>723</v>
      </c>
      <c r="AJ1820" t="s">
        <v>724</v>
      </c>
      <c r="AK1820" t="s">
        <v>725</v>
      </c>
      <c r="AL1820" t="s">
        <v>86</v>
      </c>
      <c r="AM1820">
        <v>11211</v>
      </c>
      <c r="AN1820">
        <f t="shared" si="57"/>
        <v>11098.89</v>
      </c>
      <c r="AO1820" t="s">
        <v>66</v>
      </c>
      <c r="AP1820">
        <v>1</v>
      </c>
      <c r="AQ1820" t="s">
        <v>66</v>
      </c>
      <c r="AR1820">
        <v>0</v>
      </c>
      <c r="AS1820" t="s">
        <v>66</v>
      </c>
      <c r="AT1820">
        <v>0</v>
      </c>
      <c r="AU1820" t="s">
        <v>66</v>
      </c>
      <c r="AV1820">
        <v>0</v>
      </c>
      <c r="AW1820" t="s">
        <v>66</v>
      </c>
      <c r="AX1820">
        <v>0</v>
      </c>
      <c r="AY1820" t="s">
        <v>66</v>
      </c>
      <c r="AZ1820">
        <v>0</v>
      </c>
      <c r="BA1820" t="s">
        <v>66</v>
      </c>
      <c r="BB1820">
        <v>0</v>
      </c>
      <c r="BC1820">
        <v>0</v>
      </c>
      <c r="BD1820">
        <v>66593.34</v>
      </c>
      <c r="BE1820">
        <v>9094.83</v>
      </c>
      <c r="BF1820">
        <v>0</v>
      </c>
      <c r="BG1820" t="s">
        <v>87</v>
      </c>
      <c r="BH1820" t="s">
        <v>66</v>
      </c>
      <c r="BI1820">
        <v>0</v>
      </c>
      <c r="BJ1820" t="s">
        <v>66</v>
      </c>
      <c r="BK1820" t="s">
        <v>88</v>
      </c>
      <c r="BL1820" t="s">
        <v>66</v>
      </c>
      <c r="BM1820" t="s">
        <v>159</v>
      </c>
    </row>
    <row r="1821" spans="1:65" x14ac:dyDescent="0.25">
      <c r="A1821">
        <v>1819</v>
      </c>
      <c r="B1821" t="s">
        <v>1826</v>
      </c>
      <c r="C1821" t="s">
        <v>68</v>
      </c>
      <c r="D1821" s="1">
        <v>46226</v>
      </c>
      <c r="E1821" t="s">
        <v>1827</v>
      </c>
      <c r="F1821" t="s">
        <v>68</v>
      </c>
      <c r="G1821" t="s">
        <v>69</v>
      </c>
      <c r="H1821" t="s">
        <v>70</v>
      </c>
      <c r="I1821" t="s">
        <v>71</v>
      </c>
      <c r="J1821" t="s">
        <v>72</v>
      </c>
      <c r="K1821" t="s">
        <v>73</v>
      </c>
      <c r="L1821" t="s">
        <v>74</v>
      </c>
      <c r="M1821" t="s">
        <v>1290</v>
      </c>
      <c r="N1821" t="s">
        <v>76</v>
      </c>
      <c r="O1821" t="s">
        <v>1291</v>
      </c>
      <c r="P1821" t="s">
        <v>1292</v>
      </c>
      <c r="Q1821" t="s">
        <v>1828</v>
      </c>
      <c r="R1821" s="1">
        <v>46226</v>
      </c>
      <c r="S1821" t="s">
        <v>1294</v>
      </c>
      <c r="T1821" t="s">
        <v>1277</v>
      </c>
      <c r="U1821" t="s">
        <v>1278</v>
      </c>
      <c r="V1821" t="s">
        <v>66</v>
      </c>
      <c r="W1821" t="s">
        <v>66</v>
      </c>
      <c r="X1821">
        <v>1290762</v>
      </c>
      <c r="Y1821">
        <v>141983.82</v>
      </c>
      <c r="Z1821">
        <v>46926</v>
      </c>
      <c r="AA1821">
        <v>5161.8599999999997</v>
      </c>
      <c r="AB1821">
        <v>1432745.82</v>
      </c>
      <c r="AC1821">
        <v>6</v>
      </c>
      <c r="AD1821" t="s">
        <v>82</v>
      </c>
      <c r="AE1821">
        <v>6</v>
      </c>
      <c r="AF1821" t="s">
        <v>199</v>
      </c>
      <c r="AG1821">
        <f>IFERROR(VLOOKUP(AF1821,[1]STOK!J:O,6,0),"")</f>
        <v>24</v>
      </c>
      <c r="AH1821" s="2">
        <f t="shared" si="56"/>
        <v>0.25</v>
      </c>
      <c r="AI1821" t="s">
        <v>199</v>
      </c>
      <c r="AJ1821" t="s">
        <v>200</v>
      </c>
      <c r="AK1821" t="s">
        <v>201</v>
      </c>
      <c r="AL1821" t="s">
        <v>86</v>
      </c>
      <c r="AM1821">
        <v>8769</v>
      </c>
      <c r="AN1821">
        <f t="shared" si="57"/>
        <v>8681.31</v>
      </c>
      <c r="AO1821" t="s">
        <v>66</v>
      </c>
      <c r="AP1821">
        <v>1</v>
      </c>
      <c r="AQ1821" t="s">
        <v>66</v>
      </c>
      <c r="AR1821">
        <v>0</v>
      </c>
      <c r="AS1821" t="s">
        <v>66</v>
      </c>
      <c r="AT1821">
        <v>0</v>
      </c>
      <c r="AU1821" t="s">
        <v>66</v>
      </c>
      <c r="AV1821">
        <v>0</v>
      </c>
      <c r="AW1821" t="s">
        <v>66</v>
      </c>
      <c r="AX1821">
        <v>0</v>
      </c>
      <c r="AY1821" t="s">
        <v>66</v>
      </c>
      <c r="AZ1821">
        <v>0</v>
      </c>
      <c r="BA1821" t="s">
        <v>66</v>
      </c>
      <c r="BB1821">
        <v>0</v>
      </c>
      <c r="BC1821">
        <v>0</v>
      </c>
      <c r="BD1821">
        <v>52087.86</v>
      </c>
      <c r="BE1821">
        <v>7265.68</v>
      </c>
      <c r="BF1821">
        <v>0</v>
      </c>
      <c r="BG1821" t="s">
        <v>87</v>
      </c>
      <c r="BH1821" t="s">
        <v>66</v>
      </c>
      <c r="BI1821">
        <v>0</v>
      </c>
      <c r="BJ1821" t="s">
        <v>66</v>
      </c>
      <c r="BK1821" t="s">
        <v>88</v>
      </c>
      <c r="BL1821" t="s">
        <v>66</v>
      </c>
      <c r="BM1821" t="s">
        <v>159</v>
      </c>
    </row>
    <row r="1822" spans="1:65" x14ac:dyDescent="0.25">
      <c r="A1822">
        <v>1820</v>
      </c>
      <c r="B1822" t="s">
        <v>1826</v>
      </c>
      <c r="C1822" t="s">
        <v>68</v>
      </c>
      <c r="D1822" s="1">
        <v>46226</v>
      </c>
      <c r="E1822" t="s">
        <v>1827</v>
      </c>
      <c r="F1822" t="s">
        <v>68</v>
      </c>
      <c r="G1822" t="s">
        <v>69</v>
      </c>
      <c r="H1822" t="s">
        <v>70</v>
      </c>
      <c r="I1822" t="s">
        <v>71</v>
      </c>
      <c r="J1822" t="s">
        <v>72</v>
      </c>
      <c r="K1822" t="s">
        <v>73</v>
      </c>
      <c r="L1822" t="s">
        <v>74</v>
      </c>
      <c r="M1822" t="s">
        <v>1290</v>
      </c>
      <c r="N1822" t="s">
        <v>76</v>
      </c>
      <c r="O1822" t="s">
        <v>1291</v>
      </c>
      <c r="P1822" t="s">
        <v>1292</v>
      </c>
      <c r="Q1822" t="s">
        <v>1828</v>
      </c>
      <c r="R1822" s="1">
        <v>46226</v>
      </c>
      <c r="S1822" t="s">
        <v>1294</v>
      </c>
      <c r="T1822" t="s">
        <v>1277</v>
      </c>
      <c r="U1822" t="s">
        <v>1278</v>
      </c>
      <c r="V1822" t="s">
        <v>66</v>
      </c>
      <c r="W1822" t="s">
        <v>66</v>
      </c>
      <c r="X1822">
        <v>1290762</v>
      </c>
      <c r="Y1822">
        <v>141983.82</v>
      </c>
      <c r="Z1822">
        <v>60588</v>
      </c>
      <c r="AA1822">
        <v>6664.68</v>
      </c>
      <c r="AB1822">
        <v>1432745.82</v>
      </c>
      <c r="AC1822">
        <v>6</v>
      </c>
      <c r="AD1822" t="s">
        <v>82</v>
      </c>
      <c r="AE1822">
        <v>6</v>
      </c>
      <c r="AF1822" t="s">
        <v>670</v>
      </c>
      <c r="AG1822">
        <f>IFERROR(VLOOKUP(AF1822,[1]STOK!J:O,6,0),"")</f>
        <v>24</v>
      </c>
      <c r="AH1822" s="2">
        <f t="shared" si="56"/>
        <v>0.25</v>
      </c>
      <c r="AI1822" t="s">
        <v>670</v>
      </c>
      <c r="AJ1822" t="s">
        <v>671</v>
      </c>
      <c r="AK1822" t="s">
        <v>672</v>
      </c>
      <c r="AL1822" t="s">
        <v>86</v>
      </c>
      <c r="AM1822">
        <v>11322</v>
      </c>
      <c r="AN1822">
        <f t="shared" si="57"/>
        <v>11208.779999999999</v>
      </c>
      <c r="AO1822" t="s">
        <v>66</v>
      </c>
      <c r="AP1822">
        <v>1</v>
      </c>
      <c r="AQ1822" t="s">
        <v>66</v>
      </c>
      <c r="AR1822">
        <v>0</v>
      </c>
      <c r="AS1822" t="s">
        <v>66</v>
      </c>
      <c r="AT1822">
        <v>0</v>
      </c>
      <c r="AU1822" t="s">
        <v>66</v>
      </c>
      <c r="AV1822">
        <v>0</v>
      </c>
      <c r="AW1822" t="s">
        <v>66</v>
      </c>
      <c r="AX1822">
        <v>0</v>
      </c>
      <c r="AY1822" t="s">
        <v>66</v>
      </c>
      <c r="AZ1822">
        <v>0</v>
      </c>
      <c r="BA1822" t="s">
        <v>66</v>
      </c>
      <c r="BB1822">
        <v>0</v>
      </c>
      <c r="BC1822">
        <v>0</v>
      </c>
      <c r="BD1822">
        <v>67252.679999999993</v>
      </c>
      <c r="BE1822">
        <v>9199.0499999999993</v>
      </c>
      <c r="BF1822">
        <v>0</v>
      </c>
      <c r="BG1822" t="s">
        <v>87</v>
      </c>
      <c r="BH1822" t="s">
        <v>66</v>
      </c>
      <c r="BI1822">
        <v>0</v>
      </c>
      <c r="BJ1822" t="s">
        <v>66</v>
      </c>
      <c r="BK1822" t="s">
        <v>88</v>
      </c>
      <c r="BL1822" t="s">
        <v>66</v>
      </c>
      <c r="BM1822" t="s">
        <v>159</v>
      </c>
    </row>
    <row r="1823" spans="1:65" x14ac:dyDescent="0.25">
      <c r="A1823">
        <v>1821</v>
      </c>
      <c r="B1823" t="s">
        <v>1826</v>
      </c>
      <c r="C1823" t="s">
        <v>68</v>
      </c>
      <c r="D1823" s="1">
        <v>46226</v>
      </c>
      <c r="E1823" t="s">
        <v>1827</v>
      </c>
      <c r="F1823" t="s">
        <v>68</v>
      </c>
      <c r="G1823" t="s">
        <v>69</v>
      </c>
      <c r="H1823" t="s">
        <v>70</v>
      </c>
      <c r="I1823" t="s">
        <v>71</v>
      </c>
      <c r="J1823" t="s">
        <v>72</v>
      </c>
      <c r="K1823" t="s">
        <v>73</v>
      </c>
      <c r="L1823" t="s">
        <v>74</v>
      </c>
      <c r="M1823" t="s">
        <v>1290</v>
      </c>
      <c r="N1823" t="s">
        <v>76</v>
      </c>
      <c r="O1823" t="s">
        <v>1291</v>
      </c>
      <c r="P1823" t="s">
        <v>1292</v>
      </c>
      <c r="Q1823" t="s">
        <v>1828</v>
      </c>
      <c r="R1823" s="1">
        <v>46226</v>
      </c>
      <c r="S1823" t="s">
        <v>1294</v>
      </c>
      <c r="T1823" t="s">
        <v>1277</v>
      </c>
      <c r="U1823" t="s">
        <v>1278</v>
      </c>
      <c r="V1823" t="s">
        <v>66</v>
      </c>
      <c r="W1823" t="s">
        <v>66</v>
      </c>
      <c r="X1823">
        <v>1290762</v>
      </c>
      <c r="Y1823">
        <v>141983.82</v>
      </c>
      <c r="Z1823">
        <v>87318</v>
      </c>
      <c r="AA1823">
        <v>9604.98</v>
      </c>
      <c r="AB1823">
        <v>1432745.82</v>
      </c>
      <c r="AC1823">
        <v>6</v>
      </c>
      <c r="AD1823" t="s">
        <v>82</v>
      </c>
      <c r="AE1823">
        <v>6</v>
      </c>
      <c r="AF1823" t="s">
        <v>1263</v>
      </c>
      <c r="AG1823">
        <f>IFERROR(VLOOKUP(AF1823,[1]STOK!J:O,6,0),"")</f>
        <v>12</v>
      </c>
      <c r="AH1823" s="2">
        <f t="shared" si="56"/>
        <v>0.5</v>
      </c>
      <c r="AI1823" t="s">
        <v>1263</v>
      </c>
      <c r="AJ1823" t="s">
        <v>1264</v>
      </c>
      <c r="AK1823" t="s">
        <v>1265</v>
      </c>
      <c r="AL1823" t="s">
        <v>86</v>
      </c>
      <c r="AM1823">
        <v>16317</v>
      </c>
      <c r="AN1823">
        <f t="shared" si="57"/>
        <v>16153.83</v>
      </c>
      <c r="AO1823" t="s">
        <v>66</v>
      </c>
      <c r="AP1823">
        <v>1</v>
      </c>
      <c r="AQ1823" t="s">
        <v>66</v>
      </c>
      <c r="AR1823">
        <v>0</v>
      </c>
      <c r="AS1823" t="s">
        <v>66</v>
      </c>
      <c r="AT1823">
        <v>0</v>
      </c>
      <c r="AU1823" t="s">
        <v>66</v>
      </c>
      <c r="AV1823">
        <v>0</v>
      </c>
      <c r="AW1823" t="s">
        <v>66</v>
      </c>
      <c r="AX1823">
        <v>0</v>
      </c>
      <c r="AY1823" t="s">
        <v>66</v>
      </c>
      <c r="AZ1823">
        <v>0</v>
      </c>
      <c r="BA1823" t="s">
        <v>66</v>
      </c>
      <c r="BB1823">
        <v>0</v>
      </c>
      <c r="BC1823">
        <v>0</v>
      </c>
      <c r="BD1823">
        <v>96922.98</v>
      </c>
      <c r="BE1823">
        <v>13306.31</v>
      </c>
      <c r="BF1823">
        <v>0</v>
      </c>
      <c r="BG1823" t="s">
        <v>87</v>
      </c>
      <c r="BH1823" t="s">
        <v>66</v>
      </c>
      <c r="BI1823">
        <v>0</v>
      </c>
      <c r="BJ1823" t="s">
        <v>66</v>
      </c>
      <c r="BK1823" t="s">
        <v>88</v>
      </c>
      <c r="BL1823" t="s">
        <v>66</v>
      </c>
      <c r="BM1823" t="s">
        <v>159</v>
      </c>
    </row>
    <row r="1824" spans="1:65" x14ac:dyDescent="0.25">
      <c r="A1824">
        <v>1822</v>
      </c>
      <c r="B1824" t="s">
        <v>1826</v>
      </c>
      <c r="C1824" t="s">
        <v>68</v>
      </c>
      <c r="D1824" s="1">
        <v>46226</v>
      </c>
      <c r="E1824" t="s">
        <v>1827</v>
      </c>
      <c r="F1824" t="s">
        <v>68</v>
      </c>
      <c r="G1824" t="s">
        <v>69</v>
      </c>
      <c r="H1824" t="s">
        <v>70</v>
      </c>
      <c r="I1824" t="s">
        <v>71</v>
      </c>
      <c r="J1824" t="s">
        <v>72</v>
      </c>
      <c r="K1824" t="s">
        <v>73</v>
      </c>
      <c r="L1824" t="s">
        <v>74</v>
      </c>
      <c r="M1824" t="s">
        <v>1290</v>
      </c>
      <c r="N1824" t="s">
        <v>76</v>
      </c>
      <c r="O1824" t="s">
        <v>1291</v>
      </c>
      <c r="P1824" t="s">
        <v>1292</v>
      </c>
      <c r="Q1824" t="s">
        <v>1828</v>
      </c>
      <c r="R1824" s="1">
        <v>46226</v>
      </c>
      <c r="S1824" t="s">
        <v>1294</v>
      </c>
      <c r="T1824" t="s">
        <v>1277</v>
      </c>
      <c r="U1824" t="s">
        <v>1278</v>
      </c>
      <c r="V1824" t="s">
        <v>66</v>
      </c>
      <c r="W1824" t="s">
        <v>66</v>
      </c>
      <c r="X1824">
        <v>1290762</v>
      </c>
      <c r="Y1824">
        <v>141983.82</v>
      </c>
      <c r="Z1824">
        <v>158004</v>
      </c>
      <c r="AA1824">
        <v>17380.439999999999</v>
      </c>
      <c r="AB1824">
        <v>1432745.82</v>
      </c>
      <c r="AC1824">
        <v>12</v>
      </c>
      <c r="AD1824" t="s">
        <v>82</v>
      </c>
      <c r="AE1824">
        <v>12</v>
      </c>
      <c r="AF1824" t="s">
        <v>210</v>
      </c>
      <c r="AG1824">
        <f>IFERROR(VLOOKUP(AF1824,[1]STOK!J:O,6,0),"")</f>
        <v>12</v>
      </c>
      <c r="AH1824" s="2">
        <f t="shared" si="56"/>
        <v>1</v>
      </c>
      <c r="AI1824" t="s">
        <v>210</v>
      </c>
      <c r="AJ1824" t="s">
        <v>211</v>
      </c>
      <c r="AK1824" t="s">
        <v>212</v>
      </c>
      <c r="AL1824" t="s">
        <v>86</v>
      </c>
      <c r="AM1824">
        <v>14763</v>
      </c>
      <c r="AN1824">
        <f t="shared" si="57"/>
        <v>14615.37</v>
      </c>
      <c r="AO1824" t="s">
        <v>66</v>
      </c>
      <c r="AP1824">
        <v>1</v>
      </c>
      <c r="AQ1824" t="s">
        <v>66</v>
      </c>
      <c r="AR1824">
        <v>0</v>
      </c>
      <c r="AS1824" t="s">
        <v>66</v>
      </c>
      <c r="AT1824">
        <v>0</v>
      </c>
      <c r="AU1824" t="s">
        <v>66</v>
      </c>
      <c r="AV1824">
        <v>0</v>
      </c>
      <c r="AW1824" t="s">
        <v>66</v>
      </c>
      <c r="AX1824">
        <v>0</v>
      </c>
      <c r="AY1824" t="s">
        <v>66</v>
      </c>
      <c r="AZ1824">
        <v>0</v>
      </c>
      <c r="BA1824" t="s">
        <v>66</v>
      </c>
      <c r="BB1824">
        <v>0</v>
      </c>
      <c r="BC1824">
        <v>0</v>
      </c>
      <c r="BD1824">
        <v>175384.44</v>
      </c>
      <c r="BE1824">
        <v>12013.43</v>
      </c>
      <c r="BF1824">
        <v>0</v>
      </c>
      <c r="BG1824" t="s">
        <v>87</v>
      </c>
      <c r="BH1824" t="s">
        <v>66</v>
      </c>
      <c r="BI1824">
        <v>0</v>
      </c>
      <c r="BJ1824" t="s">
        <v>66</v>
      </c>
      <c r="BK1824" t="s">
        <v>88</v>
      </c>
      <c r="BL1824" t="s">
        <v>66</v>
      </c>
      <c r="BM1824" t="s">
        <v>159</v>
      </c>
    </row>
    <row r="1825" spans="1:65" x14ac:dyDescent="0.25">
      <c r="A1825">
        <v>1823</v>
      </c>
      <c r="B1825" t="s">
        <v>1826</v>
      </c>
      <c r="C1825" t="s">
        <v>68</v>
      </c>
      <c r="D1825" s="1">
        <v>46226</v>
      </c>
      <c r="E1825" t="s">
        <v>1827</v>
      </c>
      <c r="F1825" t="s">
        <v>68</v>
      </c>
      <c r="G1825" t="s">
        <v>69</v>
      </c>
      <c r="H1825" t="s">
        <v>70</v>
      </c>
      <c r="I1825" t="s">
        <v>71</v>
      </c>
      <c r="J1825" t="s">
        <v>72</v>
      </c>
      <c r="K1825" t="s">
        <v>73</v>
      </c>
      <c r="L1825" t="s">
        <v>74</v>
      </c>
      <c r="M1825" t="s">
        <v>1290</v>
      </c>
      <c r="N1825" t="s">
        <v>76</v>
      </c>
      <c r="O1825" t="s">
        <v>1291</v>
      </c>
      <c r="P1825" t="s">
        <v>1292</v>
      </c>
      <c r="Q1825" t="s">
        <v>1828</v>
      </c>
      <c r="R1825" s="1">
        <v>46226</v>
      </c>
      <c r="S1825" t="s">
        <v>1294</v>
      </c>
      <c r="T1825" t="s">
        <v>1277</v>
      </c>
      <c r="U1825" t="s">
        <v>1278</v>
      </c>
      <c r="V1825" t="s">
        <v>66</v>
      </c>
      <c r="W1825" t="s">
        <v>66</v>
      </c>
      <c r="X1825">
        <v>1290762</v>
      </c>
      <c r="Y1825">
        <v>141983.82</v>
      </c>
      <c r="Z1825">
        <v>400950</v>
      </c>
      <c r="AA1825">
        <v>44104.5</v>
      </c>
      <c r="AB1825">
        <v>1432745.82</v>
      </c>
      <c r="AC1825">
        <v>6</v>
      </c>
      <c r="AD1825" t="s">
        <v>82</v>
      </c>
      <c r="AE1825">
        <v>6</v>
      </c>
      <c r="AF1825" t="s">
        <v>476</v>
      </c>
      <c r="AG1825">
        <f>IFERROR(VLOOKUP(AF1825,[1]STOK!J:O,6,0),"")</f>
        <v>4</v>
      </c>
      <c r="AH1825" s="2">
        <f t="shared" si="56"/>
        <v>1.5</v>
      </c>
      <c r="AI1825" t="s">
        <v>476</v>
      </c>
      <c r="AJ1825" t="s">
        <v>477</v>
      </c>
      <c r="AK1825" t="s">
        <v>478</v>
      </c>
      <c r="AL1825" t="s">
        <v>86</v>
      </c>
      <c r="AM1825">
        <v>74925</v>
      </c>
      <c r="AN1825">
        <f t="shared" si="57"/>
        <v>74175.75</v>
      </c>
      <c r="AO1825" t="s">
        <v>66</v>
      </c>
      <c r="AP1825">
        <v>1</v>
      </c>
      <c r="AQ1825" t="s">
        <v>66</v>
      </c>
      <c r="AR1825">
        <v>0</v>
      </c>
      <c r="AS1825" t="s">
        <v>66</v>
      </c>
      <c r="AT1825">
        <v>0</v>
      </c>
      <c r="AU1825" t="s">
        <v>66</v>
      </c>
      <c r="AV1825">
        <v>0</v>
      </c>
      <c r="AW1825" t="s">
        <v>66</v>
      </c>
      <c r="AX1825">
        <v>0</v>
      </c>
      <c r="AY1825" t="s">
        <v>66</v>
      </c>
      <c r="AZ1825">
        <v>0</v>
      </c>
      <c r="BA1825" t="s">
        <v>66</v>
      </c>
      <c r="BB1825">
        <v>0</v>
      </c>
      <c r="BC1825">
        <v>0</v>
      </c>
      <c r="BD1825">
        <v>445054.5</v>
      </c>
      <c r="BE1825">
        <v>60048.57</v>
      </c>
      <c r="BF1825">
        <v>0</v>
      </c>
      <c r="BG1825" t="s">
        <v>87</v>
      </c>
      <c r="BH1825" t="s">
        <v>66</v>
      </c>
      <c r="BI1825">
        <v>0</v>
      </c>
      <c r="BJ1825" t="s">
        <v>66</v>
      </c>
      <c r="BK1825" t="s">
        <v>88</v>
      </c>
      <c r="BL1825" t="s">
        <v>66</v>
      </c>
      <c r="BM1825" t="s">
        <v>159</v>
      </c>
    </row>
    <row r="1826" spans="1:65" x14ac:dyDescent="0.25">
      <c r="A1826">
        <v>1824</v>
      </c>
      <c r="B1826" t="s">
        <v>1829</v>
      </c>
      <c r="C1826" t="s">
        <v>68</v>
      </c>
      <c r="D1826" s="1">
        <v>46226</v>
      </c>
      <c r="E1826" t="s">
        <v>1830</v>
      </c>
      <c r="F1826" t="s">
        <v>68</v>
      </c>
      <c r="G1826" t="s">
        <v>69</v>
      </c>
      <c r="H1826" t="s">
        <v>70</v>
      </c>
      <c r="I1826" t="s">
        <v>71</v>
      </c>
      <c r="J1826" t="s">
        <v>72</v>
      </c>
      <c r="K1826" t="s">
        <v>73</v>
      </c>
      <c r="L1826" t="s">
        <v>74</v>
      </c>
      <c r="M1826" t="s">
        <v>1298</v>
      </c>
      <c r="N1826" t="s">
        <v>111</v>
      </c>
      <c r="O1826" t="s">
        <v>1299</v>
      </c>
      <c r="P1826" t="s">
        <v>1300</v>
      </c>
      <c r="Q1826" t="s">
        <v>1831</v>
      </c>
      <c r="R1826" s="1">
        <v>46226</v>
      </c>
      <c r="S1826" t="s">
        <v>1276</v>
      </c>
      <c r="T1826" t="s">
        <v>1277</v>
      </c>
      <c r="U1826" t="s">
        <v>1278</v>
      </c>
      <c r="V1826" t="s">
        <v>66</v>
      </c>
      <c r="W1826" t="s">
        <v>66</v>
      </c>
      <c r="X1826">
        <v>2770713</v>
      </c>
      <c r="Y1826">
        <v>304778.43</v>
      </c>
      <c r="Z1826">
        <v>107217</v>
      </c>
      <c r="AA1826">
        <v>11793.87</v>
      </c>
      <c r="AB1826">
        <v>3075491.43</v>
      </c>
      <c r="AC1826">
        <v>3</v>
      </c>
      <c r="AD1826" t="s">
        <v>82</v>
      </c>
      <c r="AE1826">
        <v>3</v>
      </c>
      <c r="AF1826" t="s">
        <v>1221</v>
      </c>
      <c r="AG1826">
        <f>IFERROR(VLOOKUP(AF1826,[1]STOK!J:O,6,0),"")</f>
        <v>12</v>
      </c>
      <c r="AH1826" s="2">
        <f t="shared" si="56"/>
        <v>0.25</v>
      </c>
      <c r="AI1826" t="s">
        <v>1221</v>
      </c>
      <c r="AJ1826" t="s">
        <v>1222</v>
      </c>
      <c r="AK1826" t="s">
        <v>1223</v>
      </c>
      <c r="AL1826" t="s">
        <v>86</v>
      </c>
      <c r="AM1826">
        <v>40071</v>
      </c>
      <c r="AN1826">
        <f t="shared" si="57"/>
        <v>39670.29</v>
      </c>
      <c r="AO1826" t="s">
        <v>66</v>
      </c>
      <c r="AP1826">
        <v>1</v>
      </c>
      <c r="AQ1826" t="s">
        <v>66</v>
      </c>
      <c r="AR1826">
        <v>0</v>
      </c>
      <c r="AS1826" t="s">
        <v>66</v>
      </c>
      <c r="AT1826">
        <v>0</v>
      </c>
      <c r="AU1826" t="s">
        <v>66</v>
      </c>
      <c r="AV1826">
        <v>0</v>
      </c>
      <c r="AW1826" t="s">
        <v>66</v>
      </c>
      <c r="AX1826">
        <v>0</v>
      </c>
      <c r="AY1826" t="s">
        <v>66</v>
      </c>
      <c r="AZ1826">
        <v>0</v>
      </c>
      <c r="BA1826" t="s">
        <v>66</v>
      </c>
      <c r="BB1826">
        <v>0</v>
      </c>
      <c r="BC1826">
        <v>0</v>
      </c>
      <c r="BD1826">
        <v>119010.87</v>
      </c>
      <c r="BE1826">
        <v>40839.06</v>
      </c>
      <c r="BF1826">
        <v>0</v>
      </c>
      <c r="BG1826" t="s">
        <v>87</v>
      </c>
      <c r="BH1826" t="s">
        <v>66</v>
      </c>
      <c r="BI1826">
        <v>0</v>
      </c>
      <c r="BJ1826" t="s">
        <v>66</v>
      </c>
      <c r="BK1826" t="s">
        <v>88</v>
      </c>
      <c r="BL1826" t="s">
        <v>66</v>
      </c>
      <c r="BM1826" t="s">
        <v>159</v>
      </c>
    </row>
    <row r="1827" spans="1:65" x14ac:dyDescent="0.25">
      <c r="A1827">
        <v>1825</v>
      </c>
      <c r="B1827" t="s">
        <v>1829</v>
      </c>
      <c r="C1827" t="s">
        <v>68</v>
      </c>
      <c r="D1827" s="1">
        <v>46226</v>
      </c>
      <c r="E1827" t="s">
        <v>1830</v>
      </c>
      <c r="F1827" t="s">
        <v>68</v>
      </c>
      <c r="G1827" t="s">
        <v>69</v>
      </c>
      <c r="H1827" t="s">
        <v>70</v>
      </c>
      <c r="I1827" t="s">
        <v>71</v>
      </c>
      <c r="J1827" t="s">
        <v>72</v>
      </c>
      <c r="K1827" t="s">
        <v>73</v>
      </c>
      <c r="L1827" t="s">
        <v>74</v>
      </c>
      <c r="M1827" t="s">
        <v>1298</v>
      </c>
      <c r="N1827" t="s">
        <v>111</v>
      </c>
      <c r="O1827" t="s">
        <v>1299</v>
      </c>
      <c r="P1827" t="s">
        <v>1300</v>
      </c>
      <c r="Q1827" t="s">
        <v>1831</v>
      </c>
      <c r="R1827" s="1">
        <v>46226</v>
      </c>
      <c r="S1827" t="s">
        <v>1276</v>
      </c>
      <c r="T1827" t="s">
        <v>1277</v>
      </c>
      <c r="U1827" t="s">
        <v>1278</v>
      </c>
      <c r="V1827" t="s">
        <v>66</v>
      </c>
      <c r="W1827" t="s">
        <v>66</v>
      </c>
      <c r="X1827">
        <v>2770713</v>
      </c>
      <c r="Y1827">
        <v>304778.43</v>
      </c>
      <c r="Z1827">
        <v>156816</v>
      </c>
      <c r="AA1827">
        <v>17249.759999999998</v>
      </c>
      <c r="AB1827">
        <v>3075491.43</v>
      </c>
      <c r="AC1827">
        <v>6</v>
      </c>
      <c r="AD1827" t="s">
        <v>82</v>
      </c>
      <c r="AE1827">
        <v>6</v>
      </c>
      <c r="AF1827" t="s">
        <v>1820</v>
      </c>
      <c r="AG1827">
        <f>IFERROR(VLOOKUP(AF1827,[1]STOK!J:O,6,0),"")</f>
        <v>24</v>
      </c>
      <c r="AH1827" s="2">
        <f t="shared" si="56"/>
        <v>0.25</v>
      </c>
      <c r="AI1827" t="s">
        <v>1820</v>
      </c>
      <c r="AJ1827" t="s">
        <v>1821</v>
      </c>
      <c r="AK1827" t="s">
        <v>1822</v>
      </c>
      <c r="AL1827" t="s">
        <v>86</v>
      </c>
      <c r="AM1827">
        <v>29304</v>
      </c>
      <c r="AN1827">
        <f t="shared" si="57"/>
        <v>29010.960000000003</v>
      </c>
      <c r="AO1827" t="s">
        <v>66</v>
      </c>
      <c r="AP1827">
        <v>1</v>
      </c>
      <c r="AQ1827" t="s">
        <v>66</v>
      </c>
      <c r="AR1827">
        <v>0</v>
      </c>
      <c r="AS1827" t="s">
        <v>66</v>
      </c>
      <c r="AT1827">
        <v>0</v>
      </c>
      <c r="AU1827" t="s">
        <v>66</v>
      </c>
      <c r="AV1827">
        <v>0</v>
      </c>
      <c r="AW1827" t="s">
        <v>66</v>
      </c>
      <c r="AX1827">
        <v>0</v>
      </c>
      <c r="AY1827" t="s">
        <v>66</v>
      </c>
      <c r="AZ1827">
        <v>0</v>
      </c>
      <c r="BA1827" t="s">
        <v>66</v>
      </c>
      <c r="BB1827">
        <v>0</v>
      </c>
      <c r="BC1827">
        <v>0</v>
      </c>
      <c r="BD1827">
        <v>174065.76</v>
      </c>
      <c r="BE1827">
        <v>23001.56</v>
      </c>
      <c r="BF1827">
        <v>0</v>
      </c>
      <c r="BG1827" t="s">
        <v>87</v>
      </c>
      <c r="BH1827" t="s">
        <v>66</v>
      </c>
      <c r="BI1827">
        <v>0</v>
      </c>
      <c r="BJ1827" t="s">
        <v>66</v>
      </c>
      <c r="BK1827" t="s">
        <v>88</v>
      </c>
      <c r="BL1827" t="s">
        <v>66</v>
      </c>
      <c r="BM1827" t="s">
        <v>159</v>
      </c>
    </row>
    <row r="1828" spans="1:65" x14ac:dyDescent="0.25">
      <c r="A1828">
        <v>1826</v>
      </c>
      <c r="B1828" t="s">
        <v>1829</v>
      </c>
      <c r="C1828" t="s">
        <v>68</v>
      </c>
      <c r="D1828" s="1">
        <v>46226</v>
      </c>
      <c r="E1828" t="s">
        <v>1830</v>
      </c>
      <c r="F1828" t="s">
        <v>68</v>
      </c>
      <c r="G1828" t="s">
        <v>69</v>
      </c>
      <c r="H1828" t="s">
        <v>70</v>
      </c>
      <c r="I1828" t="s">
        <v>71</v>
      </c>
      <c r="J1828" t="s">
        <v>72</v>
      </c>
      <c r="K1828" t="s">
        <v>73</v>
      </c>
      <c r="L1828" t="s">
        <v>74</v>
      </c>
      <c r="M1828" t="s">
        <v>1298</v>
      </c>
      <c r="N1828" t="s">
        <v>111</v>
      </c>
      <c r="O1828" t="s">
        <v>1299</v>
      </c>
      <c r="P1828" t="s">
        <v>1300</v>
      </c>
      <c r="Q1828" t="s">
        <v>1831</v>
      </c>
      <c r="R1828" s="1">
        <v>46226</v>
      </c>
      <c r="S1828" t="s">
        <v>1276</v>
      </c>
      <c r="T1828" t="s">
        <v>1277</v>
      </c>
      <c r="U1828" t="s">
        <v>1278</v>
      </c>
      <c r="V1828" t="s">
        <v>66</v>
      </c>
      <c r="W1828" t="s">
        <v>66</v>
      </c>
      <c r="X1828">
        <v>2770713</v>
      </c>
      <c r="Y1828">
        <v>304778.43</v>
      </c>
      <c r="Z1828">
        <v>43956</v>
      </c>
      <c r="AA1828">
        <v>4835.16</v>
      </c>
      <c r="AB1828">
        <v>3075491.43</v>
      </c>
      <c r="AC1828">
        <v>6</v>
      </c>
      <c r="AD1828" t="s">
        <v>82</v>
      </c>
      <c r="AE1828">
        <v>6</v>
      </c>
      <c r="AF1828" t="s">
        <v>415</v>
      </c>
      <c r="AG1828">
        <f>IFERROR(VLOOKUP(AF1828,[1]STOK!J:O,6,0),"")</f>
        <v>24</v>
      </c>
      <c r="AH1828" s="2">
        <f t="shared" si="56"/>
        <v>0.25</v>
      </c>
      <c r="AI1828" t="s">
        <v>415</v>
      </c>
      <c r="AJ1828" t="s">
        <v>416</v>
      </c>
      <c r="AK1828" t="s">
        <v>417</v>
      </c>
      <c r="AL1828" t="s">
        <v>86</v>
      </c>
      <c r="AM1828">
        <v>8214</v>
      </c>
      <c r="AN1828">
        <f t="shared" si="57"/>
        <v>8131.8600000000006</v>
      </c>
      <c r="AO1828" t="s">
        <v>66</v>
      </c>
      <c r="AP1828">
        <v>1</v>
      </c>
      <c r="AQ1828" t="s">
        <v>66</v>
      </c>
      <c r="AR1828">
        <v>0</v>
      </c>
      <c r="AS1828" t="s">
        <v>66</v>
      </c>
      <c r="AT1828">
        <v>0</v>
      </c>
      <c r="AU1828" t="s">
        <v>66</v>
      </c>
      <c r="AV1828">
        <v>0</v>
      </c>
      <c r="AW1828" t="s">
        <v>66</v>
      </c>
      <c r="AX1828">
        <v>0</v>
      </c>
      <c r="AY1828" t="s">
        <v>66</v>
      </c>
      <c r="AZ1828">
        <v>0</v>
      </c>
      <c r="BA1828" t="s">
        <v>66</v>
      </c>
      <c r="BB1828">
        <v>0</v>
      </c>
      <c r="BC1828">
        <v>0</v>
      </c>
      <c r="BD1828">
        <v>48791.16</v>
      </c>
      <c r="BE1828">
        <v>6672.49</v>
      </c>
      <c r="BF1828">
        <v>0</v>
      </c>
      <c r="BG1828" t="s">
        <v>87</v>
      </c>
      <c r="BH1828" t="s">
        <v>66</v>
      </c>
      <c r="BI1828">
        <v>0</v>
      </c>
      <c r="BJ1828" t="s">
        <v>66</v>
      </c>
      <c r="BK1828" t="s">
        <v>88</v>
      </c>
      <c r="BL1828" t="s">
        <v>66</v>
      </c>
      <c r="BM1828" t="s">
        <v>159</v>
      </c>
    </row>
    <row r="1829" spans="1:65" x14ac:dyDescent="0.25">
      <c r="A1829">
        <v>1827</v>
      </c>
      <c r="B1829" t="s">
        <v>1829</v>
      </c>
      <c r="C1829" t="s">
        <v>68</v>
      </c>
      <c r="D1829" s="1">
        <v>46226</v>
      </c>
      <c r="E1829" t="s">
        <v>1830</v>
      </c>
      <c r="F1829" t="s">
        <v>68</v>
      </c>
      <c r="G1829" t="s">
        <v>69</v>
      </c>
      <c r="H1829" t="s">
        <v>70</v>
      </c>
      <c r="I1829" t="s">
        <v>71</v>
      </c>
      <c r="J1829" t="s">
        <v>72</v>
      </c>
      <c r="K1829" t="s">
        <v>73</v>
      </c>
      <c r="L1829" t="s">
        <v>74</v>
      </c>
      <c r="M1829" t="s">
        <v>1298</v>
      </c>
      <c r="N1829" t="s">
        <v>111</v>
      </c>
      <c r="O1829" t="s">
        <v>1299</v>
      </c>
      <c r="P1829" t="s">
        <v>1300</v>
      </c>
      <c r="Q1829" t="s">
        <v>1831</v>
      </c>
      <c r="R1829" s="1">
        <v>46226</v>
      </c>
      <c r="S1829" t="s">
        <v>1276</v>
      </c>
      <c r="T1829" t="s">
        <v>1277</v>
      </c>
      <c r="U1829" t="s">
        <v>1278</v>
      </c>
      <c r="V1829" t="s">
        <v>66</v>
      </c>
      <c r="W1829" t="s">
        <v>66</v>
      </c>
      <c r="X1829">
        <v>2770713</v>
      </c>
      <c r="Y1829">
        <v>304778.43</v>
      </c>
      <c r="Z1829">
        <v>93852</v>
      </c>
      <c r="AA1829">
        <v>10323.719999999999</v>
      </c>
      <c r="AB1829">
        <v>3075491.43</v>
      </c>
      <c r="AC1829">
        <v>12</v>
      </c>
      <c r="AD1829" t="s">
        <v>82</v>
      </c>
      <c r="AE1829">
        <v>12</v>
      </c>
      <c r="AF1829" t="s">
        <v>248</v>
      </c>
      <c r="AG1829">
        <f>IFERROR(VLOOKUP(AF1829,[1]STOK!J:O,6,0),"")</f>
        <v>24</v>
      </c>
      <c r="AH1829" s="2">
        <f t="shared" si="56"/>
        <v>0.5</v>
      </c>
      <c r="AI1829" t="s">
        <v>248</v>
      </c>
      <c r="AJ1829" t="s">
        <v>249</v>
      </c>
      <c r="AK1829" t="s">
        <v>250</v>
      </c>
      <c r="AL1829" t="s">
        <v>86</v>
      </c>
      <c r="AM1829">
        <v>8769</v>
      </c>
      <c r="AN1829">
        <f t="shared" si="57"/>
        <v>8681.31</v>
      </c>
      <c r="AO1829" t="s">
        <v>66</v>
      </c>
      <c r="AP1829">
        <v>1</v>
      </c>
      <c r="AQ1829" t="s">
        <v>66</v>
      </c>
      <c r="AR1829">
        <v>0</v>
      </c>
      <c r="AS1829" t="s">
        <v>66</v>
      </c>
      <c r="AT1829">
        <v>0</v>
      </c>
      <c r="AU1829" t="s">
        <v>66</v>
      </c>
      <c r="AV1829">
        <v>0</v>
      </c>
      <c r="AW1829" t="s">
        <v>66</v>
      </c>
      <c r="AX1829">
        <v>0</v>
      </c>
      <c r="AY1829" t="s">
        <v>66</v>
      </c>
      <c r="AZ1829">
        <v>0</v>
      </c>
      <c r="BA1829" t="s">
        <v>66</v>
      </c>
      <c r="BB1829">
        <v>0</v>
      </c>
      <c r="BC1829">
        <v>0</v>
      </c>
      <c r="BD1829">
        <v>104175.72</v>
      </c>
      <c r="BE1829">
        <v>7274.07</v>
      </c>
      <c r="BF1829">
        <v>0</v>
      </c>
      <c r="BG1829" t="s">
        <v>87</v>
      </c>
      <c r="BH1829" t="s">
        <v>66</v>
      </c>
      <c r="BI1829">
        <v>0</v>
      </c>
      <c r="BJ1829" t="s">
        <v>66</v>
      </c>
      <c r="BK1829" t="s">
        <v>88</v>
      </c>
      <c r="BL1829" t="s">
        <v>66</v>
      </c>
      <c r="BM1829" t="s">
        <v>159</v>
      </c>
    </row>
    <row r="1830" spans="1:65" x14ac:dyDescent="0.25">
      <c r="A1830">
        <v>1828</v>
      </c>
      <c r="B1830" t="s">
        <v>1829</v>
      </c>
      <c r="C1830" t="s">
        <v>68</v>
      </c>
      <c r="D1830" s="1">
        <v>46226</v>
      </c>
      <c r="E1830" t="s">
        <v>1830</v>
      </c>
      <c r="F1830" t="s">
        <v>68</v>
      </c>
      <c r="G1830" t="s">
        <v>69</v>
      </c>
      <c r="H1830" t="s">
        <v>70</v>
      </c>
      <c r="I1830" t="s">
        <v>71</v>
      </c>
      <c r="J1830" t="s">
        <v>72</v>
      </c>
      <c r="K1830" t="s">
        <v>73</v>
      </c>
      <c r="L1830" t="s">
        <v>74</v>
      </c>
      <c r="M1830" t="s">
        <v>1298</v>
      </c>
      <c r="N1830" t="s">
        <v>111</v>
      </c>
      <c r="O1830" t="s">
        <v>1299</v>
      </c>
      <c r="P1830" t="s">
        <v>1300</v>
      </c>
      <c r="Q1830" t="s">
        <v>1831</v>
      </c>
      <c r="R1830" s="1">
        <v>46226</v>
      </c>
      <c r="S1830" t="s">
        <v>1276</v>
      </c>
      <c r="T1830" t="s">
        <v>1277</v>
      </c>
      <c r="U1830" t="s">
        <v>1278</v>
      </c>
      <c r="V1830" t="s">
        <v>66</v>
      </c>
      <c r="W1830" t="s">
        <v>66</v>
      </c>
      <c r="X1830">
        <v>2770713</v>
      </c>
      <c r="Y1830">
        <v>304778.43</v>
      </c>
      <c r="Z1830">
        <v>33858</v>
      </c>
      <c r="AA1830">
        <v>3724.38</v>
      </c>
      <c r="AB1830">
        <v>3075491.43</v>
      </c>
      <c r="AC1830">
        <v>6</v>
      </c>
      <c r="AD1830" t="s">
        <v>82</v>
      </c>
      <c r="AE1830">
        <v>6</v>
      </c>
      <c r="AF1830" t="s">
        <v>202</v>
      </c>
      <c r="AG1830">
        <f>IFERROR(VLOOKUP(AF1830,[1]STOK!J:O,6,0),"")</f>
        <v>48</v>
      </c>
      <c r="AH1830" s="2">
        <f t="shared" si="56"/>
        <v>0.125</v>
      </c>
      <c r="AI1830" t="s">
        <v>202</v>
      </c>
      <c r="AJ1830" t="s">
        <v>203</v>
      </c>
      <c r="AK1830" t="s">
        <v>204</v>
      </c>
      <c r="AL1830" t="s">
        <v>86</v>
      </c>
      <c r="AM1830">
        <v>6327</v>
      </c>
      <c r="AN1830">
        <f t="shared" si="57"/>
        <v>6263.73</v>
      </c>
      <c r="AO1830" t="s">
        <v>66</v>
      </c>
      <c r="AP1830">
        <v>1</v>
      </c>
      <c r="AQ1830" t="s">
        <v>66</v>
      </c>
      <c r="AR1830">
        <v>0</v>
      </c>
      <c r="AS1830" t="s">
        <v>66</v>
      </c>
      <c r="AT1830">
        <v>0</v>
      </c>
      <c r="AU1830" t="s">
        <v>66</v>
      </c>
      <c r="AV1830">
        <v>0</v>
      </c>
      <c r="AW1830" t="s">
        <v>66</v>
      </c>
      <c r="AX1830">
        <v>0</v>
      </c>
      <c r="AY1830" t="s">
        <v>66</v>
      </c>
      <c r="AZ1830">
        <v>0</v>
      </c>
      <c r="BA1830" t="s">
        <v>66</v>
      </c>
      <c r="BB1830">
        <v>0</v>
      </c>
      <c r="BC1830">
        <v>0</v>
      </c>
      <c r="BD1830">
        <v>37582.379999999997</v>
      </c>
      <c r="BE1830">
        <v>4914.4399999999996</v>
      </c>
      <c r="BF1830">
        <v>0</v>
      </c>
      <c r="BG1830" t="s">
        <v>87</v>
      </c>
      <c r="BH1830" t="s">
        <v>66</v>
      </c>
      <c r="BI1830">
        <v>0</v>
      </c>
      <c r="BJ1830" t="s">
        <v>66</v>
      </c>
      <c r="BK1830" t="s">
        <v>88</v>
      </c>
      <c r="BL1830" t="s">
        <v>66</v>
      </c>
      <c r="BM1830" t="s">
        <v>159</v>
      </c>
    </row>
    <row r="1831" spans="1:65" x14ac:dyDescent="0.25">
      <c r="A1831">
        <v>1829</v>
      </c>
      <c r="B1831" t="s">
        <v>1829</v>
      </c>
      <c r="C1831" t="s">
        <v>68</v>
      </c>
      <c r="D1831" s="1">
        <v>46226</v>
      </c>
      <c r="E1831" t="s">
        <v>1830</v>
      </c>
      <c r="F1831" t="s">
        <v>68</v>
      </c>
      <c r="G1831" t="s">
        <v>69</v>
      </c>
      <c r="H1831" t="s">
        <v>70</v>
      </c>
      <c r="I1831" t="s">
        <v>71</v>
      </c>
      <c r="J1831" t="s">
        <v>72</v>
      </c>
      <c r="K1831" t="s">
        <v>73</v>
      </c>
      <c r="L1831" t="s">
        <v>74</v>
      </c>
      <c r="M1831" t="s">
        <v>1298</v>
      </c>
      <c r="N1831" t="s">
        <v>111</v>
      </c>
      <c r="O1831" t="s">
        <v>1299</v>
      </c>
      <c r="P1831" t="s">
        <v>1300</v>
      </c>
      <c r="Q1831" t="s">
        <v>1831</v>
      </c>
      <c r="R1831" s="1">
        <v>46226</v>
      </c>
      <c r="S1831" t="s">
        <v>1276</v>
      </c>
      <c r="T1831" t="s">
        <v>1277</v>
      </c>
      <c r="U1831" t="s">
        <v>1278</v>
      </c>
      <c r="V1831" t="s">
        <v>66</v>
      </c>
      <c r="W1831" t="s">
        <v>66</v>
      </c>
      <c r="X1831">
        <v>2770713</v>
      </c>
      <c r="Y1831">
        <v>304778.43</v>
      </c>
      <c r="Z1831">
        <v>98010</v>
      </c>
      <c r="AA1831">
        <v>10781.1</v>
      </c>
      <c r="AB1831">
        <v>3075491.43</v>
      </c>
      <c r="AC1831">
        <v>6</v>
      </c>
      <c r="AD1831" t="s">
        <v>82</v>
      </c>
      <c r="AE1831">
        <v>6</v>
      </c>
      <c r="AF1831" t="s">
        <v>128</v>
      </c>
      <c r="AG1831">
        <f>IFERROR(VLOOKUP(AF1831,[1]STOK!J:O,6,0),"")</f>
        <v>24</v>
      </c>
      <c r="AH1831" s="2">
        <f t="shared" si="56"/>
        <v>0.25</v>
      </c>
      <c r="AI1831" t="s">
        <v>128</v>
      </c>
      <c r="AJ1831" t="s">
        <v>129</v>
      </c>
      <c r="AK1831" t="s">
        <v>130</v>
      </c>
      <c r="AL1831" t="s">
        <v>86</v>
      </c>
      <c r="AM1831">
        <v>18315</v>
      </c>
      <c r="AN1831">
        <f t="shared" si="57"/>
        <v>18131.850000000002</v>
      </c>
      <c r="AO1831" t="s">
        <v>66</v>
      </c>
      <c r="AP1831">
        <v>1</v>
      </c>
      <c r="AQ1831" t="s">
        <v>66</v>
      </c>
      <c r="AR1831">
        <v>0</v>
      </c>
      <c r="AS1831" t="s">
        <v>66</v>
      </c>
      <c r="AT1831">
        <v>0</v>
      </c>
      <c r="AU1831" t="s">
        <v>66</v>
      </c>
      <c r="AV1831">
        <v>0</v>
      </c>
      <c r="AW1831" t="s">
        <v>66</v>
      </c>
      <c r="AX1831">
        <v>0</v>
      </c>
      <c r="AY1831" t="s">
        <v>66</v>
      </c>
      <c r="AZ1831">
        <v>0</v>
      </c>
      <c r="BA1831" t="s">
        <v>66</v>
      </c>
      <c r="BB1831">
        <v>0</v>
      </c>
      <c r="BC1831">
        <v>0</v>
      </c>
      <c r="BD1831">
        <v>108791.1</v>
      </c>
      <c r="BE1831">
        <v>14828.88</v>
      </c>
      <c r="BF1831">
        <v>0</v>
      </c>
      <c r="BG1831" t="s">
        <v>87</v>
      </c>
      <c r="BH1831" t="s">
        <v>66</v>
      </c>
      <c r="BI1831">
        <v>0</v>
      </c>
      <c r="BJ1831" t="s">
        <v>66</v>
      </c>
      <c r="BK1831" t="s">
        <v>88</v>
      </c>
      <c r="BL1831" t="s">
        <v>66</v>
      </c>
      <c r="BM1831" t="s">
        <v>159</v>
      </c>
    </row>
    <row r="1832" spans="1:65" x14ac:dyDescent="0.25">
      <c r="A1832">
        <v>1830</v>
      </c>
      <c r="B1832" t="s">
        <v>1829</v>
      </c>
      <c r="C1832" t="s">
        <v>68</v>
      </c>
      <c r="D1832" s="1">
        <v>46226</v>
      </c>
      <c r="E1832" t="s">
        <v>1830</v>
      </c>
      <c r="F1832" t="s">
        <v>68</v>
      </c>
      <c r="G1832" t="s">
        <v>69</v>
      </c>
      <c r="H1832" t="s">
        <v>70</v>
      </c>
      <c r="I1832" t="s">
        <v>71</v>
      </c>
      <c r="J1832" t="s">
        <v>72</v>
      </c>
      <c r="K1832" t="s">
        <v>73</v>
      </c>
      <c r="L1832" t="s">
        <v>74</v>
      </c>
      <c r="M1832" t="s">
        <v>1298</v>
      </c>
      <c r="N1832" t="s">
        <v>111</v>
      </c>
      <c r="O1832" t="s">
        <v>1299</v>
      </c>
      <c r="P1832" t="s">
        <v>1300</v>
      </c>
      <c r="Q1832" t="s">
        <v>1831</v>
      </c>
      <c r="R1832" s="1">
        <v>46226</v>
      </c>
      <c r="S1832" t="s">
        <v>1276</v>
      </c>
      <c r="T1832" t="s">
        <v>1277</v>
      </c>
      <c r="U1832" t="s">
        <v>1278</v>
      </c>
      <c r="V1832" t="s">
        <v>66</v>
      </c>
      <c r="W1832" t="s">
        <v>66</v>
      </c>
      <c r="X1832">
        <v>2770713</v>
      </c>
      <c r="Y1832">
        <v>304778.43</v>
      </c>
      <c r="Z1832">
        <v>98010</v>
      </c>
      <c r="AA1832">
        <v>10781.1</v>
      </c>
      <c r="AB1832">
        <v>3075491.43</v>
      </c>
      <c r="AC1832">
        <v>6</v>
      </c>
      <c r="AD1832" t="s">
        <v>82</v>
      </c>
      <c r="AE1832">
        <v>6</v>
      </c>
      <c r="AF1832" t="s">
        <v>99</v>
      </c>
      <c r="AG1832">
        <f>IFERROR(VLOOKUP(AF1832,[1]STOK!J:O,6,0),"")</f>
        <v>24</v>
      </c>
      <c r="AH1832" s="2">
        <f t="shared" si="56"/>
        <v>0.25</v>
      </c>
      <c r="AI1832" t="s">
        <v>99</v>
      </c>
      <c r="AJ1832" t="s">
        <v>100</v>
      </c>
      <c r="AK1832" t="s">
        <v>101</v>
      </c>
      <c r="AL1832" t="s">
        <v>86</v>
      </c>
      <c r="AM1832">
        <v>18315</v>
      </c>
      <c r="AN1832">
        <f t="shared" si="57"/>
        <v>18131.850000000002</v>
      </c>
      <c r="AO1832" t="s">
        <v>66</v>
      </c>
      <c r="AP1832">
        <v>1</v>
      </c>
      <c r="AQ1832" t="s">
        <v>66</v>
      </c>
      <c r="AR1832">
        <v>0</v>
      </c>
      <c r="AS1832" t="s">
        <v>66</v>
      </c>
      <c r="AT1832">
        <v>0</v>
      </c>
      <c r="AU1832" t="s">
        <v>66</v>
      </c>
      <c r="AV1832">
        <v>0</v>
      </c>
      <c r="AW1832" t="s">
        <v>66</v>
      </c>
      <c r="AX1832">
        <v>0</v>
      </c>
      <c r="AY1832" t="s">
        <v>66</v>
      </c>
      <c r="AZ1832">
        <v>0</v>
      </c>
      <c r="BA1832" t="s">
        <v>66</v>
      </c>
      <c r="BB1832">
        <v>0</v>
      </c>
      <c r="BC1832">
        <v>0</v>
      </c>
      <c r="BD1832">
        <v>108791.1</v>
      </c>
      <c r="BE1832">
        <v>14920.37</v>
      </c>
      <c r="BF1832">
        <v>0</v>
      </c>
      <c r="BG1832" t="s">
        <v>87</v>
      </c>
      <c r="BH1832" t="s">
        <v>66</v>
      </c>
      <c r="BI1832">
        <v>0</v>
      </c>
      <c r="BJ1832" t="s">
        <v>66</v>
      </c>
      <c r="BK1832" t="s">
        <v>88</v>
      </c>
      <c r="BL1832" t="s">
        <v>66</v>
      </c>
      <c r="BM1832" t="s">
        <v>159</v>
      </c>
    </row>
    <row r="1833" spans="1:65" x14ac:dyDescent="0.25">
      <c r="A1833">
        <v>1831</v>
      </c>
      <c r="B1833" t="s">
        <v>1829</v>
      </c>
      <c r="C1833" t="s">
        <v>68</v>
      </c>
      <c r="D1833" s="1">
        <v>46226</v>
      </c>
      <c r="E1833" t="s">
        <v>1830</v>
      </c>
      <c r="F1833" t="s">
        <v>68</v>
      </c>
      <c r="G1833" t="s">
        <v>69</v>
      </c>
      <c r="H1833" t="s">
        <v>70</v>
      </c>
      <c r="I1833" t="s">
        <v>71</v>
      </c>
      <c r="J1833" t="s">
        <v>72</v>
      </c>
      <c r="K1833" t="s">
        <v>73</v>
      </c>
      <c r="L1833" t="s">
        <v>74</v>
      </c>
      <c r="M1833" t="s">
        <v>1298</v>
      </c>
      <c r="N1833" t="s">
        <v>111</v>
      </c>
      <c r="O1833" t="s">
        <v>1299</v>
      </c>
      <c r="P1833" t="s">
        <v>1300</v>
      </c>
      <c r="Q1833" t="s">
        <v>1831</v>
      </c>
      <c r="R1833" s="1">
        <v>46226</v>
      </c>
      <c r="S1833" t="s">
        <v>1276</v>
      </c>
      <c r="T1833" t="s">
        <v>1277</v>
      </c>
      <c r="U1833" t="s">
        <v>1278</v>
      </c>
      <c r="V1833" t="s">
        <v>66</v>
      </c>
      <c r="W1833" t="s">
        <v>66</v>
      </c>
      <c r="X1833">
        <v>2770713</v>
      </c>
      <c r="Y1833">
        <v>304778.43</v>
      </c>
      <c r="Z1833">
        <v>162162</v>
      </c>
      <c r="AA1833">
        <v>17837.82</v>
      </c>
      <c r="AB1833">
        <v>3075491.43</v>
      </c>
      <c r="AC1833">
        <v>6</v>
      </c>
      <c r="AD1833" t="s">
        <v>82</v>
      </c>
      <c r="AE1833">
        <v>6</v>
      </c>
      <c r="AF1833" t="s">
        <v>303</v>
      </c>
      <c r="AG1833">
        <f>IFERROR(VLOOKUP(AF1833,[1]STOK!J:O,6,0),"")</f>
        <v>12</v>
      </c>
      <c r="AH1833" s="2">
        <f t="shared" si="56"/>
        <v>0.5</v>
      </c>
      <c r="AI1833" t="s">
        <v>303</v>
      </c>
      <c r="AJ1833" t="s">
        <v>304</v>
      </c>
      <c r="AK1833" t="s">
        <v>305</v>
      </c>
      <c r="AL1833" t="s">
        <v>86</v>
      </c>
      <c r="AM1833">
        <v>30303</v>
      </c>
      <c r="AN1833">
        <f t="shared" si="57"/>
        <v>29999.97</v>
      </c>
      <c r="AO1833" t="s">
        <v>66</v>
      </c>
      <c r="AP1833">
        <v>1</v>
      </c>
      <c r="AQ1833" t="s">
        <v>66</v>
      </c>
      <c r="AR1833">
        <v>0</v>
      </c>
      <c r="AS1833" t="s">
        <v>66</v>
      </c>
      <c r="AT1833">
        <v>0</v>
      </c>
      <c r="AU1833" t="s">
        <v>66</v>
      </c>
      <c r="AV1833">
        <v>0</v>
      </c>
      <c r="AW1833" t="s">
        <v>66</v>
      </c>
      <c r="AX1833">
        <v>0</v>
      </c>
      <c r="AY1833" t="s">
        <v>66</v>
      </c>
      <c r="AZ1833">
        <v>0</v>
      </c>
      <c r="BA1833" t="s">
        <v>66</v>
      </c>
      <c r="BB1833">
        <v>0</v>
      </c>
      <c r="BC1833">
        <v>0</v>
      </c>
      <c r="BD1833">
        <v>179999.82</v>
      </c>
      <c r="BE1833">
        <v>24618.560000000001</v>
      </c>
      <c r="BF1833">
        <v>0</v>
      </c>
      <c r="BG1833" t="s">
        <v>87</v>
      </c>
      <c r="BH1833" t="s">
        <v>66</v>
      </c>
      <c r="BI1833">
        <v>0</v>
      </c>
      <c r="BJ1833" t="s">
        <v>66</v>
      </c>
      <c r="BK1833" t="s">
        <v>88</v>
      </c>
      <c r="BL1833" t="s">
        <v>66</v>
      </c>
      <c r="BM1833" t="s">
        <v>159</v>
      </c>
    </row>
    <row r="1834" spans="1:65" x14ac:dyDescent="0.25">
      <c r="A1834">
        <v>1832</v>
      </c>
      <c r="B1834" t="s">
        <v>1829</v>
      </c>
      <c r="C1834" t="s">
        <v>68</v>
      </c>
      <c r="D1834" s="1">
        <v>46226</v>
      </c>
      <c r="E1834" t="s">
        <v>1830</v>
      </c>
      <c r="F1834" t="s">
        <v>68</v>
      </c>
      <c r="G1834" t="s">
        <v>69</v>
      </c>
      <c r="H1834" t="s">
        <v>70</v>
      </c>
      <c r="I1834" t="s">
        <v>71</v>
      </c>
      <c r="J1834" t="s">
        <v>72</v>
      </c>
      <c r="K1834" t="s">
        <v>73</v>
      </c>
      <c r="L1834" t="s">
        <v>74</v>
      </c>
      <c r="M1834" t="s">
        <v>1298</v>
      </c>
      <c r="N1834" t="s">
        <v>111</v>
      </c>
      <c r="O1834" t="s">
        <v>1299</v>
      </c>
      <c r="P1834" t="s">
        <v>1300</v>
      </c>
      <c r="Q1834" t="s">
        <v>1831</v>
      </c>
      <c r="R1834" s="1">
        <v>46226</v>
      </c>
      <c r="S1834" t="s">
        <v>1276</v>
      </c>
      <c r="T1834" t="s">
        <v>1277</v>
      </c>
      <c r="U1834" t="s">
        <v>1278</v>
      </c>
      <c r="V1834" t="s">
        <v>66</v>
      </c>
      <c r="W1834" t="s">
        <v>66</v>
      </c>
      <c r="X1834">
        <v>2770713</v>
      </c>
      <c r="Y1834">
        <v>304778.43</v>
      </c>
      <c r="Z1834">
        <v>115236</v>
      </c>
      <c r="AA1834">
        <v>12675.96</v>
      </c>
      <c r="AB1834">
        <v>3075491.43</v>
      </c>
      <c r="AC1834">
        <v>6</v>
      </c>
      <c r="AD1834" t="s">
        <v>82</v>
      </c>
      <c r="AE1834">
        <v>6</v>
      </c>
      <c r="AF1834" t="s">
        <v>281</v>
      </c>
      <c r="AG1834">
        <f>IFERROR(VLOOKUP(AF1834,[1]STOK!J:O,6,0),"")</f>
        <v>24</v>
      </c>
      <c r="AH1834" s="2">
        <f t="shared" si="56"/>
        <v>0.25</v>
      </c>
      <c r="AI1834" t="s">
        <v>281</v>
      </c>
      <c r="AJ1834" t="s">
        <v>282</v>
      </c>
      <c r="AK1834" t="s">
        <v>283</v>
      </c>
      <c r="AL1834" t="s">
        <v>86</v>
      </c>
      <c r="AM1834">
        <v>21534</v>
      </c>
      <c r="AN1834">
        <f t="shared" si="57"/>
        <v>21318.66</v>
      </c>
      <c r="AO1834" t="s">
        <v>66</v>
      </c>
      <c r="AP1834">
        <v>1</v>
      </c>
      <c r="AQ1834" t="s">
        <v>66</v>
      </c>
      <c r="AR1834">
        <v>0</v>
      </c>
      <c r="AS1834" t="s">
        <v>66</v>
      </c>
      <c r="AT1834">
        <v>0</v>
      </c>
      <c r="AU1834" t="s">
        <v>66</v>
      </c>
      <c r="AV1834">
        <v>0</v>
      </c>
      <c r="AW1834" t="s">
        <v>66</v>
      </c>
      <c r="AX1834">
        <v>0</v>
      </c>
      <c r="AY1834" t="s">
        <v>66</v>
      </c>
      <c r="AZ1834">
        <v>0</v>
      </c>
      <c r="BA1834" t="s">
        <v>66</v>
      </c>
      <c r="BB1834">
        <v>0</v>
      </c>
      <c r="BC1834">
        <v>0</v>
      </c>
      <c r="BD1834">
        <v>127911.96</v>
      </c>
      <c r="BE1834">
        <v>17424.48</v>
      </c>
      <c r="BF1834">
        <v>0</v>
      </c>
      <c r="BG1834" t="s">
        <v>87</v>
      </c>
      <c r="BH1834" t="s">
        <v>66</v>
      </c>
      <c r="BI1834">
        <v>0</v>
      </c>
      <c r="BJ1834" t="s">
        <v>66</v>
      </c>
      <c r="BK1834" t="s">
        <v>88</v>
      </c>
      <c r="BL1834" t="s">
        <v>66</v>
      </c>
      <c r="BM1834" t="s">
        <v>159</v>
      </c>
    </row>
    <row r="1835" spans="1:65" x14ac:dyDescent="0.25">
      <c r="A1835">
        <v>1833</v>
      </c>
      <c r="B1835" t="s">
        <v>1829</v>
      </c>
      <c r="C1835" t="s">
        <v>68</v>
      </c>
      <c r="D1835" s="1">
        <v>46226</v>
      </c>
      <c r="E1835" t="s">
        <v>1830</v>
      </c>
      <c r="F1835" t="s">
        <v>68</v>
      </c>
      <c r="G1835" t="s">
        <v>69</v>
      </c>
      <c r="H1835" t="s">
        <v>70</v>
      </c>
      <c r="I1835" t="s">
        <v>71</v>
      </c>
      <c r="J1835" t="s">
        <v>72</v>
      </c>
      <c r="K1835" t="s">
        <v>73</v>
      </c>
      <c r="L1835" t="s">
        <v>74</v>
      </c>
      <c r="M1835" t="s">
        <v>1298</v>
      </c>
      <c r="N1835" t="s">
        <v>111</v>
      </c>
      <c r="O1835" t="s">
        <v>1299</v>
      </c>
      <c r="P1835" t="s">
        <v>1300</v>
      </c>
      <c r="Q1835" t="s">
        <v>1831</v>
      </c>
      <c r="R1835" s="1">
        <v>46226</v>
      </c>
      <c r="S1835" t="s">
        <v>1276</v>
      </c>
      <c r="T1835" t="s">
        <v>1277</v>
      </c>
      <c r="U1835" t="s">
        <v>1278</v>
      </c>
      <c r="V1835" t="s">
        <v>66</v>
      </c>
      <c r="W1835" t="s">
        <v>66</v>
      </c>
      <c r="X1835">
        <v>2770713</v>
      </c>
      <c r="Y1835">
        <v>304778.43</v>
      </c>
      <c r="Z1835">
        <v>200772</v>
      </c>
      <c r="AA1835">
        <v>22084.92</v>
      </c>
      <c r="AB1835">
        <v>3075491.43</v>
      </c>
      <c r="AC1835">
        <v>6</v>
      </c>
      <c r="AD1835" t="s">
        <v>82</v>
      </c>
      <c r="AE1835">
        <v>6</v>
      </c>
      <c r="AF1835" t="s">
        <v>1418</v>
      </c>
      <c r="AG1835">
        <f>IFERROR(VLOOKUP(AF1835,[1]STOK!J:O,6,0),"")</f>
        <v>12</v>
      </c>
      <c r="AH1835" s="2">
        <f t="shared" si="56"/>
        <v>0.5</v>
      </c>
      <c r="AI1835" t="s">
        <v>1418</v>
      </c>
      <c r="AJ1835" t="s">
        <v>1419</v>
      </c>
      <c r="AK1835" t="s">
        <v>1420</v>
      </c>
      <c r="AL1835" t="s">
        <v>86</v>
      </c>
      <c r="AM1835">
        <v>37518</v>
      </c>
      <c r="AN1835">
        <f t="shared" si="57"/>
        <v>37142.82</v>
      </c>
      <c r="AO1835" t="s">
        <v>66</v>
      </c>
      <c r="AP1835">
        <v>1</v>
      </c>
      <c r="AQ1835" t="s">
        <v>66</v>
      </c>
      <c r="AR1835">
        <v>0</v>
      </c>
      <c r="AS1835" t="s">
        <v>66</v>
      </c>
      <c r="AT1835">
        <v>0</v>
      </c>
      <c r="AU1835" t="s">
        <v>66</v>
      </c>
      <c r="AV1835">
        <v>0</v>
      </c>
      <c r="AW1835" t="s">
        <v>66</v>
      </c>
      <c r="AX1835">
        <v>0</v>
      </c>
      <c r="AY1835" t="s">
        <v>66</v>
      </c>
      <c r="AZ1835">
        <v>0</v>
      </c>
      <c r="BA1835" t="s">
        <v>66</v>
      </c>
      <c r="BB1835">
        <v>0</v>
      </c>
      <c r="BC1835">
        <v>0</v>
      </c>
      <c r="BD1835">
        <v>222856.92</v>
      </c>
      <c r="BE1835">
        <v>29536.69</v>
      </c>
      <c r="BF1835">
        <v>0</v>
      </c>
      <c r="BG1835" t="s">
        <v>87</v>
      </c>
      <c r="BH1835" t="s">
        <v>66</v>
      </c>
      <c r="BI1835">
        <v>0</v>
      </c>
      <c r="BJ1835" t="s">
        <v>66</v>
      </c>
      <c r="BK1835" t="s">
        <v>88</v>
      </c>
      <c r="BL1835" t="s">
        <v>66</v>
      </c>
      <c r="BM1835" t="s">
        <v>159</v>
      </c>
    </row>
    <row r="1836" spans="1:65" x14ac:dyDescent="0.25">
      <c r="A1836">
        <v>1834</v>
      </c>
      <c r="B1836" t="s">
        <v>1829</v>
      </c>
      <c r="C1836" t="s">
        <v>68</v>
      </c>
      <c r="D1836" s="1">
        <v>46226</v>
      </c>
      <c r="E1836" t="s">
        <v>1830</v>
      </c>
      <c r="F1836" t="s">
        <v>68</v>
      </c>
      <c r="G1836" t="s">
        <v>69</v>
      </c>
      <c r="H1836" t="s">
        <v>70</v>
      </c>
      <c r="I1836" t="s">
        <v>71</v>
      </c>
      <c r="J1836" t="s">
        <v>72</v>
      </c>
      <c r="K1836" t="s">
        <v>73</v>
      </c>
      <c r="L1836" t="s">
        <v>74</v>
      </c>
      <c r="M1836" t="s">
        <v>1298</v>
      </c>
      <c r="N1836" t="s">
        <v>111</v>
      </c>
      <c r="O1836" t="s">
        <v>1299</v>
      </c>
      <c r="P1836" t="s">
        <v>1300</v>
      </c>
      <c r="Q1836" t="s">
        <v>1831</v>
      </c>
      <c r="R1836" s="1">
        <v>46226</v>
      </c>
      <c r="S1836" t="s">
        <v>1276</v>
      </c>
      <c r="T1836" t="s">
        <v>1277</v>
      </c>
      <c r="U1836" t="s">
        <v>1278</v>
      </c>
      <c r="V1836" t="s">
        <v>66</v>
      </c>
      <c r="W1836" t="s">
        <v>66</v>
      </c>
      <c r="X1836">
        <v>2770713</v>
      </c>
      <c r="Y1836">
        <v>304778.43</v>
      </c>
      <c r="Z1836">
        <v>115236</v>
      </c>
      <c r="AA1836">
        <v>12675.96</v>
      </c>
      <c r="AB1836">
        <v>3075491.43</v>
      </c>
      <c r="AC1836">
        <v>6</v>
      </c>
      <c r="AD1836" t="s">
        <v>82</v>
      </c>
      <c r="AE1836">
        <v>6</v>
      </c>
      <c r="AF1836" t="s">
        <v>284</v>
      </c>
      <c r="AG1836">
        <f>IFERROR(VLOOKUP(AF1836,[1]STOK!J:O,6,0),"")</f>
        <v>12</v>
      </c>
      <c r="AH1836" s="2">
        <f t="shared" si="56"/>
        <v>0.5</v>
      </c>
      <c r="AI1836" t="s">
        <v>284</v>
      </c>
      <c r="AJ1836" t="s">
        <v>285</v>
      </c>
      <c r="AK1836" t="s">
        <v>286</v>
      </c>
      <c r="AL1836" t="s">
        <v>86</v>
      </c>
      <c r="AM1836">
        <v>21534</v>
      </c>
      <c r="AN1836">
        <f t="shared" si="57"/>
        <v>21318.66</v>
      </c>
      <c r="AO1836" t="s">
        <v>66</v>
      </c>
      <c r="AP1836">
        <v>1</v>
      </c>
      <c r="AQ1836" t="s">
        <v>66</v>
      </c>
      <c r="AR1836">
        <v>0</v>
      </c>
      <c r="AS1836" t="s">
        <v>66</v>
      </c>
      <c r="AT1836">
        <v>0</v>
      </c>
      <c r="AU1836" t="s">
        <v>66</v>
      </c>
      <c r="AV1836">
        <v>0</v>
      </c>
      <c r="AW1836" t="s">
        <v>66</v>
      </c>
      <c r="AX1836">
        <v>0</v>
      </c>
      <c r="AY1836" t="s">
        <v>66</v>
      </c>
      <c r="AZ1836">
        <v>0</v>
      </c>
      <c r="BA1836" t="s">
        <v>66</v>
      </c>
      <c r="BB1836">
        <v>0</v>
      </c>
      <c r="BC1836">
        <v>0</v>
      </c>
      <c r="BD1836">
        <v>127911.96</v>
      </c>
      <c r="BE1836">
        <v>17519.32</v>
      </c>
      <c r="BF1836">
        <v>0</v>
      </c>
      <c r="BG1836" t="s">
        <v>87</v>
      </c>
      <c r="BH1836" t="s">
        <v>66</v>
      </c>
      <c r="BI1836">
        <v>0</v>
      </c>
      <c r="BJ1836" t="s">
        <v>66</v>
      </c>
      <c r="BK1836" t="s">
        <v>88</v>
      </c>
      <c r="BL1836" t="s">
        <v>66</v>
      </c>
      <c r="BM1836" t="s">
        <v>159</v>
      </c>
    </row>
    <row r="1837" spans="1:65" x14ac:dyDescent="0.25">
      <c r="A1837">
        <v>1835</v>
      </c>
      <c r="B1837" t="s">
        <v>1829</v>
      </c>
      <c r="C1837" t="s">
        <v>68</v>
      </c>
      <c r="D1837" s="1">
        <v>46226</v>
      </c>
      <c r="E1837" t="s">
        <v>1830</v>
      </c>
      <c r="F1837" t="s">
        <v>68</v>
      </c>
      <c r="G1837" t="s">
        <v>69</v>
      </c>
      <c r="H1837" t="s">
        <v>70</v>
      </c>
      <c r="I1837" t="s">
        <v>71</v>
      </c>
      <c r="J1837" t="s">
        <v>72</v>
      </c>
      <c r="K1837" t="s">
        <v>73</v>
      </c>
      <c r="L1837" t="s">
        <v>74</v>
      </c>
      <c r="M1837" t="s">
        <v>1298</v>
      </c>
      <c r="N1837" t="s">
        <v>111</v>
      </c>
      <c r="O1837" t="s">
        <v>1299</v>
      </c>
      <c r="P1837" t="s">
        <v>1300</v>
      </c>
      <c r="Q1837" t="s">
        <v>1831</v>
      </c>
      <c r="R1837" s="1">
        <v>46226</v>
      </c>
      <c r="S1837" t="s">
        <v>1276</v>
      </c>
      <c r="T1837" t="s">
        <v>1277</v>
      </c>
      <c r="U1837" t="s">
        <v>1278</v>
      </c>
      <c r="V1837" t="s">
        <v>66</v>
      </c>
      <c r="W1837" t="s">
        <v>66</v>
      </c>
      <c r="X1837">
        <v>2770713</v>
      </c>
      <c r="Y1837">
        <v>304778.43</v>
      </c>
      <c r="Z1837">
        <v>115236</v>
      </c>
      <c r="AA1837">
        <v>12675.96</v>
      </c>
      <c r="AB1837">
        <v>3075491.43</v>
      </c>
      <c r="AC1837">
        <v>6</v>
      </c>
      <c r="AD1837" t="s">
        <v>82</v>
      </c>
      <c r="AE1837">
        <v>6</v>
      </c>
      <c r="AF1837" t="s">
        <v>287</v>
      </c>
      <c r="AG1837">
        <f>IFERROR(VLOOKUP(AF1837,[1]STOK!J:O,6,0),"")</f>
        <v>12</v>
      </c>
      <c r="AH1837" s="2">
        <f t="shared" si="56"/>
        <v>0.5</v>
      </c>
      <c r="AI1837" t="s">
        <v>287</v>
      </c>
      <c r="AJ1837" t="s">
        <v>288</v>
      </c>
      <c r="AK1837" t="s">
        <v>289</v>
      </c>
      <c r="AL1837" t="s">
        <v>86</v>
      </c>
      <c r="AM1837">
        <v>21534</v>
      </c>
      <c r="AN1837">
        <f t="shared" si="57"/>
        <v>21318.66</v>
      </c>
      <c r="AO1837" t="s">
        <v>66</v>
      </c>
      <c r="AP1837">
        <v>1</v>
      </c>
      <c r="AQ1837" t="s">
        <v>66</v>
      </c>
      <c r="AR1837">
        <v>0</v>
      </c>
      <c r="AS1837" t="s">
        <v>66</v>
      </c>
      <c r="AT1837">
        <v>0</v>
      </c>
      <c r="AU1837" t="s">
        <v>66</v>
      </c>
      <c r="AV1837">
        <v>0</v>
      </c>
      <c r="AW1837" t="s">
        <v>66</v>
      </c>
      <c r="AX1837">
        <v>0</v>
      </c>
      <c r="AY1837" t="s">
        <v>66</v>
      </c>
      <c r="AZ1837">
        <v>0</v>
      </c>
      <c r="BA1837" t="s">
        <v>66</v>
      </c>
      <c r="BB1837">
        <v>0</v>
      </c>
      <c r="BC1837">
        <v>0</v>
      </c>
      <c r="BD1837">
        <v>127911.96</v>
      </c>
      <c r="BE1837">
        <v>17472.2</v>
      </c>
      <c r="BF1837">
        <v>0</v>
      </c>
      <c r="BG1837" t="s">
        <v>87</v>
      </c>
      <c r="BH1837" t="s">
        <v>66</v>
      </c>
      <c r="BI1837">
        <v>0</v>
      </c>
      <c r="BJ1837" t="s">
        <v>66</v>
      </c>
      <c r="BK1837" t="s">
        <v>88</v>
      </c>
      <c r="BL1837" t="s">
        <v>66</v>
      </c>
      <c r="BM1837" t="s">
        <v>159</v>
      </c>
    </row>
    <row r="1838" spans="1:65" x14ac:dyDescent="0.25">
      <c r="A1838">
        <v>1836</v>
      </c>
      <c r="B1838" t="s">
        <v>1829</v>
      </c>
      <c r="C1838" t="s">
        <v>68</v>
      </c>
      <c r="D1838" s="1">
        <v>46226</v>
      </c>
      <c r="E1838" t="s">
        <v>1830</v>
      </c>
      <c r="F1838" t="s">
        <v>68</v>
      </c>
      <c r="G1838" t="s">
        <v>69</v>
      </c>
      <c r="H1838" t="s">
        <v>70</v>
      </c>
      <c r="I1838" t="s">
        <v>71</v>
      </c>
      <c r="J1838" t="s">
        <v>72</v>
      </c>
      <c r="K1838" t="s">
        <v>73</v>
      </c>
      <c r="L1838" t="s">
        <v>74</v>
      </c>
      <c r="M1838" t="s">
        <v>1298</v>
      </c>
      <c r="N1838" t="s">
        <v>111</v>
      </c>
      <c r="O1838" t="s">
        <v>1299</v>
      </c>
      <c r="P1838" t="s">
        <v>1300</v>
      </c>
      <c r="Q1838" t="s">
        <v>1831</v>
      </c>
      <c r="R1838" s="1">
        <v>46226</v>
      </c>
      <c r="S1838" t="s">
        <v>1276</v>
      </c>
      <c r="T1838" t="s">
        <v>1277</v>
      </c>
      <c r="U1838" t="s">
        <v>1278</v>
      </c>
      <c r="V1838" t="s">
        <v>66</v>
      </c>
      <c r="W1838" t="s">
        <v>66</v>
      </c>
      <c r="X1838">
        <v>2770713</v>
      </c>
      <c r="Y1838">
        <v>304778.43</v>
      </c>
      <c r="Z1838">
        <v>87318</v>
      </c>
      <c r="AA1838">
        <v>9604.98</v>
      </c>
      <c r="AB1838">
        <v>3075491.43</v>
      </c>
      <c r="AC1838">
        <v>6</v>
      </c>
      <c r="AD1838" t="s">
        <v>82</v>
      </c>
      <c r="AE1838">
        <v>6</v>
      </c>
      <c r="AF1838" t="s">
        <v>1263</v>
      </c>
      <c r="AG1838">
        <f>IFERROR(VLOOKUP(AF1838,[1]STOK!J:O,6,0),"")</f>
        <v>12</v>
      </c>
      <c r="AH1838" s="2">
        <f t="shared" si="56"/>
        <v>0.5</v>
      </c>
      <c r="AI1838" t="s">
        <v>1263</v>
      </c>
      <c r="AJ1838" t="s">
        <v>1264</v>
      </c>
      <c r="AK1838" t="s">
        <v>1265</v>
      </c>
      <c r="AL1838" t="s">
        <v>86</v>
      </c>
      <c r="AM1838">
        <v>16317</v>
      </c>
      <c r="AN1838">
        <f t="shared" si="57"/>
        <v>16153.83</v>
      </c>
      <c r="AO1838" t="s">
        <v>66</v>
      </c>
      <c r="AP1838">
        <v>1</v>
      </c>
      <c r="AQ1838" t="s">
        <v>66</v>
      </c>
      <c r="AR1838">
        <v>0</v>
      </c>
      <c r="AS1838" t="s">
        <v>66</v>
      </c>
      <c r="AT1838">
        <v>0</v>
      </c>
      <c r="AU1838" t="s">
        <v>66</v>
      </c>
      <c r="AV1838">
        <v>0</v>
      </c>
      <c r="AW1838" t="s">
        <v>66</v>
      </c>
      <c r="AX1838">
        <v>0</v>
      </c>
      <c r="AY1838" t="s">
        <v>66</v>
      </c>
      <c r="AZ1838">
        <v>0</v>
      </c>
      <c r="BA1838" t="s">
        <v>66</v>
      </c>
      <c r="BB1838">
        <v>0</v>
      </c>
      <c r="BC1838">
        <v>0</v>
      </c>
      <c r="BD1838">
        <v>96922.98</v>
      </c>
      <c r="BE1838">
        <v>13306.31</v>
      </c>
      <c r="BF1838">
        <v>0</v>
      </c>
      <c r="BG1838" t="s">
        <v>87</v>
      </c>
      <c r="BH1838" t="s">
        <v>66</v>
      </c>
      <c r="BI1838">
        <v>0</v>
      </c>
      <c r="BJ1838" t="s">
        <v>66</v>
      </c>
      <c r="BK1838" t="s">
        <v>88</v>
      </c>
      <c r="BL1838" t="s">
        <v>66</v>
      </c>
      <c r="BM1838" t="s">
        <v>159</v>
      </c>
    </row>
    <row r="1839" spans="1:65" x14ac:dyDescent="0.25">
      <c r="A1839">
        <v>1837</v>
      </c>
      <c r="B1839" t="s">
        <v>1829</v>
      </c>
      <c r="C1839" t="s">
        <v>68</v>
      </c>
      <c r="D1839" s="1">
        <v>46226</v>
      </c>
      <c r="E1839" t="s">
        <v>1830</v>
      </c>
      <c r="F1839" t="s">
        <v>68</v>
      </c>
      <c r="G1839" t="s">
        <v>69</v>
      </c>
      <c r="H1839" t="s">
        <v>70</v>
      </c>
      <c r="I1839" t="s">
        <v>71</v>
      </c>
      <c r="J1839" t="s">
        <v>72</v>
      </c>
      <c r="K1839" t="s">
        <v>73</v>
      </c>
      <c r="L1839" t="s">
        <v>74</v>
      </c>
      <c r="M1839" t="s">
        <v>1298</v>
      </c>
      <c r="N1839" t="s">
        <v>111</v>
      </c>
      <c r="O1839" t="s">
        <v>1299</v>
      </c>
      <c r="P1839" t="s">
        <v>1300</v>
      </c>
      <c r="Q1839" t="s">
        <v>1831</v>
      </c>
      <c r="R1839" s="1">
        <v>46226</v>
      </c>
      <c r="S1839" t="s">
        <v>1276</v>
      </c>
      <c r="T1839" t="s">
        <v>1277</v>
      </c>
      <c r="U1839" t="s">
        <v>1278</v>
      </c>
      <c r="V1839" t="s">
        <v>66</v>
      </c>
      <c r="W1839" t="s">
        <v>66</v>
      </c>
      <c r="X1839">
        <v>2770713</v>
      </c>
      <c r="Y1839">
        <v>304778.43</v>
      </c>
      <c r="Z1839">
        <v>24948</v>
      </c>
      <c r="AA1839">
        <v>2744.28</v>
      </c>
      <c r="AB1839">
        <v>3075491.43</v>
      </c>
      <c r="AC1839">
        <v>6</v>
      </c>
      <c r="AD1839" t="s">
        <v>82</v>
      </c>
      <c r="AE1839">
        <v>6</v>
      </c>
      <c r="AF1839" t="s">
        <v>131</v>
      </c>
      <c r="AG1839">
        <f>IFERROR(VLOOKUP(AF1839,[1]STOK!J:O,6,0),"")</f>
        <v>24</v>
      </c>
      <c r="AH1839" s="2">
        <f t="shared" si="56"/>
        <v>0.25</v>
      </c>
      <c r="AI1839" t="s">
        <v>131</v>
      </c>
      <c r="AJ1839" t="s">
        <v>132</v>
      </c>
      <c r="AK1839" t="s">
        <v>133</v>
      </c>
      <c r="AL1839" t="s">
        <v>86</v>
      </c>
      <c r="AM1839">
        <v>4662</v>
      </c>
      <c r="AN1839">
        <f t="shared" si="57"/>
        <v>4615.38</v>
      </c>
      <c r="AO1839" t="s">
        <v>66</v>
      </c>
      <c r="AP1839">
        <v>1</v>
      </c>
      <c r="AQ1839" t="s">
        <v>66</v>
      </c>
      <c r="AR1839">
        <v>0</v>
      </c>
      <c r="AS1839" t="s">
        <v>66</v>
      </c>
      <c r="AT1839">
        <v>0</v>
      </c>
      <c r="AU1839" t="s">
        <v>66</v>
      </c>
      <c r="AV1839">
        <v>0</v>
      </c>
      <c r="AW1839" t="s">
        <v>66</v>
      </c>
      <c r="AX1839">
        <v>0</v>
      </c>
      <c r="AY1839" t="s">
        <v>66</v>
      </c>
      <c r="AZ1839">
        <v>0</v>
      </c>
      <c r="BA1839" t="s">
        <v>66</v>
      </c>
      <c r="BB1839">
        <v>0</v>
      </c>
      <c r="BC1839">
        <v>0</v>
      </c>
      <c r="BD1839">
        <v>27692.28</v>
      </c>
      <c r="BE1839">
        <v>3801.74</v>
      </c>
      <c r="BF1839">
        <v>0</v>
      </c>
      <c r="BG1839" t="s">
        <v>87</v>
      </c>
      <c r="BH1839" t="s">
        <v>66</v>
      </c>
      <c r="BI1839">
        <v>0</v>
      </c>
      <c r="BJ1839" t="s">
        <v>66</v>
      </c>
      <c r="BK1839" t="s">
        <v>88</v>
      </c>
      <c r="BL1839" t="s">
        <v>66</v>
      </c>
      <c r="BM1839" t="s">
        <v>159</v>
      </c>
    </row>
    <row r="1840" spans="1:65" x14ac:dyDescent="0.25">
      <c r="A1840">
        <v>1838</v>
      </c>
      <c r="B1840" t="s">
        <v>1829</v>
      </c>
      <c r="C1840" t="s">
        <v>68</v>
      </c>
      <c r="D1840" s="1">
        <v>46226</v>
      </c>
      <c r="E1840" t="s">
        <v>1830</v>
      </c>
      <c r="F1840" t="s">
        <v>68</v>
      </c>
      <c r="G1840" t="s">
        <v>69</v>
      </c>
      <c r="H1840" t="s">
        <v>70</v>
      </c>
      <c r="I1840" t="s">
        <v>71</v>
      </c>
      <c r="J1840" t="s">
        <v>72</v>
      </c>
      <c r="K1840" t="s">
        <v>73</v>
      </c>
      <c r="L1840" t="s">
        <v>74</v>
      </c>
      <c r="M1840" t="s">
        <v>1298</v>
      </c>
      <c r="N1840" t="s">
        <v>111</v>
      </c>
      <c r="O1840" t="s">
        <v>1299</v>
      </c>
      <c r="P1840" t="s">
        <v>1300</v>
      </c>
      <c r="Q1840" t="s">
        <v>1831</v>
      </c>
      <c r="R1840" s="1">
        <v>46226</v>
      </c>
      <c r="S1840" t="s">
        <v>1276</v>
      </c>
      <c r="T1840" t="s">
        <v>1277</v>
      </c>
      <c r="U1840" t="s">
        <v>1278</v>
      </c>
      <c r="V1840" t="s">
        <v>66</v>
      </c>
      <c r="W1840" t="s">
        <v>66</v>
      </c>
      <c r="X1840">
        <v>2770713</v>
      </c>
      <c r="Y1840">
        <v>304778.43</v>
      </c>
      <c r="Z1840">
        <v>85536</v>
      </c>
      <c r="AA1840">
        <v>9408.9599999999991</v>
      </c>
      <c r="AB1840">
        <v>3075491.43</v>
      </c>
      <c r="AC1840">
        <v>6</v>
      </c>
      <c r="AD1840" t="s">
        <v>82</v>
      </c>
      <c r="AE1840">
        <v>6</v>
      </c>
      <c r="AF1840" t="s">
        <v>172</v>
      </c>
      <c r="AG1840">
        <f>IFERROR(VLOOKUP(AF1840,[1]STOK!J:O,6,0),"")</f>
        <v>12</v>
      </c>
      <c r="AH1840" s="2">
        <f t="shared" si="56"/>
        <v>0.5</v>
      </c>
      <c r="AI1840" t="s">
        <v>172</v>
      </c>
      <c r="AJ1840" t="s">
        <v>173</v>
      </c>
      <c r="AK1840" t="s">
        <v>174</v>
      </c>
      <c r="AL1840" t="s">
        <v>86</v>
      </c>
      <c r="AM1840">
        <v>15984</v>
      </c>
      <c r="AN1840">
        <f t="shared" si="57"/>
        <v>15824.160000000002</v>
      </c>
      <c r="AO1840" t="s">
        <v>66</v>
      </c>
      <c r="AP1840">
        <v>1</v>
      </c>
      <c r="AQ1840" t="s">
        <v>66</v>
      </c>
      <c r="AR1840">
        <v>0</v>
      </c>
      <c r="AS1840" t="s">
        <v>66</v>
      </c>
      <c r="AT1840">
        <v>0</v>
      </c>
      <c r="AU1840" t="s">
        <v>66</v>
      </c>
      <c r="AV1840">
        <v>0</v>
      </c>
      <c r="AW1840" t="s">
        <v>66</v>
      </c>
      <c r="AX1840">
        <v>0</v>
      </c>
      <c r="AY1840" t="s">
        <v>66</v>
      </c>
      <c r="AZ1840">
        <v>0</v>
      </c>
      <c r="BA1840" t="s">
        <v>66</v>
      </c>
      <c r="BB1840">
        <v>0</v>
      </c>
      <c r="BC1840">
        <v>0</v>
      </c>
      <c r="BD1840">
        <v>94944.960000000006</v>
      </c>
      <c r="BE1840">
        <v>13003.71</v>
      </c>
      <c r="BF1840">
        <v>0</v>
      </c>
      <c r="BG1840" t="s">
        <v>87</v>
      </c>
      <c r="BH1840" t="s">
        <v>1832</v>
      </c>
      <c r="BI1840">
        <v>6</v>
      </c>
      <c r="BJ1840" t="s">
        <v>209</v>
      </c>
      <c r="BK1840" t="s">
        <v>88</v>
      </c>
      <c r="BL1840" t="s">
        <v>66</v>
      </c>
      <c r="BM1840" t="s">
        <v>159</v>
      </c>
    </row>
    <row r="1841" spans="1:65" x14ac:dyDescent="0.25">
      <c r="A1841">
        <v>1839</v>
      </c>
      <c r="B1841" t="s">
        <v>1829</v>
      </c>
      <c r="C1841" t="s">
        <v>68</v>
      </c>
      <c r="D1841" s="1">
        <v>46226</v>
      </c>
      <c r="E1841" t="s">
        <v>1830</v>
      </c>
      <c r="F1841" t="s">
        <v>68</v>
      </c>
      <c r="G1841" t="s">
        <v>69</v>
      </c>
      <c r="H1841" t="s">
        <v>70</v>
      </c>
      <c r="I1841" t="s">
        <v>71</v>
      </c>
      <c r="J1841" t="s">
        <v>72</v>
      </c>
      <c r="K1841" t="s">
        <v>73</v>
      </c>
      <c r="L1841" t="s">
        <v>74</v>
      </c>
      <c r="M1841" t="s">
        <v>1298</v>
      </c>
      <c r="N1841" t="s">
        <v>111</v>
      </c>
      <c r="O1841" t="s">
        <v>1299</v>
      </c>
      <c r="P1841" t="s">
        <v>1300</v>
      </c>
      <c r="Q1841" t="s">
        <v>1831</v>
      </c>
      <c r="R1841" s="1">
        <v>46226</v>
      </c>
      <c r="S1841" t="s">
        <v>1276</v>
      </c>
      <c r="T1841" t="s">
        <v>1277</v>
      </c>
      <c r="U1841" t="s">
        <v>1278</v>
      </c>
      <c r="V1841" t="s">
        <v>66</v>
      </c>
      <c r="W1841" t="s">
        <v>66</v>
      </c>
      <c r="X1841">
        <v>2770713</v>
      </c>
      <c r="Y1841">
        <v>304778.43</v>
      </c>
      <c r="Z1841">
        <v>161568</v>
      </c>
      <c r="AA1841">
        <v>17772.48</v>
      </c>
      <c r="AB1841">
        <v>3075491.43</v>
      </c>
      <c r="AC1841">
        <v>6</v>
      </c>
      <c r="AD1841" t="s">
        <v>82</v>
      </c>
      <c r="AE1841">
        <v>6</v>
      </c>
      <c r="AF1841" t="s">
        <v>774</v>
      </c>
      <c r="AG1841">
        <f>IFERROR(VLOOKUP(AF1841,[1]STOK!J:O,6,0),"")</f>
        <v>12</v>
      </c>
      <c r="AH1841" s="2">
        <f t="shared" si="56"/>
        <v>0.5</v>
      </c>
      <c r="AI1841" t="s">
        <v>774</v>
      </c>
      <c r="AJ1841" t="s">
        <v>775</v>
      </c>
      <c r="AK1841" t="s">
        <v>776</v>
      </c>
      <c r="AL1841" t="s">
        <v>86</v>
      </c>
      <c r="AM1841">
        <v>30192</v>
      </c>
      <c r="AN1841">
        <f t="shared" si="57"/>
        <v>29890.080000000002</v>
      </c>
      <c r="AO1841" t="s">
        <v>66</v>
      </c>
      <c r="AP1841">
        <v>1</v>
      </c>
      <c r="AQ1841" t="s">
        <v>66</v>
      </c>
      <c r="AR1841">
        <v>0</v>
      </c>
      <c r="AS1841" t="s">
        <v>66</v>
      </c>
      <c r="AT1841">
        <v>0</v>
      </c>
      <c r="AU1841" t="s">
        <v>66</v>
      </c>
      <c r="AV1841">
        <v>0</v>
      </c>
      <c r="AW1841" t="s">
        <v>66</v>
      </c>
      <c r="AX1841">
        <v>0</v>
      </c>
      <c r="AY1841" t="s">
        <v>66</v>
      </c>
      <c r="AZ1841">
        <v>0</v>
      </c>
      <c r="BA1841" t="s">
        <v>66</v>
      </c>
      <c r="BB1841">
        <v>0</v>
      </c>
      <c r="BC1841">
        <v>0</v>
      </c>
      <c r="BD1841">
        <v>179340.48</v>
      </c>
      <c r="BE1841">
        <v>24541.26</v>
      </c>
      <c r="BF1841">
        <v>0</v>
      </c>
      <c r="BG1841" t="s">
        <v>87</v>
      </c>
      <c r="BH1841" t="s">
        <v>66</v>
      </c>
      <c r="BI1841">
        <v>0</v>
      </c>
      <c r="BJ1841" t="s">
        <v>66</v>
      </c>
      <c r="BK1841" t="s">
        <v>88</v>
      </c>
      <c r="BL1841" t="s">
        <v>66</v>
      </c>
      <c r="BM1841" t="s">
        <v>159</v>
      </c>
    </row>
    <row r="1842" spans="1:65" x14ac:dyDescent="0.25">
      <c r="A1842">
        <v>1840</v>
      </c>
      <c r="B1842" t="s">
        <v>1829</v>
      </c>
      <c r="C1842" t="s">
        <v>68</v>
      </c>
      <c r="D1842" s="1">
        <v>46226</v>
      </c>
      <c r="E1842" t="s">
        <v>1830</v>
      </c>
      <c r="F1842" t="s">
        <v>68</v>
      </c>
      <c r="G1842" t="s">
        <v>69</v>
      </c>
      <c r="H1842" t="s">
        <v>70</v>
      </c>
      <c r="I1842" t="s">
        <v>71</v>
      </c>
      <c r="J1842" t="s">
        <v>72</v>
      </c>
      <c r="K1842" t="s">
        <v>73</v>
      </c>
      <c r="L1842" t="s">
        <v>74</v>
      </c>
      <c r="M1842" t="s">
        <v>1298</v>
      </c>
      <c r="N1842" t="s">
        <v>111</v>
      </c>
      <c r="O1842" t="s">
        <v>1299</v>
      </c>
      <c r="P1842" t="s">
        <v>1300</v>
      </c>
      <c r="Q1842" t="s">
        <v>1831</v>
      </c>
      <c r="R1842" s="1">
        <v>46226</v>
      </c>
      <c r="S1842" t="s">
        <v>1276</v>
      </c>
      <c r="T1842" t="s">
        <v>1277</v>
      </c>
      <c r="U1842" t="s">
        <v>1278</v>
      </c>
      <c r="V1842" t="s">
        <v>66</v>
      </c>
      <c r="W1842" t="s">
        <v>66</v>
      </c>
      <c r="X1842">
        <v>2770713</v>
      </c>
      <c r="Y1842">
        <v>304778.43</v>
      </c>
      <c r="Z1842">
        <v>23760</v>
      </c>
      <c r="AA1842">
        <v>2613.6</v>
      </c>
      <c r="AB1842">
        <v>3075491.43</v>
      </c>
      <c r="AC1842">
        <v>6</v>
      </c>
      <c r="AD1842" t="s">
        <v>82</v>
      </c>
      <c r="AE1842">
        <v>6</v>
      </c>
      <c r="AF1842" t="s">
        <v>385</v>
      </c>
      <c r="AG1842">
        <f>IFERROR(VLOOKUP(AF1842,[1]STOK!J:O,6,0),"")</f>
        <v>24</v>
      </c>
      <c r="AH1842" s="2">
        <f t="shared" si="56"/>
        <v>0.25</v>
      </c>
      <c r="AI1842" t="s">
        <v>385</v>
      </c>
      <c r="AJ1842" t="s">
        <v>386</v>
      </c>
      <c r="AK1842" t="s">
        <v>387</v>
      </c>
      <c r="AL1842" t="s">
        <v>86</v>
      </c>
      <c r="AM1842">
        <v>4440</v>
      </c>
      <c r="AN1842">
        <f t="shared" si="57"/>
        <v>4395.5999999999995</v>
      </c>
      <c r="AO1842" t="s">
        <v>66</v>
      </c>
      <c r="AP1842">
        <v>1</v>
      </c>
      <c r="AQ1842" t="s">
        <v>66</v>
      </c>
      <c r="AR1842">
        <v>0</v>
      </c>
      <c r="AS1842" t="s">
        <v>66</v>
      </c>
      <c r="AT1842">
        <v>0</v>
      </c>
      <c r="AU1842" t="s">
        <v>66</v>
      </c>
      <c r="AV1842">
        <v>0</v>
      </c>
      <c r="AW1842" t="s">
        <v>66</v>
      </c>
      <c r="AX1842">
        <v>0</v>
      </c>
      <c r="AY1842" t="s">
        <v>66</v>
      </c>
      <c r="AZ1842">
        <v>0</v>
      </c>
      <c r="BA1842" t="s">
        <v>66</v>
      </c>
      <c r="BB1842">
        <v>0</v>
      </c>
      <c r="BC1842">
        <v>0</v>
      </c>
      <c r="BD1842">
        <v>26373.599999999999</v>
      </c>
      <c r="BE1842">
        <v>3348.13</v>
      </c>
      <c r="BF1842">
        <v>0</v>
      </c>
      <c r="BG1842" t="s">
        <v>87</v>
      </c>
      <c r="BH1842" t="s">
        <v>66</v>
      </c>
      <c r="BI1842">
        <v>0</v>
      </c>
      <c r="BJ1842" t="s">
        <v>66</v>
      </c>
      <c r="BK1842" t="s">
        <v>88</v>
      </c>
      <c r="BL1842" t="s">
        <v>66</v>
      </c>
      <c r="BM1842" t="s">
        <v>159</v>
      </c>
    </row>
    <row r="1843" spans="1:65" x14ac:dyDescent="0.25">
      <c r="A1843">
        <v>1841</v>
      </c>
      <c r="B1843" t="s">
        <v>1829</v>
      </c>
      <c r="C1843" t="s">
        <v>68</v>
      </c>
      <c r="D1843" s="1">
        <v>46226</v>
      </c>
      <c r="E1843" t="s">
        <v>1830</v>
      </c>
      <c r="F1843" t="s">
        <v>68</v>
      </c>
      <c r="G1843" t="s">
        <v>69</v>
      </c>
      <c r="H1843" t="s">
        <v>70</v>
      </c>
      <c r="I1843" t="s">
        <v>71</v>
      </c>
      <c r="J1843" t="s">
        <v>72</v>
      </c>
      <c r="K1843" t="s">
        <v>73</v>
      </c>
      <c r="L1843" t="s">
        <v>74</v>
      </c>
      <c r="M1843" t="s">
        <v>1298</v>
      </c>
      <c r="N1843" t="s">
        <v>111</v>
      </c>
      <c r="O1843" t="s">
        <v>1299</v>
      </c>
      <c r="P1843" t="s">
        <v>1300</v>
      </c>
      <c r="Q1843" t="s">
        <v>1831</v>
      </c>
      <c r="R1843" s="1">
        <v>46226</v>
      </c>
      <c r="S1843" t="s">
        <v>1276</v>
      </c>
      <c r="T1843" t="s">
        <v>1277</v>
      </c>
      <c r="U1843" t="s">
        <v>1278</v>
      </c>
      <c r="V1843" t="s">
        <v>66</v>
      </c>
      <c r="W1843" t="s">
        <v>66</v>
      </c>
      <c r="X1843">
        <v>2770713</v>
      </c>
      <c r="Y1843">
        <v>304778.43</v>
      </c>
      <c r="Z1843">
        <v>85536</v>
      </c>
      <c r="AA1843">
        <v>9408.9599999999991</v>
      </c>
      <c r="AB1843">
        <v>3075491.43</v>
      </c>
      <c r="AC1843">
        <v>6</v>
      </c>
      <c r="AD1843" t="s">
        <v>82</v>
      </c>
      <c r="AE1843">
        <v>6</v>
      </c>
      <c r="AF1843" t="s">
        <v>551</v>
      </c>
      <c r="AG1843">
        <f>IFERROR(VLOOKUP(AF1843,[1]STOK!J:O,6,0),"")</f>
        <v>12</v>
      </c>
      <c r="AH1843" s="2">
        <f t="shared" si="56"/>
        <v>0.5</v>
      </c>
      <c r="AI1843" t="s">
        <v>551</v>
      </c>
      <c r="AJ1843" t="s">
        <v>552</v>
      </c>
      <c r="AK1843" t="s">
        <v>553</v>
      </c>
      <c r="AL1843" t="s">
        <v>86</v>
      </c>
      <c r="AM1843">
        <v>15984</v>
      </c>
      <c r="AN1843">
        <f t="shared" si="57"/>
        <v>15824.160000000002</v>
      </c>
      <c r="AO1843" t="s">
        <v>66</v>
      </c>
      <c r="AP1843">
        <v>1</v>
      </c>
      <c r="AQ1843" t="s">
        <v>66</v>
      </c>
      <c r="AR1843">
        <v>0</v>
      </c>
      <c r="AS1843" t="s">
        <v>66</v>
      </c>
      <c r="AT1843">
        <v>0</v>
      </c>
      <c r="AU1843" t="s">
        <v>66</v>
      </c>
      <c r="AV1843">
        <v>0</v>
      </c>
      <c r="AW1843" t="s">
        <v>66</v>
      </c>
      <c r="AX1843">
        <v>0</v>
      </c>
      <c r="AY1843" t="s">
        <v>66</v>
      </c>
      <c r="AZ1843">
        <v>0</v>
      </c>
      <c r="BA1843" t="s">
        <v>66</v>
      </c>
      <c r="BB1843">
        <v>0</v>
      </c>
      <c r="BC1843">
        <v>0</v>
      </c>
      <c r="BD1843">
        <v>94944.960000000006</v>
      </c>
      <c r="BE1843">
        <v>12912.87</v>
      </c>
      <c r="BF1843">
        <v>0</v>
      </c>
      <c r="BG1843" t="s">
        <v>87</v>
      </c>
      <c r="BH1843" t="s">
        <v>66</v>
      </c>
      <c r="BI1843">
        <v>0</v>
      </c>
      <c r="BJ1843" t="s">
        <v>66</v>
      </c>
      <c r="BK1843" t="s">
        <v>88</v>
      </c>
      <c r="BL1843" t="s">
        <v>66</v>
      </c>
      <c r="BM1843" t="s">
        <v>159</v>
      </c>
    </row>
    <row r="1844" spans="1:65" x14ac:dyDescent="0.25">
      <c r="A1844">
        <v>1842</v>
      </c>
      <c r="B1844" t="s">
        <v>1829</v>
      </c>
      <c r="C1844" t="s">
        <v>68</v>
      </c>
      <c r="D1844" s="1">
        <v>46226</v>
      </c>
      <c r="E1844" t="s">
        <v>1830</v>
      </c>
      <c r="F1844" t="s">
        <v>68</v>
      </c>
      <c r="G1844" t="s">
        <v>69</v>
      </c>
      <c r="H1844" t="s">
        <v>70</v>
      </c>
      <c r="I1844" t="s">
        <v>71</v>
      </c>
      <c r="J1844" t="s">
        <v>72</v>
      </c>
      <c r="K1844" t="s">
        <v>73</v>
      </c>
      <c r="L1844" t="s">
        <v>74</v>
      </c>
      <c r="M1844" t="s">
        <v>1298</v>
      </c>
      <c r="N1844" t="s">
        <v>111</v>
      </c>
      <c r="O1844" t="s">
        <v>1299</v>
      </c>
      <c r="P1844" t="s">
        <v>1300</v>
      </c>
      <c r="Q1844" t="s">
        <v>1831</v>
      </c>
      <c r="R1844" s="1">
        <v>46226</v>
      </c>
      <c r="S1844" t="s">
        <v>1276</v>
      </c>
      <c r="T1844" t="s">
        <v>1277</v>
      </c>
      <c r="U1844" t="s">
        <v>1278</v>
      </c>
      <c r="V1844" t="s">
        <v>66</v>
      </c>
      <c r="W1844" t="s">
        <v>66</v>
      </c>
      <c r="X1844">
        <v>2770713</v>
      </c>
      <c r="Y1844">
        <v>304778.43</v>
      </c>
      <c r="Z1844">
        <v>398574</v>
      </c>
      <c r="AA1844">
        <v>43843.14</v>
      </c>
      <c r="AB1844">
        <v>3075491.43</v>
      </c>
      <c r="AC1844">
        <v>6</v>
      </c>
      <c r="AD1844" t="s">
        <v>82</v>
      </c>
      <c r="AE1844">
        <v>6</v>
      </c>
      <c r="AF1844" t="s">
        <v>894</v>
      </c>
      <c r="AG1844">
        <f>IFERROR(VLOOKUP(AF1844,[1]STOK!J:O,6,0),"")</f>
        <v>4</v>
      </c>
      <c r="AH1844" s="2">
        <f t="shared" si="56"/>
        <v>1.5</v>
      </c>
      <c r="AI1844" t="s">
        <v>894</v>
      </c>
      <c r="AJ1844" t="s">
        <v>895</v>
      </c>
      <c r="AK1844" t="s">
        <v>896</v>
      </c>
      <c r="AL1844" t="s">
        <v>86</v>
      </c>
      <c r="AM1844">
        <v>74481</v>
      </c>
      <c r="AN1844">
        <f t="shared" si="57"/>
        <v>73736.19</v>
      </c>
      <c r="AO1844" t="s">
        <v>66</v>
      </c>
      <c r="AP1844">
        <v>1</v>
      </c>
      <c r="AQ1844" t="s">
        <v>66</v>
      </c>
      <c r="AR1844">
        <v>0</v>
      </c>
      <c r="AS1844" t="s">
        <v>66</v>
      </c>
      <c r="AT1844">
        <v>0</v>
      </c>
      <c r="AU1844" t="s">
        <v>66</v>
      </c>
      <c r="AV1844">
        <v>0</v>
      </c>
      <c r="AW1844" t="s">
        <v>66</v>
      </c>
      <c r="AX1844">
        <v>0</v>
      </c>
      <c r="AY1844" t="s">
        <v>66</v>
      </c>
      <c r="AZ1844">
        <v>0</v>
      </c>
      <c r="BA1844" t="s">
        <v>66</v>
      </c>
      <c r="BB1844">
        <v>0</v>
      </c>
      <c r="BC1844">
        <v>0</v>
      </c>
      <c r="BD1844">
        <v>442417.14</v>
      </c>
      <c r="BE1844">
        <v>59121.98</v>
      </c>
      <c r="BF1844">
        <v>0</v>
      </c>
      <c r="BG1844" t="s">
        <v>87</v>
      </c>
      <c r="BH1844" t="s">
        <v>66</v>
      </c>
      <c r="BI1844">
        <v>0</v>
      </c>
      <c r="BJ1844" t="s">
        <v>66</v>
      </c>
      <c r="BK1844" t="s">
        <v>88</v>
      </c>
      <c r="BL1844" t="s">
        <v>66</v>
      </c>
      <c r="BM1844" t="s">
        <v>159</v>
      </c>
    </row>
    <row r="1845" spans="1:65" x14ac:dyDescent="0.25">
      <c r="A1845">
        <v>1843</v>
      </c>
      <c r="B1845" t="s">
        <v>1829</v>
      </c>
      <c r="C1845" t="s">
        <v>68</v>
      </c>
      <c r="D1845" s="1">
        <v>46226</v>
      </c>
      <c r="E1845" t="s">
        <v>1830</v>
      </c>
      <c r="F1845" t="s">
        <v>68</v>
      </c>
      <c r="G1845" t="s">
        <v>69</v>
      </c>
      <c r="H1845" t="s">
        <v>70</v>
      </c>
      <c r="I1845" t="s">
        <v>71</v>
      </c>
      <c r="J1845" t="s">
        <v>72</v>
      </c>
      <c r="K1845" t="s">
        <v>73</v>
      </c>
      <c r="L1845" t="s">
        <v>74</v>
      </c>
      <c r="M1845" t="s">
        <v>1298</v>
      </c>
      <c r="N1845" t="s">
        <v>111</v>
      </c>
      <c r="O1845" t="s">
        <v>1299</v>
      </c>
      <c r="P1845" t="s">
        <v>1300</v>
      </c>
      <c r="Q1845" t="s">
        <v>1831</v>
      </c>
      <c r="R1845" s="1">
        <v>46226</v>
      </c>
      <c r="S1845" t="s">
        <v>1276</v>
      </c>
      <c r="T1845" t="s">
        <v>1277</v>
      </c>
      <c r="U1845" t="s">
        <v>1278</v>
      </c>
      <c r="V1845" t="s">
        <v>66</v>
      </c>
      <c r="W1845" t="s">
        <v>66</v>
      </c>
      <c r="X1845">
        <v>2770713</v>
      </c>
      <c r="Y1845">
        <v>304778.43</v>
      </c>
      <c r="Z1845">
        <v>319572</v>
      </c>
      <c r="AA1845">
        <v>35152.92</v>
      </c>
      <c r="AB1845">
        <v>3075491.43</v>
      </c>
      <c r="AC1845">
        <v>6</v>
      </c>
      <c r="AD1845" t="s">
        <v>82</v>
      </c>
      <c r="AE1845">
        <v>6</v>
      </c>
      <c r="AF1845" t="s">
        <v>528</v>
      </c>
      <c r="AG1845">
        <f>IFERROR(VLOOKUP(AF1845,[1]STOK!J:O,6,0),"")</f>
        <v>6</v>
      </c>
      <c r="AH1845" s="2">
        <f t="shared" si="56"/>
        <v>1</v>
      </c>
      <c r="AI1845" t="s">
        <v>528</v>
      </c>
      <c r="AJ1845" t="s">
        <v>529</v>
      </c>
      <c r="AK1845" t="s">
        <v>530</v>
      </c>
      <c r="AL1845" t="s">
        <v>86</v>
      </c>
      <c r="AM1845">
        <v>59718</v>
      </c>
      <c r="AN1845">
        <f t="shared" si="57"/>
        <v>59120.82</v>
      </c>
      <c r="AO1845" t="s">
        <v>66</v>
      </c>
      <c r="AP1845">
        <v>1</v>
      </c>
      <c r="AQ1845" t="s">
        <v>66</v>
      </c>
      <c r="AR1845">
        <v>0</v>
      </c>
      <c r="AS1845" t="s">
        <v>66</v>
      </c>
      <c r="AT1845">
        <v>0</v>
      </c>
      <c r="AU1845" t="s">
        <v>66</v>
      </c>
      <c r="AV1845">
        <v>0</v>
      </c>
      <c r="AW1845" t="s">
        <v>66</v>
      </c>
      <c r="AX1845">
        <v>0</v>
      </c>
      <c r="AY1845" t="s">
        <v>66</v>
      </c>
      <c r="AZ1845">
        <v>0</v>
      </c>
      <c r="BA1845" t="s">
        <v>66</v>
      </c>
      <c r="BB1845">
        <v>0</v>
      </c>
      <c r="BC1845">
        <v>0</v>
      </c>
      <c r="BD1845">
        <v>354724.92</v>
      </c>
      <c r="BE1845">
        <v>48629.74</v>
      </c>
      <c r="BF1845">
        <v>0</v>
      </c>
      <c r="BG1845" t="s">
        <v>87</v>
      </c>
      <c r="BH1845" t="s">
        <v>66</v>
      </c>
      <c r="BI1845">
        <v>0</v>
      </c>
      <c r="BJ1845" t="s">
        <v>66</v>
      </c>
      <c r="BK1845" t="s">
        <v>88</v>
      </c>
      <c r="BL1845" t="s">
        <v>66</v>
      </c>
      <c r="BM1845" t="s">
        <v>159</v>
      </c>
    </row>
    <row r="1846" spans="1:65" x14ac:dyDescent="0.25">
      <c r="A1846">
        <v>1844</v>
      </c>
      <c r="B1846" t="s">
        <v>1829</v>
      </c>
      <c r="C1846" t="s">
        <v>68</v>
      </c>
      <c r="D1846" s="1">
        <v>46226</v>
      </c>
      <c r="E1846" t="s">
        <v>1830</v>
      </c>
      <c r="F1846" t="s">
        <v>68</v>
      </c>
      <c r="G1846" t="s">
        <v>69</v>
      </c>
      <c r="H1846" t="s">
        <v>70</v>
      </c>
      <c r="I1846" t="s">
        <v>71</v>
      </c>
      <c r="J1846" t="s">
        <v>72</v>
      </c>
      <c r="K1846" t="s">
        <v>73</v>
      </c>
      <c r="L1846" t="s">
        <v>74</v>
      </c>
      <c r="M1846" t="s">
        <v>1298</v>
      </c>
      <c r="N1846" t="s">
        <v>111</v>
      </c>
      <c r="O1846" t="s">
        <v>1299</v>
      </c>
      <c r="P1846" t="s">
        <v>1300</v>
      </c>
      <c r="Q1846" t="s">
        <v>1831</v>
      </c>
      <c r="R1846" s="1">
        <v>46226</v>
      </c>
      <c r="S1846" t="s">
        <v>1276</v>
      </c>
      <c r="T1846" t="s">
        <v>1277</v>
      </c>
      <c r="U1846" t="s">
        <v>1278</v>
      </c>
      <c r="V1846" t="s">
        <v>66</v>
      </c>
      <c r="W1846" t="s">
        <v>66</v>
      </c>
      <c r="X1846">
        <v>2770713</v>
      </c>
      <c r="Y1846">
        <v>304778.43</v>
      </c>
      <c r="Z1846">
        <v>85536</v>
      </c>
      <c r="AA1846">
        <v>9408.9599999999991</v>
      </c>
      <c r="AB1846">
        <v>3075491.43</v>
      </c>
      <c r="AC1846">
        <v>6</v>
      </c>
      <c r="AD1846" t="s">
        <v>82</v>
      </c>
      <c r="AE1846">
        <v>6</v>
      </c>
      <c r="AF1846" t="s">
        <v>448</v>
      </c>
      <c r="AG1846">
        <f>IFERROR(VLOOKUP(AF1846,[1]STOK!J:O,6,0),"")</f>
        <v>12</v>
      </c>
      <c r="AH1846" s="2">
        <f t="shared" si="56"/>
        <v>0.5</v>
      </c>
      <c r="AI1846" t="s">
        <v>448</v>
      </c>
      <c r="AJ1846" t="s">
        <v>449</v>
      </c>
      <c r="AK1846" t="s">
        <v>450</v>
      </c>
      <c r="AL1846" t="s">
        <v>86</v>
      </c>
      <c r="AM1846">
        <v>15984</v>
      </c>
      <c r="AN1846">
        <f t="shared" si="57"/>
        <v>15824.160000000002</v>
      </c>
      <c r="AO1846" t="s">
        <v>66</v>
      </c>
      <c r="AP1846">
        <v>1</v>
      </c>
      <c r="AQ1846" t="s">
        <v>66</v>
      </c>
      <c r="AR1846">
        <v>0</v>
      </c>
      <c r="AS1846" t="s">
        <v>66</v>
      </c>
      <c r="AT1846">
        <v>0</v>
      </c>
      <c r="AU1846" t="s">
        <v>66</v>
      </c>
      <c r="AV1846">
        <v>0</v>
      </c>
      <c r="AW1846" t="s">
        <v>66</v>
      </c>
      <c r="AX1846">
        <v>0</v>
      </c>
      <c r="AY1846" t="s">
        <v>66</v>
      </c>
      <c r="AZ1846">
        <v>0</v>
      </c>
      <c r="BA1846" t="s">
        <v>66</v>
      </c>
      <c r="BB1846">
        <v>0</v>
      </c>
      <c r="BC1846">
        <v>0</v>
      </c>
      <c r="BD1846">
        <v>94944.960000000006</v>
      </c>
      <c r="BE1846">
        <v>13335.99</v>
      </c>
      <c r="BF1846">
        <v>0</v>
      </c>
      <c r="BG1846" t="s">
        <v>87</v>
      </c>
      <c r="BH1846" t="s">
        <v>66</v>
      </c>
      <c r="BI1846">
        <v>0</v>
      </c>
      <c r="BJ1846" t="s">
        <v>66</v>
      </c>
      <c r="BK1846" t="s">
        <v>88</v>
      </c>
      <c r="BL1846" t="s">
        <v>66</v>
      </c>
      <c r="BM1846" t="s">
        <v>159</v>
      </c>
    </row>
    <row r="1847" spans="1:65" x14ac:dyDescent="0.25">
      <c r="A1847">
        <v>1845</v>
      </c>
      <c r="B1847" t="s">
        <v>1829</v>
      </c>
      <c r="C1847" t="s">
        <v>68</v>
      </c>
      <c r="D1847" s="1">
        <v>46226</v>
      </c>
      <c r="E1847" t="s">
        <v>1830</v>
      </c>
      <c r="F1847" t="s">
        <v>68</v>
      </c>
      <c r="G1847" t="s">
        <v>69</v>
      </c>
      <c r="H1847" t="s">
        <v>70</v>
      </c>
      <c r="I1847" t="s">
        <v>71</v>
      </c>
      <c r="J1847" t="s">
        <v>72</v>
      </c>
      <c r="K1847" t="s">
        <v>73</v>
      </c>
      <c r="L1847" t="s">
        <v>74</v>
      </c>
      <c r="M1847" t="s">
        <v>1298</v>
      </c>
      <c r="N1847" t="s">
        <v>111</v>
      </c>
      <c r="O1847" t="s">
        <v>1299</v>
      </c>
      <c r="P1847" t="s">
        <v>1300</v>
      </c>
      <c r="Q1847" t="s">
        <v>1831</v>
      </c>
      <c r="R1847" s="1">
        <v>46226</v>
      </c>
      <c r="S1847" t="s">
        <v>1276</v>
      </c>
      <c r="T1847" t="s">
        <v>1277</v>
      </c>
      <c r="U1847" t="s">
        <v>1278</v>
      </c>
      <c r="V1847" t="s">
        <v>66</v>
      </c>
      <c r="W1847" t="s">
        <v>66</v>
      </c>
      <c r="X1847">
        <v>2770713</v>
      </c>
      <c r="Y1847">
        <v>304778.43</v>
      </c>
      <c r="Z1847">
        <v>158004</v>
      </c>
      <c r="AA1847">
        <v>17380.439999999999</v>
      </c>
      <c r="AB1847">
        <v>3075491.43</v>
      </c>
      <c r="AC1847">
        <v>12</v>
      </c>
      <c r="AD1847" t="s">
        <v>82</v>
      </c>
      <c r="AE1847">
        <v>12</v>
      </c>
      <c r="AF1847" t="s">
        <v>210</v>
      </c>
      <c r="AG1847">
        <f>IFERROR(VLOOKUP(AF1847,[1]STOK!J:O,6,0),"")</f>
        <v>12</v>
      </c>
      <c r="AH1847" s="2">
        <f t="shared" si="56"/>
        <v>1</v>
      </c>
      <c r="AI1847" t="s">
        <v>210</v>
      </c>
      <c r="AJ1847" t="s">
        <v>211</v>
      </c>
      <c r="AK1847" t="s">
        <v>212</v>
      </c>
      <c r="AL1847" t="s">
        <v>86</v>
      </c>
      <c r="AM1847">
        <v>14763</v>
      </c>
      <c r="AN1847">
        <f t="shared" si="57"/>
        <v>14615.37</v>
      </c>
      <c r="AO1847" t="s">
        <v>66</v>
      </c>
      <c r="AP1847">
        <v>1</v>
      </c>
      <c r="AQ1847" t="s">
        <v>66</v>
      </c>
      <c r="AR1847">
        <v>0</v>
      </c>
      <c r="AS1847" t="s">
        <v>66</v>
      </c>
      <c r="AT1847">
        <v>0</v>
      </c>
      <c r="AU1847" t="s">
        <v>66</v>
      </c>
      <c r="AV1847">
        <v>0</v>
      </c>
      <c r="AW1847" t="s">
        <v>66</v>
      </c>
      <c r="AX1847">
        <v>0</v>
      </c>
      <c r="AY1847" t="s">
        <v>66</v>
      </c>
      <c r="AZ1847">
        <v>0</v>
      </c>
      <c r="BA1847" t="s">
        <v>66</v>
      </c>
      <c r="BB1847">
        <v>0</v>
      </c>
      <c r="BC1847">
        <v>0</v>
      </c>
      <c r="BD1847">
        <v>175384.44</v>
      </c>
      <c r="BE1847">
        <v>12013.43</v>
      </c>
      <c r="BF1847">
        <v>0</v>
      </c>
      <c r="BG1847" t="s">
        <v>87</v>
      </c>
      <c r="BH1847" t="s">
        <v>66</v>
      </c>
      <c r="BI1847">
        <v>0</v>
      </c>
      <c r="BJ1847" t="s">
        <v>66</v>
      </c>
      <c r="BK1847" t="s">
        <v>88</v>
      </c>
      <c r="BL1847" t="s">
        <v>66</v>
      </c>
      <c r="BM1847" t="s">
        <v>159</v>
      </c>
    </row>
    <row r="1848" spans="1:65" x14ac:dyDescent="0.25">
      <c r="A1848">
        <v>1846</v>
      </c>
      <c r="B1848" t="s">
        <v>1833</v>
      </c>
      <c r="C1848" t="s">
        <v>68</v>
      </c>
      <c r="D1848" s="1">
        <v>46227</v>
      </c>
      <c r="E1848" t="s">
        <v>1834</v>
      </c>
      <c r="F1848" t="s">
        <v>68</v>
      </c>
      <c r="G1848" t="s">
        <v>295</v>
      </c>
      <c r="H1848" t="s">
        <v>296</v>
      </c>
      <c r="I1848" t="s">
        <v>71</v>
      </c>
      <c r="J1848" t="s">
        <v>72</v>
      </c>
      <c r="K1848" t="s">
        <v>73</v>
      </c>
      <c r="L1848" t="s">
        <v>74</v>
      </c>
      <c r="M1848" t="s">
        <v>792</v>
      </c>
      <c r="N1848" t="s">
        <v>274</v>
      </c>
      <c r="O1848" t="s">
        <v>793</v>
      </c>
      <c r="P1848" t="s">
        <v>794</v>
      </c>
      <c r="Q1848" t="s">
        <v>1835</v>
      </c>
      <c r="R1848" s="1">
        <v>46228</v>
      </c>
      <c r="S1848" t="s">
        <v>796</v>
      </c>
      <c r="T1848" t="s">
        <v>797</v>
      </c>
      <c r="U1848" t="s">
        <v>798</v>
      </c>
      <c r="V1848" t="s">
        <v>66</v>
      </c>
      <c r="W1848" t="s">
        <v>66</v>
      </c>
      <c r="X1848">
        <v>399600</v>
      </c>
      <c r="Y1848">
        <v>43956</v>
      </c>
      <c r="Z1848">
        <v>159600</v>
      </c>
      <c r="AA1848">
        <v>17556</v>
      </c>
      <c r="AB1848">
        <v>443556</v>
      </c>
      <c r="AC1848">
        <v>12</v>
      </c>
      <c r="AD1848" t="s">
        <v>82</v>
      </c>
      <c r="AE1848">
        <v>12</v>
      </c>
      <c r="AF1848" t="s">
        <v>135</v>
      </c>
      <c r="AG1848">
        <f>IFERROR(VLOOKUP(AF1848,[1]STOK!J:O,6,0),"")</f>
        <v>12</v>
      </c>
      <c r="AH1848" s="2">
        <f t="shared" si="56"/>
        <v>1</v>
      </c>
      <c r="AI1848" t="s">
        <v>135</v>
      </c>
      <c r="AJ1848" t="s">
        <v>136</v>
      </c>
      <c r="AK1848" t="s">
        <v>137</v>
      </c>
      <c r="AL1848" t="s">
        <v>86</v>
      </c>
      <c r="AM1848">
        <v>14763</v>
      </c>
      <c r="AN1848">
        <f t="shared" si="57"/>
        <v>14763</v>
      </c>
      <c r="AO1848" t="s">
        <v>66</v>
      </c>
      <c r="AP1848">
        <v>0</v>
      </c>
      <c r="AQ1848" t="s">
        <v>66</v>
      </c>
      <c r="AR1848">
        <v>0</v>
      </c>
      <c r="AS1848" t="s">
        <v>66</v>
      </c>
      <c r="AT1848">
        <v>0</v>
      </c>
      <c r="AU1848" t="s">
        <v>66</v>
      </c>
      <c r="AV1848">
        <v>0</v>
      </c>
      <c r="AW1848" t="s">
        <v>66</v>
      </c>
      <c r="AX1848">
        <v>0</v>
      </c>
      <c r="AY1848" t="s">
        <v>66</v>
      </c>
      <c r="AZ1848">
        <v>0</v>
      </c>
      <c r="BA1848" t="s">
        <v>66</v>
      </c>
      <c r="BB1848">
        <v>0</v>
      </c>
      <c r="BC1848">
        <v>0</v>
      </c>
      <c r="BD1848">
        <v>177156</v>
      </c>
      <c r="BE1848">
        <v>12032.04</v>
      </c>
      <c r="BF1848">
        <v>0</v>
      </c>
      <c r="BG1848" t="s">
        <v>87</v>
      </c>
      <c r="BH1848" t="s">
        <v>66</v>
      </c>
      <c r="BI1848">
        <v>0</v>
      </c>
      <c r="BJ1848" t="s">
        <v>66</v>
      </c>
      <c r="BK1848" t="s">
        <v>88</v>
      </c>
      <c r="BL1848" t="s">
        <v>66</v>
      </c>
      <c r="BM1848" t="s">
        <v>159</v>
      </c>
    </row>
    <row r="1849" spans="1:65" x14ac:dyDescent="0.25">
      <c r="A1849">
        <v>1847</v>
      </c>
      <c r="B1849" t="s">
        <v>1833</v>
      </c>
      <c r="C1849" t="s">
        <v>68</v>
      </c>
      <c r="D1849" s="1">
        <v>46227</v>
      </c>
      <c r="E1849" t="s">
        <v>1834</v>
      </c>
      <c r="F1849" t="s">
        <v>68</v>
      </c>
      <c r="G1849" t="s">
        <v>295</v>
      </c>
      <c r="H1849" t="s">
        <v>296</v>
      </c>
      <c r="I1849" t="s">
        <v>71</v>
      </c>
      <c r="J1849" t="s">
        <v>72</v>
      </c>
      <c r="K1849" t="s">
        <v>73</v>
      </c>
      <c r="L1849" t="s">
        <v>74</v>
      </c>
      <c r="M1849" t="s">
        <v>792</v>
      </c>
      <c r="N1849" t="s">
        <v>274</v>
      </c>
      <c r="O1849" t="s">
        <v>793</v>
      </c>
      <c r="P1849" t="s">
        <v>794</v>
      </c>
      <c r="Q1849" t="s">
        <v>1835</v>
      </c>
      <c r="R1849" s="1">
        <v>46228</v>
      </c>
      <c r="S1849" t="s">
        <v>796</v>
      </c>
      <c r="T1849" t="s">
        <v>797</v>
      </c>
      <c r="U1849" t="s">
        <v>798</v>
      </c>
      <c r="V1849" t="s">
        <v>66</v>
      </c>
      <c r="W1849" t="s">
        <v>66</v>
      </c>
      <c r="X1849">
        <v>399600</v>
      </c>
      <c r="Y1849">
        <v>43956</v>
      </c>
      <c r="Z1849">
        <v>240000</v>
      </c>
      <c r="AA1849">
        <v>26400</v>
      </c>
      <c r="AB1849">
        <v>443556</v>
      </c>
      <c r="AC1849">
        <v>12</v>
      </c>
      <c r="AD1849" t="s">
        <v>82</v>
      </c>
      <c r="AE1849">
        <v>12</v>
      </c>
      <c r="AF1849" t="s">
        <v>290</v>
      </c>
      <c r="AG1849">
        <f>IFERROR(VLOOKUP(AF1849,[1]STOK!J:O,6,0),"")</f>
        <v>12</v>
      </c>
      <c r="AH1849" s="2">
        <f t="shared" si="56"/>
        <v>1</v>
      </c>
      <c r="AI1849" t="s">
        <v>290</v>
      </c>
      <c r="AJ1849" t="s">
        <v>291</v>
      </c>
      <c r="AK1849" t="s">
        <v>292</v>
      </c>
      <c r="AL1849" t="s">
        <v>86</v>
      </c>
      <c r="AM1849">
        <v>22200</v>
      </c>
      <c r="AN1849">
        <f t="shared" si="57"/>
        <v>22200</v>
      </c>
      <c r="AO1849" t="s">
        <v>66</v>
      </c>
      <c r="AP1849">
        <v>0</v>
      </c>
      <c r="AQ1849" t="s">
        <v>66</v>
      </c>
      <c r="AR1849">
        <v>0</v>
      </c>
      <c r="AS1849" t="s">
        <v>66</v>
      </c>
      <c r="AT1849">
        <v>0</v>
      </c>
      <c r="AU1849" t="s">
        <v>66</v>
      </c>
      <c r="AV1849">
        <v>0</v>
      </c>
      <c r="AW1849" t="s">
        <v>66</v>
      </c>
      <c r="AX1849">
        <v>0</v>
      </c>
      <c r="AY1849" t="s">
        <v>66</v>
      </c>
      <c r="AZ1849">
        <v>0</v>
      </c>
      <c r="BA1849" t="s">
        <v>66</v>
      </c>
      <c r="BB1849">
        <v>0</v>
      </c>
      <c r="BC1849">
        <v>0</v>
      </c>
      <c r="BD1849">
        <v>266400</v>
      </c>
      <c r="BE1849">
        <v>18155.62</v>
      </c>
      <c r="BF1849">
        <v>0</v>
      </c>
      <c r="BG1849" t="s">
        <v>87</v>
      </c>
      <c r="BH1849" t="s">
        <v>66</v>
      </c>
      <c r="BI1849">
        <v>0</v>
      </c>
      <c r="BJ1849" t="s">
        <v>66</v>
      </c>
      <c r="BK1849" t="s">
        <v>88</v>
      </c>
      <c r="BL1849" t="s">
        <v>66</v>
      </c>
      <c r="BM1849" t="s">
        <v>159</v>
      </c>
    </row>
    <row r="1850" spans="1:65" x14ac:dyDescent="0.25">
      <c r="A1850">
        <v>1848</v>
      </c>
      <c r="B1850" t="s">
        <v>1836</v>
      </c>
      <c r="C1850" t="s">
        <v>68</v>
      </c>
      <c r="D1850" s="1">
        <v>46227</v>
      </c>
      <c r="E1850" t="s">
        <v>1837</v>
      </c>
      <c r="F1850" t="s">
        <v>68</v>
      </c>
      <c r="G1850" t="s">
        <v>295</v>
      </c>
      <c r="H1850" t="s">
        <v>296</v>
      </c>
      <c r="I1850" t="s">
        <v>71</v>
      </c>
      <c r="J1850" t="s">
        <v>72</v>
      </c>
      <c r="K1850" t="s">
        <v>73</v>
      </c>
      <c r="L1850" t="s">
        <v>74</v>
      </c>
      <c r="M1850" t="s">
        <v>792</v>
      </c>
      <c r="N1850" t="s">
        <v>274</v>
      </c>
      <c r="O1850" t="s">
        <v>793</v>
      </c>
      <c r="P1850" t="s">
        <v>794</v>
      </c>
      <c r="Q1850" t="s">
        <v>1838</v>
      </c>
      <c r="R1850" s="1">
        <v>46230</v>
      </c>
      <c r="S1850" t="s">
        <v>796</v>
      </c>
      <c r="T1850" t="s">
        <v>797</v>
      </c>
      <c r="U1850" t="s">
        <v>798</v>
      </c>
      <c r="V1850" t="s">
        <v>66</v>
      </c>
      <c r="W1850" t="s">
        <v>66</v>
      </c>
      <c r="X1850">
        <v>1035600</v>
      </c>
      <c r="Y1850">
        <v>113916</v>
      </c>
      <c r="Z1850">
        <v>198000</v>
      </c>
      <c r="AA1850">
        <v>21780</v>
      </c>
      <c r="AB1850">
        <v>1149516</v>
      </c>
      <c r="AC1850">
        <v>12</v>
      </c>
      <c r="AD1850" t="s">
        <v>82</v>
      </c>
      <c r="AE1850">
        <v>12</v>
      </c>
      <c r="AF1850" t="s">
        <v>128</v>
      </c>
      <c r="AG1850">
        <f>IFERROR(VLOOKUP(AF1850,[1]STOK!J:O,6,0),"")</f>
        <v>24</v>
      </c>
      <c r="AH1850" s="2">
        <f t="shared" si="56"/>
        <v>0.5</v>
      </c>
      <c r="AI1850" t="s">
        <v>128</v>
      </c>
      <c r="AJ1850" t="s">
        <v>129</v>
      </c>
      <c r="AK1850" t="s">
        <v>130</v>
      </c>
      <c r="AL1850" t="s">
        <v>86</v>
      </c>
      <c r="AM1850">
        <v>18315</v>
      </c>
      <c r="AN1850">
        <f t="shared" si="57"/>
        <v>18315</v>
      </c>
      <c r="AO1850" t="s">
        <v>66</v>
      </c>
      <c r="AP1850">
        <v>0</v>
      </c>
      <c r="AQ1850" t="s">
        <v>66</v>
      </c>
      <c r="AR1850">
        <v>0</v>
      </c>
      <c r="AS1850" t="s">
        <v>66</v>
      </c>
      <c r="AT1850">
        <v>0</v>
      </c>
      <c r="AU1850" t="s">
        <v>66</v>
      </c>
      <c r="AV1850">
        <v>0</v>
      </c>
      <c r="AW1850" t="s">
        <v>66</v>
      </c>
      <c r="AX1850">
        <v>0</v>
      </c>
      <c r="AY1850" t="s">
        <v>66</v>
      </c>
      <c r="AZ1850">
        <v>0</v>
      </c>
      <c r="BA1850" t="s">
        <v>66</v>
      </c>
      <c r="BB1850">
        <v>0</v>
      </c>
      <c r="BC1850">
        <v>0</v>
      </c>
      <c r="BD1850">
        <v>219780</v>
      </c>
      <c r="BE1850">
        <v>14619.11</v>
      </c>
      <c r="BF1850">
        <v>0</v>
      </c>
      <c r="BG1850" t="s">
        <v>87</v>
      </c>
      <c r="BH1850" t="s">
        <v>66</v>
      </c>
      <c r="BI1850">
        <v>0</v>
      </c>
      <c r="BJ1850" t="s">
        <v>66</v>
      </c>
      <c r="BK1850" t="s">
        <v>88</v>
      </c>
      <c r="BL1850" t="s">
        <v>66</v>
      </c>
      <c r="BM1850" t="s">
        <v>159</v>
      </c>
    </row>
    <row r="1851" spans="1:65" x14ac:dyDescent="0.25">
      <c r="A1851">
        <v>1849</v>
      </c>
      <c r="B1851" t="s">
        <v>1836</v>
      </c>
      <c r="C1851" t="s">
        <v>68</v>
      </c>
      <c r="D1851" s="1">
        <v>46227</v>
      </c>
      <c r="E1851" t="s">
        <v>1837</v>
      </c>
      <c r="F1851" t="s">
        <v>68</v>
      </c>
      <c r="G1851" t="s">
        <v>295</v>
      </c>
      <c r="H1851" t="s">
        <v>296</v>
      </c>
      <c r="I1851" t="s">
        <v>71</v>
      </c>
      <c r="J1851" t="s">
        <v>72</v>
      </c>
      <c r="K1851" t="s">
        <v>73</v>
      </c>
      <c r="L1851" t="s">
        <v>74</v>
      </c>
      <c r="M1851" t="s">
        <v>792</v>
      </c>
      <c r="N1851" t="s">
        <v>274</v>
      </c>
      <c r="O1851" t="s">
        <v>793</v>
      </c>
      <c r="P1851" t="s">
        <v>794</v>
      </c>
      <c r="Q1851" t="s">
        <v>1838</v>
      </c>
      <c r="R1851" s="1">
        <v>46230</v>
      </c>
      <c r="S1851" t="s">
        <v>796</v>
      </c>
      <c r="T1851" t="s">
        <v>797</v>
      </c>
      <c r="U1851" t="s">
        <v>798</v>
      </c>
      <c r="V1851" t="s">
        <v>66</v>
      </c>
      <c r="W1851" t="s">
        <v>66</v>
      </c>
      <c r="X1851">
        <v>1035600</v>
      </c>
      <c r="Y1851">
        <v>113916</v>
      </c>
      <c r="Z1851">
        <v>198000</v>
      </c>
      <c r="AA1851">
        <v>21780</v>
      </c>
      <c r="AB1851">
        <v>1149516</v>
      </c>
      <c r="AC1851">
        <v>12</v>
      </c>
      <c r="AD1851" t="s">
        <v>82</v>
      </c>
      <c r="AE1851">
        <v>12</v>
      </c>
      <c r="AF1851" t="s">
        <v>93</v>
      </c>
      <c r="AG1851">
        <f>IFERROR(VLOOKUP(AF1851,[1]STOK!J:O,6,0),"")</f>
        <v>24</v>
      </c>
      <c r="AH1851" s="2">
        <f t="shared" si="56"/>
        <v>0.5</v>
      </c>
      <c r="AI1851" t="s">
        <v>93</v>
      </c>
      <c r="AJ1851" t="s">
        <v>94</v>
      </c>
      <c r="AK1851" t="s">
        <v>95</v>
      </c>
      <c r="AL1851" t="s">
        <v>86</v>
      </c>
      <c r="AM1851">
        <v>18315</v>
      </c>
      <c r="AN1851">
        <f t="shared" si="57"/>
        <v>18315</v>
      </c>
      <c r="AO1851" t="s">
        <v>66</v>
      </c>
      <c r="AP1851">
        <v>0</v>
      </c>
      <c r="AQ1851" t="s">
        <v>66</v>
      </c>
      <c r="AR1851">
        <v>0</v>
      </c>
      <c r="AS1851" t="s">
        <v>66</v>
      </c>
      <c r="AT1851">
        <v>0</v>
      </c>
      <c r="AU1851" t="s">
        <v>66</v>
      </c>
      <c r="AV1851">
        <v>0</v>
      </c>
      <c r="AW1851" t="s">
        <v>66</v>
      </c>
      <c r="AX1851">
        <v>0</v>
      </c>
      <c r="AY1851" t="s">
        <v>66</v>
      </c>
      <c r="AZ1851">
        <v>0</v>
      </c>
      <c r="BA1851" t="s">
        <v>66</v>
      </c>
      <c r="BB1851">
        <v>0</v>
      </c>
      <c r="BC1851">
        <v>0</v>
      </c>
      <c r="BD1851">
        <v>219780</v>
      </c>
      <c r="BE1851">
        <v>14878.51</v>
      </c>
      <c r="BF1851">
        <v>0</v>
      </c>
      <c r="BG1851" t="s">
        <v>87</v>
      </c>
      <c r="BH1851" t="s">
        <v>66</v>
      </c>
      <c r="BI1851">
        <v>0</v>
      </c>
      <c r="BJ1851" t="s">
        <v>66</v>
      </c>
      <c r="BK1851" t="s">
        <v>88</v>
      </c>
      <c r="BL1851" t="s">
        <v>66</v>
      </c>
      <c r="BM1851" t="s">
        <v>159</v>
      </c>
    </row>
    <row r="1852" spans="1:65" x14ac:dyDescent="0.25">
      <c r="A1852">
        <v>1850</v>
      </c>
      <c r="B1852" t="s">
        <v>1836</v>
      </c>
      <c r="C1852" t="s">
        <v>68</v>
      </c>
      <c r="D1852" s="1">
        <v>46227</v>
      </c>
      <c r="E1852" t="s">
        <v>1837</v>
      </c>
      <c r="F1852" t="s">
        <v>68</v>
      </c>
      <c r="G1852" t="s">
        <v>295</v>
      </c>
      <c r="H1852" t="s">
        <v>296</v>
      </c>
      <c r="I1852" t="s">
        <v>71</v>
      </c>
      <c r="J1852" t="s">
        <v>72</v>
      </c>
      <c r="K1852" t="s">
        <v>73</v>
      </c>
      <c r="L1852" t="s">
        <v>74</v>
      </c>
      <c r="M1852" t="s">
        <v>792</v>
      </c>
      <c r="N1852" t="s">
        <v>274</v>
      </c>
      <c r="O1852" t="s">
        <v>793</v>
      </c>
      <c r="P1852" t="s">
        <v>794</v>
      </c>
      <c r="Q1852" t="s">
        <v>1838</v>
      </c>
      <c r="R1852" s="1">
        <v>46230</v>
      </c>
      <c r="S1852" t="s">
        <v>796</v>
      </c>
      <c r="T1852" t="s">
        <v>797</v>
      </c>
      <c r="U1852" t="s">
        <v>798</v>
      </c>
      <c r="V1852" t="s">
        <v>66</v>
      </c>
      <c r="W1852" t="s">
        <v>66</v>
      </c>
      <c r="X1852">
        <v>1035600</v>
      </c>
      <c r="Y1852">
        <v>113916</v>
      </c>
      <c r="Z1852">
        <v>159600</v>
      </c>
      <c r="AA1852">
        <v>17556</v>
      </c>
      <c r="AB1852">
        <v>1149516</v>
      </c>
      <c r="AC1852">
        <v>12</v>
      </c>
      <c r="AD1852" t="s">
        <v>82</v>
      </c>
      <c r="AE1852">
        <v>12</v>
      </c>
      <c r="AF1852" t="s">
        <v>135</v>
      </c>
      <c r="AG1852">
        <f>IFERROR(VLOOKUP(AF1852,[1]STOK!J:O,6,0),"")</f>
        <v>12</v>
      </c>
      <c r="AH1852" s="2">
        <f t="shared" si="56"/>
        <v>1</v>
      </c>
      <c r="AI1852" t="s">
        <v>135</v>
      </c>
      <c r="AJ1852" t="s">
        <v>136</v>
      </c>
      <c r="AK1852" t="s">
        <v>137</v>
      </c>
      <c r="AL1852" t="s">
        <v>86</v>
      </c>
      <c r="AM1852">
        <v>14763</v>
      </c>
      <c r="AN1852">
        <f t="shared" si="57"/>
        <v>14763</v>
      </c>
      <c r="AO1852" t="s">
        <v>66</v>
      </c>
      <c r="AP1852">
        <v>0</v>
      </c>
      <c r="AQ1852" t="s">
        <v>66</v>
      </c>
      <c r="AR1852">
        <v>0</v>
      </c>
      <c r="AS1852" t="s">
        <v>66</v>
      </c>
      <c r="AT1852">
        <v>0</v>
      </c>
      <c r="AU1852" t="s">
        <v>66</v>
      </c>
      <c r="AV1852">
        <v>0</v>
      </c>
      <c r="AW1852" t="s">
        <v>66</v>
      </c>
      <c r="AX1852">
        <v>0</v>
      </c>
      <c r="AY1852" t="s">
        <v>66</v>
      </c>
      <c r="AZ1852">
        <v>0</v>
      </c>
      <c r="BA1852" t="s">
        <v>66</v>
      </c>
      <c r="BB1852">
        <v>0</v>
      </c>
      <c r="BC1852">
        <v>0</v>
      </c>
      <c r="BD1852">
        <v>177156</v>
      </c>
      <c r="BE1852">
        <v>12032.04</v>
      </c>
      <c r="BF1852">
        <v>0</v>
      </c>
      <c r="BG1852" t="s">
        <v>87</v>
      </c>
      <c r="BH1852" t="s">
        <v>66</v>
      </c>
      <c r="BI1852">
        <v>0</v>
      </c>
      <c r="BJ1852" t="s">
        <v>66</v>
      </c>
      <c r="BK1852" t="s">
        <v>88</v>
      </c>
      <c r="BL1852" t="s">
        <v>66</v>
      </c>
      <c r="BM1852" t="s">
        <v>159</v>
      </c>
    </row>
    <row r="1853" spans="1:65" x14ac:dyDescent="0.25">
      <c r="A1853">
        <v>1851</v>
      </c>
      <c r="B1853" t="s">
        <v>1836</v>
      </c>
      <c r="C1853" t="s">
        <v>68</v>
      </c>
      <c r="D1853" s="1">
        <v>46227</v>
      </c>
      <c r="E1853" t="s">
        <v>1837</v>
      </c>
      <c r="F1853" t="s">
        <v>68</v>
      </c>
      <c r="G1853" t="s">
        <v>295</v>
      </c>
      <c r="H1853" t="s">
        <v>296</v>
      </c>
      <c r="I1853" t="s">
        <v>71</v>
      </c>
      <c r="J1853" t="s">
        <v>72</v>
      </c>
      <c r="K1853" t="s">
        <v>73</v>
      </c>
      <c r="L1853" t="s">
        <v>74</v>
      </c>
      <c r="M1853" t="s">
        <v>792</v>
      </c>
      <c r="N1853" t="s">
        <v>274</v>
      </c>
      <c r="O1853" t="s">
        <v>793</v>
      </c>
      <c r="P1853" t="s">
        <v>794</v>
      </c>
      <c r="Q1853" t="s">
        <v>1838</v>
      </c>
      <c r="R1853" s="1">
        <v>46230</v>
      </c>
      <c r="S1853" t="s">
        <v>796</v>
      </c>
      <c r="T1853" t="s">
        <v>797</v>
      </c>
      <c r="U1853" t="s">
        <v>798</v>
      </c>
      <c r="V1853" t="s">
        <v>66</v>
      </c>
      <c r="W1853" t="s">
        <v>66</v>
      </c>
      <c r="X1853">
        <v>1035600</v>
      </c>
      <c r="Y1853">
        <v>113916</v>
      </c>
      <c r="Z1853">
        <v>480000</v>
      </c>
      <c r="AA1853">
        <v>52800</v>
      </c>
      <c r="AB1853">
        <v>1149516</v>
      </c>
      <c r="AC1853">
        <v>24</v>
      </c>
      <c r="AD1853" t="s">
        <v>82</v>
      </c>
      <c r="AE1853">
        <v>24</v>
      </c>
      <c r="AF1853" t="s">
        <v>290</v>
      </c>
      <c r="AG1853">
        <f>IFERROR(VLOOKUP(AF1853,[1]STOK!J:O,6,0),"")</f>
        <v>12</v>
      </c>
      <c r="AH1853" s="2">
        <f t="shared" si="56"/>
        <v>2</v>
      </c>
      <c r="AI1853" t="s">
        <v>290</v>
      </c>
      <c r="AJ1853" t="s">
        <v>291</v>
      </c>
      <c r="AK1853" t="s">
        <v>292</v>
      </c>
      <c r="AL1853" t="s">
        <v>86</v>
      </c>
      <c r="AM1853">
        <v>22200</v>
      </c>
      <c r="AN1853">
        <f t="shared" si="57"/>
        <v>22200</v>
      </c>
      <c r="AO1853" t="s">
        <v>66</v>
      </c>
      <c r="AP1853">
        <v>0</v>
      </c>
      <c r="AQ1853" t="s">
        <v>66</v>
      </c>
      <c r="AR1853">
        <v>0</v>
      </c>
      <c r="AS1853" t="s">
        <v>66</v>
      </c>
      <c r="AT1853">
        <v>0</v>
      </c>
      <c r="AU1853" t="s">
        <v>66</v>
      </c>
      <c r="AV1853">
        <v>0</v>
      </c>
      <c r="AW1853" t="s">
        <v>66</v>
      </c>
      <c r="AX1853">
        <v>0</v>
      </c>
      <c r="AY1853" t="s">
        <v>66</v>
      </c>
      <c r="AZ1853">
        <v>0</v>
      </c>
      <c r="BA1853" t="s">
        <v>66</v>
      </c>
      <c r="BB1853">
        <v>0</v>
      </c>
      <c r="BC1853">
        <v>0</v>
      </c>
      <c r="BD1853">
        <v>532800</v>
      </c>
      <c r="BE1853">
        <v>18155.62</v>
      </c>
      <c r="BF1853">
        <v>0</v>
      </c>
      <c r="BG1853" t="s">
        <v>87</v>
      </c>
      <c r="BH1853" t="s">
        <v>66</v>
      </c>
      <c r="BI1853">
        <v>0</v>
      </c>
      <c r="BJ1853" t="s">
        <v>66</v>
      </c>
      <c r="BK1853" t="s">
        <v>88</v>
      </c>
      <c r="BL1853" t="s">
        <v>66</v>
      </c>
      <c r="BM1853" t="s">
        <v>159</v>
      </c>
    </row>
    <row r="1854" spans="1:65" x14ac:dyDescent="0.25">
      <c r="A1854">
        <v>1852</v>
      </c>
      <c r="B1854" t="s">
        <v>1839</v>
      </c>
      <c r="C1854" t="s">
        <v>68</v>
      </c>
      <c r="D1854" s="1">
        <v>46227</v>
      </c>
      <c r="E1854" t="s">
        <v>1840</v>
      </c>
      <c r="F1854" t="s">
        <v>68</v>
      </c>
      <c r="G1854" t="s">
        <v>295</v>
      </c>
      <c r="H1854" t="s">
        <v>296</v>
      </c>
      <c r="I1854" t="s">
        <v>71</v>
      </c>
      <c r="J1854" t="s">
        <v>72</v>
      </c>
      <c r="K1854" t="s">
        <v>73</v>
      </c>
      <c r="L1854" t="s">
        <v>74</v>
      </c>
      <c r="M1854" t="s">
        <v>601</v>
      </c>
      <c r="N1854" t="s">
        <v>76</v>
      </c>
      <c r="O1854" t="s">
        <v>602</v>
      </c>
      <c r="P1854" t="s">
        <v>603</v>
      </c>
      <c r="Q1854" t="s">
        <v>1841</v>
      </c>
      <c r="R1854" s="1">
        <v>46230</v>
      </c>
      <c r="S1854" t="s">
        <v>605</v>
      </c>
      <c r="T1854" t="s">
        <v>606</v>
      </c>
      <c r="U1854" t="s">
        <v>607</v>
      </c>
      <c r="V1854" t="s">
        <v>66</v>
      </c>
      <c r="W1854" t="s">
        <v>66</v>
      </c>
      <c r="X1854">
        <v>1164000</v>
      </c>
      <c r="Y1854">
        <v>128040</v>
      </c>
      <c r="Z1854">
        <v>1164000</v>
      </c>
      <c r="AA1854">
        <v>128040</v>
      </c>
      <c r="AB1854">
        <v>1292040</v>
      </c>
      <c r="AC1854">
        <v>60</v>
      </c>
      <c r="AD1854" t="s">
        <v>82</v>
      </c>
      <c r="AE1854">
        <v>60</v>
      </c>
      <c r="AF1854" t="s">
        <v>284</v>
      </c>
      <c r="AG1854">
        <f>IFERROR(VLOOKUP(AF1854,[1]STOK!J:O,6,0),"")</f>
        <v>12</v>
      </c>
      <c r="AH1854" s="2">
        <f t="shared" si="56"/>
        <v>5</v>
      </c>
      <c r="AI1854" t="s">
        <v>284</v>
      </c>
      <c r="AJ1854" t="s">
        <v>285</v>
      </c>
      <c r="AK1854" t="s">
        <v>286</v>
      </c>
      <c r="AL1854" t="s">
        <v>86</v>
      </c>
      <c r="AM1854">
        <v>21534</v>
      </c>
      <c r="AN1854">
        <f t="shared" si="57"/>
        <v>21534</v>
      </c>
      <c r="AO1854" t="s">
        <v>66</v>
      </c>
      <c r="AP1854">
        <v>0</v>
      </c>
      <c r="AQ1854" t="s">
        <v>66</v>
      </c>
      <c r="AR1854">
        <v>0</v>
      </c>
      <c r="AS1854" t="s">
        <v>66</v>
      </c>
      <c r="AT1854">
        <v>0</v>
      </c>
      <c r="AU1854" t="s">
        <v>66</v>
      </c>
      <c r="AV1854">
        <v>0</v>
      </c>
      <c r="AW1854" t="s">
        <v>66</v>
      </c>
      <c r="AX1854">
        <v>0</v>
      </c>
      <c r="AY1854" t="s">
        <v>66</v>
      </c>
      <c r="AZ1854">
        <v>0</v>
      </c>
      <c r="BA1854" t="s">
        <v>66</v>
      </c>
      <c r="BB1854">
        <v>0</v>
      </c>
      <c r="BC1854">
        <v>0</v>
      </c>
      <c r="BD1854">
        <v>1292040</v>
      </c>
      <c r="BE1854">
        <v>17160.12</v>
      </c>
      <c r="BF1854">
        <v>0</v>
      </c>
      <c r="BG1854" t="s">
        <v>87</v>
      </c>
      <c r="BH1854" t="s">
        <v>66</v>
      </c>
      <c r="BI1854">
        <v>0</v>
      </c>
      <c r="BJ1854" t="s">
        <v>66</v>
      </c>
      <c r="BK1854" t="s">
        <v>88</v>
      </c>
      <c r="BL1854" t="s">
        <v>608</v>
      </c>
      <c r="BM1854" t="s">
        <v>159</v>
      </c>
    </row>
    <row r="1855" spans="1:65" x14ac:dyDescent="0.25">
      <c r="A1855">
        <v>1853</v>
      </c>
      <c r="B1855" t="s">
        <v>1842</v>
      </c>
      <c r="C1855" t="s">
        <v>68</v>
      </c>
      <c r="D1855" s="1">
        <v>46227</v>
      </c>
      <c r="E1855" t="s">
        <v>1843</v>
      </c>
      <c r="F1855" t="s">
        <v>68</v>
      </c>
      <c r="G1855" t="s">
        <v>295</v>
      </c>
      <c r="H1855" t="s">
        <v>296</v>
      </c>
      <c r="I1855" t="s">
        <v>71</v>
      </c>
      <c r="J1855" t="s">
        <v>72</v>
      </c>
      <c r="K1855" t="s">
        <v>73</v>
      </c>
      <c r="L1855" t="s">
        <v>74</v>
      </c>
      <c r="M1855" t="s">
        <v>792</v>
      </c>
      <c r="N1855" t="s">
        <v>274</v>
      </c>
      <c r="O1855" t="s">
        <v>793</v>
      </c>
      <c r="P1855" t="s">
        <v>794</v>
      </c>
      <c r="Q1855" t="s">
        <v>1844</v>
      </c>
      <c r="R1855" s="1">
        <v>46230</v>
      </c>
      <c r="S1855" t="s">
        <v>796</v>
      </c>
      <c r="T1855" t="s">
        <v>797</v>
      </c>
      <c r="U1855" t="s">
        <v>798</v>
      </c>
      <c r="V1855" t="s">
        <v>66</v>
      </c>
      <c r="W1855" t="s">
        <v>66</v>
      </c>
      <c r="X1855">
        <v>345600</v>
      </c>
      <c r="Y1855">
        <v>38016</v>
      </c>
      <c r="Z1855">
        <v>44400</v>
      </c>
      <c r="AA1855">
        <v>4884</v>
      </c>
      <c r="AB1855">
        <v>383616</v>
      </c>
      <c r="AC1855">
        <v>6</v>
      </c>
      <c r="AD1855" t="s">
        <v>82</v>
      </c>
      <c r="AE1855">
        <v>6</v>
      </c>
      <c r="AF1855" t="s">
        <v>83</v>
      </c>
      <c r="AG1855">
        <f>IFERROR(VLOOKUP(AF1855,[1]STOK!J:O,6,0),"")</f>
        <v>24</v>
      </c>
      <c r="AH1855" s="2">
        <f t="shared" si="56"/>
        <v>0.25</v>
      </c>
      <c r="AI1855" t="s">
        <v>83</v>
      </c>
      <c r="AJ1855" t="s">
        <v>84</v>
      </c>
      <c r="AK1855" t="s">
        <v>85</v>
      </c>
      <c r="AL1855" t="s">
        <v>86</v>
      </c>
      <c r="AM1855">
        <v>8214</v>
      </c>
      <c r="AN1855">
        <f t="shared" si="57"/>
        <v>8214</v>
      </c>
      <c r="AO1855" t="s">
        <v>66</v>
      </c>
      <c r="AP1855">
        <v>0</v>
      </c>
      <c r="AQ1855" t="s">
        <v>66</v>
      </c>
      <c r="AR1855">
        <v>0</v>
      </c>
      <c r="AS1855" t="s">
        <v>66</v>
      </c>
      <c r="AT1855">
        <v>0</v>
      </c>
      <c r="AU1855" t="s">
        <v>66</v>
      </c>
      <c r="AV1855">
        <v>0</v>
      </c>
      <c r="AW1855" t="s">
        <v>66</v>
      </c>
      <c r="AX1855">
        <v>0</v>
      </c>
      <c r="AY1855" t="s">
        <v>66</v>
      </c>
      <c r="AZ1855">
        <v>0</v>
      </c>
      <c r="BA1855" t="s">
        <v>66</v>
      </c>
      <c r="BB1855">
        <v>0</v>
      </c>
      <c r="BC1855">
        <v>0</v>
      </c>
      <c r="BD1855">
        <v>49284</v>
      </c>
      <c r="BE1855">
        <v>6590.47</v>
      </c>
      <c r="BF1855">
        <v>0</v>
      </c>
      <c r="BG1855" t="s">
        <v>87</v>
      </c>
      <c r="BH1855" t="s">
        <v>66</v>
      </c>
      <c r="BI1855">
        <v>0</v>
      </c>
      <c r="BJ1855" t="s">
        <v>66</v>
      </c>
      <c r="BK1855" t="s">
        <v>88</v>
      </c>
      <c r="BL1855" t="s">
        <v>66</v>
      </c>
      <c r="BM1855" t="s">
        <v>159</v>
      </c>
    </row>
    <row r="1856" spans="1:65" x14ac:dyDescent="0.25">
      <c r="A1856">
        <v>1854</v>
      </c>
      <c r="B1856" t="s">
        <v>1842</v>
      </c>
      <c r="C1856" t="s">
        <v>68</v>
      </c>
      <c r="D1856" s="1">
        <v>46227</v>
      </c>
      <c r="E1856" t="s">
        <v>1843</v>
      </c>
      <c r="F1856" t="s">
        <v>68</v>
      </c>
      <c r="G1856" t="s">
        <v>295</v>
      </c>
      <c r="H1856" t="s">
        <v>296</v>
      </c>
      <c r="I1856" t="s">
        <v>71</v>
      </c>
      <c r="J1856" t="s">
        <v>72</v>
      </c>
      <c r="K1856" t="s">
        <v>73</v>
      </c>
      <c r="L1856" t="s">
        <v>74</v>
      </c>
      <c r="M1856" t="s">
        <v>792</v>
      </c>
      <c r="N1856" t="s">
        <v>274</v>
      </c>
      <c r="O1856" t="s">
        <v>793</v>
      </c>
      <c r="P1856" t="s">
        <v>794</v>
      </c>
      <c r="Q1856" t="s">
        <v>1844</v>
      </c>
      <c r="R1856" s="1">
        <v>46230</v>
      </c>
      <c r="S1856" t="s">
        <v>796</v>
      </c>
      <c r="T1856" t="s">
        <v>797</v>
      </c>
      <c r="U1856" t="s">
        <v>798</v>
      </c>
      <c r="V1856" t="s">
        <v>66</v>
      </c>
      <c r="W1856" t="s">
        <v>66</v>
      </c>
      <c r="X1856">
        <v>345600</v>
      </c>
      <c r="Y1856">
        <v>38016</v>
      </c>
      <c r="Z1856">
        <v>61200</v>
      </c>
      <c r="AA1856">
        <v>6732</v>
      </c>
      <c r="AB1856">
        <v>383616</v>
      </c>
      <c r="AC1856">
        <v>6</v>
      </c>
      <c r="AD1856" t="s">
        <v>82</v>
      </c>
      <c r="AE1856">
        <v>6</v>
      </c>
      <c r="AF1856" t="s">
        <v>726</v>
      </c>
      <c r="AG1856">
        <f>IFERROR(VLOOKUP(AF1856,[1]STOK!J:O,6,0),"")</f>
        <v>24</v>
      </c>
      <c r="AH1856" s="2">
        <f t="shared" si="56"/>
        <v>0.25</v>
      </c>
      <c r="AI1856" t="s">
        <v>726</v>
      </c>
      <c r="AJ1856" t="s">
        <v>727</v>
      </c>
      <c r="AK1856" t="s">
        <v>728</v>
      </c>
      <c r="AL1856" t="s">
        <v>86</v>
      </c>
      <c r="AM1856">
        <v>11322</v>
      </c>
      <c r="AN1856">
        <f t="shared" si="57"/>
        <v>11322</v>
      </c>
      <c r="AO1856" t="s">
        <v>66</v>
      </c>
      <c r="AP1856">
        <v>0</v>
      </c>
      <c r="AQ1856" t="s">
        <v>66</v>
      </c>
      <c r="AR1856">
        <v>0</v>
      </c>
      <c r="AS1856" t="s">
        <v>66</v>
      </c>
      <c r="AT1856">
        <v>0</v>
      </c>
      <c r="AU1856" t="s">
        <v>66</v>
      </c>
      <c r="AV1856">
        <v>0</v>
      </c>
      <c r="AW1856" t="s">
        <v>66</v>
      </c>
      <c r="AX1856">
        <v>0</v>
      </c>
      <c r="AY1856" t="s">
        <v>66</v>
      </c>
      <c r="AZ1856">
        <v>0</v>
      </c>
      <c r="BA1856" t="s">
        <v>66</v>
      </c>
      <c r="BB1856">
        <v>0</v>
      </c>
      <c r="BC1856">
        <v>0</v>
      </c>
      <c r="BD1856">
        <v>67932</v>
      </c>
      <c r="BE1856">
        <v>8539.5300000000007</v>
      </c>
      <c r="BF1856">
        <v>0</v>
      </c>
      <c r="BG1856" t="s">
        <v>87</v>
      </c>
      <c r="BH1856" t="s">
        <v>1845</v>
      </c>
      <c r="BI1856">
        <v>6</v>
      </c>
      <c r="BJ1856" t="s">
        <v>209</v>
      </c>
      <c r="BK1856" t="s">
        <v>88</v>
      </c>
      <c r="BL1856" t="s">
        <v>66</v>
      </c>
      <c r="BM1856" t="s">
        <v>159</v>
      </c>
    </row>
    <row r="1857" spans="1:65" x14ac:dyDescent="0.25">
      <c r="A1857">
        <v>1855</v>
      </c>
      <c r="B1857" t="s">
        <v>1842</v>
      </c>
      <c r="C1857" t="s">
        <v>68</v>
      </c>
      <c r="D1857" s="1">
        <v>46227</v>
      </c>
      <c r="E1857" t="s">
        <v>1843</v>
      </c>
      <c r="F1857" t="s">
        <v>68</v>
      </c>
      <c r="G1857" t="s">
        <v>295</v>
      </c>
      <c r="H1857" t="s">
        <v>296</v>
      </c>
      <c r="I1857" t="s">
        <v>71</v>
      </c>
      <c r="J1857" t="s">
        <v>72</v>
      </c>
      <c r="K1857" t="s">
        <v>73</v>
      </c>
      <c r="L1857" t="s">
        <v>74</v>
      </c>
      <c r="M1857" t="s">
        <v>792</v>
      </c>
      <c r="N1857" t="s">
        <v>274</v>
      </c>
      <c r="O1857" t="s">
        <v>793</v>
      </c>
      <c r="P1857" t="s">
        <v>794</v>
      </c>
      <c r="Q1857" t="s">
        <v>1844</v>
      </c>
      <c r="R1857" s="1">
        <v>46230</v>
      </c>
      <c r="S1857" t="s">
        <v>796</v>
      </c>
      <c r="T1857" t="s">
        <v>797</v>
      </c>
      <c r="U1857" t="s">
        <v>798</v>
      </c>
      <c r="V1857" t="s">
        <v>66</v>
      </c>
      <c r="W1857" t="s">
        <v>66</v>
      </c>
      <c r="X1857">
        <v>345600</v>
      </c>
      <c r="Y1857">
        <v>38016</v>
      </c>
      <c r="Z1857">
        <v>240000</v>
      </c>
      <c r="AA1857">
        <v>26400</v>
      </c>
      <c r="AB1857">
        <v>383616</v>
      </c>
      <c r="AC1857">
        <v>12</v>
      </c>
      <c r="AD1857" t="s">
        <v>82</v>
      </c>
      <c r="AE1857">
        <v>12</v>
      </c>
      <c r="AF1857" t="s">
        <v>290</v>
      </c>
      <c r="AG1857">
        <f>IFERROR(VLOOKUP(AF1857,[1]STOK!J:O,6,0),"")</f>
        <v>12</v>
      </c>
      <c r="AH1857" s="2">
        <f t="shared" si="56"/>
        <v>1</v>
      </c>
      <c r="AI1857" t="s">
        <v>290</v>
      </c>
      <c r="AJ1857" t="s">
        <v>291</v>
      </c>
      <c r="AK1857" t="s">
        <v>292</v>
      </c>
      <c r="AL1857" t="s">
        <v>86</v>
      </c>
      <c r="AM1857">
        <v>22200</v>
      </c>
      <c r="AN1857">
        <f t="shared" si="57"/>
        <v>22200</v>
      </c>
      <c r="AO1857" t="s">
        <v>66</v>
      </c>
      <c r="AP1857">
        <v>0</v>
      </c>
      <c r="AQ1857" t="s">
        <v>66</v>
      </c>
      <c r="AR1857">
        <v>0</v>
      </c>
      <c r="AS1857" t="s">
        <v>66</v>
      </c>
      <c r="AT1857">
        <v>0</v>
      </c>
      <c r="AU1857" t="s">
        <v>66</v>
      </c>
      <c r="AV1857">
        <v>0</v>
      </c>
      <c r="AW1857" t="s">
        <v>66</v>
      </c>
      <c r="AX1857">
        <v>0</v>
      </c>
      <c r="AY1857" t="s">
        <v>66</v>
      </c>
      <c r="AZ1857">
        <v>0</v>
      </c>
      <c r="BA1857" t="s">
        <v>66</v>
      </c>
      <c r="BB1857">
        <v>0</v>
      </c>
      <c r="BC1857">
        <v>0</v>
      </c>
      <c r="BD1857">
        <v>266400</v>
      </c>
      <c r="BE1857">
        <v>18155.62</v>
      </c>
      <c r="BF1857">
        <v>0</v>
      </c>
      <c r="BG1857" t="s">
        <v>87</v>
      </c>
      <c r="BH1857" t="s">
        <v>66</v>
      </c>
      <c r="BI1857">
        <v>0</v>
      </c>
      <c r="BJ1857" t="s">
        <v>66</v>
      </c>
      <c r="BK1857" t="s">
        <v>88</v>
      </c>
      <c r="BL1857" t="s">
        <v>66</v>
      </c>
      <c r="BM1857" t="s">
        <v>159</v>
      </c>
    </row>
    <row r="1858" spans="1:65" x14ac:dyDescent="0.25">
      <c r="A1858">
        <v>1856</v>
      </c>
      <c r="B1858" t="s">
        <v>1846</v>
      </c>
      <c r="C1858" t="s">
        <v>68</v>
      </c>
      <c r="D1858" s="1">
        <v>46227</v>
      </c>
      <c r="E1858" t="s">
        <v>1847</v>
      </c>
      <c r="F1858" t="s">
        <v>68</v>
      </c>
      <c r="G1858" t="s">
        <v>295</v>
      </c>
      <c r="H1858" t="s">
        <v>296</v>
      </c>
      <c r="I1858" t="s">
        <v>71</v>
      </c>
      <c r="J1858" t="s">
        <v>72</v>
      </c>
      <c r="K1858" t="s">
        <v>73</v>
      </c>
      <c r="L1858" t="s">
        <v>74</v>
      </c>
      <c r="M1858" t="s">
        <v>601</v>
      </c>
      <c r="N1858" t="s">
        <v>76</v>
      </c>
      <c r="O1858" t="s">
        <v>602</v>
      </c>
      <c r="P1858" t="s">
        <v>603</v>
      </c>
      <c r="Q1858" t="s">
        <v>1848</v>
      </c>
      <c r="R1858" s="1">
        <v>46230</v>
      </c>
      <c r="S1858" t="s">
        <v>605</v>
      </c>
      <c r="T1858" t="s">
        <v>606</v>
      </c>
      <c r="U1858" t="s">
        <v>607</v>
      </c>
      <c r="V1858" t="s">
        <v>66</v>
      </c>
      <c r="W1858" t="s">
        <v>66</v>
      </c>
      <c r="X1858">
        <v>970776</v>
      </c>
      <c r="Y1858">
        <v>106785.36</v>
      </c>
      <c r="Z1858">
        <v>402744</v>
      </c>
      <c r="AA1858">
        <v>44301.84</v>
      </c>
      <c r="AB1858">
        <v>1077561.3600000001</v>
      </c>
      <c r="AC1858">
        <v>24</v>
      </c>
      <c r="AD1858" t="s">
        <v>82</v>
      </c>
      <c r="AE1858">
        <v>24</v>
      </c>
      <c r="AF1858" t="s">
        <v>359</v>
      </c>
      <c r="AG1858">
        <f>IFERROR(VLOOKUP(AF1858,[1]STOK!J:O,6,0),"")</f>
        <v>12</v>
      </c>
      <c r="AH1858" s="2">
        <f t="shared" si="56"/>
        <v>2</v>
      </c>
      <c r="AI1858" t="s">
        <v>359</v>
      </c>
      <c r="AJ1858" t="s">
        <v>360</v>
      </c>
      <c r="AK1858" t="s">
        <v>361</v>
      </c>
      <c r="AL1858" t="s">
        <v>86</v>
      </c>
      <c r="AM1858">
        <v>19203</v>
      </c>
      <c r="AN1858">
        <f t="shared" si="57"/>
        <v>18626.91</v>
      </c>
      <c r="AO1858" t="s">
        <v>66</v>
      </c>
      <c r="AP1858">
        <v>0</v>
      </c>
      <c r="AQ1858" t="s">
        <v>66</v>
      </c>
      <c r="AR1858">
        <v>0</v>
      </c>
      <c r="AS1858" t="s">
        <v>66</v>
      </c>
      <c r="AT1858">
        <v>0</v>
      </c>
      <c r="AU1858" t="s">
        <v>66</v>
      </c>
      <c r="AV1858">
        <v>3</v>
      </c>
      <c r="AW1858" t="s">
        <v>66</v>
      </c>
      <c r="AX1858">
        <v>0</v>
      </c>
      <c r="AY1858" t="s">
        <v>66</v>
      </c>
      <c r="AZ1858">
        <v>0</v>
      </c>
      <c r="BA1858" t="s">
        <v>66</v>
      </c>
      <c r="BB1858">
        <v>0</v>
      </c>
      <c r="BC1858">
        <v>0</v>
      </c>
      <c r="BD1858">
        <v>447045.84</v>
      </c>
      <c r="BE1858">
        <v>15490.24</v>
      </c>
      <c r="BF1858">
        <v>0</v>
      </c>
      <c r="BG1858" t="s">
        <v>87</v>
      </c>
      <c r="BH1858" t="s">
        <v>66</v>
      </c>
      <c r="BI1858">
        <v>0</v>
      </c>
      <c r="BJ1858" t="s">
        <v>66</v>
      </c>
      <c r="BK1858" t="s">
        <v>88</v>
      </c>
      <c r="BL1858" t="s">
        <v>608</v>
      </c>
      <c r="BM1858" t="s">
        <v>159</v>
      </c>
    </row>
    <row r="1859" spans="1:65" x14ac:dyDescent="0.25">
      <c r="A1859">
        <v>1857</v>
      </c>
      <c r="B1859" t="s">
        <v>1846</v>
      </c>
      <c r="C1859" t="s">
        <v>68</v>
      </c>
      <c r="D1859" s="1">
        <v>46227</v>
      </c>
      <c r="E1859" t="s">
        <v>1847</v>
      </c>
      <c r="F1859" t="s">
        <v>68</v>
      </c>
      <c r="G1859" t="s">
        <v>295</v>
      </c>
      <c r="H1859" t="s">
        <v>296</v>
      </c>
      <c r="I1859" t="s">
        <v>71</v>
      </c>
      <c r="J1859" t="s">
        <v>72</v>
      </c>
      <c r="K1859" t="s">
        <v>73</v>
      </c>
      <c r="L1859" t="s">
        <v>74</v>
      </c>
      <c r="M1859" t="s">
        <v>601</v>
      </c>
      <c r="N1859" t="s">
        <v>76</v>
      </c>
      <c r="O1859" t="s">
        <v>602</v>
      </c>
      <c r="P1859" t="s">
        <v>603</v>
      </c>
      <c r="Q1859" t="s">
        <v>1848</v>
      </c>
      <c r="R1859" s="1">
        <v>46230</v>
      </c>
      <c r="S1859" t="s">
        <v>605</v>
      </c>
      <c r="T1859" t="s">
        <v>606</v>
      </c>
      <c r="U1859" t="s">
        <v>607</v>
      </c>
      <c r="V1859" t="s">
        <v>66</v>
      </c>
      <c r="W1859" t="s">
        <v>66</v>
      </c>
      <c r="X1859">
        <v>970776</v>
      </c>
      <c r="Y1859">
        <v>106785.36</v>
      </c>
      <c r="Z1859">
        <v>232800</v>
      </c>
      <c r="AA1859">
        <v>25608</v>
      </c>
      <c r="AB1859">
        <v>1077561.3600000001</v>
      </c>
      <c r="AC1859">
        <v>12</v>
      </c>
      <c r="AD1859" t="s">
        <v>82</v>
      </c>
      <c r="AE1859">
        <v>12</v>
      </c>
      <c r="AF1859" t="s">
        <v>290</v>
      </c>
      <c r="AG1859">
        <f>IFERROR(VLOOKUP(AF1859,[1]STOK!J:O,6,0),"")</f>
        <v>12</v>
      </c>
      <c r="AH1859" s="2">
        <f t="shared" si="56"/>
        <v>1</v>
      </c>
      <c r="AI1859" t="s">
        <v>290</v>
      </c>
      <c r="AJ1859" t="s">
        <v>291</v>
      </c>
      <c r="AK1859" t="s">
        <v>292</v>
      </c>
      <c r="AL1859" t="s">
        <v>86</v>
      </c>
      <c r="AM1859">
        <v>22200</v>
      </c>
      <c r="AN1859">
        <f t="shared" si="57"/>
        <v>21534</v>
      </c>
      <c r="AO1859" t="s">
        <v>66</v>
      </c>
      <c r="AP1859">
        <v>0</v>
      </c>
      <c r="AQ1859" t="s">
        <v>66</v>
      </c>
      <c r="AR1859">
        <v>0</v>
      </c>
      <c r="AS1859" t="s">
        <v>66</v>
      </c>
      <c r="AT1859">
        <v>0</v>
      </c>
      <c r="AU1859" t="s">
        <v>66</v>
      </c>
      <c r="AV1859">
        <v>3</v>
      </c>
      <c r="AW1859" t="s">
        <v>66</v>
      </c>
      <c r="AX1859">
        <v>0</v>
      </c>
      <c r="AY1859" t="s">
        <v>66</v>
      </c>
      <c r="AZ1859">
        <v>0</v>
      </c>
      <c r="BA1859" t="s">
        <v>66</v>
      </c>
      <c r="BB1859">
        <v>0</v>
      </c>
      <c r="BC1859">
        <v>0</v>
      </c>
      <c r="BD1859">
        <v>258408</v>
      </c>
      <c r="BE1859">
        <v>18155.62</v>
      </c>
      <c r="BF1859">
        <v>0</v>
      </c>
      <c r="BG1859" t="s">
        <v>87</v>
      </c>
      <c r="BH1859" t="s">
        <v>66</v>
      </c>
      <c r="BI1859">
        <v>0</v>
      </c>
      <c r="BJ1859" t="s">
        <v>66</v>
      </c>
      <c r="BK1859" t="s">
        <v>88</v>
      </c>
      <c r="BL1859" t="s">
        <v>608</v>
      </c>
      <c r="BM1859" t="s">
        <v>159</v>
      </c>
    </row>
    <row r="1860" spans="1:65" x14ac:dyDescent="0.25">
      <c r="A1860">
        <v>1858</v>
      </c>
      <c r="B1860" t="s">
        <v>1846</v>
      </c>
      <c r="C1860" t="s">
        <v>68</v>
      </c>
      <c r="D1860" s="1">
        <v>46227</v>
      </c>
      <c r="E1860" t="s">
        <v>1847</v>
      </c>
      <c r="F1860" t="s">
        <v>68</v>
      </c>
      <c r="G1860" t="s">
        <v>295</v>
      </c>
      <c r="H1860" t="s">
        <v>296</v>
      </c>
      <c r="I1860" t="s">
        <v>71</v>
      </c>
      <c r="J1860" t="s">
        <v>72</v>
      </c>
      <c r="K1860" t="s">
        <v>73</v>
      </c>
      <c r="L1860" t="s">
        <v>74</v>
      </c>
      <c r="M1860" t="s">
        <v>601</v>
      </c>
      <c r="N1860" t="s">
        <v>76</v>
      </c>
      <c r="O1860" t="s">
        <v>602</v>
      </c>
      <c r="P1860" t="s">
        <v>603</v>
      </c>
      <c r="Q1860" t="s">
        <v>1848</v>
      </c>
      <c r="R1860" s="1">
        <v>46230</v>
      </c>
      <c r="S1860" t="s">
        <v>605</v>
      </c>
      <c r="T1860" t="s">
        <v>606</v>
      </c>
      <c r="U1860" t="s">
        <v>607</v>
      </c>
      <c r="V1860" t="s">
        <v>66</v>
      </c>
      <c r="W1860" t="s">
        <v>66</v>
      </c>
      <c r="X1860">
        <v>970776</v>
      </c>
      <c r="Y1860">
        <v>106785.36</v>
      </c>
      <c r="Z1860">
        <v>335232</v>
      </c>
      <c r="AA1860">
        <v>36875.519999999997</v>
      </c>
      <c r="AB1860">
        <v>1077561.3600000001</v>
      </c>
      <c r="AC1860">
        <v>24</v>
      </c>
      <c r="AD1860" t="s">
        <v>82</v>
      </c>
      <c r="AE1860">
        <v>24</v>
      </c>
      <c r="AF1860" t="s">
        <v>141</v>
      </c>
      <c r="AG1860">
        <f>IFERROR(VLOOKUP(AF1860,[1]STOK!J:O,6,0),"")</f>
        <v>12</v>
      </c>
      <c r="AH1860" s="2">
        <f t="shared" ref="AH1860:AH1923" si="58">AE1860/AG1860</f>
        <v>2</v>
      </c>
      <c r="AI1860" t="s">
        <v>141</v>
      </c>
      <c r="AJ1860" t="s">
        <v>142</v>
      </c>
      <c r="AK1860" t="s">
        <v>143</v>
      </c>
      <c r="AL1860" t="s">
        <v>86</v>
      </c>
      <c r="AM1860">
        <v>15984</v>
      </c>
      <c r="AN1860">
        <f t="shared" ref="AN1860:AN1923" si="59">BD1860/AC1860</f>
        <v>15504.480000000001</v>
      </c>
      <c r="AO1860" t="s">
        <v>66</v>
      </c>
      <c r="AP1860">
        <v>0</v>
      </c>
      <c r="AQ1860" t="s">
        <v>66</v>
      </c>
      <c r="AR1860">
        <v>0</v>
      </c>
      <c r="AS1860" t="s">
        <v>66</v>
      </c>
      <c r="AT1860">
        <v>0</v>
      </c>
      <c r="AU1860" t="s">
        <v>66</v>
      </c>
      <c r="AV1860">
        <v>3</v>
      </c>
      <c r="AW1860" t="s">
        <v>66</v>
      </c>
      <c r="AX1860">
        <v>0</v>
      </c>
      <c r="AY1860" t="s">
        <v>66</v>
      </c>
      <c r="AZ1860">
        <v>0</v>
      </c>
      <c r="BA1860" t="s">
        <v>66</v>
      </c>
      <c r="BB1860">
        <v>0</v>
      </c>
      <c r="BC1860">
        <v>0</v>
      </c>
      <c r="BD1860">
        <v>372107.52000000002</v>
      </c>
      <c r="BE1860">
        <v>12915.05</v>
      </c>
      <c r="BF1860">
        <v>0</v>
      </c>
      <c r="BG1860" t="s">
        <v>87</v>
      </c>
      <c r="BH1860" t="s">
        <v>66</v>
      </c>
      <c r="BI1860">
        <v>0</v>
      </c>
      <c r="BJ1860" t="s">
        <v>66</v>
      </c>
      <c r="BK1860" t="s">
        <v>88</v>
      </c>
      <c r="BL1860" t="s">
        <v>608</v>
      </c>
      <c r="BM1860" t="s">
        <v>159</v>
      </c>
    </row>
    <row r="1861" spans="1:65" x14ac:dyDescent="0.25">
      <c r="A1861">
        <v>1859</v>
      </c>
      <c r="B1861" t="s">
        <v>1849</v>
      </c>
      <c r="C1861" t="s">
        <v>68</v>
      </c>
      <c r="D1861" s="1">
        <v>46227</v>
      </c>
      <c r="E1861" t="s">
        <v>1850</v>
      </c>
      <c r="F1861" t="s">
        <v>68</v>
      </c>
      <c r="G1861" t="s">
        <v>295</v>
      </c>
      <c r="H1861" t="s">
        <v>296</v>
      </c>
      <c r="I1861" t="s">
        <v>71</v>
      </c>
      <c r="J1861" t="s">
        <v>72</v>
      </c>
      <c r="K1861" t="s">
        <v>73</v>
      </c>
      <c r="L1861" t="s">
        <v>74</v>
      </c>
      <c r="M1861" t="s">
        <v>1182</v>
      </c>
      <c r="N1861" t="s">
        <v>111</v>
      </c>
      <c r="O1861" t="s">
        <v>1183</v>
      </c>
      <c r="P1861" t="s">
        <v>1184</v>
      </c>
      <c r="Q1861" t="s">
        <v>1851</v>
      </c>
      <c r="R1861" s="1">
        <v>46228</v>
      </c>
      <c r="S1861" t="s">
        <v>1186</v>
      </c>
      <c r="T1861" t="s">
        <v>1187</v>
      </c>
      <c r="U1861" t="s">
        <v>1188</v>
      </c>
      <c r="V1861" t="s">
        <v>66</v>
      </c>
      <c r="W1861" t="s">
        <v>66</v>
      </c>
      <c r="X1861">
        <v>2643003</v>
      </c>
      <c r="Y1861">
        <v>290730.33</v>
      </c>
      <c r="Z1861">
        <v>161568</v>
      </c>
      <c r="AA1861">
        <v>17772.48</v>
      </c>
      <c r="AB1861">
        <v>2933733.33</v>
      </c>
      <c r="AC1861">
        <v>6</v>
      </c>
      <c r="AD1861" t="s">
        <v>82</v>
      </c>
      <c r="AE1861">
        <v>6</v>
      </c>
      <c r="AF1861" t="s">
        <v>774</v>
      </c>
      <c r="AG1861">
        <f>IFERROR(VLOOKUP(AF1861,[1]STOK!J:O,6,0),"")</f>
        <v>12</v>
      </c>
      <c r="AH1861" s="2">
        <f t="shared" si="58"/>
        <v>0.5</v>
      </c>
      <c r="AI1861" t="s">
        <v>774</v>
      </c>
      <c r="AJ1861" t="s">
        <v>775</v>
      </c>
      <c r="AK1861" t="s">
        <v>776</v>
      </c>
      <c r="AL1861" t="s">
        <v>86</v>
      </c>
      <c r="AM1861">
        <v>30192</v>
      </c>
      <c r="AN1861">
        <f t="shared" si="59"/>
        <v>29890.080000000002</v>
      </c>
      <c r="AO1861" t="s">
        <v>66</v>
      </c>
      <c r="AP1861">
        <v>1</v>
      </c>
      <c r="AQ1861" t="s">
        <v>66</v>
      </c>
      <c r="AR1861">
        <v>0</v>
      </c>
      <c r="AS1861" t="s">
        <v>66</v>
      </c>
      <c r="AT1861">
        <v>0</v>
      </c>
      <c r="AU1861" t="s">
        <v>66</v>
      </c>
      <c r="AV1861">
        <v>0</v>
      </c>
      <c r="AW1861" t="s">
        <v>66</v>
      </c>
      <c r="AX1861">
        <v>0</v>
      </c>
      <c r="AY1861" t="s">
        <v>66</v>
      </c>
      <c r="AZ1861">
        <v>0</v>
      </c>
      <c r="BA1861" t="s">
        <v>66</v>
      </c>
      <c r="BB1861">
        <v>0</v>
      </c>
      <c r="BC1861">
        <v>0</v>
      </c>
      <c r="BD1861">
        <v>179340.48</v>
      </c>
      <c r="BE1861">
        <v>23745.759999999998</v>
      </c>
      <c r="BF1861">
        <v>0</v>
      </c>
      <c r="BG1861" t="s">
        <v>87</v>
      </c>
      <c r="BH1861" t="s">
        <v>66</v>
      </c>
      <c r="BI1861">
        <v>0</v>
      </c>
      <c r="BJ1861" t="s">
        <v>66</v>
      </c>
      <c r="BK1861" t="s">
        <v>88</v>
      </c>
      <c r="BL1861" t="s">
        <v>66</v>
      </c>
      <c r="BM1861" t="s">
        <v>159</v>
      </c>
    </row>
    <row r="1862" spans="1:65" x14ac:dyDescent="0.25">
      <c r="A1862">
        <v>1860</v>
      </c>
      <c r="B1862" t="s">
        <v>1849</v>
      </c>
      <c r="C1862" t="s">
        <v>68</v>
      </c>
      <c r="D1862" s="1">
        <v>46227</v>
      </c>
      <c r="E1862" t="s">
        <v>1850</v>
      </c>
      <c r="F1862" t="s">
        <v>68</v>
      </c>
      <c r="G1862" t="s">
        <v>295</v>
      </c>
      <c r="H1862" t="s">
        <v>296</v>
      </c>
      <c r="I1862" t="s">
        <v>71</v>
      </c>
      <c r="J1862" t="s">
        <v>72</v>
      </c>
      <c r="K1862" t="s">
        <v>73</v>
      </c>
      <c r="L1862" t="s">
        <v>74</v>
      </c>
      <c r="M1862" t="s">
        <v>1182</v>
      </c>
      <c r="N1862" t="s">
        <v>111</v>
      </c>
      <c r="O1862" t="s">
        <v>1183</v>
      </c>
      <c r="P1862" t="s">
        <v>1184</v>
      </c>
      <c r="Q1862" t="s">
        <v>1851</v>
      </c>
      <c r="R1862" s="1">
        <v>46228</v>
      </c>
      <c r="S1862" t="s">
        <v>1186</v>
      </c>
      <c r="T1862" t="s">
        <v>1187</v>
      </c>
      <c r="U1862" t="s">
        <v>1188</v>
      </c>
      <c r="V1862" t="s">
        <v>66</v>
      </c>
      <c r="W1862" t="s">
        <v>66</v>
      </c>
      <c r="X1862">
        <v>2643003</v>
      </c>
      <c r="Y1862">
        <v>290730.33</v>
      </c>
      <c r="Z1862">
        <v>319572</v>
      </c>
      <c r="AA1862">
        <v>35152.92</v>
      </c>
      <c r="AB1862">
        <v>2933733.33</v>
      </c>
      <c r="AC1862">
        <v>6</v>
      </c>
      <c r="AD1862" t="s">
        <v>82</v>
      </c>
      <c r="AE1862">
        <v>6</v>
      </c>
      <c r="AF1862" t="s">
        <v>525</v>
      </c>
      <c r="AG1862">
        <f>IFERROR(VLOOKUP(AF1862,[1]STOK!J:O,6,0),"")</f>
        <v>6</v>
      </c>
      <c r="AH1862" s="2">
        <f t="shared" si="58"/>
        <v>1</v>
      </c>
      <c r="AI1862" t="s">
        <v>525</v>
      </c>
      <c r="AJ1862" t="s">
        <v>526</v>
      </c>
      <c r="AK1862" t="s">
        <v>527</v>
      </c>
      <c r="AL1862" t="s">
        <v>86</v>
      </c>
      <c r="AM1862">
        <v>59718</v>
      </c>
      <c r="AN1862">
        <f t="shared" si="59"/>
        <v>59120.82</v>
      </c>
      <c r="AO1862" t="s">
        <v>66</v>
      </c>
      <c r="AP1862">
        <v>1</v>
      </c>
      <c r="AQ1862" t="s">
        <v>66</v>
      </c>
      <c r="AR1862">
        <v>0</v>
      </c>
      <c r="AS1862" t="s">
        <v>66</v>
      </c>
      <c r="AT1862">
        <v>0</v>
      </c>
      <c r="AU1862" t="s">
        <v>66</v>
      </c>
      <c r="AV1862">
        <v>0</v>
      </c>
      <c r="AW1862" t="s">
        <v>66</v>
      </c>
      <c r="AX1862">
        <v>0</v>
      </c>
      <c r="AY1862" t="s">
        <v>66</v>
      </c>
      <c r="AZ1862">
        <v>0</v>
      </c>
      <c r="BA1862" t="s">
        <v>66</v>
      </c>
      <c r="BB1862">
        <v>0</v>
      </c>
      <c r="BC1862">
        <v>0</v>
      </c>
      <c r="BD1862">
        <v>354724.92</v>
      </c>
      <c r="BE1862">
        <v>46255.85</v>
      </c>
      <c r="BF1862">
        <v>0</v>
      </c>
      <c r="BG1862" t="s">
        <v>87</v>
      </c>
      <c r="BH1862" t="s">
        <v>66</v>
      </c>
      <c r="BI1862">
        <v>0</v>
      </c>
      <c r="BJ1862" t="s">
        <v>66</v>
      </c>
      <c r="BK1862" t="s">
        <v>88</v>
      </c>
      <c r="BL1862" t="s">
        <v>66</v>
      </c>
      <c r="BM1862" t="s">
        <v>159</v>
      </c>
    </row>
    <row r="1863" spans="1:65" x14ac:dyDescent="0.25">
      <c r="A1863">
        <v>1861</v>
      </c>
      <c r="B1863" t="s">
        <v>1849</v>
      </c>
      <c r="C1863" t="s">
        <v>68</v>
      </c>
      <c r="D1863" s="1">
        <v>46227</v>
      </c>
      <c r="E1863" t="s">
        <v>1850</v>
      </c>
      <c r="F1863" t="s">
        <v>68</v>
      </c>
      <c r="G1863" t="s">
        <v>295</v>
      </c>
      <c r="H1863" t="s">
        <v>296</v>
      </c>
      <c r="I1863" t="s">
        <v>71</v>
      </c>
      <c r="J1863" t="s">
        <v>72</v>
      </c>
      <c r="K1863" t="s">
        <v>73</v>
      </c>
      <c r="L1863" t="s">
        <v>74</v>
      </c>
      <c r="M1863" t="s">
        <v>1182</v>
      </c>
      <c r="N1863" t="s">
        <v>111</v>
      </c>
      <c r="O1863" t="s">
        <v>1183</v>
      </c>
      <c r="P1863" t="s">
        <v>1184</v>
      </c>
      <c r="Q1863" t="s">
        <v>1851</v>
      </c>
      <c r="R1863" s="1">
        <v>46228</v>
      </c>
      <c r="S1863" t="s">
        <v>1186</v>
      </c>
      <c r="T1863" t="s">
        <v>1187</v>
      </c>
      <c r="U1863" t="s">
        <v>1188</v>
      </c>
      <c r="V1863" t="s">
        <v>66</v>
      </c>
      <c r="W1863" t="s">
        <v>66</v>
      </c>
      <c r="X1863">
        <v>2643003</v>
      </c>
      <c r="Y1863">
        <v>290730.33</v>
      </c>
      <c r="Z1863">
        <v>161568</v>
      </c>
      <c r="AA1863">
        <v>17772.48</v>
      </c>
      <c r="AB1863">
        <v>2933733.33</v>
      </c>
      <c r="AC1863">
        <v>6</v>
      </c>
      <c r="AD1863" t="s">
        <v>82</v>
      </c>
      <c r="AE1863">
        <v>6</v>
      </c>
      <c r="AF1863" t="s">
        <v>445</v>
      </c>
      <c r="AG1863">
        <f>IFERROR(VLOOKUP(AF1863,[1]STOK!J:O,6,0),"")</f>
        <v>12</v>
      </c>
      <c r="AH1863" s="2">
        <f t="shared" si="58"/>
        <v>0.5</v>
      </c>
      <c r="AI1863" t="s">
        <v>445</v>
      </c>
      <c r="AJ1863" t="s">
        <v>446</v>
      </c>
      <c r="AK1863" t="s">
        <v>447</v>
      </c>
      <c r="AL1863" t="s">
        <v>86</v>
      </c>
      <c r="AM1863">
        <v>30192</v>
      </c>
      <c r="AN1863">
        <f t="shared" si="59"/>
        <v>29890.080000000002</v>
      </c>
      <c r="AO1863" t="s">
        <v>66</v>
      </c>
      <c r="AP1863">
        <v>1</v>
      </c>
      <c r="AQ1863" t="s">
        <v>66</v>
      </c>
      <c r="AR1863">
        <v>0</v>
      </c>
      <c r="AS1863" t="s">
        <v>66</v>
      </c>
      <c r="AT1863">
        <v>0</v>
      </c>
      <c r="AU1863" t="s">
        <v>66</v>
      </c>
      <c r="AV1863">
        <v>0</v>
      </c>
      <c r="AW1863" t="s">
        <v>66</v>
      </c>
      <c r="AX1863">
        <v>0</v>
      </c>
      <c r="AY1863" t="s">
        <v>66</v>
      </c>
      <c r="AZ1863">
        <v>0</v>
      </c>
      <c r="BA1863" t="s">
        <v>66</v>
      </c>
      <c r="BB1863">
        <v>0</v>
      </c>
      <c r="BC1863">
        <v>0</v>
      </c>
      <c r="BD1863">
        <v>179340.48</v>
      </c>
      <c r="BE1863">
        <v>23583.5</v>
      </c>
      <c r="BF1863">
        <v>0</v>
      </c>
      <c r="BG1863" t="s">
        <v>87</v>
      </c>
      <c r="BH1863" t="s">
        <v>66</v>
      </c>
      <c r="BI1863">
        <v>0</v>
      </c>
      <c r="BJ1863" t="s">
        <v>66</v>
      </c>
      <c r="BK1863" t="s">
        <v>88</v>
      </c>
      <c r="BL1863" t="s">
        <v>66</v>
      </c>
      <c r="BM1863" t="s">
        <v>159</v>
      </c>
    </row>
    <row r="1864" spans="1:65" x14ac:dyDescent="0.25">
      <c r="A1864">
        <v>1862</v>
      </c>
      <c r="B1864" t="s">
        <v>1849</v>
      </c>
      <c r="C1864" t="s">
        <v>68</v>
      </c>
      <c r="D1864" s="1">
        <v>46227</v>
      </c>
      <c r="E1864" t="s">
        <v>1850</v>
      </c>
      <c r="F1864" t="s">
        <v>68</v>
      </c>
      <c r="G1864" t="s">
        <v>295</v>
      </c>
      <c r="H1864" t="s">
        <v>296</v>
      </c>
      <c r="I1864" t="s">
        <v>71</v>
      </c>
      <c r="J1864" t="s">
        <v>72</v>
      </c>
      <c r="K1864" t="s">
        <v>73</v>
      </c>
      <c r="L1864" t="s">
        <v>74</v>
      </c>
      <c r="M1864" t="s">
        <v>1182</v>
      </c>
      <c r="N1864" t="s">
        <v>111</v>
      </c>
      <c r="O1864" t="s">
        <v>1183</v>
      </c>
      <c r="P1864" t="s">
        <v>1184</v>
      </c>
      <c r="Q1864" t="s">
        <v>1851</v>
      </c>
      <c r="R1864" s="1">
        <v>46228</v>
      </c>
      <c r="S1864" t="s">
        <v>1186</v>
      </c>
      <c r="T1864" t="s">
        <v>1187</v>
      </c>
      <c r="U1864" t="s">
        <v>1188</v>
      </c>
      <c r="V1864" t="s">
        <v>66</v>
      </c>
      <c r="W1864" t="s">
        <v>66</v>
      </c>
      <c r="X1864">
        <v>2643003</v>
      </c>
      <c r="Y1864">
        <v>290730.33</v>
      </c>
      <c r="Z1864">
        <v>141372</v>
      </c>
      <c r="AA1864">
        <v>15550.92</v>
      </c>
      <c r="AB1864">
        <v>2933733.33</v>
      </c>
      <c r="AC1864">
        <v>6</v>
      </c>
      <c r="AD1864" t="s">
        <v>82</v>
      </c>
      <c r="AE1864">
        <v>6</v>
      </c>
      <c r="AF1864" t="s">
        <v>1752</v>
      </c>
      <c r="AG1864">
        <f>IFERROR(VLOOKUP(AF1864,[1]STOK!J:O,6,0),"")</f>
        <v>12</v>
      </c>
      <c r="AH1864" s="2">
        <f t="shared" si="58"/>
        <v>0.5</v>
      </c>
      <c r="AI1864" t="s">
        <v>1752</v>
      </c>
      <c r="AJ1864" t="s">
        <v>1753</v>
      </c>
      <c r="AK1864" t="s">
        <v>1754</v>
      </c>
      <c r="AL1864" t="s">
        <v>86</v>
      </c>
      <c r="AM1864">
        <v>26418</v>
      </c>
      <c r="AN1864">
        <f t="shared" si="59"/>
        <v>26153.820000000003</v>
      </c>
      <c r="AO1864" t="s">
        <v>66</v>
      </c>
      <c r="AP1864">
        <v>1</v>
      </c>
      <c r="AQ1864" t="s">
        <v>66</v>
      </c>
      <c r="AR1864">
        <v>0</v>
      </c>
      <c r="AS1864" t="s">
        <v>66</v>
      </c>
      <c r="AT1864">
        <v>0</v>
      </c>
      <c r="AU1864" t="s">
        <v>66</v>
      </c>
      <c r="AV1864">
        <v>0</v>
      </c>
      <c r="AW1864" t="s">
        <v>66</v>
      </c>
      <c r="AX1864">
        <v>0</v>
      </c>
      <c r="AY1864" t="s">
        <v>66</v>
      </c>
      <c r="AZ1864">
        <v>0</v>
      </c>
      <c r="BA1864" t="s">
        <v>66</v>
      </c>
      <c r="BB1864">
        <v>0</v>
      </c>
      <c r="BC1864">
        <v>0</v>
      </c>
      <c r="BD1864">
        <v>156922.92000000001</v>
      </c>
      <c r="BE1864">
        <v>19955.59</v>
      </c>
      <c r="BF1864">
        <v>0</v>
      </c>
      <c r="BG1864" t="s">
        <v>87</v>
      </c>
      <c r="BH1864" t="s">
        <v>66</v>
      </c>
      <c r="BI1864">
        <v>0</v>
      </c>
      <c r="BJ1864" t="s">
        <v>66</v>
      </c>
      <c r="BK1864" t="s">
        <v>88</v>
      </c>
      <c r="BL1864" t="s">
        <v>66</v>
      </c>
      <c r="BM1864" t="s">
        <v>159</v>
      </c>
    </row>
    <row r="1865" spans="1:65" x14ac:dyDescent="0.25">
      <c r="A1865">
        <v>1863</v>
      </c>
      <c r="B1865" t="s">
        <v>1849</v>
      </c>
      <c r="C1865" t="s">
        <v>68</v>
      </c>
      <c r="D1865" s="1">
        <v>46227</v>
      </c>
      <c r="E1865" t="s">
        <v>1850</v>
      </c>
      <c r="F1865" t="s">
        <v>68</v>
      </c>
      <c r="G1865" t="s">
        <v>295</v>
      </c>
      <c r="H1865" t="s">
        <v>296</v>
      </c>
      <c r="I1865" t="s">
        <v>71</v>
      </c>
      <c r="J1865" t="s">
        <v>72</v>
      </c>
      <c r="K1865" t="s">
        <v>73</v>
      </c>
      <c r="L1865" t="s">
        <v>74</v>
      </c>
      <c r="M1865" t="s">
        <v>1182</v>
      </c>
      <c r="N1865" t="s">
        <v>111</v>
      </c>
      <c r="O1865" t="s">
        <v>1183</v>
      </c>
      <c r="P1865" t="s">
        <v>1184</v>
      </c>
      <c r="Q1865" t="s">
        <v>1851</v>
      </c>
      <c r="R1865" s="1">
        <v>46228</v>
      </c>
      <c r="S1865" t="s">
        <v>1186</v>
      </c>
      <c r="T1865" t="s">
        <v>1187</v>
      </c>
      <c r="U1865" t="s">
        <v>1188</v>
      </c>
      <c r="V1865" t="s">
        <v>66</v>
      </c>
      <c r="W1865" t="s">
        <v>66</v>
      </c>
      <c r="X1865">
        <v>2643003</v>
      </c>
      <c r="Y1865">
        <v>290730.33</v>
      </c>
      <c r="Z1865">
        <v>146124</v>
      </c>
      <c r="AA1865">
        <v>16073.64</v>
      </c>
      <c r="AB1865">
        <v>2933733.33</v>
      </c>
      <c r="AC1865">
        <v>12</v>
      </c>
      <c r="AD1865" t="s">
        <v>82</v>
      </c>
      <c r="AE1865">
        <v>12</v>
      </c>
      <c r="AF1865" t="s">
        <v>1067</v>
      </c>
      <c r="AG1865">
        <f>IFERROR(VLOOKUP(AF1865,[1]STOK!J:O,6,0),"")</f>
        <v>24</v>
      </c>
      <c r="AH1865" s="2">
        <f t="shared" si="58"/>
        <v>0.5</v>
      </c>
      <c r="AI1865" t="s">
        <v>1067</v>
      </c>
      <c r="AJ1865" t="s">
        <v>1068</v>
      </c>
      <c r="AK1865" t="s">
        <v>1069</v>
      </c>
      <c r="AL1865" t="s">
        <v>86</v>
      </c>
      <c r="AM1865">
        <v>13653</v>
      </c>
      <c r="AN1865">
        <f t="shared" si="59"/>
        <v>13516.470000000001</v>
      </c>
      <c r="AO1865" t="s">
        <v>66</v>
      </c>
      <c r="AP1865">
        <v>1</v>
      </c>
      <c r="AQ1865" t="s">
        <v>66</v>
      </c>
      <c r="AR1865">
        <v>0</v>
      </c>
      <c r="AS1865" t="s">
        <v>66</v>
      </c>
      <c r="AT1865">
        <v>0</v>
      </c>
      <c r="AU1865" t="s">
        <v>66</v>
      </c>
      <c r="AV1865">
        <v>0</v>
      </c>
      <c r="AW1865" t="s">
        <v>66</v>
      </c>
      <c r="AX1865">
        <v>0</v>
      </c>
      <c r="AY1865" t="s">
        <v>66</v>
      </c>
      <c r="AZ1865">
        <v>0</v>
      </c>
      <c r="BA1865" t="s">
        <v>66</v>
      </c>
      <c r="BB1865">
        <v>0</v>
      </c>
      <c r="BC1865">
        <v>0</v>
      </c>
      <c r="BD1865">
        <v>162197.64000000001</v>
      </c>
      <c r="BE1865">
        <v>10959.78</v>
      </c>
      <c r="BF1865">
        <v>0</v>
      </c>
      <c r="BG1865" t="s">
        <v>87</v>
      </c>
      <c r="BH1865" t="s">
        <v>66</v>
      </c>
      <c r="BI1865">
        <v>0</v>
      </c>
      <c r="BJ1865" t="s">
        <v>66</v>
      </c>
      <c r="BK1865" t="s">
        <v>88</v>
      </c>
      <c r="BL1865" t="s">
        <v>66</v>
      </c>
      <c r="BM1865" t="s">
        <v>159</v>
      </c>
    </row>
    <row r="1866" spans="1:65" x14ac:dyDescent="0.25">
      <c r="A1866">
        <v>1864</v>
      </c>
      <c r="B1866" t="s">
        <v>1849</v>
      </c>
      <c r="C1866" t="s">
        <v>68</v>
      </c>
      <c r="D1866" s="1">
        <v>46227</v>
      </c>
      <c r="E1866" t="s">
        <v>1850</v>
      </c>
      <c r="F1866" t="s">
        <v>68</v>
      </c>
      <c r="G1866" t="s">
        <v>295</v>
      </c>
      <c r="H1866" t="s">
        <v>296</v>
      </c>
      <c r="I1866" t="s">
        <v>71</v>
      </c>
      <c r="J1866" t="s">
        <v>72</v>
      </c>
      <c r="K1866" t="s">
        <v>73</v>
      </c>
      <c r="L1866" t="s">
        <v>74</v>
      </c>
      <c r="M1866" t="s">
        <v>1182</v>
      </c>
      <c r="N1866" t="s">
        <v>111</v>
      </c>
      <c r="O1866" t="s">
        <v>1183</v>
      </c>
      <c r="P1866" t="s">
        <v>1184</v>
      </c>
      <c r="Q1866" t="s">
        <v>1851</v>
      </c>
      <c r="R1866" s="1">
        <v>46228</v>
      </c>
      <c r="S1866" t="s">
        <v>1186</v>
      </c>
      <c r="T1866" t="s">
        <v>1187</v>
      </c>
      <c r="U1866" t="s">
        <v>1188</v>
      </c>
      <c r="V1866" t="s">
        <v>66</v>
      </c>
      <c r="W1866" t="s">
        <v>66</v>
      </c>
      <c r="X1866">
        <v>2643003</v>
      </c>
      <c r="Y1866">
        <v>290730.33</v>
      </c>
      <c r="Z1866">
        <v>98010</v>
      </c>
      <c r="AA1866">
        <v>10781.1</v>
      </c>
      <c r="AB1866">
        <v>2933733.33</v>
      </c>
      <c r="AC1866">
        <v>6</v>
      </c>
      <c r="AD1866" t="s">
        <v>82</v>
      </c>
      <c r="AE1866">
        <v>6</v>
      </c>
      <c r="AF1866" t="s">
        <v>1852</v>
      </c>
      <c r="AG1866">
        <f>IFERROR(VLOOKUP(AF1866,[1]STOK!J:O,6,0),"")</f>
        <v>12</v>
      </c>
      <c r="AH1866" s="2">
        <f t="shared" si="58"/>
        <v>0.5</v>
      </c>
      <c r="AI1866" t="s">
        <v>1852</v>
      </c>
      <c r="AJ1866" t="s">
        <v>1853</v>
      </c>
      <c r="AK1866" t="s">
        <v>1854</v>
      </c>
      <c r="AL1866" t="s">
        <v>86</v>
      </c>
      <c r="AM1866">
        <v>18315</v>
      </c>
      <c r="AN1866">
        <f t="shared" si="59"/>
        <v>18131.850000000002</v>
      </c>
      <c r="AO1866" t="s">
        <v>66</v>
      </c>
      <c r="AP1866">
        <v>1</v>
      </c>
      <c r="AQ1866" t="s">
        <v>66</v>
      </c>
      <c r="AR1866">
        <v>0</v>
      </c>
      <c r="AS1866" t="s">
        <v>66</v>
      </c>
      <c r="AT1866">
        <v>0</v>
      </c>
      <c r="AU1866" t="s">
        <v>66</v>
      </c>
      <c r="AV1866">
        <v>0</v>
      </c>
      <c r="AW1866" t="s">
        <v>66</v>
      </c>
      <c r="AX1866">
        <v>0</v>
      </c>
      <c r="AY1866" t="s">
        <v>66</v>
      </c>
      <c r="AZ1866">
        <v>0</v>
      </c>
      <c r="BA1866" t="s">
        <v>66</v>
      </c>
      <c r="BB1866">
        <v>0</v>
      </c>
      <c r="BC1866">
        <v>0</v>
      </c>
      <c r="BD1866">
        <v>108791.1</v>
      </c>
      <c r="BE1866">
        <v>13846.54</v>
      </c>
      <c r="BF1866">
        <v>0</v>
      </c>
      <c r="BG1866" t="s">
        <v>87</v>
      </c>
      <c r="BH1866" t="s">
        <v>66</v>
      </c>
      <c r="BI1866">
        <v>0</v>
      </c>
      <c r="BJ1866" t="s">
        <v>66</v>
      </c>
      <c r="BK1866" t="s">
        <v>88</v>
      </c>
      <c r="BL1866" t="s">
        <v>66</v>
      </c>
      <c r="BM1866" t="s">
        <v>159</v>
      </c>
    </row>
    <row r="1867" spans="1:65" x14ac:dyDescent="0.25">
      <c r="A1867">
        <v>1865</v>
      </c>
      <c r="B1867" t="s">
        <v>1849</v>
      </c>
      <c r="C1867" t="s">
        <v>68</v>
      </c>
      <c r="D1867" s="1">
        <v>46227</v>
      </c>
      <c r="E1867" t="s">
        <v>1850</v>
      </c>
      <c r="F1867" t="s">
        <v>68</v>
      </c>
      <c r="G1867" t="s">
        <v>295</v>
      </c>
      <c r="H1867" t="s">
        <v>296</v>
      </c>
      <c r="I1867" t="s">
        <v>71</v>
      </c>
      <c r="J1867" t="s">
        <v>72</v>
      </c>
      <c r="K1867" t="s">
        <v>73</v>
      </c>
      <c r="L1867" t="s">
        <v>74</v>
      </c>
      <c r="M1867" t="s">
        <v>1182</v>
      </c>
      <c r="N1867" t="s">
        <v>111</v>
      </c>
      <c r="O1867" t="s">
        <v>1183</v>
      </c>
      <c r="P1867" t="s">
        <v>1184</v>
      </c>
      <c r="Q1867" t="s">
        <v>1851</v>
      </c>
      <c r="R1867" s="1">
        <v>46228</v>
      </c>
      <c r="S1867" t="s">
        <v>1186</v>
      </c>
      <c r="T1867" t="s">
        <v>1187</v>
      </c>
      <c r="U1867" t="s">
        <v>1188</v>
      </c>
      <c r="V1867" t="s">
        <v>66</v>
      </c>
      <c r="W1867" t="s">
        <v>66</v>
      </c>
      <c r="X1867">
        <v>2643003</v>
      </c>
      <c r="Y1867">
        <v>290730.33</v>
      </c>
      <c r="Z1867">
        <v>98010</v>
      </c>
      <c r="AA1867">
        <v>10781.1</v>
      </c>
      <c r="AB1867">
        <v>2933733.33</v>
      </c>
      <c r="AC1867">
        <v>6</v>
      </c>
      <c r="AD1867" t="s">
        <v>82</v>
      </c>
      <c r="AE1867">
        <v>6</v>
      </c>
      <c r="AF1867" t="s">
        <v>1855</v>
      </c>
      <c r="AG1867">
        <f>IFERROR(VLOOKUP(AF1867,[1]STOK!J:O,6,0),"")</f>
        <v>12</v>
      </c>
      <c r="AH1867" s="2">
        <f t="shared" si="58"/>
        <v>0.5</v>
      </c>
      <c r="AI1867" t="s">
        <v>1855</v>
      </c>
      <c r="AJ1867" t="s">
        <v>1856</v>
      </c>
      <c r="AK1867" t="s">
        <v>1857</v>
      </c>
      <c r="AL1867" t="s">
        <v>86</v>
      </c>
      <c r="AM1867">
        <v>18315</v>
      </c>
      <c r="AN1867">
        <f t="shared" si="59"/>
        <v>18131.850000000002</v>
      </c>
      <c r="AO1867" t="s">
        <v>66</v>
      </c>
      <c r="AP1867">
        <v>1</v>
      </c>
      <c r="AQ1867" t="s">
        <v>66</v>
      </c>
      <c r="AR1867">
        <v>0</v>
      </c>
      <c r="AS1867" t="s">
        <v>66</v>
      </c>
      <c r="AT1867">
        <v>0</v>
      </c>
      <c r="AU1867" t="s">
        <v>66</v>
      </c>
      <c r="AV1867">
        <v>0</v>
      </c>
      <c r="AW1867" t="s">
        <v>66</v>
      </c>
      <c r="AX1867">
        <v>0</v>
      </c>
      <c r="AY1867" t="s">
        <v>66</v>
      </c>
      <c r="AZ1867">
        <v>0</v>
      </c>
      <c r="BA1867" t="s">
        <v>66</v>
      </c>
      <c r="BB1867">
        <v>0</v>
      </c>
      <c r="BC1867">
        <v>0</v>
      </c>
      <c r="BD1867">
        <v>108791.1</v>
      </c>
      <c r="BE1867">
        <v>13846.41</v>
      </c>
      <c r="BF1867">
        <v>0</v>
      </c>
      <c r="BG1867" t="s">
        <v>87</v>
      </c>
      <c r="BH1867" t="s">
        <v>66</v>
      </c>
      <c r="BI1867">
        <v>0</v>
      </c>
      <c r="BJ1867" t="s">
        <v>66</v>
      </c>
      <c r="BK1867" t="s">
        <v>88</v>
      </c>
      <c r="BL1867" t="s">
        <v>66</v>
      </c>
      <c r="BM1867" t="s">
        <v>159</v>
      </c>
    </row>
    <row r="1868" spans="1:65" x14ac:dyDescent="0.25">
      <c r="A1868">
        <v>1866</v>
      </c>
      <c r="B1868" t="s">
        <v>1849</v>
      </c>
      <c r="C1868" t="s">
        <v>68</v>
      </c>
      <c r="D1868" s="1">
        <v>46227</v>
      </c>
      <c r="E1868" t="s">
        <v>1850</v>
      </c>
      <c r="F1868" t="s">
        <v>68</v>
      </c>
      <c r="G1868" t="s">
        <v>295</v>
      </c>
      <c r="H1868" t="s">
        <v>296</v>
      </c>
      <c r="I1868" t="s">
        <v>71</v>
      </c>
      <c r="J1868" t="s">
        <v>72</v>
      </c>
      <c r="K1868" t="s">
        <v>73</v>
      </c>
      <c r="L1868" t="s">
        <v>74</v>
      </c>
      <c r="M1868" t="s">
        <v>1182</v>
      </c>
      <c r="N1868" t="s">
        <v>111</v>
      </c>
      <c r="O1868" t="s">
        <v>1183</v>
      </c>
      <c r="P1868" t="s">
        <v>1184</v>
      </c>
      <c r="Q1868" t="s">
        <v>1851</v>
      </c>
      <c r="R1868" s="1">
        <v>46228</v>
      </c>
      <c r="S1868" t="s">
        <v>1186</v>
      </c>
      <c r="T1868" t="s">
        <v>1187</v>
      </c>
      <c r="U1868" t="s">
        <v>1188</v>
      </c>
      <c r="V1868" t="s">
        <v>66</v>
      </c>
      <c r="W1868" t="s">
        <v>66</v>
      </c>
      <c r="X1868">
        <v>2643003</v>
      </c>
      <c r="Y1868">
        <v>290730.33</v>
      </c>
      <c r="Z1868">
        <v>98010</v>
      </c>
      <c r="AA1868">
        <v>10781.1</v>
      </c>
      <c r="AB1868">
        <v>2933733.33</v>
      </c>
      <c r="AC1868">
        <v>6</v>
      </c>
      <c r="AD1868" t="s">
        <v>82</v>
      </c>
      <c r="AE1868">
        <v>6</v>
      </c>
      <c r="AF1868" t="s">
        <v>619</v>
      </c>
      <c r="AG1868">
        <f>IFERROR(VLOOKUP(AF1868,[1]STOK!J:O,6,0),"")</f>
        <v>12</v>
      </c>
      <c r="AH1868" s="2">
        <f t="shared" si="58"/>
        <v>0.5</v>
      </c>
      <c r="AI1868" t="s">
        <v>619</v>
      </c>
      <c r="AJ1868" t="s">
        <v>620</v>
      </c>
      <c r="AK1868" t="s">
        <v>621</v>
      </c>
      <c r="AL1868" t="s">
        <v>86</v>
      </c>
      <c r="AM1868">
        <v>18315</v>
      </c>
      <c r="AN1868">
        <f t="shared" si="59"/>
        <v>18131.850000000002</v>
      </c>
      <c r="AO1868" t="s">
        <v>66</v>
      </c>
      <c r="AP1868">
        <v>1</v>
      </c>
      <c r="AQ1868" t="s">
        <v>66</v>
      </c>
      <c r="AR1868">
        <v>0</v>
      </c>
      <c r="AS1868" t="s">
        <v>66</v>
      </c>
      <c r="AT1868">
        <v>0</v>
      </c>
      <c r="AU1868" t="s">
        <v>66</v>
      </c>
      <c r="AV1868">
        <v>0</v>
      </c>
      <c r="AW1868" t="s">
        <v>66</v>
      </c>
      <c r="AX1868">
        <v>0</v>
      </c>
      <c r="AY1868" t="s">
        <v>66</v>
      </c>
      <c r="AZ1868">
        <v>0</v>
      </c>
      <c r="BA1868" t="s">
        <v>66</v>
      </c>
      <c r="BB1868">
        <v>0</v>
      </c>
      <c r="BC1868">
        <v>0</v>
      </c>
      <c r="BD1868">
        <v>108791.1</v>
      </c>
      <c r="BE1868">
        <v>13909.26</v>
      </c>
      <c r="BF1868">
        <v>0</v>
      </c>
      <c r="BG1868" t="s">
        <v>87</v>
      </c>
      <c r="BH1868" t="s">
        <v>66</v>
      </c>
      <c r="BI1868">
        <v>0</v>
      </c>
      <c r="BJ1868" t="s">
        <v>66</v>
      </c>
      <c r="BK1868" t="s">
        <v>88</v>
      </c>
      <c r="BL1868" t="s">
        <v>66</v>
      </c>
      <c r="BM1868" t="s">
        <v>159</v>
      </c>
    </row>
    <row r="1869" spans="1:65" x14ac:dyDescent="0.25">
      <c r="A1869">
        <v>1867</v>
      </c>
      <c r="B1869" t="s">
        <v>1849</v>
      </c>
      <c r="C1869" t="s">
        <v>68</v>
      </c>
      <c r="D1869" s="1">
        <v>46227</v>
      </c>
      <c r="E1869" t="s">
        <v>1850</v>
      </c>
      <c r="F1869" t="s">
        <v>68</v>
      </c>
      <c r="G1869" t="s">
        <v>295</v>
      </c>
      <c r="H1869" t="s">
        <v>296</v>
      </c>
      <c r="I1869" t="s">
        <v>71</v>
      </c>
      <c r="J1869" t="s">
        <v>72</v>
      </c>
      <c r="K1869" t="s">
        <v>73</v>
      </c>
      <c r="L1869" t="s">
        <v>74</v>
      </c>
      <c r="M1869" t="s">
        <v>1182</v>
      </c>
      <c r="N1869" t="s">
        <v>111</v>
      </c>
      <c r="O1869" t="s">
        <v>1183</v>
      </c>
      <c r="P1869" t="s">
        <v>1184</v>
      </c>
      <c r="Q1869" t="s">
        <v>1851</v>
      </c>
      <c r="R1869" s="1">
        <v>46228</v>
      </c>
      <c r="S1869" t="s">
        <v>1186</v>
      </c>
      <c r="T1869" t="s">
        <v>1187</v>
      </c>
      <c r="U1869" t="s">
        <v>1188</v>
      </c>
      <c r="V1869" t="s">
        <v>66</v>
      </c>
      <c r="W1869" t="s">
        <v>66</v>
      </c>
      <c r="X1869">
        <v>2643003</v>
      </c>
      <c r="Y1869">
        <v>290730.33</v>
      </c>
      <c r="Z1869">
        <v>168102</v>
      </c>
      <c r="AA1869">
        <v>18491.22</v>
      </c>
      <c r="AB1869">
        <v>2933733.33</v>
      </c>
      <c r="AC1869">
        <v>6</v>
      </c>
      <c r="AD1869" t="s">
        <v>82</v>
      </c>
      <c r="AE1869">
        <v>6</v>
      </c>
      <c r="AF1869" t="s">
        <v>510</v>
      </c>
      <c r="AG1869">
        <f>IFERROR(VLOOKUP(AF1869,[1]STOK!J:O,6,0),"")</f>
        <v>6</v>
      </c>
      <c r="AH1869" s="2">
        <f t="shared" si="58"/>
        <v>1</v>
      </c>
      <c r="AI1869" t="s">
        <v>510</v>
      </c>
      <c r="AJ1869" t="s">
        <v>511</v>
      </c>
      <c r="AK1869" t="s">
        <v>512</v>
      </c>
      <c r="AL1869" t="s">
        <v>86</v>
      </c>
      <c r="AM1869">
        <v>31413</v>
      </c>
      <c r="AN1869">
        <f t="shared" si="59"/>
        <v>31098.87</v>
      </c>
      <c r="AO1869" t="s">
        <v>66</v>
      </c>
      <c r="AP1869">
        <v>1</v>
      </c>
      <c r="AQ1869" t="s">
        <v>66</v>
      </c>
      <c r="AR1869">
        <v>0</v>
      </c>
      <c r="AS1869" t="s">
        <v>66</v>
      </c>
      <c r="AT1869">
        <v>0</v>
      </c>
      <c r="AU1869" t="s">
        <v>66</v>
      </c>
      <c r="AV1869">
        <v>0</v>
      </c>
      <c r="AW1869" t="s">
        <v>66</v>
      </c>
      <c r="AX1869">
        <v>0</v>
      </c>
      <c r="AY1869" t="s">
        <v>66</v>
      </c>
      <c r="AZ1869">
        <v>0</v>
      </c>
      <c r="BA1869" t="s">
        <v>66</v>
      </c>
      <c r="BB1869">
        <v>0</v>
      </c>
      <c r="BC1869">
        <v>0</v>
      </c>
      <c r="BD1869">
        <v>186593.22</v>
      </c>
      <c r="BE1869">
        <v>23710.400000000001</v>
      </c>
      <c r="BF1869">
        <v>0</v>
      </c>
      <c r="BG1869" t="s">
        <v>87</v>
      </c>
      <c r="BH1869" t="s">
        <v>66</v>
      </c>
      <c r="BI1869">
        <v>0</v>
      </c>
      <c r="BJ1869" t="s">
        <v>66</v>
      </c>
      <c r="BK1869" t="s">
        <v>88</v>
      </c>
      <c r="BL1869" t="s">
        <v>66</v>
      </c>
      <c r="BM1869" t="s">
        <v>159</v>
      </c>
    </row>
    <row r="1870" spans="1:65" x14ac:dyDescent="0.25">
      <c r="A1870">
        <v>1868</v>
      </c>
      <c r="B1870" t="s">
        <v>1849</v>
      </c>
      <c r="C1870" t="s">
        <v>68</v>
      </c>
      <c r="D1870" s="1">
        <v>46227</v>
      </c>
      <c r="E1870" t="s">
        <v>1850</v>
      </c>
      <c r="F1870" t="s">
        <v>68</v>
      </c>
      <c r="G1870" t="s">
        <v>295</v>
      </c>
      <c r="H1870" t="s">
        <v>296</v>
      </c>
      <c r="I1870" t="s">
        <v>71</v>
      </c>
      <c r="J1870" t="s">
        <v>72</v>
      </c>
      <c r="K1870" t="s">
        <v>73</v>
      </c>
      <c r="L1870" t="s">
        <v>74</v>
      </c>
      <c r="M1870" t="s">
        <v>1182</v>
      </c>
      <c r="N1870" t="s">
        <v>111</v>
      </c>
      <c r="O1870" t="s">
        <v>1183</v>
      </c>
      <c r="P1870" t="s">
        <v>1184</v>
      </c>
      <c r="Q1870" t="s">
        <v>1851</v>
      </c>
      <c r="R1870" s="1">
        <v>46228</v>
      </c>
      <c r="S1870" t="s">
        <v>1186</v>
      </c>
      <c r="T1870" t="s">
        <v>1187</v>
      </c>
      <c r="U1870" t="s">
        <v>1188</v>
      </c>
      <c r="V1870" t="s">
        <v>66</v>
      </c>
      <c r="W1870" t="s">
        <v>66</v>
      </c>
      <c r="X1870">
        <v>2643003</v>
      </c>
      <c r="Y1870">
        <v>290730.33</v>
      </c>
      <c r="Z1870">
        <v>84051</v>
      </c>
      <c r="AA1870">
        <v>9245.61</v>
      </c>
      <c r="AB1870">
        <v>2933733.33</v>
      </c>
      <c r="AC1870">
        <v>3</v>
      </c>
      <c r="AD1870" t="s">
        <v>82</v>
      </c>
      <c r="AE1870">
        <v>3</v>
      </c>
      <c r="AF1870" t="s">
        <v>1433</v>
      </c>
      <c r="AG1870">
        <f>IFERROR(VLOOKUP(AF1870,[1]STOK!J:O,6,0),"")</f>
        <v>6</v>
      </c>
      <c r="AH1870" s="2">
        <f t="shared" si="58"/>
        <v>0.5</v>
      </c>
      <c r="AI1870" t="s">
        <v>1433</v>
      </c>
      <c r="AJ1870" t="s">
        <v>1434</v>
      </c>
      <c r="AK1870" t="s">
        <v>1435</v>
      </c>
      <c r="AL1870" t="s">
        <v>86</v>
      </c>
      <c r="AM1870">
        <v>31413</v>
      </c>
      <c r="AN1870">
        <f t="shared" si="59"/>
        <v>31098.87</v>
      </c>
      <c r="AO1870" t="s">
        <v>66</v>
      </c>
      <c r="AP1870">
        <v>1</v>
      </c>
      <c r="AQ1870" t="s">
        <v>66</v>
      </c>
      <c r="AR1870">
        <v>0</v>
      </c>
      <c r="AS1870" t="s">
        <v>66</v>
      </c>
      <c r="AT1870">
        <v>0</v>
      </c>
      <c r="AU1870" t="s">
        <v>66</v>
      </c>
      <c r="AV1870">
        <v>0</v>
      </c>
      <c r="AW1870" t="s">
        <v>66</v>
      </c>
      <c r="AX1870">
        <v>0</v>
      </c>
      <c r="AY1870" t="s">
        <v>66</v>
      </c>
      <c r="AZ1870">
        <v>0</v>
      </c>
      <c r="BA1870" t="s">
        <v>66</v>
      </c>
      <c r="BB1870">
        <v>0</v>
      </c>
      <c r="BC1870">
        <v>0</v>
      </c>
      <c r="BD1870">
        <v>93296.61</v>
      </c>
      <c r="BE1870">
        <v>24158.22</v>
      </c>
      <c r="BF1870">
        <v>0</v>
      </c>
      <c r="BG1870" t="s">
        <v>87</v>
      </c>
      <c r="BH1870" t="s">
        <v>66</v>
      </c>
      <c r="BI1870">
        <v>0</v>
      </c>
      <c r="BJ1870" t="s">
        <v>66</v>
      </c>
      <c r="BK1870" t="s">
        <v>88</v>
      </c>
      <c r="BL1870" t="s">
        <v>66</v>
      </c>
      <c r="BM1870" t="s">
        <v>159</v>
      </c>
    </row>
    <row r="1871" spans="1:65" x14ac:dyDescent="0.25">
      <c r="A1871">
        <v>1869</v>
      </c>
      <c r="B1871" t="s">
        <v>1849</v>
      </c>
      <c r="C1871" t="s">
        <v>68</v>
      </c>
      <c r="D1871" s="1">
        <v>46227</v>
      </c>
      <c r="E1871" t="s">
        <v>1850</v>
      </c>
      <c r="F1871" t="s">
        <v>68</v>
      </c>
      <c r="G1871" t="s">
        <v>295</v>
      </c>
      <c r="H1871" t="s">
        <v>296</v>
      </c>
      <c r="I1871" t="s">
        <v>71</v>
      </c>
      <c r="J1871" t="s">
        <v>72</v>
      </c>
      <c r="K1871" t="s">
        <v>73</v>
      </c>
      <c r="L1871" t="s">
        <v>74</v>
      </c>
      <c r="M1871" t="s">
        <v>1182</v>
      </c>
      <c r="N1871" t="s">
        <v>111</v>
      </c>
      <c r="O1871" t="s">
        <v>1183</v>
      </c>
      <c r="P1871" t="s">
        <v>1184</v>
      </c>
      <c r="Q1871" t="s">
        <v>1851</v>
      </c>
      <c r="R1871" s="1">
        <v>46228</v>
      </c>
      <c r="S1871" t="s">
        <v>1186</v>
      </c>
      <c r="T1871" t="s">
        <v>1187</v>
      </c>
      <c r="U1871" t="s">
        <v>1188</v>
      </c>
      <c r="V1871" t="s">
        <v>66</v>
      </c>
      <c r="W1871" t="s">
        <v>66</v>
      </c>
      <c r="X1871">
        <v>2643003</v>
      </c>
      <c r="Y1871">
        <v>290730.33</v>
      </c>
      <c r="Z1871">
        <v>158004</v>
      </c>
      <c r="AA1871">
        <v>17380.439999999999</v>
      </c>
      <c r="AB1871">
        <v>2933733.33</v>
      </c>
      <c r="AC1871">
        <v>12</v>
      </c>
      <c r="AD1871" t="s">
        <v>82</v>
      </c>
      <c r="AE1871">
        <v>12</v>
      </c>
      <c r="AF1871" t="s">
        <v>135</v>
      </c>
      <c r="AG1871">
        <f>IFERROR(VLOOKUP(AF1871,[1]STOK!J:O,6,0),"")</f>
        <v>12</v>
      </c>
      <c r="AH1871" s="2">
        <f t="shared" si="58"/>
        <v>1</v>
      </c>
      <c r="AI1871" t="s">
        <v>135</v>
      </c>
      <c r="AJ1871" t="s">
        <v>136</v>
      </c>
      <c r="AK1871" t="s">
        <v>137</v>
      </c>
      <c r="AL1871" t="s">
        <v>86</v>
      </c>
      <c r="AM1871">
        <v>14763</v>
      </c>
      <c r="AN1871">
        <f t="shared" si="59"/>
        <v>14615.37</v>
      </c>
      <c r="AO1871" t="s">
        <v>66</v>
      </c>
      <c r="AP1871">
        <v>1</v>
      </c>
      <c r="AQ1871" t="s">
        <v>66</v>
      </c>
      <c r="AR1871">
        <v>0</v>
      </c>
      <c r="AS1871" t="s">
        <v>66</v>
      </c>
      <c r="AT1871">
        <v>0</v>
      </c>
      <c r="AU1871" t="s">
        <v>66</v>
      </c>
      <c r="AV1871">
        <v>0</v>
      </c>
      <c r="AW1871" t="s">
        <v>66</v>
      </c>
      <c r="AX1871">
        <v>0</v>
      </c>
      <c r="AY1871" t="s">
        <v>66</v>
      </c>
      <c r="AZ1871">
        <v>0</v>
      </c>
      <c r="BA1871" t="s">
        <v>66</v>
      </c>
      <c r="BB1871">
        <v>0</v>
      </c>
      <c r="BC1871">
        <v>0</v>
      </c>
      <c r="BD1871">
        <v>175384.44</v>
      </c>
      <c r="BE1871">
        <v>12032.04</v>
      </c>
      <c r="BF1871">
        <v>0</v>
      </c>
      <c r="BG1871" t="s">
        <v>87</v>
      </c>
      <c r="BH1871" t="s">
        <v>66</v>
      </c>
      <c r="BI1871">
        <v>0</v>
      </c>
      <c r="BJ1871" t="s">
        <v>66</v>
      </c>
      <c r="BK1871" t="s">
        <v>88</v>
      </c>
      <c r="BL1871" t="s">
        <v>66</v>
      </c>
      <c r="BM1871" t="s">
        <v>159</v>
      </c>
    </row>
    <row r="1872" spans="1:65" x14ac:dyDescent="0.25">
      <c r="A1872">
        <v>1870</v>
      </c>
      <c r="B1872" t="s">
        <v>1849</v>
      </c>
      <c r="C1872" t="s">
        <v>68</v>
      </c>
      <c r="D1872" s="1">
        <v>46227</v>
      </c>
      <c r="E1872" t="s">
        <v>1850</v>
      </c>
      <c r="F1872" t="s">
        <v>68</v>
      </c>
      <c r="G1872" t="s">
        <v>295</v>
      </c>
      <c r="H1872" t="s">
        <v>296</v>
      </c>
      <c r="I1872" t="s">
        <v>71</v>
      </c>
      <c r="J1872" t="s">
        <v>72</v>
      </c>
      <c r="K1872" t="s">
        <v>73</v>
      </c>
      <c r="L1872" t="s">
        <v>74</v>
      </c>
      <c r="M1872" t="s">
        <v>1182</v>
      </c>
      <c r="N1872" t="s">
        <v>111</v>
      </c>
      <c r="O1872" t="s">
        <v>1183</v>
      </c>
      <c r="P1872" t="s">
        <v>1184</v>
      </c>
      <c r="Q1872" t="s">
        <v>1851</v>
      </c>
      <c r="R1872" s="1">
        <v>46228</v>
      </c>
      <c r="S1872" t="s">
        <v>1186</v>
      </c>
      <c r="T1872" t="s">
        <v>1187</v>
      </c>
      <c r="U1872" t="s">
        <v>1188</v>
      </c>
      <c r="V1872" t="s">
        <v>66</v>
      </c>
      <c r="W1872" t="s">
        <v>66</v>
      </c>
      <c r="X1872">
        <v>2643003</v>
      </c>
      <c r="Y1872">
        <v>290730.33</v>
      </c>
      <c r="Z1872">
        <v>316008</v>
      </c>
      <c r="AA1872">
        <v>34760.879999999997</v>
      </c>
      <c r="AB1872">
        <v>2933733.33</v>
      </c>
      <c r="AC1872">
        <v>24</v>
      </c>
      <c r="AD1872" t="s">
        <v>82</v>
      </c>
      <c r="AE1872">
        <v>24</v>
      </c>
      <c r="AF1872" t="s">
        <v>210</v>
      </c>
      <c r="AG1872">
        <f>IFERROR(VLOOKUP(AF1872,[1]STOK!J:O,6,0),"")</f>
        <v>12</v>
      </c>
      <c r="AH1872" s="2">
        <f t="shared" si="58"/>
        <v>2</v>
      </c>
      <c r="AI1872" t="s">
        <v>210</v>
      </c>
      <c r="AJ1872" t="s">
        <v>211</v>
      </c>
      <c r="AK1872" t="s">
        <v>212</v>
      </c>
      <c r="AL1872" t="s">
        <v>86</v>
      </c>
      <c r="AM1872">
        <v>14763</v>
      </c>
      <c r="AN1872">
        <f t="shared" si="59"/>
        <v>14615.37</v>
      </c>
      <c r="AO1872" t="s">
        <v>66</v>
      </c>
      <c r="AP1872">
        <v>1</v>
      </c>
      <c r="AQ1872" t="s">
        <v>66</v>
      </c>
      <c r="AR1872">
        <v>0</v>
      </c>
      <c r="AS1872" t="s">
        <v>66</v>
      </c>
      <c r="AT1872">
        <v>0</v>
      </c>
      <c r="AU1872" t="s">
        <v>66</v>
      </c>
      <c r="AV1872">
        <v>0</v>
      </c>
      <c r="AW1872" t="s">
        <v>66</v>
      </c>
      <c r="AX1872">
        <v>0</v>
      </c>
      <c r="AY1872" t="s">
        <v>66</v>
      </c>
      <c r="AZ1872">
        <v>0</v>
      </c>
      <c r="BA1872" t="s">
        <v>66</v>
      </c>
      <c r="BB1872">
        <v>0</v>
      </c>
      <c r="BC1872">
        <v>0</v>
      </c>
      <c r="BD1872">
        <v>350768.88</v>
      </c>
      <c r="BE1872">
        <v>11818.77</v>
      </c>
      <c r="BF1872">
        <v>0</v>
      </c>
      <c r="BG1872" t="s">
        <v>87</v>
      </c>
      <c r="BH1872" t="s">
        <v>66</v>
      </c>
      <c r="BI1872">
        <v>0</v>
      </c>
      <c r="BJ1872" t="s">
        <v>66</v>
      </c>
      <c r="BK1872" t="s">
        <v>88</v>
      </c>
      <c r="BL1872" t="s">
        <v>66</v>
      </c>
      <c r="BM1872" t="s">
        <v>159</v>
      </c>
    </row>
    <row r="1873" spans="1:65" x14ac:dyDescent="0.25">
      <c r="A1873">
        <v>1871</v>
      </c>
      <c r="B1873" t="s">
        <v>1849</v>
      </c>
      <c r="C1873" t="s">
        <v>68</v>
      </c>
      <c r="D1873" s="1">
        <v>46227</v>
      </c>
      <c r="E1873" t="s">
        <v>1850</v>
      </c>
      <c r="F1873" t="s">
        <v>68</v>
      </c>
      <c r="G1873" t="s">
        <v>295</v>
      </c>
      <c r="H1873" t="s">
        <v>296</v>
      </c>
      <c r="I1873" t="s">
        <v>71</v>
      </c>
      <c r="J1873" t="s">
        <v>72</v>
      </c>
      <c r="K1873" t="s">
        <v>73</v>
      </c>
      <c r="L1873" t="s">
        <v>74</v>
      </c>
      <c r="M1873" t="s">
        <v>1182</v>
      </c>
      <c r="N1873" t="s">
        <v>111</v>
      </c>
      <c r="O1873" t="s">
        <v>1183</v>
      </c>
      <c r="P1873" t="s">
        <v>1184</v>
      </c>
      <c r="Q1873" t="s">
        <v>1851</v>
      </c>
      <c r="R1873" s="1">
        <v>46228</v>
      </c>
      <c r="S1873" t="s">
        <v>1186</v>
      </c>
      <c r="T1873" t="s">
        <v>1187</v>
      </c>
      <c r="U1873" t="s">
        <v>1188</v>
      </c>
      <c r="V1873" t="s">
        <v>66</v>
      </c>
      <c r="W1873" t="s">
        <v>66</v>
      </c>
      <c r="X1873">
        <v>2643003</v>
      </c>
      <c r="Y1873">
        <v>290730.33</v>
      </c>
      <c r="Z1873">
        <v>237600</v>
      </c>
      <c r="AA1873">
        <v>26136</v>
      </c>
      <c r="AB1873">
        <v>2933733.33</v>
      </c>
      <c r="AC1873">
        <v>12</v>
      </c>
      <c r="AD1873" t="s">
        <v>82</v>
      </c>
      <c r="AE1873">
        <v>12</v>
      </c>
      <c r="AF1873" t="s">
        <v>290</v>
      </c>
      <c r="AG1873">
        <f>IFERROR(VLOOKUP(AF1873,[1]STOK!J:O,6,0),"")</f>
        <v>12</v>
      </c>
      <c r="AH1873" s="2">
        <f t="shared" si="58"/>
        <v>1</v>
      </c>
      <c r="AI1873" t="s">
        <v>290</v>
      </c>
      <c r="AJ1873" t="s">
        <v>291</v>
      </c>
      <c r="AK1873" t="s">
        <v>292</v>
      </c>
      <c r="AL1873" t="s">
        <v>86</v>
      </c>
      <c r="AM1873">
        <v>22200</v>
      </c>
      <c r="AN1873">
        <f t="shared" si="59"/>
        <v>21978</v>
      </c>
      <c r="AO1873" t="s">
        <v>66</v>
      </c>
      <c r="AP1873">
        <v>1</v>
      </c>
      <c r="AQ1873" t="s">
        <v>66</v>
      </c>
      <c r="AR1873">
        <v>0</v>
      </c>
      <c r="AS1873" t="s">
        <v>66</v>
      </c>
      <c r="AT1873">
        <v>0</v>
      </c>
      <c r="AU1873" t="s">
        <v>66</v>
      </c>
      <c r="AV1873">
        <v>0</v>
      </c>
      <c r="AW1873" t="s">
        <v>66</v>
      </c>
      <c r="AX1873">
        <v>0</v>
      </c>
      <c r="AY1873" t="s">
        <v>66</v>
      </c>
      <c r="AZ1873">
        <v>0</v>
      </c>
      <c r="BA1873" t="s">
        <v>66</v>
      </c>
      <c r="BB1873">
        <v>0</v>
      </c>
      <c r="BC1873">
        <v>0</v>
      </c>
      <c r="BD1873">
        <v>263736</v>
      </c>
      <c r="BE1873">
        <v>18155.62</v>
      </c>
      <c r="BF1873">
        <v>0</v>
      </c>
      <c r="BG1873" t="s">
        <v>87</v>
      </c>
      <c r="BH1873" t="s">
        <v>66</v>
      </c>
      <c r="BI1873">
        <v>0</v>
      </c>
      <c r="BJ1873" t="s">
        <v>66</v>
      </c>
      <c r="BK1873" t="s">
        <v>88</v>
      </c>
      <c r="BL1873" t="s">
        <v>66</v>
      </c>
      <c r="BM1873" t="s">
        <v>159</v>
      </c>
    </row>
    <row r="1874" spans="1:65" x14ac:dyDescent="0.25">
      <c r="A1874">
        <v>1872</v>
      </c>
      <c r="B1874" t="s">
        <v>1849</v>
      </c>
      <c r="C1874" t="s">
        <v>68</v>
      </c>
      <c r="D1874" s="1">
        <v>46227</v>
      </c>
      <c r="E1874" t="s">
        <v>1850</v>
      </c>
      <c r="F1874" t="s">
        <v>68</v>
      </c>
      <c r="G1874" t="s">
        <v>295</v>
      </c>
      <c r="H1874" t="s">
        <v>296</v>
      </c>
      <c r="I1874" t="s">
        <v>71</v>
      </c>
      <c r="J1874" t="s">
        <v>72</v>
      </c>
      <c r="K1874" t="s">
        <v>73</v>
      </c>
      <c r="L1874" t="s">
        <v>74</v>
      </c>
      <c r="M1874" t="s">
        <v>1182</v>
      </c>
      <c r="N1874" t="s">
        <v>111</v>
      </c>
      <c r="O1874" t="s">
        <v>1183</v>
      </c>
      <c r="P1874" t="s">
        <v>1184</v>
      </c>
      <c r="Q1874" t="s">
        <v>1851</v>
      </c>
      <c r="R1874" s="1">
        <v>46228</v>
      </c>
      <c r="S1874" t="s">
        <v>1186</v>
      </c>
      <c r="T1874" t="s">
        <v>1187</v>
      </c>
      <c r="U1874" t="s">
        <v>1188</v>
      </c>
      <c r="V1874" t="s">
        <v>66</v>
      </c>
      <c r="W1874" t="s">
        <v>66</v>
      </c>
      <c r="X1874">
        <v>2643003</v>
      </c>
      <c r="Y1874">
        <v>290730.33</v>
      </c>
      <c r="Z1874">
        <v>455004</v>
      </c>
      <c r="AA1874">
        <v>50050.44</v>
      </c>
      <c r="AB1874">
        <v>2933733.33</v>
      </c>
      <c r="AC1874">
        <v>12</v>
      </c>
      <c r="AD1874" t="s">
        <v>82</v>
      </c>
      <c r="AE1874">
        <v>12</v>
      </c>
      <c r="AF1874" t="s">
        <v>138</v>
      </c>
      <c r="AG1874">
        <f>IFERROR(VLOOKUP(AF1874,[1]STOK!J:O,6,0),"")</f>
        <v>6</v>
      </c>
      <c r="AH1874" s="2">
        <f t="shared" si="58"/>
        <v>2</v>
      </c>
      <c r="AI1874" t="s">
        <v>138</v>
      </c>
      <c r="AJ1874" t="s">
        <v>139</v>
      </c>
      <c r="AK1874" t="s">
        <v>140</v>
      </c>
      <c r="AL1874" t="s">
        <v>86</v>
      </c>
      <c r="AM1874">
        <v>42513</v>
      </c>
      <c r="AN1874">
        <f t="shared" si="59"/>
        <v>42087.87</v>
      </c>
      <c r="AO1874" t="s">
        <v>66</v>
      </c>
      <c r="AP1874">
        <v>1</v>
      </c>
      <c r="AQ1874" t="s">
        <v>66</v>
      </c>
      <c r="AR1874">
        <v>0</v>
      </c>
      <c r="AS1874" t="s">
        <v>66</v>
      </c>
      <c r="AT1874">
        <v>0</v>
      </c>
      <c r="AU1874" t="s">
        <v>66</v>
      </c>
      <c r="AV1874">
        <v>0</v>
      </c>
      <c r="AW1874" t="s">
        <v>66</v>
      </c>
      <c r="AX1874">
        <v>0</v>
      </c>
      <c r="AY1874" t="s">
        <v>66</v>
      </c>
      <c r="AZ1874">
        <v>0</v>
      </c>
      <c r="BA1874" t="s">
        <v>66</v>
      </c>
      <c r="BB1874">
        <v>0</v>
      </c>
      <c r="BC1874">
        <v>0</v>
      </c>
      <c r="BD1874">
        <v>505054.44</v>
      </c>
      <c r="BE1874">
        <v>34619.379999999997</v>
      </c>
      <c r="BF1874">
        <v>0</v>
      </c>
      <c r="BG1874" t="s">
        <v>87</v>
      </c>
      <c r="BH1874" t="s">
        <v>66</v>
      </c>
      <c r="BI1874">
        <v>0</v>
      </c>
      <c r="BJ1874" t="s">
        <v>66</v>
      </c>
      <c r="BK1874" t="s">
        <v>88</v>
      </c>
      <c r="BL1874" t="s">
        <v>66</v>
      </c>
      <c r="BM1874" t="s">
        <v>159</v>
      </c>
    </row>
    <row r="1875" spans="1:65" x14ac:dyDescent="0.25">
      <c r="A1875">
        <v>1873</v>
      </c>
      <c r="B1875" t="s">
        <v>1858</v>
      </c>
      <c r="C1875" t="s">
        <v>68</v>
      </c>
      <c r="D1875" s="1">
        <v>46227</v>
      </c>
      <c r="E1875" t="s">
        <v>1859</v>
      </c>
      <c r="F1875" t="s">
        <v>68</v>
      </c>
      <c r="G1875" t="s">
        <v>295</v>
      </c>
      <c r="H1875" t="s">
        <v>296</v>
      </c>
      <c r="I1875" t="s">
        <v>71</v>
      </c>
      <c r="J1875" t="s">
        <v>72</v>
      </c>
      <c r="K1875" t="s">
        <v>73</v>
      </c>
      <c r="L1875" t="s">
        <v>74</v>
      </c>
      <c r="M1875" t="s">
        <v>1330</v>
      </c>
      <c r="N1875" t="s">
        <v>76</v>
      </c>
      <c r="O1875" t="s">
        <v>1331</v>
      </c>
      <c r="P1875" t="s">
        <v>1332</v>
      </c>
      <c r="Q1875" t="s">
        <v>1860</v>
      </c>
      <c r="R1875" s="1">
        <v>46230</v>
      </c>
      <c r="S1875" t="s">
        <v>1218</v>
      </c>
      <c r="T1875" t="s">
        <v>1219</v>
      </c>
      <c r="U1875" t="s">
        <v>1220</v>
      </c>
      <c r="V1875" t="s">
        <v>66</v>
      </c>
      <c r="W1875" t="s">
        <v>66</v>
      </c>
      <c r="X1875">
        <v>2181168</v>
      </c>
      <c r="Y1875">
        <v>239928.48</v>
      </c>
      <c r="Z1875">
        <v>117612</v>
      </c>
      <c r="AA1875">
        <v>12937.32</v>
      </c>
      <c r="AB1875">
        <v>2421096.48</v>
      </c>
      <c r="AC1875">
        <v>6</v>
      </c>
      <c r="AD1875" t="s">
        <v>82</v>
      </c>
      <c r="AE1875">
        <v>6</v>
      </c>
      <c r="AF1875" t="s">
        <v>799</v>
      </c>
      <c r="AG1875">
        <f>IFERROR(VLOOKUP(AF1875,[1]STOK!J:O,6,0),"")</f>
        <v>12</v>
      </c>
      <c r="AH1875" s="2">
        <f t="shared" si="58"/>
        <v>0.5</v>
      </c>
      <c r="AI1875" t="s">
        <v>799</v>
      </c>
      <c r="AJ1875" t="s">
        <v>800</v>
      </c>
      <c r="AK1875" t="s">
        <v>801</v>
      </c>
      <c r="AL1875" t="s">
        <v>86</v>
      </c>
      <c r="AM1875">
        <v>21978</v>
      </c>
      <c r="AN1875">
        <f t="shared" si="59"/>
        <v>21758.22</v>
      </c>
      <c r="AO1875" t="s">
        <v>66</v>
      </c>
      <c r="AP1875">
        <v>1</v>
      </c>
      <c r="AQ1875" t="s">
        <v>66</v>
      </c>
      <c r="AR1875">
        <v>0</v>
      </c>
      <c r="AS1875" t="s">
        <v>66</v>
      </c>
      <c r="AT1875">
        <v>0</v>
      </c>
      <c r="AU1875" t="s">
        <v>66</v>
      </c>
      <c r="AV1875">
        <v>0</v>
      </c>
      <c r="AW1875" t="s">
        <v>66</v>
      </c>
      <c r="AX1875">
        <v>0</v>
      </c>
      <c r="AY1875" t="s">
        <v>66</v>
      </c>
      <c r="AZ1875">
        <v>0</v>
      </c>
      <c r="BA1875" t="s">
        <v>66</v>
      </c>
      <c r="BB1875">
        <v>0</v>
      </c>
      <c r="BC1875">
        <v>0</v>
      </c>
      <c r="BD1875">
        <v>130549.32</v>
      </c>
      <c r="BE1875">
        <v>17162.54</v>
      </c>
      <c r="BF1875">
        <v>0</v>
      </c>
      <c r="BG1875" t="s">
        <v>87</v>
      </c>
      <c r="BH1875" t="s">
        <v>66</v>
      </c>
      <c r="BI1875">
        <v>0</v>
      </c>
      <c r="BJ1875" t="s">
        <v>66</v>
      </c>
      <c r="BK1875" t="s">
        <v>88</v>
      </c>
      <c r="BL1875" t="s">
        <v>1334</v>
      </c>
      <c r="BM1875" t="s">
        <v>159</v>
      </c>
    </row>
    <row r="1876" spans="1:65" x14ac:dyDescent="0.25">
      <c r="A1876">
        <v>1874</v>
      </c>
      <c r="B1876" t="s">
        <v>1858</v>
      </c>
      <c r="C1876" t="s">
        <v>68</v>
      </c>
      <c r="D1876" s="1">
        <v>46227</v>
      </c>
      <c r="E1876" t="s">
        <v>1859</v>
      </c>
      <c r="F1876" t="s">
        <v>68</v>
      </c>
      <c r="G1876" t="s">
        <v>295</v>
      </c>
      <c r="H1876" t="s">
        <v>296</v>
      </c>
      <c r="I1876" t="s">
        <v>71</v>
      </c>
      <c r="J1876" t="s">
        <v>72</v>
      </c>
      <c r="K1876" t="s">
        <v>73</v>
      </c>
      <c r="L1876" t="s">
        <v>74</v>
      </c>
      <c r="M1876" t="s">
        <v>1330</v>
      </c>
      <c r="N1876" t="s">
        <v>76</v>
      </c>
      <c r="O1876" t="s">
        <v>1331</v>
      </c>
      <c r="P1876" t="s">
        <v>1332</v>
      </c>
      <c r="Q1876" t="s">
        <v>1860</v>
      </c>
      <c r="R1876" s="1">
        <v>46230</v>
      </c>
      <c r="S1876" t="s">
        <v>1218</v>
      </c>
      <c r="T1876" t="s">
        <v>1219</v>
      </c>
      <c r="U1876" t="s">
        <v>1220</v>
      </c>
      <c r="V1876" t="s">
        <v>66</v>
      </c>
      <c r="W1876" t="s">
        <v>66</v>
      </c>
      <c r="X1876">
        <v>2181168</v>
      </c>
      <c r="Y1876">
        <v>239928.48</v>
      </c>
      <c r="Z1876">
        <v>59994</v>
      </c>
      <c r="AA1876">
        <v>6599.34</v>
      </c>
      <c r="AB1876">
        <v>2421096.48</v>
      </c>
      <c r="AC1876">
        <v>6</v>
      </c>
      <c r="AD1876" t="s">
        <v>82</v>
      </c>
      <c r="AE1876">
        <v>6</v>
      </c>
      <c r="AF1876" t="s">
        <v>723</v>
      </c>
      <c r="AG1876">
        <f>IFERROR(VLOOKUP(AF1876,[1]STOK!J:O,6,0),"")</f>
        <v>24</v>
      </c>
      <c r="AH1876" s="2">
        <f t="shared" si="58"/>
        <v>0.25</v>
      </c>
      <c r="AI1876" t="s">
        <v>723</v>
      </c>
      <c r="AJ1876" t="s">
        <v>724</v>
      </c>
      <c r="AK1876" t="s">
        <v>725</v>
      </c>
      <c r="AL1876" t="s">
        <v>86</v>
      </c>
      <c r="AM1876">
        <v>11211</v>
      </c>
      <c r="AN1876">
        <f t="shared" si="59"/>
        <v>11098.89</v>
      </c>
      <c r="AO1876" t="s">
        <v>66</v>
      </c>
      <c r="AP1876">
        <v>1</v>
      </c>
      <c r="AQ1876" t="s">
        <v>66</v>
      </c>
      <c r="AR1876">
        <v>0</v>
      </c>
      <c r="AS1876" t="s">
        <v>66</v>
      </c>
      <c r="AT1876">
        <v>0</v>
      </c>
      <c r="AU1876" t="s">
        <v>66</v>
      </c>
      <c r="AV1876">
        <v>0</v>
      </c>
      <c r="AW1876" t="s">
        <v>66</v>
      </c>
      <c r="AX1876">
        <v>0</v>
      </c>
      <c r="AY1876" t="s">
        <v>66</v>
      </c>
      <c r="AZ1876">
        <v>0</v>
      </c>
      <c r="BA1876" t="s">
        <v>66</v>
      </c>
      <c r="BB1876">
        <v>0</v>
      </c>
      <c r="BC1876">
        <v>0</v>
      </c>
      <c r="BD1876">
        <v>66593.34</v>
      </c>
      <c r="BE1876">
        <v>8721.83</v>
      </c>
      <c r="BF1876">
        <v>0</v>
      </c>
      <c r="BG1876" t="s">
        <v>87</v>
      </c>
      <c r="BH1876" t="s">
        <v>66</v>
      </c>
      <c r="BI1876">
        <v>0</v>
      </c>
      <c r="BJ1876" t="s">
        <v>66</v>
      </c>
      <c r="BK1876" t="s">
        <v>88</v>
      </c>
      <c r="BL1876" t="s">
        <v>1334</v>
      </c>
      <c r="BM1876" t="s">
        <v>159</v>
      </c>
    </row>
    <row r="1877" spans="1:65" x14ac:dyDescent="0.25">
      <c r="A1877">
        <v>1875</v>
      </c>
      <c r="B1877" t="s">
        <v>1858</v>
      </c>
      <c r="C1877" t="s">
        <v>68</v>
      </c>
      <c r="D1877" s="1">
        <v>46227</v>
      </c>
      <c r="E1877" t="s">
        <v>1859</v>
      </c>
      <c r="F1877" t="s">
        <v>68</v>
      </c>
      <c r="G1877" t="s">
        <v>295</v>
      </c>
      <c r="H1877" t="s">
        <v>296</v>
      </c>
      <c r="I1877" t="s">
        <v>71</v>
      </c>
      <c r="J1877" t="s">
        <v>72</v>
      </c>
      <c r="K1877" t="s">
        <v>73</v>
      </c>
      <c r="L1877" t="s">
        <v>74</v>
      </c>
      <c r="M1877" t="s">
        <v>1330</v>
      </c>
      <c r="N1877" t="s">
        <v>76</v>
      </c>
      <c r="O1877" t="s">
        <v>1331</v>
      </c>
      <c r="P1877" t="s">
        <v>1332</v>
      </c>
      <c r="Q1877" t="s">
        <v>1860</v>
      </c>
      <c r="R1877" s="1">
        <v>46230</v>
      </c>
      <c r="S1877" t="s">
        <v>1218</v>
      </c>
      <c r="T1877" t="s">
        <v>1219</v>
      </c>
      <c r="U1877" t="s">
        <v>1220</v>
      </c>
      <c r="V1877" t="s">
        <v>66</v>
      </c>
      <c r="W1877" t="s">
        <v>66</v>
      </c>
      <c r="X1877">
        <v>2181168</v>
      </c>
      <c r="Y1877">
        <v>239928.48</v>
      </c>
      <c r="Z1877">
        <v>46926</v>
      </c>
      <c r="AA1877">
        <v>5161.8599999999997</v>
      </c>
      <c r="AB1877">
        <v>2421096.48</v>
      </c>
      <c r="AC1877">
        <v>6</v>
      </c>
      <c r="AD1877" t="s">
        <v>82</v>
      </c>
      <c r="AE1877">
        <v>6</v>
      </c>
      <c r="AF1877" t="s">
        <v>248</v>
      </c>
      <c r="AG1877">
        <f>IFERROR(VLOOKUP(AF1877,[1]STOK!J:O,6,0),"")</f>
        <v>24</v>
      </c>
      <c r="AH1877" s="2">
        <f t="shared" si="58"/>
        <v>0.25</v>
      </c>
      <c r="AI1877" t="s">
        <v>248</v>
      </c>
      <c r="AJ1877" t="s">
        <v>249</v>
      </c>
      <c r="AK1877" t="s">
        <v>250</v>
      </c>
      <c r="AL1877" t="s">
        <v>86</v>
      </c>
      <c r="AM1877">
        <v>8769</v>
      </c>
      <c r="AN1877">
        <f t="shared" si="59"/>
        <v>8681.31</v>
      </c>
      <c r="AO1877" t="s">
        <v>66</v>
      </c>
      <c r="AP1877">
        <v>1</v>
      </c>
      <c r="AQ1877" t="s">
        <v>66</v>
      </c>
      <c r="AR1877">
        <v>0</v>
      </c>
      <c r="AS1877" t="s">
        <v>66</v>
      </c>
      <c r="AT1877">
        <v>0</v>
      </c>
      <c r="AU1877" t="s">
        <v>66</v>
      </c>
      <c r="AV1877">
        <v>0</v>
      </c>
      <c r="AW1877" t="s">
        <v>66</v>
      </c>
      <c r="AX1877">
        <v>0</v>
      </c>
      <c r="AY1877" t="s">
        <v>66</v>
      </c>
      <c r="AZ1877">
        <v>0</v>
      </c>
      <c r="BA1877" t="s">
        <v>66</v>
      </c>
      <c r="BB1877">
        <v>0</v>
      </c>
      <c r="BC1877">
        <v>0</v>
      </c>
      <c r="BD1877">
        <v>52087.86</v>
      </c>
      <c r="BE1877">
        <v>6516.01</v>
      </c>
      <c r="BF1877">
        <v>0</v>
      </c>
      <c r="BG1877" t="s">
        <v>87</v>
      </c>
      <c r="BH1877" t="s">
        <v>1861</v>
      </c>
      <c r="BI1877">
        <v>6</v>
      </c>
      <c r="BJ1877" t="s">
        <v>209</v>
      </c>
      <c r="BK1877" t="s">
        <v>88</v>
      </c>
      <c r="BL1877" t="s">
        <v>1334</v>
      </c>
      <c r="BM1877" t="s">
        <v>159</v>
      </c>
    </row>
    <row r="1878" spans="1:65" x14ac:dyDescent="0.25">
      <c r="A1878">
        <v>1876</v>
      </c>
      <c r="B1878" t="s">
        <v>1858</v>
      </c>
      <c r="C1878" t="s">
        <v>68</v>
      </c>
      <c r="D1878" s="1">
        <v>46227</v>
      </c>
      <c r="E1878" t="s">
        <v>1859</v>
      </c>
      <c r="F1878" t="s">
        <v>68</v>
      </c>
      <c r="G1878" t="s">
        <v>295</v>
      </c>
      <c r="H1878" t="s">
        <v>296</v>
      </c>
      <c r="I1878" t="s">
        <v>71</v>
      </c>
      <c r="J1878" t="s">
        <v>72</v>
      </c>
      <c r="K1878" t="s">
        <v>73</v>
      </c>
      <c r="L1878" t="s">
        <v>74</v>
      </c>
      <c r="M1878" t="s">
        <v>1330</v>
      </c>
      <c r="N1878" t="s">
        <v>76</v>
      </c>
      <c r="O1878" t="s">
        <v>1331</v>
      </c>
      <c r="P1878" t="s">
        <v>1332</v>
      </c>
      <c r="Q1878" t="s">
        <v>1860</v>
      </c>
      <c r="R1878" s="1">
        <v>46230</v>
      </c>
      <c r="S1878" t="s">
        <v>1218</v>
      </c>
      <c r="T1878" t="s">
        <v>1219</v>
      </c>
      <c r="U1878" t="s">
        <v>1220</v>
      </c>
      <c r="V1878" t="s">
        <v>66</v>
      </c>
      <c r="W1878" t="s">
        <v>66</v>
      </c>
      <c r="X1878">
        <v>2181168</v>
      </c>
      <c r="Y1878">
        <v>239928.48</v>
      </c>
      <c r="Z1878">
        <v>196020</v>
      </c>
      <c r="AA1878">
        <v>21562.2</v>
      </c>
      <c r="AB1878">
        <v>2421096.48</v>
      </c>
      <c r="AC1878">
        <v>12</v>
      </c>
      <c r="AD1878" t="s">
        <v>82</v>
      </c>
      <c r="AE1878">
        <v>12</v>
      </c>
      <c r="AF1878" t="s">
        <v>128</v>
      </c>
      <c r="AG1878">
        <f>IFERROR(VLOOKUP(AF1878,[1]STOK!J:O,6,0),"")</f>
        <v>24</v>
      </c>
      <c r="AH1878" s="2">
        <f t="shared" si="58"/>
        <v>0.5</v>
      </c>
      <c r="AI1878" t="s">
        <v>128</v>
      </c>
      <c r="AJ1878" t="s">
        <v>129</v>
      </c>
      <c r="AK1878" t="s">
        <v>130</v>
      </c>
      <c r="AL1878" t="s">
        <v>86</v>
      </c>
      <c r="AM1878">
        <v>18315</v>
      </c>
      <c r="AN1878">
        <f t="shared" si="59"/>
        <v>18131.850000000002</v>
      </c>
      <c r="AO1878" t="s">
        <v>66</v>
      </c>
      <c r="AP1878">
        <v>1</v>
      </c>
      <c r="AQ1878" t="s">
        <v>66</v>
      </c>
      <c r="AR1878">
        <v>0</v>
      </c>
      <c r="AS1878" t="s">
        <v>66</v>
      </c>
      <c r="AT1878">
        <v>0</v>
      </c>
      <c r="AU1878" t="s">
        <v>66</v>
      </c>
      <c r="AV1878">
        <v>0</v>
      </c>
      <c r="AW1878" t="s">
        <v>66</v>
      </c>
      <c r="AX1878">
        <v>0</v>
      </c>
      <c r="AY1878" t="s">
        <v>66</v>
      </c>
      <c r="AZ1878">
        <v>0</v>
      </c>
      <c r="BA1878" t="s">
        <v>66</v>
      </c>
      <c r="BB1878">
        <v>0</v>
      </c>
      <c r="BC1878">
        <v>0</v>
      </c>
      <c r="BD1878">
        <v>217582.2</v>
      </c>
      <c r="BE1878">
        <v>14619.11</v>
      </c>
      <c r="BF1878">
        <v>0</v>
      </c>
      <c r="BG1878" t="s">
        <v>87</v>
      </c>
      <c r="BH1878" t="s">
        <v>66</v>
      </c>
      <c r="BI1878">
        <v>0</v>
      </c>
      <c r="BJ1878" t="s">
        <v>66</v>
      </c>
      <c r="BK1878" t="s">
        <v>88</v>
      </c>
      <c r="BL1878" t="s">
        <v>1334</v>
      </c>
      <c r="BM1878" t="s">
        <v>159</v>
      </c>
    </row>
    <row r="1879" spans="1:65" x14ac:dyDescent="0.25">
      <c r="A1879">
        <v>1877</v>
      </c>
      <c r="B1879" t="s">
        <v>1858</v>
      </c>
      <c r="C1879" t="s">
        <v>68</v>
      </c>
      <c r="D1879" s="1">
        <v>46227</v>
      </c>
      <c r="E1879" t="s">
        <v>1859</v>
      </c>
      <c r="F1879" t="s">
        <v>68</v>
      </c>
      <c r="G1879" t="s">
        <v>295</v>
      </c>
      <c r="H1879" t="s">
        <v>296</v>
      </c>
      <c r="I1879" t="s">
        <v>71</v>
      </c>
      <c r="J1879" t="s">
        <v>72</v>
      </c>
      <c r="K1879" t="s">
        <v>73</v>
      </c>
      <c r="L1879" t="s">
        <v>74</v>
      </c>
      <c r="M1879" t="s">
        <v>1330</v>
      </c>
      <c r="N1879" t="s">
        <v>76</v>
      </c>
      <c r="O1879" t="s">
        <v>1331</v>
      </c>
      <c r="P1879" t="s">
        <v>1332</v>
      </c>
      <c r="Q1879" t="s">
        <v>1860</v>
      </c>
      <c r="R1879" s="1">
        <v>46230</v>
      </c>
      <c r="S1879" t="s">
        <v>1218</v>
      </c>
      <c r="T1879" t="s">
        <v>1219</v>
      </c>
      <c r="U1879" t="s">
        <v>1220</v>
      </c>
      <c r="V1879" t="s">
        <v>66</v>
      </c>
      <c r="W1879" t="s">
        <v>66</v>
      </c>
      <c r="X1879">
        <v>2181168</v>
      </c>
      <c r="Y1879">
        <v>239928.48</v>
      </c>
      <c r="Z1879">
        <v>161568</v>
      </c>
      <c r="AA1879">
        <v>17772.48</v>
      </c>
      <c r="AB1879">
        <v>2421096.48</v>
      </c>
      <c r="AC1879">
        <v>6</v>
      </c>
      <c r="AD1879" t="s">
        <v>82</v>
      </c>
      <c r="AE1879">
        <v>6</v>
      </c>
      <c r="AF1879" t="s">
        <v>774</v>
      </c>
      <c r="AG1879">
        <f>IFERROR(VLOOKUP(AF1879,[1]STOK!J:O,6,0),"")</f>
        <v>12</v>
      </c>
      <c r="AH1879" s="2">
        <f t="shared" si="58"/>
        <v>0.5</v>
      </c>
      <c r="AI1879" t="s">
        <v>774</v>
      </c>
      <c r="AJ1879" t="s">
        <v>775</v>
      </c>
      <c r="AK1879" t="s">
        <v>776</v>
      </c>
      <c r="AL1879" t="s">
        <v>86</v>
      </c>
      <c r="AM1879">
        <v>30192</v>
      </c>
      <c r="AN1879">
        <f t="shared" si="59"/>
        <v>29890.080000000002</v>
      </c>
      <c r="AO1879" t="s">
        <v>66</v>
      </c>
      <c r="AP1879">
        <v>1</v>
      </c>
      <c r="AQ1879" t="s">
        <v>66</v>
      </c>
      <c r="AR1879">
        <v>0</v>
      </c>
      <c r="AS1879" t="s">
        <v>66</v>
      </c>
      <c r="AT1879">
        <v>0</v>
      </c>
      <c r="AU1879" t="s">
        <v>66</v>
      </c>
      <c r="AV1879">
        <v>0</v>
      </c>
      <c r="AW1879" t="s">
        <v>66</v>
      </c>
      <c r="AX1879">
        <v>0</v>
      </c>
      <c r="AY1879" t="s">
        <v>66</v>
      </c>
      <c r="AZ1879">
        <v>0</v>
      </c>
      <c r="BA1879" t="s">
        <v>66</v>
      </c>
      <c r="BB1879">
        <v>0</v>
      </c>
      <c r="BC1879">
        <v>0</v>
      </c>
      <c r="BD1879">
        <v>179340.48</v>
      </c>
      <c r="BE1879">
        <v>23745.759999999998</v>
      </c>
      <c r="BF1879">
        <v>0</v>
      </c>
      <c r="BG1879" t="s">
        <v>87</v>
      </c>
      <c r="BH1879" t="s">
        <v>66</v>
      </c>
      <c r="BI1879">
        <v>0</v>
      </c>
      <c r="BJ1879" t="s">
        <v>66</v>
      </c>
      <c r="BK1879" t="s">
        <v>88</v>
      </c>
      <c r="BL1879" t="s">
        <v>1334</v>
      </c>
      <c r="BM1879" t="s">
        <v>159</v>
      </c>
    </row>
    <row r="1880" spans="1:65" x14ac:dyDescent="0.25">
      <c r="A1880">
        <v>1878</v>
      </c>
      <c r="B1880" t="s">
        <v>1858</v>
      </c>
      <c r="C1880" t="s">
        <v>68</v>
      </c>
      <c r="D1880" s="1">
        <v>46227</v>
      </c>
      <c r="E1880" t="s">
        <v>1859</v>
      </c>
      <c r="F1880" t="s">
        <v>68</v>
      </c>
      <c r="G1880" t="s">
        <v>295</v>
      </c>
      <c r="H1880" t="s">
        <v>296</v>
      </c>
      <c r="I1880" t="s">
        <v>71</v>
      </c>
      <c r="J1880" t="s">
        <v>72</v>
      </c>
      <c r="K1880" t="s">
        <v>73</v>
      </c>
      <c r="L1880" t="s">
        <v>74</v>
      </c>
      <c r="M1880" t="s">
        <v>1330</v>
      </c>
      <c r="N1880" t="s">
        <v>76</v>
      </c>
      <c r="O1880" t="s">
        <v>1331</v>
      </c>
      <c r="P1880" t="s">
        <v>1332</v>
      </c>
      <c r="Q1880" t="s">
        <v>1860</v>
      </c>
      <c r="R1880" s="1">
        <v>46230</v>
      </c>
      <c r="S1880" t="s">
        <v>1218</v>
      </c>
      <c r="T1880" t="s">
        <v>1219</v>
      </c>
      <c r="U1880" t="s">
        <v>1220</v>
      </c>
      <c r="V1880" t="s">
        <v>66</v>
      </c>
      <c r="W1880" t="s">
        <v>66</v>
      </c>
      <c r="X1880">
        <v>2181168</v>
      </c>
      <c r="Y1880">
        <v>239928.48</v>
      </c>
      <c r="Z1880">
        <v>455004</v>
      </c>
      <c r="AA1880">
        <v>50050.44</v>
      </c>
      <c r="AB1880">
        <v>2421096.48</v>
      </c>
      <c r="AC1880">
        <v>12</v>
      </c>
      <c r="AD1880" t="s">
        <v>82</v>
      </c>
      <c r="AE1880">
        <v>12</v>
      </c>
      <c r="AF1880" t="s">
        <v>323</v>
      </c>
      <c r="AG1880">
        <f>IFERROR(VLOOKUP(AF1880,[1]STOK!J:O,6,0),"")</f>
        <v>6</v>
      </c>
      <c r="AH1880" s="2">
        <f t="shared" si="58"/>
        <v>2</v>
      </c>
      <c r="AI1880" t="s">
        <v>323</v>
      </c>
      <c r="AJ1880" t="s">
        <v>324</v>
      </c>
      <c r="AK1880" t="s">
        <v>325</v>
      </c>
      <c r="AL1880" t="s">
        <v>86</v>
      </c>
      <c r="AM1880">
        <v>42513</v>
      </c>
      <c r="AN1880">
        <f t="shared" si="59"/>
        <v>42087.87</v>
      </c>
      <c r="AO1880" t="s">
        <v>66</v>
      </c>
      <c r="AP1880">
        <v>1</v>
      </c>
      <c r="AQ1880" t="s">
        <v>66</v>
      </c>
      <c r="AR1880">
        <v>0</v>
      </c>
      <c r="AS1880" t="s">
        <v>66</v>
      </c>
      <c r="AT1880">
        <v>0</v>
      </c>
      <c r="AU1880" t="s">
        <v>66</v>
      </c>
      <c r="AV1880">
        <v>0</v>
      </c>
      <c r="AW1880" t="s">
        <v>66</v>
      </c>
      <c r="AX1880">
        <v>0</v>
      </c>
      <c r="AY1880" t="s">
        <v>66</v>
      </c>
      <c r="AZ1880">
        <v>0</v>
      </c>
      <c r="BA1880" t="s">
        <v>66</v>
      </c>
      <c r="BB1880">
        <v>0</v>
      </c>
      <c r="BC1880">
        <v>0</v>
      </c>
      <c r="BD1880">
        <v>505054.44</v>
      </c>
      <c r="BE1880">
        <v>33824.949999999997</v>
      </c>
      <c r="BF1880">
        <v>0</v>
      </c>
      <c r="BG1880" t="s">
        <v>87</v>
      </c>
      <c r="BH1880" t="s">
        <v>66</v>
      </c>
      <c r="BI1880">
        <v>0</v>
      </c>
      <c r="BJ1880" t="s">
        <v>66</v>
      </c>
      <c r="BK1880" t="s">
        <v>88</v>
      </c>
      <c r="BL1880" t="s">
        <v>1334</v>
      </c>
      <c r="BM1880" t="s">
        <v>159</v>
      </c>
    </row>
    <row r="1881" spans="1:65" x14ac:dyDescent="0.25">
      <c r="A1881">
        <v>1879</v>
      </c>
      <c r="B1881" t="s">
        <v>1858</v>
      </c>
      <c r="C1881" t="s">
        <v>68</v>
      </c>
      <c r="D1881" s="1">
        <v>46227</v>
      </c>
      <c r="E1881" t="s">
        <v>1859</v>
      </c>
      <c r="F1881" t="s">
        <v>68</v>
      </c>
      <c r="G1881" t="s">
        <v>295</v>
      </c>
      <c r="H1881" t="s">
        <v>296</v>
      </c>
      <c r="I1881" t="s">
        <v>71</v>
      </c>
      <c r="J1881" t="s">
        <v>72</v>
      </c>
      <c r="K1881" t="s">
        <v>73</v>
      </c>
      <c r="L1881" t="s">
        <v>74</v>
      </c>
      <c r="M1881" t="s">
        <v>1330</v>
      </c>
      <c r="N1881" t="s">
        <v>76</v>
      </c>
      <c r="O1881" t="s">
        <v>1331</v>
      </c>
      <c r="P1881" t="s">
        <v>1332</v>
      </c>
      <c r="Q1881" t="s">
        <v>1860</v>
      </c>
      <c r="R1881" s="1">
        <v>46230</v>
      </c>
      <c r="S1881" t="s">
        <v>1218</v>
      </c>
      <c r="T1881" t="s">
        <v>1219</v>
      </c>
      <c r="U1881" t="s">
        <v>1220</v>
      </c>
      <c r="V1881" t="s">
        <v>66</v>
      </c>
      <c r="W1881" t="s">
        <v>66</v>
      </c>
      <c r="X1881">
        <v>2181168</v>
      </c>
      <c r="Y1881">
        <v>239928.48</v>
      </c>
      <c r="Z1881">
        <v>801900</v>
      </c>
      <c r="AA1881">
        <v>88209</v>
      </c>
      <c r="AB1881">
        <v>2421096.48</v>
      </c>
      <c r="AC1881">
        <v>12</v>
      </c>
      <c r="AD1881" t="s">
        <v>82</v>
      </c>
      <c r="AE1881">
        <v>12</v>
      </c>
      <c r="AF1881" t="s">
        <v>312</v>
      </c>
      <c r="AG1881">
        <f>IFERROR(VLOOKUP(AF1881,[1]STOK!J:O,6,0),"")</f>
        <v>4</v>
      </c>
      <c r="AH1881" s="2">
        <f t="shared" si="58"/>
        <v>3</v>
      </c>
      <c r="AI1881" t="s">
        <v>312</v>
      </c>
      <c r="AJ1881" t="s">
        <v>313</v>
      </c>
      <c r="AK1881" t="s">
        <v>314</v>
      </c>
      <c r="AL1881" t="s">
        <v>86</v>
      </c>
      <c r="AM1881">
        <v>74925</v>
      </c>
      <c r="AN1881">
        <f t="shared" si="59"/>
        <v>74175.75</v>
      </c>
      <c r="AO1881" t="s">
        <v>66</v>
      </c>
      <c r="AP1881">
        <v>1</v>
      </c>
      <c r="AQ1881" t="s">
        <v>66</v>
      </c>
      <c r="AR1881">
        <v>0</v>
      </c>
      <c r="AS1881" t="s">
        <v>66</v>
      </c>
      <c r="AT1881">
        <v>0</v>
      </c>
      <c r="AU1881" t="s">
        <v>66</v>
      </c>
      <c r="AV1881">
        <v>0</v>
      </c>
      <c r="AW1881" t="s">
        <v>66</v>
      </c>
      <c r="AX1881">
        <v>0</v>
      </c>
      <c r="AY1881" t="s">
        <v>66</v>
      </c>
      <c r="AZ1881">
        <v>0</v>
      </c>
      <c r="BA1881" t="s">
        <v>66</v>
      </c>
      <c r="BB1881">
        <v>0</v>
      </c>
      <c r="BC1881">
        <v>0</v>
      </c>
      <c r="BD1881">
        <v>890109</v>
      </c>
      <c r="BE1881">
        <v>60250.95</v>
      </c>
      <c r="BF1881">
        <v>0</v>
      </c>
      <c r="BG1881" t="s">
        <v>87</v>
      </c>
      <c r="BH1881" t="s">
        <v>66</v>
      </c>
      <c r="BI1881">
        <v>0</v>
      </c>
      <c r="BJ1881" t="s">
        <v>66</v>
      </c>
      <c r="BK1881" t="s">
        <v>88</v>
      </c>
      <c r="BL1881" t="s">
        <v>1334</v>
      </c>
      <c r="BM1881" t="s">
        <v>159</v>
      </c>
    </row>
    <row r="1882" spans="1:65" x14ac:dyDescent="0.25">
      <c r="A1882">
        <v>1880</v>
      </c>
      <c r="B1882" t="s">
        <v>1858</v>
      </c>
      <c r="C1882" t="s">
        <v>68</v>
      </c>
      <c r="D1882" s="1">
        <v>46227</v>
      </c>
      <c r="E1882" t="s">
        <v>1859</v>
      </c>
      <c r="F1882" t="s">
        <v>68</v>
      </c>
      <c r="G1882" t="s">
        <v>295</v>
      </c>
      <c r="H1882" t="s">
        <v>296</v>
      </c>
      <c r="I1882" t="s">
        <v>71</v>
      </c>
      <c r="J1882" t="s">
        <v>72</v>
      </c>
      <c r="K1882" t="s">
        <v>73</v>
      </c>
      <c r="L1882" t="s">
        <v>74</v>
      </c>
      <c r="M1882" t="s">
        <v>1330</v>
      </c>
      <c r="N1882" t="s">
        <v>76</v>
      </c>
      <c r="O1882" t="s">
        <v>1331</v>
      </c>
      <c r="P1882" t="s">
        <v>1332</v>
      </c>
      <c r="Q1882" t="s">
        <v>1860</v>
      </c>
      <c r="R1882" s="1">
        <v>46230</v>
      </c>
      <c r="S1882" t="s">
        <v>1218</v>
      </c>
      <c r="T1882" t="s">
        <v>1219</v>
      </c>
      <c r="U1882" t="s">
        <v>1220</v>
      </c>
      <c r="V1882" t="s">
        <v>66</v>
      </c>
      <c r="W1882" t="s">
        <v>66</v>
      </c>
      <c r="X1882">
        <v>2181168</v>
      </c>
      <c r="Y1882">
        <v>239928.48</v>
      </c>
      <c r="Z1882">
        <v>171072</v>
      </c>
      <c r="AA1882">
        <v>18817.919999999998</v>
      </c>
      <c r="AB1882">
        <v>2421096.48</v>
      </c>
      <c r="AC1882">
        <v>12</v>
      </c>
      <c r="AD1882" t="s">
        <v>82</v>
      </c>
      <c r="AE1882">
        <v>12</v>
      </c>
      <c r="AF1882" t="s">
        <v>141</v>
      </c>
      <c r="AG1882">
        <f>IFERROR(VLOOKUP(AF1882,[1]STOK!J:O,6,0),"")</f>
        <v>12</v>
      </c>
      <c r="AH1882" s="2">
        <f t="shared" si="58"/>
        <v>1</v>
      </c>
      <c r="AI1882" t="s">
        <v>141</v>
      </c>
      <c r="AJ1882" t="s">
        <v>142</v>
      </c>
      <c r="AK1882" t="s">
        <v>143</v>
      </c>
      <c r="AL1882" t="s">
        <v>86</v>
      </c>
      <c r="AM1882">
        <v>15984</v>
      </c>
      <c r="AN1882">
        <f t="shared" si="59"/>
        <v>15824.160000000002</v>
      </c>
      <c r="AO1882" t="s">
        <v>66</v>
      </c>
      <c r="AP1882">
        <v>1</v>
      </c>
      <c r="AQ1882" t="s">
        <v>66</v>
      </c>
      <c r="AR1882">
        <v>0</v>
      </c>
      <c r="AS1882" t="s">
        <v>66</v>
      </c>
      <c r="AT1882">
        <v>0</v>
      </c>
      <c r="AU1882" t="s">
        <v>66</v>
      </c>
      <c r="AV1882">
        <v>0</v>
      </c>
      <c r="AW1882" t="s">
        <v>66</v>
      </c>
      <c r="AX1882">
        <v>0</v>
      </c>
      <c r="AY1882" t="s">
        <v>66</v>
      </c>
      <c r="AZ1882">
        <v>0</v>
      </c>
      <c r="BA1882" t="s">
        <v>66</v>
      </c>
      <c r="BB1882">
        <v>0</v>
      </c>
      <c r="BC1882">
        <v>0</v>
      </c>
      <c r="BD1882">
        <v>189889.92000000001</v>
      </c>
      <c r="BE1882">
        <v>12915.05</v>
      </c>
      <c r="BF1882">
        <v>0</v>
      </c>
      <c r="BG1882" t="s">
        <v>87</v>
      </c>
      <c r="BH1882" t="s">
        <v>66</v>
      </c>
      <c r="BI1882">
        <v>0</v>
      </c>
      <c r="BJ1882" t="s">
        <v>66</v>
      </c>
      <c r="BK1882" t="s">
        <v>88</v>
      </c>
      <c r="BL1882" t="s">
        <v>1334</v>
      </c>
      <c r="BM1882" t="s">
        <v>159</v>
      </c>
    </row>
    <row r="1883" spans="1:65" x14ac:dyDescent="0.25">
      <c r="A1883">
        <v>1881</v>
      </c>
      <c r="B1883" t="s">
        <v>1858</v>
      </c>
      <c r="C1883" t="s">
        <v>68</v>
      </c>
      <c r="D1883" s="1">
        <v>46227</v>
      </c>
      <c r="E1883" t="s">
        <v>1859</v>
      </c>
      <c r="F1883" t="s">
        <v>68</v>
      </c>
      <c r="G1883" t="s">
        <v>295</v>
      </c>
      <c r="H1883" t="s">
        <v>296</v>
      </c>
      <c r="I1883" t="s">
        <v>71</v>
      </c>
      <c r="J1883" t="s">
        <v>72</v>
      </c>
      <c r="K1883" t="s">
        <v>73</v>
      </c>
      <c r="L1883" t="s">
        <v>74</v>
      </c>
      <c r="M1883" t="s">
        <v>1330</v>
      </c>
      <c r="N1883" t="s">
        <v>76</v>
      </c>
      <c r="O1883" t="s">
        <v>1331</v>
      </c>
      <c r="P1883" t="s">
        <v>1332</v>
      </c>
      <c r="Q1883" t="s">
        <v>1860</v>
      </c>
      <c r="R1883" s="1">
        <v>46230</v>
      </c>
      <c r="S1883" t="s">
        <v>1218</v>
      </c>
      <c r="T1883" t="s">
        <v>1219</v>
      </c>
      <c r="U1883" t="s">
        <v>1220</v>
      </c>
      <c r="V1883" t="s">
        <v>66</v>
      </c>
      <c r="W1883" t="s">
        <v>66</v>
      </c>
      <c r="X1883">
        <v>2181168</v>
      </c>
      <c r="Y1883">
        <v>239928.48</v>
      </c>
      <c r="Z1883">
        <v>171072</v>
      </c>
      <c r="AA1883">
        <v>18817.919999999998</v>
      </c>
      <c r="AB1883">
        <v>2421096.48</v>
      </c>
      <c r="AC1883">
        <v>12</v>
      </c>
      <c r="AD1883" t="s">
        <v>82</v>
      </c>
      <c r="AE1883">
        <v>12</v>
      </c>
      <c r="AF1883" t="s">
        <v>213</v>
      </c>
      <c r="AG1883">
        <f>IFERROR(VLOOKUP(AF1883,[1]STOK!J:O,6,0),"")</f>
        <v>12</v>
      </c>
      <c r="AH1883" s="2">
        <f t="shared" si="58"/>
        <v>1</v>
      </c>
      <c r="AI1883" t="s">
        <v>213</v>
      </c>
      <c r="AJ1883" t="s">
        <v>214</v>
      </c>
      <c r="AK1883" t="s">
        <v>215</v>
      </c>
      <c r="AL1883" t="s">
        <v>86</v>
      </c>
      <c r="AM1883">
        <v>15984</v>
      </c>
      <c r="AN1883">
        <f t="shared" si="59"/>
        <v>15824.160000000002</v>
      </c>
      <c r="AO1883" t="s">
        <v>66</v>
      </c>
      <c r="AP1883">
        <v>1</v>
      </c>
      <c r="AQ1883" t="s">
        <v>66</v>
      </c>
      <c r="AR1883">
        <v>0</v>
      </c>
      <c r="AS1883" t="s">
        <v>66</v>
      </c>
      <c r="AT1883">
        <v>0</v>
      </c>
      <c r="AU1883" t="s">
        <v>66</v>
      </c>
      <c r="AV1883">
        <v>0</v>
      </c>
      <c r="AW1883" t="s">
        <v>66</v>
      </c>
      <c r="AX1883">
        <v>0</v>
      </c>
      <c r="AY1883" t="s">
        <v>66</v>
      </c>
      <c r="AZ1883">
        <v>0</v>
      </c>
      <c r="BA1883" t="s">
        <v>66</v>
      </c>
      <c r="BB1883">
        <v>0</v>
      </c>
      <c r="BC1883">
        <v>0</v>
      </c>
      <c r="BD1883">
        <v>189889.92000000001</v>
      </c>
      <c r="BE1883">
        <v>12609.82</v>
      </c>
      <c r="BF1883">
        <v>0</v>
      </c>
      <c r="BG1883" t="s">
        <v>87</v>
      </c>
      <c r="BH1883" t="s">
        <v>66</v>
      </c>
      <c r="BI1883">
        <v>0</v>
      </c>
      <c r="BJ1883" t="s">
        <v>66</v>
      </c>
      <c r="BK1883" t="s">
        <v>88</v>
      </c>
      <c r="BL1883" t="s">
        <v>1334</v>
      </c>
      <c r="BM1883" t="s">
        <v>159</v>
      </c>
    </row>
    <row r="1884" spans="1:65" x14ac:dyDescent="0.25">
      <c r="A1884">
        <v>1882</v>
      </c>
      <c r="B1884" t="s">
        <v>1862</v>
      </c>
      <c r="C1884" t="s">
        <v>68</v>
      </c>
      <c r="D1884" s="1">
        <v>46227</v>
      </c>
      <c r="E1884" t="s">
        <v>1863</v>
      </c>
      <c r="F1884" t="s">
        <v>68</v>
      </c>
      <c r="G1884" t="s">
        <v>295</v>
      </c>
      <c r="H1884" t="s">
        <v>296</v>
      </c>
      <c r="I1884" t="s">
        <v>71</v>
      </c>
      <c r="J1884" t="s">
        <v>72</v>
      </c>
      <c r="K1884" t="s">
        <v>73</v>
      </c>
      <c r="L1884" t="s">
        <v>74</v>
      </c>
      <c r="M1884" t="s">
        <v>1214</v>
      </c>
      <c r="N1884" t="s">
        <v>111</v>
      </c>
      <c r="O1884" t="s">
        <v>1215</v>
      </c>
      <c r="P1884" t="s">
        <v>1216</v>
      </c>
      <c r="Q1884" t="s">
        <v>1864</v>
      </c>
      <c r="R1884" s="1">
        <v>46228</v>
      </c>
      <c r="S1884" t="s">
        <v>1218</v>
      </c>
      <c r="T1884" t="s">
        <v>1219</v>
      </c>
      <c r="U1884" t="s">
        <v>1220</v>
      </c>
      <c r="V1884" t="s">
        <v>66</v>
      </c>
      <c r="W1884" t="s">
        <v>66</v>
      </c>
      <c r="X1884">
        <v>3631716</v>
      </c>
      <c r="Y1884">
        <v>399488.76</v>
      </c>
      <c r="Z1884">
        <v>43956</v>
      </c>
      <c r="AA1884">
        <v>4835.16</v>
      </c>
      <c r="AB1884">
        <v>4031204.76</v>
      </c>
      <c r="AC1884">
        <v>6</v>
      </c>
      <c r="AD1884" t="s">
        <v>82</v>
      </c>
      <c r="AE1884">
        <v>6</v>
      </c>
      <c r="AF1884" t="s">
        <v>262</v>
      </c>
      <c r="AG1884">
        <f>IFERROR(VLOOKUP(AF1884,[1]STOK!J:O,6,0),"")</f>
        <v>24</v>
      </c>
      <c r="AH1884" s="2">
        <f t="shared" si="58"/>
        <v>0.25</v>
      </c>
      <c r="AI1884" t="s">
        <v>262</v>
      </c>
      <c r="AJ1884" t="s">
        <v>263</v>
      </c>
      <c r="AK1884" t="s">
        <v>264</v>
      </c>
      <c r="AL1884" t="s">
        <v>86</v>
      </c>
      <c r="AM1884">
        <v>8214</v>
      </c>
      <c r="AN1884">
        <f t="shared" si="59"/>
        <v>8131.8600000000006</v>
      </c>
      <c r="AO1884" t="s">
        <v>66</v>
      </c>
      <c r="AP1884">
        <v>1</v>
      </c>
      <c r="AQ1884" t="s">
        <v>66</v>
      </c>
      <c r="AR1884">
        <v>0</v>
      </c>
      <c r="AS1884" t="s">
        <v>66</v>
      </c>
      <c r="AT1884">
        <v>0</v>
      </c>
      <c r="AU1884" t="s">
        <v>66</v>
      </c>
      <c r="AV1884">
        <v>0</v>
      </c>
      <c r="AW1884" t="s">
        <v>66</v>
      </c>
      <c r="AX1884">
        <v>0</v>
      </c>
      <c r="AY1884" t="s">
        <v>66</v>
      </c>
      <c r="AZ1884">
        <v>0</v>
      </c>
      <c r="BA1884" t="s">
        <v>66</v>
      </c>
      <c r="BB1884">
        <v>0</v>
      </c>
      <c r="BC1884">
        <v>0</v>
      </c>
      <c r="BD1884">
        <v>48791.16</v>
      </c>
      <c r="BE1884">
        <v>6604.45</v>
      </c>
      <c r="BF1884">
        <v>0</v>
      </c>
      <c r="BG1884" t="s">
        <v>87</v>
      </c>
      <c r="BH1884" t="s">
        <v>66</v>
      </c>
      <c r="BI1884">
        <v>0</v>
      </c>
      <c r="BJ1884" t="s">
        <v>66</v>
      </c>
      <c r="BK1884" t="s">
        <v>88</v>
      </c>
      <c r="BL1884" t="s">
        <v>66</v>
      </c>
      <c r="BM1884" t="s">
        <v>159</v>
      </c>
    </row>
    <row r="1885" spans="1:65" x14ac:dyDescent="0.25">
      <c r="A1885">
        <v>1883</v>
      </c>
      <c r="B1885" t="s">
        <v>1862</v>
      </c>
      <c r="C1885" t="s">
        <v>68</v>
      </c>
      <c r="D1885" s="1">
        <v>46227</v>
      </c>
      <c r="E1885" t="s">
        <v>1863</v>
      </c>
      <c r="F1885" t="s">
        <v>68</v>
      </c>
      <c r="G1885" t="s">
        <v>295</v>
      </c>
      <c r="H1885" t="s">
        <v>296</v>
      </c>
      <c r="I1885" t="s">
        <v>71</v>
      </c>
      <c r="J1885" t="s">
        <v>72</v>
      </c>
      <c r="K1885" t="s">
        <v>73</v>
      </c>
      <c r="L1885" t="s">
        <v>74</v>
      </c>
      <c r="M1885" t="s">
        <v>1214</v>
      </c>
      <c r="N1885" t="s">
        <v>111</v>
      </c>
      <c r="O1885" t="s">
        <v>1215</v>
      </c>
      <c r="P1885" t="s">
        <v>1216</v>
      </c>
      <c r="Q1885" t="s">
        <v>1864</v>
      </c>
      <c r="R1885" s="1">
        <v>46228</v>
      </c>
      <c r="S1885" t="s">
        <v>1218</v>
      </c>
      <c r="T1885" t="s">
        <v>1219</v>
      </c>
      <c r="U1885" t="s">
        <v>1220</v>
      </c>
      <c r="V1885" t="s">
        <v>66</v>
      </c>
      <c r="W1885" t="s">
        <v>66</v>
      </c>
      <c r="X1885">
        <v>3631716</v>
      </c>
      <c r="Y1885">
        <v>399488.76</v>
      </c>
      <c r="Z1885">
        <v>33858</v>
      </c>
      <c r="AA1885">
        <v>3724.38</v>
      </c>
      <c r="AB1885">
        <v>4031204.76</v>
      </c>
      <c r="AC1885">
        <v>6</v>
      </c>
      <c r="AD1885" t="s">
        <v>82</v>
      </c>
      <c r="AE1885">
        <v>6</v>
      </c>
      <c r="AF1885" t="s">
        <v>350</v>
      </c>
      <c r="AG1885">
        <f>IFERROR(VLOOKUP(AF1885,[1]STOK!J:O,6,0),"")</f>
        <v>48</v>
      </c>
      <c r="AH1885" s="2">
        <f t="shared" si="58"/>
        <v>0.125</v>
      </c>
      <c r="AI1885" t="s">
        <v>350</v>
      </c>
      <c r="AJ1885" t="s">
        <v>351</v>
      </c>
      <c r="AK1885" t="s">
        <v>352</v>
      </c>
      <c r="AL1885" t="s">
        <v>86</v>
      </c>
      <c r="AM1885">
        <v>6327</v>
      </c>
      <c r="AN1885">
        <f t="shared" si="59"/>
        <v>6263.73</v>
      </c>
      <c r="AO1885" t="s">
        <v>66</v>
      </c>
      <c r="AP1885">
        <v>1</v>
      </c>
      <c r="AQ1885" t="s">
        <v>66</v>
      </c>
      <c r="AR1885">
        <v>0</v>
      </c>
      <c r="AS1885" t="s">
        <v>66</v>
      </c>
      <c r="AT1885">
        <v>0</v>
      </c>
      <c r="AU1885" t="s">
        <v>66</v>
      </c>
      <c r="AV1885">
        <v>0</v>
      </c>
      <c r="AW1885" t="s">
        <v>66</v>
      </c>
      <c r="AX1885">
        <v>0</v>
      </c>
      <c r="AY1885" t="s">
        <v>66</v>
      </c>
      <c r="AZ1885">
        <v>0</v>
      </c>
      <c r="BA1885" t="s">
        <v>66</v>
      </c>
      <c r="BB1885">
        <v>0</v>
      </c>
      <c r="BC1885">
        <v>0</v>
      </c>
      <c r="BD1885">
        <v>37582.379999999997</v>
      </c>
      <c r="BE1885">
        <v>4985.16</v>
      </c>
      <c r="BF1885">
        <v>0</v>
      </c>
      <c r="BG1885" t="s">
        <v>87</v>
      </c>
      <c r="BH1885" t="s">
        <v>1865</v>
      </c>
      <c r="BI1885">
        <v>6</v>
      </c>
      <c r="BJ1885" t="s">
        <v>209</v>
      </c>
      <c r="BK1885" t="s">
        <v>88</v>
      </c>
      <c r="BL1885" t="s">
        <v>66</v>
      </c>
      <c r="BM1885" t="s">
        <v>159</v>
      </c>
    </row>
    <row r="1886" spans="1:65" x14ac:dyDescent="0.25">
      <c r="A1886">
        <v>1884</v>
      </c>
      <c r="B1886" t="s">
        <v>1862</v>
      </c>
      <c r="C1886" t="s">
        <v>68</v>
      </c>
      <c r="D1886" s="1">
        <v>46227</v>
      </c>
      <c r="E1886" t="s">
        <v>1863</v>
      </c>
      <c r="F1886" t="s">
        <v>68</v>
      </c>
      <c r="G1886" t="s">
        <v>295</v>
      </c>
      <c r="H1886" t="s">
        <v>296</v>
      </c>
      <c r="I1886" t="s">
        <v>71</v>
      </c>
      <c r="J1886" t="s">
        <v>72</v>
      </c>
      <c r="K1886" t="s">
        <v>73</v>
      </c>
      <c r="L1886" t="s">
        <v>74</v>
      </c>
      <c r="M1886" t="s">
        <v>1214</v>
      </c>
      <c r="N1886" t="s">
        <v>111</v>
      </c>
      <c r="O1886" t="s">
        <v>1215</v>
      </c>
      <c r="P1886" t="s">
        <v>1216</v>
      </c>
      <c r="Q1886" t="s">
        <v>1864</v>
      </c>
      <c r="R1886" s="1">
        <v>46228</v>
      </c>
      <c r="S1886" t="s">
        <v>1218</v>
      </c>
      <c r="T1886" t="s">
        <v>1219</v>
      </c>
      <c r="U1886" t="s">
        <v>1220</v>
      </c>
      <c r="V1886" t="s">
        <v>66</v>
      </c>
      <c r="W1886" t="s">
        <v>66</v>
      </c>
      <c r="X1886">
        <v>3631716</v>
      </c>
      <c r="Y1886">
        <v>399488.76</v>
      </c>
      <c r="Z1886">
        <v>174636</v>
      </c>
      <c r="AA1886">
        <v>19209.96</v>
      </c>
      <c r="AB1886">
        <v>4031204.76</v>
      </c>
      <c r="AC1886">
        <v>12</v>
      </c>
      <c r="AD1886" t="s">
        <v>82</v>
      </c>
      <c r="AE1886">
        <v>12</v>
      </c>
      <c r="AF1886" t="s">
        <v>473</v>
      </c>
      <c r="AG1886">
        <f>IFERROR(VLOOKUP(AF1886,[1]STOK!J:O,6,0),"")</f>
        <v>12</v>
      </c>
      <c r="AH1886" s="2">
        <f t="shared" si="58"/>
        <v>1</v>
      </c>
      <c r="AI1886" t="s">
        <v>473</v>
      </c>
      <c r="AJ1886" t="s">
        <v>474</v>
      </c>
      <c r="AK1886" t="s">
        <v>475</v>
      </c>
      <c r="AL1886" t="s">
        <v>86</v>
      </c>
      <c r="AM1886">
        <v>16317</v>
      </c>
      <c r="AN1886">
        <f t="shared" si="59"/>
        <v>16153.83</v>
      </c>
      <c r="AO1886" t="s">
        <v>66</v>
      </c>
      <c r="AP1886">
        <v>1</v>
      </c>
      <c r="AQ1886" t="s">
        <v>66</v>
      </c>
      <c r="AR1886">
        <v>0</v>
      </c>
      <c r="AS1886" t="s">
        <v>66</v>
      </c>
      <c r="AT1886">
        <v>0</v>
      </c>
      <c r="AU1886" t="s">
        <v>66</v>
      </c>
      <c r="AV1886">
        <v>0</v>
      </c>
      <c r="AW1886" t="s">
        <v>66</v>
      </c>
      <c r="AX1886">
        <v>0</v>
      </c>
      <c r="AY1886" t="s">
        <v>66</v>
      </c>
      <c r="AZ1886">
        <v>0</v>
      </c>
      <c r="BA1886" t="s">
        <v>66</v>
      </c>
      <c r="BB1886">
        <v>0</v>
      </c>
      <c r="BC1886">
        <v>0</v>
      </c>
      <c r="BD1886">
        <v>193845.96</v>
      </c>
      <c r="BE1886">
        <v>12750.39</v>
      </c>
      <c r="BF1886">
        <v>0</v>
      </c>
      <c r="BG1886" t="s">
        <v>87</v>
      </c>
      <c r="BH1886" t="s">
        <v>66</v>
      </c>
      <c r="BI1886">
        <v>0</v>
      </c>
      <c r="BJ1886" t="s">
        <v>66</v>
      </c>
      <c r="BK1886" t="s">
        <v>88</v>
      </c>
      <c r="BL1886" t="s">
        <v>66</v>
      </c>
      <c r="BM1886" t="s">
        <v>159</v>
      </c>
    </row>
    <row r="1887" spans="1:65" x14ac:dyDescent="0.25">
      <c r="A1887">
        <v>1885</v>
      </c>
      <c r="B1887" t="s">
        <v>1862</v>
      </c>
      <c r="C1887" t="s">
        <v>68</v>
      </c>
      <c r="D1887" s="1">
        <v>46227</v>
      </c>
      <c r="E1887" t="s">
        <v>1863</v>
      </c>
      <c r="F1887" t="s">
        <v>68</v>
      </c>
      <c r="G1887" t="s">
        <v>295</v>
      </c>
      <c r="H1887" t="s">
        <v>296</v>
      </c>
      <c r="I1887" t="s">
        <v>71</v>
      </c>
      <c r="J1887" t="s">
        <v>72</v>
      </c>
      <c r="K1887" t="s">
        <v>73</v>
      </c>
      <c r="L1887" t="s">
        <v>74</v>
      </c>
      <c r="M1887" t="s">
        <v>1214</v>
      </c>
      <c r="N1887" t="s">
        <v>111</v>
      </c>
      <c r="O1887" t="s">
        <v>1215</v>
      </c>
      <c r="P1887" t="s">
        <v>1216</v>
      </c>
      <c r="Q1887" t="s">
        <v>1864</v>
      </c>
      <c r="R1887" s="1">
        <v>46228</v>
      </c>
      <c r="S1887" t="s">
        <v>1218</v>
      </c>
      <c r="T1887" t="s">
        <v>1219</v>
      </c>
      <c r="U1887" t="s">
        <v>1220</v>
      </c>
      <c r="V1887" t="s">
        <v>66</v>
      </c>
      <c r="W1887" t="s">
        <v>66</v>
      </c>
      <c r="X1887">
        <v>3631716</v>
      </c>
      <c r="Y1887">
        <v>399488.76</v>
      </c>
      <c r="Z1887">
        <v>63558</v>
      </c>
      <c r="AA1887">
        <v>6991.38</v>
      </c>
      <c r="AB1887">
        <v>4031204.76</v>
      </c>
      <c r="AC1887">
        <v>6</v>
      </c>
      <c r="AD1887" t="s">
        <v>82</v>
      </c>
      <c r="AE1887">
        <v>6</v>
      </c>
      <c r="AF1887" t="s">
        <v>578</v>
      </c>
      <c r="AG1887">
        <f>IFERROR(VLOOKUP(AF1887,[1]STOK!J:O,6,0),"")</f>
        <v>12</v>
      </c>
      <c r="AH1887" s="2">
        <f t="shared" si="58"/>
        <v>0.5</v>
      </c>
      <c r="AI1887" t="s">
        <v>578</v>
      </c>
      <c r="AJ1887" t="s">
        <v>579</v>
      </c>
      <c r="AK1887" t="s">
        <v>580</v>
      </c>
      <c r="AL1887" t="s">
        <v>86</v>
      </c>
      <c r="AM1887">
        <v>11877</v>
      </c>
      <c r="AN1887">
        <f t="shared" si="59"/>
        <v>11758.230000000001</v>
      </c>
      <c r="AO1887" t="s">
        <v>66</v>
      </c>
      <c r="AP1887">
        <v>1</v>
      </c>
      <c r="AQ1887" t="s">
        <v>66</v>
      </c>
      <c r="AR1887">
        <v>0</v>
      </c>
      <c r="AS1887" t="s">
        <v>66</v>
      </c>
      <c r="AT1887">
        <v>0</v>
      </c>
      <c r="AU1887" t="s">
        <v>66</v>
      </c>
      <c r="AV1887">
        <v>0</v>
      </c>
      <c r="AW1887" t="s">
        <v>66</v>
      </c>
      <c r="AX1887">
        <v>0</v>
      </c>
      <c r="AY1887" t="s">
        <v>66</v>
      </c>
      <c r="AZ1887">
        <v>0</v>
      </c>
      <c r="BA1887" t="s">
        <v>66</v>
      </c>
      <c r="BB1887">
        <v>0</v>
      </c>
      <c r="BC1887">
        <v>0</v>
      </c>
      <c r="BD1887">
        <v>70549.38</v>
      </c>
      <c r="BE1887">
        <v>9532.17</v>
      </c>
      <c r="BF1887">
        <v>0</v>
      </c>
      <c r="BG1887" t="s">
        <v>87</v>
      </c>
      <c r="BH1887" t="s">
        <v>66</v>
      </c>
      <c r="BI1887">
        <v>0</v>
      </c>
      <c r="BJ1887" t="s">
        <v>66</v>
      </c>
      <c r="BK1887" t="s">
        <v>88</v>
      </c>
      <c r="BL1887" t="s">
        <v>66</v>
      </c>
      <c r="BM1887" t="s">
        <v>159</v>
      </c>
    </row>
    <row r="1888" spans="1:65" x14ac:dyDescent="0.25">
      <c r="A1888">
        <v>1886</v>
      </c>
      <c r="B1888" t="s">
        <v>1862</v>
      </c>
      <c r="C1888" t="s">
        <v>68</v>
      </c>
      <c r="D1888" s="1">
        <v>46227</v>
      </c>
      <c r="E1888" t="s">
        <v>1863</v>
      </c>
      <c r="F1888" t="s">
        <v>68</v>
      </c>
      <c r="G1888" t="s">
        <v>295</v>
      </c>
      <c r="H1888" t="s">
        <v>296</v>
      </c>
      <c r="I1888" t="s">
        <v>71</v>
      </c>
      <c r="J1888" t="s">
        <v>72</v>
      </c>
      <c r="K1888" t="s">
        <v>73</v>
      </c>
      <c r="L1888" t="s">
        <v>74</v>
      </c>
      <c r="M1888" t="s">
        <v>1214</v>
      </c>
      <c r="N1888" t="s">
        <v>111</v>
      </c>
      <c r="O1888" t="s">
        <v>1215</v>
      </c>
      <c r="P1888" t="s">
        <v>1216</v>
      </c>
      <c r="Q1888" t="s">
        <v>1864</v>
      </c>
      <c r="R1888" s="1">
        <v>46228</v>
      </c>
      <c r="S1888" t="s">
        <v>1218</v>
      </c>
      <c r="T1888" t="s">
        <v>1219</v>
      </c>
      <c r="U1888" t="s">
        <v>1220</v>
      </c>
      <c r="V1888" t="s">
        <v>66</v>
      </c>
      <c r="W1888" t="s">
        <v>66</v>
      </c>
      <c r="X1888">
        <v>3631716</v>
      </c>
      <c r="Y1888">
        <v>399488.76</v>
      </c>
      <c r="Z1888">
        <v>910008</v>
      </c>
      <c r="AA1888">
        <v>100100.88</v>
      </c>
      <c r="AB1888">
        <v>4031204.76</v>
      </c>
      <c r="AC1888">
        <v>24</v>
      </c>
      <c r="AD1888" t="s">
        <v>82</v>
      </c>
      <c r="AE1888">
        <v>24</v>
      </c>
      <c r="AF1888" t="s">
        <v>138</v>
      </c>
      <c r="AG1888">
        <f>IFERROR(VLOOKUP(AF1888,[1]STOK!J:O,6,0),"")</f>
        <v>6</v>
      </c>
      <c r="AH1888" s="2">
        <f t="shared" si="58"/>
        <v>4</v>
      </c>
      <c r="AI1888" t="s">
        <v>138</v>
      </c>
      <c r="AJ1888" t="s">
        <v>139</v>
      </c>
      <c r="AK1888" t="s">
        <v>140</v>
      </c>
      <c r="AL1888" t="s">
        <v>86</v>
      </c>
      <c r="AM1888">
        <v>42513</v>
      </c>
      <c r="AN1888">
        <f t="shared" si="59"/>
        <v>42087.87</v>
      </c>
      <c r="AO1888" t="s">
        <v>66</v>
      </c>
      <c r="AP1888">
        <v>1</v>
      </c>
      <c r="AQ1888" t="s">
        <v>66</v>
      </c>
      <c r="AR1888">
        <v>0</v>
      </c>
      <c r="AS1888" t="s">
        <v>66</v>
      </c>
      <c r="AT1888">
        <v>0</v>
      </c>
      <c r="AU1888" t="s">
        <v>66</v>
      </c>
      <c r="AV1888">
        <v>0</v>
      </c>
      <c r="AW1888" t="s">
        <v>66</v>
      </c>
      <c r="AX1888">
        <v>0</v>
      </c>
      <c r="AY1888" t="s">
        <v>66</v>
      </c>
      <c r="AZ1888">
        <v>0</v>
      </c>
      <c r="BA1888" t="s">
        <v>66</v>
      </c>
      <c r="BB1888">
        <v>0</v>
      </c>
      <c r="BC1888">
        <v>0</v>
      </c>
      <c r="BD1888">
        <v>1010108.88</v>
      </c>
      <c r="BE1888">
        <v>34619.379999999997</v>
      </c>
      <c r="BF1888">
        <v>0</v>
      </c>
      <c r="BG1888" t="s">
        <v>87</v>
      </c>
      <c r="BH1888" t="s">
        <v>66</v>
      </c>
      <c r="BI1888">
        <v>0</v>
      </c>
      <c r="BJ1888" t="s">
        <v>66</v>
      </c>
      <c r="BK1888" t="s">
        <v>88</v>
      </c>
      <c r="BL1888" t="s">
        <v>66</v>
      </c>
      <c r="BM1888" t="s">
        <v>159</v>
      </c>
    </row>
    <row r="1889" spans="1:65" x14ac:dyDescent="0.25">
      <c r="A1889">
        <v>1887</v>
      </c>
      <c r="B1889" t="s">
        <v>1862</v>
      </c>
      <c r="C1889" t="s">
        <v>68</v>
      </c>
      <c r="D1889" s="1">
        <v>46227</v>
      </c>
      <c r="E1889" t="s">
        <v>1863</v>
      </c>
      <c r="F1889" t="s">
        <v>68</v>
      </c>
      <c r="G1889" t="s">
        <v>295</v>
      </c>
      <c r="H1889" t="s">
        <v>296</v>
      </c>
      <c r="I1889" t="s">
        <v>71</v>
      </c>
      <c r="J1889" t="s">
        <v>72</v>
      </c>
      <c r="K1889" t="s">
        <v>73</v>
      </c>
      <c r="L1889" t="s">
        <v>74</v>
      </c>
      <c r="M1889" t="s">
        <v>1214</v>
      </c>
      <c r="N1889" t="s">
        <v>111</v>
      </c>
      <c r="O1889" t="s">
        <v>1215</v>
      </c>
      <c r="P1889" t="s">
        <v>1216</v>
      </c>
      <c r="Q1889" t="s">
        <v>1864</v>
      </c>
      <c r="R1889" s="1">
        <v>46228</v>
      </c>
      <c r="S1889" t="s">
        <v>1218</v>
      </c>
      <c r="T1889" t="s">
        <v>1219</v>
      </c>
      <c r="U1889" t="s">
        <v>1220</v>
      </c>
      <c r="V1889" t="s">
        <v>66</v>
      </c>
      <c r="W1889" t="s">
        <v>66</v>
      </c>
      <c r="X1889">
        <v>3631716</v>
      </c>
      <c r="Y1889">
        <v>399488.76</v>
      </c>
      <c r="Z1889">
        <v>1603800</v>
      </c>
      <c r="AA1889">
        <v>176418</v>
      </c>
      <c r="AB1889">
        <v>4031204.76</v>
      </c>
      <c r="AC1889">
        <v>24</v>
      </c>
      <c r="AD1889" t="s">
        <v>82</v>
      </c>
      <c r="AE1889">
        <v>24</v>
      </c>
      <c r="AF1889" t="s">
        <v>312</v>
      </c>
      <c r="AG1889">
        <f>IFERROR(VLOOKUP(AF1889,[1]STOK!J:O,6,0),"")</f>
        <v>4</v>
      </c>
      <c r="AH1889" s="2">
        <f t="shared" si="58"/>
        <v>6</v>
      </c>
      <c r="AI1889" t="s">
        <v>312</v>
      </c>
      <c r="AJ1889" t="s">
        <v>313</v>
      </c>
      <c r="AK1889" t="s">
        <v>314</v>
      </c>
      <c r="AL1889" t="s">
        <v>86</v>
      </c>
      <c r="AM1889">
        <v>74925</v>
      </c>
      <c r="AN1889">
        <f t="shared" si="59"/>
        <v>74175.75</v>
      </c>
      <c r="AO1889" t="s">
        <v>66</v>
      </c>
      <c r="AP1889">
        <v>1</v>
      </c>
      <c r="AQ1889" t="s">
        <v>66</v>
      </c>
      <c r="AR1889">
        <v>0</v>
      </c>
      <c r="AS1889" t="s">
        <v>66</v>
      </c>
      <c r="AT1889">
        <v>0</v>
      </c>
      <c r="AU1889" t="s">
        <v>66</v>
      </c>
      <c r="AV1889">
        <v>0</v>
      </c>
      <c r="AW1889" t="s">
        <v>66</v>
      </c>
      <c r="AX1889">
        <v>0</v>
      </c>
      <c r="AY1889" t="s">
        <v>66</v>
      </c>
      <c r="AZ1889">
        <v>0</v>
      </c>
      <c r="BA1889" t="s">
        <v>66</v>
      </c>
      <c r="BB1889">
        <v>0</v>
      </c>
      <c r="BC1889">
        <v>0</v>
      </c>
      <c r="BD1889">
        <v>1780218</v>
      </c>
      <c r="BE1889">
        <v>60250.95</v>
      </c>
      <c r="BF1889">
        <v>0</v>
      </c>
      <c r="BG1889" t="s">
        <v>87</v>
      </c>
      <c r="BH1889" t="s">
        <v>66</v>
      </c>
      <c r="BI1889">
        <v>0</v>
      </c>
      <c r="BJ1889" t="s">
        <v>66</v>
      </c>
      <c r="BK1889" t="s">
        <v>88</v>
      </c>
      <c r="BL1889" t="s">
        <v>66</v>
      </c>
      <c r="BM1889" t="s">
        <v>159</v>
      </c>
    </row>
    <row r="1890" spans="1:65" x14ac:dyDescent="0.25">
      <c r="A1890">
        <v>1888</v>
      </c>
      <c r="B1890" t="s">
        <v>1862</v>
      </c>
      <c r="C1890" t="s">
        <v>68</v>
      </c>
      <c r="D1890" s="1">
        <v>46227</v>
      </c>
      <c r="E1890" t="s">
        <v>1863</v>
      </c>
      <c r="F1890" t="s">
        <v>68</v>
      </c>
      <c r="G1890" t="s">
        <v>295</v>
      </c>
      <c r="H1890" t="s">
        <v>296</v>
      </c>
      <c r="I1890" t="s">
        <v>71</v>
      </c>
      <c r="J1890" t="s">
        <v>72</v>
      </c>
      <c r="K1890" t="s">
        <v>73</v>
      </c>
      <c r="L1890" t="s">
        <v>74</v>
      </c>
      <c r="M1890" t="s">
        <v>1214</v>
      </c>
      <c r="N1890" t="s">
        <v>111</v>
      </c>
      <c r="O1890" t="s">
        <v>1215</v>
      </c>
      <c r="P1890" t="s">
        <v>1216</v>
      </c>
      <c r="Q1890" t="s">
        <v>1864</v>
      </c>
      <c r="R1890" s="1">
        <v>46228</v>
      </c>
      <c r="S1890" t="s">
        <v>1218</v>
      </c>
      <c r="T1890" t="s">
        <v>1219</v>
      </c>
      <c r="U1890" t="s">
        <v>1220</v>
      </c>
      <c r="V1890" t="s">
        <v>66</v>
      </c>
      <c r="W1890" t="s">
        <v>66</v>
      </c>
      <c r="X1890">
        <v>3631716</v>
      </c>
      <c r="Y1890">
        <v>399488.76</v>
      </c>
      <c r="Z1890">
        <v>801900</v>
      </c>
      <c r="AA1890">
        <v>88209</v>
      </c>
      <c r="AB1890">
        <v>4031204.76</v>
      </c>
      <c r="AC1890">
        <v>12</v>
      </c>
      <c r="AD1890" t="s">
        <v>82</v>
      </c>
      <c r="AE1890">
        <v>12</v>
      </c>
      <c r="AF1890" t="s">
        <v>476</v>
      </c>
      <c r="AG1890">
        <f>IFERROR(VLOOKUP(AF1890,[1]STOK!J:O,6,0),"")</f>
        <v>4</v>
      </c>
      <c r="AH1890" s="2">
        <f t="shared" si="58"/>
        <v>3</v>
      </c>
      <c r="AI1890" t="s">
        <v>476</v>
      </c>
      <c r="AJ1890" t="s">
        <v>477</v>
      </c>
      <c r="AK1890" t="s">
        <v>478</v>
      </c>
      <c r="AL1890" t="s">
        <v>86</v>
      </c>
      <c r="AM1890">
        <v>74925</v>
      </c>
      <c r="AN1890">
        <f t="shared" si="59"/>
        <v>74175.75</v>
      </c>
      <c r="AO1890" t="s">
        <v>66</v>
      </c>
      <c r="AP1890">
        <v>1</v>
      </c>
      <c r="AQ1890" t="s">
        <v>66</v>
      </c>
      <c r="AR1890">
        <v>0</v>
      </c>
      <c r="AS1890" t="s">
        <v>66</v>
      </c>
      <c r="AT1890">
        <v>0</v>
      </c>
      <c r="AU1890" t="s">
        <v>66</v>
      </c>
      <c r="AV1890">
        <v>0</v>
      </c>
      <c r="AW1890" t="s">
        <v>66</v>
      </c>
      <c r="AX1890">
        <v>0</v>
      </c>
      <c r="AY1890" t="s">
        <v>66</v>
      </c>
      <c r="AZ1890">
        <v>0</v>
      </c>
      <c r="BA1890" t="s">
        <v>66</v>
      </c>
      <c r="BB1890">
        <v>0</v>
      </c>
      <c r="BC1890">
        <v>0</v>
      </c>
      <c r="BD1890">
        <v>890109</v>
      </c>
      <c r="BE1890">
        <v>58650.42</v>
      </c>
      <c r="BF1890">
        <v>0</v>
      </c>
      <c r="BG1890" t="s">
        <v>87</v>
      </c>
      <c r="BH1890" t="s">
        <v>66</v>
      </c>
      <c r="BI1890">
        <v>0</v>
      </c>
      <c r="BJ1890" t="s">
        <v>66</v>
      </c>
      <c r="BK1890" t="s">
        <v>88</v>
      </c>
      <c r="BL1890" t="s">
        <v>66</v>
      </c>
      <c r="BM1890" t="s">
        <v>159</v>
      </c>
    </row>
    <row r="1891" spans="1:65" x14ac:dyDescent="0.25">
      <c r="A1891">
        <v>1889</v>
      </c>
      <c r="B1891" t="s">
        <v>1866</v>
      </c>
      <c r="C1891" t="s">
        <v>68</v>
      </c>
      <c r="D1891" s="1">
        <v>46227</v>
      </c>
      <c r="E1891" t="s">
        <v>1867</v>
      </c>
      <c r="F1891" t="s">
        <v>68</v>
      </c>
      <c r="G1891" t="s">
        <v>295</v>
      </c>
      <c r="H1891" t="s">
        <v>296</v>
      </c>
      <c r="I1891" t="s">
        <v>71</v>
      </c>
      <c r="J1891" t="s">
        <v>72</v>
      </c>
      <c r="K1891" t="s">
        <v>73</v>
      </c>
      <c r="L1891" t="s">
        <v>74</v>
      </c>
      <c r="M1891" t="s">
        <v>1868</v>
      </c>
      <c r="N1891" t="s">
        <v>76</v>
      </c>
      <c r="O1891" t="s">
        <v>1869</v>
      </c>
      <c r="P1891" t="s">
        <v>1870</v>
      </c>
      <c r="Q1891" t="s">
        <v>1871</v>
      </c>
      <c r="R1891" s="1">
        <v>46230</v>
      </c>
      <c r="S1891" t="s">
        <v>841</v>
      </c>
      <c r="T1891" t="s">
        <v>842</v>
      </c>
      <c r="U1891" t="s">
        <v>843</v>
      </c>
      <c r="V1891" t="s">
        <v>66</v>
      </c>
      <c r="W1891" t="s">
        <v>66</v>
      </c>
      <c r="X1891">
        <v>270480</v>
      </c>
      <c r="Y1891">
        <v>29752.799999999999</v>
      </c>
      <c r="Z1891">
        <v>21756</v>
      </c>
      <c r="AA1891">
        <v>2393.16</v>
      </c>
      <c r="AB1891">
        <v>300232.8</v>
      </c>
      <c r="AC1891">
        <v>3</v>
      </c>
      <c r="AD1891" t="s">
        <v>82</v>
      </c>
      <c r="AE1891">
        <v>3</v>
      </c>
      <c r="AF1891" t="s">
        <v>262</v>
      </c>
      <c r="AG1891">
        <f>IFERROR(VLOOKUP(AF1891,[1]STOK!J:O,6,0),"")</f>
        <v>24</v>
      </c>
      <c r="AH1891" s="2">
        <f t="shared" si="58"/>
        <v>0.125</v>
      </c>
      <c r="AI1891" t="s">
        <v>262</v>
      </c>
      <c r="AJ1891" t="s">
        <v>263</v>
      </c>
      <c r="AK1891" t="s">
        <v>264</v>
      </c>
      <c r="AL1891" t="s">
        <v>86</v>
      </c>
      <c r="AM1891">
        <v>8214</v>
      </c>
      <c r="AN1891">
        <f t="shared" si="59"/>
        <v>8049.72</v>
      </c>
      <c r="AO1891" t="s">
        <v>66</v>
      </c>
      <c r="AP1891">
        <v>2</v>
      </c>
      <c r="AQ1891" t="s">
        <v>66</v>
      </c>
      <c r="AR1891">
        <v>0</v>
      </c>
      <c r="AS1891" t="s">
        <v>66</v>
      </c>
      <c r="AT1891">
        <v>0</v>
      </c>
      <c r="AU1891" t="s">
        <v>66</v>
      </c>
      <c r="AV1891">
        <v>0</v>
      </c>
      <c r="AW1891" t="s">
        <v>66</v>
      </c>
      <c r="AX1891">
        <v>0</v>
      </c>
      <c r="AY1891" t="s">
        <v>66</v>
      </c>
      <c r="AZ1891">
        <v>0</v>
      </c>
      <c r="BA1891" t="s">
        <v>66</v>
      </c>
      <c r="BB1891">
        <v>0</v>
      </c>
      <c r="BC1891">
        <v>0</v>
      </c>
      <c r="BD1891">
        <v>24149.16</v>
      </c>
      <c r="BE1891">
        <v>6604.45</v>
      </c>
      <c r="BF1891">
        <v>0</v>
      </c>
      <c r="BG1891" t="s">
        <v>87</v>
      </c>
      <c r="BH1891" t="s">
        <v>66</v>
      </c>
      <c r="BI1891">
        <v>0</v>
      </c>
      <c r="BJ1891" t="s">
        <v>66</v>
      </c>
      <c r="BK1891" t="s">
        <v>88</v>
      </c>
      <c r="BL1891" t="s">
        <v>719</v>
      </c>
      <c r="BM1891" t="s">
        <v>159</v>
      </c>
    </row>
    <row r="1892" spans="1:65" x14ac:dyDescent="0.25">
      <c r="A1892">
        <v>1890</v>
      </c>
      <c r="B1892" t="s">
        <v>1866</v>
      </c>
      <c r="C1892" t="s">
        <v>68</v>
      </c>
      <c r="D1892" s="1">
        <v>46227</v>
      </c>
      <c r="E1892" t="s">
        <v>1867</v>
      </c>
      <c r="F1892" t="s">
        <v>68</v>
      </c>
      <c r="G1892" t="s">
        <v>295</v>
      </c>
      <c r="H1892" t="s">
        <v>296</v>
      </c>
      <c r="I1892" t="s">
        <v>71</v>
      </c>
      <c r="J1892" t="s">
        <v>72</v>
      </c>
      <c r="K1892" t="s">
        <v>73</v>
      </c>
      <c r="L1892" t="s">
        <v>74</v>
      </c>
      <c r="M1892" t="s">
        <v>1868</v>
      </c>
      <c r="N1892" t="s">
        <v>76</v>
      </c>
      <c r="O1892" t="s">
        <v>1869</v>
      </c>
      <c r="P1892" t="s">
        <v>1870</v>
      </c>
      <c r="Q1892" t="s">
        <v>1871</v>
      </c>
      <c r="R1892" s="1">
        <v>46230</v>
      </c>
      <c r="S1892" t="s">
        <v>841</v>
      </c>
      <c r="T1892" t="s">
        <v>842</v>
      </c>
      <c r="U1892" t="s">
        <v>843</v>
      </c>
      <c r="V1892" t="s">
        <v>66</v>
      </c>
      <c r="W1892" t="s">
        <v>66</v>
      </c>
      <c r="X1892">
        <v>270480</v>
      </c>
      <c r="Y1892">
        <v>29752.799999999999</v>
      </c>
      <c r="Z1892">
        <v>46452</v>
      </c>
      <c r="AA1892">
        <v>5109.72</v>
      </c>
      <c r="AB1892">
        <v>300232.8</v>
      </c>
      <c r="AC1892">
        <v>6</v>
      </c>
      <c r="AD1892" t="s">
        <v>82</v>
      </c>
      <c r="AE1892">
        <v>6</v>
      </c>
      <c r="AF1892" t="s">
        <v>248</v>
      </c>
      <c r="AG1892">
        <f>IFERROR(VLOOKUP(AF1892,[1]STOK!J:O,6,0),"")</f>
        <v>24</v>
      </c>
      <c r="AH1892" s="2">
        <f t="shared" si="58"/>
        <v>0.25</v>
      </c>
      <c r="AI1892" t="s">
        <v>248</v>
      </c>
      <c r="AJ1892" t="s">
        <v>249</v>
      </c>
      <c r="AK1892" t="s">
        <v>250</v>
      </c>
      <c r="AL1892" t="s">
        <v>86</v>
      </c>
      <c r="AM1892">
        <v>8769</v>
      </c>
      <c r="AN1892">
        <f t="shared" si="59"/>
        <v>8593.6200000000008</v>
      </c>
      <c r="AO1892" t="s">
        <v>66</v>
      </c>
      <c r="AP1892">
        <v>2</v>
      </c>
      <c r="AQ1892" t="s">
        <v>66</v>
      </c>
      <c r="AR1892">
        <v>0</v>
      </c>
      <c r="AS1892" t="s">
        <v>66</v>
      </c>
      <c r="AT1892">
        <v>0</v>
      </c>
      <c r="AU1892" t="s">
        <v>66</v>
      </c>
      <c r="AV1892">
        <v>0</v>
      </c>
      <c r="AW1892" t="s">
        <v>66</v>
      </c>
      <c r="AX1892">
        <v>0</v>
      </c>
      <c r="AY1892" t="s">
        <v>66</v>
      </c>
      <c r="AZ1892">
        <v>0</v>
      </c>
      <c r="BA1892" t="s">
        <v>66</v>
      </c>
      <c r="BB1892">
        <v>0</v>
      </c>
      <c r="BC1892">
        <v>0</v>
      </c>
      <c r="BD1892">
        <v>51561.72</v>
      </c>
      <c r="BE1892">
        <v>6516.01</v>
      </c>
      <c r="BF1892">
        <v>0</v>
      </c>
      <c r="BG1892" t="s">
        <v>87</v>
      </c>
      <c r="BH1892" t="s">
        <v>66</v>
      </c>
      <c r="BI1892">
        <v>0</v>
      </c>
      <c r="BJ1892" t="s">
        <v>66</v>
      </c>
      <c r="BK1892" t="s">
        <v>88</v>
      </c>
      <c r="BL1892" t="s">
        <v>719</v>
      </c>
      <c r="BM1892" t="s">
        <v>159</v>
      </c>
    </row>
    <row r="1893" spans="1:65" x14ac:dyDescent="0.25">
      <c r="A1893">
        <v>1891</v>
      </c>
      <c r="B1893" t="s">
        <v>1866</v>
      </c>
      <c r="C1893" t="s">
        <v>68</v>
      </c>
      <c r="D1893" s="1">
        <v>46227</v>
      </c>
      <c r="E1893" t="s">
        <v>1867</v>
      </c>
      <c r="F1893" t="s">
        <v>68</v>
      </c>
      <c r="G1893" t="s">
        <v>295</v>
      </c>
      <c r="H1893" t="s">
        <v>296</v>
      </c>
      <c r="I1893" t="s">
        <v>71</v>
      </c>
      <c r="J1893" t="s">
        <v>72</v>
      </c>
      <c r="K1893" t="s">
        <v>73</v>
      </c>
      <c r="L1893" t="s">
        <v>74</v>
      </c>
      <c r="M1893" t="s">
        <v>1868</v>
      </c>
      <c r="N1893" t="s">
        <v>76</v>
      </c>
      <c r="O1893" t="s">
        <v>1869</v>
      </c>
      <c r="P1893" t="s">
        <v>1870</v>
      </c>
      <c r="Q1893" t="s">
        <v>1871</v>
      </c>
      <c r="R1893" s="1">
        <v>46230</v>
      </c>
      <c r="S1893" t="s">
        <v>841</v>
      </c>
      <c r="T1893" t="s">
        <v>842</v>
      </c>
      <c r="U1893" t="s">
        <v>843</v>
      </c>
      <c r="V1893" t="s">
        <v>66</v>
      </c>
      <c r="W1893" t="s">
        <v>66</v>
      </c>
      <c r="X1893">
        <v>270480</v>
      </c>
      <c r="Y1893">
        <v>29752.799999999999</v>
      </c>
      <c r="Z1893">
        <v>46452</v>
      </c>
      <c r="AA1893">
        <v>5109.72</v>
      </c>
      <c r="AB1893">
        <v>300232.8</v>
      </c>
      <c r="AC1893">
        <v>6</v>
      </c>
      <c r="AD1893" t="s">
        <v>82</v>
      </c>
      <c r="AE1893">
        <v>6</v>
      </c>
      <c r="AF1893" t="s">
        <v>199</v>
      </c>
      <c r="AG1893">
        <f>IFERROR(VLOOKUP(AF1893,[1]STOK!J:O,6,0),"")</f>
        <v>24</v>
      </c>
      <c r="AH1893" s="2">
        <f t="shared" si="58"/>
        <v>0.25</v>
      </c>
      <c r="AI1893" t="s">
        <v>199</v>
      </c>
      <c r="AJ1893" t="s">
        <v>200</v>
      </c>
      <c r="AK1893" t="s">
        <v>201</v>
      </c>
      <c r="AL1893" t="s">
        <v>86</v>
      </c>
      <c r="AM1893">
        <v>8769</v>
      </c>
      <c r="AN1893">
        <f t="shared" si="59"/>
        <v>8593.6200000000008</v>
      </c>
      <c r="AO1893" t="s">
        <v>66</v>
      </c>
      <c r="AP1893">
        <v>2</v>
      </c>
      <c r="AQ1893" t="s">
        <v>66</v>
      </c>
      <c r="AR1893">
        <v>0</v>
      </c>
      <c r="AS1893" t="s">
        <v>66</v>
      </c>
      <c r="AT1893">
        <v>0</v>
      </c>
      <c r="AU1893" t="s">
        <v>66</v>
      </c>
      <c r="AV1893">
        <v>0</v>
      </c>
      <c r="AW1893" t="s">
        <v>66</v>
      </c>
      <c r="AX1893">
        <v>0</v>
      </c>
      <c r="AY1893" t="s">
        <v>66</v>
      </c>
      <c r="AZ1893">
        <v>0</v>
      </c>
      <c r="BA1893" t="s">
        <v>66</v>
      </c>
      <c r="BB1893">
        <v>0</v>
      </c>
      <c r="BC1893">
        <v>0</v>
      </c>
      <c r="BD1893">
        <v>51561.72</v>
      </c>
      <c r="BE1893">
        <v>6637.67</v>
      </c>
      <c r="BF1893">
        <v>0</v>
      </c>
      <c r="BG1893" t="s">
        <v>87</v>
      </c>
      <c r="BH1893" t="s">
        <v>66</v>
      </c>
      <c r="BI1893">
        <v>0</v>
      </c>
      <c r="BJ1893" t="s">
        <v>66</v>
      </c>
      <c r="BK1893" t="s">
        <v>88</v>
      </c>
      <c r="BL1893" t="s">
        <v>719</v>
      </c>
      <c r="BM1893" t="s">
        <v>159</v>
      </c>
    </row>
    <row r="1894" spans="1:65" x14ac:dyDescent="0.25">
      <c r="A1894">
        <v>1892</v>
      </c>
      <c r="B1894" t="s">
        <v>1866</v>
      </c>
      <c r="C1894" t="s">
        <v>68</v>
      </c>
      <c r="D1894" s="1">
        <v>46227</v>
      </c>
      <c r="E1894" t="s">
        <v>1867</v>
      </c>
      <c r="F1894" t="s">
        <v>68</v>
      </c>
      <c r="G1894" t="s">
        <v>295</v>
      </c>
      <c r="H1894" t="s">
        <v>296</v>
      </c>
      <c r="I1894" t="s">
        <v>71</v>
      </c>
      <c r="J1894" t="s">
        <v>72</v>
      </c>
      <c r="K1894" t="s">
        <v>73</v>
      </c>
      <c r="L1894" t="s">
        <v>74</v>
      </c>
      <c r="M1894" t="s">
        <v>1868</v>
      </c>
      <c r="N1894" t="s">
        <v>76</v>
      </c>
      <c r="O1894" t="s">
        <v>1869</v>
      </c>
      <c r="P1894" t="s">
        <v>1870</v>
      </c>
      <c r="Q1894" t="s">
        <v>1871</v>
      </c>
      <c r="R1894" s="1">
        <v>46230</v>
      </c>
      <c r="S1894" t="s">
        <v>841</v>
      </c>
      <c r="T1894" t="s">
        <v>842</v>
      </c>
      <c r="U1894" t="s">
        <v>843</v>
      </c>
      <c r="V1894" t="s">
        <v>66</v>
      </c>
      <c r="W1894" t="s">
        <v>66</v>
      </c>
      <c r="X1894">
        <v>270480</v>
      </c>
      <c r="Y1894">
        <v>29752.799999999999</v>
      </c>
      <c r="Z1894">
        <v>97020</v>
      </c>
      <c r="AA1894">
        <v>10672.2</v>
      </c>
      <c r="AB1894">
        <v>300232.8</v>
      </c>
      <c r="AC1894">
        <v>6</v>
      </c>
      <c r="AD1894" t="s">
        <v>82</v>
      </c>
      <c r="AE1894">
        <v>6</v>
      </c>
      <c r="AF1894" t="s">
        <v>205</v>
      </c>
      <c r="AG1894">
        <f>IFERROR(VLOOKUP(AF1894,[1]STOK!J:O,6,0),"")</f>
        <v>24</v>
      </c>
      <c r="AH1894" s="2">
        <f t="shared" si="58"/>
        <v>0.25</v>
      </c>
      <c r="AI1894" t="s">
        <v>205</v>
      </c>
      <c r="AJ1894" t="s">
        <v>206</v>
      </c>
      <c r="AK1894" t="s">
        <v>207</v>
      </c>
      <c r="AL1894" t="s">
        <v>86</v>
      </c>
      <c r="AM1894">
        <v>18315</v>
      </c>
      <c r="AN1894">
        <f t="shared" si="59"/>
        <v>17948.7</v>
      </c>
      <c r="AO1894" t="s">
        <v>66</v>
      </c>
      <c r="AP1894">
        <v>2</v>
      </c>
      <c r="AQ1894" t="s">
        <v>66</v>
      </c>
      <c r="AR1894">
        <v>0</v>
      </c>
      <c r="AS1894" t="s">
        <v>66</v>
      </c>
      <c r="AT1894">
        <v>0</v>
      </c>
      <c r="AU1894" t="s">
        <v>66</v>
      </c>
      <c r="AV1894">
        <v>0</v>
      </c>
      <c r="AW1894" t="s">
        <v>66</v>
      </c>
      <c r="AX1894">
        <v>0</v>
      </c>
      <c r="AY1894" t="s">
        <v>66</v>
      </c>
      <c r="AZ1894">
        <v>0</v>
      </c>
      <c r="BA1894" t="s">
        <v>66</v>
      </c>
      <c r="BB1894">
        <v>0</v>
      </c>
      <c r="BC1894">
        <v>0</v>
      </c>
      <c r="BD1894">
        <v>107692.2</v>
      </c>
      <c r="BE1894">
        <v>14876.63</v>
      </c>
      <c r="BF1894">
        <v>0</v>
      </c>
      <c r="BG1894" t="s">
        <v>87</v>
      </c>
      <c r="BH1894" t="s">
        <v>66</v>
      </c>
      <c r="BI1894">
        <v>0</v>
      </c>
      <c r="BJ1894" t="s">
        <v>66</v>
      </c>
      <c r="BK1894" t="s">
        <v>88</v>
      </c>
      <c r="BL1894" t="s">
        <v>719</v>
      </c>
      <c r="BM1894" t="s">
        <v>159</v>
      </c>
    </row>
    <row r="1895" spans="1:65" x14ac:dyDescent="0.25">
      <c r="A1895">
        <v>1893</v>
      </c>
      <c r="B1895" t="s">
        <v>1866</v>
      </c>
      <c r="C1895" t="s">
        <v>68</v>
      </c>
      <c r="D1895" s="1">
        <v>46227</v>
      </c>
      <c r="E1895" t="s">
        <v>1867</v>
      </c>
      <c r="F1895" t="s">
        <v>68</v>
      </c>
      <c r="G1895" t="s">
        <v>295</v>
      </c>
      <c r="H1895" t="s">
        <v>296</v>
      </c>
      <c r="I1895" t="s">
        <v>71</v>
      </c>
      <c r="J1895" t="s">
        <v>72</v>
      </c>
      <c r="K1895" t="s">
        <v>73</v>
      </c>
      <c r="L1895" t="s">
        <v>74</v>
      </c>
      <c r="M1895" t="s">
        <v>1868</v>
      </c>
      <c r="N1895" t="s">
        <v>76</v>
      </c>
      <c r="O1895" t="s">
        <v>1869</v>
      </c>
      <c r="P1895" t="s">
        <v>1870</v>
      </c>
      <c r="Q1895" t="s">
        <v>1871</v>
      </c>
      <c r="R1895" s="1">
        <v>46230</v>
      </c>
      <c r="S1895" t="s">
        <v>841</v>
      </c>
      <c r="T1895" t="s">
        <v>842</v>
      </c>
      <c r="U1895" t="s">
        <v>843</v>
      </c>
      <c r="V1895" t="s">
        <v>66</v>
      </c>
      <c r="W1895" t="s">
        <v>66</v>
      </c>
      <c r="X1895">
        <v>270480</v>
      </c>
      <c r="Y1895">
        <v>29752.799999999999</v>
      </c>
      <c r="Z1895">
        <v>58800</v>
      </c>
      <c r="AA1895">
        <v>6468</v>
      </c>
      <c r="AB1895">
        <v>300232.8</v>
      </c>
      <c r="AC1895">
        <v>3</v>
      </c>
      <c r="AD1895" t="s">
        <v>82</v>
      </c>
      <c r="AE1895">
        <v>3</v>
      </c>
      <c r="AF1895" t="s">
        <v>290</v>
      </c>
      <c r="AG1895">
        <f>IFERROR(VLOOKUP(AF1895,[1]STOK!J:O,6,0),"")</f>
        <v>12</v>
      </c>
      <c r="AH1895" s="2">
        <f t="shared" si="58"/>
        <v>0.25</v>
      </c>
      <c r="AI1895" t="s">
        <v>290</v>
      </c>
      <c r="AJ1895" t="s">
        <v>291</v>
      </c>
      <c r="AK1895" t="s">
        <v>292</v>
      </c>
      <c r="AL1895" t="s">
        <v>86</v>
      </c>
      <c r="AM1895">
        <v>22200</v>
      </c>
      <c r="AN1895">
        <f t="shared" si="59"/>
        <v>21756</v>
      </c>
      <c r="AO1895" t="s">
        <v>66</v>
      </c>
      <c r="AP1895">
        <v>2</v>
      </c>
      <c r="AQ1895" t="s">
        <v>66</v>
      </c>
      <c r="AR1895">
        <v>0</v>
      </c>
      <c r="AS1895" t="s">
        <v>66</v>
      </c>
      <c r="AT1895">
        <v>0</v>
      </c>
      <c r="AU1895" t="s">
        <v>66</v>
      </c>
      <c r="AV1895">
        <v>0</v>
      </c>
      <c r="AW1895" t="s">
        <v>66</v>
      </c>
      <c r="AX1895">
        <v>0</v>
      </c>
      <c r="AY1895" t="s">
        <v>66</v>
      </c>
      <c r="AZ1895">
        <v>0</v>
      </c>
      <c r="BA1895" t="s">
        <v>66</v>
      </c>
      <c r="BB1895">
        <v>0</v>
      </c>
      <c r="BC1895">
        <v>0</v>
      </c>
      <c r="BD1895">
        <v>65268</v>
      </c>
      <c r="BE1895">
        <v>18155.62</v>
      </c>
      <c r="BF1895">
        <v>0</v>
      </c>
      <c r="BG1895" t="s">
        <v>87</v>
      </c>
      <c r="BH1895" t="s">
        <v>66</v>
      </c>
      <c r="BI1895">
        <v>0</v>
      </c>
      <c r="BJ1895" t="s">
        <v>66</v>
      </c>
      <c r="BK1895" t="s">
        <v>88</v>
      </c>
      <c r="BL1895" t="s">
        <v>719</v>
      </c>
      <c r="BM1895" t="s">
        <v>159</v>
      </c>
    </row>
    <row r="1896" spans="1:65" x14ac:dyDescent="0.25">
      <c r="A1896">
        <v>1894</v>
      </c>
      <c r="B1896" t="s">
        <v>1872</v>
      </c>
      <c r="C1896" t="s">
        <v>1873</v>
      </c>
      <c r="D1896" s="1">
        <v>46227</v>
      </c>
      <c r="E1896" t="s">
        <v>1874</v>
      </c>
      <c r="F1896" t="s">
        <v>1875</v>
      </c>
      <c r="G1896" t="s">
        <v>222</v>
      </c>
      <c r="H1896" t="s">
        <v>223</v>
      </c>
      <c r="I1896" t="s">
        <v>71</v>
      </c>
      <c r="J1896" t="s">
        <v>72</v>
      </c>
      <c r="K1896" t="s">
        <v>73</v>
      </c>
      <c r="L1896" t="s">
        <v>74</v>
      </c>
      <c r="M1896" t="s">
        <v>1876</v>
      </c>
      <c r="N1896" t="s">
        <v>76</v>
      </c>
      <c r="O1896" t="s">
        <v>1877</v>
      </c>
      <c r="P1896" t="s">
        <v>1878</v>
      </c>
      <c r="Q1896" t="s">
        <v>66</v>
      </c>
      <c r="R1896" s="1">
        <v>46227</v>
      </c>
      <c r="S1896" t="s">
        <v>1879</v>
      </c>
      <c r="T1896" t="s">
        <v>1878</v>
      </c>
      <c r="U1896" t="s">
        <v>66</v>
      </c>
      <c r="V1896" t="s">
        <v>1880</v>
      </c>
      <c r="W1896" t="s">
        <v>66</v>
      </c>
      <c r="X1896">
        <v>1212120</v>
      </c>
      <c r="Y1896">
        <v>133333.20000000001</v>
      </c>
      <c r="Z1896">
        <v>1212120</v>
      </c>
      <c r="AA1896">
        <v>133333.20000000001</v>
      </c>
      <c r="AB1896">
        <v>1345453.2</v>
      </c>
      <c r="AC1896">
        <v>4</v>
      </c>
      <c r="AD1896" t="s">
        <v>134</v>
      </c>
      <c r="AE1896">
        <v>48</v>
      </c>
      <c r="AF1896" t="s">
        <v>306</v>
      </c>
      <c r="AG1896">
        <f>IFERROR(VLOOKUP(AF1896,[1]STOK!J:O,6,0),"")</f>
        <v>12</v>
      </c>
      <c r="AH1896" s="2">
        <f t="shared" si="58"/>
        <v>4</v>
      </c>
      <c r="AI1896" t="s">
        <v>306</v>
      </c>
      <c r="AJ1896" t="s">
        <v>307</v>
      </c>
      <c r="AK1896" t="s">
        <v>308</v>
      </c>
      <c r="AL1896" t="s">
        <v>86</v>
      </c>
      <c r="AM1896">
        <v>336363.3</v>
      </c>
      <c r="AN1896">
        <f t="shared" si="59"/>
        <v>336363.3</v>
      </c>
      <c r="AO1896" t="s">
        <v>66</v>
      </c>
      <c r="AP1896">
        <v>0</v>
      </c>
      <c r="AQ1896" t="s">
        <v>66</v>
      </c>
      <c r="AR1896">
        <v>0</v>
      </c>
      <c r="AS1896" t="s">
        <v>66</v>
      </c>
      <c r="AT1896">
        <v>0</v>
      </c>
      <c r="AU1896" t="s">
        <v>66</v>
      </c>
      <c r="AV1896">
        <v>0</v>
      </c>
      <c r="AW1896" t="s">
        <v>66</v>
      </c>
      <c r="AX1896">
        <v>0</v>
      </c>
      <c r="AY1896" t="s">
        <v>66</v>
      </c>
      <c r="AZ1896">
        <v>0</v>
      </c>
      <c r="BA1896" t="s">
        <v>66</v>
      </c>
      <c r="BB1896">
        <v>0</v>
      </c>
      <c r="BC1896">
        <v>0</v>
      </c>
      <c r="BD1896">
        <v>1345453.2</v>
      </c>
      <c r="BE1896">
        <v>24657.27</v>
      </c>
      <c r="BF1896">
        <v>0</v>
      </c>
      <c r="BG1896" t="s">
        <v>237</v>
      </c>
      <c r="BH1896" t="s">
        <v>66</v>
      </c>
      <c r="BI1896">
        <v>0</v>
      </c>
      <c r="BJ1896" t="s">
        <v>66</v>
      </c>
      <c r="BK1896" t="s">
        <v>88</v>
      </c>
      <c r="BL1896" t="s">
        <v>66</v>
      </c>
      <c r="BM1896" t="s">
        <v>89</v>
      </c>
    </row>
    <row r="1897" spans="1:65" x14ac:dyDescent="0.25">
      <c r="A1897">
        <v>1895</v>
      </c>
      <c r="B1897" t="s">
        <v>1881</v>
      </c>
      <c r="C1897" t="s">
        <v>1882</v>
      </c>
      <c r="D1897" s="1">
        <v>46227</v>
      </c>
      <c r="E1897" t="s">
        <v>1883</v>
      </c>
      <c r="F1897" t="s">
        <v>1884</v>
      </c>
      <c r="G1897" t="s">
        <v>69</v>
      </c>
      <c r="H1897" t="s">
        <v>70</v>
      </c>
      <c r="I1897" t="s">
        <v>71</v>
      </c>
      <c r="J1897" t="s">
        <v>72</v>
      </c>
      <c r="K1897" t="s">
        <v>73</v>
      </c>
      <c r="L1897" t="s">
        <v>74</v>
      </c>
      <c r="M1897" t="s">
        <v>867</v>
      </c>
      <c r="N1897" t="s">
        <v>696</v>
      </c>
      <c r="O1897" t="s">
        <v>868</v>
      </c>
      <c r="P1897" t="s">
        <v>869</v>
      </c>
      <c r="Q1897" t="s">
        <v>1885</v>
      </c>
      <c r="R1897" s="1">
        <v>46230</v>
      </c>
      <c r="S1897" t="s">
        <v>871</v>
      </c>
      <c r="T1897" t="s">
        <v>872</v>
      </c>
      <c r="U1897" t="s">
        <v>873</v>
      </c>
      <c r="V1897" t="s">
        <v>66</v>
      </c>
      <c r="W1897" t="s">
        <v>66</v>
      </c>
      <c r="X1897">
        <v>2167368</v>
      </c>
      <c r="Y1897">
        <v>238410.48</v>
      </c>
      <c r="Z1897">
        <v>2167368</v>
      </c>
      <c r="AA1897">
        <v>238410.48</v>
      </c>
      <c r="AB1897">
        <v>2405778.48</v>
      </c>
      <c r="AC1897">
        <v>14</v>
      </c>
      <c r="AD1897" t="s">
        <v>134</v>
      </c>
      <c r="AE1897">
        <v>168</v>
      </c>
      <c r="AF1897" t="s">
        <v>135</v>
      </c>
      <c r="AG1897">
        <f>IFERROR(VLOOKUP(AF1897,[1]STOK!J:O,6,0),"")</f>
        <v>12</v>
      </c>
      <c r="AH1897" s="2">
        <f t="shared" si="58"/>
        <v>14</v>
      </c>
      <c r="AI1897" t="s">
        <v>135</v>
      </c>
      <c r="AJ1897" t="s">
        <v>136</v>
      </c>
      <c r="AK1897" t="s">
        <v>137</v>
      </c>
      <c r="AL1897" t="s">
        <v>86</v>
      </c>
      <c r="AM1897">
        <v>177156</v>
      </c>
      <c r="AN1897">
        <f t="shared" si="59"/>
        <v>171841.32</v>
      </c>
      <c r="AO1897" t="s">
        <v>66</v>
      </c>
      <c r="AP1897">
        <v>3</v>
      </c>
      <c r="AQ1897" t="s">
        <v>66</v>
      </c>
      <c r="AR1897">
        <v>0</v>
      </c>
      <c r="AS1897" t="s">
        <v>66</v>
      </c>
      <c r="AT1897">
        <v>0</v>
      </c>
      <c r="AU1897" t="s">
        <v>66</v>
      </c>
      <c r="AV1897">
        <v>0</v>
      </c>
      <c r="AW1897" t="s">
        <v>66</v>
      </c>
      <c r="AX1897">
        <v>0</v>
      </c>
      <c r="AY1897" t="s">
        <v>66</v>
      </c>
      <c r="AZ1897">
        <v>0</v>
      </c>
      <c r="BA1897" t="s">
        <v>66</v>
      </c>
      <c r="BB1897">
        <v>0</v>
      </c>
      <c r="BC1897">
        <v>0</v>
      </c>
      <c r="BD1897">
        <v>2405778.48</v>
      </c>
      <c r="BE1897">
        <v>12032.04</v>
      </c>
      <c r="BF1897">
        <v>0</v>
      </c>
      <c r="BG1897" t="s">
        <v>87</v>
      </c>
      <c r="BH1897" t="s">
        <v>66</v>
      </c>
      <c r="BI1897">
        <v>0</v>
      </c>
      <c r="BJ1897" t="s">
        <v>66</v>
      </c>
      <c r="BK1897" t="s">
        <v>88</v>
      </c>
      <c r="BL1897" t="s">
        <v>877</v>
      </c>
      <c r="BM1897" t="s">
        <v>159</v>
      </c>
    </row>
    <row r="1898" spans="1:65" x14ac:dyDescent="0.25">
      <c r="A1898">
        <v>1896</v>
      </c>
      <c r="B1898" t="s">
        <v>1886</v>
      </c>
      <c r="C1898" t="s">
        <v>1887</v>
      </c>
      <c r="D1898" s="1">
        <v>46227</v>
      </c>
      <c r="E1898" t="s">
        <v>1888</v>
      </c>
      <c r="F1898" t="s">
        <v>1889</v>
      </c>
      <c r="G1898" t="s">
        <v>69</v>
      </c>
      <c r="H1898" t="s">
        <v>70</v>
      </c>
      <c r="I1898" t="s">
        <v>71</v>
      </c>
      <c r="J1898" t="s">
        <v>72</v>
      </c>
      <c r="K1898" t="s">
        <v>73</v>
      </c>
      <c r="L1898" t="s">
        <v>74</v>
      </c>
      <c r="M1898" t="s">
        <v>867</v>
      </c>
      <c r="N1898" t="s">
        <v>696</v>
      </c>
      <c r="O1898" t="s">
        <v>868</v>
      </c>
      <c r="P1898" t="s">
        <v>869</v>
      </c>
      <c r="Q1898" t="s">
        <v>1890</v>
      </c>
      <c r="R1898" s="1">
        <v>46230</v>
      </c>
      <c r="S1898" t="s">
        <v>871</v>
      </c>
      <c r="T1898" t="s">
        <v>872</v>
      </c>
      <c r="U1898" t="s">
        <v>873</v>
      </c>
      <c r="V1898" t="s">
        <v>66</v>
      </c>
      <c r="W1898" t="s">
        <v>66</v>
      </c>
      <c r="X1898">
        <v>14100114</v>
      </c>
      <c r="Y1898">
        <v>1551012.54</v>
      </c>
      <c r="Z1898">
        <v>2688840</v>
      </c>
      <c r="AA1898">
        <v>295772.40000000002</v>
      </c>
      <c r="AB1898">
        <v>15651126.539999999</v>
      </c>
      <c r="AC1898">
        <v>7</v>
      </c>
      <c r="AD1898" t="s">
        <v>134</v>
      </c>
      <c r="AE1898">
        <v>168</v>
      </c>
      <c r="AF1898" t="s">
        <v>205</v>
      </c>
      <c r="AG1898">
        <f>IFERROR(VLOOKUP(AF1898,[1]STOK!J:O,6,0),"")</f>
        <v>24</v>
      </c>
      <c r="AH1898" s="2">
        <f t="shared" si="58"/>
        <v>7</v>
      </c>
      <c r="AI1898" t="s">
        <v>205</v>
      </c>
      <c r="AJ1898" t="s">
        <v>206</v>
      </c>
      <c r="AK1898" t="s">
        <v>207</v>
      </c>
      <c r="AL1898" t="s">
        <v>86</v>
      </c>
      <c r="AM1898">
        <v>439560</v>
      </c>
      <c r="AN1898">
        <f t="shared" si="59"/>
        <v>426373.2</v>
      </c>
      <c r="AO1898" t="s">
        <v>66</v>
      </c>
      <c r="AP1898">
        <v>3</v>
      </c>
      <c r="AQ1898" t="s">
        <v>66</v>
      </c>
      <c r="AR1898">
        <v>0</v>
      </c>
      <c r="AS1898" t="s">
        <v>66</v>
      </c>
      <c r="AT1898">
        <v>0</v>
      </c>
      <c r="AU1898" t="s">
        <v>66</v>
      </c>
      <c r="AV1898">
        <v>0</v>
      </c>
      <c r="AW1898" t="s">
        <v>66</v>
      </c>
      <c r="AX1898">
        <v>0</v>
      </c>
      <c r="AY1898" t="s">
        <v>66</v>
      </c>
      <c r="AZ1898">
        <v>0</v>
      </c>
      <c r="BA1898" t="s">
        <v>66</v>
      </c>
      <c r="BB1898">
        <v>0</v>
      </c>
      <c r="BC1898">
        <v>0</v>
      </c>
      <c r="BD1898">
        <v>2984612.4</v>
      </c>
      <c r="BE1898">
        <v>14876.63</v>
      </c>
      <c r="BF1898">
        <v>0</v>
      </c>
      <c r="BG1898" t="s">
        <v>87</v>
      </c>
      <c r="BH1898" t="s">
        <v>66</v>
      </c>
      <c r="BI1898">
        <v>0</v>
      </c>
      <c r="BJ1898" t="s">
        <v>66</v>
      </c>
      <c r="BK1898" t="s">
        <v>88</v>
      </c>
      <c r="BL1898" t="s">
        <v>877</v>
      </c>
      <c r="BM1898" t="s">
        <v>159</v>
      </c>
    </row>
    <row r="1899" spans="1:65" x14ac:dyDescent="0.25">
      <c r="A1899">
        <v>1897</v>
      </c>
      <c r="B1899" t="s">
        <v>1886</v>
      </c>
      <c r="C1899" t="s">
        <v>1887</v>
      </c>
      <c r="D1899" s="1">
        <v>46227</v>
      </c>
      <c r="E1899" t="s">
        <v>1888</v>
      </c>
      <c r="F1899" t="s">
        <v>1889</v>
      </c>
      <c r="G1899" t="s">
        <v>69</v>
      </c>
      <c r="H1899" t="s">
        <v>70</v>
      </c>
      <c r="I1899" t="s">
        <v>71</v>
      </c>
      <c r="J1899" t="s">
        <v>72</v>
      </c>
      <c r="K1899" t="s">
        <v>73</v>
      </c>
      <c r="L1899" t="s">
        <v>74</v>
      </c>
      <c r="M1899" t="s">
        <v>867</v>
      </c>
      <c r="N1899" t="s">
        <v>696</v>
      </c>
      <c r="O1899" t="s">
        <v>868</v>
      </c>
      <c r="P1899" t="s">
        <v>869</v>
      </c>
      <c r="Q1899" t="s">
        <v>1890</v>
      </c>
      <c r="R1899" s="1">
        <v>46230</v>
      </c>
      <c r="S1899" t="s">
        <v>871</v>
      </c>
      <c r="T1899" t="s">
        <v>872</v>
      </c>
      <c r="U1899" t="s">
        <v>873</v>
      </c>
      <c r="V1899" t="s">
        <v>66</v>
      </c>
      <c r="W1899" t="s">
        <v>66</v>
      </c>
      <c r="X1899">
        <v>14100114</v>
      </c>
      <c r="Y1899">
        <v>1551012.54</v>
      </c>
      <c r="Z1899">
        <v>1354896</v>
      </c>
      <c r="AA1899">
        <v>149038.56</v>
      </c>
      <c r="AB1899">
        <v>15651126.539999999</v>
      </c>
      <c r="AC1899">
        <v>3</v>
      </c>
      <c r="AD1899" t="s">
        <v>134</v>
      </c>
      <c r="AE1899">
        <v>72</v>
      </c>
      <c r="AF1899" t="s">
        <v>470</v>
      </c>
      <c r="AG1899">
        <f>IFERROR(VLOOKUP(AF1899,[1]STOK!J:O,6,0),"")</f>
        <v>24</v>
      </c>
      <c r="AH1899" s="2">
        <f t="shared" si="58"/>
        <v>3</v>
      </c>
      <c r="AI1899" t="s">
        <v>470</v>
      </c>
      <c r="AJ1899" t="s">
        <v>471</v>
      </c>
      <c r="AK1899" t="s">
        <v>472</v>
      </c>
      <c r="AL1899" t="s">
        <v>86</v>
      </c>
      <c r="AM1899">
        <v>516816</v>
      </c>
      <c r="AN1899">
        <f t="shared" si="59"/>
        <v>501311.52</v>
      </c>
      <c r="AO1899" t="s">
        <v>66</v>
      </c>
      <c r="AP1899">
        <v>3</v>
      </c>
      <c r="AQ1899" t="s">
        <v>66</v>
      </c>
      <c r="AR1899">
        <v>0</v>
      </c>
      <c r="AS1899" t="s">
        <v>66</v>
      </c>
      <c r="AT1899">
        <v>0</v>
      </c>
      <c r="AU1899" t="s">
        <v>66</v>
      </c>
      <c r="AV1899">
        <v>0</v>
      </c>
      <c r="AW1899" t="s">
        <v>66</v>
      </c>
      <c r="AX1899">
        <v>0</v>
      </c>
      <c r="AY1899" t="s">
        <v>66</v>
      </c>
      <c r="AZ1899">
        <v>0</v>
      </c>
      <c r="BA1899" t="s">
        <v>66</v>
      </c>
      <c r="BB1899">
        <v>0</v>
      </c>
      <c r="BC1899">
        <v>0</v>
      </c>
      <c r="BD1899">
        <v>1503934.56</v>
      </c>
      <c r="BE1899">
        <v>17046.02</v>
      </c>
      <c r="BF1899">
        <v>0</v>
      </c>
      <c r="BG1899" t="s">
        <v>87</v>
      </c>
      <c r="BH1899" t="s">
        <v>66</v>
      </c>
      <c r="BI1899">
        <v>0</v>
      </c>
      <c r="BJ1899" t="s">
        <v>66</v>
      </c>
      <c r="BK1899" t="s">
        <v>88</v>
      </c>
      <c r="BL1899" t="s">
        <v>877</v>
      </c>
      <c r="BM1899" t="s">
        <v>159</v>
      </c>
    </row>
    <row r="1900" spans="1:65" x14ac:dyDescent="0.25">
      <c r="A1900">
        <v>1898</v>
      </c>
      <c r="B1900" t="s">
        <v>1886</v>
      </c>
      <c r="C1900" t="s">
        <v>1887</v>
      </c>
      <c r="D1900" s="1">
        <v>46227</v>
      </c>
      <c r="E1900" t="s">
        <v>1888</v>
      </c>
      <c r="F1900" t="s">
        <v>1889</v>
      </c>
      <c r="G1900" t="s">
        <v>69</v>
      </c>
      <c r="H1900" t="s">
        <v>70</v>
      </c>
      <c r="I1900" t="s">
        <v>71</v>
      </c>
      <c r="J1900" t="s">
        <v>72</v>
      </c>
      <c r="K1900" t="s">
        <v>73</v>
      </c>
      <c r="L1900" t="s">
        <v>74</v>
      </c>
      <c r="M1900" t="s">
        <v>867</v>
      </c>
      <c r="N1900" t="s">
        <v>696</v>
      </c>
      <c r="O1900" t="s">
        <v>868</v>
      </c>
      <c r="P1900" t="s">
        <v>869</v>
      </c>
      <c r="Q1900" t="s">
        <v>1890</v>
      </c>
      <c r="R1900" s="1">
        <v>46230</v>
      </c>
      <c r="S1900" t="s">
        <v>871</v>
      </c>
      <c r="T1900" t="s">
        <v>872</v>
      </c>
      <c r="U1900" t="s">
        <v>873</v>
      </c>
      <c r="V1900" t="s">
        <v>66</v>
      </c>
      <c r="W1900" t="s">
        <v>66</v>
      </c>
      <c r="X1900">
        <v>14100114</v>
      </c>
      <c r="Y1900">
        <v>1551012.54</v>
      </c>
      <c r="Z1900">
        <v>1409604</v>
      </c>
      <c r="AA1900">
        <v>155056.44</v>
      </c>
      <c r="AB1900">
        <v>15651126.539999999</v>
      </c>
      <c r="AC1900">
        <v>7</v>
      </c>
      <c r="AD1900" t="s">
        <v>134</v>
      </c>
      <c r="AE1900">
        <v>84</v>
      </c>
      <c r="AF1900" t="s">
        <v>359</v>
      </c>
      <c r="AG1900">
        <f>IFERROR(VLOOKUP(AF1900,[1]STOK!J:O,6,0),"")</f>
        <v>12</v>
      </c>
      <c r="AH1900" s="2">
        <f t="shared" si="58"/>
        <v>7</v>
      </c>
      <c r="AI1900" t="s">
        <v>359</v>
      </c>
      <c r="AJ1900" t="s">
        <v>360</v>
      </c>
      <c r="AK1900" t="s">
        <v>361</v>
      </c>
      <c r="AL1900" t="s">
        <v>86</v>
      </c>
      <c r="AM1900">
        <v>230436</v>
      </c>
      <c r="AN1900">
        <f t="shared" si="59"/>
        <v>223522.91999999998</v>
      </c>
      <c r="AO1900" t="s">
        <v>66</v>
      </c>
      <c r="AP1900">
        <v>3</v>
      </c>
      <c r="AQ1900" t="s">
        <v>66</v>
      </c>
      <c r="AR1900">
        <v>0</v>
      </c>
      <c r="AS1900" t="s">
        <v>66</v>
      </c>
      <c r="AT1900">
        <v>0</v>
      </c>
      <c r="AU1900" t="s">
        <v>66</v>
      </c>
      <c r="AV1900">
        <v>0</v>
      </c>
      <c r="AW1900" t="s">
        <v>66</v>
      </c>
      <c r="AX1900">
        <v>0</v>
      </c>
      <c r="AY1900" t="s">
        <v>66</v>
      </c>
      <c r="AZ1900">
        <v>0</v>
      </c>
      <c r="BA1900" t="s">
        <v>66</v>
      </c>
      <c r="BB1900">
        <v>0</v>
      </c>
      <c r="BC1900">
        <v>0</v>
      </c>
      <c r="BD1900">
        <v>1564660.44</v>
      </c>
      <c r="BE1900">
        <v>15490.24</v>
      </c>
      <c r="BF1900">
        <v>0</v>
      </c>
      <c r="BG1900" t="s">
        <v>87</v>
      </c>
      <c r="BH1900" t="s">
        <v>66</v>
      </c>
      <c r="BI1900">
        <v>0</v>
      </c>
      <c r="BJ1900" t="s">
        <v>66</v>
      </c>
      <c r="BK1900" t="s">
        <v>88</v>
      </c>
      <c r="BL1900" t="s">
        <v>877</v>
      </c>
      <c r="BM1900" t="s">
        <v>159</v>
      </c>
    </row>
    <row r="1901" spans="1:65" x14ac:dyDescent="0.25">
      <c r="A1901">
        <v>1899</v>
      </c>
      <c r="B1901" t="s">
        <v>1886</v>
      </c>
      <c r="C1901" t="s">
        <v>1887</v>
      </c>
      <c r="D1901" s="1">
        <v>46227</v>
      </c>
      <c r="E1901" t="s">
        <v>1888</v>
      </c>
      <c r="F1901" t="s">
        <v>1889</v>
      </c>
      <c r="G1901" t="s">
        <v>69</v>
      </c>
      <c r="H1901" t="s">
        <v>70</v>
      </c>
      <c r="I1901" t="s">
        <v>71</v>
      </c>
      <c r="J1901" t="s">
        <v>72</v>
      </c>
      <c r="K1901" t="s">
        <v>73</v>
      </c>
      <c r="L1901" t="s">
        <v>74</v>
      </c>
      <c r="M1901" t="s">
        <v>867</v>
      </c>
      <c r="N1901" t="s">
        <v>696</v>
      </c>
      <c r="O1901" t="s">
        <v>868</v>
      </c>
      <c r="P1901" t="s">
        <v>869</v>
      </c>
      <c r="Q1901" t="s">
        <v>1890</v>
      </c>
      <c r="R1901" s="1">
        <v>46230</v>
      </c>
      <c r="S1901" t="s">
        <v>871</v>
      </c>
      <c r="T1901" t="s">
        <v>872</v>
      </c>
      <c r="U1901" t="s">
        <v>873</v>
      </c>
      <c r="V1901" t="s">
        <v>66</v>
      </c>
      <c r="W1901" t="s">
        <v>66</v>
      </c>
      <c r="X1901">
        <v>14100114</v>
      </c>
      <c r="Y1901">
        <v>1551012.54</v>
      </c>
      <c r="Z1901">
        <v>5126838</v>
      </c>
      <c r="AA1901">
        <v>563952.18000000005</v>
      </c>
      <c r="AB1901">
        <v>15651126.539999999</v>
      </c>
      <c r="AC1901">
        <v>23</v>
      </c>
      <c r="AD1901" t="s">
        <v>134</v>
      </c>
      <c r="AE1901">
        <v>138</v>
      </c>
      <c r="AF1901" t="s">
        <v>138</v>
      </c>
      <c r="AG1901">
        <f>IFERROR(VLOOKUP(AF1901,[1]STOK!J:O,6,0),"")</f>
        <v>6</v>
      </c>
      <c r="AH1901" s="2">
        <f t="shared" si="58"/>
        <v>23</v>
      </c>
      <c r="AI1901" t="s">
        <v>138</v>
      </c>
      <c r="AJ1901" t="s">
        <v>139</v>
      </c>
      <c r="AK1901" t="s">
        <v>140</v>
      </c>
      <c r="AL1901" t="s">
        <v>86</v>
      </c>
      <c r="AM1901">
        <v>255078</v>
      </c>
      <c r="AN1901">
        <f t="shared" si="59"/>
        <v>247425.65999999997</v>
      </c>
      <c r="AO1901" t="s">
        <v>66</v>
      </c>
      <c r="AP1901">
        <v>3</v>
      </c>
      <c r="AQ1901" t="s">
        <v>66</v>
      </c>
      <c r="AR1901">
        <v>0</v>
      </c>
      <c r="AS1901" t="s">
        <v>66</v>
      </c>
      <c r="AT1901">
        <v>0</v>
      </c>
      <c r="AU1901" t="s">
        <v>66</v>
      </c>
      <c r="AV1901">
        <v>0</v>
      </c>
      <c r="AW1901" t="s">
        <v>66</v>
      </c>
      <c r="AX1901">
        <v>0</v>
      </c>
      <c r="AY1901" t="s">
        <v>66</v>
      </c>
      <c r="AZ1901">
        <v>0</v>
      </c>
      <c r="BA1901" t="s">
        <v>66</v>
      </c>
      <c r="BB1901">
        <v>0</v>
      </c>
      <c r="BC1901">
        <v>0</v>
      </c>
      <c r="BD1901">
        <v>5690790.1799999997</v>
      </c>
      <c r="BE1901">
        <v>34619.379999999997</v>
      </c>
      <c r="BF1901">
        <v>0</v>
      </c>
      <c r="BG1901" t="s">
        <v>87</v>
      </c>
      <c r="BH1901" t="s">
        <v>66</v>
      </c>
      <c r="BI1901">
        <v>0</v>
      </c>
      <c r="BJ1901" t="s">
        <v>66</v>
      </c>
      <c r="BK1901" t="s">
        <v>88</v>
      </c>
      <c r="BL1901" t="s">
        <v>877</v>
      </c>
      <c r="BM1901" t="s">
        <v>159</v>
      </c>
    </row>
    <row r="1902" spans="1:65" x14ac:dyDescent="0.25">
      <c r="A1902">
        <v>1900</v>
      </c>
      <c r="B1902" t="s">
        <v>1886</v>
      </c>
      <c r="C1902" t="s">
        <v>1887</v>
      </c>
      <c r="D1902" s="1">
        <v>46227</v>
      </c>
      <c r="E1902" t="s">
        <v>1888</v>
      </c>
      <c r="F1902" t="s">
        <v>1889</v>
      </c>
      <c r="G1902" t="s">
        <v>69</v>
      </c>
      <c r="H1902" t="s">
        <v>70</v>
      </c>
      <c r="I1902" t="s">
        <v>71</v>
      </c>
      <c r="J1902" t="s">
        <v>72</v>
      </c>
      <c r="K1902" t="s">
        <v>73</v>
      </c>
      <c r="L1902" t="s">
        <v>74</v>
      </c>
      <c r="M1902" t="s">
        <v>867</v>
      </c>
      <c r="N1902" t="s">
        <v>696</v>
      </c>
      <c r="O1902" t="s">
        <v>868</v>
      </c>
      <c r="P1902" t="s">
        <v>869</v>
      </c>
      <c r="Q1902" t="s">
        <v>1890</v>
      </c>
      <c r="R1902" s="1">
        <v>46230</v>
      </c>
      <c r="S1902" t="s">
        <v>871</v>
      </c>
      <c r="T1902" t="s">
        <v>872</v>
      </c>
      <c r="U1902" t="s">
        <v>873</v>
      </c>
      <c r="V1902" t="s">
        <v>66</v>
      </c>
      <c r="W1902" t="s">
        <v>66</v>
      </c>
      <c r="X1902">
        <v>14100114</v>
      </c>
      <c r="Y1902">
        <v>1551012.54</v>
      </c>
      <c r="Z1902">
        <v>1508544</v>
      </c>
      <c r="AA1902">
        <v>165939.84</v>
      </c>
      <c r="AB1902">
        <v>15651126.539999999</v>
      </c>
      <c r="AC1902">
        <v>9</v>
      </c>
      <c r="AD1902" t="s">
        <v>134</v>
      </c>
      <c r="AE1902">
        <v>108</v>
      </c>
      <c r="AF1902" t="s">
        <v>141</v>
      </c>
      <c r="AG1902">
        <f>IFERROR(VLOOKUP(AF1902,[1]STOK!J:O,6,0),"")</f>
        <v>12</v>
      </c>
      <c r="AH1902" s="2">
        <f t="shared" si="58"/>
        <v>9</v>
      </c>
      <c r="AI1902" t="s">
        <v>141</v>
      </c>
      <c r="AJ1902" t="s">
        <v>142</v>
      </c>
      <c r="AK1902" t="s">
        <v>143</v>
      </c>
      <c r="AL1902" t="s">
        <v>86</v>
      </c>
      <c r="AM1902">
        <v>191808</v>
      </c>
      <c r="AN1902">
        <f t="shared" si="59"/>
        <v>186053.76000000001</v>
      </c>
      <c r="AO1902" t="s">
        <v>66</v>
      </c>
      <c r="AP1902">
        <v>3</v>
      </c>
      <c r="AQ1902" t="s">
        <v>66</v>
      </c>
      <c r="AR1902">
        <v>0</v>
      </c>
      <c r="AS1902" t="s">
        <v>66</v>
      </c>
      <c r="AT1902">
        <v>0</v>
      </c>
      <c r="AU1902" t="s">
        <v>66</v>
      </c>
      <c r="AV1902">
        <v>0</v>
      </c>
      <c r="AW1902" t="s">
        <v>66</v>
      </c>
      <c r="AX1902">
        <v>0</v>
      </c>
      <c r="AY1902" t="s">
        <v>66</v>
      </c>
      <c r="AZ1902">
        <v>0</v>
      </c>
      <c r="BA1902" t="s">
        <v>66</v>
      </c>
      <c r="BB1902">
        <v>0</v>
      </c>
      <c r="BC1902">
        <v>0</v>
      </c>
      <c r="BD1902">
        <v>1674483.84</v>
      </c>
      <c r="BE1902">
        <v>12915.05</v>
      </c>
      <c r="BF1902">
        <v>0</v>
      </c>
      <c r="BG1902" t="s">
        <v>87</v>
      </c>
      <c r="BH1902" t="s">
        <v>66</v>
      </c>
      <c r="BI1902">
        <v>0</v>
      </c>
      <c r="BJ1902" t="s">
        <v>66</v>
      </c>
      <c r="BK1902" t="s">
        <v>88</v>
      </c>
      <c r="BL1902" t="s">
        <v>877</v>
      </c>
      <c r="BM1902" t="s">
        <v>159</v>
      </c>
    </row>
    <row r="1903" spans="1:65" x14ac:dyDescent="0.25">
      <c r="A1903">
        <v>1901</v>
      </c>
      <c r="B1903" t="s">
        <v>1886</v>
      </c>
      <c r="C1903" t="s">
        <v>1887</v>
      </c>
      <c r="D1903" s="1">
        <v>46227</v>
      </c>
      <c r="E1903" t="s">
        <v>1888</v>
      </c>
      <c r="F1903" t="s">
        <v>1889</v>
      </c>
      <c r="G1903" t="s">
        <v>69</v>
      </c>
      <c r="H1903" t="s">
        <v>70</v>
      </c>
      <c r="I1903" t="s">
        <v>71</v>
      </c>
      <c r="J1903" t="s">
        <v>72</v>
      </c>
      <c r="K1903" t="s">
        <v>73</v>
      </c>
      <c r="L1903" t="s">
        <v>74</v>
      </c>
      <c r="M1903" t="s">
        <v>867</v>
      </c>
      <c r="N1903" t="s">
        <v>696</v>
      </c>
      <c r="O1903" t="s">
        <v>868</v>
      </c>
      <c r="P1903" t="s">
        <v>869</v>
      </c>
      <c r="Q1903" t="s">
        <v>1890</v>
      </c>
      <c r="R1903" s="1">
        <v>46230</v>
      </c>
      <c r="S1903" t="s">
        <v>871</v>
      </c>
      <c r="T1903" t="s">
        <v>872</v>
      </c>
      <c r="U1903" t="s">
        <v>873</v>
      </c>
      <c r="V1903" t="s">
        <v>66</v>
      </c>
      <c r="W1903" t="s">
        <v>66</v>
      </c>
      <c r="X1903">
        <v>14100114</v>
      </c>
      <c r="Y1903">
        <v>1551012.54</v>
      </c>
      <c r="Z1903">
        <v>2011392</v>
      </c>
      <c r="AA1903">
        <v>221253.12</v>
      </c>
      <c r="AB1903">
        <v>15651126.539999999</v>
      </c>
      <c r="AC1903">
        <v>12</v>
      </c>
      <c r="AD1903" t="s">
        <v>134</v>
      </c>
      <c r="AE1903">
        <v>144</v>
      </c>
      <c r="AF1903" t="s">
        <v>213</v>
      </c>
      <c r="AG1903">
        <f>IFERROR(VLOOKUP(AF1903,[1]STOK!J:O,6,0),"")</f>
        <v>12</v>
      </c>
      <c r="AH1903" s="2">
        <f t="shared" si="58"/>
        <v>12</v>
      </c>
      <c r="AI1903" t="s">
        <v>213</v>
      </c>
      <c r="AJ1903" t="s">
        <v>214</v>
      </c>
      <c r="AK1903" t="s">
        <v>215</v>
      </c>
      <c r="AL1903" t="s">
        <v>86</v>
      </c>
      <c r="AM1903">
        <v>191808</v>
      </c>
      <c r="AN1903">
        <f t="shared" si="59"/>
        <v>186053.76000000001</v>
      </c>
      <c r="AO1903" t="s">
        <v>66</v>
      </c>
      <c r="AP1903">
        <v>3</v>
      </c>
      <c r="AQ1903" t="s">
        <v>66</v>
      </c>
      <c r="AR1903">
        <v>0</v>
      </c>
      <c r="AS1903" t="s">
        <v>66</v>
      </c>
      <c r="AT1903">
        <v>0</v>
      </c>
      <c r="AU1903" t="s">
        <v>66</v>
      </c>
      <c r="AV1903">
        <v>0</v>
      </c>
      <c r="AW1903" t="s">
        <v>66</v>
      </c>
      <c r="AX1903">
        <v>0</v>
      </c>
      <c r="AY1903" t="s">
        <v>66</v>
      </c>
      <c r="AZ1903">
        <v>0</v>
      </c>
      <c r="BA1903" t="s">
        <v>66</v>
      </c>
      <c r="BB1903">
        <v>0</v>
      </c>
      <c r="BC1903">
        <v>0</v>
      </c>
      <c r="BD1903">
        <v>2232645.12</v>
      </c>
      <c r="BE1903">
        <v>12609.82</v>
      </c>
      <c r="BF1903">
        <v>0</v>
      </c>
      <c r="BG1903" t="s">
        <v>87</v>
      </c>
      <c r="BH1903" t="s">
        <v>66</v>
      </c>
      <c r="BI1903">
        <v>0</v>
      </c>
      <c r="BJ1903" t="s">
        <v>66</v>
      </c>
      <c r="BK1903" t="s">
        <v>88</v>
      </c>
      <c r="BL1903" t="s">
        <v>877</v>
      </c>
      <c r="BM1903" t="s">
        <v>159</v>
      </c>
    </row>
    <row r="1904" spans="1:65" x14ac:dyDescent="0.25">
      <c r="A1904">
        <v>1902</v>
      </c>
      <c r="B1904" t="s">
        <v>1891</v>
      </c>
      <c r="C1904" t="s">
        <v>1892</v>
      </c>
      <c r="D1904" s="1">
        <v>46227</v>
      </c>
      <c r="E1904" t="s">
        <v>1893</v>
      </c>
      <c r="F1904" t="s">
        <v>1894</v>
      </c>
      <c r="G1904" t="s">
        <v>69</v>
      </c>
      <c r="H1904" t="s">
        <v>70</v>
      </c>
      <c r="I1904" t="s">
        <v>71</v>
      </c>
      <c r="J1904" t="s">
        <v>72</v>
      </c>
      <c r="K1904" t="s">
        <v>73</v>
      </c>
      <c r="L1904" t="s">
        <v>74</v>
      </c>
      <c r="M1904" t="s">
        <v>867</v>
      </c>
      <c r="N1904" t="s">
        <v>696</v>
      </c>
      <c r="O1904" t="s">
        <v>868</v>
      </c>
      <c r="P1904" t="s">
        <v>869</v>
      </c>
      <c r="Q1904" t="s">
        <v>1895</v>
      </c>
      <c r="R1904" s="1">
        <v>46230</v>
      </c>
      <c r="S1904" t="s">
        <v>871</v>
      </c>
      <c r="T1904" t="s">
        <v>872</v>
      </c>
      <c r="U1904" t="s">
        <v>873</v>
      </c>
      <c r="V1904" t="s">
        <v>66</v>
      </c>
      <c r="W1904" t="s">
        <v>66</v>
      </c>
      <c r="X1904">
        <v>2032344</v>
      </c>
      <c r="Y1904">
        <v>223557.84</v>
      </c>
      <c r="Z1904">
        <v>2032344</v>
      </c>
      <c r="AA1904">
        <v>223557.84</v>
      </c>
      <c r="AB1904">
        <v>2255901.84</v>
      </c>
      <c r="AC1904">
        <v>9</v>
      </c>
      <c r="AD1904" t="s">
        <v>134</v>
      </c>
      <c r="AE1904">
        <v>108</v>
      </c>
      <c r="AF1904" t="s">
        <v>284</v>
      </c>
      <c r="AG1904">
        <f>IFERROR(VLOOKUP(AF1904,[1]STOK!J:O,6,0),"")</f>
        <v>12</v>
      </c>
      <c r="AH1904" s="2">
        <f t="shared" si="58"/>
        <v>9</v>
      </c>
      <c r="AI1904" t="s">
        <v>284</v>
      </c>
      <c r="AJ1904" t="s">
        <v>285</v>
      </c>
      <c r="AK1904" t="s">
        <v>286</v>
      </c>
      <c r="AL1904" t="s">
        <v>86</v>
      </c>
      <c r="AM1904">
        <v>258408</v>
      </c>
      <c r="AN1904">
        <f t="shared" si="59"/>
        <v>250655.75999999998</v>
      </c>
      <c r="AO1904" t="s">
        <v>66</v>
      </c>
      <c r="AP1904">
        <v>3</v>
      </c>
      <c r="AQ1904" t="s">
        <v>66</v>
      </c>
      <c r="AR1904">
        <v>0</v>
      </c>
      <c r="AS1904" t="s">
        <v>66</v>
      </c>
      <c r="AT1904">
        <v>0</v>
      </c>
      <c r="AU1904" t="s">
        <v>66</v>
      </c>
      <c r="AV1904">
        <v>0</v>
      </c>
      <c r="AW1904" t="s">
        <v>66</v>
      </c>
      <c r="AX1904">
        <v>0</v>
      </c>
      <c r="AY1904" t="s">
        <v>66</v>
      </c>
      <c r="AZ1904">
        <v>0</v>
      </c>
      <c r="BA1904" t="s">
        <v>66</v>
      </c>
      <c r="BB1904">
        <v>0</v>
      </c>
      <c r="BC1904">
        <v>0</v>
      </c>
      <c r="BD1904">
        <v>2255901.84</v>
      </c>
      <c r="BE1904">
        <v>17160.12</v>
      </c>
      <c r="BF1904">
        <v>0</v>
      </c>
      <c r="BG1904" t="s">
        <v>87</v>
      </c>
      <c r="BH1904" t="s">
        <v>66</v>
      </c>
      <c r="BI1904">
        <v>0</v>
      </c>
      <c r="BJ1904" t="s">
        <v>66</v>
      </c>
      <c r="BK1904" t="s">
        <v>88</v>
      </c>
      <c r="BL1904" t="s">
        <v>877</v>
      </c>
      <c r="BM1904" t="s">
        <v>159</v>
      </c>
    </row>
    <row r="1905" spans="1:65" x14ac:dyDescent="0.25">
      <c r="A1905">
        <v>1903</v>
      </c>
      <c r="B1905" t="s">
        <v>1896</v>
      </c>
      <c r="C1905" t="s">
        <v>1897</v>
      </c>
      <c r="D1905" s="1">
        <v>46227</v>
      </c>
      <c r="E1905" t="s">
        <v>1898</v>
      </c>
      <c r="F1905" t="s">
        <v>1899</v>
      </c>
      <c r="G1905" t="s">
        <v>69</v>
      </c>
      <c r="H1905" t="s">
        <v>70</v>
      </c>
      <c r="I1905" t="s">
        <v>71</v>
      </c>
      <c r="J1905" t="s">
        <v>72</v>
      </c>
      <c r="K1905" t="s">
        <v>73</v>
      </c>
      <c r="L1905" t="s">
        <v>74</v>
      </c>
      <c r="M1905" t="s">
        <v>867</v>
      </c>
      <c r="N1905" t="s">
        <v>696</v>
      </c>
      <c r="O1905" t="s">
        <v>868</v>
      </c>
      <c r="P1905" t="s">
        <v>869</v>
      </c>
      <c r="Q1905" t="s">
        <v>1900</v>
      </c>
      <c r="R1905" s="1">
        <v>46230</v>
      </c>
      <c r="S1905" t="s">
        <v>871</v>
      </c>
      <c r="T1905" t="s">
        <v>872</v>
      </c>
      <c r="U1905" t="s">
        <v>873</v>
      </c>
      <c r="V1905" t="s">
        <v>66</v>
      </c>
      <c r="W1905" t="s">
        <v>66</v>
      </c>
      <c r="X1905">
        <v>1370416</v>
      </c>
      <c r="Y1905">
        <v>150745.76</v>
      </c>
      <c r="Z1905">
        <v>214176</v>
      </c>
      <c r="AA1905">
        <v>23559.360000000001</v>
      </c>
      <c r="AB1905">
        <v>1521161.76</v>
      </c>
      <c r="AC1905">
        <v>1</v>
      </c>
      <c r="AD1905" t="s">
        <v>134</v>
      </c>
      <c r="AE1905">
        <v>12</v>
      </c>
      <c r="AF1905" t="s">
        <v>116</v>
      </c>
      <c r="AG1905">
        <f>IFERROR(VLOOKUP(AF1905,[1]STOK!J:O,6,0),"")</f>
        <v>12</v>
      </c>
      <c r="AH1905" s="2">
        <f t="shared" si="58"/>
        <v>1</v>
      </c>
      <c r="AI1905" t="s">
        <v>116</v>
      </c>
      <c r="AJ1905" t="s">
        <v>117</v>
      </c>
      <c r="AK1905" t="s">
        <v>118</v>
      </c>
      <c r="AL1905" t="s">
        <v>86</v>
      </c>
      <c r="AM1905">
        <v>245088</v>
      </c>
      <c r="AN1905">
        <f t="shared" si="59"/>
        <v>237735.36</v>
      </c>
      <c r="AO1905" t="s">
        <v>66</v>
      </c>
      <c r="AP1905">
        <v>3</v>
      </c>
      <c r="AQ1905" t="s">
        <v>66</v>
      </c>
      <c r="AR1905">
        <v>0</v>
      </c>
      <c r="AS1905" t="s">
        <v>66</v>
      </c>
      <c r="AT1905">
        <v>0</v>
      </c>
      <c r="AU1905" t="s">
        <v>66</v>
      </c>
      <c r="AV1905">
        <v>0</v>
      </c>
      <c r="AW1905" t="s">
        <v>66</v>
      </c>
      <c r="AX1905">
        <v>0</v>
      </c>
      <c r="AY1905" t="s">
        <v>66</v>
      </c>
      <c r="AZ1905">
        <v>0</v>
      </c>
      <c r="BA1905" t="s">
        <v>66</v>
      </c>
      <c r="BB1905">
        <v>0</v>
      </c>
      <c r="BC1905">
        <v>0</v>
      </c>
      <c r="BD1905">
        <v>237735.36</v>
      </c>
      <c r="BE1905">
        <v>16396.03</v>
      </c>
      <c r="BF1905">
        <v>0</v>
      </c>
      <c r="BG1905" t="s">
        <v>87</v>
      </c>
      <c r="BH1905" t="s">
        <v>66</v>
      </c>
      <c r="BI1905">
        <v>0</v>
      </c>
      <c r="BJ1905" t="s">
        <v>66</v>
      </c>
      <c r="BK1905" t="s">
        <v>88</v>
      </c>
      <c r="BL1905" t="s">
        <v>877</v>
      </c>
      <c r="BM1905" t="s">
        <v>159</v>
      </c>
    </row>
    <row r="1906" spans="1:65" x14ac:dyDescent="0.25">
      <c r="A1906">
        <v>1904</v>
      </c>
      <c r="B1906" t="s">
        <v>1896</v>
      </c>
      <c r="C1906" t="s">
        <v>1897</v>
      </c>
      <c r="D1906" s="1">
        <v>46227</v>
      </c>
      <c r="E1906" t="s">
        <v>1898</v>
      </c>
      <c r="F1906" t="s">
        <v>1899</v>
      </c>
      <c r="G1906" t="s">
        <v>69</v>
      </c>
      <c r="H1906" t="s">
        <v>70</v>
      </c>
      <c r="I1906" t="s">
        <v>71</v>
      </c>
      <c r="J1906" t="s">
        <v>72</v>
      </c>
      <c r="K1906" t="s">
        <v>73</v>
      </c>
      <c r="L1906" t="s">
        <v>74</v>
      </c>
      <c r="M1906" t="s">
        <v>867</v>
      </c>
      <c r="N1906" t="s">
        <v>696</v>
      </c>
      <c r="O1906" t="s">
        <v>868</v>
      </c>
      <c r="P1906" t="s">
        <v>869</v>
      </c>
      <c r="Q1906" t="s">
        <v>1900</v>
      </c>
      <c r="R1906" s="1">
        <v>46230</v>
      </c>
      <c r="S1906" t="s">
        <v>871</v>
      </c>
      <c r="T1906" t="s">
        <v>872</v>
      </c>
      <c r="U1906" t="s">
        <v>873</v>
      </c>
      <c r="V1906" t="s">
        <v>66</v>
      </c>
      <c r="W1906" t="s">
        <v>66</v>
      </c>
      <c r="X1906">
        <v>1370416</v>
      </c>
      <c r="Y1906">
        <v>150745.76</v>
      </c>
      <c r="Z1906">
        <v>1156240</v>
      </c>
      <c r="AA1906">
        <v>127186.4</v>
      </c>
      <c r="AB1906">
        <v>1521161.76</v>
      </c>
      <c r="AC1906">
        <v>4</v>
      </c>
      <c r="AD1906" t="s">
        <v>134</v>
      </c>
      <c r="AE1906">
        <v>16</v>
      </c>
      <c r="AF1906" t="s">
        <v>1901</v>
      </c>
      <c r="AG1906">
        <f>IFERROR(VLOOKUP(AF1906,[1]STOK!J:O,6,0),"")</f>
        <v>4</v>
      </c>
      <c r="AH1906" s="2">
        <f t="shared" si="58"/>
        <v>4</v>
      </c>
      <c r="AI1906" t="s">
        <v>1901</v>
      </c>
      <c r="AJ1906" t="s">
        <v>1902</v>
      </c>
      <c r="AK1906" t="s">
        <v>1903</v>
      </c>
      <c r="AL1906" t="s">
        <v>86</v>
      </c>
      <c r="AM1906">
        <v>330780</v>
      </c>
      <c r="AN1906">
        <f t="shared" si="59"/>
        <v>320856.59999999998</v>
      </c>
      <c r="AO1906" t="s">
        <v>66</v>
      </c>
      <c r="AP1906">
        <v>3</v>
      </c>
      <c r="AQ1906" t="s">
        <v>66</v>
      </c>
      <c r="AR1906">
        <v>0</v>
      </c>
      <c r="AS1906" t="s">
        <v>66</v>
      </c>
      <c r="AT1906">
        <v>0</v>
      </c>
      <c r="AU1906" t="s">
        <v>66</v>
      </c>
      <c r="AV1906">
        <v>0</v>
      </c>
      <c r="AW1906" t="s">
        <v>66</v>
      </c>
      <c r="AX1906">
        <v>0</v>
      </c>
      <c r="AY1906" t="s">
        <v>66</v>
      </c>
      <c r="AZ1906">
        <v>0</v>
      </c>
      <c r="BA1906" t="s">
        <v>66</v>
      </c>
      <c r="BB1906">
        <v>0</v>
      </c>
      <c r="BC1906">
        <v>0</v>
      </c>
      <c r="BD1906">
        <v>1283426.3999999999</v>
      </c>
      <c r="BE1906">
        <v>62432.480000000003</v>
      </c>
      <c r="BF1906">
        <v>0</v>
      </c>
      <c r="BG1906" t="s">
        <v>87</v>
      </c>
      <c r="BH1906" t="s">
        <v>1904</v>
      </c>
      <c r="BI1906">
        <v>16</v>
      </c>
      <c r="BJ1906" t="s">
        <v>1034</v>
      </c>
      <c r="BK1906" t="s">
        <v>88</v>
      </c>
      <c r="BL1906" t="s">
        <v>877</v>
      </c>
      <c r="BM1906" t="s">
        <v>159</v>
      </c>
    </row>
    <row r="1907" spans="1:65" x14ac:dyDescent="0.25">
      <c r="A1907">
        <v>1905</v>
      </c>
      <c r="B1907" t="s">
        <v>1905</v>
      </c>
      <c r="C1907" t="s">
        <v>1906</v>
      </c>
      <c r="D1907" s="1">
        <v>46227</v>
      </c>
      <c r="E1907" t="s">
        <v>1907</v>
      </c>
      <c r="F1907" t="s">
        <v>1908</v>
      </c>
      <c r="G1907" t="s">
        <v>69</v>
      </c>
      <c r="H1907" t="s">
        <v>70</v>
      </c>
      <c r="I1907" t="s">
        <v>71</v>
      </c>
      <c r="J1907" t="s">
        <v>72</v>
      </c>
      <c r="K1907" t="s">
        <v>73</v>
      </c>
      <c r="L1907" t="s">
        <v>74</v>
      </c>
      <c r="M1907" t="s">
        <v>867</v>
      </c>
      <c r="N1907" t="s">
        <v>696</v>
      </c>
      <c r="O1907" t="s">
        <v>868</v>
      </c>
      <c r="P1907" t="s">
        <v>869</v>
      </c>
      <c r="Q1907" t="s">
        <v>1909</v>
      </c>
      <c r="R1907" s="1">
        <v>46230</v>
      </c>
      <c r="S1907" t="s">
        <v>871</v>
      </c>
      <c r="T1907" t="s">
        <v>872</v>
      </c>
      <c r="U1907" t="s">
        <v>873</v>
      </c>
      <c r="V1907" t="s">
        <v>66</v>
      </c>
      <c r="W1907" t="s">
        <v>66</v>
      </c>
      <c r="X1907">
        <v>2376000</v>
      </c>
      <c r="Y1907">
        <v>261360</v>
      </c>
      <c r="Z1907">
        <v>2376000</v>
      </c>
      <c r="AA1907">
        <v>261360</v>
      </c>
      <c r="AB1907">
        <v>2637360</v>
      </c>
      <c r="AC1907">
        <v>6</v>
      </c>
      <c r="AD1907" t="s">
        <v>134</v>
      </c>
      <c r="AE1907">
        <v>144</v>
      </c>
      <c r="AF1907" t="s">
        <v>93</v>
      </c>
      <c r="AG1907">
        <f>IFERROR(VLOOKUP(AF1907,[1]STOK!J:O,6,0),"")</f>
        <v>24</v>
      </c>
      <c r="AH1907" s="2">
        <f t="shared" si="58"/>
        <v>6</v>
      </c>
      <c r="AI1907" t="s">
        <v>93</v>
      </c>
      <c r="AJ1907" t="s">
        <v>94</v>
      </c>
      <c r="AK1907" t="s">
        <v>95</v>
      </c>
      <c r="AL1907" t="s">
        <v>86</v>
      </c>
      <c r="AM1907">
        <v>439560</v>
      </c>
      <c r="AN1907">
        <f t="shared" si="59"/>
        <v>439560</v>
      </c>
      <c r="AO1907" t="s">
        <v>66</v>
      </c>
      <c r="AP1907">
        <v>0</v>
      </c>
      <c r="AQ1907" t="s">
        <v>66</v>
      </c>
      <c r="AR1907">
        <v>0</v>
      </c>
      <c r="AS1907" t="s">
        <v>66</v>
      </c>
      <c r="AT1907">
        <v>0</v>
      </c>
      <c r="AU1907" t="s">
        <v>66</v>
      </c>
      <c r="AV1907">
        <v>0</v>
      </c>
      <c r="AW1907" t="s">
        <v>66</v>
      </c>
      <c r="AX1907">
        <v>0</v>
      </c>
      <c r="AY1907" t="s">
        <v>66</v>
      </c>
      <c r="AZ1907">
        <v>0</v>
      </c>
      <c r="BA1907" t="s">
        <v>66</v>
      </c>
      <c r="BB1907">
        <v>0</v>
      </c>
      <c r="BC1907">
        <v>0</v>
      </c>
      <c r="BD1907">
        <v>2637360</v>
      </c>
      <c r="BE1907">
        <v>14878.51</v>
      </c>
      <c r="BF1907">
        <v>0</v>
      </c>
      <c r="BG1907" t="s">
        <v>87</v>
      </c>
      <c r="BH1907" t="s">
        <v>66</v>
      </c>
      <c r="BI1907">
        <v>0</v>
      </c>
      <c r="BJ1907" t="s">
        <v>66</v>
      </c>
      <c r="BK1907" t="s">
        <v>88</v>
      </c>
      <c r="BL1907" t="s">
        <v>877</v>
      </c>
      <c r="BM1907" t="s">
        <v>159</v>
      </c>
    </row>
    <row r="1908" spans="1:65" x14ac:dyDescent="0.25">
      <c r="A1908">
        <v>1906</v>
      </c>
      <c r="B1908" t="s">
        <v>1910</v>
      </c>
      <c r="C1908" t="s">
        <v>1911</v>
      </c>
      <c r="D1908" s="1">
        <v>46227</v>
      </c>
      <c r="E1908" t="s">
        <v>1912</v>
      </c>
      <c r="F1908" t="s">
        <v>1913</v>
      </c>
      <c r="G1908" t="s">
        <v>69</v>
      </c>
      <c r="H1908" t="s">
        <v>70</v>
      </c>
      <c r="I1908" t="s">
        <v>71</v>
      </c>
      <c r="J1908" t="s">
        <v>72</v>
      </c>
      <c r="K1908" t="s">
        <v>73</v>
      </c>
      <c r="L1908" t="s">
        <v>74</v>
      </c>
      <c r="M1908" t="s">
        <v>867</v>
      </c>
      <c r="N1908" t="s">
        <v>696</v>
      </c>
      <c r="O1908" t="s">
        <v>868</v>
      </c>
      <c r="P1908" t="s">
        <v>869</v>
      </c>
      <c r="Q1908" t="s">
        <v>1914</v>
      </c>
      <c r="R1908" s="1">
        <v>46230</v>
      </c>
      <c r="S1908" t="s">
        <v>871</v>
      </c>
      <c r="T1908" t="s">
        <v>872</v>
      </c>
      <c r="U1908" t="s">
        <v>873</v>
      </c>
      <c r="V1908" t="s">
        <v>66</v>
      </c>
      <c r="W1908" t="s">
        <v>66</v>
      </c>
      <c r="X1908">
        <v>214176</v>
      </c>
      <c r="Y1908">
        <v>23559.360000000001</v>
      </c>
      <c r="Z1908">
        <v>214176</v>
      </c>
      <c r="AA1908">
        <v>23559.360000000001</v>
      </c>
      <c r="AB1908">
        <v>237735.36</v>
      </c>
      <c r="AC1908">
        <v>1</v>
      </c>
      <c r="AD1908" t="s">
        <v>134</v>
      </c>
      <c r="AE1908">
        <v>12</v>
      </c>
      <c r="AF1908" t="s">
        <v>116</v>
      </c>
      <c r="AG1908">
        <f>IFERROR(VLOOKUP(AF1908,[1]STOK!J:O,6,0),"")</f>
        <v>12</v>
      </c>
      <c r="AH1908" s="2">
        <f t="shared" si="58"/>
        <v>1</v>
      </c>
      <c r="AI1908" t="s">
        <v>116</v>
      </c>
      <c r="AJ1908" t="s">
        <v>117</v>
      </c>
      <c r="AK1908" t="s">
        <v>118</v>
      </c>
      <c r="AL1908" t="s">
        <v>86</v>
      </c>
      <c r="AM1908">
        <v>245088</v>
      </c>
      <c r="AN1908">
        <f t="shared" si="59"/>
        <v>237735.36</v>
      </c>
      <c r="AO1908" t="s">
        <v>66</v>
      </c>
      <c r="AP1908">
        <v>3</v>
      </c>
      <c r="AQ1908" t="s">
        <v>66</v>
      </c>
      <c r="AR1908">
        <v>0</v>
      </c>
      <c r="AS1908" t="s">
        <v>66</v>
      </c>
      <c r="AT1908">
        <v>0</v>
      </c>
      <c r="AU1908" t="s">
        <v>66</v>
      </c>
      <c r="AV1908">
        <v>0</v>
      </c>
      <c r="AW1908" t="s">
        <v>66</v>
      </c>
      <c r="AX1908">
        <v>0</v>
      </c>
      <c r="AY1908" t="s">
        <v>66</v>
      </c>
      <c r="AZ1908">
        <v>0</v>
      </c>
      <c r="BA1908" t="s">
        <v>66</v>
      </c>
      <c r="BB1908">
        <v>0</v>
      </c>
      <c r="BC1908">
        <v>0</v>
      </c>
      <c r="BD1908">
        <v>237735.36</v>
      </c>
      <c r="BE1908">
        <v>16396.03</v>
      </c>
      <c r="BF1908">
        <v>0</v>
      </c>
      <c r="BG1908" t="s">
        <v>87</v>
      </c>
      <c r="BH1908" t="s">
        <v>66</v>
      </c>
      <c r="BI1908">
        <v>0</v>
      </c>
      <c r="BJ1908" t="s">
        <v>66</v>
      </c>
      <c r="BK1908" t="s">
        <v>88</v>
      </c>
      <c r="BL1908" t="s">
        <v>877</v>
      </c>
      <c r="BM1908" t="s">
        <v>159</v>
      </c>
    </row>
    <row r="1909" spans="1:65" x14ac:dyDescent="0.25">
      <c r="A1909">
        <v>1907</v>
      </c>
      <c r="B1909" t="s">
        <v>1915</v>
      </c>
      <c r="C1909" t="s">
        <v>1916</v>
      </c>
      <c r="D1909" s="1">
        <v>46227</v>
      </c>
      <c r="E1909" t="s">
        <v>1917</v>
      </c>
      <c r="F1909" t="s">
        <v>1918</v>
      </c>
      <c r="G1909" t="s">
        <v>69</v>
      </c>
      <c r="H1909" t="s">
        <v>70</v>
      </c>
      <c r="I1909" t="s">
        <v>71</v>
      </c>
      <c r="J1909" t="s">
        <v>72</v>
      </c>
      <c r="K1909" t="s">
        <v>73</v>
      </c>
      <c r="L1909" t="s">
        <v>74</v>
      </c>
      <c r="M1909" t="s">
        <v>867</v>
      </c>
      <c r="N1909" t="s">
        <v>696</v>
      </c>
      <c r="O1909" t="s">
        <v>868</v>
      </c>
      <c r="P1909" t="s">
        <v>869</v>
      </c>
      <c r="Q1909" t="s">
        <v>1919</v>
      </c>
      <c r="R1909" s="1">
        <v>46230</v>
      </c>
      <c r="S1909" t="s">
        <v>871</v>
      </c>
      <c r="T1909" t="s">
        <v>872</v>
      </c>
      <c r="U1909" t="s">
        <v>873</v>
      </c>
      <c r="V1909" t="s">
        <v>66</v>
      </c>
      <c r="W1909" t="s">
        <v>66</v>
      </c>
      <c r="X1909">
        <v>3232428</v>
      </c>
      <c r="Y1909">
        <v>355567.08</v>
      </c>
      <c r="Z1909">
        <v>445812</v>
      </c>
      <c r="AA1909">
        <v>49039.32</v>
      </c>
      <c r="AB1909">
        <v>3587995.08</v>
      </c>
      <c r="AC1909">
        <v>2</v>
      </c>
      <c r="AD1909" t="s">
        <v>134</v>
      </c>
      <c r="AE1909">
        <v>12</v>
      </c>
      <c r="AF1909" t="s">
        <v>138</v>
      </c>
      <c r="AG1909">
        <f>IFERROR(VLOOKUP(AF1909,[1]STOK!J:O,6,0),"")</f>
        <v>6</v>
      </c>
      <c r="AH1909" s="2">
        <f t="shared" si="58"/>
        <v>2</v>
      </c>
      <c r="AI1909" t="s">
        <v>138</v>
      </c>
      <c r="AJ1909" t="s">
        <v>139</v>
      </c>
      <c r="AK1909" t="s">
        <v>140</v>
      </c>
      <c r="AL1909" t="s">
        <v>86</v>
      </c>
      <c r="AM1909">
        <v>255078</v>
      </c>
      <c r="AN1909">
        <f t="shared" si="59"/>
        <v>247425.66</v>
      </c>
      <c r="AO1909" t="s">
        <v>66</v>
      </c>
      <c r="AP1909">
        <v>3</v>
      </c>
      <c r="AQ1909" t="s">
        <v>66</v>
      </c>
      <c r="AR1909">
        <v>0</v>
      </c>
      <c r="AS1909" t="s">
        <v>66</v>
      </c>
      <c r="AT1909">
        <v>0</v>
      </c>
      <c r="AU1909" t="s">
        <v>66</v>
      </c>
      <c r="AV1909">
        <v>0</v>
      </c>
      <c r="AW1909" t="s">
        <v>66</v>
      </c>
      <c r="AX1909">
        <v>0</v>
      </c>
      <c r="AY1909" t="s">
        <v>66</v>
      </c>
      <c r="AZ1909">
        <v>0</v>
      </c>
      <c r="BA1909" t="s">
        <v>66</v>
      </c>
      <c r="BB1909">
        <v>0</v>
      </c>
      <c r="BC1909">
        <v>0</v>
      </c>
      <c r="BD1909">
        <v>494851.32</v>
      </c>
      <c r="BE1909">
        <v>34619.379999999997</v>
      </c>
      <c r="BF1909">
        <v>0</v>
      </c>
      <c r="BG1909" t="s">
        <v>87</v>
      </c>
      <c r="BH1909" t="s">
        <v>66</v>
      </c>
      <c r="BI1909">
        <v>0</v>
      </c>
      <c r="BJ1909" t="s">
        <v>66</v>
      </c>
      <c r="BK1909" t="s">
        <v>88</v>
      </c>
      <c r="BL1909" t="s">
        <v>877</v>
      </c>
      <c r="BM1909" t="s">
        <v>159</v>
      </c>
    </row>
    <row r="1910" spans="1:65" x14ac:dyDescent="0.25">
      <c r="A1910">
        <v>1908</v>
      </c>
      <c r="B1910" t="s">
        <v>1915</v>
      </c>
      <c r="C1910" t="s">
        <v>1916</v>
      </c>
      <c r="D1910" s="1">
        <v>46227</v>
      </c>
      <c r="E1910" t="s">
        <v>1917</v>
      </c>
      <c r="F1910" t="s">
        <v>1918</v>
      </c>
      <c r="G1910" t="s">
        <v>69</v>
      </c>
      <c r="H1910" t="s">
        <v>70</v>
      </c>
      <c r="I1910" t="s">
        <v>71</v>
      </c>
      <c r="J1910" t="s">
        <v>72</v>
      </c>
      <c r="K1910" t="s">
        <v>73</v>
      </c>
      <c r="L1910" t="s">
        <v>74</v>
      </c>
      <c r="M1910" t="s">
        <v>867</v>
      </c>
      <c r="N1910" t="s">
        <v>696</v>
      </c>
      <c r="O1910" t="s">
        <v>868</v>
      </c>
      <c r="P1910" t="s">
        <v>869</v>
      </c>
      <c r="Q1910" t="s">
        <v>1919</v>
      </c>
      <c r="R1910" s="1">
        <v>46230</v>
      </c>
      <c r="S1910" t="s">
        <v>871</v>
      </c>
      <c r="T1910" t="s">
        <v>872</v>
      </c>
      <c r="U1910" t="s">
        <v>873</v>
      </c>
      <c r="V1910" t="s">
        <v>66</v>
      </c>
      <c r="W1910" t="s">
        <v>66</v>
      </c>
      <c r="X1910">
        <v>3232428</v>
      </c>
      <c r="Y1910">
        <v>355567.08</v>
      </c>
      <c r="Z1910">
        <v>2619000</v>
      </c>
      <c r="AA1910">
        <v>288090</v>
      </c>
      <c r="AB1910">
        <v>3587995.08</v>
      </c>
      <c r="AC1910">
        <v>10</v>
      </c>
      <c r="AD1910" t="s">
        <v>134</v>
      </c>
      <c r="AE1910">
        <v>40</v>
      </c>
      <c r="AF1910" t="s">
        <v>312</v>
      </c>
      <c r="AG1910">
        <f>IFERROR(VLOOKUP(AF1910,[1]STOK!J:O,6,0),"")</f>
        <v>4</v>
      </c>
      <c r="AH1910" s="2">
        <f t="shared" si="58"/>
        <v>10</v>
      </c>
      <c r="AI1910" t="s">
        <v>312</v>
      </c>
      <c r="AJ1910" t="s">
        <v>313</v>
      </c>
      <c r="AK1910" t="s">
        <v>314</v>
      </c>
      <c r="AL1910" t="s">
        <v>86</v>
      </c>
      <c r="AM1910">
        <v>299700</v>
      </c>
      <c r="AN1910">
        <f t="shared" si="59"/>
        <v>290709</v>
      </c>
      <c r="AO1910" t="s">
        <v>66</v>
      </c>
      <c r="AP1910">
        <v>3</v>
      </c>
      <c r="AQ1910" t="s">
        <v>66</v>
      </c>
      <c r="AR1910">
        <v>0</v>
      </c>
      <c r="AS1910" t="s">
        <v>66</v>
      </c>
      <c r="AT1910">
        <v>0</v>
      </c>
      <c r="AU1910" t="s">
        <v>66</v>
      </c>
      <c r="AV1910">
        <v>0</v>
      </c>
      <c r="AW1910" t="s">
        <v>66</v>
      </c>
      <c r="AX1910">
        <v>0</v>
      </c>
      <c r="AY1910" t="s">
        <v>66</v>
      </c>
      <c r="AZ1910">
        <v>0</v>
      </c>
      <c r="BA1910" t="s">
        <v>66</v>
      </c>
      <c r="BB1910">
        <v>0</v>
      </c>
      <c r="BC1910">
        <v>0</v>
      </c>
      <c r="BD1910">
        <v>2907090</v>
      </c>
      <c r="BE1910">
        <v>60250.95</v>
      </c>
      <c r="BF1910">
        <v>0</v>
      </c>
      <c r="BG1910" t="s">
        <v>87</v>
      </c>
      <c r="BH1910" t="s">
        <v>66</v>
      </c>
      <c r="BI1910">
        <v>0</v>
      </c>
      <c r="BJ1910" t="s">
        <v>66</v>
      </c>
      <c r="BK1910" t="s">
        <v>88</v>
      </c>
      <c r="BL1910" t="s">
        <v>877</v>
      </c>
      <c r="BM1910" t="s">
        <v>159</v>
      </c>
    </row>
    <row r="1911" spans="1:65" x14ac:dyDescent="0.25">
      <c r="A1911">
        <v>1909</v>
      </c>
      <c r="B1911" t="s">
        <v>1915</v>
      </c>
      <c r="C1911" t="s">
        <v>1916</v>
      </c>
      <c r="D1911" s="1">
        <v>46227</v>
      </c>
      <c r="E1911" t="s">
        <v>1917</v>
      </c>
      <c r="F1911" t="s">
        <v>1918</v>
      </c>
      <c r="G1911" t="s">
        <v>69</v>
      </c>
      <c r="H1911" t="s">
        <v>70</v>
      </c>
      <c r="I1911" t="s">
        <v>71</v>
      </c>
      <c r="J1911" t="s">
        <v>72</v>
      </c>
      <c r="K1911" t="s">
        <v>73</v>
      </c>
      <c r="L1911" t="s">
        <v>74</v>
      </c>
      <c r="M1911" t="s">
        <v>867</v>
      </c>
      <c r="N1911" t="s">
        <v>696</v>
      </c>
      <c r="O1911" t="s">
        <v>868</v>
      </c>
      <c r="P1911" t="s">
        <v>869</v>
      </c>
      <c r="Q1911" t="s">
        <v>1919</v>
      </c>
      <c r="R1911" s="1">
        <v>46230</v>
      </c>
      <c r="S1911" t="s">
        <v>871</v>
      </c>
      <c r="T1911" t="s">
        <v>872</v>
      </c>
      <c r="U1911" t="s">
        <v>873</v>
      </c>
      <c r="V1911" t="s">
        <v>66</v>
      </c>
      <c r="W1911" t="s">
        <v>66</v>
      </c>
      <c r="X1911">
        <v>3232428</v>
      </c>
      <c r="Y1911">
        <v>355567.08</v>
      </c>
      <c r="Z1911">
        <v>167616</v>
      </c>
      <c r="AA1911">
        <v>18437.759999999998</v>
      </c>
      <c r="AB1911">
        <v>3587995.08</v>
      </c>
      <c r="AC1911">
        <v>1</v>
      </c>
      <c r="AD1911" t="s">
        <v>134</v>
      </c>
      <c r="AE1911">
        <v>12</v>
      </c>
      <c r="AF1911" t="s">
        <v>213</v>
      </c>
      <c r="AG1911">
        <f>IFERROR(VLOOKUP(AF1911,[1]STOK!J:O,6,0),"")</f>
        <v>12</v>
      </c>
      <c r="AH1911" s="2">
        <f t="shared" si="58"/>
        <v>1</v>
      </c>
      <c r="AI1911" t="s">
        <v>213</v>
      </c>
      <c r="AJ1911" t="s">
        <v>214</v>
      </c>
      <c r="AK1911" t="s">
        <v>215</v>
      </c>
      <c r="AL1911" t="s">
        <v>86</v>
      </c>
      <c r="AM1911">
        <v>191808</v>
      </c>
      <c r="AN1911">
        <f t="shared" si="59"/>
        <v>186053.76000000001</v>
      </c>
      <c r="AO1911" t="s">
        <v>66</v>
      </c>
      <c r="AP1911">
        <v>3</v>
      </c>
      <c r="AQ1911" t="s">
        <v>66</v>
      </c>
      <c r="AR1911">
        <v>0</v>
      </c>
      <c r="AS1911" t="s">
        <v>66</v>
      </c>
      <c r="AT1911">
        <v>0</v>
      </c>
      <c r="AU1911" t="s">
        <v>66</v>
      </c>
      <c r="AV1911">
        <v>0</v>
      </c>
      <c r="AW1911" t="s">
        <v>66</v>
      </c>
      <c r="AX1911">
        <v>0</v>
      </c>
      <c r="AY1911" t="s">
        <v>66</v>
      </c>
      <c r="AZ1911">
        <v>0</v>
      </c>
      <c r="BA1911" t="s">
        <v>66</v>
      </c>
      <c r="BB1911">
        <v>0</v>
      </c>
      <c r="BC1911">
        <v>0</v>
      </c>
      <c r="BD1911">
        <v>186053.76000000001</v>
      </c>
      <c r="BE1911">
        <v>12609.82</v>
      </c>
      <c r="BF1911">
        <v>0</v>
      </c>
      <c r="BG1911" t="s">
        <v>87</v>
      </c>
      <c r="BH1911" t="s">
        <v>66</v>
      </c>
      <c r="BI1911">
        <v>0</v>
      </c>
      <c r="BJ1911" t="s">
        <v>66</v>
      </c>
      <c r="BK1911" t="s">
        <v>88</v>
      </c>
      <c r="BL1911" t="s">
        <v>877</v>
      </c>
      <c r="BM1911" t="s">
        <v>159</v>
      </c>
    </row>
    <row r="1912" spans="1:65" x14ac:dyDescent="0.25">
      <c r="A1912">
        <v>1910</v>
      </c>
      <c r="B1912" t="s">
        <v>1920</v>
      </c>
      <c r="C1912" t="s">
        <v>66</v>
      </c>
      <c r="D1912" s="1">
        <v>46227</v>
      </c>
      <c r="E1912" t="s">
        <v>1921</v>
      </c>
      <c r="F1912" t="s">
        <v>68</v>
      </c>
      <c r="G1912" t="s">
        <v>69</v>
      </c>
      <c r="H1912" t="s">
        <v>70</v>
      </c>
      <c r="I1912" t="s">
        <v>71</v>
      </c>
      <c r="J1912" t="s">
        <v>72</v>
      </c>
      <c r="K1912" t="s">
        <v>73</v>
      </c>
      <c r="L1912" t="s">
        <v>74</v>
      </c>
      <c r="M1912" t="s">
        <v>1259</v>
      </c>
      <c r="N1912" t="s">
        <v>111</v>
      </c>
      <c r="O1912" t="s">
        <v>1260</v>
      </c>
      <c r="P1912" t="s">
        <v>1261</v>
      </c>
      <c r="Q1912" t="s">
        <v>1922</v>
      </c>
      <c r="R1912" s="1">
        <v>46230</v>
      </c>
      <c r="S1912" t="s">
        <v>544</v>
      </c>
      <c r="T1912" t="s">
        <v>545</v>
      </c>
      <c r="U1912" t="s">
        <v>546</v>
      </c>
      <c r="V1912" t="s">
        <v>66</v>
      </c>
      <c r="W1912" t="s">
        <v>66</v>
      </c>
      <c r="X1912">
        <v>544464</v>
      </c>
      <c r="Y1912">
        <v>59891.040000000001</v>
      </c>
      <c r="Z1912">
        <v>29850</v>
      </c>
      <c r="AA1912">
        <v>3283.5</v>
      </c>
      <c r="AB1912">
        <v>604355.04</v>
      </c>
      <c r="AC1912">
        <v>12</v>
      </c>
      <c r="AD1912" t="s">
        <v>82</v>
      </c>
      <c r="AE1912">
        <v>12</v>
      </c>
      <c r="AF1912" t="s">
        <v>185</v>
      </c>
      <c r="AG1912">
        <f>IFERROR(VLOOKUP(AF1912,[1]STOK!J:O,6,0),"")</f>
        <v>72</v>
      </c>
      <c r="AH1912" s="2">
        <f t="shared" si="58"/>
        <v>0.16666666666666666</v>
      </c>
      <c r="AI1912" t="s">
        <v>185</v>
      </c>
      <c r="AJ1912" t="s">
        <v>186</v>
      </c>
      <c r="AK1912" t="s">
        <v>187</v>
      </c>
      <c r="AL1912" t="s">
        <v>86</v>
      </c>
      <c r="AM1912">
        <v>2775</v>
      </c>
      <c r="AN1912">
        <f t="shared" si="59"/>
        <v>2761.125</v>
      </c>
      <c r="AO1912" t="s">
        <v>66</v>
      </c>
      <c r="AP1912">
        <v>0.5</v>
      </c>
      <c r="AQ1912" t="s">
        <v>66</v>
      </c>
      <c r="AR1912">
        <v>0</v>
      </c>
      <c r="AS1912" t="s">
        <v>66</v>
      </c>
      <c r="AT1912">
        <v>0</v>
      </c>
      <c r="AU1912" t="s">
        <v>66</v>
      </c>
      <c r="AV1912">
        <v>0</v>
      </c>
      <c r="AW1912" t="s">
        <v>66</v>
      </c>
      <c r="AX1912">
        <v>0</v>
      </c>
      <c r="AY1912" t="s">
        <v>66</v>
      </c>
      <c r="AZ1912">
        <v>0</v>
      </c>
      <c r="BA1912" t="s">
        <v>66</v>
      </c>
      <c r="BB1912">
        <v>0</v>
      </c>
      <c r="BC1912">
        <v>0</v>
      </c>
      <c r="BD1912">
        <v>33133.5</v>
      </c>
      <c r="BE1912">
        <v>2170.21</v>
      </c>
      <c r="BF1912">
        <v>0</v>
      </c>
      <c r="BG1912" t="s">
        <v>87</v>
      </c>
      <c r="BH1912" t="s">
        <v>66</v>
      </c>
      <c r="BI1912">
        <v>0</v>
      </c>
      <c r="BJ1912" t="s">
        <v>66</v>
      </c>
      <c r="BK1912" t="s">
        <v>88</v>
      </c>
      <c r="BL1912" t="s">
        <v>547</v>
      </c>
      <c r="BM1912" t="s">
        <v>159</v>
      </c>
    </row>
    <row r="1913" spans="1:65" x14ac:dyDescent="0.25">
      <c r="A1913">
        <v>1911</v>
      </c>
      <c r="B1913" t="s">
        <v>1920</v>
      </c>
      <c r="C1913" t="s">
        <v>66</v>
      </c>
      <c r="D1913" s="1">
        <v>46227</v>
      </c>
      <c r="E1913" t="s">
        <v>1921</v>
      </c>
      <c r="F1913" t="s">
        <v>68</v>
      </c>
      <c r="G1913" t="s">
        <v>69</v>
      </c>
      <c r="H1913" t="s">
        <v>70</v>
      </c>
      <c r="I1913" t="s">
        <v>71</v>
      </c>
      <c r="J1913" t="s">
        <v>72</v>
      </c>
      <c r="K1913" t="s">
        <v>73</v>
      </c>
      <c r="L1913" t="s">
        <v>74</v>
      </c>
      <c r="M1913" t="s">
        <v>1259</v>
      </c>
      <c r="N1913" t="s">
        <v>111</v>
      </c>
      <c r="O1913" t="s">
        <v>1260</v>
      </c>
      <c r="P1913" t="s">
        <v>1261</v>
      </c>
      <c r="Q1913" t="s">
        <v>1922</v>
      </c>
      <c r="R1913" s="1">
        <v>46230</v>
      </c>
      <c r="S1913" t="s">
        <v>544</v>
      </c>
      <c r="T1913" t="s">
        <v>545</v>
      </c>
      <c r="U1913" t="s">
        <v>546</v>
      </c>
      <c r="V1913" t="s">
        <v>66</v>
      </c>
      <c r="W1913" t="s">
        <v>66</v>
      </c>
      <c r="X1913">
        <v>544464</v>
      </c>
      <c r="Y1913">
        <v>59891.040000000001</v>
      </c>
      <c r="Z1913">
        <v>29850</v>
      </c>
      <c r="AA1913">
        <v>3283.5</v>
      </c>
      <c r="AB1913">
        <v>604355.04</v>
      </c>
      <c r="AC1913">
        <v>12</v>
      </c>
      <c r="AD1913" t="s">
        <v>82</v>
      </c>
      <c r="AE1913">
        <v>12</v>
      </c>
      <c r="AF1913" t="s">
        <v>392</v>
      </c>
      <c r="AG1913">
        <f>IFERROR(VLOOKUP(AF1913,[1]STOK!J:O,6,0),"")</f>
        <v>72</v>
      </c>
      <c r="AH1913" s="2">
        <f t="shared" si="58"/>
        <v>0.16666666666666666</v>
      </c>
      <c r="AI1913" t="s">
        <v>392</v>
      </c>
      <c r="AJ1913" t="s">
        <v>393</v>
      </c>
      <c r="AK1913" t="s">
        <v>394</v>
      </c>
      <c r="AL1913" t="s">
        <v>86</v>
      </c>
      <c r="AM1913">
        <v>2775</v>
      </c>
      <c r="AN1913">
        <f t="shared" si="59"/>
        <v>2761.125</v>
      </c>
      <c r="AO1913" t="s">
        <v>66</v>
      </c>
      <c r="AP1913">
        <v>0.5</v>
      </c>
      <c r="AQ1913" t="s">
        <v>66</v>
      </c>
      <c r="AR1913">
        <v>0</v>
      </c>
      <c r="AS1913" t="s">
        <v>66</v>
      </c>
      <c r="AT1913">
        <v>0</v>
      </c>
      <c r="AU1913" t="s">
        <v>66</v>
      </c>
      <c r="AV1913">
        <v>0</v>
      </c>
      <c r="AW1913" t="s">
        <v>66</v>
      </c>
      <c r="AX1913">
        <v>0</v>
      </c>
      <c r="AY1913" t="s">
        <v>66</v>
      </c>
      <c r="AZ1913">
        <v>0</v>
      </c>
      <c r="BA1913" t="s">
        <v>66</v>
      </c>
      <c r="BB1913">
        <v>0</v>
      </c>
      <c r="BC1913">
        <v>0</v>
      </c>
      <c r="BD1913">
        <v>33133.5</v>
      </c>
      <c r="BE1913">
        <v>2193.23</v>
      </c>
      <c r="BF1913">
        <v>0</v>
      </c>
      <c r="BG1913" t="s">
        <v>87</v>
      </c>
      <c r="BH1913" t="s">
        <v>66</v>
      </c>
      <c r="BI1913">
        <v>0</v>
      </c>
      <c r="BJ1913" t="s">
        <v>66</v>
      </c>
      <c r="BK1913" t="s">
        <v>88</v>
      </c>
      <c r="BL1913" t="s">
        <v>547</v>
      </c>
      <c r="BM1913" t="s">
        <v>159</v>
      </c>
    </row>
    <row r="1914" spans="1:65" x14ac:dyDescent="0.25">
      <c r="A1914">
        <v>1912</v>
      </c>
      <c r="B1914" t="s">
        <v>1920</v>
      </c>
      <c r="C1914" t="s">
        <v>66</v>
      </c>
      <c r="D1914" s="1">
        <v>46227</v>
      </c>
      <c r="E1914" t="s">
        <v>1921</v>
      </c>
      <c r="F1914" t="s">
        <v>68</v>
      </c>
      <c r="G1914" t="s">
        <v>69</v>
      </c>
      <c r="H1914" t="s">
        <v>70</v>
      </c>
      <c r="I1914" t="s">
        <v>71</v>
      </c>
      <c r="J1914" t="s">
        <v>72</v>
      </c>
      <c r="K1914" t="s">
        <v>73</v>
      </c>
      <c r="L1914" t="s">
        <v>74</v>
      </c>
      <c r="M1914" t="s">
        <v>1259</v>
      </c>
      <c r="N1914" t="s">
        <v>111</v>
      </c>
      <c r="O1914" t="s">
        <v>1260</v>
      </c>
      <c r="P1914" t="s">
        <v>1261</v>
      </c>
      <c r="Q1914" t="s">
        <v>1922</v>
      </c>
      <c r="R1914" s="1">
        <v>46230</v>
      </c>
      <c r="S1914" t="s">
        <v>544</v>
      </c>
      <c r="T1914" t="s">
        <v>545</v>
      </c>
      <c r="U1914" t="s">
        <v>546</v>
      </c>
      <c r="V1914" t="s">
        <v>66</v>
      </c>
      <c r="W1914" t="s">
        <v>66</v>
      </c>
      <c r="X1914">
        <v>544464</v>
      </c>
      <c r="Y1914">
        <v>59891.040000000001</v>
      </c>
      <c r="Z1914">
        <v>22089</v>
      </c>
      <c r="AA1914">
        <v>2429.79</v>
      </c>
      <c r="AB1914">
        <v>604355.04</v>
      </c>
      <c r="AC1914">
        <v>3</v>
      </c>
      <c r="AD1914" t="s">
        <v>82</v>
      </c>
      <c r="AE1914">
        <v>3</v>
      </c>
      <c r="AF1914" t="s">
        <v>415</v>
      </c>
      <c r="AG1914">
        <f>IFERROR(VLOOKUP(AF1914,[1]STOK!J:O,6,0),"")</f>
        <v>24</v>
      </c>
      <c r="AH1914" s="2">
        <f t="shared" si="58"/>
        <v>0.125</v>
      </c>
      <c r="AI1914" t="s">
        <v>415</v>
      </c>
      <c r="AJ1914" t="s">
        <v>416</v>
      </c>
      <c r="AK1914" t="s">
        <v>417</v>
      </c>
      <c r="AL1914" t="s">
        <v>86</v>
      </c>
      <c r="AM1914">
        <v>8214</v>
      </c>
      <c r="AN1914">
        <f t="shared" si="59"/>
        <v>8172.93</v>
      </c>
      <c r="AO1914" t="s">
        <v>66</v>
      </c>
      <c r="AP1914">
        <v>0.5</v>
      </c>
      <c r="AQ1914" t="s">
        <v>66</v>
      </c>
      <c r="AR1914">
        <v>0</v>
      </c>
      <c r="AS1914" t="s">
        <v>66</v>
      </c>
      <c r="AT1914">
        <v>0</v>
      </c>
      <c r="AU1914" t="s">
        <v>66</v>
      </c>
      <c r="AV1914">
        <v>0</v>
      </c>
      <c r="AW1914" t="s">
        <v>66</v>
      </c>
      <c r="AX1914">
        <v>0</v>
      </c>
      <c r="AY1914" t="s">
        <v>66</v>
      </c>
      <c r="AZ1914">
        <v>0</v>
      </c>
      <c r="BA1914" t="s">
        <v>66</v>
      </c>
      <c r="BB1914">
        <v>0</v>
      </c>
      <c r="BC1914">
        <v>0</v>
      </c>
      <c r="BD1914">
        <v>24518.79</v>
      </c>
      <c r="BE1914">
        <v>6151.34</v>
      </c>
      <c r="BF1914">
        <v>0</v>
      </c>
      <c r="BG1914" t="s">
        <v>87</v>
      </c>
      <c r="BH1914" t="s">
        <v>66</v>
      </c>
      <c r="BI1914">
        <v>0</v>
      </c>
      <c r="BJ1914" t="s">
        <v>66</v>
      </c>
      <c r="BK1914" t="s">
        <v>88</v>
      </c>
      <c r="BL1914" t="s">
        <v>547</v>
      </c>
      <c r="BM1914" t="s">
        <v>159</v>
      </c>
    </row>
    <row r="1915" spans="1:65" x14ac:dyDescent="0.25">
      <c r="A1915">
        <v>1913</v>
      </c>
      <c r="B1915" t="s">
        <v>1920</v>
      </c>
      <c r="C1915" t="s">
        <v>66</v>
      </c>
      <c r="D1915" s="1">
        <v>46227</v>
      </c>
      <c r="E1915" t="s">
        <v>1921</v>
      </c>
      <c r="F1915" t="s">
        <v>68</v>
      </c>
      <c r="G1915" t="s">
        <v>69</v>
      </c>
      <c r="H1915" t="s">
        <v>70</v>
      </c>
      <c r="I1915" t="s">
        <v>71</v>
      </c>
      <c r="J1915" t="s">
        <v>72</v>
      </c>
      <c r="K1915" t="s">
        <v>73</v>
      </c>
      <c r="L1915" t="s">
        <v>74</v>
      </c>
      <c r="M1915" t="s">
        <v>1259</v>
      </c>
      <c r="N1915" t="s">
        <v>111</v>
      </c>
      <c r="O1915" t="s">
        <v>1260</v>
      </c>
      <c r="P1915" t="s">
        <v>1261</v>
      </c>
      <c r="Q1915" t="s">
        <v>1922</v>
      </c>
      <c r="R1915" s="1">
        <v>46230</v>
      </c>
      <c r="S1915" t="s">
        <v>544</v>
      </c>
      <c r="T1915" t="s">
        <v>545</v>
      </c>
      <c r="U1915" t="s">
        <v>546</v>
      </c>
      <c r="V1915" t="s">
        <v>66</v>
      </c>
      <c r="W1915" t="s">
        <v>66</v>
      </c>
      <c r="X1915">
        <v>544464</v>
      </c>
      <c r="Y1915">
        <v>59891.040000000001</v>
      </c>
      <c r="Z1915">
        <v>44178</v>
      </c>
      <c r="AA1915">
        <v>4859.58</v>
      </c>
      <c r="AB1915">
        <v>604355.04</v>
      </c>
      <c r="AC1915">
        <v>3</v>
      </c>
      <c r="AD1915" t="s">
        <v>82</v>
      </c>
      <c r="AE1915">
        <v>3</v>
      </c>
      <c r="AF1915" t="s">
        <v>486</v>
      </c>
      <c r="AG1915">
        <f>IFERROR(VLOOKUP(AF1915,[1]STOK!J:O,6,0),"")</f>
        <v>12</v>
      </c>
      <c r="AH1915" s="2">
        <f t="shared" si="58"/>
        <v>0.25</v>
      </c>
      <c r="AI1915" t="s">
        <v>486</v>
      </c>
      <c r="AJ1915" t="s">
        <v>487</v>
      </c>
      <c r="AK1915" t="s">
        <v>488</v>
      </c>
      <c r="AL1915" t="s">
        <v>86</v>
      </c>
      <c r="AM1915">
        <v>16428</v>
      </c>
      <c r="AN1915">
        <f t="shared" si="59"/>
        <v>16345.86</v>
      </c>
      <c r="AO1915" t="s">
        <v>66</v>
      </c>
      <c r="AP1915">
        <v>0.5</v>
      </c>
      <c r="AQ1915" t="s">
        <v>66</v>
      </c>
      <c r="AR1915">
        <v>0</v>
      </c>
      <c r="AS1915" t="s">
        <v>66</v>
      </c>
      <c r="AT1915">
        <v>0</v>
      </c>
      <c r="AU1915" t="s">
        <v>66</v>
      </c>
      <c r="AV1915">
        <v>0</v>
      </c>
      <c r="AW1915" t="s">
        <v>66</v>
      </c>
      <c r="AX1915">
        <v>0</v>
      </c>
      <c r="AY1915" t="s">
        <v>66</v>
      </c>
      <c r="AZ1915">
        <v>0</v>
      </c>
      <c r="BA1915" t="s">
        <v>66</v>
      </c>
      <c r="BB1915">
        <v>0</v>
      </c>
      <c r="BC1915">
        <v>0</v>
      </c>
      <c r="BD1915">
        <v>49037.58</v>
      </c>
      <c r="BE1915">
        <v>12083.81</v>
      </c>
      <c r="BF1915">
        <v>0</v>
      </c>
      <c r="BG1915" t="s">
        <v>87</v>
      </c>
      <c r="BH1915" t="s">
        <v>66</v>
      </c>
      <c r="BI1915">
        <v>0</v>
      </c>
      <c r="BJ1915" t="s">
        <v>66</v>
      </c>
      <c r="BK1915" t="s">
        <v>88</v>
      </c>
      <c r="BL1915" t="s">
        <v>547</v>
      </c>
      <c r="BM1915" t="s">
        <v>159</v>
      </c>
    </row>
    <row r="1916" spans="1:65" x14ac:dyDescent="0.25">
      <c r="A1916">
        <v>1914</v>
      </c>
      <c r="B1916" t="s">
        <v>1920</v>
      </c>
      <c r="C1916" t="s">
        <v>66</v>
      </c>
      <c r="D1916" s="1">
        <v>46227</v>
      </c>
      <c r="E1916" t="s">
        <v>1921</v>
      </c>
      <c r="F1916" t="s">
        <v>68</v>
      </c>
      <c r="G1916" t="s">
        <v>69</v>
      </c>
      <c r="H1916" t="s">
        <v>70</v>
      </c>
      <c r="I1916" t="s">
        <v>71</v>
      </c>
      <c r="J1916" t="s">
        <v>72</v>
      </c>
      <c r="K1916" t="s">
        <v>73</v>
      </c>
      <c r="L1916" t="s">
        <v>74</v>
      </c>
      <c r="M1916" t="s">
        <v>1259</v>
      </c>
      <c r="N1916" t="s">
        <v>111</v>
      </c>
      <c r="O1916" t="s">
        <v>1260</v>
      </c>
      <c r="P1916" t="s">
        <v>1261</v>
      </c>
      <c r="Q1916" t="s">
        <v>1922</v>
      </c>
      <c r="R1916" s="1">
        <v>46230</v>
      </c>
      <c r="S1916" t="s">
        <v>544</v>
      </c>
      <c r="T1916" t="s">
        <v>545</v>
      </c>
      <c r="U1916" t="s">
        <v>546</v>
      </c>
      <c r="V1916" t="s">
        <v>66</v>
      </c>
      <c r="W1916" t="s">
        <v>66</v>
      </c>
      <c r="X1916">
        <v>544464</v>
      </c>
      <c r="Y1916">
        <v>59891.040000000001</v>
      </c>
      <c r="Z1916">
        <v>30148.5</v>
      </c>
      <c r="AA1916">
        <v>3316.34</v>
      </c>
      <c r="AB1916">
        <v>604355.04</v>
      </c>
      <c r="AC1916">
        <v>3</v>
      </c>
      <c r="AD1916" t="s">
        <v>82</v>
      </c>
      <c r="AE1916">
        <v>3</v>
      </c>
      <c r="AF1916" t="s">
        <v>746</v>
      </c>
      <c r="AG1916">
        <f>IFERROR(VLOOKUP(AF1916,[1]STOK!J:O,6,0),"")</f>
        <v>24</v>
      </c>
      <c r="AH1916" s="2">
        <f t="shared" si="58"/>
        <v>0.125</v>
      </c>
      <c r="AI1916" t="s">
        <v>746</v>
      </c>
      <c r="AJ1916" t="s">
        <v>747</v>
      </c>
      <c r="AK1916" t="s">
        <v>748</v>
      </c>
      <c r="AL1916" t="s">
        <v>86</v>
      </c>
      <c r="AM1916">
        <v>11211</v>
      </c>
      <c r="AN1916">
        <f t="shared" si="59"/>
        <v>11154.946666666665</v>
      </c>
      <c r="AO1916" t="s">
        <v>66</v>
      </c>
      <c r="AP1916">
        <v>0.5</v>
      </c>
      <c r="AQ1916" t="s">
        <v>66</v>
      </c>
      <c r="AR1916">
        <v>0</v>
      </c>
      <c r="AS1916" t="s">
        <v>66</v>
      </c>
      <c r="AT1916">
        <v>0</v>
      </c>
      <c r="AU1916" t="s">
        <v>66</v>
      </c>
      <c r="AV1916">
        <v>0</v>
      </c>
      <c r="AW1916" t="s">
        <v>66</v>
      </c>
      <c r="AX1916">
        <v>0</v>
      </c>
      <c r="AY1916" t="s">
        <v>66</v>
      </c>
      <c r="AZ1916">
        <v>0</v>
      </c>
      <c r="BA1916" t="s">
        <v>66</v>
      </c>
      <c r="BB1916">
        <v>0</v>
      </c>
      <c r="BC1916">
        <v>0</v>
      </c>
      <c r="BD1916">
        <v>33464.839999999997</v>
      </c>
      <c r="BE1916">
        <v>8773.83</v>
      </c>
      <c r="BF1916">
        <v>0</v>
      </c>
      <c r="BG1916" t="s">
        <v>87</v>
      </c>
      <c r="BH1916" t="s">
        <v>66</v>
      </c>
      <c r="BI1916">
        <v>0</v>
      </c>
      <c r="BJ1916" t="s">
        <v>66</v>
      </c>
      <c r="BK1916" t="s">
        <v>88</v>
      </c>
      <c r="BL1916" t="s">
        <v>547</v>
      </c>
      <c r="BM1916" t="s">
        <v>159</v>
      </c>
    </row>
    <row r="1917" spans="1:65" x14ac:dyDescent="0.25">
      <c r="A1917">
        <v>1915</v>
      </c>
      <c r="B1917" t="s">
        <v>1920</v>
      </c>
      <c r="C1917" t="s">
        <v>66</v>
      </c>
      <c r="D1917" s="1">
        <v>46227</v>
      </c>
      <c r="E1917" t="s">
        <v>1921</v>
      </c>
      <c r="F1917" t="s">
        <v>68</v>
      </c>
      <c r="G1917" t="s">
        <v>69</v>
      </c>
      <c r="H1917" t="s">
        <v>70</v>
      </c>
      <c r="I1917" t="s">
        <v>71</v>
      </c>
      <c r="J1917" t="s">
        <v>72</v>
      </c>
      <c r="K1917" t="s">
        <v>73</v>
      </c>
      <c r="L1917" t="s">
        <v>74</v>
      </c>
      <c r="M1917" t="s">
        <v>1259</v>
      </c>
      <c r="N1917" t="s">
        <v>111</v>
      </c>
      <c r="O1917" t="s">
        <v>1260</v>
      </c>
      <c r="P1917" t="s">
        <v>1261</v>
      </c>
      <c r="Q1917" t="s">
        <v>1922</v>
      </c>
      <c r="R1917" s="1">
        <v>46230</v>
      </c>
      <c r="S1917" t="s">
        <v>544</v>
      </c>
      <c r="T1917" t="s">
        <v>545</v>
      </c>
      <c r="U1917" t="s">
        <v>546</v>
      </c>
      <c r="V1917" t="s">
        <v>66</v>
      </c>
      <c r="W1917" t="s">
        <v>66</v>
      </c>
      <c r="X1917">
        <v>544464</v>
      </c>
      <c r="Y1917">
        <v>59891.040000000001</v>
      </c>
      <c r="Z1917">
        <v>49252.5</v>
      </c>
      <c r="AA1917">
        <v>5417.78</v>
      </c>
      <c r="AB1917">
        <v>604355.04</v>
      </c>
      <c r="AC1917">
        <v>3</v>
      </c>
      <c r="AD1917" t="s">
        <v>82</v>
      </c>
      <c r="AE1917">
        <v>3</v>
      </c>
      <c r="AF1917" t="s">
        <v>96</v>
      </c>
      <c r="AG1917">
        <f>IFERROR(VLOOKUP(AF1917,[1]STOK!J:O,6,0),"")</f>
        <v>24</v>
      </c>
      <c r="AH1917" s="2">
        <f t="shared" si="58"/>
        <v>0.125</v>
      </c>
      <c r="AI1917" t="s">
        <v>96</v>
      </c>
      <c r="AJ1917" t="s">
        <v>97</v>
      </c>
      <c r="AK1917" t="s">
        <v>98</v>
      </c>
      <c r="AL1917" t="s">
        <v>86</v>
      </c>
      <c r="AM1917">
        <v>18315</v>
      </c>
      <c r="AN1917">
        <f t="shared" si="59"/>
        <v>18223.426666666666</v>
      </c>
      <c r="AO1917" t="s">
        <v>66</v>
      </c>
      <c r="AP1917">
        <v>0.5</v>
      </c>
      <c r="AQ1917" t="s">
        <v>66</v>
      </c>
      <c r="AR1917">
        <v>0</v>
      </c>
      <c r="AS1917" t="s">
        <v>66</v>
      </c>
      <c r="AT1917">
        <v>0</v>
      </c>
      <c r="AU1917" t="s">
        <v>66</v>
      </c>
      <c r="AV1917">
        <v>0</v>
      </c>
      <c r="AW1917" t="s">
        <v>66</v>
      </c>
      <c r="AX1917">
        <v>0</v>
      </c>
      <c r="AY1917" t="s">
        <v>66</v>
      </c>
      <c r="AZ1917">
        <v>0</v>
      </c>
      <c r="BA1917" t="s">
        <v>66</v>
      </c>
      <c r="BB1917">
        <v>0</v>
      </c>
      <c r="BC1917">
        <v>0</v>
      </c>
      <c r="BD1917">
        <v>54670.28</v>
      </c>
      <c r="BE1917">
        <v>14881.93</v>
      </c>
      <c r="BF1917">
        <v>0</v>
      </c>
      <c r="BG1917" t="s">
        <v>87</v>
      </c>
      <c r="BH1917" t="s">
        <v>66</v>
      </c>
      <c r="BI1917">
        <v>0</v>
      </c>
      <c r="BJ1917" t="s">
        <v>66</v>
      </c>
      <c r="BK1917" t="s">
        <v>88</v>
      </c>
      <c r="BL1917" t="s">
        <v>547</v>
      </c>
      <c r="BM1917" t="s">
        <v>159</v>
      </c>
    </row>
    <row r="1918" spans="1:65" x14ac:dyDescent="0.25">
      <c r="A1918">
        <v>1916</v>
      </c>
      <c r="B1918" t="s">
        <v>1920</v>
      </c>
      <c r="C1918" t="s">
        <v>66</v>
      </c>
      <c r="D1918" s="1">
        <v>46227</v>
      </c>
      <c r="E1918" t="s">
        <v>1921</v>
      </c>
      <c r="F1918" t="s">
        <v>68</v>
      </c>
      <c r="G1918" t="s">
        <v>69</v>
      </c>
      <c r="H1918" t="s">
        <v>70</v>
      </c>
      <c r="I1918" t="s">
        <v>71</v>
      </c>
      <c r="J1918" t="s">
        <v>72</v>
      </c>
      <c r="K1918" t="s">
        <v>73</v>
      </c>
      <c r="L1918" t="s">
        <v>74</v>
      </c>
      <c r="M1918" t="s">
        <v>1259</v>
      </c>
      <c r="N1918" t="s">
        <v>111</v>
      </c>
      <c r="O1918" t="s">
        <v>1260</v>
      </c>
      <c r="P1918" t="s">
        <v>1261</v>
      </c>
      <c r="Q1918" t="s">
        <v>1922</v>
      </c>
      <c r="R1918" s="1">
        <v>46230</v>
      </c>
      <c r="S1918" t="s">
        <v>544</v>
      </c>
      <c r="T1918" t="s">
        <v>545</v>
      </c>
      <c r="U1918" t="s">
        <v>546</v>
      </c>
      <c r="V1918" t="s">
        <v>66</v>
      </c>
      <c r="W1918" t="s">
        <v>66</v>
      </c>
      <c r="X1918">
        <v>544464</v>
      </c>
      <c r="Y1918">
        <v>59891.040000000001</v>
      </c>
      <c r="Z1918">
        <v>57909</v>
      </c>
      <c r="AA1918">
        <v>6369.99</v>
      </c>
      <c r="AB1918">
        <v>604355.04</v>
      </c>
      <c r="AC1918">
        <v>3</v>
      </c>
      <c r="AD1918" t="s">
        <v>82</v>
      </c>
      <c r="AE1918">
        <v>3</v>
      </c>
      <c r="AF1918" t="s">
        <v>470</v>
      </c>
      <c r="AG1918">
        <f>IFERROR(VLOOKUP(AF1918,[1]STOK!J:O,6,0),"")</f>
        <v>24</v>
      </c>
      <c r="AH1918" s="2">
        <f t="shared" si="58"/>
        <v>0.125</v>
      </c>
      <c r="AI1918" t="s">
        <v>470</v>
      </c>
      <c r="AJ1918" t="s">
        <v>471</v>
      </c>
      <c r="AK1918" t="s">
        <v>472</v>
      </c>
      <c r="AL1918" t="s">
        <v>86</v>
      </c>
      <c r="AM1918">
        <v>21534</v>
      </c>
      <c r="AN1918">
        <f t="shared" si="59"/>
        <v>21426.329999999998</v>
      </c>
      <c r="AO1918" t="s">
        <v>66</v>
      </c>
      <c r="AP1918">
        <v>0.5</v>
      </c>
      <c r="AQ1918" t="s">
        <v>66</v>
      </c>
      <c r="AR1918">
        <v>0</v>
      </c>
      <c r="AS1918" t="s">
        <v>66</v>
      </c>
      <c r="AT1918">
        <v>0</v>
      </c>
      <c r="AU1918" t="s">
        <v>66</v>
      </c>
      <c r="AV1918">
        <v>0</v>
      </c>
      <c r="AW1918" t="s">
        <v>66</v>
      </c>
      <c r="AX1918">
        <v>0</v>
      </c>
      <c r="AY1918" t="s">
        <v>66</v>
      </c>
      <c r="AZ1918">
        <v>0</v>
      </c>
      <c r="BA1918" t="s">
        <v>66</v>
      </c>
      <c r="BB1918">
        <v>0</v>
      </c>
      <c r="BC1918">
        <v>0</v>
      </c>
      <c r="BD1918">
        <v>64278.99</v>
      </c>
      <c r="BE1918">
        <v>17046.02</v>
      </c>
      <c r="BF1918">
        <v>0</v>
      </c>
      <c r="BG1918" t="s">
        <v>87</v>
      </c>
      <c r="BH1918" t="s">
        <v>66</v>
      </c>
      <c r="BI1918">
        <v>0</v>
      </c>
      <c r="BJ1918" t="s">
        <v>66</v>
      </c>
      <c r="BK1918" t="s">
        <v>88</v>
      </c>
      <c r="BL1918" t="s">
        <v>547</v>
      </c>
      <c r="BM1918" t="s">
        <v>159</v>
      </c>
    </row>
    <row r="1919" spans="1:65" x14ac:dyDescent="0.25">
      <c r="A1919">
        <v>1917</v>
      </c>
      <c r="B1919" t="s">
        <v>1920</v>
      </c>
      <c r="C1919" t="s">
        <v>66</v>
      </c>
      <c r="D1919" s="1">
        <v>46227</v>
      </c>
      <c r="E1919" t="s">
        <v>1921</v>
      </c>
      <c r="F1919" t="s">
        <v>68</v>
      </c>
      <c r="G1919" t="s">
        <v>69</v>
      </c>
      <c r="H1919" t="s">
        <v>70</v>
      </c>
      <c r="I1919" t="s">
        <v>71</v>
      </c>
      <c r="J1919" t="s">
        <v>72</v>
      </c>
      <c r="K1919" t="s">
        <v>73</v>
      </c>
      <c r="L1919" t="s">
        <v>74</v>
      </c>
      <c r="M1919" t="s">
        <v>1259</v>
      </c>
      <c r="N1919" t="s">
        <v>111</v>
      </c>
      <c r="O1919" t="s">
        <v>1260</v>
      </c>
      <c r="P1919" t="s">
        <v>1261</v>
      </c>
      <c r="Q1919" t="s">
        <v>1922</v>
      </c>
      <c r="R1919" s="1">
        <v>46230</v>
      </c>
      <c r="S1919" t="s">
        <v>544</v>
      </c>
      <c r="T1919" t="s">
        <v>545</v>
      </c>
      <c r="U1919" t="s">
        <v>546</v>
      </c>
      <c r="V1919" t="s">
        <v>66</v>
      </c>
      <c r="W1919" t="s">
        <v>66</v>
      </c>
      <c r="X1919">
        <v>544464</v>
      </c>
      <c r="Y1919">
        <v>59891.040000000001</v>
      </c>
      <c r="Z1919">
        <v>41193</v>
      </c>
      <c r="AA1919">
        <v>4531.2299999999996</v>
      </c>
      <c r="AB1919">
        <v>604355.04</v>
      </c>
      <c r="AC1919">
        <v>6</v>
      </c>
      <c r="AD1919" t="s">
        <v>82</v>
      </c>
      <c r="AE1919">
        <v>6</v>
      </c>
      <c r="AF1919" t="s">
        <v>1141</v>
      </c>
      <c r="AG1919">
        <f>IFERROR(VLOOKUP(AF1919,[1]STOK!J:O,6,0),"")</f>
        <v>24</v>
      </c>
      <c r="AH1919" s="2">
        <f t="shared" si="58"/>
        <v>0.25</v>
      </c>
      <c r="AI1919" t="s">
        <v>1141</v>
      </c>
      <c r="AJ1919" t="s">
        <v>1142</v>
      </c>
      <c r="AK1919" t="s">
        <v>1143</v>
      </c>
      <c r="AL1919" t="s">
        <v>86</v>
      </c>
      <c r="AM1919">
        <v>7659</v>
      </c>
      <c r="AN1919">
        <f t="shared" si="59"/>
        <v>7620.7050000000008</v>
      </c>
      <c r="AO1919" t="s">
        <v>66</v>
      </c>
      <c r="AP1919">
        <v>0.5</v>
      </c>
      <c r="AQ1919" t="s">
        <v>66</v>
      </c>
      <c r="AR1919">
        <v>0</v>
      </c>
      <c r="AS1919" t="s">
        <v>66</v>
      </c>
      <c r="AT1919">
        <v>0</v>
      </c>
      <c r="AU1919" t="s">
        <v>66</v>
      </c>
      <c r="AV1919">
        <v>0</v>
      </c>
      <c r="AW1919" t="s">
        <v>66</v>
      </c>
      <c r="AX1919">
        <v>0</v>
      </c>
      <c r="AY1919" t="s">
        <v>66</v>
      </c>
      <c r="AZ1919">
        <v>0</v>
      </c>
      <c r="BA1919" t="s">
        <v>66</v>
      </c>
      <c r="BB1919">
        <v>0</v>
      </c>
      <c r="BC1919">
        <v>0</v>
      </c>
      <c r="BD1919">
        <v>45724.23</v>
      </c>
      <c r="BE1919">
        <v>6096.48</v>
      </c>
      <c r="BF1919">
        <v>0</v>
      </c>
      <c r="BG1919" t="s">
        <v>87</v>
      </c>
      <c r="BH1919" t="s">
        <v>66</v>
      </c>
      <c r="BI1919">
        <v>0</v>
      </c>
      <c r="BJ1919" t="s">
        <v>66</v>
      </c>
      <c r="BK1919" t="s">
        <v>88</v>
      </c>
      <c r="BL1919" t="s">
        <v>547</v>
      </c>
      <c r="BM1919" t="s">
        <v>159</v>
      </c>
    </row>
    <row r="1920" spans="1:65" x14ac:dyDescent="0.25">
      <c r="A1920">
        <v>1918</v>
      </c>
      <c r="B1920" t="s">
        <v>1920</v>
      </c>
      <c r="C1920" t="s">
        <v>66</v>
      </c>
      <c r="D1920" s="1">
        <v>46227</v>
      </c>
      <c r="E1920" t="s">
        <v>1921</v>
      </c>
      <c r="F1920" t="s">
        <v>68</v>
      </c>
      <c r="G1920" t="s">
        <v>69</v>
      </c>
      <c r="H1920" t="s">
        <v>70</v>
      </c>
      <c r="I1920" t="s">
        <v>71</v>
      </c>
      <c r="J1920" t="s">
        <v>72</v>
      </c>
      <c r="K1920" t="s">
        <v>73</v>
      </c>
      <c r="L1920" t="s">
        <v>74</v>
      </c>
      <c r="M1920" t="s">
        <v>1259</v>
      </c>
      <c r="N1920" t="s">
        <v>111</v>
      </c>
      <c r="O1920" t="s">
        <v>1260</v>
      </c>
      <c r="P1920" t="s">
        <v>1261</v>
      </c>
      <c r="Q1920" t="s">
        <v>1922</v>
      </c>
      <c r="R1920" s="1">
        <v>46230</v>
      </c>
      <c r="S1920" t="s">
        <v>544</v>
      </c>
      <c r="T1920" t="s">
        <v>545</v>
      </c>
      <c r="U1920" t="s">
        <v>546</v>
      </c>
      <c r="V1920" t="s">
        <v>66</v>
      </c>
      <c r="W1920" t="s">
        <v>66</v>
      </c>
      <c r="X1920">
        <v>544464</v>
      </c>
      <c r="Y1920">
        <v>59891.040000000001</v>
      </c>
      <c r="Z1920">
        <v>79401</v>
      </c>
      <c r="AA1920">
        <v>8734.11</v>
      </c>
      <c r="AB1920">
        <v>604355.04</v>
      </c>
      <c r="AC1920">
        <v>6</v>
      </c>
      <c r="AD1920" t="s">
        <v>82</v>
      </c>
      <c r="AE1920">
        <v>6</v>
      </c>
      <c r="AF1920" t="s">
        <v>210</v>
      </c>
      <c r="AG1920">
        <f>IFERROR(VLOOKUP(AF1920,[1]STOK!J:O,6,0),"")</f>
        <v>12</v>
      </c>
      <c r="AH1920" s="2">
        <f t="shared" si="58"/>
        <v>0.5</v>
      </c>
      <c r="AI1920" t="s">
        <v>210</v>
      </c>
      <c r="AJ1920" t="s">
        <v>211</v>
      </c>
      <c r="AK1920" t="s">
        <v>212</v>
      </c>
      <c r="AL1920" t="s">
        <v>86</v>
      </c>
      <c r="AM1920">
        <v>14763</v>
      </c>
      <c r="AN1920">
        <f t="shared" si="59"/>
        <v>14689.184999999999</v>
      </c>
      <c r="AO1920" t="s">
        <v>66</v>
      </c>
      <c r="AP1920">
        <v>0.5</v>
      </c>
      <c r="AQ1920" t="s">
        <v>66</v>
      </c>
      <c r="AR1920">
        <v>0</v>
      </c>
      <c r="AS1920" t="s">
        <v>66</v>
      </c>
      <c r="AT1920">
        <v>0</v>
      </c>
      <c r="AU1920" t="s">
        <v>66</v>
      </c>
      <c r="AV1920">
        <v>0</v>
      </c>
      <c r="AW1920" t="s">
        <v>66</v>
      </c>
      <c r="AX1920">
        <v>0</v>
      </c>
      <c r="AY1920" t="s">
        <v>66</v>
      </c>
      <c r="AZ1920">
        <v>0</v>
      </c>
      <c r="BA1920" t="s">
        <v>66</v>
      </c>
      <c r="BB1920">
        <v>0</v>
      </c>
      <c r="BC1920">
        <v>0</v>
      </c>
      <c r="BD1920">
        <v>88135.11</v>
      </c>
      <c r="BE1920">
        <v>11818.77</v>
      </c>
      <c r="BF1920">
        <v>0</v>
      </c>
      <c r="BG1920" t="s">
        <v>87</v>
      </c>
      <c r="BH1920" t="s">
        <v>66</v>
      </c>
      <c r="BI1920">
        <v>0</v>
      </c>
      <c r="BJ1920" t="s">
        <v>66</v>
      </c>
      <c r="BK1920" t="s">
        <v>88</v>
      </c>
      <c r="BL1920" t="s">
        <v>547</v>
      </c>
      <c r="BM1920" t="s">
        <v>159</v>
      </c>
    </row>
    <row r="1921" spans="1:65" x14ac:dyDescent="0.25">
      <c r="A1921">
        <v>1919</v>
      </c>
      <c r="B1921" t="s">
        <v>1920</v>
      </c>
      <c r="C1921" t="s">
        <v>66</v>
      </c>
      <c r="D1921" s="1">
        <v>46227</v>
      </c>
      <c r="E1921" t="s">
        <v>1921</v>
      </c>
      <c r="F1921" t="s">
        <v>68</v>
      </c>
      <c r="G1921" t="s">
        <v>69</v>
      </c>
      <c r="H1921" t="s">
        <v>70</v>
      </c>
      <c r="I1921" t="s">
        <v>71</v>
      </c>
      <c r="J1921" t="s">
        <v>72</v>
      </c>
      <c r="K1921" t="s">
        <v>73</v>
      </c>
      <c r="L1921" t="s">
        <v>74</v>
      </c>
      <c r="M1921" t="s">
        <v>1259</v>
      </c>
      <c r="N1921" t="s">
        <v>111</v>
      </c>
      <c r="O1921" t="s">
        <v>1260</v>
      </c>
      <c r="P1921" t="s">
        <v>1261</v>
      </c>
      <c r="Q1921" t="s">
        <v>1922</v>
      </c>
      <c r="R1921" s="1">
        <v>46230</v>
      </c>
      <c r="S1921" t="s">
        <v>544</v>
      </c>
      <c r="T1921" t="s">
        <v>545</v>
      </c>
      <c r="U1921" t="s">
        <v>546</v>
      </c>
      <c r="V1921" t="s">
        <v>66</v>
      </c>
      <c r="W1921" t="s">
        <v>66</v>
      </c>
      <c r="X1921">
        <v>544464</v>
      </c>
      <c r="Y1921">
        <v>59891.040000000001</v>
      </c>
      <c r="Z1921">
        <v>59700</v>
      </c>
      <c r="AA1921">
        <v>6567</v>
      </c>
      <c r="AB1921">
        <v>604355.04</v>
      </c>
      <c r="AC1921">
        <v>3</v>
      </c>
      <c r="AD1921" t="s">
        <v>82</v>
      </c>
      <c r="AE1921">
        <v>3</v>
      </c>
      <c r="AF1921" t="s">
        <v>290</v>
      </c>
      <c r="AG1921">
        <f>IFERROR(VLOOKUP(AF1921,[1]STOK!J:O,6,0),"")</f>
        <v>12</v>
      </c>
      <c r="AH1921" s="2">
        <f t="shared" si="58"/>
        <v>0.25</v>
      </c>
      <c r="AI1921" t="s">
        <v>290</v>
      </c>
      <c r="AJ1921" t="s">
        <v>291</v>
      </c>
      <c r="AK1921" t="s">
        <v>292</v>
      </c>
      <c r="AL1921" t="s">
        <v>86</v>
      </c>
      <c r="AM1921">
        <v>22200</v>
      </c>
      <c r="AN1921">
        <f t="shared" si="59"/>
        <v>22089</v>
      </c>
      <c r="AO1921" t="s">
        <v>66</v>
      </c>
      <c r="AP1921">
        <v>0.5</v>
      </c>
      <c r="AQ1921" t="s">
        <v>66</v>
      </c>
      <c r="AR1921">
        <v>0</v>
      </c>
      <c r="AS1921" t="s">
        <v>66</v>
      </c>
      <c r="AT1921">
        <v>0</v>
      </c>
      <c r="AU1921" t="s">
        <v>66</v>
      </c>
      <c r="AV1921">
        <v>0</v>
      </c>
      <c r="AW1921" t="s">
        <v>66</v>
      </c>
      <c r="AX1921">
        <v>0</v>
      </c>
      <c r="AY1921" t="s">
        <v>66</v>
      </c>
      <c r="AZ1921">
        <v>0</v>
      </c>
      <c r="BA1921" t="s">
        <v>66</v>
      </c>
      <c r="BB1921">
        <v>0</v>
      </c>
      <c r="BC1921">
        <v>0</v>
      </c>
      <c r="BD1921">
        <v>66267</v>
      </c>
      <c r="BE1921">
        <v>18155.62</v>
      </c>
      <c r="BF1921">
        <v>0</v>
      </c>
      <c r="BG1921" t="s">
        <v>87</v>
      </c>
      <c r="BH1921" t="s">
        <v>66</v>
      </c>
      <c r="BI1921">
        <v>0</v>
      </c>
      <c r="BJ1921" t="s">
        <v>66</v>
      </c>
      <c r="BK1921" t="s">
        <v>88</v>
      </c>
      <c r="BL1921" t="s">
        <v>547</v>
      </c>
      <c r="BM1921" t="s">
        <v>159</v>
      </c>
    </row>
    <row r="1922" spans="1:65" x14ac:dyDescent="0.25">
      <c r="A1922">
        <v>1920</v>
      </c>
      <c r="B1922" t="s">
        <v>1920</v>
      </c>
      <c r="C1922" t="s">
        <v>66</v>
      </c>
      <c r="D1922" s="1">
        <v>46227</v>
      </c>
      <c r="E1922" t="s">
        <v>1921</v>
      </c>
      <c r="F1922" t="s">
        <v>68</v>
      </c>
      <c r="G1922" t="s">
        <v>69</v>
      </c>
      <c r="H1922" t="s">
        <v>70</v>
      </c>
      <c r="I1922" t="s">
        <v>71</v>
      </c>
      <c r="J1922" t="s">
        <v>72</v>
      </c>
      <c r="K1922" t="s">
        <v>73</v>
      </c>
      <c r="L1922" t="s">
        <v>74</v>
      </c>
      <c r="M1922" t="s">
        <v>1259</v>
      </c>
      <c r="N1922" t="s">
        <v>111</v>
      </c>
      <c r="O1922" t="s">
        <v>1260</v>
      </c>
      <c r="P1922" t="s">
        <v>1261</v>
      </c>
      <c r="Q1922" t="s">
        <v>1922</v>
      </c>
      <c r="R1922" s="1">
        <v>46230</v>
      </c>
      <c r="S1922" t="s">
        <v>544</v>
      </c>
      <c r="T1922" t="s">
        <v>545</v>
      </c>
      <c r="U1922" t="s">
        <v>546</v>
      </c>
      <c r="V1922" t="s">
        <v>66</v>
      </c>
      <c r="W1922" t="s">
        <v>66</v>
      </c>
      <c r="X1922">
        <v>544464</v>
      </c>
      <c r="Y1922">
        <v>59891.040000000001</v>
      </c>
      <c r="Z1922">
        <v>59700</v>
      </c>
      <c r="AA1922">
        <v>6567</v>
      </c>
      <c r="AB1922">
        <v>604355.04</v>
      </c>
      <c r="AC1922">
        <v>3</v>
      </c>
      <c r="AD1922" t="s">
        <v>82</v>
      </c>
      <c r="AE1922">
        <v>3</v>
      </c>
      <c r="AF1922" t="s">
        <v>102</v>
      </c>
      <c r="AG1922">
        <f>IFERROR(VLOOKUP(AF1922,[1]STOK!J:O,6,0),"")</f>
        <v>12</v>
      </c>
      <c r="AH1922" s="2">
        <f t="shared" si="58"/>
        <v>0.25</v>
      </c>
      <c r="AI1922" t="s">
        <v>102</v>
      </c>
      <c r="AJ1922" t="s">
        <v>103</v>
      </c>
      <c r="AK1922" t="s">
        <v>104</v>
      </c>
      <c r="AL1922" t="s">
        <v>86</v>
      </c>
      <c r="AM1922">
        <v>22200</v>
      </c>
      <c r="AN1922">
        <f t="shared" si="59"/>
        <v>22089</v>
      </c>
      <c r="AO1922" t="s">
        <v>66</v>
      </c>
      <c r="AP1922">
        <v>0.5</v>
      </c>
      <c r="AQ1922" t="s">
        <v>66</v>
      </c>
      <c r="AR1922">
        <v>0</v>
      </c>
      <c r="AS1922" t="s">
        <v>66</v>
      </c>
      <c r="AT1922">
        <v>0</v>
      </c>
      <c r="AU1922" t="s">
        <v>66</v>
      </c>
      <c r="AV1922">
        <v>0</v>
      </c>
      <c r="AW1922" t="s">
        <v>66</v>
      </c>
      <c r="AX1922">
        <v>0</v>
      </c>
      <c r="AY1922" t="s">
        <v>66</v>
      </c>
      <c r="AZ1922">
        <v>0</v>
      </c>
      <c r="BA1922" t="s">
        <v>66</v>
      </c>
      <c r="BB1922">
        <v>0</v>
      </c>
      <c r="BC1922">
        <v>0</v>
      </c>
      <c r="BD1922">
        <v>66267</v>
      </c>
      <c r="BE1922">
        <v>17828.62</v>
      </c>
      <c r="BF1922">
        <v>0</v>
      </c>
      <c r="BG1922" t="s">
        <v>87</v>
      </c>
      <c r="BH1922" t="s">
        <v>66</v>
      </c>
      <c r="BI1922">
        <v>0</v>
      </c>
      <c r="BJ1922" t="s">
        <v>66</v>
      </c>
      <c r="BK1922" t="s">
        <v>88</v>
      </c>
      <c r="BL1922" t="s">
        <v>547</v>
      </c>
      <c r="BM1922" t="s">
        <v>159</v>
      </c>
    </row>
    <row r="1923" spans="1:65" x14ac:dyDescent="0.25">
      <c r="A1923">
        <v>1921</v>
      </c>
      <c r="B1923" t="s">
        <v>1920</v>
      </c>
      <c r="C1923" t="s">
        <v>66</v>
      </c>
      <c r="D1923" s="1">
        <v>46227</v>
      </c>
      <c r="E1923" t="s">
        <v>1921</v>
      </c>
      <c r="F1923" t="s">
        <v>68</v>
      </c>
      <c r="G1923" t="s">
        <v>69</v>
      </c>
      <c r="H1923" t="s">
        <v>70</v>
      </c>
      <c r="I1923" t="s">
        <v>71</v>
      </c>
      <c r="J1923" t="s">
        <v>72</v>
      </c>
      <c r="K1923" t="s">
        <v>73</v>
      </c>
      <c r="L1923" t="s">
        <v>74</v>
      </c>
      <c r="M1923" t="s">
        <v>1259</v>
      </c>
      <c r="N1923" t="s">
        <v>111</v>
      </c>
      <c r="O1923" t="s">
        <v>1260</v>
      </c>
      <c r="P1923" t="s">
        <v>1261</v>
      </c>
      <c r="Q1923" t="s">
        <v>1922</v>
      </c>
      <c r="R1923" s="1">
        <v>46230</v>
      </c>
      <c r="S1923" t="s">
        <v>544</v>
      </c>
      <c r="T1923" t="s">
        <v>545</v>
      </c>
      <c r="U1923" t="s">
        <v>546</v>
      </c>
      <c r="V1923" t="s">
        <v>66</v>
      </c>
      <c r="W1923" t="s">
        <v>66</v>
      </c>
      <c r="X1923">
        <v>544464</v>
      </c>
      <c r="Y1923">
        <v>59891.040000000001</v>
      </c>
      <c r="Z1923">
        <v>41193</v>
      </c>
      <c r="AA1923">
        <v>4531.2299999999996</v>
      </c>
      <c r="AB1923">
        <v>604355.04</v>
      </c>
      <c r="AC1923">
        <v>3</v>
      </c>
      <c r="AD1923" t="s">
        <v>82</v>
      </c>
      <c r="AE1923">
        <v>3</v>
      </c>
      <c r="AF1923" t="s">
        <v>105</v>
      </c>
      <c r="AG1923">
        <f>IFERROR(VLOOKUP(AF1923,[1]STOK!J:O,6,0),"")</f>
        <v>12</v>
      </c>
      <c r="AH1923" s="2">
        <f t="shared" si="58"/>
        <v>0.25</v>
      </c>
      <c r="AI1923" t="s">
        <v>105</v>
      </c>
      <c r="AJ1923" t="s">
        <v>106</v>
      </c>
      <c r="AK1923" t="s">
        <v>107</v>
      </c>
      <c r="AL1923" t="s">
        <v>86</v>
      </c>
      <c r="AM1923">
        <v>15318</v>
      </c>
      <c r="AN1923">
        <f t="shared" si="59"/>
        <v>15241.410000000002</v>
      </c>
      <c r="AO1923" t="s">
        <v>66</v>
      </c>
      <c r="AP1923">
        <v>0.5</v>
      </c>
      <c r="AQ1923" t="s">
        <v>66</v>
      </c>
      <c r="AR1923">
        <v>0</v>
      </c>
      <c r="AS1923" t="s">
        <v>66</v>
      </c>
      <c r="AT1923">
        <v>0</v>
      </c>
      <c r="AU1923" t="s">
        <v>66</v>
      </c>
      <c r="AV1923">
        <v>0</v>
      </c>
      <c r="AW1923" t="s">
        <v>66</v>
      </c>
      <c r="AX1923">
        <v>0</v>
      </c>
      <c r="AY1923" t="s">
        <v>66</v>
      </c>
      <c r="AZ1923">
        <v>0</v>
      </c>
      <c r="BA1923" t="s">
        <v>66</v>
      </c>
      <c r="BB1923">
        <v>0</v>
      </c>
      <c r="BC1923">
        <v>0</v>
      </c>
      <c r="BD1923">
        <v>45724.23</v>
      </c>
      <c r="BE1923">
        <v>11927.43</v>
      </c>
      <c r="BF1923">
        <v>0</v>
      </c>
      <c r="BG1923" t="s">
        <v>87</v>
      </c>
      <c r="BH1923" t="s">
        <v>66</v>
      </c>
      <c r="BI1923">
        <v>0</v>
      </c>
      <c r="BJ1923" t="s">
        <v>66</v>
      </c>
      <c r="BK1923" t="s">
        <v>88</v>
      </c>
      <c r="BL1923" t="s">
        <v>547</v>
      </c>
      <c r="BM1923" t="s">
        <v>159</v>
      </c>
    </row>
    <row r="1924" spans="1:65" x14ac:dyDescent="0.25">
      <c r="A1924">
        <v>1922</v>
      </c>
      <c r="B1924" t="s">
        <v>1923</v>
      </c>
      <c r="C1924" t="s">
        <v>68</v>
      </c>
      <c r="D1924" s="1">
        <v>46227</v>
      </c>
      <c r="E1924" t="s">
        <v>1924</v>
      </c>
      <c r="F1924" t="s">
        <v>68</v>
      </c>
      <c r="G1924" t="s">
        <v>69</v>
      </c>
      <c r="H1924" t="s">
        <v>70</v>
      </c>
      <c r="I1924" t="s">
        <v>71</v>
      </c>
      <c r="J1924" t="s">
        <v>72</v>
      </c>
      <c r="K1924" t="s">
        <v>73</v>
      </c>
      <c r="L1924" t="s">
        <v>74</v>
      </c>
      <c r="M1924" t="s">
        <v>820</v>
      </c>
      <c r="N1924" t="s">
        <v>111</v>
      </c>
      <c r="O1924" t="s">
        <v>821</v>
      </c>
      <c r="P1924" t="s">
        <v>822</v>
      </c>
      <c r="Q1924" t="s">
        <v>1925</v>
      </c>
      <c r="R1924" s="1">
        <v>46230</v>
      </c>
      <c r="S1924" t="s">
        <v>824</v>
      </c>
      <c r="T1924" t="s">
        <v>825</v>
      </c>
      <c r="U1924" t="s">
        <v>826</v>
      </c>
      <c r="V1924" t="s">
        <v>66</v>
      </c>
      <c r="W1924" t="s">
        <v>66</v>
      </c>
      <c r="X1924">
        <v>2713194</v>
      </c>
      <c r="Y1924">
        <v>298451.34000000003</v>
      </c>
      <c r="Z1924">
        <v>46926</v>
      </c>
      <c r="AA1924">
        <v>5161.8599999999997</v>
      </c>
      <c r="AB1924">
        <v>3011645.34</v>
      </c>
      <c r="AC1924">
        <v>6</v>
      </c>
      <c r="AD1924" t="s">
        <v>82</v>
      </c>
      <c r="AE1924">
        <v>6</v>
      </c>
      <c r="AF1924" t="s">
        <v>199</v>
      </c>
      <c r="AG1924">
        <f>IFERROR(VLOOKUP(AF1924,[1]STOK!J:O,6,0),"")</f>
        <v>24</v>
      </c>
      <c r="AH1924" s="2">
        <f t="shared" ref="AH1924:AH1987" si="60">AE1924/AG1924</f>
        <v>0.25</v>
      </c>
      <c r="AI1924" t="s">
        <v>199</v>
      </c>
      <c r="AJ1924" t="s">
        <v>200</v>
      </c>
      <c r="AK1924" t="s">
        <v>201</v>
      </c>
      <c r="AL1924" t="s">
        <v>86</v>
      </c>
      <c r="AM1924">
        <v>8769</v>
      </c>
      <c r="AN1924">
        <f t="shared" ref="AN1924:AN1987" si="61">BD1924/AC1924</f>
        <v>8681.31</v>
      </c>
      <c r="AO1924" t="s">
        <v>66</v>
      </c>
      <c r="AP1924">
        <v>1</v>
      </c>
      <c r="AQ1924" t="s">
        <v>66</v>
      </c>
      <c r="AR1924">
        <v>0</v>
      </c>
      <c r="AS1924" t="s">
        <v>66</v>
      </c>
      <c r="AT1924">
        <v>0</v>
      </c>
      <c r="AU1924" t="s">
        <v>66</v>
      </c>
      <c r="AV1924">
        <v>0</v>
      </c>
      <c r="AW1924" t="s">
        <v>66</v>
      </c>
      <c r="AX1924">
        <v>0</v>
      </c>
      <c r="AY1924" t="s">
        <v>66</v>
      </c>
      <c r="AZ1924">
        <v>0</v>
      </c>
      <c r="BA1924" t="s">
        <v>66</v>
      </c>
      <c r="BB1924">
        <v>0</v>
      </c>
      <c r="BC1924">
        <v>0</v>
      </c>
      <c r="BD1924">
        <v>52087.86</v>
      </c>
      <c r="BE1924">
        <v>6637.67</v>
      </c>
      <c r="BF1924">
        <v>0</v>
      </c>
      <c r="BG1924" t="s">
        <v>87</v>
      </c>
      <c r="BH1924" t="s">
        <v>66</v>
      </c>
      <c r="BI1924">
        <v>0</v>
      </c>
      <c r="BJ1924" t="s">
        <v>66</v>
      </c>
      <c r="BK1924" t="s">
        <v>88</v>
      </c>
      <c r="BL1924" t="s">
        <v>66</v>
      </c>
      <c r="BM1924" t="s">
        <v>159</v>
      </c>
    </row>
    <row r="1925" spans="1:65" x14ac:dyDescent="0.25">
      <c r="A1925">
        <v>1923</v>
      </c>
      <c r="B1925" t="s">
        <v>1923</v>
      </c>
      <c r="C1925" t="s">
        <v>68</v>
      </c>
      <c r="D1925" s="1">
        <v>46227</v>
      </c>
      <c r="E1925" t="s">
        <v>1924</v>
      </c>
      <c r="F1925" t="s">
        <v>68</v>
      </c>
      <c r="G1925" t="s">
        <v>69</v>
      </c>
      <c r="H1925" t="s">
        <v>70</v>
      </c>
      <c r="I1925" t="s">
        <v>71</v>
      </c>
      <c r="J1925" t="s">
        <v>72</v>
      </c>
      <c r="K1925" t="s">
        <v>73</v>
      </c>
      <c r="L1925" t="s">
        <v>74</v>
      </c>
      <c r="M1925" t="s">
        <v>820</v>
      </c>
      <c r="N1925" t="s">
        <v>111</v>
      </c>
      <c r="O1925" t="s">
        <v>821</v>
      </c>
      <c r="P1925" t="s">
        <v>822</v>
      </c>
      <c r="Q1925" t="s">
        <v>1925</v>
      </c>
      <c r="R1925" s="1">
        <v>46230</v>
      </c>
      <c r="S1925" t="s">
        <v>824</v>
      </c>
      <c r="T1925" t="s">
        <v>825</v>
      </c>
      <c r="U1925" t="s">
        <v>826</v>
      </c>
      <c r="V1925" t="s">
        <v>66</v>
      </c>
      <c r="W1925" t="s">
        <v>66</v>
      </c>
      <c r="X1925">
        <v>2713194</v>
      </c>
      <c r="Y1925">
        <v>298451.34000000003</v>
      </c>
      <c r="Z1925">
        <v>33858</v>
      </c>
      <c r="AA1925">
        <v>3724.38</v>
      </c>
      <c r="AB1925">
        <v>3011645.34</v>
      </c>
      <c r="AC1925">
        <v>6</v>
      </c>
      <c r="AD1925" t="s">
        <v>82</v>
      </c>
      <c r="AE1925">
        <v>6</v>
      </c>
      <c r="AF1925" t="s">
        <v>202</v>
      </c>
      <c r="AG1925">
        <f>IFERROR(VLOOKUP(AF1925,[1]STOK!J:O,6,0),"")</f>
        <v>48</v>
      </c>
      <c r="AH1925" s="2">
        <f t="shared" si="60"/>
        <v>0.125</v>
      </c>
      <c r="AI1925" t="s">
        <v>202</v>
      </c>
      <c r="AJ1925" t="s">
        <v>203</v>
      </c>
      <c r="AK1925" t="s">
        <v>204</v>
      </c>
      <c r="AL1925" t="s">
        <v>86</v>
      </c>
      <c r="AM1925">
        <v>6327</v>
      </c>
      <c r="AN1925">
        <f t="shared" si="61"/>
        <v>6263.73</v>
      </c>
      <c r="AO1925" t="s">
        <v>66</v>
      </c>
      <c r="AP1925">
        <v>1</v>
      </c>
      <c r="AQ1925" t="s">
        <v>66</v>
      </c>
      <c r="AR1925">
        <v>0</v>
      </c>
      <c r="AS1925" t="s">
        <v>66</v>
      </c>
      <c r="AT1925">
        <v>0</v>
      </c>
      <c r="AU1925" t="s">
        <v>66</v>
      </c>
      <c r="AV1925">
        <v>0</v>
      </c>
      <c r="AW1925" t="s">
        <v>66</v>
      </c>
      <c r="AX1925">
        <v>0</v>
      </c>
      <c r="AY1925" t="s">
        <v>66</v>
      </c>
      <c r="AZ1925">
        <v>0</v>
      </c>
      <c r="BA1925" t="s">
        <v>66</v>
      </c>
      <c r="BB1925">
        <v>0</v>
      </c>
      <c r="BC1925">
        <v>0</v>
      </c>
      <c r="BD1925">
        <v>37582.379999999997</v>
      </c>
      <c r="BE1925">
        <v>4914.4399999999996</v>
      </c>
      <c r="BF1925">
        <v>0</v>
      </c>
      <c r="BG1925" t="s">
        <v>87</v>
      </c>
      <c r="BH1925" t="s">
        <v>66</v>
      </c>
      <c r="BI1925">
        <v>0</v>
      </c>
      <c r="BJ1925" t="s">
        <v>66</v>
      </c>
      <c r="BK1925" t="s">
        <v>88</v>
      </c>
      <c r="BL1925" t="s">
        <v>66</v>
      </c>
      <c r="BM1925" t="s">
        <v>159</v>
      </c>
    </row>
    <row r="1926" spans="1:65" x14ac:dyDescent="0.25">
      <c r="A1926">
        <v>1924</v>
      </c>
      <c r="B1926" t="s">
        <v>1923</v>
      </c>
      <c r="C1926" t="s">
        <v>68</v>
      </c>
      <c r="D1926" s="1">
        <v>46227</v>
      </c>
      <c r="E1926" t="s">
        <v>1924</v>
      </c>
      <c r="F1926" t="s">
        <v>68</v>
      </c>
      <c r="G1926" t="s">
        <v>69</v>
      </c>
      <c r="H1926" t="s">
        <v>70</v>
      </c>
      <c r="I1926" t="s">
        <v>71</v>
      </c>
      <c r="J1926" t="s">
        <v>72</v>
      </c>
      <c r="K1926" t="s">
        <v>73</v>
      </c>
      <c r="L1926" t="s">
        <v>74</v>
      </c>
      <c r="M1926" t="s">
        <v>820</v>
      </c>
      <c r="N1926" t="s">
        <v>111</v>
      </c>
      <c r="O1926" t="s">
        <v>821</v>
      </c>
      <c r="P1926" t="s">
        <v>822</v>
      </c>
      <c r="Q1926" t="s">
        <v>1925</v>
      </c>
      <c r="R1926" s="1">
        <v>46230</v>
      </c>
      <c r="S1926" t="s">
        <v>824</v>
      </c>
      <c r="T1926" t="s">
        <v>825</v>
      </c>
      <c r="U1926" t="s">
        <v>826</v>
      </c>
      <c r="V1926" t="s">
        <v>66</v>
      </c>
      <c r="W1926" t="s">
        <v>66</v>
      </c>
      <c r="X1926">
        <v>2713194</v>
      </c>
      <c r="Y1926">
        <v>298451.34000000003</v>
      </c>
      <c r="Z1926">
        <v>162162</v>
      </c>
      <c r="AA1926">
        <v>17837.82</v>
      </c>
      <c r="AB1926">
        <v>3011645.34</v>
      </c>
      <c r="AC1926">
        <v>6</v>
      </c>
      <c r="AD1926" t="s">
        <v>82</v>
      </c>
      <c r="AE1926">
        <v>6</v>
      </c>
      <c r="AF1926" t="s">
        <v>593</v>
      </c>
      <c r="AG1926">
        <f>IFERROR(VLOOKUP(AF1926,[1]STOK!J:O,6,0),"")</f>
        <v>12</v>
      </c>
      <c r="AH1926" s="2">
        <f t="shared" si="60"/>
        <v>0.5</v>
      </c>
      <c r="AI1926" t="s">
        <v>593</v>
      </c>
      <c r="AJ1926" t="s">
        <v>594</v>
      </c>
      <c r="AK1926" t="s">
        <v>595</v>
      </c>
      <c r="AL1926" t="s">
        <v>86</v>
      </c>
      <c r="AM1926">
        <v>30303</v>
      </c>
      <c r="AN1926">
        <f t="shared" si="61"/>
        <v>29999.97</v>
      </c>
      <c r="AO1926" t="s">
        <v>66</v>
      </c>
      <c r="AP1926">
        <v>1</v>
      </c>
      <c r="AQ1926" t="s">
        <v>66</v>
      </c>
      <c r="AR1926">
        <v>0</v>
      </c>
      <c r="AS1926" t="s">
        <v>66</v>
      </c>
      <c r="AT1926">
        <v>0</v>
      </c>
      <c r="AU1926" t="s">
        <v>66</v>
      </c>
      <c r="AV1926">
        <v>0</v>
      </c>
      <c r="AW1926" t="s">
        <v>66</v>
      </c>
      <c r="AX1926">
        <v>0</v>
      </c>
      <c r="AY1926" t="s">
        <v>66</v>
      </c>
      <c r="AZ1926">
        <v>0</v>
      </c>
      <c r="BA1926" t="s">
        <v>66</v>
      </c>
      <c r="BB1926">
        <v>0</v>
      </c>
      <c r="BC1926">
        <v>0</v>
      </c>
      <c r="BD1926">
        <v>179999.82</v>
      </c>
      <c r="BE1926">
        <v>24521.7</v>
      </c>
      <c r="BF1926">
        <v>0</v>
      </c>
      <c r="BG1926" t="s">
        <v>87</v>
      </c>
      <c r="BH1926" t="s">
        <v>66</v>
      </c>
      <c r="BI1926">
        <v>0</v>
      </c>
      <c r="BJ1926" t="s">
        <v>66</v>
      </c>
      <c r="BK1926" t="s">
        <v>88</v>
      </c>
      <c r="BL1926" t="s">
        <v>66</v>
      </c>
      <c r="BM1926" t="s">
        <v>159</v>
      </c>
    </row>
    <row r="1927" spans="1:65" x14ac:dyDescent="0.25">
      <c r="A1927">
        <v>1925</v>
      </c>
      <c r="B1927" t="s">
        <v>1923</v>
      </c>
      <c r="C1927" t="s">
        <v>68</v>
      </c>
      <c r="D1927" s="1">
        <v>46227</v>
      </c>
      <c r="E1927" t="s">
        <v>1924</v>
      </c>
      <c r="F1927" t="s">
        <v>68</v>
      </c>
      <c r="G1927" t="s">
        <v>69</v>
      </c>
      <c r="H1927" t="s">
        <v>70</v>
      </c>
      <c r="I1927" t="s">
        <v>71</v>
      </c>
      <c r="J1927" t="s">
        <v>72</v>
      </c>
      <c r="K1927" t="s">
        <v>73</v>
      </c>
      <c r="L1927" t="s">
        <v>74</v>
      </c>
      <c r="M1927" t="s">
        <v>820</v>
      </c>
      <c r="N1927" t="s">
        <v>111</v>
      </c>
      <c r="O1927" t="s">
        <v>821</v>
      </c>
      <c r="P1927" t="s">
        <v>822</v>
      </c>
      <c r="Q1927" t="s">
        <v>1925</v>
      </c>
      <c r="R1927" s="1">
        <v>46230</v>
      </c>
      <c r="S1927" t="s">
        <v>824</v>
      </c>
      <c r="T1927" t="s">
        <v>825</v>
      </c>
      <c r="U1927" t="s">
        <v>826</v>
      </c>
      <c r="V1927" t="s">
        <v>66</v>
      </c>
      <c r="W1927" t="s">
        <v>66</v>
      </c>
      <c r="X1927">
        <v>2713194</v>
      </c>
      <c r="Y1927">
        <v>298451.34000000003</v>
      </c>
      <c r="Z1927">
        <v>162162</v>
      </c>
      <c r="AA1927">
        <v>17837.82</v>
      </c>
      <c r="AB1927">
        <v>3011645.34</v>
      </c>
      <c r="AC1927">
        <v>6</v>
      </c>
      <c r="AD1927" t="s">
        <v>82</v>
      </c>
      <c r="AE1927">
        <v>6</v>
      </c>
      <c r="AF1927" t="s">
        <v>306</v>
      </c>
      <c r="AG1927">
        <f>IFERROR(VLOOKUP(AF1927,[1]STOK!J:O,6,0),"")</f>
        <v>12</v>
      </c>
      <c r="AH1927" s="2">
        <f t="shared" si="60"/>
        <v>0.5</v>
      </c>
      <c r="AI1927" t="s">
        <v>306</v>
      </c>
      <c r="AJ1927" t="s">
        <v>307</v>
      </c>
      <c r="AK1927" t="s">
        <v>308</v>
      </c>
      <c r="AL1927" t="s">
        <v>86</v>
      </c>
      <c r="AM1927">
        <v>30303</v>
      </c>
      <c r="AN1927">
        <f t="shared" si="61"/>
        <v>29999.97</v>
      </c>
      <c r="AO1927" t="s">
        <v>66</v>
      </c>
      <c r="AP1927">
        <v>1</v>
      </c>
      <c r="AQ1927" t="s">
        <v>66</v>
      </c>
      <c r="AR1927">
        <v>0</v>
      </c>
      <c r="AS1927" t="s">
        <v>66</v>
      </c>
      <c r="AT1927">
        <v>0</v>
      </c>
      <c r="AU1927" t="s">
        <v>66</v>
      </c>
      <c r="AV1927">
        <v>0</v>
      </c>
      <c r="AW1927" t="s">
        <v>66</v>
      </c>
      <c r="AX1927">
        <v>0</v>
      </c>
      <c r="AY1927" t="s">
        <v>66</v>
      </c>
      <c r="AZ1927">
        <v>0</v>
      </c>
      <c r="BA1927" t="s">
        <v>66</v>
      </c>
      <c r="BB1927">
        <v>0</v>
      </c>
      <c r="BC1927">
        <v>0</v>
      </c>
      <c r="BD1927">
        <v>179999.82</v>
      </c>
      <c r="BE1927">
        <v>24657.27</v>
      </c>
      <c r="BF1927">
        <v>0</v>
      </c>
      <c r="BG1927" t="s">
        <v>87</v>
      </c>
      <c r="BH1927" t="s">
        <v>66</v>
      </c>
      <c r="BI1927">
        <v>0</v>
      </c>
      <c r="BJ1927" t="s">
        <v>66</v>
      </c>
      <c r="BK1927" t="s">
        <v>88</v>
      </c>
      <c r="BL1927" t="s">
        <v>66</v>
      </c>
      <c r="BM1927" t="s">
        <v>159</v>
      </c>
    </row>
    <row r="1928" spans="1:65" x14ac:dyDescent="0.25">
      <c r="A1928">
        <v>1926</v>
      </c>
      <c r="B1928" t="s">
        <v>1923</v>
      </c>
      <c r="C1928" t="s">
        <v>68</v>
      </c>
      <c r="D1928" s="1">
        <v>46227</v>
      </c>
      <c r="E1928" t="s">
        <v>1924</v>
      </c>
      <c r="F1928" t="s">
        <v>68</v>
      </c>
      <c r="G1928" t="s">
        <v>69</v>
      </c>
      <c r="H1928" t="s">
        <v>70</v>
      </c>
      <c r="I1928" t="s">
        <v>71</v>
      </c>
      <c r="J1928" t="s">
        <v>72</v>
      </c>
      <c r="K1928" t="s">
        <v>73</v>
      </c>
      <c r="L1928" t="s">
        <v>74</v>
      </c>
      <c r="M1928" t="s">
        <v>820</v>
      </c>
      <c r="N1928" t="s">
        <v>111</v>
      </c>
      <c r="O1928" t="s">
        <v>821</v>
      </c>
      <c r="P1928" t="s">
        <v>822</v>
      </c>
      <c r="Q1928" t="s">
        <v>1925</v>
      </c>
      <c r="R1928" s="1">
        <v>46230</v>
      </c>
      <c r="S1928" t="s">
        <v>824</v>
      </c>
      <c r="T1928" t="s">
        <v>825</v>
      </c>
      <c r="U1928" t="s">
        <v>826</v>
      </c>
      <c r="V1928" t="s">
        <v>66</v>
      </c>
      <c r="W1928" t="s">
        <v>66</v>
      </c>
      <c r="X1928">
        <v>2713194</v>
      </c>
      <c r="Y1928">
        <v>298451.34000000003</v>
      </c>
      <c r="Z1928">
        <v>512424</v>
      </c>
      <c r="AA1928">
        <v>56366.64</v>
      </c>
      <c r="AB1928">
        <v>3011645.34</v>
      </c>
      <c r="AC1928">
        <v>1</v>
      </c>
      <c r="AD1928" t="s">
        <v>134</v>
      </c>
      <c r="AE1928">
        <v>4</v>
      </c>
      <c r="AF1928" t="s">
        <v>596</v>
      </c>
      <c r="AG1928">
        <f>IFERROR(VLOOKUP(AF1928,[1]STOK!J:O,6,0),"")</f>
        <v>4</v>
      </c>
      <c r="AH1928" s="2">
        <f t="shared" si="60"/>
        <v>1</v>
      </c>
      <c r="AI1928" t="s">
        <v>596</v>
      </c>
      <c r="AJ1928" t="s">
        <v>597</v>
      </c>
      <c r="AK1928" t="s">
        <v>598</v>
      </c>
      <c r="AL1928" t="s">
        <v>86</v>
      </c>
      <c r="AM1928">
        <v>574536</v>
      </c>
      <c r="AN1928">
        <f t="shared" si="61"/>
        <v>568790.64</v>
      </c>
      <c r="AO1928" t="s">
        <v>66</v>
      </c>
      <c r="AP1928">
        <v>1</v>
      </c>
      <c r="AQ1928" t="s">
        <v>66</v>
      </c>
      <c r="AR1928">
        <v>0</v>
      </c>
      <c r="AS1928" t="s">
        <v>66</v>
      </c>
      <c r="AT1928">
        <v>0</v>
      </c>
      <c r="AU1928" t="s">
        <v>66</v>
      </c>
      <c r="AV1928">
        <v>0</v>
      </c>
      <c r="AW1928" t="s">
        <v>66</v>
      </c>
      <c r="AX1928">
        <v>0</v>
      </c>
      <c r="AY1928" t="s">
        <v>66</v>
      </c>
      <c r="AZ1928">
        <v>0</v>
      </c>
      <c r="BA1928" t="s">
        <v>66</v>
      </c>
      <c r="BB1928">
        <v>0</v>
      </c>
      <c r="BC1928">
        <v>0</v>
      </c>
      <c r="BD1928">
        <v>568790.64</v>
      </c>
      <c r="BE1928">
        <v>111322.74</v>
      </c>
      <c r="BF1928">
        <v>0</v>
      </c>
      <c r="BG1928" t="s">
        <v>87</v>
      </c>
      <c r="BH1928" t="s">
        <v>66</v>
      </c>
      <c r="BI1928">
        <v>0</v>
      </c>
      <c r="BJ1928" t="s">
        <v>66</v>
      </c>
      <c r="BK1928" t="s">
        <v>88</v>
      </c>
      <c r="BL1928" t="s">
        <v>66</v>
      </c>
      <c r="BM1928" t="s">
        <v>159</v>
      </c>
    </row>
    <row r="1929" spans="1:65" x14ac:dyDescent="0.25">
      <c r="A1929">
        <v>1927</v>
      </c>
      <c r="B1929" t="s">
        <v>1923</v>
      </c>
      <c r="C1929" t="s">
        <v>68</v>
      </c>
      <c r="D1929" s="1">
        <v>46227</v>
      </c>
      <c r="E1929" t="s">
        <v>1924</v>
      </c>
      <c r="F1929" t="s">
        <v>68</v>
      </c>
      <c r="G1929" t="s">
        <v>69</v>
      </c>
      <c r="H1929" t="s">
        <v>70</v>
      </c>
      <c r="I1929" t="s">
        <v>71</v>
      </c>
      <c r="J1929" t="s">
        <v>72</v>
      </c>
      <c r="K1929" t="s">
        <v>73</v>
      </c>
      <c r="L1929" t="s">
        <v>74</v>
      </c>
      <c r="M1929" t="s">
        <v>820</v>
      </c>
      <c r="N1929" t="s">
        <v>111</v>
      </c>
      <c r="O1929" t="s">
        <v>821</v>
      </c>
      <c r="P1929" t="s">
        <v>822</v>
      </c>
      <c r="Q1929" t="s">
        <v>1925</v>
      </c>
      <c r="R1929" s="1">
        <v>46230</v>
      </c>
      <c r="S1929" t="s">
        <v>824</v>
      </c>
      <c r="T1929" t="s">
        <v>825</v>
      </c>
      <c r="U1929" t="s">
        <v>826</v>
      </c>
      <c r="V1929" t="s">
        <v>66</v>
      </c>
      <c r="W1929" t="s">
        <v>66</v>
      </c>
      <c r="X1929">
        <v>2713194</v>
      </c>
      <c r="Y1929">
        <v>298451.34000000003</v>
      </c>
      <c r="Z1929">
        <v>460944</v>
      </c>
      <c r="AA1929">
        <v>50703.839999999997</v>
      </c>
      <c r="AB1929">
        <v>3011645.34</v>
      </c>
      <c r="AC1929">
        <v>2</v>
      </c>
      <c r="AD1929" t="s">
        <v>134</v>
      </c>
      <c r="AE1929">
        <v>24</v>
      </c>
      <c r="AF1929" t="s">
        <v>284</v>
      </c>
      <c r="AG1929">
        <f>IFERROR(VLOOKUP(AF1929,[1]STOK!J:O,6,0),"")</f>
        <v>12</v>
      </c>
      <c r="AH1929" s="2">
        <f t="shared" si="60"/>
        <v>2</v>
      </c>
      <c r="AI1929" t="s">
        <v>284</v>
      </c>
      <c r="AJ1929" t="s">
        <v>285</v>
      </c>
      <c r="AK1929" t="s">
        <v>286</v>
      </c>
      <c r="AL1929" t="s">
        <v>86</v>
      </c>
      <c r="AM1929">
        <v>258408</v>
      </c>
      <c r="AN1929">
        <f t="shared" si="61"/>
        <v>255823.92</v>
      </c>
      <c r="AO1929" t="s">
        <v>66</v>
      </c>
      <c r="AP1929">
        <v>1</v>
      </c>
      <c r="AQ1929" t="s">
        <v>66</v>
      </c>
      <c r="AR1929">
        <v>0</v>
      </c>
      <c r="AS1929" t="s">
        <v>66</v>
      </c>
      <c r="AT1929">
        <v>0</v>
      </c>
      <c r="AU1929" t="s">
        <v>66</v>
      </c>
      <c r="AV1929">
        <v>0</v>
      </c>
      <c r="AW1929" t="s">
        <v>66</v>
      </c>
      <c r="AX1929">
        <v>0</v>
      </c>
      <c r="AY1929" t="s">
        <v>66</v>
      </c>
      <c r="AZ1929">
        <v>0</v>
      </c>
      <c r="BA1929" t="s">
        <v>66</v>
      </c>
      <c r="BB1929">
        <v>0</v>
      </c>
      <c r="BC1929">
        <v>0</v>
      </c>
      <c r="BD1929">
        <v>511647.84</v>
      </c>
      <c r="BE1929">
        <v>17160.12</v>
      </c>
      <c r="BF1929">
        <v>0</v>
      </c>
      <c r="BG1929" t="s">
        <v>87</v>
      </c>
      <c r="BH1929" t="s">
        <v>66</v>
      </c>
      <c r="BI1929">
        <v>0</v>
      </c>
      <c r="BJ1929" t="s">
        <v>66</v>
      </c>
      <c r="BK1929" t="s">
        <v>88</v>
      </c>
      <c r="BL1929" t="s">
        <v>66</v>
      </c>
      <c r="BM1929" t="s">
        <v>159</v>
      </c>
    </row>
    <row r="1930" spans="1:65" x14ac:dyDescent="0.25">
      <c r="A1930">
        <v>1928</v>
      </c>
      <c r="B1930" t="s">
        <v>1923</v>
      </c>
      <c r="C1930" t="s">
        <v>68</v>
      </c>
      <c r="D1930" s="1">
        <v>46227</v>
      </c>
      <c r="E1930" t="s">
        <v>1924</v>
      </c>
      <c r="F1930" t="s">
        <v>68</v>
      </c>
      <c r="G1930" t="s">
        <v>69</v>
      </c>
      <c r="H1930" t="s">
        <v>70</v>
      </c>
      <c r="I1930" t="s">
        <v>71</v>
      </c>
      <c r="J1930" t="s">
        <v>72</v>
      </c>
      <c r="K1930" t="s">
        <v>73</v>
      </c>
      <c r="L1930" t="s">
        <v>74</v>
      </c>
      <c r="M1930" t="s">
        <v>820</v>
      </c>
      <c r="N1930" t="s">
        <v>111</v>
      </c>
      <c r="O1930" t="s">
        <v>821</v>
      </c>
      <c r="P1930" t="s">
        <v>822</v>
      </c>
      <c r="Q1930" t="s">
        <v>1925</v>
      </c>
      <c r="R1930" s="1">
        <v>46230</v>
      </c>
      <c r="S1930" t="s">
        <v>824</v>
      </c>
      <c r="T1930" t="s">
        <v>825</v>
      </c>
      <c r="U1930" t="s">
        <v>826</v>
      </c>
      <c r="V1930" t="s">
        <v>66</v>
      </c>
      <c r="W1930" t="s">
        <v>66</v>
      </c>
      <c r="X1930">
        <v>2713194</v>
      </c>
      <c r="Y1930">
        <v>298451.34000000003</v>
      </c>
      <c r="Z1930">
        <v>230472</v>
      </c>
      <c r="AA1930">
        <v>25351.919999999998</v>
      </c>
      <c r="AB1930">
        <v>3011645.34</v>
      </c>
      <c r="AC1930">
        <v>1</v>
      </c>
      <c r="AD1930" t="s">
        <v>134</v>
      </c>
      <c r="AE1930">
        <v>12</v>
      </c>
      <c r="AF1930" t="s">
        <v>287</v>
      </c>
      <c r="AG1930">
        <f>IFERROR(VLOOKUP(AF1930,[1]STOK!J:O,6,0),"")</f>
        <v>12</v>
      </c>
      <c r="AH1930" s="2">
        <f t="shared" si="60"/>
        <v>1</v>
      </c>
      <c r="AI1930" t="s">
        <v>287</v>
      </c>
      <c r="AJ1930" t="s">
        <v>288</v>
      </c>
      <c r="AK1930" t="s">
        <v>289</v>
      </c>
      <c r="AL1930" t="s">
        <v>86</v>
      </c>
      <c r="AM1930">
        <v>258408</v>
      </c>
      <c r="AN1930">
        <f t="shared" si="61"/>
        <v>255823.92</v>
      </c>
      <c r="AO1930" t="s">
        <v>66</v>
      </c>
      <c r="AP1930">
        <v>1</v>
      </c>
      <c r="AQ1930" t="s">
        <v>66</v>
      </c>
      <c r="AR1930">
        <v>0</v>
      </c>
      <c r="AS1930" t="s">
        <v>66</v>
      </c>
      <c r="AT1930">
        <v>0</v>
      </c>
      <c r="AU1930" t="s">
        <v>66</v>
      </c>
      <c r="AV1930">
        <v>0</v>
      </c>
      <c r="AW1930" t="s">
        <v>66</v>
      </c>
      <c r="AX1930">
        <v>0</v>
      </c>
      <c r="AY1930" t="s">
        <v>66</v>
      </c>
      <c r="AZ1930">
        <v>0</v>
      </c>
      <c r="BA1930" t="s">
        <v>66</v>
      </c>
      <c r="BB1930">
        <v>0</v>
      </c>
      <c r="BC1930">
        <v>0</v>
      </c>
      <c r="BD1930">
        <v>255823.92</v>
      </c>
      <c r="BE1930">
        <v>17175.11</v>
      </c>
      <c r="BF1930">
        <v>0</v>
      </c>
      <c r="BG1930" t="s">
        <v>87</v>
      </c>
      <c r="BH1930" t="s">
        <v>66</v>
      </c>
      <c r="BI1930">
        <v>0</v>
      </c>
      <c r="BJ1930" t="s">
        <v>66</v>
      </c>
      <c r="BK1930" t="s">
        <v>88</v>
      </c>
      <c r="BL1930" t="s">
        <v>66</v>
      </c>
      <c r="BM1930" t="s">
        <v>159</v>
      </c>
    </row>
    <row r="1931" spans="1:65" x14ac:dyDescent="0.25">
      <c r="A1931">
        <v>1929</v>
      </c>
      <c r="B1931" t="s">
        <v>1923</v>
      </c>
      <c r="C1931" t="s">
        <v>68</v>
      </c>
      <c r="D1931" s="1">
        <v>46227</v>
      </c>
      <c r="E1931" t="s">
        <v>1924</v>
      </c>
      <c r="F1931" t="s">
        <v>68</v>
      </c>
      <c r="G1931" t="s">
        <v>69</v>
      </c>
      <c r="H1931" t="s">
        <v>70</v>
      </c>
      <c r="I1931" t="s">
        <v>71</v>
      </c>
      <c r="J1931" t="s">
        <v>72</v>
      </c>
      <c r="K1931" t="s">
        <v>73</v>
      </c>
      <c r="L1931" t="s">
        <v>74</v>
      </c>
      <c r="M1931" t="s">
        <v>820</v>
      </c>
      <c r="N1931" t="s">
        <v>111</v>
      </c>
      <c r="O1931" t="s">
        <v>821</v>
      </c>
      <c r="P1931" t="s">
        <v>822</v>
      </c>
      <c r="Q1931" t="s">
        <v>1925</v>
      </c>
      <c r="R1931" s="1">
        <v>46230</v>
      </c>
      <c r="S1931" t="s">
        <v>824</v>
      </c>
      <c r="T1931" t="s">
        <v>825</v>
      </c>
      <c r="U1931" t="s">
        <v>826</v>
      </c>
      <c r="V1931" t="s">
        <v>66</v>
      </c>
      <c r="W1931" t="s">
        <v>66</v>
      </c>
      <c r="X1931">
        <v>2713194</v>
      </c>
      <c r="Y1931">
        <v>298451.34000000003</v>
      </c>
      <c r="Z1931">
        <v>81972</v>
      </c>
      <c r="AA1931">
        <v>9016.92</v>
      </c>
      <c r="AB1931">
        <v>3011645.34</v>
      </c>
      <c r="AC1931">
        <v>12</v>
      </c>
      <c r="AD1931" t="s">
        <v>82</v>
      </c>
      <c r="AE1931">
        <v>12</v>
      </c>
      <c r="AF1931" t="s">
        <v>1141</v>
      </c>
      <c r="AG1931">
        <f>IFERROR(VLOOKUP(AF1931,[1]STOK!J:O,6,0),"")</f>
        <v>24</v>
      </c>
      <c r="AH1931" s="2">
        <f t="shared" si="60"/>
        <v>0.5</v>
      </c>
      <c r="AI1931" t="s">
        <v>1141</v>
      </c>
      <c r="AJ1931" t="s">
        <v>1142</v>
      </c>
      <c r="AK1931" t="s">
        <v>1143</v>
      </c>
      <c r="AL1931" t="s">
        <v>86</v>
      </c>
      <c r="AM1931">
        <v>7659</v>
      </c>
      <c r="AN1931">
        <f t="shared" si="61"/>
        <v>7582.41</v>
      </c>
      <c r="AO1931" t="s">
        <v>66</v>
      </c>
      <c r="AP1931">
        <v>1</v>
      </c>
      <c r="AQ1931" t="s">
        <v>66</v>
      </c>
      <c r="AR1931">
        <v>0</v>
      </c>
      <c r="AS1931" t="s">
        <v>66</v>
      </c>
      <c r="AT1931">
        <v>0</v>
      </c>
      <c r="AU1931" t="s">
        <v>66</v>
      </c>
      <c r="AV1931">
        <v>0</v>
      </c>
      <c r="AW1931" t="s">
        <v>66</v>
      </c>
      <c r="AX1931">
        <v>0</v>
      </c>
      <c r="AY1931" t="s">
        <v>66</v>
      </c>
      <c r="AZ1931">
        <v>0</v>
      </c>
      <c r="BA1931" t="s">
        <v>66</v>
      </c>
      <c r="BB1931">
        <v>0</v>
      </c>
      <c r="BC1931">
        <v>0</v>
      </c>
      <c r="BD1931">
        <v>90988.92</v>
      </c>
      <c r="BE1931">
        <v>6096.48</v>
      </c>
      <c r="BF1931">
        <v>0</v>
      </c>
      <c r="BG1931" t="s">
        <v>87</v>
      </c>
      <c r="BH1931" t="s">
        <v>66</v>
      </c>
      <c r="BI1931">
        <v>0</v>
      </c>
      <c r="BJ1931" t="s">
        <v>66</v>
      </c>
      <c r="BK1931" t="s">
        <v>88</v>
      </c>
      <c r="BL1931" t="s">
        <v>66</v>
      </c>
      <c r="BM1931" t="s">
        <v>159</v>
      </c>
    </row>
    <row r="1932" spans="1:65" x14ac:dyDescent="0.25">
      <c r="A1932">
        <v>1930</v>
      </c>
      <c r="B1932" t="s">
        <v>1923</v>
      </c>
      <c r="C1932" t="s">
        <v>68</v>
      </c>
      <c r="D1932" s="1">
        <v>46227</v>
      </c>
      <c r="E1932" t="s">
        <v>1924</v>
      </c>
      <c r="F1932" t="s">
        <v>68</v>
      </c>
      <c r="G1932" t="s">
        <v>69</v>
      </c>
      <c r="H1932" t="s">
        <v>70</v>
      </c>
      <c r="I1932" t="s">
        <v>71</v>
      </c>
      <c r="J1932" t="s">
        <v>72</v>
      </c>
      <c r="K1932" t="s">
        <v>73</v>
      </c>
      <c r="L1932" t="s">
        <v>74</v>
      </c>
      <c r="M1932" t="s">
        <v>820</v>
      </c>
      <c r="N1932" t="s">
        <v>111</v>
      </c>
      <c r="O1932" t="s">
        <v>821</v>
      </c>
      <c r="P1932" t="s">
        <v>822</v>
      </c>
      <c r="Q1932" t="s">
        <v>1925</v>
      </c>
      <c r="R1932" s="1">
        <v>46230</v>
      </c>
      <c r="S1932" t="s">
        <v>824</v>
      </c>
      <c r="T1932" t="s">
        <v>825</v>
      </c>
      <c r="U1932" t="s">
        <v>826</v>
      </c>
      <c r="V1932" t="s">
        <v>66</v>
      </c>
      <c r="W1932" t="s">
        <v>66</v>
      </c>
      <c r="X1932">
        <v>2713194</v>
      </c>
      <c r="Y1932">
        <v>298451.34000000003</v>
      </c>
      <c r="Z1932">
        <v>99792</v>
      </c>
      <c r="AA1932">
        <v>10977.12</v>
      </c>
      <c r="AB1932">
        <v>3011645.34</v>
      </c>
      <c r="AC1932">
        <v>1</v>
      </c>
      <c r="AD1932" t="s">
        <v>134</v>
      </c>
      <c r="AE1932">
        <v>24</v>
      </c>
      <c r="AF1932" t="s">
        <v>1926</v>
      </c>
      <c r="AG1932">
        <f>IFERROR(VLOOKUP(AF1932,[1]STOK!J:O,6,0),"")</f>
        <v>24</v>
      </c>
      <c r="AH1932" s="2">
        <f t="shared" si="60"/>
        <v>1</v>
      </c>
      <c r="AI1932" t="s">
        <v>1926</v>
      </c>
      <c r="AJ1932" t="s">
        <v>1927</v>
      </c>
      <c r="AK1932" t="s">
        <v>1928</v>
      </c>
      <c r="AL1932" t="s">
        <v>86</v>
      </c>
      <c r="AM1932">
        <v>111888</v>
      </c>
      <c r="AN1932">
        <f t="shared" si="61"/>
        <v>110769.12</v>
      </c>
      <c r="AO1932" t="s">
        <v>66</v>
      </c>
      <c r="AP1932">
        <v>1</v>
      </c>
      <c r="AQ1932" t="s">
        <v>66</v>
      </c>
      <c r="AR1932">
        <v>0</v>
      </c>
      <c r="AS1932" t="s">
        <v>66</v>
      </c>
      <c r="AT1932">
        <v>0</v>
      </c>
      <c r="AU1932" t="s">
        <v>66</v>
      </c>
      <c r="AV1932">
        <v>0</v>
      </c>
      <c r="AW1932" t="s">
        <v>66</v>
      </c>
      <c r="AX1932">
        <v>0</v>
      </c>
      <c r="AY1932" t="s">
        <v>66</v>
      </c>
      <c r="AZ1932">
        <v>0</v>
      </c>
      <c r="BA1932" t="s">
        <v>66</v>
      </c>
      <c r="BB1932">
        <v>0</v>
      </c>
      <c r="BC1932">
        <v>0</v>
      </c>
      <c r="BD1932">
        <v>110769.12</v>
      </c>
      <c r="BE1932">
        <v>3711.03</v>
      </c>
      <c r="BF1932">
        <v>0</v>
      </c>
      <c r="BG1932" t="s">
        <v>87</v>
      </c>
      <c r="BH1932" t="s">
        <v>66</v>
      </c>
      <c r="BI1932">
        <v>0</v>
      </c>
      <c r="BJ1932" t="s">
        <v>66</v>
      </c>
      <c r="BK1932" t="s">
        <v>88</v>
      </c>
      <c r="BL1932" t="s">
        <v>66</v>
      </c>
      <c r="BM1932" t="s">
        <v>159</v>
      </c>
    </row>
    <row r="1933" spans="1:65" x14ac:dyDescent="0.25">
      <c r="A1933">
        <v>1931</v>
      </c>
      <c r="B1933" t="s">
        <v>1923</v>
      </c>
      <c r="C1933" t="s">
        <v>68</v>
      </c>
      <c r="D1933" s="1">
        <v>46227</v>
      </c>
      <c r="E1933" t="s">
        <v>1924</v>
      </c>
      <c r="F1933" t="s">
        <v>68</v>
      </c>
      <c r="G1933" t="s">
        <v>69</v>
      </c>
      <c r="H1933" t="s">
        <v>70</v>
      </c>
      <c r="I1933" t="s">
        <v>71</v>
      </c>
      <c r="J1933" t="s">
        <v>72</v>
      </c>
      <c r="K1933" t="s">
        <v>73</v>
      </c>
      <c r="L1933" t="s">
        <v>74</v>
      </c>
      <c r="M1933" t="s">
        <v>820</v>
      </c>
      <c r="N1933" t="s">
        <v>111</v>
      </c>
      <c r="O1933" t="s">
        <v>821</v>
      </c>
      <c r="P1933" t="s">
        <v>822</v>
      </c>
      <c r="Q1933" t="s">
        <v>1925</v>
      </c>
      <c r="R1933" s="1">
        <v>46230</v>
      </c>
      <c r="S1933" t="s">
        <v>824</v>
      </c>
      <c r="T1933" t="s">
        <v>825</v>
      </c>
      <c r="U1933" t="s">
        <v>826</v>
      </c>
      <c r="V1933" t="s">
        <v>66</v>
      </c>
      <c r="W1933" t="s">
        <v>66</v>
      </c>
      <c r="X1933">
        <v>2713194</v>
      </c>
      <c r="Y1933">
        <v>298451.34000000003</v>
      </c>
      <c r="Z1933">
        <v>99792</v>
      </c>
      <c r="AA1933">
        <v>10977.12</v>
      </c>
      <c r="AB1933">
        <v>3011645.34</v>
      </c>
      <c r="AC1933">
        <v>1</v>
      </c>
      <c r="AD1933" t="s">
        <v>134</v>
      </c>
      <c r="AE1933">
        <v>24</v>
      </c>
      <c r="AF1933" t="s">
        <v>131</v>
      </c>
      <c r="AG1933">
        <f>IFERROR(VLOOKUP(AF1933,[1]STOK!J:O,6,0),"")</f>
        <v>24</v>
      </c>
      <c r="AH1933" s="2">
        <f t="shared" si="60"/>
        <v>1</v>
      </c>
      <c r="AI1933" t="s">
        <v>131</v>
      </c>
      <c r="AJ1933" t="s">
        <v>132</v>
      </c>
      <c r="AK1933" t="s">
        <v>133</v>
      </c>
      <c r="AL1933" t="s">
        <v>86</v>
      </c>
      <c r="AM1933">
        <v>111888</v>
      </c>
      <c r="AN1933">
        <f t="shared" si="61"/>
        <v>110769.12</v>
      </c>
      <c r="AO1933" t="s">
        <v>66</v>
      </c>
      <c r="AP1933">
        <v>1</v>
      </c>
      <c r="AQ1933" t="s">
        <v>66</v>
      </c>
      <c r="AR1933">
        <v>0</v>
      </c>
      <c r="AS1933" t="s">
        <v>66</v>
      </c>
      <c r="AT1933">
        <v>0</v>
      </c>
      <c r="AU1933" t="s">
        <v>66</v>
      </c>
      <c r="AV1933">
        <v>0</v>
      </c>
      <c r="AW1933" t="s">
        <v>66</v>
      </c>
      <c r="AX1933">
        <v>0</v>
      </c>
      <c r="AY1933" t="s">
        <v>66</v>
      </c>
      <c r="AZ1933">
        <v>0</v>
      </c>
      <c r="BA1933" t="s">
        <v>66</v>
      </c>
      <c r="BB1933">
        <v>0</v>
      </c>
      <c r="BC1933">
        <v>0</v>
      </c>
      <c r="BD1933">
        <v>110769.12</v>
      </c>
      <c r="BE1933">
        <v>3657.11</v>
      </c>
      <c r="BF1933">
        <v>0</v>
      </c>
      <c r="BG1933" t="s">
        <v>87</v>
      </c>
      <c r="BH1933" t="s">
        <v>66</v>
      </c>
      <c r="BI1933">
        <v>0</v>
      </c>
      <c r="BJ1933" t="s">
        <v>66</v>
      </c>
      <c r="BK1933" t="s">
        <v>88</v>
      </c>
      <c r="BL1933" t="s">
        <v>66</v>
      </c>
      <c r="BM1933" t="s">
        <v>159</v>
      </c>
    </row>
    <row r="1934" spans="1:65" x14ac:dyDescent="0.25">
      <c r="A1934">
        <v>1932</v>
      </c>
      <c r="B1934" t="s">
        <v>1923</v>
      </c>
      <c r="C1934" t="s">
        <v>68</v>
      </c>
      <c r="D1934" s="1">
        <v>46227</v>
      </c>
      <c r="E1934" t="s">
        <v>1924</v>
      </c>
      <c r="F1934" t="s">
        <v>68</v>
      </c>
      <c r="G1934" t="s">
        <v>69</v>
      </c>
      <c r="H1934" t="s">
        <v>70</v>
      </c>
      <c r="I1934" t="s">
        <v>71</v>
      </c>
      <c r="J1934" t="s">
        <v>72</v>
      </c>
      <c r="K1934" t="s">
        <v>73</v>
      </c>
      <c r="L1934" t="s">
        <v>74</v>
      </c>
      <c r="M1934" t="s">
        <v>820</v>
      </c>
      <c r="N1934" t="s">
        <v>111</v>
      </c>
      <c r="O1934" t="s">
        <v>821</v>
      </c>
      <c r="P1934" t="s">
        <v>822</v>
      </c>
      <c r="Q1934" t="s">
        <v>1925</v>
      </c>
      <c r="R1934" s="1">
        <v>46230</v>
      </c>
      <c r="S1934" t="s">
        <v>824</v>
      </c>
      <c r="T1934" t="s">
        <v>825</v>
      </c>
      <c r="U1934" t="s">
        <v>826</v>
      </c>
      <c r="V1934" t="s">
        <v>66</v>
      </c>
      <c r="W1934" t="s">
        <v>66</v>
      </c>
      <c r="X1934">
        <v>2713194</v>
      </c>
      <c r="Y1934">
        <v>298451.34000000003</v>
      </c>
      <c r="Z1934">
        <v>75438</v>
      </c>
      <c r="AA1934">
        <v>8298.18</v>
      </c>
      <c r="AB1934">
        <v>3011645.34</v>
      </c>
      <c r="AC1934">
        <v>6</v>
      </c>
      <c r="AD1934" t="s">
        <v>82</v>
      </c>
      <c r="AE1934">
        <v>6</v>
      </c>
      <c r="AF1934" t="s">
        <v>830</v>
      </c>
      <c r="AG1934">
        <f>IFERROR(VLOOKUP(AF1934,[1]STOK!J:O,6,0),"")</f>
        <v>12</v>
      </c>
      <c r="AH1934" s="2">
        <f t="shared" si="60"/>
        <v>0.5</v>
      </c>
      <c r="AI1934" t="s">
        <v>830</v>
      </c>
      <c r="AJ1934" t="s">
        <v>831</v>
      </c>
      <c r="AK1934" t="s">
        <v>832</v>
      </c>
      <c r="AL1934" t="s">
        <v>86</v>
      </c>
      <c r="AM1934">
        <v>14097</v>
      </c>
      <c r="AN1934">
        <f t="shared" si="61"/>
        <v>13956.029999999999</v>
      </c>
      <c r="AO1934" t="s">
        <v>66</v>
      </c>
      <c r="AP1934">
        <v>1</v>
      </c>
      <c r="AQ1934" t="s">
        <v>66</v>
      </c>
      <c r="AR1934">
        <v>0</v>
      </c>
      <c r="AS1934" t="s">
        <v>66</v>
      </c>
      <c r="AT1934">
        <v>0</v>
      </c>
      <c r="AU1934" t="s">
        <v>66</v>
      </c>
      <c r="AV1934">
        <v>0</v>
      </c>
      <c r="AW1934" t="s">
        <v>66</v>
      </c>
      <c r="AX1934">
        <v>0</v>
      </c>
      <c r="AY1934" t="s">
        <v>66</v>
      </c>
      <c r="AZ1934">
        <v>0</v>
      </c>
      <c r="BA1934" t="s">
        <v>66</v>
      </c>
      <c r="BB1934">
        <v>0</v>
      </c>
      <c r="BC1934">
        <v>0</v>
      </c>
      <c r="BD1934">
        <v>83736.179999999993</v>
      </c>
      <c r="BE1934">
        <v>10633.63</v>
      </c>
      <c r="BF1934">
        <v>0</v>
      </c>
      <c r="BG1934" t="s">
        <v>87</v>
      </c>
      <c r="BH1934" t="s">
        <v>66</v>
      </c>
      <c r="BI1934">
        <v>0</v>
      </c>
      <c r="BJ1934" t="s">
        <v>66</v>
      </c>
      <c r="BK1934" t="s">
        <v>88</v>
      </c>
      <c r="BL1934" t="s">
        <v>66</v>
      </c>
      <c r="BM1934" t="s">
        <v>159</v>
      </c>
    </row>
    <row r="1935" spans="1:65" x14ac:dyDescent="0.25">
      <c r="A1935">
        <v>1933</v>
      </c>
      <c r="B1935" t="s">
        <v>1923</v>
      </c>
      <c r="C1935" t="s">
        <v>68</v>
      </c>
      <c r="D1935" s="1">
        <v>46227</v>
      </c>
      <c r="E1935" t="s">
        <v>1924</v>
      </c>
      <c r="F1935" t="s">
        <v>68</v>
      </c>
      <c r="G1935" t="s">
        <v>69</v>
      </c>
      <c r="H1935" t="s">
        <v>70</v>
      </c>
      <c r="I1935" t="s">
        <v>71</v>
      </c>
      <c r="J1935" t="s">
        <v>72</v>
      </c>
      <c r="K1935" t="s">
        <v>73</v>
      </c>
      <c r="L1935" t="s">
        <v>74</v>
      </c>
      <c r="M1935" t="s">
        <v>820</v>
      </c>
      <c r="N1935" t="s">
        <v>111</v>
      </c>
      <c r="O1935" t="s">
        <v>821</v>
      </c>
      <c r="P1935" t="s">
        <v>822</v>
      </c>
      <c r="Q1935" t="s">
        <v>1925</v>
      </c>
      <c r="R1935" s="1">
        <v>46230</v>
      </c>
      <c r="S1935" t="s">
        <v>824</v>
      </c>
      <c r="T1935" t="s">
        <v>825</v>
      </c>
      <c r="U1935" t="s">
        <v>826</v>
      </c>
      <c r="V1935" t="s">
        <v>66</v>
      </c>
      <c r="W1935" t="s">
        <v>66</v>
      </c>
      <c r="X1935">
        <v>2713194</v>
      </c>
      <c r="Y1935">
        <v>298451.34000000003</v>
      </c>
      <c r="Z1935">
        <v>199584</v>
      </c>
      <c r="AA1935">
        <v>21954.240000000002</v>
      </c>
      <c r="AB1935">
        <v>3011645.34</v>
      </c>
      <c r="AC1935">
        <v>1</v>
      </c>
      <c r="AD1935" t="s">
        <v>134</v>
      </c>
      <c r="AE1935">
        <v>4</v>
      </c>
      <c r="AF1935" t="s">
        <v>1058</v>
      </c>
      <c r="AG1935">
        <f>IFERROR(VLOOKUP(AF1935,[1]STOK!J:O,6,0),"")</f>
        <v>4</v>
      </c>
      <c r="AH1935" s="2">
        <f t="shared" si="60"/>
        <v>1</v>
      </c>
      <c r="AI1935" t="s">
        <v>1058</v>
      </c>
      <c r="AJ1935" t="s">
        <v>1059</v>
      </c>
      <c r="AK1935" t="s">
        <v>1060</v>
      </c>
      <c r="AL1935" t="s">
        <v>86</v>
      </c>
      <c r="AM1935">
        <v>223776</v>
      </c>
      <c r="AN1935">
        <f t="shared" si="61"/>
        <v>221538.24</v>
      </c>
      <c r="AO1935" t="s">
        <v>66</v>
      </c>
      <c r="AP1935">
        <v>1</v>
      </c>
      <c r="AQ1935" t="s">
        <v>66</v>
      </c>
      <c r="AR1935">
        <v>0</v>
      </c>
      <c r="AS1935" t="s">
        <v>66</v>
      </c>
      <c r="AT1935">
        <v>0</v>
      </c>
      <c r="AU1935" t="s">
        <v>66</v>
      </c>
      <c r="AV1935">
        <v>0</v>
      </c>
      <c r="AW1935" t="s">
        <v>66</v>
      </c>
      <c r="AX1935">
        <v>0</v>
      </c>
      <c r="AY1935" t="s">
        <v>66</v>
      </c>
      <c r="AZ1935">
        <v>0</v>
      </c>
      <c r="BA1935" t="s">
        <v>66</v>
      </c>
      <c r="BB1935">
        <v>0</v>
      </c>
      <c r="BC1935">
        <v>0</v>
      </c>
      <c r="BD1935">
        <v>221538.24</v>
      </c>
      <c r="BE1935">
        <v>44894.61</v>
      </c>
      <c r="BF1935">
        <v>0</v>
      </c>
      <c r="BG1935" t="s">
        <v>87</v>
      </c>
      <c r="BH1935" t="s">
        <v>66</v>
      </c>
      <c r="BI1935">
        <v>0</v>
      </c>
      <c r="BJ1935" t="s">
        <v>66</v>
      </c>
      <c r="BK1935" t="s">
        <v>88</v>
      </c>
      <c r="BL1935" t="s">
        <v>66</v>
      </c>
      <c r="BM1935" t="s">
        <v>159</v>
      </c>
    </row>
    <row r="1936" spans="1:65" x14ac:dyDescent="0.25">
      <c r="A1936">
        <v>1934</v>
      </c>
      <c r="B1936" t="s">
        <v>1923</v>
      </c>
      <c r="C1936" t="s">
        <v>68</v>
      </c>
      <c r="D1936" s="1">
        <v>46227</v>
      </c>
      <c r="E1936" t="s">
        <v>1924</v>
      </c>
      <c r="F1936" t="s">
        <v>68</v>
      </c>
      <c r="G1936" t="s">
        <v>69</v>
      </c>
      <c r="H1936" t="s">
        <v>70</v>
      </c>
      <c r="I1936" t="s">
        <v>71</v>
      </c>
      <c r="J1936" t="s">
        <v>72</v>
      </c>
      <c r="K1936" t="s">
        <v>73</v>
      </c>
      <c r="L1936" t="s">
        <v>74</v>
      </c>
      <c r="M1936" t="s">
        <v>820</v>
      </c>
      <c r="N1936" t="s">
        <v>111</v>
      </c>
      <c r="O1936" t="s">
        <v>821</v>
      </c>
      <c r="P1936" t="s">
        <v>822</v>
      </c>
      <c r="Q1936" t="s">
        <v>1925</v>
      </c>
      <c r="R1936" s="1">
        <v>46230</v>
      </c>
      <c r="S1936" t="s">
        <v>824</v>
      </c>
      <c r="T1936" t="s">
        <v>825</v>
      </c>
      <c r="U1936" t="s">
        <v>826</v>
      </c>
      <c r="V1936" t="s">
        <v>66</v>
      </c>
      <c r="W1936" t="s">
        <v>66</v>
      </c>
      <c r="X1936">
        <v>2713194</v>
      </c>
      <c r="Y1936">
        <v>298451.34000000003</v>
      </c>
      <c r="Z1936">
        <v>205524</v>
      </c>
      <c r="AA1936">
        <v>22607.64</v>
      </c>
      <c r="AB1936">
        <v>3011645.34</v>
      </c>
      <c r="AC1936">
        <v>1</v>
      </c>
      <c r="AD1936" t="s">
        <v>134</v>
      </c>
      <c r="AE1936">
        <v>12</v>
      </c>
      <c r="AF1936" t="s">
        <v>359</v>
      </c>
      <c r="AG1936">
        <f>IFERROR(VLOOKUP(AF1936,[1]STOK!J:O,6,0),"")</f>
        <v>12</v>
      </c>
      <c r="AH1936" s="2">
        <f t="shared" si="60"/>
        <v>1</v>
      </c>
      <c r="AI1936" t="s">
        <v>359</v>
      </c>
      <c r="AJ1936" t="s">
        <v>360</v>
      </c>
      <c r="AK1936" t="s">
        <v>361</v>
      </c>
      <c r="AL1936" t="s">
        <v>86</v>
      </c>
      <c r="AM1936">
        <v>230436</v>
      </c>
      <c r="AN1936">
        <f t="shared" si="61"/>
        <v>228131.64</v>
      </c>
      <c r="AO1936" t="s">
        <v>66</v>
      </c>
      <c r="AP1936">
        <v>1</v>
      </c>
      <c r="AQ1936" t="s">
        <v>66</v>
      </c>
      <c r="AR1936">
        <v>0</v>
      </c>
      <c r="AS1936" t="s">
        <v>66</v>
      </c>
      <c r="AT1936">
        <v>0</v>
      </c>
      <c r="AU1936" t="s">
        <v>66</v>
      </c>
      <c r="AV1936">
        <v>0</v>
      </c>
      <c r="AW1936" t="s">
        <v>66</v>
      </c>
      <c r="AX1936">
        <v>0</v>
      </c>
      <c r="AY1936" t="s">
        <v>66</v>
      </c>
      <c r="AZ1936">
        <v>0</v>
      </c>
      <c r="BA1936" t="s">
        <v>66</v>
      </c>
      <c r="BB1936">
        <v>0</v>
      </c>
      <c r="BC1936">
        <v>0</v>
      </c>
      <c r="BD1936">
        <v>228131.64</v>
      </c>
      <c r="BE1936">
        <v>15490.24</v>
      </c>
      <c r="BF1936">
        <v>0</v>
      </c>
      <c r="BG1936" t="s">
        <v>87</v>
      </c>
      <c r="BH1936" t="s">
        <v>66</v>
      </c>
      <c r="BI1936">
        <v>0</v>
      </c>
      <c r="BJ1936" t="s">
        <v>66</v>
      </c>
      <c r="BK1936" t="s">
        <v>88</v>
      </c>
      <c r="BL1936" t="s">
        <v>66</v>
      </c>
      <c r="BM1936" t="s">
        <v>159</v>
      </c>
    </row>
    <row r="1937" spans="1:65" x14ac:dyDescent="0.25">
      <c r="A1937">
        <v>1935</v>
      </c>
      <c r="B1937" t="s">
        <v>1923</v>
      </c>
      <c r="C1937" t="s">
        <v>68</v>
      </c>
      <c r="D1937" s="1">
        <v>46227</v>
      </c>
      <c r="E1937" t="s">
        <v>1924</v>
      </c>
      <c r="F1937" t="s">
        <v>68</v>
      </c>
      <c r="G1937" t="s">
        <v>69</v>
      </c>
      <c r="H1937" t="s">
        <v>70</v>
      </c>
      <c r="I1937" t="s">
        <v>71</v>
      </c>
      <c r="J1937" t="s">
        <v>72</v>
      </c>
      <c r="K1937" t="s">
        <v>73</v>
      </c>
      <c r="L1937" t="s">
        <v>74</v>
      </c>
      <c r="M1937" t="s">
        <v>820</v>
      </c>
      <c r="N1937" t="s">
        <v>111</v>
      </c>
      <c r="O1937" t="s">
        <v>821</v>
      </c>
      <c r="P1937" t="s">
        <v>822</v>
      </c>
      <c r="Q1937" t="s">
        <v>1925</v>
      </c>
      <c r="R1937" s="1">
        <v>46230</v>
      </c>
      <c r="S1937" t="s">
        <v>824</v>
      </c>
      <c r="T1937" t="s">
        <v>825</v>
      </c>
      <c r="U1937" t="s">
        <v>826</v>
      </c>
      <c r="V1937" t="s">
        <v>66</v>
      </c>
      <c r="W1937" t="s">
        <v>66</v>
      </c>
      <c r="X1937">
        <v>2713194</v>
      </c>
      <c r="Y1937">
        <v>298451.34000000003</v>
      </c>
      <c r="Z1937">
        <v>171072</v>
      </c>
      <c r="AA1937">
        <v>18817.919999999998</v>
      </c>
      <c r="AB1937">
        <v>3011645.34</v>
      </c>
      <c r="AC1937">
        <v>1</v>
      </c>
      <c r="AD1937" t="s">
        <v>134</v>
      </c>
      <c r="AE1937">
        <v>12</v>
      </c>
      <c r="AF1937" t="s">
        <v>141</v>
      </c>
      <c r="AG1937">
        <f>IFERROR(VLOOKUP(AF1937,[1]STOK!J:O,6,0),"")</f>
        <v>12</v>
      </c>
      <c r="AH1937" s="2">
        <f t="shared" si="60"/>
        <v>1</v>
      </c>
      <c r="AI1937" t="s">
        <v>141</v>
      </c>
      <c r="AJ1937" t="s">
        <v>142</v>
      </c>
      <c r="AK1937" t="s">
        <v>143</v>
      </c>
      <c r="AL1937" t="s">
        <v>86</v>
      </c>
      <c r="AM1937">
        <v>191808</v>
      </c>
      <c r="AN1937">
        <f t="shared" si="61"/>
        <v>189889.92000000001</v>
      </c>
      <c r="AO1937" t="s">
        <v>66</v>
      </c>
      <c r="AP1937">
        <v>1</v>
      </c>
      <c r="AQ1937" t="s">
        <v>66</v>
      </c>
      <c r="AR1937">
        <v>0</v>
      </c>
      <c r="AS1937" t="s">
        <v>66</v>
      </c>
      <c r="AT1937">
        <v>0</v>
      </c>
      <c r="AU1937" t="s">
        <v>66</v>
      </c>
      <c r="AV1937">
        <v>0</v>
      </c>
      <c r="AW1937" t="s">
        <v>66</v>
      </c>
      <c r="AX1937">
        <v>0</v>
      </c>
      <c r="AY1937" t="s">
        <v>66</v>
      </c>
      <c r="AZ1937">
        <v>0</v>
      </c>
      <c r="BA1937" t="s">
        <v>66</v>
      </c>
      <c r="BB1937">
        <v>0</v>
      </c>
      <c r="BC1937">
        <v>0</v>
      </c>
      <c r="BD1937">
        <v>189889.92000000001</v>
      </c>
      <c r="BE1937">
        <v>12915.05</v>
      </c>
      <c r="BF1937">
        <v>0</v>
      </c>
      <c r="BG1937" t="s">
        <v>87</v>
      </c>
      <c r="BH1937" t="s">
        <v>66</v>
      </c>
      <c r="BI1937">
        <v>0</v>
      </c>
      <c r="BJ1937" t="s">
        <v>66</v>
      </c>
      <c r="BK1937" t="s">
        <v>88</v>
      </c>
      <c r="BL1937" t="s">
        <v>66</v>
      </c>
      <c r="BM1937" t="s">
        <v>159</v>
      </c>
    </row>
    <row r="1938" spans="1:65" x14ac:dyDescent="0.25">
      <c r="A1938">
        <v>1936</v>
      </c>
      <c r="B1938" t="s">
        <v>1923</v>
      </c>
      <c r="C1938" t="s">
        <v>68</v>
      </c>
      <c r="D1938" s="1">
        <v>46227</v>
      </c>
      <c r="E1938" t="s">
        <v>1924</v>
      </c>
      <c r="F1938" t="s">
        <v>68</v>
      </c>
      <c r="G1938" t="s">
        <v>69</v>
      </c>
      <c r="H1938" t="s">
        <v>70</v>
      </c>
      <c r="I1938" t="s">
        <v>71</v>
      </c>
      <c r="J1938" t="s">
        <v>72</v>
      </c>
      <c r="K1938" t="s">
        <v>73</v>
      </c>
      <c r="L1938" t="s">
        <v>74</v>
      </c>
      <c r="M1938" t="s">
        <v>820</v>
      </c>
      <c r="N1938" t="s">
        <v>111</v>
      </c>
      <c r="O1938" t="s">
        <v>821</v>
      </c>
      <c r="P1938" t="s">
        <v>822</v>
      </c>
      <c r="Q1938" t="s">
        <v>1925</v>
      </c>
      <c r="R1938" s="1">
        <v>46230</v>
      </c>
      <c r="S1938" t="s">
        <v>824</v>
      </c>
      <c r="T1938" t="s">
        <v>825</v>
      </c>
      <c r="U1938" t="s">
        <v>826</v>
      </c>
      <c r="V1938" t="s">
        <v>66</v>
      </c>
      <c r="W1938" t="s">
        <v>66</v>
      </c>
      <c r="X1938">
        <v>2713194</v>
      </c>
      <c r="Y1938">
        <v>298451.34000000003</v>
      </c>
      <c r="Z1938">
        <v>171072</v>
      </c>
      <c r="AA1938">
        <v>18817.919999999998</v>
      </c>
      <c r="AB1938">
        <v>3011645.34</v>
      </c>
      <c r="AC1938">
        <v>1</v>
      </c>
      <c r="AD1938" t="s">
        <v>134</v>
      </c>
      <c r="AE1938">
        <v>12</v>
      </c>
      <c r="AF1938" t="s">
        <v>213</v>
      </c>
      <c r="AG1938">
        <f>IFERROR(VLOOKUP(AF1938,[1]STOK!J:O,6,0),"")</f>
        <v>12</v>
      </c>
      <c r="AH1938" s="2">
        <f t="shared" si="60"/>
        <v>1</v>
      </c>
      <c r="AI1938" t="s">
        <v>213</v>
      </c>
      <c r="AJ1938" t="s">
        <v>214</v>
      </c>
      <c r="AK1938" t="s">
        <v>215</v>
      </c>
      <c r="AL1938" t="s">
        <v>86</v>
      </c>
      <c r="AM1938">
        <v>191808</v>
      </c>
      <c r="AN1938">
        <f t="shared" si="61"/>
        <v>189889.92000000001</v>
      </c>
      <c r="AO1938" t="s">
        <v>66</v>
      </c>
      <c r="AP1938">
        <v>1</v>
      </c>
      <c r="AQ1938" t="s">
        <v>66</v>
      </c>
      <c r="AR1938">
        <v>0</v>
      </c>
      <c r="AS1938" t="s">
        <v>66</v>
      </c>
      <c r="AT1938">
        <v>0</v>
      </c>
      <c r="AU1938" t="s">
        <v>66</v>
      </c>
      <c r="AV1938">
        <v>0</v>
      </c>
      <c r="AW1938" t="s">
        <v>66</v>
      </c>
      <c r="AX1938">
        <v>0</v>
      </c>
      <c r="AY1938" t="s">
        <v>66</v>
      </c>
      <c r="AZ1938">
        <v>0</v>
      </c>
      <c r="BA1938" t="s">
        <v>66</v>
      </c>
      <c r="BB1938">
        <v>0</v>
      </c>
      <c r="BC1938">
        <v>0</v>
      </c>
      <c r="BD1938">
        <v>189889.92000000001</v>
      </c>
      <c r="BE1938">
        <v>12609.82</v>
      </c>
      <c r="BF1938">
        <v>0</v>
      </c>
      <c r="BG1938" t="s">
        <v>87</v>
      </c>
      <c r="BH1938" t="s">
        <v>66</v>
      </c>
      <c r="BI1938">
        <v>0</v>
      </c>
      <c r="BJ1938" t="s">
        <v>66</v>
      </c>
      <c r="BK1938" t="s">
        <v>88</v>
      </c>
      <c r="BL1938" t="s">
        <v>66</v>
      </c>
      <c r="BM1938" t="s">
        <v>159</v>
      </c>
    </row>
    <row r="1939" spans="1:65" x14ac:dyDescent="0.25">
      <c r="A1939">
        <v>1937</v>
      </c>
      <c r="B1939" t="s">
        <v>1929</v>
      </c>
      <c r="C1939" t="s">
        <v>68</v>
      </c>
      <c r="D1939" s="1">
        <v>46228</v>
      </c>
      <c r="E1939" t="s">
        <v>1930</v>
      </c>
      <c r="F1939" t="s">
        <v>68</v>
      </c>
      <c r="G1939" t="s">
        <v>295</v>
      </c>
      <c r="H1939" t="s">
        <v>296</v>
      </c>
      <c r="I1939" t="s">
        <v>71</v>
      </c>
      <c r="J1939" t="s">
        <v>72</v>
      </c>
      <c r="K1939" t="s">
        <v>73</v>
      </c>
      <c r="L1939" t="s">
        <v>74</v>
      </c>
      <c r="M1939" t="s">
        <v>1226</v>
      </c>
      <c r="N1939" t="s">
        <v>76</v>
      </c>
      <c r="O1939" t="s">
        <v>1227</v>
      </c>
      <c r="P1939" t="s">
        <v>1228</v>
      </c>
      <c r="Q1939" t="s">
        <v>66</v>
      </c>
      <c r="R1939" s="1">
        <v>46228</v>
      </c>
      <c r="S1939" t="s">
        <v>1230</v>
      </c>
      <c r="T1939" t="s">
        <v>1231</v>
      </c>
      <c r="U1939" t="s">
        <v>1232</v>
      </c>
      <c r="V1939" t="s">
        <v>66</v>
      </c>
      <c r="W1939" t="s">
        <v>66</v>
      </c>
      <c r="X1939">
        <v>1944459</v>
      </c>
      <c r="Y1939">
        <v>213890.49</v>
      </c>
      <c r="Z1939">
        <v>109296</v>
      </c>
      <c r="AA1939">
        <v>12022.56</v>
      </c>
      <c r="AB1939">
        <v>2158349.4900000002</v>
      </c>
      <c r="AC1939">
        <v>6</v>
      </c>
      <c r="AD1939" t="s">
        <v>82</v>
      </c>
      <c r="AE1939">
        <v>6</v>
      </c>
      <c r="AF1939" t="s">
        <v>160</v>
      </c>
      <c r="AG1939">
        <f>IFERROR(VLOOKUP(AF1939,[1]STOK!J:O,6,0),"")</f>
        <v>12</v>
      </c>
      <c r="AH1939" s="2">
        <f t="shared" si="60"/>
        <v>0.5</v>
      </c>
      <c r="AI1939" t="s">
        <v>160</v>
      </c>
      <c r="AJ1939" t="s">
        <v>161</v>
      </c>
      <c r="AK1939" t="s">
        <v>162</v>
      </c>
      <c r="AL1939" t="s">
        <v>86</v>
      </c>
      <c r="AM1939">
        <v>20424</v>
      </c>
      <c r="AN1939">
        <f t="shared" si="61"/>
        <v>20219.759999999998</v>
      </c>
      <c r="AO1939" t="s">
        <v>66</v>
      </c>
      <c r="AP1939">
        <v>1</v>
      </c>
      <c r="AQ1939" t="s">
        <v>66</v>
      </c>
      <c r="AR1939">
        <v>0</v>
      </c>
      <c r="AS1939" t="s">
        <v>66</v>
      </c>
      <c r="AT1939">
        <v>0</v>
      </c>
      <c r="AU1939" t="s">
        <v>66</v>
      </c>
      <c r="AV1939">
        <v>0</v>
      </c>
      <c r="AW1939" t="s">
        <v>66</v>
      </c>
      <c r="AX1939">
        <v>0</v>
      </c>
      <c r="AY1939" t="s">
        <v>66</v>
      </c>
      <c r="AZ1939">
        <v>0</v>
      </c>
      <c r="BA1939" t="s">
        <v>66</v>
      </c>
      <c r="BB1939">
        <v>0</v>
      </c>
      <c r="BC1939">
        <v>0</v>
      </c>
      <c r="BD1939">
        <v>121318.56</v>
      </c>
      <c r="BE1939">
        <v>15433.08</v>
      </c>
      <c r="BF1939">
        <v>0</v>
      </c>
      <c r="BG1939" t="s">
        <v>87</v>
      </c>
      <c r="BH1939" t="s">
        <v>66</v>
      </c>
      <c r="BI1939">
        <v>0</v>
      </c>
      <c r="BJ1939" t="s">
        <v>66</v>
      </c>
      <c r="BK1939" t="s">
        <v>88</v>
      </c>
      <c r="BL1939" t="s">
        <v>66</v>
      </c>
      <c r="BM1939" t="s">
        <v>159</v>
      </c>
    </row>
    <row r="1940" spans="1:65" x14ac:dyDescent="0.25">
      <c r="A1940">
        <v>1938</v>
      </c>
      <c r="B1940" t="s">
        <v>1929</v>
      </c>
      <c r="C1940" t="s">
        <v>68</v>
      </c>
      <c r="D1940" s="1">
        <v>46228</v>
      </c>
      <c r="E1940" t="s">
        <v>1930</v>
      </c>
      <c r="F1940" t="s">
        <v>68</v>
      </c>
      <c r="G1940" t="s">
        <v>295</v>
      </c>
      <c r="H1940" t="s">
        <v>296</v>
      </c>
      <c r="I1940" t="s">
        <v>71</v>
      </c>
      <c r="J1940" t="s">
        <v>72</v>
      </c>
      <c r="K1940" t="s">
        <v>73</v>
      </c>
      <c r="L1940" t="s">
        <v>74</v>
      </c>
      <c r="M1940" t="s">
        <v>1226</v>
      </c>
      <c r="N1940" t="s">
        <v>76</v>
      </c>
      <c r="O1940" t="s">
        <v>1227</v>
      </c>
      <c r="P1940" t="s">
        <v>1228</v>
      </c>
      <c r="Q1940" t="s">
        <v>66</v>
      </c>
      <c r="R1940" s="1">
        <v>46228</v>
      </c>
      <c r="S1940" t="s">
        <v>1230</v>
      </c>
      <c r="T1940" t="s">
        <v>1231</v>
      </c>
      <c r="U1940" t="s">
        <v>1232</v>
      </c>
      <c r="V1940" t="s">
        <v>66</v>
      </c>
      <c r="W1940" t="s">
        <v>66</v>
      </c>
      <c r="X1940">
        <v>1944459</v>
      </c>
      <c r="Y1940">
        <v>213890.49</v>
      </c>
      <c r="Z1940">
        <v>59994</v>
      </c>
      <c r="AA1940">
        <v>6599.34</v>
      </c>
      <c r="AB1940">
        <v>2158349.4900000002</v>
      </c>
      <c r="AC1940">
        <v>6</v>
      </c>
      <c r="AD1940" t="s">
        <v>82</v>
      </c>
      <c r="AE1940">
        <v>6</v>
      </c>
      <c r="AF1940" t="s">
        <v>857</v>
      </c>
      <c r="AG1940">
        <f>IFERROR(VLOOKUP(AF1940,[1]STOK!J:O,6,0),"")</f>
        <v>24</v>
      </c>
      <c r="AH1940" s="2">
        <f t="shared" si="60"/>
        <v>0.25</v>
      </c>
      <c r="AI1940" t="s">
        <v>857</v>
      </c>
      <c r="AJ1940" t="s">
        <v>858</v>
      </c>
      <c r="AK1940" t="s">
        <v>859</v>
      </c>
      <c r="AL1940" t="s">
        <v>86</v>
      </c>
      <c r="AM1940">
        <v>11211</v>
      </c>
      <c r="AN1940">
        <f t="shared" si="61"/>
        <v>11098.89</v>
      </c>
      <c r="AO1940" t="s">
        <v>66</v>
      </c>
      <c r="AP1940">
        <v>1</v>
      </c>
      <c r="AQ1940" t="s">
        <v>66</v>
      </c>
      <c r="AR1940">
        <v>0</v>
      </c>
      <c r="AS1940" t="s">
        <v>66</v>
      </c>
      <c r="AT1940">
        <v>0</v>
      </c>
      <c r="AU1940" t="s">
        <v>66</v>
      </c>
      <c r="AV1940">
        <v>0</v>
      </c>
      <c r="AW1940" t="s">
        <v>66</v>
      </c>
      <c r="AX1940">
        <v>0</v>
      </c>
      <c r="AY1940" t="s">
        <v>66</v>
      </c>
      <c r="AZ1940">
        <v>0</v>
      </c>
      <c r="BA1940" t="s">
        <v>66</v>
      </c>
      <c r="BB1940">
        <v>0</v>
      </c>
      <c r="BC1940">
        <v>0</v>
      </c>
      <c r="BD1940">
        <v>66593.34</v>
      </c>
      <c r="BE1940">
        <v>8326.08</v>
      </c>
      <c r="BF1940">
        <v>0</v>
      </c>
      <c r="BG1940" t="s">
        <v>87</v>
      </c>
      <c r="BH1940" t="s">
        <v>66</v>
      </c>
      <c r="BI1940">
        <v>0</v>
      </c>
      <c r="BJ1940" t="s">
        <v>66</v>
      </c>
      <c r="BK1940" t="s">
        <v>88</v>
      </c>
      <c r="BL1940" t="s">
        <v>66</v>
      </c>
      <c r="BM1940" t="s">
        <v>159</v>
      </c>
    </row>
    <row r="1941" spans="1:65" x14ac:dyDescent="0.25">
      <c r="A1941">
        <v>1939</v>
      </c>
      <c r="B1941" t="s">
        <v>1929</v>
      </c>
      <c r="C1941" t="s">
        <v>68</v>
      </c>
      <c r="D1941" s="1">
        <v>46228</v>
      </c>
      <c r="E1941" t="s">
        <v>1930</v>
      </c>
      <c r="F1941" t="s">
        <v>68</v>
      </c>
      <c r="G1941" t="s">
        <v>295</v>
      </c>
      <c r="H1941" t="s">
        <v>296</v>
      </c>
      <c r="I1941" t="s">
        <v>71</v>
      </c>
      <c r="J1941" t="s">
        <v>72</v>
      </c>
      <c r="K1941" t="s">
        <v>73</v>
      </c>
      <c r="L1941" t="s">
        <v>74</v>
      </c>
      <c r="M1941" t="s">
        <v>1226</v>
      </c>
      <c r="N1941" t="s">
        <v>76</v>
      </c>
      <c r="O1941" t="s">
        <v>1227</v>
      </c>
      <c r="P1941" t="s">
        <v>1228</v>
      </c>
      <c r="Q1941" t="s">
        <v>66</v>
      </c>
      <c r="R1941" s="1">
        <v>46228</v>
      </c>
      <c r="S1941" t="s">
        <v>1230</v>
      </c>
      <c r="T1941" t="s">
        <v>1231</v>
      </c>
      <c r="U1941" t="s">
        <v>1232</v>
      </c>
      <c r="V1941" t="s">
        <v>66</v>
      </c>
      <c r="W1941" t="s">
        <v>66</v>
      </c>
      <c r="X1941">
        <v>1944459</v>
      </c>
      <c r="Y1941">
        <v>213890.49</v>
      </c>
      <c r="Z1941">
        <v>46926</v>
      </c>
      <c r="AA1941">
        <v>5161.8599999999997</v>
      </c>
      <c r="AB1941">
        <v>2158349.4900000002</v>
      </c>
      <c r="AC1941">
        <v>6</v>
      </c>
      <c r="AD1941" t="s">
        <v>82</v>
      </c>
      <c r="AE1941">
        <v>6</v>
      </c>
      <c r="AF1941" t="s">
        <v>248</v>
      </c>
      <c r="AG1941">
        <f>IFERROR(VLOOKUP(AF1941,[1]STOK!J:O,6,0),"")</f>
        <v>24</v>
      </c>
      <c r="AH1941" s="2">
        <f t="shared" si="60"/>
        <v>0.25</v>
      </c>
      <c r="AI1941" t="s">
        <v>248</v>
      </c>
      <c r="AJ1941" t="s">
        <v>249</v>
      </c>
      <c r="AK1941" t="s">
        <v>250</v>
      </c>
      <c r="AL1941" t="s">
        <v>86</v>
      </c>
      <c r="AM1941">
        <v>8769</v>
      </c>
      <c r="AN1941">
        <f t="shared" si="61"/>
        <v>8681.31</v>
      </c>
      <c r="AO1941" t="s">
        <v>66</v>
      </c>
      <c r="AP1941">
        <v>1</v>
      </c>
      <c r="AQ1941" t="s">
        <v>66</v>
      </c>
      <c r="AR1941">
        <v>0</v>
      </c>
      <c r="AS1941" t="s">
        <v>66</v>
      </c>
      <c r="AT1941">
        <v>0</v>
      </c>
      <c r="AU1941" t="s">
        <v>66</v>
      </c>
      <c r="AV1941">
        <v>0</v>
      </c>
      <c r="AW1941" t="s">
        <v>66</v>
      </c>
      <c r="AX1941">
        <v>0</v>
      </c>
      <c r="AY1941" t="s">
        <v>66</v>
      </c>
      <c r="AZ1941">
        <v>0</v>
      </c>
      <c r="BA1941" t="s">
        <v>66</v>
      </c>
      <c r="BB1941">
        <v>0</v>
      </c>
      <c r="BC1941">
        <v>0</v>
      </c>
      <c r="BD1941">
        <v>52087.86</v>
      </c>
      <c r="BE1941">
        <v>6516.01</v>
      </c>
      <c r="BF1941">
        <v>0</v>
      </c>
      <c r="BG1941" t="s">
        <v>87</v>
      </c>
      <c r="BH1941" t="s">
        <v>66</v>
      </c>
      <c r="BI1941">
        <v>0</v>
      </c>
      <c r="BJ1941" t="s">
        <v>66</v>
      </c>
      <c r="BK1941" t="s">
        <v>88</v>
      </c>
      <c r="BL1941" t="s">
        <v>66</v>
      </c>
      <c r="BM1941" t="s">
        <v>159</v>
      </c>
    </row>
    <row r="1942" spans="1:65" x14ac:dyDescent="0.25">
      <c r="A1942">
        <v>1940</v>
      </c>
      <c r="B1942" t="s">
        <v>1929</v>
      </c>
      <c r="C1942" t="s">
        <v>68</v>
      </c>
      <c r="D1942" s="1">
        <v>46228</v>
      </c>
      <c r="E1942" t="s">
        <v>1930</v>
      </c>
      <c r="F1942" t="s">
        <v>68</v>
      </c>
      <c r="G1942" t="s">
        <v>295</v>
      </c>
      <c r="H1942" t="s">
        <v>296</v>
      </c>
      <c r="I1942" t="s">
        <v>71</v>
      </c>
      <c r="J1942" t="s">
        <v>72</v>
      </c>
      <c r="K1942" t="s">
        <v>73</v>
      </c>
      <c r="L1942" t="s">
        <v>74</v>
      </c>
      <c r="M1942" t="s">
        <v>1226</v>
      </c>
      <c r="N1942" t="s">
        <v>76</v>
      </c>
      <c r="O1942" t="s">
        <v>1227</v>
      </c>
      <c r="P1942" t="s">
        <v>1228</v>
      </c>
      <c r="Q1942" t="s">
        <v>66</v>
      </c>
      <c r="R1942" s="1">
        <v>46228</v>
      </c>
      <c r="S1942" t="s">
        <v>1230</v>
      </c>
      <c r="T1942" t="s">
        <v>1231</v>
      </c>
      <c r="U1942" t="s">
        <v>1232</v>
      </c>
      <c r="V1942" t="s">
        <v>66</v>
      </c>
      <c r="W1942" t="s">
        <v>66</v>
      </c>
      <c r="X1942">
        <v>1944459</v>
      </c>
      <c r="Y1942">
        <v>213890.49</v>
      </c>
      <c r="Z1942">
        <v>46926</v>
      </c>
      <c r="AA1942">
        <v>5161.8599999999997</v>
      </c>
      <c r="AB1942">
        <v>2158349.4900000002</v>
      </c>
      <c r="AC1942">
        <v>6</v>
      </c>
      <c r="AD1942" t="s">
        <v>82</v>
      </c>
      <c r="AE1942">
        <v>6</v>
      </c>
      <c r="AF1942" t="s">
        <v>199</v>
      </c>
      <c r="AG1942">
        <f>IFERROR(VLOOKUP(AF1942,[1]STOK!J:O,6,0),"")</f>
        <v>24</v>
      </c>
      <c r="AH1942" s="2">
        <f t="shared" si="60"/>
        <v>0.25</v>
      </c>
      <c r="AI1942" t="s">
        <v>199</v>
      </c>
      <c r="AJ1942" t="s">
        <v>200</v>
      </c>
      <c r="AK1942" t="s">
        <v>201</v>
      </c>
      <c r="AL1942" t="s">
        <v>86</v>
      </c>
      <c r="AM1942">
        <v>8769</v>
      </c>
      <c r="AN1942">
        <f t="shared" si="61"/>
        <v>8681.31</v>
      </c>
      <c r="AO1942" t="s">
        <v>66</v>
      </c>
      <c r="AP1942">
        <v>1</v>
      </c>
      <c r="AQ1942" t="s">
        <v>66</v>
      </c>
      <c r="AR1942">
        <v>0</v>
      </c>
      <c r="AS1942" t="s">
        <v>66</v>
      </c>
      <c r="AT1942">
        <v>0</v>
      </c>
      <c r="AU1942" t="s">
        <v>66</v>
      </c>
      <c r="AV1942">
        <v>0</v>
      </c>
      <c r="AW1942" t="s">
        <v>66</v>
      </c>
      <c r="AX1942">
        <v>0</v>
      </c>
      <c r="AY1942" t="s">
        <v>66</v>
      </c>
      <c r="AZ1942">
        <v>0</v>
      </c>
      <c r="BA1942" t="s">
        <v>66</v>
      </c>
      <c r="BB1942">
        <v>0</v>
      </c>
      <c r="BC1942">
        <v>0</v>
      </c>
      <c r="BD1942">
        <v>52087.86</v>
      </c>
      <c r="BE1942">
        <v>6637.67</v>
      </c>
      <c r="BF1942">
        <v>0</v>
      </c>
      <c r="BG1942" t="s">
        <v>87</v>
      </c>
      <c r="BH1942" t="s">
        <v>66</v>
      </c>
      <c r="BI1942">
        <v>0</v>
      </c>
      <c r="BJ1942" t="s">
        <v>66</v>
      </c>
      <c r="BK1942" t="s">
        <v>88</v>
      </c>
      <c r="BL1942" t="s">
        <v>66</v>
      </c>
      <c r="BM1942" t="s">
        <v>159</v>
      </c>
    </row>
    <row r="1943" spans="1:65" x14ac:dyDescent="0.25">
      <c r="A1943">
        <v>1941</v>
      </c>
      <c r="B1943" t="s">
        <v>1929</v>
      </c>
      <c r="C1943" t="s">
        <v>68</v>
      </c>
      <c r="D1943" s="1">
        <v>46228</v>
      </c>
      <c r="E1943" t="s">
        <v>1930</v>
      </c>
      <c r="F1943" t="s">
        <v>68</v>
      </c>
      <c r="G1943" t="s">
        <v>295</v>
      </c>
      <c r="H1943" t="s">
        <v>296</v>
      </c>
      <c r="I1943" t="s">
        <v>71</v>
      </c>
      <c r="J1943" t="s">
        <v>72</v>
      </c>
      <c r="K1943" t="s">
        <v>73</v>
      </c>
      <c r="L1943" t="s">
        <v>74</v>
      </c>
      <c r="M1943" t="s">
        <v>1226</v>
      </c>
      <c r="N1943" t="s">
        <v>76</v>
      </c>
      <c r="O1943" t="s">
        <v>1227</v>
      </c>
      <c r="P1943" t="s">
        <v>1228</v>
      </c>
      <c r="Q1943" t="s">
        <v>66</v>
      </c>
      <c r="R1943" s="1">
        <v>46228</v>
      </c>
      <c r="S1943" t="s">
        <v>1230</v>
      </c>
      <c r="T1943" t="s">
        <v>1231</v>
      </c>
      <c r="U1943" t="s">
        <v>1232</v>
      </c>
      <c r="V1943" t="s">
        <v>66</v>
      </c>
      <c r="W1943" t="s">
        <v>66</v>
      </c>
      <c r="X1943">
        <v>1944459</v>
      </c>
      <c r="Y1943">
        <v>213890.49</v>
      </c>
      <c r="Z1943">
        <v>33561</v>
      </c>
      <c r="AA1943">
        <v>3691.71</v>
      </c>
      <c r="AB1943">
        <v>2158349.4900000002</v>
      </c>
      <c r="AC1943">
        <v>3</v>
      </c>
      <c r="AD1943" t="s">
        <v>82</v>
      </c>
      <c r="AE1943">
        <v>3</v>
      </c>
      <c r="AF1943" t="s">
        <v>122</v>
      </c>
      <c r="AG1943">
        <f>IFERROR(VLOOKUP(AF1943,[1]STOK!J:O,6,0),"")</f>
        <v>24</v>
      </c>
      <c r="AH1943" s="2">
        <f t="shared" si="60"/>
        <v>0.125</v>
      </c>
      <c r="AI1943" t="s">
        <v>122</v>
      </c>
      <c r="AJ1943" t="s">
        <v>123</v>
      </c>
      <c r="AK1943" t="s">
        <v>124</v>
      </c>
      <c r="AL1943" t="s">
        <v>86</v>
      </c>
      <c r="AM1943">
        <v>12543</v>
      </c>
      <c r="AN1943">
        <f t="shared" si="61"/>
        <v>12417.57</v>
      </c>
      <c r="AO1943" t="s">
        <v>66</v>
      </c>
      <c r="AP1943">
        <v>1</v>
      </c>
      <c r="AQ1943" t="s">
        <v>66</v>
      </c>
      <c r="AR1943">
        <v>0</v>
      </c>
      <c r="AS1943" t="s">
        <v>66</v>
      </c>
      <c r="AT1943">
        <v>0</v>
      </c>
      <c r="AU1943" t="s">
        <v>66</v>
      </c>
      <c r="AV1943">
        <v>0</v>
      </c>
      <c r="AW1943" t="s">
        <v>66</v>
      </c>
      <c r="AX1943">
        <v>0</v>
      </c>
      <c r="AY1943" t="s">
        <v>66</v>
      </c>
      <c r="AZ1943">
        <v>0</v>
      </c>
      <c r="BA1943" t="s">
        <v>66</v>
      </c>
      <c r="BB1943">
        <v>0</v>
      </c>
      <c r="BC1943">
        <v>0</v>
      </c>
      <c r="BD1943">
        <v>37252.71</v>
      </c>
      <c r="BE1943">
        <v>9909.61</v>
      </c>
      <c r="BF1943">
        <v>0</v>
      </c>
      <c r="BG1943" t="s">
        <v>87</v>
      </c>
      <c r="BH1943" t="s">
        <v>66</v>
      </c>
      <c r="BI1943">
        <v>0</v>
      </c>
      <c r="BJ1943" t="s">
        <v>66</v>
      </c>
      <c r="BK1943" t="s">
        <v>88</v>
      </c>
      <c r="BL1943" t="s">
        <v>66</v>
      </c>
      <c r="BM1943" t="s">
        <v>159</v>
      </c>
    </row>
    <row r="1944" spans="1:65" x14ac:dyDescent="0.25">
      <c r="A1944">
        <v>1942</v>
      </c>
      <c r="B1944" t="s">
        <v>1929</v>
      </c>
      <c r="C1944" t="s">
        <v>68</v>
      </c>
      <c r="D1944" s="1">
        <v>46228</v>
      </c>
      <c r="E1944" t="s">
        <v>1930</v>
      </c>
      <c r="F1944" t="s">
        <v>68</v>
      </c>
      <c r="G1944" t="s">
        <v>295</v>
      </c>
      <c r="H1944" t="s">
        <v>296</v>
      </c>
      <c r="I1944" t="s">
        <v>71</v>
      </c>
      <c r="J1944" t="s">
        <v>72</v>
      </c>
      <c r="K1944" t="s">
        <v>73</v>
      </c>
      <c r="L1944" t="s">
        <v>74</v>
      </c>
      <c r="M1944" t="s">
        <v>1226</v>
      </c>
      <c r="N1944" t="s">
        <v>76</v>
      </c>
      <c r="O1944" t="s">
        <v>1227</v>
      </c>
      <c r="P1944" t="s">
        <v>1228</v>
      </c>
      <c r="Q1944" t="s">
        <v>66</v>
      </c>
      <c r="R1944" s="1">
        <v>46228</v>
      </c>
      <c r="S1944" t="s">
        <v>1230</v>
      </c>
      <c r="T1944" t="s">
        <v>1231</v>
      </c>
      <c r="U1944" t="s">
        <v>1232</v>
      </c>
      <c r="V1944" t="s">
        <v>66</v>
      </c>
      <c r="W1944" t="s">
        <v>66</v>
      </c>
      <c r="X1944">
        <v>1944459</v>
      </c>
      <c r="Y1944">
        <v>213890.49</v>
      </c>
      <c r="Z1944">
        <v>60588</v>
      </c>
      <c r="AA1944">
        <v>6664.68</v>
      </c>
      <c r="AB1944">
        <v>2158349.4900000002</v>
      </c>
      <c r="AC1944">
        <v>6</v>
      </c>
      <c r="AD1944" t="s">
        <v>82</v>
      </c>
      <c r="AE1944">
        <v>6</v>
      </c>
      <c r="AF1944" t="s">
        <v>726</v>
      </c>
      <c r="AG1944">
        <f>IFERROR(VLOOKUP(AF1944,[1]STOK!J:O,6,0),"")</f>
        <v>24</v>
      </c>
      <c r="AH1944" s="2">
        <f t="shared" si="60"/>
        <v>0.25</v>
      </c>
      <c r="AI1944" t="s">
        <v>726</v>
      </c>
      <c r="AJ1944" t="s">
        <v>727</v>
      </c>
      <c r="AK1944" t="s">
        <v>728</v>
      </c>
      <c r="AL1944" t="s">
        <v>86</v>
      </c>
      <c r="AM1944">
        <v>11322</v>
      </c>
      <c r="AN1944">
        <f t="shared" si="61"/>
        <v>11208.779999999999</v>
      </c>
      <c r="AO1944" t="s">
        <v>66</v>
      </c>
      <c r="AP1944">
        <v>1</v>
      </c>
      <c r="AQ1944" t="s">
        <v>66</v>
      </c>
      <c r="AR1944">
        <v>0</v>
      </c>
      <c r="AS1944" t="s">
        <v>66</v>
      </c>
      <c r="AT1944">
        <v>0</v>
      </c>
      <c r="AU1944" t="s">
        <v>66</v>
      </c>
      <c r="AV1944">
        <v>0</v>
      </c>
      <c r="AW1944" t="s">
        <v>66</v>
      </c>
      <c r="AX1944">
        <v>0</v>
      </c>
      <c r="AY1944" t="s">
        <v>66</v>
      </c>
      <c r="AZ1944">
        <v>0</v>
      </c>
      <c r="BA1944" t="s">
        <v>66</v>
      </c>
      <c r="BB1944">
        <v>0</v>
      </c>
      <c r="BC1944">
        <v>0</v>
      </c>
      <c r="BD1944">
        <v>67252.679999999993</v>
      </c>
      <c r="BE1944">
        <v>8539.5300000000007</v>
      </c>
      <c r="BF1944">
        <v>0</v>
      </c>
      <c r="BG1944" t="s">
        <v>87</v>
      </c>
      <c r="BH1944" t="s">
        <v>66</v>
      </c>
      <c r="BI1944">
        <v>0</v>
      </c>
      <c r="BJ1944" t="s">
        <v>66</v>
      </c>
      <c r="BK1944" t="s">
        <v>88</v>
      </c>
      <c r="BL1944" t="s">
        <v>66</v>
      </c>
      <c r="BM1944" t="s">
        <v>159</v>
      </c>
    </row>
    <row r="1945" spans="1:65" x14ac:dyDescent="0.25">
      <c r="A1945">
        <v>1943</v>
      </c>
      <c r="B1945" t="s">
        <v>1929</v>
      </c>
      <c r="C1945" t="s">
        <v>68</v>
      </c>
      <c r="D1945" s="1">
        <v>46228</v>
      </c>
      <c r="E1945" t="s">
        <v>1930</v>
      </c>
      <c r="F1945" t="s">
        <v>68</v>
      </c>
      <c r="G1945" t="s">
        <v>295</v>
      </c>
      <c r="H1945" t="s">
        <v>296</v>
      </c>
      <c r="I1945" t="s">
        <v>71</v>
      </c>
      <c r="J1945" t="s">
        <v>72</v>
      </c>
      <c r="K1945" t="s">
        <v>73</v>
      </c>
      <c r="L1945" t="s">
        <v>74</v>
      </c>
      <c r="M1945" t="s">
        <v>1226</v>
      </c>
      <c r="N1945" t="s">
        <v>76</v>
      </c>
      <c r="O1945" t="s">
        <v>1227</v>
      </c>
      <c r="P1945" t="s">
        <v>1228</v>
      </c>
      <c r="Q1945" t="s">
        <v>66</v>
      </c>
      <c r="R1945" s="1">
        <v>46228</v>
      </c>
      <c r="S1945" t="s">
        <v>1230</v>
      </c>
      <c r="T1945" t="s">
        <v>1231</v>
      </c>
      <c r="U1945" t="s">
        <v>1232</v>
      </c>
      <c r="V1945" t="s">
        <v>66</v>
      </c>
      <c r="W1945" t="s">
        <v>66</v>
      </c>
      <c r="X1945">
        <v>1944459</v>
      </c>
      <c r="Y1945">
        <v>213890.49</v>
      </c>
      <c r="Z1945">
        <v>392040</v>
      </c>
      <c r="AA1945">
        <v>43124.4</v>
      </c>
      <c r="AB1945">
        <v>2158349.4900000002</v>
      </c>
      <c r="AC1945">
        <v>24</v>
      </c>
      <c r="AD1945" t="s">
        <v>82</v>
      </c>
      <c r="AE1945">
        <v>24</v>
      </c>
      <c r="AF1945" t="s">
        <v>128</v>
      </c>
      <c r="AG1945">
        <f>IFERROR(VLOOKUP(AF1945,[1]STOK!J:O,6,0),"")</f>
        <v>24</v>
      </c>
      <c r="AH1945" s="2">
        <f t="shared" si="60"/>
        <v>1</v>
      </c>
      <c r="AI1945" t="s">
        <v>128</v>
      </c>
      <c r="AJ1945" t="s">
        <v>129</v>
      </c>
      <c r="AK1945" t="s">
        <v>130</v>
      </c>
      <c r="AL1945" t="s">
        <v>86</v>
      </c>
      <c r="AM1945">
        <v>18315</v>
      </c>
      <c r="AN1945">
        <f t="shared" si="61"/>
        <v>18131.850000000002</v>
      </c>
      <c r="AO1945" t="s">
        <v>66</v>
      </c>
      <c r="AP1945">
        <v>1</v>
      </c>
      <c r="AQ1945" t="s">
        <v>66</v>
      </c>
      <c r="AR1945">
        <v>0</v>
      </c>
      <c r="AS1945" t="s">
        <v>66</v>
      </c>
      <c r="AT1945">
        <v>0</v>
      </c>
      <c r="AU1945" t="s">
        <v>66</v>
      </c>
      <c r="AV1945">
        <v>0</v>
      </c>
      <c r="AW1945" t="s">
        <v>66</v>
      </c>
      <c r="AX1945">
        <v>0</v>
      </c>
      <c r="AY1945" t="s">
        <v>66</v>
      </c>
      <c r="AZ1945">
        <v>0</v>
      </c>
      <c r="BA1945" t="s">
        <v>66</v>
      </c>
      <c r="BB1945">
        <v>0</v>
      </c>
      <c r="BC1945">
        <v>0</v>
      </c>
      <c r="BD1945">
        <v>435164.4</v>
      </c>
      <c r="BE1945">
        <v>14619.11</v>
      </c>
      <c r="BF1945">
        <v>0</v>
      </c>
      <c r="BG1945" t="s">
        <v>87</v>
      </c>
      <c r="BH1945" t="s">
        <v>66</v>
      </c>
      <c r="BI1945">
        <v>0</v>
      </c>
      <c r="BJ1945" t="s">
        <v>66</v>
      </c>
      <c r="BK1945" t="s">
        <v>88</v>
      </c>
      <c r="BL1945" t="s">
        <v>66</v>
      </c>
      <c r="BM1945" t="s">
        <v>159</v>
      </c>
    </row>
    <row r="1946" spans="1:65" x14ac:dyDescent="0.25">
      <c r="A1946">
        <v>1944</v>
      </c>
      <c r="B1946" t="s">
        <v>1929</v>
      </c>
      <c r="C1946" t="s">
        <v>68</v>
      </c>
      <c r="D1946" s="1">
        <v>46228</v>
      </c>
      <c r="E1946" t="s">
        <v>1930</v>
      </c>
      <c r="F1946" t="s">
        <v>68</v>
      </c>
      <c r="G1946" t="s">
        <v>295</v>
      </c>
      <c r="H1946" t="s">
        <v>296</v>
      </c>
      <c r="I1946" t="s">
        <v>71</v>
      </c>
      <c r="J1946" t="s">
        <v>72</v>
      </c>
      <c r="K1946" t="s">
        <v>73</v>
      </c>
      <c r="L1946" t="s">
        <v>74</v>
      </c>
      <c r="M1946" t="s">
        <v>1226</v>
      </c>
      <c r="N1946" t="s">
        <v>76</v>
      </c>
      <c r="O1946" t="s">
        <v>1227</v>
      </c>
      <c r="P1946" t="s">
        <v>1228</v>
      </c>
      <c r="Q1946" t="s">
        <v>66</v>
      </c>
      <c r="R1946" s="1">
        <v>46228</v>
      </c>
      <c r="S1946" t="s">
        <v>1230</v>
      </c>
      <c r="T1946" t="s">
        <v>1231</v>
      </c>
      <c r="U1946" t="s">
        <v>1232</v>
      </c>
      <c r="V1946" t="s">
        <v>66</v>
      </c>
      <c r="W1946" t="s">
        <v>66</v>
      </c>
      <c r="X1946">
        <v>1944459</v>
      </c>
      <c r="Y1946">
        <v>213890.49</v>
      </c>
      <c r="Z1946">
        <v>230472</v>
      </c>
      <c r="AA1946">
        <v>25351.919999999998</v>
      </c>
      <c r="AB1946">
        <v>2158349.4900000002</v>
      </c>
      <c r="AC1946">
        <v>12</v>
      </c>
      <c r="AD1946" t="s">
        <v>82</v>
      </c>
      <c r="AE1946">
        <v>12</v>
      </c>
      <c r="AF1946" t="s">
        <v>467</v>
      </c>
      <c r="AG1946">
        <f>IFERROR(VLOOKUP(AF1946,[1]STOK!J:O,6,0),"")</f>
        <v>24</v>
      </c>
      <c r="AH1946" s="2">
        <f t="shared" si="60"/>
        <v>0.5</v>
      </c>
      <c r="AI1946" t="s">
        <v>467</v>
      </c>
      <c r="AJ1946" t="s">
        <v>468</v>
      </c>
      <c r="AK1946" t="s">
        <v>469</v>
      </c>
      <c r="AL1946" t="s">
        <v>86</v>
      </c>
      <c r="AM1946">
        <v>21534</v>
      </c>
      <c r="AN1946">
        <f t="shared" si="61"/>
        <v>21318.66</v>
      </c>
      <c r="AO1946" t="s">
        <v>66</v>
      </c>
      <c r="AP1946">
        <v>1</v>
      </c>
      <c r="AQ1946" t="s">
        <v>66</v>
      </c>
      <c r="AR1946">
        <v>0</v>
      </c>
      <c r="AS1946" t="s">
        <v>66</v>
      </c>
      <c r="AT1946">
        <v>0</v>
      </c>
      <c r="AU1946" t="s">
        <v>66</v>
      </c>
      <c r="AV1946">
        <v>0</v>
      </c>
      <c r="AW1946" t="s">
        <v>66</v>
      </c>
      <c r="AX1946">
        <v>0</v>
      </c>
      <c r="AY1946" t="s">
        <v>66</v>
      </c>
      <c r="AZ1946">
        <v>0</v>
      </c>
      <c r="BA1946" t="s">
        <v>66</v>
      </c>
      <c r="BB1946">
        <v>0</v>
      </c>
      <c r="BC1946">
        <v>0</v>
      </c>
      <c r="BD1946">
        <v>255823.92</v>
      </c>
      <c r="BE1946">
        <v>16865.669999999998</v>
      </c>
      <c r="BF1946">
        <v>0</v>
      </c>
      <c r="BG1946" t="s">
        <v>87</v>
      </c>
      <c r="BH1946" t="s">
        <v>66</v>
      </c>
      <c r="BI1946">
        <v>0</v>
      </c>
      <c r="BJ1946" t="s">
        <v>66</v>
      </c>
      <c r="BK1946" t="s">
        <v>88</v>
      </c>
      <c r="BL1946" t="s">
        <v>66</v>
      </c>
      <c r="BM1946" t="s">
        <v>159</v>
      </c>
    </row>
    <row r="1947" spans="1:65" x14ac:dyDescent="0.25">
      <c r="A1947">
        <v>1945</v>
      </c>
      <c r="B1947" t="s">
        <v>1929</v>
      </c>
      <c r="C1947" t="s">
        <v>68</v>
      </c>
      <c r="D1947" s="1">
        <v>46228</v>
      </c>
      <c r="E1947" t="s">
        <v>1930</v>
      </c>
      <c r="F1947" t="s">
        <v>68</v>
      </c>
      <c r="G1947" t="s">
        <v>295</v>
      </c>
      <c r="H1947" t="s">
        <v>296</v>
      </c>
      <c r="I1947" t="s">
        <v>71</v>
      </c>
      <c r="J1947" t="s">
        <v>72</v>
      </c>
      <c r="K1947" t="s">
        <v>73</v>
      </c>
      <c r="L1947" t="s">
        <v>74</v>
      </c>
      <c r="M1947" t="s">
        <v>1226</v>
      </c>
      <c r="N1947" t="s">
        <v>76</v>
      </c>
      <c r="O1947" t="s">
        <v>1227</v>
      </c>
      <c r="P1947" t="s">
        <v>1228</v>
      </c>
      <c r="Q1947" t="s">
        <v>66</v>
      </c>
      <c r="R1947" s="1">
        <v>46228</v>
      </c>
      <c r="S1947" t="s">
        <v>1230</v>
      </c>
      <c r="T1947" t="s">
        <v>1231</v>
      </c>
      <c r="U1947" t="s">
        <v>1232</v>
      </c>
      <c r="V1947" t="s">
        <v>66</v>
      </c>
      <c r="W1947" t="s">
        <v>66</v>
      </c>
      <c r="X1947">
        <v>1944459</v>
      </c>
      <c r="Y1947">
        <v>213890.49</v>
      </c>
      <c r="Z1947">
        <v>85536</v>
      </c>
      <c r="AA1947">
        <v>9408.9599999999991</v>
      </c>
      <c r="AB1947">
        <v>2158349.4900000002</v>
      </c>
      <c r="AC1947">
        <v>6</v>
      </c>
      <c r="AD1947" t="s">
        <v>82</v>
      </c>
      <c r="AE1947">
        <v>6</v>
      </c>
      <c r="AF1947" t="s">
        <v>551</v>
      </c>
      <c r="AG1947">
        <f>IFERROR(VLOOKUP(AF1947,[1]STOK!J:O,6,0),"")</f>
        <v>12</v>
      </c>
      <c r="AH1947" s="2">
        <f t="shared" si="60"/>
        <v>0.5</v>
      </c>
      <c r="AI1947" t="s">
        <v>551</v>
      </c>
      <c r="AJ1947" t="s">
        <v>552</v>
      </c>
      <c r="AK1947" t="s">
        <v>553</v>
      </c>
      <c r="AL1947" t="s">
        <v>86</v>
      </c>
      <c r="AM1947">
        <v>15984</v>
      </c>
      <c r="AN1947">
        <f t="shared" si="61"/>
        <v>15824.160000000002</v>
      </c>
      <c r="AO1947" t="s">
        <v>66</v>
      </c>
      <c r="AP1947">
        <v>1</v>
      </c>
      <c r="AQ1947" t="s">
        <v>66</v>
      </c>
      <c r="AR1947">
        <v>0</v>
      </c>
      <c r="AS1947" t="s">
        <v>66</v>
      </c>
      <c r="AT1947">
        <v>0</v>
      </c>
      <c r="AU1947" t="s">
        <v>66</v>
      </c>
      <c r="AV1947">
        <v>0</v>
      </c>
      <c r="AW1947" t="s">
        <v>66</v>
      </c>
      <c r="AX1947">
        <v>0</v>
      </c>
      <c r="AY1947" t="s">
        <v>66</v>
      </c>
      <c r="AZ1947">
        <v>0</v>
      </c>
      <c r="BA1947" t="s">
        <v>66</v>
      </c>
      <c r="BB1947">
        <v>0</v>
      </c>
      <c r="BC1947">
        <v>0</v>
      </c>
      <c r="BD1947">
        <v>94944.960000000006</v>
      </c>
      <c r="BE1947">
        <v>12731.44</v>
      </c>
      <c r="BF1947">
        <v>0</v>
      </c>
      <c r="BG1947" t="s">
        <v>87</v>
      </c>
      <c r="BH1947" t="s">
        <v>66</v>
      </c>
      <c r="BI1947">
        <v>0</v>
      </c>
      <c r="BJ1947" t="s">
        <v>66</v>
      </c>
      <c r="BK1947" t="s">
        <v>88</v>
      </c>
      <c r="BL1947" t="s">
        <v>66</v>
      </c>
      <c r="BM1947" t="s">
        <v>159</v>
      </c>
    </row>
    <row r="1948" spans="1:65" x14ac:dyDescent="0.25">
      <c r="A1948">
        <v>1946</v>
      </c>
      <c r="B1948" t="s">
        <v>1929</v>
      </c>
      <c r="C1948" t="s">
        <v>68</v>
      </c>
      <c r="D1948" s="1">
        <v>46228</v>
      </c>
      <c r="E1948" t="s">
        <v>1930</v>
      </c>
      <c r="F1948" t="s">
        <v>68</v>
      </c>
      <c r="G1948" t="s">
        <v>295</v>
      </c>
      <c r="H1948" t="s">
        <v>296</v>
      </c>
      <c r="I1948" t="s">
        <v>71</v>
      </c>
      <c r="J1948" t="s">
        <v>72</v>
      </c>
      <c r="K1948" t="s">
        <v>73</v>
      </c>
      <c r="L1948" t="s">
        <v>74</v>
      </c>
      <c r="M1948" t="s">
        <v>1226</v>
      </c>
      <c r="N1948" t="s">
        <v>76</v>
      </c>
      <c r="O1948" t="s">
        <v>1227</v>
      </c>
      <c r="P1948" t="s">
        <v>1228</v>
      </c>
      <c r="Q1948" t="s">
        <v>66</v>
      </c>
      <c r="R1948" s="1">
        <v>46228</v>
      </c>
      <c r="S1948" t="s">
        <v>1230</v>
      </c>
      <c r="T1948" t="s">
        <v>1231</v>
      </c>
      <c r="U1948" t="s">
        <v>1232</v>
      </c>
      <c r="V1948" t="s">
        <v>66</v>
      </c>
      <c r="W1948" t="s">
        <v>66</v>
      </c>
      <c r="X1948">
        <v>1944459</v>
      </c>
      <c r="Y1948">
        <v>213890.49</v>
      </c>
      <c r="Z1948">
        <v>31482</v>
      </c>
      <c r="AA1948">
        <v>3463.02</v>
      </c>
      <c r="AB1948">
        <v>2158349.4900000002</v>
      </c>
      <c r="AC1948">
        <v>6</v>
      </c>
      <c r="AD1948" t="s">
        <v>82</v>
      </c>
      <c r="AE1948">
        <v>6</v>
      </c>
      <c r="AF1948" t="s">
        <v>633</v>
      </c>
      <c r="AG1948">
        <f>IFERROR(VLOOKUP(AF1948,[1]STOK!J:O,6,0),"")</f>
        <v>24</v>
      </c>
      <c r="AH1948" s="2">
        <f t="shared" si="60"/>
        <v>0.25</v>
      </c>
      <c r="AI1948" t="s">
        <v>633</v>
      </c>
      <c r="AJ1948" t="s">
        <v>634</v>
      </c>
      <c r="AK1948" t="s">
        <v>635</v>
      </c>
      <c r="AL1948" t="s">
        <v>86</v>
      </c>
      <c r="AM1948">
        <v>5883</v>
      </c>
      <c r="AN1948">
        <f t="shared" si="61"/>
        <v>5824.1699999999992</v>
      </c>
      <c r="AO1948" t="s">
        <v>66</v>
      </c>
      <c r="AP1948">
        <v>1</v>
      </c>
      <c r="AQ1948" t="s">
        <v>66</v>
      </c>
      <c r="AR1948">
        <v>0</v>
      </c>
      <c r="AS1948" t="s">
        <v>66</v>
      </c>
      <c r="AT1948">
        <v>0</v>
      </c>
      <c r="AU1948" t="s">
        <v>66</v>
      </c>
      <c r="AV1948">
        <v>0</v>
      </c>
      <c r="AW1948" t="s">
        <v>66</v>
      </c>
      <c r="AX1948">
        <v>0</v>
      </c>
      <c r="AY1948" t="s">
        <v>66</v>
      </c>
      <c r="AZ1948">
        <v>0</v>
      </c>
      <c r="BA1948" t="s">
        <v>66</v>
      </c>
      <c r="BB1948">
        <v>0</v>
      </c>
      <c r="BC1948">
        <v>0</v>
      </c>
      <c r="BD1948">
        <v>34945.019999999997</v>
      </c>
      <c r="BE1948">
        <v>4733.91</v>
      </c>
      <c r="BF1948">
        <v>0</v>
      </c>
      <c r="BG1948" t="s">
        <v>87</v>
      </c>
      <c r="BH1948" t="s">
        <v>66</v>
      </c>
      <c r="BI1948">
        <v>0</v>
      </c>
      <c r="BJ1948" t="s">
        <v>66</v>
      </c>
      <c r="BK1948" t="s">
        <v>88</v>
      </c>
      <c r="BL1948" t="s">
        <v>66</v>
      </c>
      <c r="BM1948" t="s">
        <v>159</v>
      </c>
    </row>
    <row r="1949" spans="1:65" x14ac:dyDescent="0.25">
      <c r="A1949">
        <v>1947</v>
      </c>
      <c r="B1949" t="s">
        <v>1929</v>
      </c>
      <c r="C1949" t="s">
        <v>68</v>
      </c>
      <c r="D1949" s="1">
        <v>46228</v>
      </c>
      <c r="E1949" t="s">
        <v>1930</v>
      </c>
      <c r="F1949" t="s">
        <v>68</v>
      </c>
      <c r="G1949" t="s">
        <v>295</v>
      </c>
      <c r="H1949" t="s">
        <v>296</v>
      </c>
      <c r="I1949" t="s">
        <v>71</v>
      </c>
      <c r="J1949" t="s">
        <v>72</v>
      </c>
      <c r="K1949" t="s">
        <v>73</v>
      </c>
      <c r="L1949" t="s">
        <v>74</v>
      </c>
      <c r="M1949" t="s">
        <v>1226</v>
      </c>
      <c r="N1949" t="s">
        <v>76</v>
      </c>
      <c r="O1949" t="s">
        <v>1227</v>
      </c>
      <c r="P1949" t="s">
        <v>1228</v>
      </c>
      <c r="Q1949" t="s">
        <v>66</v>
      </c>
      <c r="R1949" s="1">
        <v>46228</v>
      </c>
      <c r="S1949" t="s">
        <v>1230</v>
      </c>
      <c r="T1949" t="s">
        <v>1231</v>
      </c>
      <c r="U1949" t="s">
        <v>1232</v>
      </c>
      <c r="V1949" t="s">
        <v>66</v>
      </c>
      <c r="W1949" t="s">
        <v>66</v>
      </c>
      <c r="X1949">
        <v>1944459</v>
      </c>
      <c r="Y1949">
        <v>213890.49</v>
      </c>
      <c r="Z1949">
        <v>85536</v>
      </c>
      <c r="AA1949">
        <v>9408.9599999999991</v>
      </c>
      <c r="AB1949">
        <v>2158349.4900000002</v>
      </c>
      <c r="AC1949">
        <v>6</v>
      </c>
      <c r="AD1949" t="s">
        <v>82</v>
      </c>
      <c r="AE1949">
        <v>6</v>
      </c>
      <c r="AF1949" t="s">
        <v>448</v>
      </c>
      <c r="AG1949">
        <f>IFERROR(VLOOKUP(AF1949,[1]STOK!J:O,6,0),"")</f>
        <v>12</v>
      </c>
      <c r="AH1949" s="2">
        <f t="shared" si="60"/>
        <v>0.5</v>
      </c>
      <c r="AI1949" t="s">
        <v>448</v>
      </c>
      <c r="AJ1949" t="s">
        <v>449</v>
      </c>
      <c r="AK1949" t="s">
        <v>450</v>
      </c>
      <c r="AL1949" t="s">
        <v>86</v>
      </c>
      <c r="AM1949">
        <v>15984</v>
      </c>
      <c r="AN1949">
        <f t="shared" si="61"/>
        <v>15824.160000000002</v>
      </c>
      <c r="AO1949" t="s">
        <v>66</v>
      </c>
      <c r="AP1949">
        <v>1</v>
      </c>
      <c r="AQ1949" t="s">
        <v>66</v>
      </c>
      <c r="AR1949">
        <v>0</v>
      </c>
      <c r="AS1949" t="s">
        <v>66</v>
      </c>
      <c r="AT1949">
        <v>0</v>
      </c>
      <c r="AU1949" t="s">
        <v>66</v>
      </c>
      <c r="AV1949">
        <v>0</v>
      </c>
      <c r="AW1949" t="s">
        <v>66</v>
      </c>
      <c r="AX1949">
        <v>0</v>
      </c>
      <c r="AY1949" t="s">
        <v>66</v>
      </c>
      <c r="AZ1949">
        <v>0</v>
      </c>
      <c r="BA1949" t="s">
        <v>66</v>
      </c>
      <c r="BB1949">
        <v>0</v>
      </c>
      <c r="BC1949">
        <v>0</v>
      </c>
      <c r="BD1949">
        <v>94944.960000000006</v>
      </c>
      <c r="BE1949">
        <v>12036.1</v>
      </c>
      <c r="BF1949">
        <v>0</v>
      </c>
      <c r="BG1949" t="s">
        <v>87</v>
      </c>
      <c r="BH1949" t="s">
        <v>66</v>
      </c>
      <c r="BI1949">
        <v>0</v>
      </c>
      <c r="BJ1949" t="s">
        <v>66</v>
      </c>
      <c r="BK1949" t="s">
        <v>88</v>
      </c>
      <c r="BL1949" t="s">
        <v>66</v>
      </c>
      <c r="BM1949" t="s">
        <v>159</v>
      </c>
    </row>
    <row r="1950" spans="1:65" x14ac:dyDescent="0.25">
      <c r="A1950">
        <v>1948</v>
      </c>
      <c r="B1950" t="s">
        <v>1929</v>
      </c>
      <c r="C1950" t="s">
        <v>68</v>
      </c>
      <c r="D1950" s="1">
        <v>46228</v>
      </c>
      <c r="E1950" t="s">
        <v>1930</v>
      </c>
      <c r="F1950" t="s">
        <v>68</v>
      </c>
      <c r="G1950" t="s">
        <v>295</v>
      </c>
      <c r="H1950" t="s">
        <v>296</v>
      </c>
      <c r="I1950" t="s">
        <v>71</v>
      </c>
      <c r="J1950" t="s">
        <v>72</v>
      </c>
      <c r="K1950" t="s">
        <v>73</v>
      </c>
      <c r="L1950" t="s">
        <v>74</v>
      </c>
      <c r="M1950" t="s">
        <v>1226</v>
      </c>
      <c r="N1950" t="s">
        <v>76</v>
      </c>
      <c r="O1950" t="s">
        <v>1227</v>
      </c>
      <c r="P1950" t="s">
        <v>1228</v>
      </c>
      <c r="Q1950" t="s">
        <v>66</v>
      </c>
      <c r="R1950" s="1">
        <v>46228</v>
      </c>
      <c r="S1950" t="s">
        <v>1230</v>
      </c>
      <c r="T1950" t="s">
        <v>1231</v>
      </c>
      <c r="U1950" t="s">
        <v>1232</v>
      </c>
      <c r="V1950" t="s">
        <v>66</v>
      </c>
      <c r="W1950" t="s">
        <v>66</v>
      </c>
      <c r="X1950">
        <v>1944459</v>
      </c>
      <c r="Y1950">
        <v>213890.49</v>
      </c>
      <c r="Z1950">
        <v>158004</v>
      </c>
      <c r="AA1950">
        <v>17380.439999999999</v>
      </c>
      <c r="AB1950">
        <v>2158349.4900000002</v>
      </c>
      <c r="AC1950">
        <v>12</v>
      </c>
      <c r="AD1950" t="s">
        <v>82</v>
      </c>
      <c r="AE1950">
        <v>12</v>
      </c>
      <c r="AF1950" t="s">
        <v>135</v>
      </c>
      <c r="AG1950">
        <f>IFERROR(VLOOKUP(AF1950,[1]STOK!J:O,6,0),"")</f>
        <v>12</v>
      </c>
      <c r="AH1950" s="2">
        <f t="shared" si="60"/>
        <v>1</v>
      </c>
      <c r="AI1950" t="s">
        <v>135</v>
      </c>
      <c r="AJ1950" t="s">
        <v>136</v>
      </c>
      <c r="AK1950" t="s">
        <v>137</v>
      </c>
      <c r="AL1950" t="s">
        <v>86</v>
      </c>
      <c r="AM1950">
        <v>14763</v>
      </c>
      <c r="AN1950">
        <f t="shared" si="61"/>
        <v>14615.37</v>
      </c>
      <c r="AO1950" t="s">
        <v>66</v>
      </c>
      <c r="AP1950">
        <v>1</v>
      </c>
      <c r="AQ1950" t="s">
        <v>66</v>
      </c>
      <c r="AR1950">
        <v>0</v>
      </c>
      <c r="AS1950" t="s">
        <v>66</v>
      </c>
      <c r="AT1950">
        <v>0</v>
      </c>
      <c r="AU1950" t="s">
        <v>66</v>
      </c>
      <c r="AV1950">
        <v>0</v>
      </c>
      <c r="AW1950" t="s">
        <v>66</v>
      </c>
      <c r="AX1950">
        <v>0</v>
      </c>
      <c r="AY1950" t="s">
        <v>66</v>
      </c>
      <c r="AZ1950">
        <v>0</v>
      </c>
      <c r="BA1950" t="s">
        <v>66</v>
      </c>
      <c r="BB1950">
        <v>0</v>
      </c>
      <c r="BC1950">
        <v>0</v>
      </c>
      <c r="BD1950">
        <v>175384.44</v>
      </c>
      <c r="BE1950">
        <v>12032.04</v>
      </c>
      <c r="BF1950">
        <v>0</v>
      </c>
      <c r="BG1950" t="s">
        <v>87</v>
      </c>
      <c r="BH1950" t="s">
        <v>66</v>
      </c>
      <c r="BI1950">
        <v>0</v>
      </c>
      <c r="BJ1950" t="s">
        <v>66</v>
      </c>
      <c r="BK1950" t="s">
        <v>88</v>
      </c>
      <c r="BL1950" t="s">
        <v>66</v>
      </c>
      <c r="BM1950" t="s">
        <v>159</v>
      </c>
    </row>
    <row r="1951" spans="1:65" x14ac:dyDescent="0.25">
      <c r="A1951">
        <v>1949</v>
      </c>
      <c r="B1951" t="s">
        <v>1929</v>
      </c>
      <c r="C1951" t="s">
        <v>68</v>
      </c>
      <c r="D1951" s="1">
        <v>46228</v>
      </c>
      <c r="E1951" t="s">
        <v>1930</v>
      </c>
      <c r="F1951" t="s">
        <v>68</v>
      </c>
      <c r="G1951" t="s">
        <v>295</v>
      </c>
      <c r="H1951" t="s">
        <v>296</v>
      </c>
      <c r="I1951" t="s">
        <v>71</v>
      </c>
      <c r="J1951" t="s">
        <v>72</v>
      </c>
      <c r="K1951" t="s">
        <v>73</v>
      </c>
      <c r="L1951" t="s">
        <v>74</v>
      </c>
      <c r="M1951" t="s">
        <v>1226</v>
      </c>
      <c r="N1951" t="s">
        <v>76</v>
      </c>
      <c r="O1951" t="s">
        <v>1227</v>
      </c>
      <c r="P1951" t="s">
        <v>1228</v>
      </c>
      <c r="Q1951" t="s">
        <v>66</v>
      </c>
      <c r="R1951" s="1">
        <v>46228</v>
      </c>
      <c r="S1951" t="s">
        <v>1230</v>
      </c>
      <c r="T1951" t="s">
        <v>1231</v>
      </c>
      <c r="U1951" t="s">
        <v>1232</v>
      </c>
      <c r="V1951" t="s">
        <v>66</v>
      </c>
      <c r="W1951" t="s">
        <v>66</v>
      </c>
      <c r="X1951">
        <v>1944459</v>
      </c>
      <c r="Y1951">
        <v>213890.49</v>
      </c>
      <c r="Z1951">
        <v>205524</v>
      </c>
      <c r="AA1951">
        <v>22607.64</v>
      </c>
      <c r="AB1951">
        <v>2158349.4900000002</v>
      </c>
      <c r="AC1951">
        <v>12</v>
      </c>
      <c r="AD1951" t="s">
        <v>82</v>
      </c>
      <c r="AE1951">
        <v>12</v>
      </c>
      <c r="AF1951" t="s">
        <v>359</v>
      </c>
      <c r="AG1951">
        <f>IFERROR(VLOOKUP(AF1951,[1]STOK!J:O,6,0),"")</f>
        <v>12</v>
      </c>
      <c r="AH1951" s="2">
        <f t="shared" si="60"/>
        <v>1</v>
      </c>
      <c r="AI1951" t="s">
        <v>359</v>
      </c>
      <c r="AJ1951" t="s">
        <v>360</v>
      </c>
      <c r="AK1951" t="s">
        <v>361</v>
      </c>
      <c r="AL1951" t="s">
        <v>86</v>
      </c>
      <c r="AM1951">
        <v>19203</v>
      </c>
      <c r="AN1951">
        <f t="shared" si="61"/>
        <v>19010.97</v>
      </c>
      <c r="AO1951" t="s">
        <v>66</v>
      </c>
      <c r="AP1951">
        <v>1</v>
      </c>
      <c r="AQ1951" t="s">
        <v>66</v>
      </c>
      <c r="AR1951">
        <v>0</v>
      </c>
      <c r="AS1951" t="s">
        <v>66</v>
      </c>
      <c r="AT1951">
        <v>0</v>
      </c>
      <c r="AU1951" t="s">
        <v>66</v>
      </c>
      <c r="AV1951">
        <v>0</v>
      </c>
      <c r="AW1951" t="s">
        <v>66</v>
      </c>
      <c r="AX1951">
        <v>0</v>
      </c>
      <c r="AY1951" t="s">
        <v>66</v>
      </c>
      <c r="AZ1951">
        <v>0</v>
      </c>
      <c r="BA1951" t="s">
        <v>66</v>
      </c>
      <c r="BB1951">
        <v>0</v>
      </c>
      <c r="BC1951">
        <v>0</v>
      </c>
      <c r="BD1951">
        <v>228131.64</v>
      </c>
      <c r="BE1951">
        <v>15490.24</v>
      </c>
      <c r="BF1951">
        <v>0</v>
      </c>
      <c r="BG1951" t="s">
        <v>87</v>
      </c>
      <c r="BH1951" t="s">
        <v>66</v>
      </c>
      <c r="BI1951">
        <v>0</v>
      </c>
      <c r="BJ1951" t="s">
        <v>66</v>
      </c>
      <c r="BK1951" t="s">
        <v>88</v>
      </c>
      <c r="BL1951" t="s">
        <v>66</v>
      </c>
      <c r="BM1951" t="s">
        <v>159</v>
      </c>
    </row>
    <row r="1952" spans="1:65" x14ac:dyDescent="0.25">
      <c r="A1952">
        <v>1950</v>
      </c>
      <c r="B1952" t="s">
        <v>1929</v>
      </c>
      <c r="C1952" t="s">
        <v>68</v>
      </c>
      <c r="D1952" s="1">
        <v>46228</v>
      </c>
      <c r="E1952" t="s">
        <v>1930</v>
      </c>
      <c r="F1952" t="s">
        <v>68</v>
      </c>
      <c r="G1952" t="s">
        <v>295</v>
      </c>
      <c r="H1952" t="s">
        <v>296</v>
      </c>
      <c r="I1952" t="s">
        <v>71</v>
      </c>
      <c r="J1952" t="s">
        <v>72</v>
      </c>
      <c r="K1952" t="s">
        <v>73</v>
      </c>
      <c r="L1952" t="s">
        <v>74</v>
      </c>
      <c r="M1952" t="s">
        <v>1226</v>
      </c>
      <c r="N1952" t="s">
        <v>76</v>
      </c>
      <c r="O1952" t="s">
        <v>1227</v>
      </c>
      <c r="P1952" t="s">
        <v>1228</v>
      </c>
      <c r="Q1952" t="s">
        <v>66</v>
      </c>
      <c r="R1952" s="1">
        <v>46228</v>
      </c>
      <c r="S1952" t="s">
        <v>1230</v>
      </c>
      <c r="T1952" t="s">
        <v>1231</v>
      </c>
      <c r="U1952" t="s">
        <v>1232</v>
      </c>
      <c r="V1952" t="s">
        <v>66</v>
      </c>
      <c r="W1952" t="s">
        <v>66</v>
      </c>
      <c r="X1952">
        <v>1944459</v>
      </c>
      <c r="Y1952">
        <v>213890.49</v>
      </c>
      <c r="Z1952">
        <v>227502</v>
      </c>
      <c r="AA1952">
        <v>25025.22</v>
      </c>
      <c r="AB1952">
        <v>2158349.4900000002</v>
      </c>
      <c r="AC1952">
        <v>6</v>
      </c>
      <c r="AD1952" t="s">
        <v>82</v>
      </c>
      <c r="AE1952">
        <v>6</v>
      </c>
      <c r="AF1952" t="s">
        <v>323</v>
      </c>
      <c r="AG1952">
        <f>IFERROR(VLOOKUP(AF1952,[1]STOK!J:O,6,0),"")</f>
        <v>6</v>
      </c>
      <c r="AH1952" s="2">
        <f t="shared" si="60"/>
        <v>1</v>
      </c>
      <c r="AI1952" t="s">
        <v>323</v>
      </c>
      <c r="AJ1952" t="s">
        <v>324</v>
      </c>
      <c r="AK1952" t="s">
        <v>325</v>
      </c>
      <c r="AL1952" t="s">
        <v>86</v>
      </c>
      <c r="AM1952">
        <v>42513</v>
      </c>
      <c r="AN1952">
        <f t="shared" si="61"/>
        <v>42087.87</v>
      </c>
      <c r="AO1952" t="s">
        <v>66</v>
      </c>
      <c r="AP1952">
        <v>1</v>
      </c>
      <c r="AQ1952" t="s">
        <v>66</v>
      </c>
      <c r="AR1952">
        <v>0</v>
      </c>
      <c r="AS1952" t="s">
        <v>66</v>
      </c>
      <c r="AT1952">
        <v>0</v>
      </c>
      <c r="AU1952" t="s">
        <v>66</v>
      </c>
      <c r="AV1952">
        <v>0</v>
      </c>
      <c r="AW1952" t="s">
        <v>66</v>
      </c>
      <c r="AX1952">
        <v>0</v>
      </c>
      <c r="AY1952" t="s">
        <v>66</v>
      </c>
      <c r="AZ1952">
        <v>0</v>
      </c>
      <c r="BA1952" t="s">
        <v>66</v>
      </c>
      <c r="BB1952">
        <v>0</v>
      </c>
      <c r="BC1952">
        <v>0</v>
      </c>
      <c r="BD1952">
        <v>252527.22</v>
      </c>
      <c r="BE1952">
        <v>33824.949999999997</v>
      </c>
      <c r="BF1952">
        <v>0</v>
      </c>
      <c r="BG1952" t="s">
        <v>87</v>
      </c>
      <c r="BH1952" t="s">
        <v>66</v>
      </c>
      <c r="BI1952">
        <v>0</v>
      </c>
      <c r="BJ1952" t="s">
        <v>66</v>
      </c>
      <c r="BK1952" t="s">
        <v>88</v>
      </c>
      <c r="BL1952" t="s">
        <v>66</v>
      </c>
      <c r="BM1952" t="s">
        <v>159</v>
      </c>
    </row>
    <row r="1953" spans="1:65" x14ac:dyDescent="0.25">
      <c r="A1953">
        <v>1951</v>
      </c>
      <c r="B1953" t="s">
        <v>1929</v>
      </c>
      <c r="C1953" t="s">
        <v>68</v>
      </c>
      <c r="D1953" s="1">
        <v>46228</v>
      </c>
      <c r="E1953" t="s">
        <v>1930</v>
      </c>
      <c r="F1953" t="s">
        <v>68</v>
      </c>
      <c r="G1953" t="s">
        <v>295</v>
      </c>
      <c r="H1953" t="s">
        <v>296</v>
      </c>
      <c r="I1953" t="s">
        <v>71</v>
      </c>
      <c r="J1953" t="s">
        <v>72</v>
      </c>
      <c r="K1953" t="s">
        <v>73</v>
      </c>
      <c r="L1953" t="s">
        <v>74</v>
      </c>
      <c r="M1953" t="s">
        <v>1226</v>
      </c>
      <c r="N1953" t="s">
        <v>76</v>
      </c>
      <c r="O1953" t="s">
        <v>1227</v>
      </c>
      <c r="P1953" t="s">
        <v>1228</v>
      </c>
      <c r="Q1953" t="s">
        <v>66</v>
      </c>
      <c r="R1953" s="1">
        <v>46228</v>
      </c>
      <c r="S1953" t="s">
        <v>1230</v>
      </c>
      <c r="T1953" t="s">
        <v>1231</v>
      </c>
      <c r="U1953" t="s">
        <v>1232</v>
      </c>
      <c r="V1953" t="s">
        <v>66</v>
      </c>
      <c r="W1953" t="s">
        <v>66</v>
      </c>
      <c r="X1953">
        <v>1944459</v>
      </c>
      <c r="Y1953">
        <v>213890.49</v>
      </c>
      <c r="Z1953">
        <v>171072</v>
      </c>
      <c r="AA1953">
        <v>18817.919999999998</v>
      </c>
      <c r="AB1953">
        <v>2158349.4900000002</v>
      </c>
      <c r="AC1953">
        <v>12</v>
      </c>
      <c r="AD1953" t="s">
        <v>82</v>
      </c>
      <c r="AE1953">
        <v>12</v>
      </c>
      <c r="AF1953" t="s">
        <v>213</v>
      </c>
      <c r="AG1953">
        <f>IFERROR(VLOOKUP(AF1953,[1]STOK!J:O,6,0),"")</f>
        <v>12</v>
      </c>
      <c r="AH1953" s="2">
        <f t="shared" si="60"/>
        <v>1</v>
      </c>
      <c r="AI1953" t="s">
        <v>213</v>
      </c>
      <c r="AJ1953" t="s">
        <v>214</v>
      </c>
      <c r="AK1953" t="s">
        <v>215</v>
      </c>
      <c r="AL1953" t="s">
        <v>86</v>
      </c>
      <c r="AM1953">
        <v>15984</v>
      </c>
      <c r="AN1953">
        <f t="shared" si="61"/>
        <v>15824.160000000002</v>
      </c>
      <c r="AO1953" t="s">
        <v>66</v>
      </c>
      <c r="AP1953">
        <v>1</v>
      </c>
      <c r="AQ1953" t="s">
        <v>66</v>
      </c>
      <c r="AR1953">
        <v>0</v>
      </c>
      <c r="AS1953" t="s">
        <v>66</v>
      </c>
      <c r="AT1953">
        <v>0</v>
      </c>
      <c r="AU1953" t="s">
        <v>66</v>
      </c>
      <c r="AV1953">
        <v>0</v>
      </c>
      <c r="AW1953" t="s">
        <v>66</v>
      </c>
      <c r="AX1953">
        <v>0</v>
      </c>
      <c r="AY1953" t="s">
        <v>66</v>
      </c>
      <c r="AZ1953">
        <v>0</v>
      </c>
      <c r="BA1953" t="s">
        <v>66</v>
      </c>
      <c r="BB1953">
        <v>0</v>
      </c>
      <c r="BC1953">
        <v>0</v>
      </c>
      <c r="BD1953">
        <v>189889.92000000001</v>
      </c>
      <c r="BE1953">
        <v>12609.82</v>
      </c>
      <c r="BF1953">
        <v>0</v>
      </c>
      <c r="BG1953" t="s">
        <v>87</v>
      </c>
      <c r="BH1953" t="s">
        <v>66</v>
      </c>
      <c r="BI1953">
        <v>0</v>
      </c>
      <c r="BJ1953" t="s">
        <v>66</v>
      </c>
      <c r="BK1953" t="s">
        <v>88</v>
      </c>
      <c r="BL1953" t="s">
        <v>66</v>
      </c>
      <c r="BM1953" t="s">
        <v>159</v>
      </c>
    </row>
    <row r="1954" spans="1:65" x14ac:dyDescent="0.25">
      <c r="A1954">
        <v>1952</v>
      </c>
      <c r="B1954" t="s">
        <v>1931</v>
      </c>
      <c r="C1954" t="s">
        <v>68</v>
      </c>
      <c r="D1954" s="1">
        <v>46228</v>
      </c>
      <c r="E1954" t="s">
        <v>1932</v>
      </c>
      <c r="F1954" t="s">
        <v>68</v>
      </c>
      <c r="G1954" t="s">
        <v>295</v>
      </c>
      <c r="H1954" t="s">
        <v>296</v>
      </c>
      <c r="I1954" t="s">
        <v>71</v>
      </c>
      <c r="J1954" t="s">
        <v>72</v>
      </c>
      <c r="K1954" t="s">
        <v>73</v>
      </c>
      <c r="L1954" t="s">
        <v>74</v>
      </c>
      <c r="M1954" t="s">
        <v>1338</v>
      </c>
      <c r="N1954" t="s">
        <v>76</v>
      </c>
      <c r="O1954" t="s">
        <v>1339</v>
      </c>
      <c r="P1954" t="s">
        <v>1340</v>
      </c>
      <c r="Q1954" t="s">
        <v>1933</v>
      </c>
      <c r="R1954" s="1">
        <v>46228</v>
      </c>
      <c r="S1954" t="s">
        <v>1230</v>
      </c>
      <c r="T1954" t="s">
        <v>1231</v>
      </c>
      <c r="U1954" t="s">
        <v>1232</v>
      </c>
      <c r="V1954" t="s">
        <v>66</v>
      </c>
      <c r="W1954" t="s">
        <v>66</v>
      </c>
      <c r="X1954">
        <v>2096820</v>
      </c>
      <c r="Y1954">
        <v>230650.2</v>
      </c>
      <c r="Z1954">
        <v>59994</v>
      </c>
      <c r="AA1954">
        <v>6599.34</v>
      </c>
      <c r="AB1954">
        <v>2327470.2000000002</v>
      </c>
      <c r="AC1954">
        <v>6</v>
      </c>
      <c r="AD1954" t="s">
        <v>82</v>
      </c>
      <c r="AE1954">
        <v>6</v>
      </c>
      <c r="AF1954" t="s">
        <v>857</v>
      </c>
      <c r="AG1954">
        <f>IFERROR(VLOOKUP(AF1954,[1]STOK!J:O,6,0),"")</f>
        <v>24</v>
      </c>
      <c r="AH1954" s="2">
        <f t="shared" si="60"/>
        <v>0.25</v>
      </c>
      <c r="AI1954" t="s">
        <v>857</v>
      </c>
      <c r="AJ1954" t="s">
        <v>858</v>
      </c>
      <c r="AK1954" t="s">
        <v>859</v>
      </c>
      <c r="AL1954" t="s">
        <v>86</v>
      </c>
      <c r="AM1954">
        <v>11211</v>
      </c>
      <c r="AN1954">
        <f t="shared" si="61"/>
        <v>11098.89</v>
      </c>
      <c r="AO1954" t="s">
        <v>66</v>
      </c>
      <c r="AP1954">
        <v>1</v>
      </c>
      <c r="AQ1954" t="s">
        <v>66</v>
      </c>
      <c r="AR1954">
        <v>0</v>
      </c>
      <c r="AS1954" t="s">
        <v>66</v>
      </c>
      <c r="AT1954">
        <v>0</v>
      </c>
      <c r="AU1954" t="s">
        <v>66</v>
      </c>
      <c r="AV1954">
        <v>0</v>
      </c>
      <c r="AW1954" t="s">
        <v>66</v>
      </c>
      <c r="AX1954">
        <v>0</v>
      </c>
      <c r="AY1954" t="s">
        <v>66</v>
      </c>
      <c r="AZ1954">
        <v>0</v>
      </c>
      <c r="BA1954" t="s">
        <v>66</v>
      </c>
      <c r="BB1954">
        <v>0</v>
      </c>
      <c r="BC1954">
        <v>0</v>
      </c>
      <c r="BD1954">
        <v>66593.34</v>
      </c>
      <c r="BE1954">
        <v>8326.08</v>
      </c>
      <c r="BF1954">
        <v>0</v>
      </c>
      <c r="BG1954" t="s">
        <v>87</v>
      </c>
      <c r="BH1954" t="s">
        <v>66</v>
      </c>
      <c r="BI1954">
        <v>0</v>
      </c>
      <c r="BJ1954" t="s">
        <v>66</v>
      </c>
      <c r="BK1954" t="s">
        <v>88</v>
      </c>
      <c r="BL1954" t="s">
        <v>66</v>
      </c>
      <c r="BM1954" t="s">
        <v>159</v>
      </c>
    </row>
    <row r="1955" spans="1:65" x14ac:dyDescent="0.25">
      <c r="A1955">
        <v>1953</v>
      </c>
      <c r="B1955" t="s">
        <v>1931</v>
      </c>
      <c r="C1955" t="s">
        <v>68</v>
      </c>
      <c r="D1955" s="1">
        <v>46228</v>
      </c>
      <c r="E1955" t="s">
        <v>1932</v>
      </c>
      <c r="F1955" t="s">
        <v>68</v>
      </c>
      <c r="G1955" t="s">
        <v>295</v>
      </c>
      <c r="H1955" t="s">
        <v>296</v>
      </c>
      <c r="I1955" t="s">
        <v>71</v>
      </c>
      <c r="J1955" t="s">
        <v>72</v>
      </c>
      <c r="K1955" t="s">
        <v>73</v>
      </c>
      <c r="L1955" t="s">
        <v>74</v>
      </c>
      <c r="M1955" t="s">
        <v>1338</v>
      </c>
      <c r="N1955" t="s">
        <v>76</v>
      </c>
      <c r="O1955" t="s">
        <v>1339</v>
      </c>
      <c r="P1955" t="s">
        <v>1340</v>
      </c>
      <c r="Q1955" t="s">
        <v>1933</v>
      </c>
      <c r="R1955" s="1">
        <v>46228</v>
      </c>
      <c r="S1955" t="s">
        <v>1230</v>
      </c>
      <c r="T1955" t="s">
        <v>1231</v>
      </c>
      <c r="U1955" t="s">
        <v>1232</v>
      </c>
      <c r="V1955" t="s">
        <v>66</v>
      </c>
      <c r="W1955" t="s">
        <v>66</v>
      </c>
      <c r="X1955">
        <v>2096820</v>
      </c>
      <c r="Y1955">
        <v>230650.2</v>
      </c>
      <c r="Z1955">
        <v>59994</v>
      </c>
      <c r="AA1955">
        <v>6599.34</v>
      </c>
      <c r="AB1955">
        <v>2327470.2000000002</v>
      </c>
      <c r="AC1955">
        <v>6</v>
      </c>
      <c r="AD1955" t="s">
        <v>82</v>
      </c>
      <c r="AE1955">
        <v>6</v>
      </c>
      <c r="AF1955" t="s">
        <v>848</v>
      </c>
      <c r="AG1955">
        <f>IFERROR(VLOOKUP(AF1955,[1]STOK!J:O,6,0),"")</f>
        <v>24</v>
      </c>
      <c r="AH1955" s="2">
        <f t="shared" si="60"/>
        <v>0.25</v>
      </c>
      <c r="AI1955" t="s">
        <v>848</v>
      </c>
      <c r="AJ1955" t="s">
        <v>849</v>
      </c>
      <c r="AK1955" t="s">
        <v>850</v>
      </c>
      <c r="AL1955" t="s">
        <v>86</v>
      </c>
      <c r="AM1955">
        <v>11211</v>
      </c>
      <c r="AN1955">
        <f t="shared" si="61"/>
        <v>11098.89</v>
      </c>
      <c r="AO1955" t="s">
        <v>66</v>
      </c>
      <c r="AP1955">
        <v>1</v>
      </c>
      <c r="AQ1955" t="s">
        <v>66</v>
      </c>
      <c r="AR1955">
        <v>0</v>
      </c>
      <c r="AS1955" t="s">
        <v>66</v>
      </c>
      <c r="AT1955">
        <v>0</v>
      </c>
      <c r="AU1955" t="s">
        <v>66</v>
      </c>
      <c r="AV1955">
        <v>0</v>
      </c>
      <c r="AW1955" t="s">
        <v>66</v>
      </c>
      <c r="AX1955">
        <v>0</v>
      </c>
      <c r="AY1955" t="s">
        <v>66</v>
      </c>
      <c r="AZ1955">
        <v>0</v>
      </c>
      <c r="BA1955" t="s">
        <v>66</v>
      </c>
      <c r="BB1955">
        <v>0</v>
      </c>
      <c r="BC1955">
        <v>0</v>
      </c>
      <c r="BD1955">
        <v>66593.34</v>
      </c>
      <c r="BE1955">
        <v>8922.2099999999991</v>
      </c>
      <c r="BF1955">
        <v>0</v>
      </c>
      <c r="BG1955" t="s">
        <v>87</v>
      </c>
      <c r="BH1955" t="s">
        <v>66</v>
      </c>
      <c r="BI1955">
        <v>0</v>
      </c>
      <c r="BJ1955" t="s">
        <v>66</v>
      </c>
      <c r="BK1955" t="s">
        <v>88</v>
      </c>
      <c r="BL1955" t="s">
        <v>66</v>
      </c>
      <c r="BM1955" t="s">
        <v>159</v>
      </c>
    </row>
    <row r="1956" spans="1:65" x14ac:dyDescent="0.25">
      <c r="A1956">
        <v>1954</v>
      </c>
      <c r="B1956" t="s">
        <v>1931</v>
      </c>
      <c r="C1956" t="s">
        <v>68</v>
      </c>
      <c r="D1956" s="1">
        <v>46228</v>
      </c>
      <c r="E1956" t="s">
        <v>1932</v>
      </c>
      <c r="F1956" t="s">
        <v>68</v>
      </c>
      <c r="G1956" t="s">
        <v>295</v>
      </c>
      <c r="H1956" t="s">
        <v>296</v>
      </c>
      <c r="I1956" t="s">
        <v>71</v>
      </c>
      <c r="J1956" t="s">
        <v>72</v>
      </c>
      <c r="K1956" t="s">
        <v>73</v>
      </c>
      <c r="L1956" t="s">
        <v>74</v>
      </c>
      <c r="M1956" t="s">
        <v>1338</v>
      </c>
      <c r="N1956" t="s">
        <v>76</v>
      </c>
      <c r="O1956" t="s">
        <v>1339</v>
      </c>
      <c r="P1956" t="s">
        <v>1340</v>
      </c>
      <c r="Q1956" t="s">
        <v>1933</v>
      </c>
      <c r="R1956" s="1">
        <v>46228</v>
      </c>
      <c r="S1956" t="s">
        <v>1230</v>
      </c>
      <c r="T1956" t="s">
        <v>1231</v>
      </c>
      <c r="U1956" t="s">
        <v>1232</v>
      </c>
      <c r="V1956" t="s">
        <v>66</v>
      </c>
      <c r="W1956" t="s">
        <v>66</v>
      </c>
      <c r="X1956">
        <v>2096820</v>
      </c>
      <c r="Y1956">
        <v>230650.2</v>
      </c>
      <c r="Z1956">
        <v>119988</v>
      </c>
      <c r="AA1956">
        <v>13198.68</v>
      </c>
      <c r="AB1956">
        <v>2327470.2000000002</v>
      </c>
      <c r="AC1956">
        <v>6</v>
      </c>
      <c r="AD1956" t="s">
        <v>82</v>
      </c>
      <c r="AE1956">
        <v>6</v>
      </c>
      <c r="AF1956" t="s">
        <v>242</v>
      </c>
      <c r="AG1956">
        <f>IFERROR(VLOOKUP(AF1956,[1]STOK!J:O,6,0),"")</f>
        <v>12</v>
      </c>
      <c r="AH1956" s="2">
        <f t="shared" si="60"/>
        <v>0.5</v>
      </c>
      <c r="AI1956" t="s">
        <v>242</v>
      </c>
      <c r="AJ1956" t="s">
        <v>243</v>
      </c>
      <c r="AK1956" t="s">
        <v>244</v>
      </c>
      <c r="AL1956" t="s">
        <v>86</v>
      </c>
      <c r="AM1956">
        <v>22422</v>
      </c>
      <c r="AN1956">
        <f t="shared" si="61"/>
        <v>22197.78</v>
      </c>
      <c r="AO1956" t="s">
        <v>66</v>
      </c>
      <c r="AP1956">
        <v>1</v>
      </c>
      <c r="AQ1956" t="s">
        <v>66</v>
      </c>
      <c r="AR1956">
        <v>0</v>
      </c>
      <c r="AS1956" t="s">
        <v>66</v>
      </c>
      <c r="AT1956">
        <v>0</v>
      </c>
      <c r="AU1956" t="s">
        <v>66</v>
      </c>
      <c r="AV1956">
        <v>0</v>
      </c>
      <c r="AW1956" t="s">
        <v>66</v>
      </c>
      <c r="AX1956">
        <v>0</v>
      </c>
      <c r="AY1956" t="s">
        <v>66</v>
      </c>
      <c r="AZ1956">
        <v>0</v>
      </c>
      <c r="BA1956" t="s">
        <v>66</v>
      </c>
      <c r="BB1956">
        <v>0</v>
      </c>
      <c r="BC1956">
        <v>0</v>
      </c>
      <c r="BD1956">
        <v>133186.68</v>
      </c>
      <c r="BE1956">
        <v>16642.77</v>
      </c>
      <c r="BF1956">
        <v>0</v>
      </c>
      <c r="BG1956" t="s">
        <v>87</v>
      </c>
      <c r="BH1956" t="s">
        <v>66</v>
      </c>
      <c r="BI1956">
        <v>0</v>
      </c>
      <c r="BJ1956" t="s">
        <v>66</v>
      </c>
      <c r="BK1956" t="s">
        <v>88</v>
      </c>
      <c r="BL1956" t="s">
        <v>66</v>
      </c>
      <c r="BM1956" t="s">
        <v>159</v>
      </c>
    </row>
    <row r="1957" spans="1:65" x14ac:dyDescent="0.25">
      <c r="A1957">
        <v>1955</v>
      </c>
      <c r="B1957" t="s">
        <v>1931</v>
      </c>
      <c r="C1957" t="s">
        <v>68</v>
      </c>
      <c r="D1957" s="1">
        <v>46228</v>
      </c>
      <c r="E1957" t="s">
        <v>1932</v>
      </c>
      <c r="F1957" t="s">
        <v>68</v>
      </c>
      <c r="G1957" t="s">
        <v>295</v>
      </c>
      <c r="H1957" t="s">
        <v>296</v>
      </c>
      <c r="I1957" t="s">
        <v>71</v>
      </c>
      <c r="J1957" t="s">
        <v>72</v>
      </c>
      <c r="K1957" t="s">
        <v>73</v>
      </c>
      <c r="L1957" t="s">
        <v>74</v>
      </c>
      <c r="M1957" t="s">
        <v>1338</v>
      </c>
      <c r="N1957" t="s">
        <v>76</v>
      </c>
      <c r="O1957" t="s">
        <v>1339</v>
      </c>
      <c r="P1957" t="s">
        <v>1340</v>
      </c>
      <c r="Q1957" t="s">
        <v>1933</v>
      </c>
      <c r="R1957" s="1">
        <v>46228</v>
      </c>
      <c r="S1957" t="s">
        <v>1230</v>
      </c>
      <c r="T1957" t="s">
        <v>1231</v>
      </c>
      <c r="U1957" t="s">
        <v>1232</v>
      </c>
      <c r="V1957" t="s">
        <v>66</v>
      </c>
      <c r="W1957" t="s">
        <v>66</v>
      </c>
      <c r="X1957">
        <v>2096820</v>
      </c>
      <c r="Y1957">
        <v>230650.2</v>
      </c>
      <c r="Z1957">
        <v>104544</v>
      </c>
      <c r="AA1957">
        <v>11499.84</v>
      </c>
      <c r="AB1957">
        <v>2327470.2000000002</v>
      </c>
      <c r="AC1957">
        <v>6</v>
      </c>
      <c r="AD1957" t="s">
        <v>82</v>
      </c>
      <c r="AE1957">
        <v>6</v>
      </c>
      <c r="AF1957" t="s">
        <v>1934</v>
      </c>
      <c r="AG1957">
        <f>IFERROR(VLOOKUP(AF1957,[1]STOK!J:O,6,0),"")</f>
        <v>12</v>
      </c>
      <c r="AH1957" s="2">
        <f t="shared" si="60"/>
        <v>0.5</v>
      </c>
      <c r="AI1957" t="s">
        <v>1934</v>
      </c>
      <c r="AJ1957" t="s">
        <v>1935</v>
      </c>
      <c r="AK1957" t="s">
        <v>1936</v>
      </c>
      <c r="AL1957" t="s">
        <v>86</v>
      </c>
      <c r="AM1957">
        <v>19536</v>
      </c>
      <c r="AN1957">
        <f t="shared" si="61"/>
        <v>19340.64</v>
      </c>
      <c r="AO1957" t="s">
        <v>66</v>
      </c>
      <c r="AP1957">
        <v>1</v>
      </c>
      <c r="AQ1957" t="s">
        <v>66</v>
      </c>
      <c r="AR1957">
        <v>0</v>
      </c>
      <c r="AS1957" t="s">
        <v>66</v>
      </c>
      <c r="AT1957">
        <v>0</v>
      </c>
      <c r="AU1957" t="s">
        <v>66</v>
      </c>
      <c r="AV1957">
        <v>0</v>
      </c>
      <c r="AW1957" t="s">
        <v>66</v>
      </c>
      <c r="AX1957">
        <v>0</v>
      </c>
      <c r="AY1957" t="s">
        <v>66</v>
      </c>
      <c r="AZ1957">
        <v>0</v>
      </c>
      <c r="BA1957" t="s">
        <v>66</v>
      </c>
      <c r="BB1957">
        <v>0</v>
      </c>
      <c r="BC1957">
        <v>0</v>
      </c>
      <c r="BD1957">
        <v>116043.84</v>
      </c>
      <c r="BE1957">
        <v>15066.02</v>
      </c>
      <c r="BF1957">
        <v>0</v>
      </c>
      <c r="BG1957" t="s">
        <v>87</v>
      </c>
      <c r="BH1957" t="s">
        <v>66</v>
      </c>
      <c r="BI1957">
        <v>0</v>
      </c>
      <c r="BJ1957" t="s">
        <v>66</v>
      </c>
      <c r="BK1957" t="s">
        <v>88</v>
      </c>
      <c r="BL1957" t="s">
        <v>66</v>
      </c>
      <c r="BM1957" t="s">
        <v>159</v>
      </c>
    </row>
    <row r="1958" spans="1:65" x14ac:dyDescent="0.25">
      <c r="A1958">
        <v>1956</v>
      </c>
      <c r="B1958" t="s">
        <v>1931</v>
      </c>
      <c r="C1958" t="s">
        <v>68</v>
      </c>
      <c r="D1958" s="1">
        <v>46228</v>
      </c>
      <c r="E1958" t="s">
        <v>1932</v>
      </c>
      <c r="F1958" t="s">
        <v>68</v>
      </c>
      <c r="G1958" t="s">
        <v>295</v>
      </c>
      <c r="H1958" t="s">
        <v>296</v>
      </c>
      <c r="I1958" t="s">
        <v>71</v>
      </c>
      <c r="J1958" t="s">
        <v>72</v>
      </c>
      <c r="K1958" t="s">
        <v>73</v>
      </c>
      <c r="L1958" t="s">
        <v>74</v>
      </c>
      <c r="M1958" t="s">
        <v>1338</v>
      </c>
      <c r="N1958" t="s">
        <v>76</v>
      </c>
      <c r="O1958" t="s">
        <v>1339</v>
      </c>
      <c r="P1958" t="s">
        <v>1340</v>
      </c>
      <c r="Q1958" t="s">
        <v>1933</v>
      </c>
      <c r="R1958" s="1">
        <v>46228</v>
      </c>
      <c r="S1958" t="s">
        <v>1230</v>
      </c>
      <c r="T1958" t="s">
        <v>1231</v>
      </c>
      <c r="U1958" t="s">
        <v>1232</v>
      </c>
      <c r="V1958" t="s">
        <v>66</v>
      </c>
      <c r="W1958" t="s">
        <v>66</v>
      </c>
      <c r="X1958">
        <v>2096820</v>
      </c>
      <c r="Y1958">
        <v>230650.2</v>
      </c>
      <c r="Z1958">
        <v>768636</v>
      </c>
      <c r="AA1958">
        <v>84549.96</v>
      </c>
      <c r="AB1958">
        <v>2327470.2000000002</v>
      </c>
      <c r="AC1958">
        <v>6</v>
      </c>
      <c r="AD1958" t="s">
        <v>82</v>
      </c>
      <c r="AE1958">
        <v>6</v>
      </c>
      <c r="AF1958" t="s">
        <v>522</v>
      </c>
      <c r="AG1958">
        <f>IFERROR(VLOOKUP(AF1958,[1]STOK!J:O,6,0),"")</f>
        <v>4</v>
      </c>
      <c r="AH1958" s="2">
        <f t="shared" si="60"/>
        <v>1.5</v>
      </c>
      <c r="AI1958" t="s">
        <v>522</v>
      </c>
      <c r="AJ1958" t="s">
        <v>523</v>
      </c>
      <c r="AK1958" t="s">
        <v>524</v>
      </c>
      <c r="AL1958" t="s">
        <v>86</v>
      </c>
      <c r="AM1958">
        <v>143634</v>
      </c>
      <c r="AN1958">
        <f t="shared" si="61"/>
        <v>142197.66</v>
      </c>
      <c r="AO1958" t="s">
        <v>66</v>
      </c>
      <c r="AP1958">
        <v>1</v>
      </c>
      <c r="AQ1958" t="s">
        <v>66</v>
      </c>
      <c r="AR1958">
        <v>0</v>
      </c>
      <c r="AS1958" t="s">
        <v>66</v>
      </c>
      <c r="AT1958">
        <v>0</v>
      </c>
      <c r="AU1958" t="s">
        <v>66</v>
      </c>
      <c r="AV1958">
        <v>0</v>
      </c>
      <c r="AW1958" t="s">
        <v>66</v>
      </c>
      <c r="AX1958">
        <v>0</v>
      </c>
      <c r="AY1958" t="s">
        <v>66</v>
      </c>
      <c r="AZ1958">
        <v>0</v>
      </c>
      <c r="BA1958" t="s">
        <v>66</v>
      </c>
      <c r="BB1958">
        <v>0</v>
      </c>
      <c r="BC1958">
        <v>0</v>
      </c>
      <c r="BD1958">
        <v>853185.96</v>
      </c>
      <c r="BE1958">
        <v>110461.05</v>
      </c>
      <c r="BF1958">
        <v>0</v>
      </c>
      <c r="BG1958" t="s">
        <v>87</v>
      </c>
      <c r="BH1958" t="s">
        <v>66</v>
      </c>
      <c r="BI1958">
        <v>0</v>
      </c>
      <c r="BJ1958" t="s">
        <v>66</v>
      </c>
      <c r="BK1958" t="s">
        <v>88</v>
      </c>
      <c r="BL1958" t="s">
        <v>66</v>
      </c>
      <c r="BM1958" t="s">
        <v>159</v>
      </c>
    </row>
    <row r="1959" spans="1:65" x14ac:dyDescent="0.25">
      <c r="A1959">
        <v>1957</v>
      </c>
      <c r="B1959" t="s">
        <v>1931</v>
      </c>
      <c r="C1959" t="s">
        <v>68</v>
      </c>
      <c r="D1959" s="1">
        <v>46228</v>
      </c>
      <c r="E1959" t="s">
        <v>1932</v>
      </c>
      <c r="F1959" t="s">
        <v>68</v>
      </c>
      <c r="G1959" t="s">
        <v>295</v>
      </c>
      <c r="H1959" t="s">
        <v>296</v>
      </c>
      <c r="I1959" t="s">
        <v>71</v>
      </c>
      <c r="J1959" t="s">
        <v>72</v>
      </c>
      <c r="K1959" t="s">
        <v>73</v>
      </c>
      <c r="L1959" t="s">
        <v>74</v>
      </c>
      <c r="M1959" t="s">
        <v>1338</v>
      </c>
      <c r="N1959" t="s">
        <v>76</v>
      </c>
      <c r="O1959" t="s">
        <v>1339</v>
      </c>
      <c r="P1959" t="s">
        <v>1340</v>
      </c>
      <c r="Q1959" t="s">
        <v>1933</v>
      </c>
      <c r="R1959" s="1">
        <v>46228</v>
      </c>
      <c r="S1959" t="s">
        <v>1230</v>
      </c>
      <c r="T1959" t="s">
        <v>1231</v>
      </c>
      <c r="U1959" t="s">
        <v>1232</v>
      </c>
      <c r="V1959" t="s">
        <v>66</v>
      </c>
      <c r="W1959" t="s">
        <v>66</v>
      </c>
      <c r="X1959">
        <v>2096820</v>
      </c>
      <c r="Y1959">
        <v>230650.2</v>
      </c>
      <c r="Z1959">
        <v>115236</v>
      </c>
      <c r="AA1959">
        <v>12675.96</v>
      </c>
      <c r="AB1959">
        <v>2327470.2000000002</v>
      </c>
      <c r="AC1959">
        <v>6</v>
      </c>
      <c r="AD1959" t="s">
        <v>82</v>
      </c>
      <c r="AE1959">
        <v>6</v>
      </c>
      <c r="AF1959" t="s">
        <v>281</v>
      </c>
      <c r="AG1959">
        <f>IFERROR(VLOOKUP(AF1959,[1]STOK!J:O,6,0),"")</f>
        <v>24</v>
      </c>
      <c r="AH1959" s="2">
        <f t="shared" si="60"/>
        <v>0.25</v>
      </c>
      <c r="AI1959" t="s">
        <v>281</v>
      </c>
      <c r="AJ1959" t="s">
        <v>282</v>
      </c>
      <c r="AK1959" t="s">
        <v>283</v>
      </c>
      <c r="AL1959" t="s">
        <v>86</v>
      </c>
      <c r="AM1959">
        <v>21534</v>
      </c>
      <c r="AN1959">
        <f t="shared" si="61"/>
        <v>21318.66</v>
      </c>
      <c r="AO1959" t="s">
        <v>66</v>
      </c>
      <c r="AP1959">
        <v>1</v>
      </c>
      <c r="AQ1959" t="s">
        <v>66</v>
      </c>
      <c r="AR1959">
        <v>0</v>
      </c>
      <c r="AS1959" t="s">
        <v>66</v>
      </c>
      <c r="AT1959">
        <v>0</v>
      </c>
      <c r="AU1959" t="s">
        <v>66</v>
      </c>
      <c r="AV1959">
        <v>0</v>
      </c>
      <c r="AW1959" t="s">
        <v>66</v>
      </c>
      <c r="AX1959">
        <v>0</v>
      </c>
      <c r="AY1959" t="s">
        <v>66</v>
      </c>
      <c r="AZ1959">
        <v>0</v>
      </c>
      <c r="BA1959" t="s">
        <v>66</v>
      </c>
      <c r="BB1959">
        <v>0</v>
      </c>
      <c r="BC1959">
        <v>0</v>
      </c>
      <c r="BD1959">
        <v>127911.96</v>
      </c>
      <c r="BE1959">
        <v>16784.46</v>
      </c>
      <c r="BF1959">
        <v>0</v>
      </c>
      <c r="BG1959" t="s">
        <v>87</v>
      </c>
      <c r="BH1959" t="s">
        <v>66</v>
      </c>
      <c r="BI1959">
        <v>0</v>
      </c>
      <c r="BJ1959" t="s">
        <v>66</v>
      </c>
      <c r="BK1959" t="s">
        <v>88</v>
      </c>
      <c r="BL1959" t="s">
        <v>66</v>
      </c>
      <c r="BM1959" t="s">
        <v>159</v>
      </c>
    </row>
    <row r="1960" spans="1:65" x14ac:dyDescent="0.25">
      <c r="A1960">
        <v>1958</v>
      </c>
      <c r="B1960" t="s">
        <v>1931</v>
      </c>
      <c r="C1960" t="s">
        <v>68</v>
      </c>
      <c r="D1960" s="1">
        <v>46228</v>
      </c>
      <c r="E1960" t="s">
        <v>1932</v>
      </c>
      <c r="F1960" t="s">
        <v>68</v>
      </c>
      <c r="G1960" t="s">
        <v>295</v>
      </c>
      <c r="H1960" t="s">
        <v>296</v>
      </c>
      <c r="I1960" t="s">
        <v>71</v>
      </c>
      <c r="J1960" t="s">
        <v>72</v>
      </c>
      <c r="K1960" t="s">
        <v>73</v>
      </c>
      <c r="L1960" t="s">
        <v>74</v>
      </c>
      <c r="M1960" t="s">
        <v>1338</v>
      </c>
      <c r="N1960" t="s">
        <v>76</v>
      </c>
      <c r="O1960" t="s">
        <v>1339</v>
      </c>
      <c r="P1960" t="s">
        <v>1340</v>
      </c>
      <c r="Q1960" t="s">
        <v>1933</v>
      </c>
      <c r="R1960" s="1">
        <v>46228</v>
      </c>
      <c r="S1960" t="s">
        <v>1230</v>
      </c>
      <c r="T1960" t="s">
        <v>1231</v>
      </c>
      <c r="U1960" t="s">
        <v>1232</v>
      </c>
      <c r="V1960" t="s">
        <v>66</v>
      </c>
      <c r="W1960" t="s">
        <v>66</v>
      </c>
      <c r="X1960">
        <v>2096820</v>
      </c>
      <c r="Y1960">
        <v>230650.2</v>
      </c>
      <c r="Z1960">
        <v>115236</v>
      </c>
      <c r="AA1960">
        <v>12675.96</v>
      </c>
      <c r="AB1960">
        <v>2327470.2000000002</v>
      </c>
      <c r="AC1960">
        <v>6</v>
      </c>
      <c r="AD1960" t="s">
        <v>82</v>
      </c>
      <c r="AE1960">
        <v>6</v>
      </c>
      <c r="AF1960" t="s">
        <v>284</v>
      </c>
      <c r="AG1960">
        <f>IFERROR(VLOOKUP(AF1960,[1]STOK!J:O,6,0),"")</f>
        <v>12</v>
      </c>
      <c r="AH1960" s="2">
        <f t="shared" si="60"/>
        <v>0.5</v>
      </c>
      <c r="AI1960" t="s">
        <v>284</v>
      </c>
      <c r="AJ1960" t="s">
        <v>285</v>
      </c>
      <c r="AK1960" t="s">
        <v>286</v>
      </c>
      <c r="AL1960" t="s">
        <v>86</v>
      </c>
      <c r="AM1960">
        <v>21534</v>
      </c>
      <c r="AN1960">
        <f t="shared" si="61"/>
        <v>21318.66</v>
      </c>
      <c r="AO1960" t="s">
        <v>66</v>
      </c>
      <c r="AP1960">
        <v>1</v>
      </c>
      <c r="AQ1960" t="s">
        <v>66</v>
      </c>
      <c r="AR1960">
        <v>0</v>
      </c>
      <c r="AS1960" t="s">
        <v>66</v>
      </c>
      <c r="AT1960">
        <v>0</v>
      </c>
      <c r="AU1960" t="s">
        <v>66</v>
      </c>
      <c r="AV1960">
        <v>0</v>
      </c>
      <c r="AW1960" t="s">
        <v>66</v>
      </c>
      <c r="AX1960">
        <v>0</v>
      </c>
      <c r="AY1960" t="s">
        <v>66</v>
      </c>
      <c r="AZ1960">
        <v>0</v>
      </c>
      <c r="BA1960" t="s">
        <v>66</v>
      </c>
      <c r="BB1960">
        <v>0</v>
      </c>
      <c r="BC1960">
        <v>0</v>
      </c>
      <c r="BD1960">
        <v>127911.96</v>
      </c>
      <c r="BE1960">
        <v>17160.12</v>
      </c>
      <c r="BF1960">
        <v>0</v>
      </c>
      <c r="BG1960" t="s">
        <v>87</v>
      </c>
      <c r="BH1960" t="s">
        <v>66</v>
      </c>
      <c r="BI1960">
        <v>0</v>
      </c>
      <c r="BJ1960" t="s">
        <v>66</v>
      </c>
      <c r="BK1960" t="s">
        <v>88</v>
      </c>
      <c r="BL1960" t="s">
        <v>66</v>
      </c>
      <c r="BM1960" t="s">
        <v>159</v>
      </c>
    </row>
    <row r="1961" spans="1:65" x14ac:dyDescent="0.25">
      <c r="A1961">
        <v>1959</v>
      </c>
      <c r="B1961" t="s">
        <v>1931</v>
      </c>
      <c r="C1961" t="s">
        <v>68</v>
      </c>
      <c r="D1961" s="1">
        <v>46228</v>
      </c>
      <c r="E1961" t="s">
        <v>1932</v>
      </c>
      <c r="F1961" t="s">
        <v>68</v>
      </c>
      <c r="G1961" t="s">
        <v>295</v>
      </c>
      <c r="H1961" t="s">
        <v>296</v>
      </c>
      <c r="I1961" t="s">
        <v>71</v>
      </c>
      <c r="J1961" t="s">
        <v>72</v>
      </c>
      <c r="K1961" t="s">
        <v>73</v>
      </c>
      <c r="L1961" t="s">
        <v>74</v>
      </c>
      <c r="M1961" t="s">
        <v>1338</v>
      </c>
      <c r="N1961" t="s">
        <v>76</v>
      </c>
      <c r="O1961" t="s">
        <v>1339</v>
      </c>
      <c r="P1961" t="s">
        <v>1340</v>
      </c>
      <c r="Q1961" t="s">
        <v>1933</v>
      </c>
      <c r="R1961" s="1">
        <v>46228</v>
      </c>
      <c r="S1961" t="s">
        <v>1230</v>
      </c>
      <c r="T1961" t="s">
        <v>1231</v>
      </c>
      <c r="U1961" t="s">
        <v>1232</v>
      </c>
      <c r="V1961" t="s">
        <v>66</v>
      </c>
      <c r="W1961" t="s">
        <v>66</v>
      </c>
      <c r="X1961">
        <v>2096820</v>
      </c>
      <c r="Y1961">
        <v>230650.2</v>
      </c>
      <c r="Z1961">
        <v>24948</v>
      </c>
      <c r="AA1961">
        <v>2744.28</v>
      </c>
      <c r="AB1961">
        <v>2327470.2000000002</v>
      </c>
      <c r="AC1961">
        <v>6</v>
      </c>
      <c r="AD1961" t="s">
        <v>82</v>
      </c>
      <c r="AE1961">
        <v>6</v>
      </c>
      <c r="AF1961" t="s">
        <v>131</v>
      </c>
      <c r="AG1961">
        <f>IFERROR(VLOOKUP(AF1961,[1]STOK!J:O,6,0),"")</f>
        <v>24</v>
      </c>
      <c r="AH1961" s="2">
        <f t="shared" si="60"/>
        <v>0.25</v>
      </c>
      <c r="AI1961" t="s">
        <v>131</v>
      </c>
      <c r="AJ1961" t="s">
        <v>132</v>
      </c>
      <c r="AK1961" t="s">
        <v>133</v>
      </c>
      <c r="AL1961" t="s">
        <v>86</v>
      </c>
      <c r="AM1961">
        <v>4662</v>
      </c>
      <c r="AN1961">
        <f t="shared" si="61"/>
        <v>4615.38</v>
      </c>
      <c r="AO1961" t="s">
        <v>66</v>
      </c>
      <c r="AP1961">
        <v>1</v>
      </c>
      <c r="AQ1961" t="s">
        <v>66</v>
      </c>
      <c r="AR1961">
        <v>0</v>
      </c>
      <c r="AS1961" t="s">
        <v>66</v>
      </c>
      <c r="AT1961">
        <v>0</v>
      </c>
      <c r="AU1961" t="s">
        <v>66</v>
      </c>
      <c r="AV1961">
        <v>0</v>
      </c>
      <c r="AW1961" t="s">
        <v>66</v>
      </c>
      <c r="AX1961">
        <v>0</v>
      </c>
      <c r="AY1961" t="s">
        <v>66</v>
      </c>
      <c r="AZ1961">
        <v>0</v>
      </c>
      <c r="BA1961" t="s">
        <v>66</v>
      </c>
      <c r="BB1961">
        <v>0</v>
      </c>
      <c r="BC1961">
        <v>0</v>
      </c>
      <c r="BD1961">
        <v>27692.28</v>
      </c>
      <c r="BE1961">
        <v>3657.11</v>
      </c>
      <c r="BF1961">
        <v>0</v>
      </c>
      <c r="BG1961" t="s">
        <v>87</v>
      </c>
      <c r="BH1961" t="s">
        <v>66</v>
      </c>
      <c r="BI1961">
        <v>0</v>
      </c>
      <c r="BJ1961" t="s">
        <v>66</v>
      </c>
      <c r="BK1961" t="s">
        <v>88</v>
      </c>
      <c r="BL1961" t="s">
        <v>66</v>
      </c>
      <c r="BM1961" t="s">
        <v>159</v>
      </c>
    </row>
    <row r="1962" spans="1:65" x14ac:dyDescent="0.25">
      <c r="A1962">
        <v>1960</v>
      </c>
      <c r="B1962" t="s">
        <v>1931</v>
      </c>
      <c r="C1962" t="s">
        <v>68</v>
      </c>
      <c r="D1962" s="1">
        <v>46228</v>
      </c>
      <c r="E1962" t="s">
        <v>1932</v>
      </c>
      <c r="F1962" t="s">
        <v>68</v>
      </c>
      <c r="G1962" t="s">
        <v>295</v>
      </c>
      <c r="H1962" t="s">
        <v>296</v>
      </c>
      <c r="I1962" t="s">
        <v>71</v>
      </c>
      <c r="J1962" t="s">
        <v>72</v>
      </c>
      <c r="K1962" t="s">
        <v>73</v>
      </c>
      <c r="L1962" t="s">
        <v>74</v>
      </c>
      <c r="M1962" t="s">
        <v>1338</v>
      </c>
      <c r="N1962" t="s">
        <v>76</v>
      </c>
      <c r="O1962" t="s">
        <v>1339</v>
      </c>
      <c r="P1962" t="s">
        <v>1340</v>
      </c>
      <c r="Q1962" t="s">
        <v>1933</v>
      </c>
      <c r="R1962" s="1">
        <v>46228</v>
      </c>
      <c r="S1962" t="s">
        <v>1230</v>
      </c>
      <c r="T1962" t="s">
        <v>1231</v>
      </c>
      <c r="U1962" t="s">
        <v>1232</v>
      </c>
      <c r="V1962" t="s">
        <v>66</v>
      </c>
      <c r="W1962" t="s">
        <v>66</v>
      </c>
      <c r="X1962">
        <v>2096820</v>
      </c>
      <c r="Y1962">
        <v>230650.2</v>
      </c>
      <c r="Z1962">
        <v>319572</v>
      </c>
      <c r="AA1962">
        <v>35152.92</v>
      </c>
      <c r="AB1962">
        <v>2327470.2000000002</v>
      </c>
      <c r="AC1962">
        <v>6</v>
      </c>
      <c r="AD1962" t="s">
        <v>82</v>
      </c>
      <c r="AE1962">
        <v>6</v>
      </c>
      <c r="AF1962" t="s">
        <v>878</v>
      </c>
      <c r="AG1962">
        <f>IFERROR(VLOOKUP(AF1962,[1]STOK!J:O,6,0),"")</f>
        <v>6</v>
      </c>
      <c r="AH1962" s="2">
        <f t="shared" si="60"/>
        <v>1</v>
      </c>
      <c r="AI1962" t="s">
        <v>878</v>
      </c>
      <c r="AJ1962" t="s">
        <v>879</v>
      </c>
      <c r="AK1962" t="s">
        <v>880</v>
      </c>
      <c r="AL1962" t="s">
        <v>86</v>
      </c>
      <c r="AM1962">
        <v>59718</v>
      </c>
      <c r="AN1962">
        <f t="shared" si="61"/>
        <v>59120.82</v>
      </c>
      <c r="AO1962" t="s">
        <v>66</v>
      </c>
      <c r="AP1962">
        <v>1</v>
      </c>
      <c r="AQ1962" t="s">
        <v>66</v>
      </c>
      <c r="AR1962">
        <v>0</v>
      </c>
      <c r="AS1962" t="s">
        <v>66</v>
      </c>
      <c r="AT1962">
        <v>0</v>
      </c>
      <c r="AU1962" t="s">
        <v>66</v>
      </c>
      <c r="AV1962">
        <v>0</v>
      </c>
      <c r="AW1962" t="s">
        <v>66</v>
      </c>
      <c r="AX1962">
        <v>0</v>
      </c>
      <c r="AY1962" t="s">
        <v>66</v>
      </c>
      <c r="AZ1962">
        <v>0</v>
      </c>
      <c r="BA1962" t="s">
        <v>66</v>
      </c>
      <c r="BB1962">
        <v>0</v>
      </c>
      <c r="BC1962">
        <v>0</v>
      </c>
      <c r="BD1962">
        <v>354724.92</v>
      </c>
      <c r="BE1962">
        <v>45239.06</v>
      </c>
      <c r="BF1962">
        <v>0</v>
      </c>
      <c r="BG1962" t="s">
        <v>87</v>
      </c>
      <c r="BH1962" t="s">
        <v>66</v>
      </c>
      <c r="BI1962">
        <v>0</v>
      </c>
      <c r="BJ1962" t="s">
        <v>66</v>
      </c>
      <c r="BK1962" t="s">
        <v>88</v>
      </c>
      <c r="BL1962" t="s">
        <v>66</v>
      </c>
      <c r="BM1962" t="s">
        <v>159</v>
      </c>
    </row>
    <row r="1963" spans="1:65" x14ac:dyDescent="0.25">
      <c r="A1963">
        <v>1961</v>
      </c>
      <c r="B1963" t="s">
        <v>1931</v>
      </c>
      <c r="C1963" t="s">
        <v>68</v>
      </c>
      <c r="D1963" s="1">
        <v>46228</v>
      </c>
      <c r="E1963" t="s">
        <v>1932</v>
      </c>
      <c r="F1963" t="s">
        <v>68</v>
      </c>
      <c r="G1963" t="s">
        <v>295</v>
      </c>
      <c r="H1963" t="s">
        <v>296</v>
      </c>
      <c r="I1963" t="s">
        <v>71</v>
      </c>
      <c r="J1963" t="s">
        <v>72</v>
      </c>
      <c r="K1963" t="s">
        <v>73</v>
      </c>
      <c r="L1963" t="s">
        <v>74</v>
      </c>
      <c r="M1963" t="s">
        <v>1338</v>
      </c>
      <c r="N1963" t="s">
        <v>76</v>
      </c>
      <c r="O1963" t="s">
        <v>1339</v>
      </c>
      <c r="P1963" t="s">
        <v>1340</v>
      </c>
      <c r="Q1963" t="s">
        <v>1933</v>
      </c>
      <c r="R1963" s="1">
        <v>46228</v>
      </c>
      <c r="S1963" t="s">
        <v>1230</v>
      </c>
      <c r="T1963" t="s">
        <v>1231</v>
      </c>
      <c r="U1963" t="s">
        <v>1232</v>
      </c>
      <c r="V1963" t="s">
        <v>66</v>
      </c>
      <c r="W1963" t="s">
        <v>66</v>
      </c>
      <c r="X1963">
        <v>2096820</v>
      </c>
      <c r="Y1963">
        <v>230650.2</v>
      </c>
      <c r="Z1963">
        <v>237600</v>
      </c>
      <c r="AA1963">
        <v>26136</v>
      </c>
      <c r="AB1963">
        <v>2327470.2000000002</v>
      </c>
      <c r="AC1963">
        <v>12</v>
      </c>
      <c r="AD1963" t="s">
        <v>82</v>
      </c>
      <c r="AE1963">
        <v>12</v>
      </c>
      <c r="AF1963" t="s">
        <v>102</v>
      </c>
      <c r="AG1963">
        <f>IFERROR(VLOOKUP(AF1963,[1]STOK!J:O,6,0),"")</f>
        <v>12</v>
      </c>
      <c r="AH1963" s="2">
        <f t="shared" si="60"/>
        <v>1</v>
      </c>
      <c r="AI1963" t="s">
        <v>102</v>
      </c>
      <c r="AJ1963" t="s">
        <v>103</v>
      </c>
      <c r="AK1963" t="s">
        <v>104</v>
      </c>
      <c r="AL1963" t="s">
        <v>86</v>
      </c>
      <c r="AM1963">
        <v>22200</v>
      </c>
      <c r="AN1963">
        <f t="shared" si="61"/>
        <v>21978</v>
      </c>
      <c r="AO1963" t="s">
        <v>66</v>
      </c>
      <c r="AP1963">
        <v>1</v>
      </c>
      <c r="AQ1963" t="s">
        <v>66</v>
      </c>
      <c r="AR1963">
        <v>0</v>
      </c>
      <c r="AS1963" t="s">
        <v>66</v>
      </c>
      <c r="AT1963">
        <v>0</v>
      </c>
      <c r="AU1963" t="s">
        <v>66</v>
      </c>
      <c r="AV1963">
        <v>0</v>
      </c>
      <c r="AW1963" t="s">
        <v>66</v>
      </c>
      <c r="AX1963">
        <v>0</v>
      </c>
      <c r="AY1963" t="s">
        <v>66</v>
      </c>
      <c r="AZ1963">
        <v>0</v>
      </c>
      <c r="BA1963" t="s">
        <v>66</v>
      </c>
      <c r="BB1963">
        <v>0</v>
      </c>
      <c r="BC1963">
        <v>0</v>
      </c>
      <c r="BD1963">
        <v>263736</v>
      </c>
      <c r="BE1963">
        <v>17828.62</v>
      </c>
      <c r="BF1963">
        <v>0</v>
      </c>
      <c r="BG1963" t="s">
        <v>87</v>
      </c>
      <c r="BH1963" t="s">
        <v>66</v>
      </c>
      <c r="BI1963">
        <v>0</v>
      </c>
      <c r="BJ1963" t="s">
        <v>66</v>
      </c>
      <c r="BK1963" t="s">
        <v>88</v>
      </c>
      <c r="BL1963" t="s">
        <v>66</v>
      </c>
      <c r="BM1963" t="s">
        <v>159</v>
      </c>
    </row>
    <row r="1964" spans="1:65" x14ac:dyDescent="0.25">
      <c r="A1964">
        <v>1962</v>
      </c>
      <c r="B1964" t="s">
        <v>1931</v>
      </c>
      <c r="C1964" t="s">
        <v>68</v>
      </c>
      <c r="D1964" s="1">
        <v>46228</v>
      </c>
      <c r="E1964" t="s">
        <v>1932</v>
      </c>
      <c r="F1964" t="s">
        <v>68</v>
      </c>
      <c r="G1964" t="s">
        <v>295</v>
      </c>
      <c r="H1964" t="s">
        <v>296</v>
      </c>
      <c r="I1964" t="s">
        <v>71</v>
      </c>
      <c r="J1964" t="s">
        <v>72</v>
      </c>
      <c r="K1964" t="s">
        <v>73</v>
      </c>
      <c r="L1964" t="s">
        <v>74</v>
      </c>
      <c r="M1964" t="s">
        <v>1338</v>
      </c>
      <c r="N1964" t="s">
        <v>76</v>
      </c>
      <c r="O1964" t="s">
        <v>1339</v>
      </c>
      <c r="P1964" t="s">
        <v>1340</v>
      </c>
      <c r="Q1964" t="s">
        <v>1933</v>
      </c>
      <c r="R1964" s="1">
        <v>46228</v>
      </c>
      <c r="S1964" t="s">
        <v>1230</v>
      </c>
      <c r="T1964" t="s">
        <v>1231</v>
      </c>
      <c r="U1964" t="s">
        <v>1232</v>
      </c>
      <c r="V1964" t="s">
        <v>66</v>
      </c>
      <c r="W1964" t="s">
        <v>66</v>
      </c>
      <c r="X1964">
        <v>2096820</v>
      </c>
      <c r="Y1964">
        <v>230650.2</v>
      </c>
      <c r="Z1964">
        <v>171072</v>
      </c>
      <c r="AA1964">
        <v>18817.919999999998</v>
      </c>
      <c r="AB1964">
        <v>2327470.2000000002</v>
      </c>
      <c r="AC1964">
        <v>12</v>
      </c>
      <c r="AD1964" t="s">
        <v>82</v>
      </c>
      <c r="AE1964">
        <v>12</v>
      </c>
      <c r="AF1964" t="s">
        <v>141</v>
      </c>
      <c r="AG1964">
        <f>IFERROR(VLOOKUP(AF1964,[1]STOK!J:O,6,0),"")</f>
        <v>12</v>
      </c>
      <c r="AH1964" s="2">
        <f t="shared" si="60"/>
        <v>1</v>
      </c>
      <c r="AI1964" t="s">
        <v>141</v>
      </c>
      <c r="AJ1964" t="s">
        <v>142</v>
      </c>
      <c r="AK1964" t="s">
        <v>143</v>
      </c>
      <c r="AL1964" t="s">
        <v>86</v>
      </c>
      <c r="AM1964">
        <v>15984</v>
      </c>
      <c r="AN1964">
        <f t="shared" si="61"/>
        <v>15824.160000000002</v>
      </c>
      <c r="AO1964" t="s">
        <v>66</v>
      </c>
      <c r="AP1964">
        <v>1</v>
      </c>
      <c r="AQ1964" t="s">
        <v>66</v>
      </c>
      <c r="AR1964">
        <v>0</v>
      </c>
      <c r="AS1964" t="s">
        <v>66</v>
      </c>
      <c r="AT1964">
        <v>0</v>
      </c>
      <c r="AU1964" t="s">
        <v>66</v>
      </c>
      <c r="AV1964">
        <v>0</v>
      </c>
      <c r="AW1964" t="s">
        <v>66</v>
      </c>
      <c r="AX1964">
        <v>0</v>
      </c>
      <c r="AY1964" t="s">
        <v>66</v>
      </c>
      <c r="AZ1964">
        <v>0</v>
      </c>
      <c r="BA1964" t="s">
        <v>66</v>
      </c>
      <c r="BB1964">
        <v>0</v>
      </c>
      <c r="BC1964">
        <v>0</v>
      </c>
      <c r="BD1964">
        <v>189889.92000000001</v>
      </c>
      <c r="BE1964">
        <v>12915.05</v>
      </c>
      <c r="BF1964">
        <v>0</v>
      </c>
      <c r="BG1964" t="s">
        <v>87</v>
      </c>
      <c r="BH1964" t="s">
        <v>66</v>
      </c>
      <c r="BI1964">
        <v>0</v>
      </c>
      <c r="BJ1964" t="s">
        <v>66</v>
      </c>
      <c r="BK1964" t="s">
        <v>88</v>
      </c>
      <c r="BL1964" t="s">
        <v>66</v>
      </c>
      <c r="BM1964" t="s">
        <v>159</v>
      </c>
    </row>
    <row r="1965" spans="1:65" x14ac:dyDescent="0.25">
      <c r="A1965">
        <v>1963</v>
      </c>
      <c r="B1965" t="s">
        <v>1937</v>
      </c>
      <c r="C1965" t="s">
        <v>68</v>
      </c>
      <c r="D1965" s="1">
        <v>46228</v>
      </c>
      <c r="E1965" t="s">
        <v>1938</v>
      </c>
      <c r="F1965" t="s">
        <v>68</v>
      </c>
      <c r="G1965" t="s">
        <v>295</v>
      </c>
      <c r="H1965" t="s">
        <v>296</v>
      </c>
      <c r="I1965" t="s">
        <v>71</v>
      </c>
      <c r="J1965" t="s">
        <v>72</v>
      </c>
      <c r="K1965" t="s">
        <v>73</v>
      </c>
      <c r="L1965" t="s">
        <v>74</v>
      </c>
      <c r="M1965" t="s">
        <v>1087</v>
      </c>
      <c r="N1965" t="s">
        <v>76</v>
      </c>
      <c r="O1965" t="s">
        <v>1088</v>
      </c>
      <c r="P1965" t="s">
        <v>1089</v>
      </c>
      <c r="Q1965" t="s">
        <v>66</v>
      </c>
      <c r="R1965" s="1">
        <v>46228</v>
      </c>
      <c r="S1965" t="s">
        <v>841</v>
      </c>
      <c r="T1965" t="s">
        <v>842</v>
      </c>
      <c r="U1965" t="s">
        <v>843</v>
      </c>
      <c r="V1965" t="s">
        <v>66</v>
      </c>
      <c r="W1965" t="s">
        <v>66</v>
      </c>
      <c r="X1965">
        <v>514206</v>
      </c>
      <c r="Y1965">
        <v>56562.66</v>
      </c>
      <c r="Z1965">
        <v>108192</v>
      </c>
      <c r="AA1965">
        <v>11901.12</v>
      </c>
      <c r="AB1965">
        <v>570768.66</v>
      </c>
      <c r="AC1965">
        <v>6</v>
      </c>
      <c r="AD1965" t="s">
        <v>82</v>
      </c>
      <c r="AE1965">
        <v>6</v>
      </c>
      <c r="AF1965" t="s">
        <v>116</v>
      </c>
      <c r="AG1965">
        <f>IFERROR(VLOOKUP(AF1965,[1]STOK!J:O,6,0),"")</f>
        <v>12</v>
      </c>
      <c r="AH1965" s="2">
        <f t="shared" si="60"/>
        <v>0.5</v>
      </c>
      <c r="AI1965" t="s">
        <v>116</v>
      </c>
      <c r="AJ1965" t="s">
        <v>117</v>
      </c>
      <c r="AK1965" t="s">
        <v>118</v>
      </c>
      <c r="AL1965" t="s">
        <v>86</v>
      </c>
      <c r="AM1965">
        <v>20424</v>
      </c>
      <c r="AN1965">
        <f t="shared" si="61"/>
        <v>20015.52</v>
      </c>
      <c r="AO1965" t="s">
        <v>66</v>
      </c>
      <c r="AP1965">
        <v>2</v>
      </c>
      <c r="AQ1965" t="s">
        <v>66</v>
      </c>
      <c r="AR1965">
        <v>0</v>
      </c>
      <c r="AS1965" t="s">
        <v>66</v>
      </c>
      <c r="AT1965">
        <v>0</v>
      </c>
      <c r="AU1965" t="s">
        <v>66</v>
      </c>
      <c r="AV1965">
        <v>0</v>
      </c>
      <c r="AW1965" t="s">
        <v>66</v>
      </c>
      <c r="AX1965">
        <v>0</v>
      </c>
      <c r="AY1965" t="s">
        <v>66</v>
      </c>
      <c r="AZ1965">
        <v>0</v>
      </c>
      <c r="BA1965" t="s">
        <v>66</v>
      </c>
      <c r="BB1965">
        <v>0</v>
      </c>
      <c r="BC1965">
        <v>0</v>
      </c>
      <c r="BD1965">
        <v>120093.12</v>
      </c>
      <c r="BE1965">
        <v>16396.03</v>
      </c>
      <c r="BF1965">
        <v>0</v>
      </c>
      <c r="BG1965" t="s">
        <v>87</v>
      </c>
      <c r="BH1965" t="s">
        <v>66</v>
      </c>
      <c r="BI1965">
        <v>0</v>
      </c>
      <c r="BJ1965" t="s">
        <v>66</v>
      </c>
      <c r="BK1965" t="s">
        <v>88</v>
      </c>
      <c r="BL1965" t="s">
        <v>719</v>
      </c>
      <c r="BM1965" t="s">
        <v>159</v>
      </c>
    </row>
    <row r="1966" spans="1:65" x14ac:dyDescent="0.25">
      <c r="A1966">
        <v>1964</v>
      </c>
      <c r="B1966" t="s">
        <v>1937</v>
      </c>
      <c r="C1966" t="s">
        <v>68</v>
      </c>
      <c r="D1966" s="1">
        <v>46228</v>
      </c>
      <c r="E1966" t="s">
        <v>1938</v>
      </c>
      <c r="F1966" t="s">
        <v>68</v>
      </c>
      <c r="G1966" t="s">
        <v>295</v>
      </c>
      <c r="H1966" t="s">
        <v>296</v>
      </c>
      <c r="I1966" t="s">
        <v>71</v>
      </c>
      <c r="J1966" t="s">
        <v>72</v>
      </c>
      <c r="K1966" t="s">
        <v>73</v>
      </c>
      <c r="L1966" t="s">
        <v>74</v>
      </c>
      <c r="M1966" t="s">
        <v>1087</v>
      </c>
      <c r="N1966" t="s">
        <v>76</v>
      </c>
      <c r="O1966" t="s">
        <v>1088</v>
      </c>
      <c r="P1966" t="s">
        <v>1089</v>
      </c>
      <c r="Q1966" t="s">
        <v>66</v>
      </c>
      <c r="R1966" s="1">
        <v>46228</v>
      </c>
      <c r="S1966" t="s">
        <v>841</v>
      </c>
      <c r="T1966" t="s">
        <v>842</v>
      </c>
      <c r="U1966" t="s">
        <v>843</v>
      </c>
      <c r="V1966" t="s">
        <v>66</v>
      </c>
      <c r="W1966" t="s">
        <v>66</v>
      </c>
      <c r="X1966">
        <v>514206</v>
      </c>
      <c r="Y1966">
        <v>56562.66</v>
      </c>
      <c r="Z1966">
        <v>23226</v>
      </c>
      <c r="AA1966">
        <v>2554.86</v>
      </c>
      <c r="AB1966">
        <v>570768.66</v>
      </c>
      <c r="AC1966">
        <v>3</v>
      </c>
      <c r="AD1966" t="s">
        <v>82</v>
      </c>
      <c r="AE1966">
        <v>3</v>
      </c>
      <c r="AF1966" t="s">
        <v>248</v>
      </c>
      <c r="AG1966">
        <f>IFERROR(VLOOKUP(AF1966,[1]STOK!J:O,6,0),"")</f>
        <v>24</v>
      </c>
      <c r="AH1966" s="2">
        <f t="shared" si="60"/>
        <v>0.125</v>
      </c>
      <c r="AI1966" t="s">
        <v>248</v>
      </c>
      <c r="AJ1966" t="s">
        <v>249</v>
      </c>
      <c r="AK1966" t="s">
        <v>250</v>
      </c>
      <c r="AL1966" t="s">
        <v>86</v>
      </c>
      <c r="AM1966">
        <v>8769</v>
      </c>
      <c r="AN1966">
        <f t="shared" si="61"/>
        <v>8593.6200000000008</v>
      </c>
      <c r="AO1966" t="s">
        <v>66</v>
      </c>
      <c r="AP1966">
        <v>2</v>
      </c>
      <c r="AQ1966" t="s">
        <v>66</v>
      </c>
      <c r="AR1966">
        <v>0</v>
      </c>
      <c r="AS1966" t="s">
        <v>66</v>
      </c>
      <c r="AT1966">
        <v>0</v>
      </c>
      <c r="AU1966" t="s">
        <v>66</v>
      </c>
      <c r="AV1966">
        <v>0</v>
      </c>
      <c r="AW1966" t="s">
        <v>66</v>
      </c>
      <c r="AX1966">
        <v>0</v>
      </c>
      <c r="AY1966" t="s">
        <v>66</v>
      </c>
      <c r="AZ1966">
        <v>0</v>
      </c>
      <c r="BA1966" t="s">
        <v>66</v>
      </c>
      <c r="BB1966">
        <v>0</v>
      </c>
      <c r="BC1966">
        <v>0</v>
      </c>
      <c r="BD1966">
        <v>25780.86</v>
      </c>
      <c r="BE1966">
        <v>6516.01</v>
      </c>
      <c r="BF1966">
        <v>0</v>
      </c>
      <c r="BG1966" t="s">
        <v>87</v>
      </c>
      <c r="BH1966" t="s">
        <v>66</v>
      </c>
      <c r="BI1966">
        <v>0</v>
      </c>
      <c r="BJ1966" t="s">
        <v>66</v>
      </c>
      <c r="BK1966" t="s">
        <v>88</v>
      </c>
      <c r="BL1966" t="s">
        <v>719</v>
      </c>
      <c r="BM1966" t="s">
        <v>159</v>
      </c>
    </row>
    <row r="1967" spans="1:65" x14ac:dyDescent="0.25">
      <c r="A1967">
        <v>1965</v>
      </c>
      <c r="B1967" t="s">
        <v>1937</v>
      </c>
      <c r="C1967" t="s">
        <v>68</v>
      </c>
      <c r="D1967" s="1">
        <v>46228</v>
      </c>
      <c r="E1967" t="s">
        <v>1938</v>
      </c>
      <c r="F1967" t="s">
        <v>68</v>
      </c>
      <c r="G1967" t="s">
        <v>295</v>
      </c>
      <c r="H1967" t="s">
        <v>296</v>
      </c>
      <c r="I1967" t="s">
        <v>71</v>
      </c>
      <c r="J1967" t="s">
        <v>72</v>
      </c>
      <c r="K1967" t="s">
        <v>73</v>
      </c>
      <c r="L1967" t="s">
        <v>74</v>
      </c>
      <c r="M1967" t="s">
        <v>1087</v>
      </c>
      <c r="N1967" t="s">
        <v>76</v>
      </c>
      <c r="O1967" t="s">
        <v>1088</v>
      </c>
      <c r="P1967" t="s">
        <v>1089</v>
      </c>
      <c r="Q1967" t="s">
        <v>66</v>
      </c>
      <c r="R1967" s="1">
        <v>46228</v>
      </c>
      <c r="S1967" t="s">
        <v>841</v>
      </c>
      <c r="T1967" t="s">
        <v>842</v>
      </c>
      <c r="U1967" t="s">
        <v>843</v>
      </c>
      <c r="V1967" t="s">
        <v>66</v>
      </c>
      <c r="W1967" t="s">
        <v>66</v>
      </c>
      <c r="X1967">
        <v>514206</v>
      </c>
      <c r="Y1967">
        <v>56562.66</v>
      </c>
      <c r="Z1967">
        <v>46452</v>
      </c>
      <c r="AA1967">
        <v>5109.72</v>
      </c>
      <c r="AB1967">
        <v>570768.66</v>
      </c>
      <c r="AC1967">
        <v>6</v>
      </c>
      <c r="AD1967" t="s">
        <v>82</v>
      </c>
      <c r="AE1967">
        <v>6</v>
      </c>
      <c r="AF1967" t="s">
        <v>199</v>
      </c>
      <c r="AG1967">
        <f>IFERROR(VLOOKUP(AF1967,[1]STOK!J:O,6,0),"")</f>
        <v>24</v>
      </c>
      <c r="AH1967" s="2">
        <f t="shared" si="60"/>
        <v>0.25</v>
      </c>
      <c r="AI1967" t="s">
        <v>199</v>
      </c>
      <c r="AJ1967" t="s">
        <v>200</v>
      </c>
      <c r="AK1967" t="s">
        <v>201</v>
      </c>
      <c r="AL1967" t="s">
        <v>86</v>
      </c>
      <c r="AM1967">
        <v>8769</v>
      </c>
      <c r="AN1967">
        <f t="shared" si="61"/>
        <v>8593.6200000000008</v>
      </c>
      <c r="AO1967" t="s">
        <v>66</v>
      </c>
      <c r="AP1967">
        <v>2</v>
      </c>
      <c r="AQ1967" t="s">
        <v>66</v>
      </c>
      <c r="AR1967">
        <v>0</v>
      </c>
      <c r="AS1967" t="s">
        <v>66</v>
      </c>
      <c r="AT1967">
        <v>0</v>
      </c>
      <c r="AU1967" t="s">
        <v>66</v>
      </c>
      <c r="AV1967">
        <v>0</v>
      </c>
      <c r="AW1967" t="s">
        <v>66</v>
      </c>
      <c r="AX1967">
        <v>0</v>
      </c>
      <c r="AY1967" t="s">
        <v>66</v>
      </c>
      <c r="AZ1967">
        <v>0</v>
      </c>
      <c r="BA1967" t="s">
        <v>66</v>
      </c>
      <c r="BB1967">
        <v>0</v>
      </c>
      <c r="BC1967">
        <v>0</v>
      </c>
      <c r="BD1967">
        <v>51561.72</v>
      </c>
      <c r="BE1967">
        <v>6637.67</v>
      </c>
      <c r="BF1967">
        <v>0</v>
      </c>
      <c r="BG1967" t="s">
        <v>87</v>
      </c>
      <c r="BH1967" t="s">
        <v>66</v>
      </c>
      <c r="BI1967">
        <v>0</v>
      </c>
      <c r="BJ1967" t="s">
        <v>66</v>
      </c>
      <c r="BK1967" t="s">
        <v>88</v>
      </c>
      <c r="BL1967" t="s">
        <v>719</v>
      </c>
      <c r="BM1967" t="s">
        <v>159</v>
      </c>
    </row>
    <row r="1968" spans="1:65" x14ac:dyDescent="0.25">
      <c r="A1968">
        <v>1966</v>
      </c>
      <c r="B1968" t="s">
        <v>1937</v>
      </c>
      <c r="C1968" t="s">
        <v>68</v>
      </c>
      <c r="D1968" s="1">
        <v>46228</v>
      </c>
      <c r="E1968" t="s">
        <v>1938</v>
      </c>
      <c r="F1968" t="s">
        <v>68</v>
      </c>
      <c r="G1968" t="s">
        <v>295</v>
      </c>
      <c r="H1968" t="s">
        <v>296</v>
      </c>
      <c r="I1968" t="s">
        <v>71</v>
      </c>
      <c r="J1968" t="s">
        <v>72</v>
      </c>
      <c r="K1968" t="s">
        <v>73</v>
      </c>
      <c r="L1968" t="s">
        <v>74</v>
      </c>
      <c r="M1968" t="s">
        <v>1087</v>
      </c>
      <c r="N1968" t="s">
        <v>76</v>
      </c>
      <c r="O1968" t="s">
        <v>1088</v>
      </c>
      <c r="P1968" t="s">
        <v>1089</v>
      </c>
      <c r="Q1968" t="s">
        <v>66</v>
      </c>
      <c r="R1968" s="1">
        <v>46228</v>
      </c>
      <c r="S1968" t="s">
        <v>841</v>
      </c>
      <c r="T1968" t="s">
        <v>842</v>
      </c>
      <c r="U1968" t="s">
        <v>843</v>
      </c>
      <c r="V1968" t="s">
        <v>66</v>
      </c>
      <c r="W1968" t="s">
        <v>66</v>
      </c>
      <c r="X1968">
        <v>514206</v>
      </c>
      <c r="Y1968">
        <v>56562.66</v>
      </c>
      <c r="Z1968">
        <v>48510</v>
      </c>
      <c r="AA1968">
        <v>5336.1</v>
      </c>
      <c r="AB1968">
        <v>570768.66</v>
      </c>
      <c r="AC1968">
        <v>3</v>
      </c>
      <c r="AD1968" t="s">
        <v>82</v>
      </c>
      <c r="AE1968">
        <v>3</v>
      </c>
      <c r="AF1968" t="s">
        <v>205</v>
      </c>
      <c r="AG1968">
        <f>IFERROR(VLOOKUP(AF1968,[1]STOK!J:O,6,0),"")</f>
        <v>24</v>
      </c>
      <c r="AH1968" s="2">
        <f t="shared" si="60"/>
        <v>0.125</v>
      </c>
      <c r="AI1968" t="s">
        <v>205</v>
      </c>
      <c r="AJ1968" t="s">
        <v>206</v>
      </c>
      <c r="AK1968" t="s">
        <v>207</v>
      </c>
      <c r="AL1968" t="s">
        <v>86</v>
      </c>
      <c r="AM1968">
        <v>18315</v>
      </c>
      <c r="AN1968">
        <f t="shared" si="61"/>
        <v>17948.7</v>
      </c>
      <c r="AO1968" t="s">
        <v>66</v>
      </c>
      <c r="AP1968">
        <v>2</v>
      </c>
      <c r="AQ1968" t="s">
        <v>66</v>
      </c>
      <c r="AR1968">
        <v>0</v>
      </c>
      <c r="AS1968" t="s">
        <v>66</v>
      </c>
      <c r="AT1968">
        <v>0</v>
      </c>
      <c r="AU1968" t="s">
        <v>66</v>
      </c>
      <c r="AV1968">
        <v>0</v>
      </c>
      <c r="AW1968" t="s">
        <v>66</v>
      </c>
      <c r="AX1968">
        <v>0</v>
      </c>
      <c r="AY1968" t="s">
        <v>66</v>
      </c>
      <c r="AZ1968">
        <v>0</v>
      </c>
      <c r="BA1968" t="s">
        <v>66</v>
      </c>
      <c r="BB1968">
        <v>0</v>
      </c>
      <c r="BC1968">
        <v>0</v>
      </c>
      <c r="BD1968">
        <v>53846.1</v>
      </c>
      <c r="BE1968">
        <v>14876.63</v>
      </c>
      <c r="BF1968">
        <v>0</v>
      </c>
      <c r="BG1968" t="s">
        <v>87</v>
      </c>
      <c r="BH1968" t="s">
        <v>66</v>
      </c>
      <c r="BI1968">
        <v>0</v>
      </c>
      <c r="BJ1968" t="s">
        <v>66</v>
      </c>
      <c r="BK1968" t="s">
        <v>88</v>
      </c>
      <c r="BL1968" t="s">
        <v>719</v>
      </c>
      <c r="BM1968" t="s">
        <v>159</v>
      </c>
    </row>
    <row r="1969" spans="1:65" x14ac:dyDescent="0.25">
      <c r="A1969">
        <v>1967</v>
      </c>
      <c r="B1969" t="s">
        <v>1937</v>
      </c>
      <c r="C1969" t="s">
        <v>68</v>
      </c>
      <c r="D1969" s="1">
        <v>46228</v>
      </c>
      <c r="E1969" t="s">
        <v>1938</v>
      </c>
      <c r="F1969" t="s">
        <v>68</v>
      </c>
      <c r="G1969" t="s">
        <v>295</v>
      </c>
      <c r="H1969" t="s">
        <v>296</v>
      </c>
      <c r="I1969" t="s">
        <v>71</v>
      </c>
      <c r="J1969" t="s">
        <v>72</v>
      </c>
      <c r="K1969" t="s">
        <v>73</v>
      </c>
      <c r="L1969" t="s">
        <v>74</v>
      </c>
      <c r="M1969" t="s">
        <v>1087</v>
      </c>
      <c r="N1969" t="s">
        <v>76</v>
      </c>
      <c r="O1969" t="s">
        <v>1088</v>
      </c>
      <c r="P1969" t="s">
        <v>1089</v>
      </c>
      <c r="Q1969" t="s">
        <v>66</v>
      </c>
      <c r="R1969" s="1">
        <v>46228</v>
      </c>
      <c r="S1969" t="s">
        <v>841</v>
      </c>
      <c r="T1969" t="s">
        <v>842</v>
      </c>
      <c r="U1969" t="s">
        <v>843</v>
      </c>
      <c r="V1969" t="s">
        <v>66</v>
      </c>
      <c r="W1969" t="s">
        <v>66</v>
      </c>
      <c r="X1969">
        <v>514206</v>
      </c>
      <c r="Y1969">
        <v>56562.66</v>
      </c>
      <c r="Z1969">
        <v>80262</v>
      </c>
      <c r="AA1969">
        <v>8828.82</v>
      </c>
      <c r="AB1969">
        <v>570768.66</v>
      </c>
      <c r="AC1969">
        <v>3</v>
      </c>
      <c r="AD1969" t="s">
        <v>82</v>
      </c>
      <c r="AE1969">
        <v>3</v>
      </c>
      <c r="AF1969" t="s">
        <v>563</v>
      </c>
      <c r="AG1969">
        <f>IFERROR(VLOOKUP(AF1969,[1]STOK!J:O,6,0),"")</f>
        <v>12</v>
      </c>
      <c r="AH1969" s="2">
        <f t="shared" si="60"/>
        <v>0.25</v>
      </c>
      <c r="AI1969" t="s">
        <v>563</v>
      </c>
      <c r="AJ1969" t="s">
        <v>564</v>
      </c>
      <c r="AK1969" t="s">
        <v>565</v>
      </c>
      <c r="AL1969" t="s">
        <v>86</v>
      </c>
      <c r="AM1969">
        <v>30303</v>
      </c>
      <c r="AN1969">
        <f t="shared" si="61"/>
        <v>29696.940000000002</v>
      </c>
      <c r="AO1969" t="s">
        <v>66</v>
      </c>
      <c r="AP1969">
        <v>2</v>
      </c>
      <c r="AQ1969" t="s">
        <v>66</v>
      </c>
      <c r="AR1969">
        <v>0</v>
      </c>
      <c r="AS1969" t="s">
        <v>66</v>
      </c>
      <c r="AT1969">
        <v>0</v>
      </c>
      <c r="AU1969" t="s">
        <v>66</v>
      </c>
      <c r="AV1969">
        <v>0</v>
      </c>
      <c r="AW1969" t="s">
        <v>66</v>
      </c>
      <c r="AX1969">
        <v>0</v>
      </c>
      <c r="AY1969" t="s">
        <v>66</v>
      </c>
      <c r="AZ1969">
        <v>0</v>
      </c>
      <c r="BA1969" t="s">
        <v>66</v>
      </c>
      <c r="BB1969">
        <v>0</v>
      </c>
      <c r="BC1969">
        <v>0</v>
      </c>
      <c r="BD1969">
        <v>89090.82</v>
      </c>
      <c r="BE1969">
        <v>24584.37</v>
      </c>
      <c r="BF1969">
        <v>0</v>
      </c>
      <c r="BG1969" t="s">
        <v>87</v>
      </c>
      <c r="BH1969" t="s">
        <v>66</v>
      </c>
      <c r="BI1969">
        <v>0</v>
      </c>
      <c r="BJ1969" t="s">
        <v>66</v>
      </c>
      <c r="BK1969" t="s">
        <v>88</v>
      </c>
      <c r="BL1969" t="s">
        <v>719</v>
      </c>
      <c r="BM1969" t="s">
        <v>159</v>
      </c>
    </row>
    <row r="1970" spans="1:65" x14ac:dyDescent="0.25">
      <c r="A1970">
        <v>1968</v>
      </c>
      <c r="B1970" t="s">
        <v>1937</v>
      </c>
      <c r="C1970" t="s">
        <v>68</v>
      </c>
      <c r="D1970" s="1">
        <v>46228</v>
      </c>
      <c r="E1970" t="s">
        <v>1938</v>
      </c>
      <c r="F1970" t="s">
        <v>68</v>
      </c>
      <c r="G1970" t="s">
        <v>295</v>
      </c>
      <c r="H1970" t="s">
        <v>296</v>
      </c>
      <c r="I1970" t="s">
        <v>71</v>
      </c>
      <c r="J1970" t="s">
        <v>72</v>
      </c>
      <c r="K1970" t="s">
        <v>73</v>
      </c>
      <c r="L1970" t="s">
        <v>74</v>
      </c>
      <c r="M1970" t="s">
        <v>1087</v>
      </c>
      <c r="N1970" t="s">
        <v>76</v>
      </c>
      <c r="O1970" t="s">
        <v>1088</v>
      </c>
      <c r="P1970" t="s">
        <v>1089</v>
      </c>
      <c r="Q1970" t="s">
        <v>66</v>
      </c>
      <c r="R1970" s="1">
        <v>46228</v>
      </c>
      <c r="S1970" t="s">
        <v>841</v>
      </c>
      <c r="T1970" t="s">
        <v>842</v>
      </c>
      <c r="U1970" t="s">
        <v>843</v>
      </c>
      <c r="V1970" t="s">
        <v>66</v>
      </c>
      <c r="W1970" t="s">
        <v>66</v>
      </c>
      <c r="X1970">
        <v>514206</v>
      </c>
      <c r="Y1970">
        <v>56562.66</v>
      </c>
      <c r="Z1970">
        <v>39102</v>
      </c>
      <c r="AA1970">
        <v>4301.22</v>
      </c>
      <c r="AB1970">
        <v>570768.66</v>
      </c>
      <c r="AC1970">
        <v>3</v>
      </c>
      <c r="AD1970" t="s">
        <v>82</v>
      </c>
      <c r="AE1970">
        <v>3</v>
      </c>
      <c r="AF1970" t="s">
        <v>135</v>
      </c>
      <c r="AG1970">
        <f>IFERROR(VLOOKUP(AF1970,[1]STOK!J:O,6,0),"")</f>
        <v>12</v>
      </c>
      <c r="AH1970" s="2">
        <f t="shared" si="60"/>
        <v>0.25</v>
      </c>
      <c r="AI1970" t="s">
        <v>135</v>
      </c>
      <c r="AJ1970" t="s">
        <v>136</v>
      </c>
      <c r="AK1970" t="s">
        <v>137</v>
      </c>
      <c r="AL1970" t="s">
        <v>86</v>
      </c>
      <c r="AM1970">
        <v>14763</v>
      </c>
      <c r="AN1970">
        <f t="shared" si="61"/>
        <v>14467.74</v>
      </c>
      <c r="AO1970" t="s">
        <v>66</v>
      </c>
      <c r="AP1970">
        <v>2</v>
      </c>
      <c r="AQ1970" t="s">
        <v>66</v>
      </c>
      <c r="AR1970">
        <v>0</v>
      </c>
      <c r="AS1970" t="s">
        <v>66</v>
      </c>
      <c r="AT1970">
        <v>0</v>
      </c>
      <c r="AU1970" t="s">
        <v>66</v>
      </c>
      <c r="AV1970">
        <v>0</v>
      </c>
      <c r="AW1970" t="s">
        <v>66</v>
      </c>
      <c r="AX1970">
        <v>0</v>
      </c>
      <c r="AY1970" t="s">
        <v>66</v>
      </c>
      <c r="AZ1970">
        <v>0</v>
      </c>
      <c r="BA1970" t="s">
        <v>66</v>
      </c>
      <c r="BB1970">
        <v>0</v>
      </c>
      <c r="BC1970">
        <v>0</v>
      </c>
      <c r="BD1970">
        <v>43403.22</v>
      </c>
      <c r="BE1970">
        <v>12032.04</v>
      </c>
      <c r="BF1970">
        <v>0</v>
      </c>
      <c r="BG1970" t="s">
        <v>87</v>
      </c>
      <c r="BH1970" t="s">
        <v>66</v>
      </c>
      <c r="BI1970">
        <v>0</v>
      </c>
      <c r="BJ1970" t="s">
        <v>66</v>
      </c>
      <c r="BK1970" t="s">
        <v>88</v>
      </c>
      <c r="BL1970" t="s">
        <v>719</v>
      </c>
      <c r="BM1970" t="s">
        <v>159</v>
      </c>
    </row>
    <row r="1971" spans="1:65" x14ac:dyDescent="0.25">
      <c r="A1971">
        <v>1969</v>
      </c>
      <c r="B1971" t="s">
        <v>1937</v>
      </c>
      <c r="C1971" t="s">
        <v>68</v>
      </c>
      <c r="D1971" s="1">
        <v>46228</v>
      </c>
      <c r="E1971" t="s">
        <v>1938</v>
      </c>
      <c r="F1971" t="s">
        <v>68</v>
      </c>
      <c r="G1971" t="s">
        <v>295</v>
      </c>
      <c r="H1971" t="s">
        <v>296</v>
      </c>
      <c r="I1971" t="s">
        <v>71</v>
      </c>
      <c r="J1971" t="s">
        <v>72</v>
      </c>
      <c r="K1971" t="s">
        <v>73</v>
      </c>
      <c r="L1971" t="s">
        <v>74</v>
      </c>
      <c r="M1971" t="s">
        <v>1087</v>
      </c>
      <c r="N1971" t="s">
        <v>76</v>
      </c>
      <c r="O1971" t="s">
        <v>1088</v>
      </c>
      <c r="P1971" t="s">
        <v>1089</v>
      </c>
      <c r="Q1971" t="s">
        <v>66</v>
      </c>
      <c r="R1971" s="1">
        <v>46228</v>
      </c>
      <c r="S1971" t="s">
        <v>841</v>
      </c>
      <c r="T1971" t="s">
        <v>842</v>
      </c>
      <c r="U1971" t="s">
        <v>843</v>
      </c>
      <c r="V1971" t="s">
        <v>66</v>
      </c>
      <c r="W1971" t="s">
        <v>66</v>
      </c>
      <c r="X1971">
        <v>514206</v>
      </c>
      <c r="Y1971">
        <v>56562.66</v>
      </c>
      <c r="Z1971">
        <v>50862</v>
      </c>
      <c r="AA1971">
        <v>5594.82</v>
      </c>
      <c r="AB1971">
        <v>570768.66</v>
      </c>
      <c r="AC1971">
        <v>3</v>
      </c>
      <c r="AD1971" t="s">
        <v>82</v>
      </c>
      <c r="AE1971">
        <v>3</v>
      </c>
      <c r="AF1971" t="s">
        <v>359</v>
      </c>
      <c r="AG1971">
        <f>IFERROR(VLOOKUP(AF1971,[1]STOK!J:O,6,0),"")</f>
        <v>12</v>
      </c>
      <c r="AH1971" s="2">
        <f t="shared" si="60"/>
        <v>0.25</v>
      </c>
      <c r="AI1971" t="s">
        <v>359</v>
      </c>
      <c r="AJ1971" t="s">
        <v>360</v>
      </c>
      <c r="AK1971" t="s">
        <v>361</v>
      </c>
      <c r="AL1971" t="s">
        <v>86</v>
      </c>
      <c r="AM1971">
        <v>19203</v>
      </c>
      <c r="AN1971">
        <f t="shared" si="61"/>
        <v>18818.939999999999</v>
      </c>
      <c r="AO1971" t="s">
        <v>66</v>
      </c>
      <c r="AP1971">
        <v>2</v>
      </c>
      <c r="AQ1971" t="s">
        <v>66</v>
      </c>
      <c r="AR1971">
        <v>0</v>
      </c>
      <c r="AS1971" t="s">
        <v>66</v>
      </c>
      <c r="AT1971">
        <v>0</v>
      </c>
      <c r="AU1971" t="s">
        <v>66</v>
      </c>
      <c r="AV1971">
        <v>0</v>
      </c>
      <c r="AW1971" t="s">
        <v>66</v>
      </c>
      <c r="AX1971">
        <v>0</v>
      </c>
      <c r="AY1971" t="s">
        <v>66</v>
      </c>
      <c r="AZ1971">
        <v>0</v>
      </c>
      <c r="BA1971" t="s">
        <v>66</v>
      </c>
      <c r="BB1971">
        <v>0</v>
      </c>
      <c r="BC1971">
        <v>0</v>
      </c>
      <c r="BD1971">
        <v>56456.82</v>
      </c>
      <c r="BE1971">
        <v>15490.24</v>
      </c>
      <c r="BF1971">
        <v>0</v>
      </c>
      <c r="BG1971" t="s">
        <v>87</v>
      </c>
      <c r="BH1971" t="s">
        <v>66</v>
      </c>
      <c r="BI1971">
        <v>0</v>
      </c>
      <c r="BJ1971" t="s">
        <v>66</v>
      </c>
      <c r="BK1971" t="s">
        <v>88</v>
      </c>
      <c r="BL1971" t="s">
        <v>719</v>
      </c>
      <c r="BM1971" t="s">
        <v>159</v>
      </c>
    </row>
    <row r="1972" spans="1:65" x14ac:dyDescent="0.25">
      <c r="A1972">
        <v>1970</v>
      </c>
      <c r="B1972" t="s">
        <v>1937</v>
      </c>
      <c r="C1972" t="s">
        <v>68</v>
      </c>
      <c r="D1972" s="1">
        <v>46228</v>
      </c>
      <c r="E1972" t="s">
        <v>1938</v>
      </c>
      <c r="F1972" t="s">
        <v>68</v>
      </c>
      <c r="G1972" t="s">
        <v>295</v>
      </c>
      <c r="H1972" t="s">
        <v>296</v>
      </c>
      <c r="I1972" t="s">
        <v>71</v>
      </c>
      <c r="J1972" t="s">
        <v>72</v>
      </c>
      <c r="K1972" t="s">
        <v>73</v>
      </c>
      <c r="L1972" t="s">
        <v>74</v>
      </c>
      <c r="M1972" t="s">
        <v>1087</v>
      </c>
      <c r="N1972" t="s">
        <v>76</v>
      </c>
      <c r="O1972" t="s">
        <v>1088</v>
      </c>
      <c r="P1972" t="s">
        <v>1089</v>
      </c>
      <c r="Q1972" t="s">
        <v>66</v>
      </c>
      <c r="R1972" s="1">
        <v>46228</v>
      </c>
      <c r="S1972" t="s">
        <v>841</v>
      </c>
      <c r="T1972" t="s">
        <v>842</v>
      </c>
      <c r="U1972" t="s">
        <v>843</v>
      </c>
      <c r="V1972" t="s">
        <v>66</v>
      </c>
      <c r="W1972" t="s">
        <v>66</v>
      </c>
      <c r="X1972">
        <v>514206</v>
      </c>
      <c r="Y1972">
        <v>56562.66</v>
      </c>
      <c r="Z1972">
        <v>58800</v>
      </c>
      <c r="AA1972">
        <v>6468</v>
      </c>
      <c r="AB1972">
        <v>570768.66</v>
      </c>
      <c r="AC1972">
        <v>3</v>
      </c>
      <c r="AD1972" t="s">
        <v>82</v>
      </c>
      <c r="AE1972">
        <v>3</v>
      </c>
      <c r="AF1972" t="s">
        <v>290</v>
      </c>
      <c r="AG1972">
        <f>IFERROR(VLOOKUP(AF1972,[1]STOK!J:O,6,0),"")</f>
        <v>12</v>
      </c>
      <c r="AH1972" s="2">
        <f t="shared" si="60"/>
        <v>0.25</v>
      </c>
      <c r="AI1972" t="s">
        <v>290</v>
      </c>
      <c r="AJ1972" t="s">
        <v>291</v>
      </c>
      <c r="AK1972" t="s">
        <v>292</v>
      </c>
      <c r="AL1972" t="s">
        <v>86</v>
      </c>
      <c r="AM1972">
        <v>22200</v>
      </c>
      <c r="AN1972">
        <f t="shared" si="61"/>
        <v>21756</v>
      </c>
      <c r="AO1972" t="s">
        <v>66</v>
      </c>
      <c r="AP1972">
        <v>2</v>
      </c>
      <c r="AQ1972" t="s">
        <v>66</v>
      </c>
      <c r="AR1972">
        <v>0</v>
      </c>
      <c r="AS1972" t="s">
        <v>66</v>
      </c>
      <c r="AT1972">
        <v>0</v>
      </c>
      <c r="AU1972" t="s">
        <v>66</v>
      </c>
      <c r="AV1972">
        <v>0</v>
      </c>
      <c r="AW1972" t="s">
        <v>66</v>
      </c>
      <c r="AX1972">
        <v>0</v>
      </c>
      <c r="AY1972" t="s">
        <v>66</v>
      </c>
      <c r="AZ1972">
        <v>0</v>
      </c>
      <c r="BA1972" t="s">
        <v>66</v>
      </c>
      <c r="BB1972">
        <v>0</v>
      </c>
      <c r="BC1972">
        <v>0</v>
      </c>
      <c r="BD1972">
        <v>65268</v>
      </c>
      <c r="BE1972">
        <v>18155.62</v>
      </c>
      <c r="BF1972">
        <v>0</v>
      </c>
      <c r="BG1972" t="s">
        <v>87</v>
      </c>
      <c r="BH1972" t="s">
        <v>66</v>
      </c>
      <c r="BI1972">
        <v>0</v>
      </c>
      <c r="BJ1972" t="s">
        <v>66</v>
      </c>
      <c r="BK1972" t="s">
        <v>88</v>
      </c>
      <c r="BL1972" t="s">
        <v>719</v>
      </c>
      <c r="BM1972" t="s">
        <v>159</v>
      </c>
    </row>
    <row r="1973" spans="1:65" x14ac:dyDescent="0.25">
      <c r="A1973">
        <v>1971</v>
      </c>
      <c r="B1973" t="s">
        <v>1937</v>
      </c>
      <c r="C1973" t="s">
        <v>68</v>
      </c>
      <c r="D1973" s="1">
        <v>46228</v>
      </c>
      <c r="E1973" t="s">
        <v>1938</v>
      </c>
      <c r="F1973" t="s">
        <v>68</v>
      </c>
      <c r="G1973" t="s">
        <v>295</v>
      </c>
      <c r="H1973" t="s">
        <v>296</v>
      </c>
      <c r="I1973" t="s">
        <v>71</v>
      </c>
      <c r="J1973" t="s">
        <v>72</v>
      </c>
      <c r="K1973" t="s">
        <v>73</v>
      </c>
      <c r="L1973" t="s">
        <v>74</v>
      </c>
      <c r="M1973" t="s">
        <v>1087</v>
      </c>
      <c r="N1973" t="s">
        <v>76</v>
      </c>
      <c r="O1973" t="s">
        <v>1088</v>
      </c>
      <c r="P1973" t="s">
        <v>1089</v>
      </c>
      <c r="Q1973" t="s">
        <v>66</v>
      </c>
      <c r="R1973" s="1">
        <v>46228</v>
      </c>
      <c r="S1973" t="s">
        <v>841</v>
      </c>
      <c r="T1973" t="s">
        <v>842</v>
      </c>
      <c r="U1973" t="s">
        <v>843</v>
      </c>
      <c r="V1973" t="s">
        <v>66</v>
      </c>
      <c r="W1973" t="s">
        <v>66</v>
      </c>
      <c r="X1973">
        <v>514206</v>
      </c>
      <c r="Y1973">
        <v>56562.66</v>
      </c>
      <c r="Z1973">
        <v>58800</v>
      </c>
      <c r="AA1973">
        <v>6468</v>
      </c>
      <c r="AB1973">
        <v>570768.66</v>
      </c>
      <c r="AC1973">
        <v>3</v>
      </c>
      <c r="AD1973" t="s">
        <v>82</v>
      </c>
      <c r="AE1973">
        <v>3</v>
      </c>
      <c r="AF1973" t="s">
        <v>102</v>
      </c>
      <c r="AG1973">
        <f>IFERROR(VLOOKUP(AF1973,[1]STOK!J:O,6,0),"")</f>
        <v>12</v>
      </c>
      <c r="AH1973" s="2">
        <f t="shared" si="60"/>
        <v>0.25</v>
      </c>
      <c r="AI1973" t="s">
        <v>102</v>
      </c>
      <c r="AJ1973" t="s">
        <v>103</v>
      </c>
      <c r="AK1973" t="s">
        <v>104</v>
      </c>
      <c r="AL1973" t="s">
        <v>86</v>
      </c>
      <c r="AM1973">
        <v>22200</v>
      </c>
      <c r="AN1973">
        <f t="shared" si="61"/>
        <v>21756</v>
      </c>
      <c r="AO1973" t="s">
        <v>66</v>
      </c>
      <c r="AP1973">
        <v>2</v>
      </c>
      <c r="AQ1973" t="s">
        <v>66</v>
      </c>
      <c r="AR1973">
        <v>0</v>
      </c>
      <c r="AS1973" t="s">
        <v>66</v>
      </c>
      <c r="AT1973">
        <v>0</v>
      </c>
      <c r="AU1973" t="s">
        <v>66</v>
      </c>
      <c r="AV1973">
        <v>0</v>
      </c>
      <c r="AW1973" t="s">
        <v>66</v>
      </c>
      <c r="AX1973">
        <v>0</v>
      </c>
      <c r="AY1973" t="s">
        <v>66</v>
      </c>
      <c r="AZ1973">
        <v>0</v>
      </c>
      <c r="BA1973" t="s">
        <v>66</v>
      </c>
      <c r="BB1973">
        <v>0</v>
      </c>
      <c r="BC1973">
        <v>0</v>
      </c>
      <c r="BD1973">
        <v>65268</v>
      </c>
      <c r="BE1973">
        <v>17828.62</v>
      </c>
      <c r="BF1973">
        <v>0</v>
      </c>
      <c r="BG1973" t="s">
        <v>87</v>
      </c>
      <c r="BH1973" t="s">
        <v>66</v>
      </c>
      <c r="BI1973">
        <v>0</v>
      </c>
      <c r="BJ1973" t="s">
        <v>66</v>
      </c>
      <c r="BK1973" t="s">
        <v>88</v>
      </c>
      <c r="BL1973" t="s">
        <v>719</v>
      </c>
      <c r="BM1973" t="s">
        <v>159</v>
      </c>
    </row>
    <row r="1974" spans="1:65" x14ac:dyDescent="0.25">
      <c r="A1974">
        <v>1972</v>
      </c>
      <c r="B1974" t="s">
        <v>1939</v>
      </c>
      <c r="C1974" t="s">
        <v>68</v>
      </c>
      <c r="D1974" s="1">
        <v>46228</v>
      </c>
      <c r="E1974" t="s">
        <v>1940</v>
      </c>
      <c r="F1974" t="s">
        <v>68</v>
      </c>
      <c r="G1974" t="s">
        <v>295</v>
      </c>
      <c r="H1974" t="s">
        <v>296</v>
      </c>
      <c r="I1974" t="s">
        <v>71</v>
      </c>
      <c r="J1974" t="s">
        <v>72</v>
      </c>
      <c r="K1974" t="s">
        <v>73</v>
      </c>
      <c r="L1974" t="s">
        <v>74</v>
      </c>
      <c r="M1974" t="s">
        <v>1941</v>
      </c>
      <c r="N1974" t="s">
        <v>76</v>
      </c>
      <c r="O1974" t="s">
        <v>1942</v>
      </c>
      <c r="P1974" t="s">
        <v>1943</v>
      </c>
      <c r="Q1974" t="s">
        <v>1944</v>
      </c>
      <c r="R1974" s="1">
        <v>46231</v>
      </c>
      <c r="S1974" t="s">
        <v>841</v>
      </c>
      <c r="T1974" t="s">
        <v>842</v>
      </c>
      <c r="U1974" t="s">
        <v>843</v>
      </c>
      <c r="V1974" t="s">
        <v>66</v>
      </c>
      <c r="W1974" t="s">
        <v>66</v>
      </c>
      <c r="X1974">
        <v>1203048</v>
      </c>
      <c r="Y1974">
        <v>132335.28</v>
      </c>
      <c r="Z1974">
        <v>54096</v>
      </c>
      <c r="AA1974">
        <v>5950.56</v>
      </c>
      <c r="AB1974">
        <v>1335383.28</v>
      </c>
      <c r="AC1974">
        <v>3</v>
      </c>
      <c r="AD1974" t="s">
        <v>82</v>
      </c>
      <c r="AE1974">
        <v>3</v>
      </c>
      <c r="AF1974" t="s">
        <v>160</v>
      </c>
      <c r="AG1974">
        <f>IFERROR(VLOOKUP(AF1974,[1]STOK!J:O,6,0),"")</f>
        <v>12</v>
      </c>
      <c r="AH1974" s="2">
        <f t="shared" si="60"/>
        <v>0.25</v>
      </c>
      <c r="AI1974" t="s">
        <v>160</v>
      </c>
      <c r="AJ1974" t="s">
        <v>161</v>
      </c>
      <c r="AK1974" t="s">
        <v>162</v>
      </c>
      <c r="AL1974" t="s">
        <v>86</v>
      </c>
      <c r="AM1974">
        <v>20424</v>
      </c>
      <c r="AN1974">
        <f t="shared" si="61"/>
        <v>20015.52</v>
      </c>
      <c r="AO1974" t="s">
        <v>66</v>
      </c>
      <c r="AP1974">
        <v>2</v>
      </c>
      <c r="AQ1974" t="s">
        <v>66</v>
      </c>
      <c r="AR1974">
        <v>0</v>
      </c>
      <c r="AS1974" t="s">
        <v>66</v>
      </c>
      <c r="AT1974">
        <v>0</v>
      </c>
      <c r="AU1974" t="s">
        <v>66</v>
      </c>
      <c r="AV1974">
        <v>0</v>
      </c>
      <c r="AW1974" t="s">
        <v>66</v>
      </c>
      <c r="AX1974">
        <v>0</v>
      </c>
      <c r="AY1974" t="s">
        <v>66</v>
      </c>
      <c r="AZ1974">
        <v>0</v>
      </c>
      <c r="BA1974" t="s">
        <v>66</v>
      </c>
      <c r="BB1974">
        <v>0</v>
      </c>
      <c r="BC1974">
        <v>0</v>
      </c>
      <c r="BD1974">
        <v>60046.559999999998</v>
      </c>
      <c r="BE1974">
        <v>15433.08</v>
      </c>
      <c r="BF1974">
        <v>0</v>
      </c>
      <c r="BG1974" t="s">
        <v>87</v>
      </c>
      <c r="BH1974" t="s">
        <v>66</v>
      </c>
      <c r="BI1974">
        <v>0</v>
      </c>
      <c r="BJ1974" t="s">
        <v>66</v>
      </c>
      <c r="BK1974" t="s">
        <v>88</v>
      </c>
      <c r="BL1974" t="s">
        <v>719</v>
      </c>
      <c r="BM1974" t="s">
        <v>159</v>
      </c>
    </row>
    <row r="1975" spans="1:65" x14ac:dyDescent="0.25">
      <c r="A1975">
        <v>1973</v>
      </c>
      <c r="B1975" t="s">
        <v>1939</v>
      </c>
      <c r="C1975" t="s">
        <v>68</v>
      </c>
      <c r="D1975" s="1">
        <v>46228</v>
      </c>
      <c r="E1975" t="s">
        <v>1940</v>
      </c>
      <c r="F1975" t="s">
        <v>68</v>
      </c>
      <c r="G1975" t="s">
        <v>295</v>
      </c>
      <c r="H1975" t="s">
        <v>296</v>
      </c>
      <c r="I1975" t="s">
        <v>71</v>
      </c>
      <c r="J1975" t="s">
        <v>72</v>
      </c>
      <c r="K1975" t="s">
        <v>73</v>
      </c>
      <c r="L1975" t="s">
        <v>74</v>
      </c>
      <c r="M1975" t="s">
        <v>1941</v>
      </c>
      <c r="N1975" t="s">
        <v>76</v>
      </c>
      <c r="O1975" t="s">
        <v>1942</v>
      </c>
      <c r="P1975" t="s">
        <v>1943</v>
      </c>
      <c r="Q1975" t="s">
        <v>1944</v>
      </c>
      <c r="R1975" s="1">
        <v>46231</v>
      </c>
      <c r="S1975" t="s">
        <v>841</v>
      </c>
      <c r="T1975" t="s">
        <v>842</v>
      </c>
      <c r="U1975" t="s">
        <v>843</v>
      </c>
      <c r="V1975" t="s">
        <v>66</v>
      </c>
      <c r="W1975" t="s">
        <v>66</v>
      </c>
      <c r="X1975">
        <v>1203048</v>
      </c>
      <c r="Y1975">
        <v>132335.28</v>
      </c>
      <c r="Z1975">
        <v>54096</v>
      </c>
      <c r="AA1975">
        <v>5950.56</v>
      </c>
      <c r="AB1975">
        <v>1335383.28</v>
      </c>
      <c r="AC1975">
        <v>3</v>
      </c>
      <c r="AD1975" t="s">
        <v>82</v>
      </c>
      <c r="AE1975">
        <v>3</v>
      </c>
      <c r="AF1975" t="s">
        <v>116</v>
      </c>
      <c r="AG1975">
        <f>IFERROR(VLOOKUP(AF1975,[1]STOK!J:O,6,0),"")</f>
        <v>12</v>
      </c>
      <c r="AH1975" s="2">
        <f t="shared" si="60"/>
        <v>0.25</v>
      </c>
      <c r="AI1975" t="s">
        <v>116</v>
      </c>
      <c r="AJ1975" t="s">
        <v>117</v>
      </c>
      <c r="AK1975" t="s">
        <v>118</v>
      </c>
      <c r="AL1975" t="s">
        <v>86</v>
      </c>
      <c r="AM1975">
        <v>20424</v>
      </c>
      <c r="AN1975">
        <f t="shared" si="61"/>
        <v>20015.52</v>
      </c>
      <c r="AO1975" t="s">
        <v>66</v>
      </c>
      <c r="AP1975">
        <v>2</v>
      </c>
      <c r="AQ1975" t="s">
        <v>66</v>
      </c>
      <c r="AR1975">
        <v>0</v>
      </c>
      <c r="AS1975" t="s">
        <v>66</v>
      </c>
      <c r="AT1975">
        <v>0</v>
      </c>
      <c r="AU1975" t="s">
        <v>66</v>
      </c>
      <c r="AV1975">
        <v>0</v>
      </c>
      <c r="AW1975" t="s">
        <v>66</v>
      </c>
      <c r="AX1975">
        <v>0</v>
      </c>
      <c r="AY1975" t="s">
        <v>66</v>
      </c>
      <c r="AZ1975">
        <v>0</v>
      </c>
      <c r="BA1975" t="s">
        <v>66</v>
      </c>
      <c r="BB1975">
        <v>0</v>
      </c>
      <c r="BC1975">
        <v>0</v>
      </c>
      <c r="BD1975">
        <v>60046.559999999998</v>
      </c>
      <c r="BE1975">
        <v>16396.03</v>
      </c>
      <c r="BF1975">
        <v>0</v>
      </c>
      <c r="BG1975" t="s">
        <v>87</v>
      </c>
      <c r="BH1975" t="s">
        <v>66</v>
      </c>
      <c r="BI1975">
        <v>0</v>
      </c>
      <c r="BJ1975" t="s">
        <v>66</v>
      </c>
      <c r="BK1975" t="s">
        <v>88</v>
      </c>
      <c r="BL1975" t="s">
        <v>719</v>
      </c>
      <c r="BM1975" t="s">
        <v>159</v>
      </c>
    </row>
    <row r="1976" spans="1:65" x14ac:dyDescent="0.25">
      <c r="A1976">
        <v>1974</v>
      </c>
      <c r="B1976" t="s">
        <v>1939</v>
      </c>
      <c r="C1976" t="s">
        <v>68</v>
      </c>
      <c r="D1976" s="1">
        <v>46228</v>
      </c>
      <c r="E1976" t="s">
        <v>1940</v>
      </c>
      <c r="F1976" t="s">
        <v>68</v>
      </c>
      <c r="G1976" t="s">
        <v>295</v>
      </c>
      <c r="H1976" t="s">
        <v>296</v>
      </c>
      <c r="I1976" t="s">
        <v>71</v>
      </c>
      <c r="J1976" t="s">
        <v>72</v>
      </c>
      <c r="K1976" t="s">
        <v>73</v>
      </c>
      <c r="L1976" t="s">
        <v>74</v>
      </c>
      <c r="M1976" t="s">
        <v>1941</v>
      </c>
      <c r="N1976" t="s">
        <v>76</v>
      </c>
      <c r="O1976" t="s">
        <v>1942</v>
      </c>
      <c r="P1976" t="s">
        <v>1943</v>
      </c>
      <c r="Q1976" t="s">
        <v>1944</v>
      </c>
      <c r="R1976" s="1">
        <v>46231</v>
      </c>
      <c r="S1976" t="s">
        <v>841</v>
      </c>
      <c r="T1976" t="s">
        <v>842</v>
      </c>
      <c r="U1976" t="s">
        <v>843</v>
      </c>
      <c r="V1976" t="s">
        <v>66</v>
      </c>
      <c r="W1976" t="s">
        <v>66</v>
      </c>
      <c r="X1976">
        <v>1203048</v>
      </c>
      <c r="Y1976">
        <v>132335.28</v>
      </c>
      <c r="Z1976">
        <v>21756</v>
      </c>
      <c r="AA1976">
        <v>2393.16</v>
      </c>
      <c r="AB1976">
        <v>1335383.28</v>
      </c>
      <c r="AC1976">
        <v>3</v>
      </c>
      <c r="AD1976" t="s">
        <v>82</v>
      </c>
      <c r="AE1976">
        <v>3</v>
      </c>
      <c r="AF1976" t="s">
        <v>83</v>
      </c>
      <c r="AG1976">
        <f>IFERROR(VLOOKUP(AF1976,[1]STOK!J:O,6,0),"")</f>
        <v>24</v>
      </c>
      <c r="AH1976" s="2">
        <f t="shared" si="60"/>
        <v>0.125</v>
      </c>
      <c r="AI1976" t="s">
        <v>83</v>
      </c>
      <c r="AJ1976" t="s">
        <v>84</v>
      </c>
      <c r="AK1976" t="s">
        <v>85</v>
      </c>
      <c r="AL1976" t="s">
        <v>86</v>
      </c>
      <c r="AM1976">
        <v>8214</v>
      </c>
      <c r="AN1976">
        <f t="shared" si="61"/>
        <v>8049.72</v>
      </c>
      <c r="AO1976" t="s">
        <v>66</v>
      </c>
      <c r="AP1976">
        <v>2</v>
      </c>
      <c r="AQ1976" t="s">
        <v>66</v>
      </c>
      <c r="AR1976">
        <v>0</v>
      </c>
      <c r="AS1976" t="s">
        <v>66</v>
      </c>
      <c r="AT1976">
        <v>0</v>
      </c>
      <c r="AU1976" t="s">
        <v>66</v>
      </c>
      <c r="AV1976">
        <v>0</v>
      </c>
      <c r="AW1976" t="s">
        <v>66</v>
      </c>
      <c r="AX1976">
        <v>0</v>
      </c>
      <c r="AY1976" t="s">
        <v>66</v>
      </c>
      <c r="AZ1976">
        <v>0</v>
      </c>
      <c r="BA1976" t="s">
        <v>66</v>
      </c>
      <c r="BB1976">
        <v>0</v>
      </c>
      <c r="BC1976">
        <v>0</v>
      </c>
      <c r="BD1976">
        <v>24149.16</v>
      </c>
      <c r="BE1976">
        <v>6590.47</v>
      </c>
      <c r="BF1976">
        <v>0</v>
      </c>
      <c r="BG1976" t="s">
        <v>87</v>
      </c>
      <c r="BH1976" t="s">
        <v>66</v>
      </c>
      <c r="BI1976">
        <v>0</v>
      </c>
      <c r="BJ1976" t="s">
        <v>66</v>
      </c>
      <c r="BK1976" t="s">
        <v>88</v>
      </c>
      <c r="BL1976" t="s">
        <v>719</v>
      </c>
      <c r="BM1976" t="s">
        <v>159</v>
      </c>
    </row>
    <row r="1977" spans="1:65" x14ac:dyDescent="0.25">
      <c r="A1977">
        <v>1975</v>
      </c>
      <c r="B1977" t="s">
        <v>1939</v>
      </c>
      <c r="C1977" t="s">
        <v>68</v>
      </c>
      <c r="D1977" s="1">
        <v>46228</v>
      </c>
      <c r="E1977" t="s">
        <v>1940</v>
      </c>
      <c r="F1977" t="s">
        <v>68</v>
      </c>
      <c r="G1977" t="s">
        <v>295</v>
      </c>
      <c r="H1977" t="s">
        <v>296</v>
      </c>
      <c r="I1977" t="s">
        <v>71</v>
      </c>
      <c r="J1977" t="s">
        <v>72</v>
      </c>
      <c r="K1977" t="s">
        <v>73</v>
      </c>
      <c r="L1977" t="s">
        <v>74</v>
      </c>
      <c r="M1977" t="s">
        <v>1941</v>
      </c>
      <c r="N1977" t="s">
        <v>76</v>
      </c>
      <c r="O1977" t="s">
        <v>1942</v>
      </c>
      <c r="P1977" t="s">
        <v>1943</v>
      </c>
      <c r="Q1977" t="s">
        <v>1944</v>
      </c>
      <c r="R1977" s="1">
        <v>46231</v>
      </c>
      <c r="S1977" t="s">
        <v>841</v>
      </c>
      <c r="T1977" t="s">
        <v>842</v>
      </c>
      <c r="U1977" t="s">
        <v>843</v>
      </c>
      <c r="V1977" t="s">
        <v>66</v>
      </c>
      <c r="W1977" t="s">
        <v>66</v>
      </c>
      <c r="X1977">
        <v>1203048</v>
      </c>
      <c r="Y1977">
        <v>132335.28</v>
      </c>
      <c r="Z1977">
        <v>58212</v>
      </c>
      <c r="AA1977">
        <v>6403.32</v>
      </c>
      <c r="AB1977">
        <v>1335383.28</v>
      </c>
      <c r="AC1977">
        <v>3</v>
      </c>
      <c r="AD1977" t="s">
        <v>82</v>
      </c>
      <c r="AE1977">
        <v>3</v>
      </c>
      <c r="AF1977" t="s">
        <v>370</v>
      </c>
      <c r="AG1977">
        <f>IFERROR(VLOOKUP(AF1977,[1]STOK!J:O,6,0),"")</f>
        <v>12</v>
      </c>
      <c r="AH1977" s="2">
        <f t="shared" si="60"/>
        <v>0.25</v>
      </c>
      <c r="AI1977" t="s">
        <v>370</v>
      </c>
      <c r="AJ1977" t="s">
        <v>371</v>
      </c>
      <c r="AK1977" t="s">
        <v>372</v>
      </c>
      <c r="AL1977" t="s">
        <v>86</v>
      </c>
      <c r="AM1977">
        <v>21978</v>
      </c>
      <c r="AN1977">
        <f t="shared" si="61"/>
        <v>21538.44</v>
      </c>
      <c r="AO1977" t="s">
        <v>66</v>
      </c>
      <c r="AP1977">
        <v>2</v>
      </c>
      <c r="AQ1977" t="s">
        <v>66</v>
      </c>
      <c r="AR1977">
        <v>0</v>
      </c>
      <c r="AS1977" t="s">
        <v>66</v>
      </c>
      <c r="AT1977">
        <v>0</v>
      </c>
      <c r="AU1977" t="s">
        <v>66</v>
      </c>
      <c r="AV1977">
        <v>0</v>
      </c>
      <c r="AW1977" t="s">
        <v>66</v>
      </c>
      <c r="AX1977">
        <v>0</v>
      </c>
      <c r="AY1977" t="s">
        <v>66</v>
      </c>
      <c r="AZ1977">
        <v>0</v>
      </c>
      <c r="BA1977" t="s">
        <v>66</v>
      </c>
      <c r="BB1977">
        <v>0</v>
      </c>
      <c r="BC1977">
        <v>0</v>
      </c>
      <c r="BD1977">
        <v>64615.32</v>
      </c>
      <c r="BE1977">
        <v>17687.46</v>
      </c>
      <c r="BF1977">
        <v>0</v>
      </c>
      <c r="BG1977" t="s">
        <v>87</v>
      </c>
      <c r="BH1977" t="s">
        <v>66</v>
      </c>
      <c r="BI1977">
        <v>0</v>
      </c>
      <c r="BJ1977" t="s">
        <v>66</v>
      </c>
      <c r="BK1977" t="s">
        <v>88</v>
      </c>
      <c r="BL1977" t="s">
        <v>719</v>
      </c>
      <c r="BM1977" t="s">
        <v>159</v>
      </c>
    </row>
    <row r="1978" spans="1:65" x14ac:dyDescent="0.25">
      <c r="A1978">
        <v>1976</v>
      </c>
      <c r="B1978" t="s">
        <v>1939</v>
      </c>
      <c r="C1978" t="s">
        <v>68</v>
      </c>
      <c r="D1978" s="1">
        <v>46228</v>
      </c>
      <c r="E1978" t="s">
        <v>1940</v>
      </c>
      <c r="F1978" t="s">
        <v>68</v>
      </c>
      <c r="G1978" t="s">
        <v>295</v>
      </c>
      <c r="H1978" t="s">
        <v>296</v>
      </c>
      <c r="I1978" t="s">
        <v>71</v>
      </c>
      <c r="J1978" t="s">
        <v>72</v>
      </c>
      <c r="K1978" t="s">
        <v>73</v>
      </c>
      <c r="L1978" t="s">
        <v>74</v>
      </c>
      <c r="M1978" t="s">
        <v>1941</v>
      </c>
      <c r="N1978" t="s">
        <v>76</v>
      </c>
      <c r="O1978" t="s">
        <v>1942</v>
      </c>
      <c r="P1978" t="s">
        <v>1943</v>
      </c>
      <c r="Q1978" t="s">
        <v>1944</v>
      </c>
      <c r="R1978" s="1">
        <v>46231</v>
      </c>
      <c r="S1978" t="s">
        <v>841</v>
      </c>
      <c r="T1978" t="s">
        <v>842</v>
      </c>
      <c r="U1978" t="s">
        <v>843</v>
      </c>
      <c r="V1978" t="s">
        <v>66</v>
      </c>
      <c r="W1978" t="s">
        <v>66</v>
      </c>
      <c r="X1978">
        <v>1203048</v>
      </c>
      <c r="Y1978">
        <v>132335.28</v>
      </c>
      <c r="Z1978">
        <v>58212</v>
      </c>
      <c r="AA1978">
        <v>6403.32</v>
      </c>
      <c r="AB1978">
        <v>1335383.28</v>
      </c>
      <c r="AC1978">
        <v>3</v>
      </c>
      <c r="AD1978" t="s">
        <v>82</v>
      </c>
      <c r="AE1978">
        <v>3</v>
      </c>
      <c r="AF1978" t="s">
        <v>743</v>
      </c>
      <c r="AG1978">
        <f>IFERROR(VLOOKUP(AF1978,[1]STOK!J:O,6,0),"")</f>
        <v>12</v>
      </c>
      <c r="AH1978" s="2">
        <f t="shared" si="60"/>
        <v>0.25</v>
      </c>
      <c r="AI1978" t="s">
        <v>743</v>
      </c>
      <c r="AJ1978" t="s">
        <v>744</v>
      </c>
      <c r="AK1978" t="s">
        <v>745</v>
      </c>
      <c r="AL1978" t="s">
        <v>86</v>
      </c>
      <c r="AM1978">
        <v>21978</v>
      </c>
      <c r="AN1978">
        <f t="shared" si="61"/>
        <v>21538.44</v>
      </c>
      <c r="AO1978" t="s">
        <v>66</v>
      </c>
      <c r="AP1978">
        <v>2</v>
      </c>
      <c r="AQ1978" t="s">
        <v>66</v>
      </c>
      <c r="AR1978">
        <v>0</v>
      </c>
      <c r="AS1978" t="s">
        <v>66</v>
      </c>
      <c r="AT1978">
        <v>0</v>
      </c>
      <c r="AU1978" t="s">
        <v>66</v>
      </c>
      <c r="AV1978">
        <v>0</v>
      </c>
      <c r="AW1978" t="s">
        <v>66</v>
      </c>
      <c r="AX1978">
        <v>0</v>
      </c>
      <c r="AY1978" t="s">
        <v>66</v>
      </c>
      <c r="AZ1978">
        <v>0</v>
      </c>
      <c r="BA1978" t="s">
        <v>66</v>
      </c>
      <c r="BB1978">
        <v>0</v>
      </c>
      <c r="BC1978">
        <v>0</v>
      </c>
      <c r="BD1978">
        <v>64615.32</v>
      </c>
      <c r="BE1978">
        <v>17347.28</v>
      </c>
      <c r="BF1978">
        <v>0</v>
      </c>
      <c r="BG1978" t="s">
        <v>87</v>
      </c>
      <c r="BH1978" t="s">
        <v>66</v>
      </c>
      <c r="BI1978">
        <v>0</v>
      </c>
      <c r="BJ1978" t="s">
        <v>66</v>
      </c>
      <c r="BK1978" t="s">
        <v>88</v>
      </c>
      <c r="BL1978" t="s">
        <v>719</v>
      </c>
      <c r="BM1978" t="s">
        <v>159</v>
      </c>
    </row>
    <row r="1979" spans="1:65" x14ac:dyDescent="0.25">
      <c r="A1979">
        <v>1977</v>
      </c>
      <c r="B1979" t="s">
        <v>1939</v>
      </c>
      <c r="C1979" t="s">
        <v>68</v>
      </c>
      <c r="D1979" s="1">
        <v>46228</v>
      </c>
      <c r="E1979" t="s">
        <v>1940</v>
      </c>
      <c r="F1979" t="s">
        <v>68</v>
      </c>
      <c r="G1979" t="s">
        <v>295</v>
      </c>
      <c r="H1979" t="s">
        <v>296</v>
      </c>
      <c r="I1979" t="s">
        <v>71</v>
      </c>
      <c r="J1979" t="s">
        <v>72</v>
      </c>
      <c r="K1979" t="s">
        <v>73</v>
      </c>
      <c r="L1979" t="s">
        <v>74</v>
      </c>
      <c r="M1979" t="s">
        <v>1941</v>
      </c>
      <c r="N1979" t="s">
        <v>76</v>
      </c>
      <c r="O1979" t="s">
        <v>1942</v>
      </c>
      <c r="P1979" t="s">
        <v>1943</v>
      </c>
      <c r="Q1979" t="s">
        <v>1944</v>
      </c>
      <c r="R1979" s="1">
        <v>46231</v>
      </c>
      <c r="S1979" t="s">
        <v>841</v>
      </c>
      <c r="T1979" t="s">
        <v>842</v>
      </c>
      <c r="U1979" t="s">
        <v>843</v>
      </c>
      <c r="V1979" t="s">
        <v>66</v>
      </c>
      <c r="W1979" t="s">
        <v>66</v>
      </c>
      <c r="X1979">
        <v>1203048</v>
      </c>
      <c r="Y1979">
        <v>132335.28</v>
      </c>
      <c r="Z1979">
        <v>43512</v>
      </c>
      <c r="AA1979">
        <v>4786.32</v>
      </c>
      <c r="AB1979">
        <v>1335383.28</v>
      </c>
      <c r="AC1979">
        <v>3</v>
      </c>
      <c r="AD1979" t="s">
        <v>82</v>
      </c>
      <c r="AE1979">
        <v>3</v>
      </c>
      <c r="AF1979" t="s">
        <v>845</v>
      </c>
      <c r="AG1979">
        <f>IFERROR(VLOOKUP(AF1979,[1]STOK!J:O,6,0),"")</f>
        <v>12</v>
      </c>
      <c r="AH1979" s="2">
        <f t="shared" si="60"/>
        <v>0.25</v>
      </c>
      <c r="AI1979" t="s">
        <v>845</v>
      </c>
      <c r="AJ1979" t="s">
        <v>846</v>
      </c>
      <c r="AK1979" t="s">
        <v>847</v>
      </c>
      <c r="AL1979" t="s">
        <v>86</v>
      </c>
      <c r="AM1979">
        <v>16428</v>
      </c>
      <c r="AN1979">
        <f t="shared" si="61"/>
        <v>16099.44</v>
      </c>
      <c r="AO1979" t="s">
        <v>66</v>
      </c>
      <c r="AP1979">
        <v>2</v>
      </c>
      <c r="AQ1979" t="s">
        <v>66</v>
      </c>
      <c r="AR1979">
        <v>0</v>
      </c>
      <c r="AS1979" t="s">
        <v>66</v>
      </c>
      <c r="AT1979">
        <v>0</v>
      </c>
      <c r="AU1979" t="s">
        <v>66</v>
      </c>
      <c r="AV1979">
        <v>0</v>
      </c>
      <c r="AW1979" t="s">
        <v>66</v>
      </c>
      <c r="AX1979">
        <v>0</v>
      </c>
      <c r="AY1979" t="s">
        <v>66</v>
      </c>
      <c r="AZ1979">
        <v>0</v>
      </c>
      <c r="BA1979" t="s">
        <v>66</v>
      </c>
      <c r="BB1979">
        <v>0</v>
      </c>
      <c r="BC1979">
        <v>0</v>
      </c>
      <c r="BD1979">
        <v>48298.32</v>
      </c>
      <c r="BE1979">
        <v>12270.96</v>
      </c>
      <c r="BF1979">
        <v>0</v>
      </c>
      <c r="BG1979" t="s">
        <v>87</v>
      </c>
      <c r="BH1979" t="s">
        <v>66</v>
      </c>
      <c r="BI1979">
        <v>0</v>
      </c>
      <c r="BJ1979" t="s">
        <v>66</v>
      </c>
      <c r="BK1979" t="s">
        <v>88</v>
      </c>
      <c r="BL1979" t="s">
        <v>719</v>
      </c>
      <c r="BM1979" t="s">
        <v>159</v>
      </c>
    </row>
    <row r="1980" spans="1:65" x14ac:dyDescent="0.25">
      <c r="A1980">
        <v>1978</v>
      </c>
      <c r="B1980" t="s">
        <v>1939</v>
      </c>
      <c r="C1980" t="s">
        <v>68</v>
      </c>
      <c r="D1980" s="1">
        <v>46228</v>
      </c>
      <c r="E1980" t="s">
        <v>1940</v>
      </c>
      <c r="F1980" t="s">
        <v>68</v>
      </c>
      <c r="G1980" t="s">
        <v>295</v>
      </c>
      <c r="H1980" t="s">
        <v>296</v>
      </c>
      <c r="I1980" t="s">
        <v>71</v>
      </c>
      <c r="J1980" t="s">
        <v>72</v>
      </c>
      <c r="K1980" t="s">
        <v>73</v>
      </c>
      <c r="L1980" t="s">
        <v>74</v>
      </c>
      <c r="M1980" t="s">
        <v>1941</v>
      </c>
      <c r="N1980" t="s">
        <v>76</v>
      </c>
      <c r="O1980" t="s">
        <v>1942</v>
      </c>
      <c r="P1980" t="s">
        <v>1943</v>
      </c>
      <c r="Q1980" t="s">
        <v>1944</v>
      </c>
      <c r="R1980" s="1">
        <v>46231</v>
      </c>
      <c r="S1980" t="s">
        <v>841</v>
      </c>
      <c r="T1980" t="s">
        <v>842</v>
      </c>
      <c r="U1980" t="s">
        <v>843</v>
      </c>
      <c r="V1980" t="s">
        <v>66</v>
      </c>
      <c r="W1980" t="s">
        <v>66</v>
      </c>
      <c r="X1980">
        <v>1203048</v>
      </c>
      <c r="Y1980">
        <v>132335.28</v>
      </c>
      <c r="Z1980">
        <v>43512</v>
      </c>
      <c r="AA1980">
        <v>4786.32</v>
      </c>
      <c r="AB1980">
        <v>1335383.28</v>
      </c>
      <c r="AC1980">
        <v>3</v>
      </c>
      <c r="AD1980" t="s">
        <v>82</v>
      </c>
      <c r="AE1980">
        <v>3</v>
      </c>
      <c r="AF1980" t="s">
        <v>119</v>
      </c>
      <c r="AG1980">
        <f>IFERROR(VLOOKUP(AF1980,[1]STOK!J:O,6,0),"")</f>
        <v>12</v>
      </c>
      <c r="AH1980" s="2">
        <f t="shared" si="60"/>
        <v>0.25</v>
      </c>
      <c r="AI1980" t="s">
        <v>119</v>
      </c>
      <c r="AJ1980" t="s">
        <v>120</v>
      </c>
      <c r="AK1980" t="s">
        <v>121</v>
      </c>
      <c r="AL1980" t="s">
        <v>86</v>
      </c>
      <c r="AM1980">
        <v>16428</v>
      </c>
      <c r="AN1980">
        <f t="shared" si="61"/>
        <v>16099.44</v>
      </c>
      <c r="AO1980" t="s">
        <v>66</v>
      </c>
      <c r="AP1980">
        <v>2</v>
      </c>
      <c r="AQ1980" t="s">
        <v>66</v>
      </c>
      <c r="AR1980">
        <v>0</v>
      </c>
      <c r="AS1980" t="s">
        <v>66</v>
      </c>
      <c r="AT1980">
        <v>0</v>
      </c>
      <c r="AU1980" t="s">
        <v>66</v>
      </c>
      <c r="AV1980">
        <v>0</v>
      </c>
      <c r="AW1980" t="s">
        <v>66</v>
      </c>
      <c r="AX1980">
        <v>0</v>
      </c>
      <c r="AY1980" t="s">
        <v>66</v>
      </c>
      <c r="AZ1980">
        <v>0</v>
      </c>
      <c r="BA1980" t="s">
        <v>66</v>
      </c>
      <c r="BB1980">
        <v>0</v>
      </c>
      <c r="BC1980">
        <v>0</v>
      </c>
      <c r="BD1980">
        <v>48298.32</v>
      </c>
      <c r="BE1980">
        <v>12451.17</v>
      </c>
      <c r="BF1980">
        <v>0</v>
      </c>
      <c r="BG1980" t="s">
        <v>87</v>
      </c>
      <c r="BH1980" t="s">
        <v>66</v>
      </c>
      <c r="BI1980">
        <v>0</v>
      </c>
      <c r="BJ1980" t="s">
        <v>66</v>
      </c>
      <c r="BK1980" t="s">
        <v>88</v>
      </c>
      <c r="BL1980" t="s">
        <v>719</v>
      </c>
      <c r="BM1980" t="s">
        <v>159</v>
      </c>
    </row>
    <row r="1981" spans="1:65" x14ac:dyDescent="0.25">
      <c r="A1981">
        <v>1979</v>
      </c>
      <c r="B1981" t="s">
        <v>1939</v>
      </c>
      <c r="C1981" t="s">
        <v>68</v>
      </c>
      <c r="D1981" s="1">
        <v>46228</v>
      </c>
      <c r="E1981" t="s">
        <v>1940</v>
      </c>
      <c r="F1981" t="s">
        <v>68</v>
      </c>
      <c r="G1981" t="s">
        <v>295</v>
      </c>
      <c r="H1981" t="s">
        <v>296</v>
      </c>
      <c r="I1981" t="s">
        <v>71</v>
      </c>
      <c r="J1981" t="s">
        <v>72</v>
      </c>
      <c r="K1981" t="s">
        <v>73</v>
      </c>
      <c r="L1981" t="s">
        <v>74</v>
      </c>
      <c r="M1981" t="s">
        <v>1941</v>
      </c>
      <c r="N1981" t="s">
        <v>76</v>
      </c>
      <c r="O1981" t="s">
        <v>1942</v>
      </c>
      <c r="P1981" t="s">
        <v>1943</v>
      </c>
      <c r="Q1981" t="s">
        <v>1944</v>
      </c>
      <c r="R1981" s="1">
        <v>46231</v>
      </c>
      <c r="S1981" t="s">
        <v>841</v>
      </c>
      <c r="T1981" t="s">
        <v>842</v>
      </c>
      <c r="U1981" t="s">
        <v>843</v>
      </c>
      <c r="V1981" t="s">
        <v>66</v>
      </c>
      <c r="W1981" t="s">
        <v>66</v>
      </c>
      <c r="X1981">
        <v>1203048</v>
      </c>
      <c r="Y1981">
        <v>132335.28</v>
      </c>
      <c r="Z1981">
        <v>29694</v>
      </c>
      <c r="AA1981">
        <v>3266.34</v>
      </c>
      <c r="AB1981">
        <v>1335383.28</v>
      </c>
      <c r="AC1981">
        <v>3</v>
      </c>
      <c r="AD1981" t="s">
        <v>82</v>
      </c>
      <c r="AE1981">
        <v>3</v>
      </c>
      <c r="AF1981" t="s">
        <v>857</v>
      </c>
      <c r="AG1981">
        <f>IFERROR(VLOOKUP(AF1981,[1]STOK!J:O,6,0),"")</f>
        <v>24</v>
      </c>
      <c r="AH1981" s="2">
        <f t="shared" si="60"/>
        <v>0.125</v>
      </c>
      <c r="AI1981" t="s">
        <v>857</v>
      </c>
      <c r="AJ1981" t="s">
        <v>858</v>
      </c>
      <c r="AK1981" t="s">
        <v>859</v>
      </c>
      <c r="AL1981" t="s">
        <v>86</v>
      </c>
      <c r="AM1981">
        <v>11211</v>
      </c>
      <c r="AN1981">
        <f t="shared" si="61"/>
        <v>10986.779999999999</v>
      </c>
      <c r="AO1981" t="s">
        <v>66</v>
      </c>
      <c r="AP1981">
        <v>2</v>
      </c>
      <c r="AQ1981" t="s">
        <v>66</v>
      </c>
      <c r="AR1981">
        <v>0</v>
      </c>
      <c r="AS1981" t="s">
        <v>66</v>
      </c>
      <c r="AT1981">
        <v>0</v>
      </c>
      <c r="AU1981" t="s">
        <v>66</v>
      </c>
      <c r="AV1981">
        <v>0</v>
      </c>
      <c r="AW1981" t="s">
        <v>66</v>
      </c>
      <c r="AX1981">
        <v>0</v>
      </c>
      <c r="AY1981" t="s">
        <v>66</v>
      </c>
      <c r="AZ1981">
        <v>0</v>
      </c>
      <c r="BA1981" t="s">
        <v>66</v>
      </c>
      <c r="BB1981">
        <v>0</v>
      </c>
      <c r="BC1981">
        <v>0</v>
      </c>
      <c r="BD1981">
        <v>32960.339999999997</v>
      </c>
      <c r="BE1981">
        <v>8326.08</v>
      </c>
      <c r="BF1981">
        <v>0</v>
      </c>
      <c r="BG1981" t="s">
        <v>87</v>
      </c>
      <c r="BH1981" t="s">
        <v>66</v>
      </c>
      <c r="BI1981">
        <v>0</v>
      </c>
      <c r="BJ1981" t="s">
        <v>66</v>
      </c>
      <c r="BK1981" t="s">
        <v>88</v>
      </c>
      <c r="BL1981" t="s">
        <v>719</v>
      </c>
      <c r="BM1981" t="s">
        <v>159</v>
      </c>
    </row>
    <row r="1982" spans="1:65" x14ac:dyDescent="0.25">
      <c r="A1982">
        <v>1980</v>
      </c>
      <c r="B1982" t="s">
        <v>1939</v>
      </c>
      <c r="C1982" t="s">
        <v>68</v>
      </c>
      <c r="D1982" s="1">
        <v>46228</v>
      </c>
      <c r="E1982" t="s">
        <v>1940</v>
      </c>
      <c r="F1982" t="s">
        <v>68</v>
      </c>
      <c r="G1982" t="s">
        <v>295</v>
      </c>
      <c r="H1982" t="s">
        <v>296</v>
      </c>
      <c r="I1982" t="s">
        <v>71</v>
      </c>
      <c r="J1982" t="s">
        <v>72</v>
      </c>
      <c r="K1982" t="s">
        <v>73</v>
      </c>
      <c r="L1982" t="s">
        <v>74</v>
      </c>
      <c r="M1982" t="s">
        <v>1941</v>
      </c>
      <c r="N1982" t="s">
        <v>76</v>
      </c>
      <c r="O1982" t="s">
        <v>1942</v>
      </c>
      <c r="P1982" t="s">
        <v>1943</v>
      </c>
      <c r="Q1982" t="s">
        <v>1944</v>
      </c>
      <c r="R1982" s="1">
        <v>46231</v>
      </c>
      <c r="S1982" t="s">
        <v>841</v>
      </c>
      <c r="T1982" t="s">
        <v>842</v>
      </c>
      <c r="U1982" t="s">
        <v>843</v>
      </c>
      <c r="V1982" t="s">
        <v>66</v>
      </c>
      <c r="W1982" t="s">
        <v>66</v>
      </c>
      <c r="X1982">
        <v>1203048</v>
      </c>
      <c r="Y1982">
        <v>132335.28</v>
      </c>
      <c r="Z1982">
        <v>29694</v>
      </c>
      <c r="AA1982">
        <v>3266.34</v>
      </c>
      <c r="AB1982">
        <v>1335383.28</v>
      </c>
      <c r="AC1982">
        <v>3</v>
      </c>
      <c r="AD1982" t="s">
        <v>82</v>
      </c>
      <c r="AE1982">
        <v>3</v>
      </c>
      <c r="AF1982" t="s">
        <v>746</v>
      </c>
      <c r="AG1982">
        <f>IFERROR(VLOOKUP(AF1982,[1]STOK!J:O,6,0),"")</f>
        <v>24</v>
      </c>
      <c r="AH1982" s="2">
        <f t="shared" si="60"/>
        <v>0.125</v>
      </c>
      <c r="AI1982" t="s">
        <v>746</v>
      </c>
      <c r="AJ1982" t="s">
        <v>747</v>
      </c>
      <c r="AK1982" t="s">
        <v>748</v>
      </c>
      <c r="AL1982" t="s">
        <v>86</v>
      </c>
      <c r="AM1982">
        <v>11211</v>
      </c>
      <c r="AN1982">
        <f t="shared" si="61"/>
        <v>10986.779999999999</v>
      </c>
      <c r="AO1982" t="s">
        <v>66</v>
      </c>
      <c r="AP1982">
        <v>2</v>
      </c>
      <c r="AQ1982" t="s">
        <v>66</v>
      </c>
      <c r="AR1982">
        <v>0</v>
      </c>
      <c r="AS1982" t="s">
        <v>66</v>
      </c>
      <c r="AT1982">
        <v>0</v>
      </c>
      <c r="AU1982" t="s">
        <v>66</v>
      </c>
      <c r="AV1982">
        <v>0</v>
      </c>
      <c r="AW1982" t="s">
        <v>66</v>
      </c>
      <c r="AX1982">
        <v>0</v>
      </c>
      <c r="AY1982" t="s">
        <v>66</v>
      </c>
      <c r="AZ1982">
        <v>0</v>
      </c>
      <c r="BA1982" t="s">
        <v>66</v>
      </c>
      <c r="BB1982">
        <v>0</v>
      </c>
      <c r="BC1982">
        <v>0</v>
      </c>
      <c r="BD1982">
        <v>32960.339999999997</v>
      </c>
      <c r="BE1982">
        <v>8773.83</v>
      </c>
      <c r="BF1982">
        <v>0</v>
      </c>
      <c r="BG1982" t="s">
        <v>87</v>
      </c>
      <c r="BH1982" t="s">
        <v>66</v>
      </c>
      <c r="BI1982">
        <v>0</v>
      </c>
      <c r="BJ1982" t="s">
        <v>66</v>
      </c>
      <c r="BK1982" t="s">
        <v>88</v>
      </c>
      <c r="BL1982" t="s">
        <v>719</v>
      </c>
      <c r="BM1982" t="s">
        <v>159</v>
      </c>
    </row>
    <row r="1983" spans="1:65" x14ac:dyDescent="0.25">
      <c r="A1983">
        <v>1981</v>
      </c>
      <c r="B1983" t="s">
        <v>1939</v>
      </c>
      <c r="C1983" t="s">
        <v>68</v>
      </c>
      <c r="D1983" s="1">
        <v>46228</v>
      </c>
      <c r="E1983" t="s">
        <v>1940</v>
      </c>
      <c r="F1983" t="s">
        <v>68</v>
      </c>
      <c r="G1983" t="s">
        <v>295</v>
      </c>
      <c r="H1983" t="s">
        <v>296</v>
      </c>
      <c r="I1983" t="s">
        <v>71</v>
      </c>
      <c r="J1983" t="s">
        <v>72</v>
      </c>
      <c r="K1983" t="s">
        <v>73</v>
      </c>
      <c r="L1983" t="s">
        <v>74</v>
      </c>
      <c r="M1983" t="s">
        <v>1941</v>
      </c>
      <c r="N1983" t="s">
        <v>76</v>
      </c>
      <c r="O1983" t="s">
        <v>1942</v>
      </c>
      <c r="P1983" t="s">
        <v>1943</v>
      </c>
      <c r="Q1983" t="s">
        <v>1944</v>
      </c>
      <c r="R1983" s="1">
        <v>46231</v>
      </c>
      <c r="S1983" t="s">
        <v>841</v>
      </c>
      <c r="T1983" t="s">
        <v>842</v>
      </c>
      <c r="U1983" t="s">
        <v>843</v>
      </c>
      <c r="V1983" t="s">
        <v>66</v>
      </c>
      <c r="W1983" t="s">
        <v>66</v>
      </c>
      <c r="X1983">
        <v>1203048</v>
      </c>
      <c r="Y1983">
        <v>132335.28</v>
      </c>
      <c r="Z1983">
        <v>29694</v>
      </c>
      <c r="AA1983">
        <v>3266.34</v>
      </c>
      <c r="AB1983">
        <v>1335383.28</v>
      </c>
      <c r="AC1983">
        <v>3</v>
      </c>
      <c r="AD1983" t="s">
        <v>82</v>
      </c>
      <c r="AE1983">
        <v>3</v>
      </c>
      <c r="AF1983" t="s">
        <v>848</v>
      </c>
      <c r="AG1983">
        <f>IFERROR(VLOOKUP(AF1983,[1]STOK!J:O,6,0),"")</f>
        <v>24</v>
      </c>
      <c r="AH1983" s="2">
        <f t="shared" si="60"/>
        <v>0.125</v>
      </c>
      <c r="AI1983" t="s">
        <v>848</v>
      </c>
      <c r="AJ1983" t="s">
        <v>849</v>
      </c>
      <c r="AK1983" t="s">
        <v>850</v>
      </c>
      <c r="AL1983" t="s">
        <v>86</v>
      </c>
      <c r="AM1983">
        <v>11211</v>
      </c>
      <c r="AN1983">
        <f t="shared" si="61"/>
        <v>10986.779999999999</v>
      </c>
      <c r="AO1983" t="s">
        <v>66</v>
      </c>
      <c r="AP1983">
        <v>2</v>
      </c>
      <c r="AQ1983" t="s">
        <v>66</v>
      </c>
      <c r="AR1983">
        <v>0</v>
      </c>
      <c r="AS1983" t="s">
        <v>66</v>
      </c>
      <c r="AT1983">
        <v>0</v>
      </c>
      <c r="AU1983" t="s">
        <v>66</v>
      </c>
      <c r="AV1983">
        <v>0</v>
      </c>
      <c r="AW1983" t="s">
        <v>66</v>
      </c>
      <c r="AX1983">
        <v>0</v>
      </c>
      <c r="AY1983" t="s">
        <v>66</v>
      </c>
      <c r="AZ1983">
        <v>0</v>
      </c>
      <c r="BA1983" t="s">
        <v>66</v>
      </c>
      <c r="BB1983">
        <v>0</v>
      </c>
      <c r="BC1983">
        <v>0</v>
      </c>
      <c r="BD1983">
        <v>32960.339999999997</v>
      </c>
      <c r="BE1983">
        <v>8922.2099999999991</v>
      </c>
      <c r="BF1983">
        <v>0</v>
      </c>
      <c r="BG1983" t="s">
        <v>87</v>
      </c>
      <c r="BH1983" t="s">
        <v>66</v>
      </c>
      <c r="BI1983">
        <v>0</v>
      </c>
      <c r="BJ1983" t="s">
        <v>66</v>
      </c>
      <c r="BK1983" t="s">
        <v>88</v>
      </c>
      <c r="BL1983" t="s">
        <v>719</v>
      </c>
      <c r="BM1983" t="s">
        <v>159</v>
      </c>
    </row>
    <row r="1984" spans="1:65" x14ac:dyDescent="0.25">
      <c r="A1984">
        <v>1982</v>
      </c>
      <c r="B1984" t="s">
        <v>1939</v>
      </c>
      <c r="C1984" t="s">
        <v>68</v>
      </c>
      <c r="D1984" s="1">
        <v>46228</v>
      </c>
      <c r="E1984" t="s">
        <v>1940</v>
      </c>
      <c r="F1984" t="s">
        <v>68</v>
      </c>
      <c r="G1984" t="s">
        <v>295</v>
      </c>
      <c r="H1984" t="s">
        <v>296</v>
      </c>
      <c r="I1984" t="s">
        <v>71</v>
      </c>
      <c r="J1984" t="s">
        <v>72</v>
      </c>
      <c r="K1984" t="s">
        <v>73</v>
      </c>
      <c r="L1984" t="s">
        <v>74</v>
      </c>
      <c r="M1984" t="s">
        <v>1941</v>
      </c>
      <c r="N1984" t="s">
        <v>76</v>
      </c>
      <c r="O1984" t="s">
        <v>1942</v>
      </c>
      <c r="P1984" t="s">
        <v>1943</v>
      </c>
      <c r="Q1984" t="s">
        <v>1944</v>
      </c>
      <c r="R1984" s="1">
        <v>46231</v>
      </c>
      <c r="S1984" t="s">
        <v>841</v>
      </c>
      <c r="T1984" t="s">
        <v>842</v>
      </c>
      <c r="U1984" t="s">
        <v>843</v>
      </c>
      <c r="V1984" t="s">
        <v>66</v>
      </c>
      <c r="W1984" t="s">
        <v>66</v>
      </c>
      <c r="X1984">
        <v>1203048</v>
      </c>
      <c r="Y1984">
        <v>132335.28</v>
      </c>
      <c r="Z1984">
        <v>23226</v>
      </c>
      <c r="AA1984">
        <v>2554.86</v>
      </c>
      <c r="AB1984">
        <v>1335383.28</v>
      </c>
      <c r="AC1984">
        <v>3</v>
      </c>
      <c r="AD1984" t="s">
        <v>82</v>
      </c>
      <c r="AE1984">
        <v>3</v>
      </c>
      <c r="AF1984" t="s">
        <v>199</v>
      </c>
      <c r="AG1984">
        <f>IFERROR(VLOOKUP(AF1984,[1]STOK!J:O,6,0),"")</f>
        <v>24</v>
      </c>
      <c r="AH1984" s="2">
        <f t="shared" si="60"/>
        <v>0.125</v>
      </c>
      <c r="AI1984" t="s">
        <v>199</v>
      </c>
      <c r="AJ1984" t="s">
        <v>200</v>
      </c>
      <c r="AK1984" t="s">
        <v>201</v>
      </c>
      <c r="AL1984" t="s">
        <v>86</v>
      </c>
      <c r="AM1984">
        <v>8769</v>
      </c>
      <c r="AN1984">
        <f t="shared" si="61"/>
        <v>8593.6200000000008</v>
      </c>
      <c r="AO1984" t="s">
        <v>66</v>
      </c>
      <c r="AP1984">
        <v>2</v>
      </c>
      <c r="AQ1984" t="s">
        <v>66</v>
      </c>
      <c r="AR1984">
        <v>0</v>
      </c>
      <c r="AS1984" t="s">
        <v>66</v>
      </c>
      <c r="AT1984">
        <v>0</v>
      </c>
      <c r="AU1984" t="s">
        <v>66</v>
      </c>
      <c r="AV1984">
        <v>0</v>
      </c>
      <c r="AW1984" t="s">
        <v>66</v>
      </c>
      <c r="AX1984">
        <v>0</v>
      </c>
      <c r="AY1984" t="s">
        <v>66</v>
      </c>
      <c r="AZ1984">
        <v>0</v>
      </c>
      <c r="BA1984" t="s">
        <v>66</v>
      </c>
      <c r="BB1984">
        <v>0</v>
      </c>
      <c r="BC1984">
        <v>0</v>
      </c>
      <c r="BD1984">
        <v>25780.86</v>
      </c>
      <c r="BE1984">
        <v>6637.67</v>
      </c>
      <c r="BF1984">
        <v>0</v>
      </c>
      <c r="BG1984" t="s">
        <v>87</v>
      </c>
      <c r="BH1984" t="s">
        <v>66</v>
      </c>
      <c r="BI1984">
        <v>0</v>
      </c>
      <c r="BJ1984" t="s">
        <v>66</v>
      </c>
      <c r="BK1984" t="s">
        <v>88</v>
      </c>
      <c r="BL1984" t="s">
        <v>719</v>
      </c>
      <c r="BM1984" t="s">
        <v>159</v>
      </c>
    </row>
    <row r="1985" spans="1:65" x14ac:dyDescent="0.25">
      <c r="A1985">
        <v>1983</v>
      </c>
      <c r="B1985" t="s">
        <v>1939</v>
      </c>
      <c r="C1985" t="s">
        <v>68</v>
      </c>
      <c r="D1985" s="1">
        <v>46228</v>
      </c>
      <c r="E1985" t="s">
        <v>1940</v>
      </c>
      <c r="F1985" t="s">
        <v>68</v>
      </c>
      <c r="G1985" t="s">
        <v>295</v>
      </c>
      <c r="H1985" t="s">
        <v>296</v>
      </c>
      <c r="I1985" t="s">
        <v>71</v>
      </c>
      <c r="J1985" t="s">
        <v>72</v>
      </c>
      <c r="K1985" t="s">
        <v>73</v>
      </c>
      <c r="L1985" t="s">
        <v>74</v>
      </c>
      <c r="M1985" t="s">
        <v>1941</v>
      </c>
      <c r="N1985" t="s">
        <v>76</v>
      </c>
      <c r="O1985" t="s">
        <v>1942</v>
      </c>
      <c r="P1985" t="s">
        <v>1943</v>
      </c>
      <c r="Q1985" t="s">
        <v>1944</v>
      </c>
      <c r="R1985" s="1">
        <v>46231</v>
      </c>
      <c r="S1985" t="s">
        <v>841</v>
      </c>
      <c r="T1985" t="s">
        <v>842</v>
      </c>
      <c r="U1985" t="s">
        <v>843</v>
      </c>
      <c r="V1985" t="s">
        <v>66</v>
      </c>
      <c r="W1985" t="s">
        <v>66</v>
      </c>
      <c r="X1985">
        <v>1203048</v>
      </c>
      <c r="Y1985">
        <v>132335.28</v>
      </c>
      <c r="Z1985">
        <v>23226</v>
      </c>
      <c r="AA1985">
        <v>2554.86</v>
      </c>
      <c r="AB1985">
        <v>1335383.28</v>
      </c>
      <c r="AC1985">
        <v>3</v>
      </c>
      <c r="AD1985" t="s">
        <v>82</v>
      </c>
      <c r="AE1985">
        <v>3</v>
      </c>
      <c r="AF1985" t="s">
        <v>248</v>
      </c>
      <c r="AG1985">
        <f>IFERROR(VLOOKUP(AF1985,[1]STOK!J:O,6,0),"")</f>
        <v>24</v>
      </c>
      <c r="AH1985" s="2">
        <f t="shared" si="60"/>
        <v>0.125</v>
      </c>
      <c r="AI1985" t="s">
        <v>248</v>
      </c>
      <c r="AJ1985" t="s">
        <v>249</v>
      </c>
      <c r="AK1985" t="s">
        <v>250</v>
      </c>
      <c r="AL1985" t="s">
        <v>86</v>
      </c>
      <c r="AM1985">
        <v>8769</v>
      </c>
      <c r="AN1985">
        <f t="shared" si="61"/>
        <v>8593.6200000000008</v>
      </c>
      <c r="AO1985" t="s">
        <v>66</v>
      </c>
      <c r="AP1985">
        <v>2</v>
      </c>
      <c r="AQ1985" t="s">
        <v>66</v>
      </c>
      <c r="AR1985">
        <v>0</v>
      </c>
      <c r="AS1985" t="s">
        <v>66</v>
      </c>
      <c r="AT1985">
        <v>0</v>
      </c>
      <c r="AU1985" t="s">
        <v>66</v>
      </c>
      <c r="AV1985">
        <v>0</v>
      </c>
      <c r="AW1985" t="s">
        <v>66</v>
      </c>
      <c r="AX1985">
        <v>0</v>
      </c>
      <c r="AY1985" t="s">
        <v>66</v>
      </c>
      <c r="AZ1985">
        <v>0</v>
      </c>
      <c r="BA1985" t="s">
        <v>66</v>
      </c>
      <c r="BB1985">
        <v>0</v>
      </c>
      <c r="BC1985">
        <v>0</v>
      </c>
      <c r="BD1985">
        <v>25780.86</v>
      </c>
      <c r="BE1985">
        <v>6516.01</v>
      </c>
      <c r="BF1985">
        <v>0</v>
      </c>
      <c r="BG1985" t="s">
        <v>87</v>
      </c>
      <c r="BH1985" t="s">
        <v>66</v>
      </c>
      <c r="BI1985">
        <v>0</v>
      </c>
      <c r="BJ1985" t="s">
        <v>66</v>
      </c>
      <c r="BK1985" t="s">
        <v>88</v>
      </c>
      <c r="BL1985" t="s">
        <v>719</v>
      </c>
      <c r="BM1985" t="s">
        <v>159</v>
      </c>
    </row>
    <row r="1986" spans="1:65" x14ac:dyDescent="0.25">
      <c r="A1986">
        <v>1984</v>
      </c>
      <c r="B1986" t="s">
        <v>1939</v>
      </c>
      <c r="C1986" t="s">
        <v>68</v>
      </c>
      <c r="D1986" s="1">
        <v>46228</v>
      </c>
      <c r="E1986" t="s">
        <v>1940</v>
      </c>
      <c r="F1986" t="s">
        <v>68</v>
      </c>
      <c r="G1986" t="s">
        <v>295</v>
      </c>
      <c r="H1986" t="s">
        <v>296</v>
      </c>
      <c r="I1986" t="s">
        <v>71</v>
      </c>
      <c r="J1986" t="s">
        <v>72</v>
      </c>
      <c r="K1986" t="s">
        <v>73</v>
      </c>
      <c r="L1986" t="s">
        <v>74</v>
      </c>
      <c r="M1986" t="s">
        <v>1941</v>
      </c>
      <c r="N1986" t="s">
        <v>76</v>
      </c>
      <c r="O1986" t="s">
        <v>1942</v>
      </c>
      <c r="P1986" t="s">
        <v>1943</v>
      </c>
      <c r="Q1986" t="s">
        <v>1944</v>
      </c>
      <c r="R1986" s="1">
        <v>46231</v>
      </c>
      <c r="S1986" t="s">
        <v>841</v>
      </c>
      <c r="T1986" t="s">
        <v>842</v>
      </c>
      <c r="U1986" t="s">
        <v>843</v>
      </c>
      <c r="V1986" t="s">
        <v>66</v>
      </c>
      <c r="W1986" t="s">
        <v>66</v>
      </c>
      <c r="X1986">
        <v>1203048</v>
      </c>
      <c r="Y1986">
        <v>132335.28</v>
      </c>
      <c r="Z1986">
        <v>48510</v>
      </c>
      <c r="AA1986">
        <v>5336.1</v>
      </c>
      <c r="AB1986">
        <v>1335383.28</v>
      </c>
      <c r="AC1986">
        <v>3</v>
      </c>
      <c r="AD1986" t="s">
        <v>82</v>
      </c>
      <c r="AE1986">
        <v>3</v>
      </c>
      <c r="AF1986" t="s">
        <v>128</v>
      </c>
      <c r="AG1986">
        <f>IFERROR(VLOOKUP(AF1986,[1]STOK!J:O,6,0),"")</f>
        <v>24</v>
      </c>
      <c r="AH1986" s="2">
        <f t="shared" si="60"/>
        <v>0.125</v>
      </c>
      <c r="AI1986" t="s">
        <v>128</v>
      </c>
      <c r="AJ1986" t="s">
        <v>129</v>
      </c>
      <c r="AK1986" t="s">
        <v>130</v>
      </c>
      <c r="AL1986" t="s">
        <v>86</v>
      </c>
      <c r="AM1986">
        <v>18315</v>
      </c>
      <c r="AN1986">
        <f t="shared" si="61"/>
        <v>17948.7</v>
      </c>
      <c r="AO1986" t="s">
        <v>66</v>
      </c>
      <c r="AP1986">
        <v>2</v>
      </c>
      <c r="AQ1986" t="s">
        <v>66</v>
      </c>
      <c r="AR1986">
        <v>0</v>
      </c>
      <c r="AS1986" t="s">
        <v>66</v>
      </c>
      <c r="AT1986">
        <v>0</v>
      </c>
      <c r="AU1986" t="s">
        <v>66</v>
      </c>
      <c r="AV1986">
        <v>0</v>
      </c>
      <c r="AW1986" t="s">
        <v>66</v>
      </c>
      <c r="AX1986">
        <v>0</v>
      </c>
      <c r="AY1986" t="s">
        <v>66</v>
      </c>
      <c r="AZ1986">
        <v>0</v>
      </c>
      <c r="BA1986" t="s">
        <v>66</v>
      </c>
      <c r="BB1986">
        <v>0</v>
      </c>
      <c r="BC1986">
        <v>0</v>
      </c>
      <c r="BD1986">
        <v>53846.1</v>
      </c>
      <c r="BE1986">
        <v>14619.11</v>
      </c>
      <c r="BF1986">
        <v>0</v>
      </c>
      <c r="BG1986" t="s">
        <v>87</v>
      </c>
      <c r="BH1986" t="s">
        <v>66</v>
      </c>
      <c r="BI1986">
        <v>0</v>
      </c>
      <c r="BJ1986" t="s">
        <v>66</v>
      </c>
      <c r="BK1986" t="s">
        <v>88</v>
      </c>
      <c r="BL1986" t="s">
        <v>719</v>
      </c>
      <c r="BM1986" t="s">
        <v>159</v>
      </c>
    </row>
    <row r="1987" spans="1:65" x14ac:dyDescent="0.25">
      <c r="A1987">
        <v>1985</v>
      </c>
      <c r="B1987" t="s">
        <v>1939</v>
      </c>
      <c r="C1987" t="s">
        <v>68</v>
      </c>
      <c r="D1987" s="1">
        <v>46228</v>
      </c>
      <c r="E1987" t="s">
        <v>1940</v>
      </c>
      <c r="F1987" t="s">
        <v>68</v>
      </c>
      <c r="G1987" t="s">
        <v>295</v>
      </c>
      <c r="H1987" t="s">
        <v>296</v>
      </c>
      <c r="I1987" t="s">
        <v>71</v>
      </c>
      <c r="J1987" t="s">
        <v>72</v>
      </c>
      <c r="K1987" t="s">
        <v>73</v>
      </c>
      <c r="L1987" t="s">
        <v>74</v>
      </c>
      <c r="M1987" t="s">
        <v>1941</v>
      </c>
      <c r="N1987" t="s">
        <v>76</v>
      </c>
      <c r="O1987" t="s">
        <v>1942</v>
      </c>
      <c r="P1987" t="s">
        <v>1943</v>
      </c>
      <c r="Q1987" t="s">
        <v>1944</v>
      </c>
      <c r="R1987" s="1">
        <v>46231</v>
      </c>
      <c r="S1987" t="s">
        <v>841</v>
      </c>
      <c r="T1987" t="s">
        <v>842</v>
      </c>
      <c r="U1987" t="s">
        <v>843</v>
      </c>
      <c r="V1987" t="s">
        <v>66</v>
      </c>
      <c r="W1987" t="s">
        <v>66</v>
      </c>
      <c r="X1987">
        <v>1203048</v>
      </c>
      <c r="Y1987">
        <v>132335.28</v>
      </c>
      <c r="Z1987">
        <v>48510</v>
      </c>
      <c r="AA1987">
        <v>5336.1</v>
      </c>
      <c r="AB1987">
        <v>1335383.28</v>
      </c>
      <c r="AC1987">
        <v>3</v>
      </c>
      <c r="AD1987" t="s">
        <v>82</v>
      </c>
      <c r="AE1987">
        <v>3</v>
      </c>
      <c r="AF1987" t="s">
        <v>93</v>
      </c>
      <c r="AG1987">
        <f>IFERROR(VLOOKUP(AF1987,[1]STOK!J:O,6,0),"")</f>
        <v>24</v>
      </c>
      <c r="AH1987" s="2">
        <f t="shared" si="60"/>
        <v>0.125</v>
      </c>
      <c r="AI1987" t="s">
        <v>93</v>
      </c>
      <c r="AJ1987" t="s">
        <v>94</v>
      </c>
      <c r="AK1987" t="s">
        <v>95</v>
      </c>
      <c r="AL1987" t="s">
        <v>86</v>
      </c>
      <c r="AM1987">
        <v>18315</v>
      </c>
      <c r="AN1987">
        <f t="shared" si="61"/>
        <v>17948.7</v>
      </c>
      <c r="AO1987" t="s">
        <v>66</v>
      </c>
      <c r="AP1987">
        <v>2</v>
      </c>
      <c r="AQ1987" t="s">
        <v>66</v>
      </c>
      <c r="AR1987">
        <v>0</v>
      </c>
      <c r="AS1987" t="s">
        <v>66</v>
      </c>
      <c r="AT1987">
        <v>0</v>
      </c>
      <c r="AU1987" t="s">
        <v>66</v>
      </c>
      <c r="AV1987">
        <v>0</v>
      </c>
      <c r="AW1987" t="s">
        <v>66</v>
      </c>
      <c r="AX1987">
        <v>0</v>
      </c>
      <c r="AY1987" t="s">
        <v>66</v>
      </c>
      <c r="AZ1987">
        <v>0</v>
      </c>
      <c r="BA1987" t="s">
        <v>66</v>
      </c>
      <c r="BB1987">
        <v>0</v>
      </c>
      <c r="BC1987">
        <v>0</v>
      </c>
      <c r="BD1987">
        <v>53846.1</v>
      </c>
      <c r="BE1987">
        <v>14878.51</v>
      </c>
      <c r="BF1987">
        <v>0</v>
      </c>
      <c r="BG1987" t="s">
        <v>87</v>
      </c>
      <c r="BH1987" t="s">
        <v>66</v>
      </c>
      <c r="BI1987">
        <v>0</v>
      </c>
      <c r="BJ1987" t="s">
        <v>66</v>
      </c>
      <c r="BK1987" t="s">
        <v>88</v>
      </c>
      <c r="BL1987" t="s">
        <v>719</v>
      </c>
      <c r="BM1987" t="s">
        <v>159</v>
      </c>
    </row>
    <row r="1988" spans="1:65" x14ac:dyDescent="0.25">
      <c r="A1988">
        <v>1986</v>
      </c>
      <c r="B1988" t="s">
        <v>1939</v>
      </c>
      <c r="C1988" t="s">
        <v>68</v>
      </c>
      <c r="D1988" s="1">
        <v>46228</v>
      </c>
      <c r="E1988" t="s">
        <v>1940</v>
      </c>
      <c r="F1988" t="s">
        <v>68</v>
      </c>
      <c r="G1988" t="s">
        <v>295</v>
      </c>
      <c r="H1988" t="s">
        <v>296</v>
      </c>
      <c r="I1988" t="s">
        <v>71</v>
      </c>
      <c r="J1988" t="s">
        <v>72</v>
      </c>
      <c r="K1988" t="s">
        <v>73</v>
      </c>
      <c r="L1988" t="s">
        <v>74</v>
      </c>
      <c r="M1988" t="s">
        <v>1941</v>
      </c>
      <c r="N1988" t="s">
        <v>76</v>
      </c>
      <c r="O1988" t="s">
        <v>1942</v>
      </c>
      <c r="P1988" t="s">
        <v>1943</v>
      </c>
      <c r="Q1988" t="s">
        <v>1944</v>
      </c>
      <c r="R1988" s="1">
        <v>46231</v>
      </c>
      <c r="S1988" t="s">
        <v>841</v>
      </c>
      <c r="T1988" t="s">
        <v>842</v>
      </c>
      <c r="U1988" t="s">
        <v>843</v>
      </c>
      <c r="V1988" t="s">
        <v>66</v>
      </c>
      <c r="W1988" t="s">
        <v>66</v>
      </c>
      <c r="X1988">
        <v>1203048</v>
      </c>
      <c r="Y1988">
        <v>132335.28</v>
      </c>
      <c r="Z1988">
        <v>48510</v>
      </c>
      <c r="AA1988">
        <v>5336.1</v>
      </c>
      <c r="AB1988">
        <v>1335383.28</v>
      </c>
      <c r="AC1988">
        <v>3</v>
      </c>
      <c r="AD1988" t="s">
        <v>82</v>
      </c>
      <c r="AE1988">
        <v>3</v>
      </c>
      <c r="AF1988" t="s">
        <v>205</v>
      </c>
      <c r="AG1988">
        <f>IFERROR(VLOOKUP(AF1988,[1]STOK!J:O,6,0),"")</f>
        <v>24</v>
      </c>
      <c r="AH1988" s="2">
        <f t="shared" ref="AH1988:AH2051" si="62">AE1988/AG1988</f>
        <v>0.125</v>
      </c>
      <c r="AI1988" t="s">
        <v>205</v>
      </c>
      <c r="AJ1988" t="s">
        <v>206</v>
      </c>
      <c r="AK1988" t="s">
        <v>207</v>
      </c>
      <c r="AL1988" t="s">
        <v>86</v>
      </c>
      <c r="AM1988">
        <v>18315</v>
      </c>
      <c r="AN1988">
        <f t="shared" ref="AN1988:AN2051" si="63">BD1988/AC1988</f>
        <v>17948.7</v>
      </c>
      <c r="AO1988" t="s">
        <v>66</v>
      </c>
      <c r="AP1988">
        <v>2</v>
      </c>
      <c r="AQ1988" t="s">
        <v>66</v>
      </c>
      <c r="AR1988">
        <v>0</v>
      </c>
      <c r="AS1988" t="s">
        <v>66</v>
      </c>
      <c r="AT1988">
        <v>0</v>
      </c>
      <c r="AU1988" t="s">
        <v>66</v>
      </c>
      <c r="AV1988">
        <v>0</v>
      </c>
      <c r="AW1988" t="s">
        <v>66</v>
      </c>
      <c r="AX1988">
        <v>0</v>
      </c>
      <c r="AY1988" t="s">
        <v>66</v>
      </c>
      <c r="AZ1988">
        <v>0</v>
      </c>
      <c r="BA1988" t="s">
        <v>66</v>
      </c>
      <c r="BB1988">
        <v>0</v>
      </c>
      <c r="BC1988">
        <v>0</v>
      </c>
      <c r="BD1988">
        <v>53846.1</v>
      </c>
      <c r="BE1988">
        <v>14876.63</v>
      </c>
      <c r="BF1988">
        <v>0</v>
      </c>
      <c r="BG1988" t="s">
        <v>87</v>
      </c>
      <c r="BH1988" t="s">
        <v>66</v>
      </c>
      <c r="BI1988">
        <v>0</v>
      </c>
      <c r="BJ1988" t="s">
        <v>66</v>
      </c>
      <c r="BK1988" t="s">
        <v>88</v>
      </c>
      <c r="BL1988" t="s">
        <v>719</v>
      </c>
      <c r="BM1988" t="s">
        <v>159</v>
      </c>
    </row>
    <row r="1989" spans="1:65" x14ac:dyDescent="0.25">
      <c r="A1989">
        <v>1987</v>
      </c>
      <c r="B1989" t="s">
        <v>1939</v>
      </c>
      <c r="C1989" t="s">
        <v>68</v>
      </c>
      <c r="D1989" s="1">
        <v>46228</v>
      </c>
      <c r="E1989" t="s">
        <v>1940</v>
      </c>
      <c r="F1989" t="s">
        <v>68</v>
      </c>
      <c r="G1989" t="s">
        <v>295</v>
      </c>
      <c r="H1989" t="s">
        <v>296</v>
      </c>
      <c r="I1989" t="s">
        <v>71</v>
      </c>
      <c r="J1989" t="s">
        <v>72</v>
      </c>
      <c r="K1989" t="s">
        <v>73</v>
      </c>
      <c r="L1989" t="s">
        <v>74</v>
      </c>
      <c r="M1989" t="s">
        <v>1941</v>
      </c>
      <c r="N1989" t="s">
        <v>76</v>
      </c>
      <c r="O1989" t="s">
        <v>1942</v>
      </c>
      <c r="P1989" t="s">
        <v>1943</v>
      </c>
      <c r="Q1989" t="s">
        <v>1944</v>
      </c>
      <c r="R1989" s="1">
        <v>46231</v>
      </c>
      <c r="S1989" t="s">
        <v>841</v>
      </c>
      <c r="T1989" t="s">
        <v>842</v>
      </c>
      <c r="U1989" t="s">
        <v>843</v>
      </c>
      <c r="V1989" t="s">
        <v>66</v>
      </c>
      <c r="W1989" t="s">
        <v>66</v>
      </c>
      <c r="X1989">
        <v>1203048</v>
      </c>
      <c r="Y1989">
        <v>132335.28</v>
      </c>
      <c r="Z1989">
        <v>48510</v>
      </c>
      <c r="AA1989">
        <v>5336.1</v>
      </c>
      <c r="AB1989">
        <v>1335383.28</v>
      </c>
      <c r="AC1989">
        <v>3</v>
      </c>
      <c r="AD1989" t="s">
        <v>82</v>
      </c>
      <c r="AE1989">
        <v>3</v>
      </c>
      <c r="AF1989" t="s">
        <v>96</v>
      </c>
      <c r="AG1989">
        <f>IFERROR(VLOOKUP(AF1989,[1]STOK!J:O,6,0),"")</f>
        <v>24</v>
      </c>
      <c r="AH1989" s="2">
        <f t="shared" si="62"/>
        <v>0.125</v>
      </c>
      <c r="AI1989" t="s">
        <v>96</v>
      </c>
      <c r="AJ1989" t="s">
        <v>97</v>
      </c>
      <c r="AK1989" t="s">
        <v>98</v>
      </c>
      <c r="AL1989" t="s">
        <v>86</v>
      </c>
      <c r="AM1989">
        <v>18315</v>
      </c>
      <c r="AN1989">
        <f t="shared" si="63"/>
        <v>17948.7</v>
      </c>
      <c r="AO1989" t="s">
        <v>66</v>
      </c>
      <c r="AP1989">
        <v>2</v>
      </c>
      <c r="AQ1989" t="s">
        <v>66</v>
      </c>
      <c r="AR1989">
        <v>0</v>
      </c>
      <c r="AS1989" t="s">
        <v>66</v>
      </c>
      <c r="AT1989">
        <v>0</v>
      </c>
      <c r="AU1989" t="s">
        <v>66</v>
      </c>
      <c r="AV1989">
        <v>0</v>
      </c>
      <c r="AW1989" t="s">
        <v>66</v>
      </c>
      <c r="AX1989">
        <v>0</v>
      </c>
      <c r="AY1989" t="s">
        <v>66</v>
      </c>
      <c r="AZ1989">
        <v>0</v>
      </c>
      <c r="BA1989" t="s">
        <v>66</v>
      </c>
      <c r="BB1989">
        <v>0</v>
      </c>
      <c r="BC1989">
        <v>0</v>
      </c>
      <c r="BD1989">
        <v>53846.1</v>
      </c>
      <c r="BE1989">
        <v>14881.93</v>
      </c>
      <c r="BF1989">
        <v>0</v>
      </c>
      <c r="BG1989" t="s">
        <v>87</v>
      </c>
      <c r="BH1989" t="s">
        <v>66</v>
      </c>
      <c r="BI1989">
        <v>0</v>
      </c>
      <c r="BJ1989" t="s">
        <v>66</v>
      </c>
      <c r="BK1989" t="s">
        <v>88</v>
      </c>
      <c r="BL1989" t="s">
        <v>719</v>
      </c>
      <c r="BM1989" t="s">
        <v>159</v>
      </c>
    </row>
    <row r="1990" spans="1:65" x14ac:dyDescent="0.25">
      <c r="A1990">
        <v>1988</v>
      </c>
      <c r="B1990" t="s">
        <v>1939</v>
      </c>
      <c r="C1990" t="s">
        <v>68</v>
      </c>
      <c r="D1990" s="1">
        <v>46228</v>
      </c>
      <c r="E1990" t="s">
        <v>1940</v>
      </c>
      <c r="F1990" t="s">
        <v>68</v>
      </c>
      <c r="G1990" t="s">
        <v>295</v>
      </c>
      <c r="H1990" t="s">
        <v>296</v>
      </c>
      <c r="I1990" t="s">
        <v>71</v>
      </c>
      <c r="J1990" t="s">
        <v>72</v>
      </c>
      <c r="K1990" t="s">
        <v>73</v>
      </c>
      <c r="L1990" t="s">
        <v>74</v>
      </c>
      <c r="M1990" t="s">
        <v>1941</v>
      </c>
      <c r="N1990" t="s">
        <v>76</v>
      </c>
      <c r="O1990" t="s">
        <v>1942</v>
      </c>
      <c r="P1990" t="s">
        <v>1943</v>
      </c>
      <c r="Q1990" t="s">
        <v>1944</v>
      </c>
      <c r="R1990" s="1">
        <v>46231</v>
      </c>
      <c r="S1990" t="s">
        <v>841</v>
      </c>
      <c r="T1990" t="s">
        <v>842</v>
      </c>
      <c r="U1990" t="s">
        <v>843</v>
      </c>
      <c r="V1990" t="s">
        <v>66</v>
      </c>
      <c r="W1990" t="s">
        <v>66</v>
      </c>
      <c r="X1990">
        <v>1203048</v>
      </c>
      <c r="Y1990">
        <v>132335.28</v>
      </c>
      <c r="Z1990">
        <v>48510</v>
      </c>
      <c r="AA1990">
        <v>5336.1</v>
      </c>
      <c r="AB1990">
        <v>1335383.28</v>
      </c>
      <c r="AC1990">
        <v>3</v>
      </c>
      <c r="AD1990" t="s">
        <v>82</v>
      </c>
      <c r="AE1990">
        <v>3</v>
      </c>
      <c r="AF1990" t="s">
        <v>99</v>
      </c>
      <c r="AG1990">
        <f>IFERROR(VLOOKUP(AF1990,[1]STOK!J:O,6,0),"")</f>
        <v>24</v>
      </c>
      <c r="AH1990" s="2">
        <f t="shared" si="62"/>
        <v>0.125</v>
      </c>
      <c r="AI1990" t="s">
        <v>99</v>
      </c>
      <c r="AJ1990" t="s">
        <v>100</v>
      </c>
      <c r="AK1990" t="s">
        <v>101</v>
      </c>
      <c r="AL1990" t="s">
        <v>86</v>
      </c>
      <c r="AM1990">
        <v>18315</v>
      </c>
      <c r="AN1990">
        <f t="shared" si="63"/>
        <v>17948.7</v>
      </c>
      <c r="AO1990" t="s">
        <v>66</v>
      </c>
      <c r="AP1990">
        <v>2</v>
      </c>
      <c r="AQ1990" t="s">
        <v>66</v>
      </c>
      <c r="AR1990">
        <v>0</v>
      </c>
      <c r="AS1990" t="s">
        <v>66</v>
      </c>
      <c r="AT1990">
        <v>0</v>
      </c>
      <c r="AU1990" t="s">
        <v>66</v>
      </c>
      <c r="AV1990">
        <v>0</v>
      </c>
      <c r="AW1990" t="s">
        <v>66</v>
      </c>
      <c r="AX1990">
        <v>0</v>
      </c>
      <c r="AY1990" t="s">
        <v>66</v>
      </c>
      <c r="AZ1990">
        <v>0</v>
      </c>
      <c r="BA1990" t="s">
        <v>66</v>
      </c>
      <c r="BB1990">
        <v>0</v>
      </c>
      <c r="BC1990">
        <v>0</v>
      </c>
      <c r="BD1990">
        <v>53846.1</v>
      </c>
      <c r="BE1990">
        <v>14924.93</v>
      </c>
      <c r="BF1990">
        <v>0</v>
      </c>
      <c r="BG1990" t="s">
        <v>87</v>
      </c>
      <c r="BH1990" t="s">
        <v>66</v>
      </c>
      <c r="BI1990">
        <v>0</v>
      </c>
      <c r="BJ1990" t="s">
        <v>66</v>
      </c>
      <c r="BK1990" t="s">
        <v>88</v>
      </c>
      <c r="BL1990" t="s">
        <v>719</v>
      </c>
      <c r="BM1990" t="s">
        <v>159</v>
      </c>
    </row>
    <row r="1991" spans="1:65" x14ac:dyDescent="0.25">
      <c r="A1991">
        <v>1989</v>
      </c>
      <c r="B1991" t="s">
        <v>1939</v>
      </c>
      <c r="C1991" t="s">
        <v>68</v>
      </c>
      <c r="D1991" s="1">
        <v>46228</v>
      </c>
      <c r="E1991" t="s">
        <v>1940</v>
      </c>
      <c r="F1991" t="s">
        <v>68</v>
      </c>
      <c r="G1991" t="s">
        <v>295</v>
      </c>
      <c r="H1991" t="s">
        <v>296</v>
      </c>
      <c r="I1991" t="s">
        <v>71</v>
      </c>
      <c r="J1991" t="s">
        <v>72</v>
      </c>
      <c r="K1991" t="s">
        <v>73</v>
      </c>
      <c r="L1991" t="s">
        <v>74</v>
      </c>
      <c r="M1991" t="s">
        <v>1941</v>
      </c>
      <c r="N1991" t="s">
        <v>76</v>
      </c>
      <c r="O1991" t="s">
        <v>1942</v>
      </c>
      <c r="P1991" t="s">
        <v>1943</v>
      </c>
      <c r="Q1991" t="s">
        <v>1944</v>
      </c>
      <c r="R1991" s="1">
        <v>46231</v>
      </c>
      <c r="S1991" t="s">
        <v>841</v>
      </c>
      <c r="T1991" t="s">
        <v>842</v>
      </c>
      <c r="U1991" t="s">
        <v>843</v>
      </c>
      <c r="V1991" t="s">
        <v>66</v>
      </c>
      <c r="W1991" t="s">
        <v>66</v>
      </c>
      <c r="X1991">
        <v>1203048</v>
      </c>
      <c r="Y1991">
        <v>132335.28</v>
      </c>
      <c r="Z1991">
        <v>57036</v>
      </c>
      <c r="AA1991">
        <v>6273.96</v>
      </c>
      <c r="AB1991">
        <v>1335383.28</v>
      </c>
      <c r="AC1991">
        <v>3</v>
      </c>
      <c r="AD1991" t="s">
        <v>82</v>
      </c>
      <c r="AE1991">
        <v>3</v>
      </c>
      <c r="AF1991" t="s">
        <v>470</v>
      </c>
      <c r="AG1991">
        <f>IFERROR(VLOOKUP(AF1991,[1]STOK!J:O,6,0),"")</f>
        <v>24</v>
      </c>
      <c r="AH1991" s="2">
        <f t="shared" si="62"/>
        <v>0.125</v>
      </c>
      <c r="AI1991" t="s">
        <v>470</v>
      </c>
      <c r="AJ1991" t="s">
        <v>471</v>
      </c>
      <c r="AK1991" t="s">
        <v>472</v>
      </c>
      <c r="AL1991" t="s">
        <v>86</v>
      </c>
      <c r="AM1991">
        <v>21534</v>
      </c>
      <c r="AN1991">
        <f t="shared" si="63"/>
        <v>21103.32</v>
      </c>
      <c r="AO1991" t="s">
        <v>66</v>
      </c>
      <c r="AP1991">
        <v>2</v>
      </c>
      <c r="AQ1991" t="s">
        <v>66</v>
      </c>
      <c r="AR1991">
        <v>0</v>
      </c>
      <c r="AS1991" t="s">
        <v>66</v>
      </c>
      <c r="AT1991">
        <v>0</v>
      </c>
      <c r="AU1991" t="s">
        <v>66</v>
      </c>
      <c r="AV1991">
        <v>0</v>
      </c>
      <c r="AW1991" t="s">
        <v>66</v>
      </c>
      <c r="AX1991">
        <v>0</v>
      </c>
      <c r="AY1991" t="s">
        <v>66</v>
      </c>
      <c r="AZ1991">
        <v>0</v>
      </c>
      <c r="BA1991" t="s">
        <v>66</v>
      </c>
      <c r="BB1991">
        <v>0</v>
      </c>
      <c r="BC1991">
        <v>0</v>
      </c>
      <c r="BD1991">
        <v>63309.96</v>
      </c>
      <c r="BE1991">
        <v>17046.02</v>
      </c>
      <c r="BF1991">
        <v>0</v>
      </c>
      <c r="BG1991" t="s">
        <v>87</v>
      </c>
      <c r="BH1991" t="s">
        <v>66</v>
      </c>
      <c r="BI1991">
        <v>0</v>
      </c>
      <c r="BJ1991" t="s">
        <v>66</v>
      </c>
      <c r="BK1991" t="s">
        <v>88</v>
      </c>
      <c r="BL1991" t="s">
        <v>719</v>
      </c>
      <c r="BM1991" t="s">
        <v>159</v>
      </c>
    </row>
    <row r="1992" spans="1:65" x14ac:dyDescent="0.25">
      <c r="A1992">
        <v>1990</v>
      </c>
      <c r="B1992" t="s">
        <v>1939</v>
      </c>
      <c r="C1992" t="s">
        <v>68</v>
      </c>
      <c r="D1992" s="1">
        <v>46228</v>
      </c>
      <c r="E1992" t="s">
        <v>1940</v>
      </c>
      <c r="F1992" t="s">
        <v>68</v>
      </c>
      <c r="G1992" t="s">
        <v>295</v>
      </c>
      <c r="H1992" t="s">
        <v>296</v>
      </c>
      <c r="I1992" t="s">
        <v>71</v>
      </c>
      <c r="J1992" t="s">
        <v>72</v>
      </c>
      <c r="K1992" t="s">
        <v>73</v>
      </c>
      <c r="L1992" t="s">
        <v>74</v>
      </c>
      <c r="M1992" t="s">
        <v>1941</v>
      </c>
      <c r="N1992" t="s">
        <v>76</v>
      </c>
      <c r="O1992" t="s">
        <v>1942</v>
      </c>
      <c r="P1992" t="s">
        <v>1943</v>
      </c>
      <c r="Q1992" t="s">
        <v>1944</v>
      </c>
      <c r="R1992" s="1">
        <v>46231</v>
      </c>
      <c r="S1992" t="s">
        <v>841</v>
      </c>
      <c r="T1992" t="s">
        <v>842</v>
      </c>
      <c r="U1992" t="s">
        <v>843</v>
      </c>
      <c r="V1992" t="s">
        <v>66</v>
      </c>
      <c r="W1992" t="s">
        <v>66</v>
      </c>
      <c r="X1992">
        <v>1203048</v>
      </c>
      <c r="Y1992">
        <v>132335.28</v>
      </c>
      <c r="Z1992">
        <v>78204</v>
      </c>
      <c r="AA1992">
        <v>8602.44</v>
      </c>
      <c r="AB1992">
        <v>1335383.28</v>
      </c>
      <c r="AC1992">
        <v>6</v>
      </c>
      <c r="AD1992" t="s">
        <v>82</v>
      </c>
      <c r="AE1992">
        <v>6</v>
      </c>
      <c r="AF1992" t="s">
        <v>135</v>
      </c>
      <c r="AG1992">
        <f>IFERROR(VLOOKUP(AF1992,[1]STOK!J:O,6,0),"")</f>
        <v>12</v>
      </c>
      <c r="AH1992" s="2">
        <f t="shared" si="62"/>
        <v>0.5</v>
      </c>
      <c r="AI1992" t="s">
        <v>135</v>
      </c>
      <c r="AJ1992" t="s">
        <v>136</v>
      </c>
      <c r="AK1992" t="s">
        <v>137</v>
      </c>
      <c r="AL1992" t="s">
        <v>86</v>
      </c>
      <c r="AM1992">
        <v>14763</v>
      </c>
      <c r="AN1992">
        <f t="shared" si="63"/>
        <v>14467.74</v>
      </c>
      <c r="AO1992" t="s">
        <v>66</v>
      </c>
      <c r="AP1992">
        <v>2</v>
      </c>
      <c r="AQ1992" t="s">
        <v>66</v>
      </c>
      <c r="AR1992">
        <v>0</v>
      </c>
      <c r="AS1992" t="s">
        <v>66</v>
      </c>
      <c r="AT1992">
        <v>0</v>
      </c>
      <c r="AU1992" t="s">
        <v>66</v>
      </c>
      <c r="AV1992">
        <v>0</v>
      </c>
      <c r="AW1992" t="s">
        <v>66</v>
      </c>
      <c r="AX1992">
        <v>0</v>
      </c>
      <c r="AY1992" t="s">
        <v>66</v>
      </c>
      <c r="AZ1992">
        <v>0</v>
      </c>
      <c r="BA1992" t="s">
        <v>66</v>
      </c>
      <c r="BB1992">
        <v>0</v>
      </c>
      <c r="BC1992">
        <v>0</v>
      </c>
      <c r="BD1992">
        <v>86806.44</v>
      </c>
      <c r="BE1992">
        <v>12032.04</v>
      </c>
      <c r="BF1992">
        <v>0</v>
      </c>
      <c r="BG1992" t="s">
        <v>87</v>
      </c>
      <c r="BH1992" t="s">
        <v>66</v>
      </c>
      <c r="BI1992">
        <v>0</v>
      </c>
      <c r="BJ1992" t="s">
        <v>66</v>
      </c>
      <c r="BK1992" t="s">
        <v>88</v>
      </c>
      <c r="BL1992" t="s">
        <v>719</v>
      </c>
      <c r="BM1992" t="s">
        <v>159</v>
      </c>
    </row>
    <row r="1993" spans="1:65" x14ac:dyDescent="0.25">
      <c r="A1993">
        <v>1991</v>
      </c>
      <c r="B1993" t="s">
        <v>1939</v>
      </c>
      <c r="C1993" t="s">
        <v>68</v>
      </c>
      <c r="D1993" s="1">
        <v>46228</v>
      </c>
      <c r="E1993" t="s">
        <v>1940</v>
      </c>
      <c r="F1993" t="s">
        <v>68</v>
      </c>
      <c r="G1993" t="s">
        <v>295</v>
      </c>
      <c r="H1993" t="s">
        <v>296</v>
      </c>
      <c r="I1993" t="s">
        <v>71</v>
      </c>
      <c r="J1993" t="s">
        <v>72</v>
      </c>
      <c r="K1993" t="s">
        <v>73</v>
      </c>
      <c r="L1993" t="s">
        <v>74</v>
      </c>
      <c r="M1993" t="s">
        <v>1941</v>
      </c>
      <c r="N1993" t="s">
        <v>76</v>
      </c>
      <c r="O1993" t="s">
        <v>1942</v>
      </c>
      <c r="P1993" t="s">
        <v>1943</v>
      </c>
      <c r="Q1993" t="s">
        <v>1944</v>
      </c>
      <c r="R1993" s="1">
        <v>46231</v>
      </c>
      <c r="S1993" t="s">
        <v>841</v>
      </c>
      <c r="T1993" t="s">
        <v>842</v>
      </c>
      <c r="U1993" t="s">
        <v>843</v>
      </c>
      <c r="V1993" t="s">
        <v>66</v>
      </c>
      <c r="W1993" t="s">
        <v>66</v>
      </c>
      <c r="X1993">
        <v>1203048</v>
      </c>
      <c r="Y1993">
        <v>132335.28</v>
      </c>
      <c r="Z1993">
        <v>78204</v>
      </c>
      <c r="AA1993">
        <v>8602.44</v>
      </c>
      <c r="AB1993">
        <v>1335383.28</v>
      </c>
      <c r="AC1993">
        <v>6</v>
      </c>
      <c r="AD1993" t="s">
        <v>82</v>
      </c>
      <c r="AE1993">
        <v>6</v>
      </c>
      <c r="AF1993" t="s">
        <v>210</v>
      </c>
      <c r="AG1993">
        <f>IFERROR(VLOOKUP(AF1993,[1]STOK!J:O,6,0),"")</f>
        <v>12</v>
      </c>
      <c r="AH1993" s="2">
        <f t="shared" si="62"/>
        <v>0.5</v>
      </c>
      <c r="AI1993" t="s">
        <v>210</v>
      </c>
      <c r="AJ1993" t="s">
        <v>211</v>
      </c>
      <c r="AK1993" t="s">
        <v>212</v>
      </c>
      <c r="AL1993" t="s">
        <v>86</v>
      </c>
      <c r="AM1993">
        <v>14763</v>
      </c>
      <c r="AN1993">
        <f t="shared" si="63"/>
        <v>14467.74</v>
      </c>
      <c r="AO1993" t="s">
        <v>66</v>
      </c>
      <c r="AP1993">
        <v>2</v>
      </c>
      <c r="AQ1993" t="s">
        <v>66</v>
      </c>
      <c r="AR1993">
        <v>0</v>
      </c>
      <c r="AS1993" t="s">
        <v>66</v>
      </c>
      <c r="AT1993">
        <v>0</v>
      </c>
      <c r="AU1993" t="s">
        <v>66</v>
      </c>
      <c r="AV1993">
        <v>0</v>
      </c>
      <c r="AW1993" t="s">
        <v>66</v>
      </c>
      <c r="AX1993">
        <v>0</v>
      </c>
      <c r="AY1993" t="s">
        <v>66</v>
      </c>
      <c r="AZ1993">
        <v>0</v>
      </c>
      <c r="BA1993" t="s">
        <v>66</v>
      </c>
      <c r="BB1993">
        <v>0</v>
      </c>
      <c r="BC1993">
        <v>0</v>
      </c>
      <c r="BD1993">
        <v>86806.44</v>
      </c>
      <c r="BE1993">
        <v>11818.77</v>
      </c>
      <c r="BF1993">
        <v>0</v>
      </c>
      <c r="BG1993" t="s">
        <v>87</v>
      </c>
      <c r="BH1993" t="s">
        <v>66</v>
      </c>
      <c r="BI1993">
        <v>0</v>
      </c>
      <c r="BJ1993" t="s">
        <v>66</v>
      </c>
      <c r="BK1993" t="s">
        <v>88</v>
      </c>
      <c r="BL1993" t="s">
        <v>719</v>
      </c>
      <c r="BM1993" t="s">
        <v>159</v>
      </c>
    </row>
    <row r="1994" spans="1:65" x14ac:dyDescent="0.25">
      <c r="A1994">
        <v>1992</v>
      </c>
      <c r="B1994" t="s">
        <v>1939</v>
      </c>
      <c r="C1994" t="s">
        <v>68</v>
      </c>
      <c r="D1994" s="1">
        <v>46228</v>
      </c>
      <c r="E1994" t="s">
        <v>1940</v>
      </c>
      <c r="F1994" t="s">
        <v>68</v>
      </c>
      <c r="G1994" t="s">
        <v>295</v>
      </c>
      <c r="H1994" t="s">
        <v>296</v>
      </c>
      <c r="I1994" t="s">
        <v>71</v>
      </c>
      <c r="J1994" t="s">
        <v>72</v>
      </c>
      <c r="K1994" t="s">
        <v>73</v>
      </c>
      <c r="L1994" t="s">
        <v>74</v>
      </c>
      <c r="M1994" t="s">
        <v>1941</v>
      </c>
      <c r="N1994" t="s">
        <v>76</v>
      </c>
      <c r="O1994" t="s">
        <v>1942</v>
      </c>
      <c r="P1994" t="s">
        <v>1943</v>
      </c>
      <c r="Q1994" t="s">
        <v>1944</v>
      </c>
      <c r="R1994" s="1">
        <v>46231</v>
      </c>
      <c r="S1994" t="s">
        <v>841</v>
      </c>
      <c r="T1994" t="s">
        <v>842</v>
      </c>
      <c r="U1994" t="s">
        <v>843</v>
      </c>
      <c r="V1994" t="s">
        <v>66</v>
      </c>
      <c r="W1994" t="s">
        <v>66</v>
      </c>
      <c r="X1994">
        <v>1203048</v>
      </c>
      <c r="Y1994">
        <v>132335.28</v>
      </c>
      <c r="Z1994">
        <v>101724</v>
      </c>
      <c r="AA1994">
        <v>11189.64</v>
      </c>
      <c r="AB1994">
        <v>1335383.28</v>
      </c>
      <c r="AC1994">
        <v>6</v>
      </c>
      <c r="AD1994" t="s">
        <v>82</v>
      </c>
      <c r="AE1994">
        <v>6</v>
      </c>
      <c r="AF1994" t="s">
        <v>359</v>
      </c>
      <c r="AG1994">
        <f>IFERROR(VLOOKUP(AF1994,[1]STOK!J:O,6,0),"")</f>
        <v>12</v>
      </c>
      <c r="AH1994" s="2">
        <f t="shared" si="62"/>
        <v>0.5</v>
      </c>
      <c r="AI1994" t="s">
        <v>359</v>
      </c>
      <c r="AJ1994" t="s">
        <v>360</v>
      </c>
      <c r="AK1994" t="s">
        <v>361</v>
      </c>
      <c r="AL1994" t="s">
        <v>86</v>
      </c>
      <c r="AM1994">
        <v>19203</v>
      </c>
      <c r="AN1994">
        <f t="shared" si="63"/>
        <v>18818.939999999999</v>
      </c>
      <c r="AO1994" t="s">
        <v>66</v>
      </c>
      <c r="AP1994">
        <v>2</v>
      </c>
      <c r="AQ1994" t="s">
        <v>66</v>
      </c>
      <c r="AR1994">
        <v>0</v>
      </c>
      <c r="AS1994" t="s">
        <v>66</v>
      </c>
      <c r="AT1994">
        <v>0</v>
      </c>
      <c r="AU1994" t="s">
        <v>66</v>
      </c>
      <c r="AV1994">
        <v>0</v>
      </c>
      <c r="AW1994" t="s">
        <v>66</v>
      </c>
      <c r="AX1994">
        <v>0</v>
      </c>
      <c r="AY1994" t="s">
        <v>66</v>
      </c>
      <c r="AZ1994">
        <v>0</v>
      </c>
      <c r="BA1994" t="s">
        <v>66</v>
      </c>
      <c r="BB1994">
        <v>0</v>
      </c>
      <c r="BC1994">
        <v>0</v>
      </c>
      <c r="BD1994">
        <v>112913.64</v>
      </c>
      <c r="BE1994">
        <v>15490.24</v>
      </c>
      <c r="BF1994">
        <v>0</v>
      </c>
      <c r="BG1994" t="s">
        <v>87</v>
      </c>
      <c r="BH1994" t="s">
        <v>66</v>
      </c>
      <c r="BI1994">
        <v>0</v>
      </c>
      <c r="BJ1994" t="s">
        <v>66</v>
      </c>
      <c r="BK1994" t="s">
        <v>88</v>
      </c>
      <c r="BL1994" t="s">
        <v>719</v>
      </c>
      <c r="BM1994" t="s">
        <v>159</v>
      </c>
    </row>
    <row r="1995" spans="1:65" x14ac:dyDescent="0.25">
      <c r="A1995">
        <v>1993</v>
      </c>
      <c r="B1995" t="s">
        <v>1939</v>
      </c>
      <c r="C1995" t="s">
        <v>68</v>
      </c>
      <c r="D1995" s="1">
        <v>46228</v>
      </c>
      <c r="E1995" t="s">
        <v>1940</v>
      </c>
      <c r="F1995" t="s">
        <v>68</v>
      </c>
      <c r="G1995" t="s">
        <v>295</v>
      </c>
      <c r="H1995" t="s">
        <v>296</v>
      </c>
      <c r="I1995" t="s">
        <v>71</v>
      </c>
      <c r="J1995" t="s">
        <v>72</v>
      </c>
      <c r="K1995" t="s">
        <v>73</v>
      </c>
      <c r="L1995" t="s">
        <v>74</v>
      </c>
      <c r="M1995" t="s">
        <v>1941</v>
      </c>
      <c r="N1995" t="s">
        <v>76</v>
      </c>
      <c r="O1995" t="s">
        <v>1942</v>
      </c>
      <c r="P1995" t="s">
        <v>1943</v>
      </c>
      <c r="Q1995" t="s">
        <v>1944</v>
      </c>
      <c r="R1995" s="1">
        <v>46231</v>
      </c>
      <c r="S1995" t="s">
        <v>841</v>
      </c>
      <c r="T1995" t="s">
        <v>842</v>
      </c>
      <c r="U1995" t="s">
        <v>843</v>
      </c>
      <c r="V1995" t="s">
        <v>66</v>
      </c>
      <c r="W1995" t="s">
        <v>66</v>
      </c>
      <c r="X1995">
        <v>1203048</v>
      </c>
      <c r="Y1995">
        <v>132335.28</v>
      </c>
      <c r="Z1995">
        <v>58800</v>
      </c>
      <c r="AA1995">
        <v>6468</v>
      </c>
      <c r="AB1995">
        <v>1335383.28</v>
      </c>
      <c r="AC1995">
        <v>3</v>
      </c>
      <c r="AD1995" t="s">
        <v>82</v>
      </c>
      <c r="AE1995">
        <v>3</v>
      </c>
      <c r="AF1995" t="s">
        <v>290</v>
      </c>
      <c r="AG1995">
        <f>IFERROR(VLOOKUP(AF1995,[1]STOK!J:O,6,0),"")</f>
        <v>12</v>
      </c>
      <c r="AH1995" s="2">
        <f t="shared" si="62"/>
        <v>0.25</v>
      </c>
      <c r="AI1995" t="s">
        <v>290</v>
      </c>
      <c r="AJ1995" t="s">
        <v>291</v>
      </c>
      <c r="AK1995" t="s">
        <v>292</v>
      </c>
      <c r="AL1995" t="s">
        <v>86</v>
      </c>
      <c r="AM1995">
        <v>22200</v>
      </c>
      <c r="AN1995">
        <f t="shared" si="63"/>
        <v>21756</v>
      </c>
      <c r="AO1995" t="s">
        <v>66</v>
      </c>
      <c r="AP1995">
        <v>2</v>
      </c>
      <c r="AQ1995" t="s">
        <v>66</v>
      </c>
      <c r="AR1995">
        <v>0</v>
      </c>
      <c r="AS1995" t="s">
        <v>66</v>
      </c>
      <c r="AT1995">
        <v>0</v>
      </c>
      <c r="AU1995" t="s">
        <v>66</v>
      </c>
      <c r="AV1995">
        <v>0</v>
      </c>
      <c r="AW1995" t="s">
        <v>66</v>
      </c>
      <c r="AX1995">
        <v>0</v>
      </c>
      <c r="AY1995" t="s">
        <v>66</v>
      </c>
      <c r="AZ1995">
        <v>0</v>
      </c>
      <c r="BA1995" t="s">
        <v>66</v>
      </c>
      <c r="BB1995">
        <v>0</v>
      </c>
      <c r="BC1995">
        <v>0</v>
      </c>
      <c r="BD1995">
        <v>65268</v>
      </c>
      <c r="BE1995">
        <v>18155.62</v>
      </c>
      <c r="BF1995">
        <v>0</v>
      </c>
      <c r="BG1995" t="s">
        <v>87</v>
      </c>
      <c r="BH1995" t="s">
        <v>66</v>
      </c>
      <c r="BI1995">
        <v>0</v>
      </c>
      <c r="BJ1995" t="s">
        <v>66</v>
      </c>
      <c r="BK1995" t="s">
        <v>88</v>
      </c>
      <c r="BL1995" t="s">
        <v>719</v>
      </c>
      <c r="BM1995" t="s">
        <v>159</v>
      </c>
    </row>
    <row r="1996" spans="1:65" x14ac:dyDescent="0.25">
      <c r="A1996">
        <v>1994</v>
      </c>
      <c r="B1996" t="s">
        <v>1939</v>
      </c>
      <c r="C1996" t="s">
        <v>68</v>
      </c>
      <c r="D1996" s="1">
        <v>46228</v>
      </c>
      <c r="E1996" t="s">
        <v>1940</v>
      </c>
      <c r="F1996" t="s">
        <v>68</v>
      </c>
      <c r="G1996" t="s">
        <v>295</v>
      </c>
      <c r="H1996" t="s">
        <v>296</v>
      </c>
      <c r="I1996" t="s">
        <v>71</v>
      </c>
      <c r="J1996" t="s">
        <v>72</v>
      </c>
      <c r="K1996" t="s">
        <v>73</v>
      </c>
      <c r="L1996" t="s">
        <v>74</v>
      </c>
      <c r="M1996" t="s">
        <v>1941</v>
      </c>
      <c r="N1996" t="s">
        <v>76</v>
      </c>
      <c r="O1996" t="s">
        <v>1942</v>
      </c>
      <c r="P1996" t="s">
        <v>1943</v>
      </c>
      <c r="Q1996" t="s">
        <v>1944</v>
      </c>
      <c r="R1996" s="1">
        <v>46231</v>
      </c>
      <c r="S1996" t="s">
        <v>841</v>
      </c>
      <c r="T1996" t="s">
        <v>842</v>
      </c>
      <c r="U1996" t="s">
        <v>843</v>
      </c>
      <c r="V1996" t="s">
        <v>66</v>
      </c>
      <c r="W1996" t="s">
        <v>66</v>
      </c>
      <c r="X1996">
        <v>1203048</v>
      </c>
      <c r="Y1996">
        <v>132335.28</v>
      </c>
      <c r="Z1996">
        <v>117600</v>
      </c>
      <c r="AA1996">
        <v>12936</v>
      </c>
      <c r="AB1996">
        <v>1335383.28</v>
      </c>
      <c r="AC1996">
        <v>6</v>
      </c>
      <c r="AD1996" t="s">
        <v>82</v>
      </c>
      <c r="AE1996">
        <v>6</v>
      </c>
      <c r="AF1996" t="s">
        <v>102</v>
      </c>
      <c r="AG1996">
        <f>IFERROR(VLOOKUP(AF1996,[1]STOK!J:O,6,0),"")</f>
        <v>12</v>
      </c>
      <c r="AH1996" s="2">
        <f t="shared" si="62"/>
        <v>0.5</v>
      </c>
      <c r="AI1996" t="s">
        <v>102</v>
      </c>
      <c r="AJ1996" t="s">
        <v>103</v>
      </c>
      <c r="AK1996" t="s">
        <v>104</v>
      </c>
      <c r="AL1996" t="s">
        <v>86</v>
      </c>
      <c r="AM1996">
        <v>22200</v>
      </c>
      <c r="AN1996">
        <f t="shared" si="63"/>
        <v>21756</v>
      </c>
      <c r="AO1996" t="s">
        <v>66</v>
      </c>
      <c r="AP1996">
        <v>2</v>
      </c>
      <c r="AQ1996" t="s">
        <v>66</v>
      </c>
      <c r="AR1996">
        <v>0</v>
      </c>
      <c r="AS1996" t="s">
        <v>66</v>
      </c>
      <c r="AT1996">
        <v>0</v>
      </c>
      <c r="AU1996" t="s">
        <v>66</v>
      </c>
      <c r="AV1996">
        <v>0</v>
      </c>
      <c r="AW1996" t="s">
        <v>66</v>
      </c>
      <c r="AX1996">
        <v>0</v>
      </c>
      <c r="AY1996" t="s">
        <v>66</v>
      </c>
      <c r="AZ1996">
        <v>0</v>
      </c>
      <c r="BA1996" t="s">
        <v>66</v>
      </c>
      <c r="BB1996">
        <v>0</v>
      </c>
      <c r="BC1996">
        <v>0</v>
      </c>
      <c r="BD1996">
        <v>130536</v>
      </c>
      <c r="BE1996">
        <v>17828.62</v>
      </c>
      <c r="BF1996">
        <v>0</v>
      </c>
      <c r="BG1996" t="s">
        <v>87</v>
      </c>
      <c r="BH1996" t="s">
        <v>66</v>
      </c>
      <c r="BI1996">
        <v>0</v>
      </c>
      <c r="BJ1996" t="s">
        <v>66</v>
      </c>
      <c r="BK1996" t="s">
        <v>88</v>
      </c>
      <c r="BL1996" t="s">
        <v>719</v>
      </c>
      <c r="BM1996" t="s">
        <v>159</v>
      </c>
    </row>
    <row r="1997" spans="1:65" x14ac:dyDescent="0.25">
      <c r="A1997">
        <v>1995</v>
      </c>
      <c r="B1997" t="s">
        <v>1945</v>
      </c>
      <c r="C1997" t="s">
        <v>68</v>
      </c>
      <c r="D1997" s="1">
        <v>46230</v>
      </c>
      <c r="E1997" t="s">
        <v>1946</v>
      </c>
      <c r="F1997" t="s">
        <v>68</v>
      </c>
      <c r="G1997" t="s">
        <v>295</v>
      </c>
      <c r="H1997" t="s">
        <v>296</v>
      </c>
      <c r="I1997" t="s">
        <v>71</v>
      </c>
      <c r="J1997" t="s">
        <v>72</v>
      </c>
      <c r="K1997" t="s">
        <v>73</v>
      </c>
      <c r="L1997" t="s">
        <v>74</v>
      </c>
      <c r="M1997" t="s">
        <v>909</v>
      </c>
      <c r="N1997" t="s">
        <v>76</v>
      </c>
      <c r="O1997" t="s">
        <v>910</v>
      </c>
      <c r="P1997" t="s">
        <v>911</v>
      </c>
      <c r="Q1997" t="s">
        <v>66</v>
      </c>
      <c r="R1997" s="1">
        <v>46230</v>
      </c>
      <c r="S1997" t="s">
        <v>841</v>
      </c>
      <c r="T1997" t="s">
        <v>913</v>
      </c>
      <c r="U1997" t="s">
        <v>843</v>
      </c>
      <c r="V1997" t="s">
        <v>66</v>
      </c>
      <c r="W1997" t="s">
        <v>66</v>
      </c>
      <c r="X1997">
        <v>324576</v>
      </c>
      <c r="Y1997">
        <v>35703.360000000001</v>
      </c>
      <c r="Z1997">
        <v>54096</v>
      </c>
      <c r="AA1997">
        <v>5950.56</v>
      </c>
      <c r="AB1997">
        <v>360279.36</v>
      </c>
      <c r="AC1997">
        <v>3</v>
      </c>
      <c r="AD1997" t="s">
        <v>82</v>
      </c>
      <c r="AE1997">
        <v>3</v>
      </c>
      <c r="AF1997" t="s">
        <v>160</v>
      </c>
      <c r="AG1997">
        <f>IFERROR(VLOOKUP(AF1997,[1]STOK!J:O,6,0),"")</f>
        <v>12</v>
      </c>
      <c r="AH1997" s="2">
        <f t="shared" si="62"/>
        <v>0.25</v>
      </c>
      <c r="AI1997" t="s">
        <v>160</v>
      </c>
      <c r="AJ1997" t="s">
        <v>161</v>
      </c>
      <c r="AK1997" t="s">
        <v>162</v>
      </c>
      <c r="AL1997" t="s">
        <v>86</v>
      </c>
      <c r="AM1997">
        <v>20424</v>
      </c>
      <c r="AN1997">
        <f t="shared" si="63"/>
        <v>20015.52</v>
      </c>
      <c r="AO1997" t="s">
        <v>66</v>
      </c>
      <c r="AP1997">
        <v>2</v>
      </c>
      <c r="AQ1997" t="s">
        <v>66</v>
      </c>
      <c r="AR1997">
        <v>0</v>
      </c>
      <c r="AS1997" t="s">
        <v>66</v>
      </c>
      <c r="AT1997">
        <v>0</v>
      </c>
      <c r="AU1997" t="s">
        <v>66</v>
      </c>
      <c r="AV1997">
        <v>0</v>
      </c>
      <c r="AW1997" t="s">
        <v>66</v>
      </c>
      <c r="AX1997">
        <v>0</v>
      </c>
      <c r="AY1997" t="s">
        <v>66</v>
      </c>
      <c r="AZ1997">
        <v>0</v>
      </c>
      <c r="BA1997" t="s">
        <v>66</v>
      </c>
      <c r="BB1997">
        <v>0</v>
      </c>
      <c r="BC1997">
        <v>0</v>
      </c>
      <c r="BD1997">
        <v>60046.559999999998</v>
      </c>
      <c r="BE1997">
        <v>16599.93</v>
      </c>
      <c r="BF1997">
        <v>0</v>
      </c>
      <c r="BG1997" t="s">
        <v>87</v>
      </c>
      <c r="BH1997" t="s">
        <v>66</v>
      </c>
      <c r="BI1997">
        <v>0</v>
      </c>
      <c r="BJ1997" t="s">
        <v>66</v>
      </c>
      <c r="BK1997" t="s">
        <v>88</v>
      </c>
      <c r="BL1997" t="s">
        <v>742</v>
      </c>
      <c r="BM1997" t="s">
        <v>159</v>
      </c>
    </row>
    <row r="1998" spans="1:65" x14ac:dyDescent="0.25">
      <c r="A1998">
        <v>1996</v>
      </c>
      <c r="B1998" t="s">
        <v>1945</v>
      </c>
      <c r="C1998" t="s">
        <v>68</v>
      </c>
      <c r="D1998" s="1">
        <v>46230</v>
      </c>
      <c r="E1998" t="s">
        <v>1946</v>
      </c>
      <c r="F1998" t="s">
        <v>68</v>
      </c>
      <c r="G1998" t="s">
        <v>295</v>
      </c>
      <c r="H1998" t="s">
        <v>296</v>
      </c>
      <c r="I1998" t="s">
        <v>71</v>
      </c>
      <c r="J1998" t="s">
        <v>72</v>
      </c>
      <c r="K1998" t="s">
        <v>73</v>
      </c>
      <c r="L1998" t="s">
        <v>74</v>
      </c>
      <c r="M1998" t="s">
        <v>909</v>
      </c>
      <c r="N1998" t="s">
        <v>76</v>
      </c>
      <c r="O1998" t="s">
        <v>910</v>
      </c>
      <c r="P1998" t="s">
        <v>911</v>
      </c>
      <c r="Q1998" t="s">
        <v>66</v>
      </c>
      <c r="R1998" s="1">
        <v>46230</v>
      </c>
      <c r="S1998" t="s">
        <v>841</v>
      </c>
      <c r="T1998" t="s">
        <v>913</v>
      </c>
      <c r="U1998" t="s">
        <v>843</v>
      </c>
      <c r="V1998" t="s">
        <v>66</v>
      </c>
      <c r="W1998" t="s">
        <v>66</v>
      </c>
      <c r="X1998">
        <v>324576</v>
      </c>
      <c r="Y1998">
        <v>35703.360000000001</v>
      </c>
      <c r="Z1998">
        <v>21756</v>
      </c>
      <c r="AA1998">
        <v>2393.16</v>
      </c>
      <c r="AB1998">
        <v>360279.36</v>
      </c>
      <c r="AC1998">
        <v>3</v>
      </c>
      <c r="AD1998" t="s">
        <v>82</v>
      </c>
      <c r="AE1998">
        <v>3</v>
      </c>
      <c r="AF1998" t="s">
        <v>83</v>
      </c>
      <c r="AG1998">
        <f>IFERROR(VLOOKUP(AF1998,[1]STOK!J:O,6,0),"")</f>
        <v>24</v>
      </c>
      <c r="AH1998" s="2">
        <f t="shared" si="62"/>
        <v>0.125</v>
      </c>
      <c r="AI1998" t="s">
        <v>83</v>
      </c>
      <c r="AJ1998" t="s">
        <v>84</v>
      </c>
      <c r="AK1998" t="s">
        <v>85</v>
      </c>
      <c r="AL1998" t="s">
        <v>86</v>
      </c>
      <c r="AM1998">
        <v>8214</v>
      </c>
      <c r="AN1998">
        <f t="shared" si="63"/>
        <v>8049.72</v>
      </c>
      <c r="AO1998" t="s">
        <v>66</v>
      </c>
      <c r="AP1998">
        <v>2</v>
      </c>
      <c r="AQ1998" t="s">
        <v>66</v>
      </c>
      <c r="AR1998">
        <v>0</v>
      </c>
      <c r="AS1998" t="s">
        <v>66</v>
      </c>
      <c r="AT1998">
        <v>0</v>
      </c>
      <c r="AU1998" t="s">
        <v>66</v>
      </c>
      <c r="AV1998">
        <v>0</v>
      </c>
      <c r="AW1998" t="s">
        <v>66</v>
      </c>
      <c r="AX1998">
        <v>0</v>
      </c>
      <c r="AY1998" t="s">
        <v>66</v>
      </c>
      <c r="AZ1998">
        <v>0</v>
      </c>
      <c r="BA1998" t="s">
        <v>66</v>
      </c>
      <c r="BB1998">
        <v>0</v>
      </c>
      <c r="BC1998">
        <v>0</v>
      </c>
      <c r="BD1998">
        <v>24149.16</v>
      </c>
      <c r="BE1998">
        <v>6682.78</v>
      </c>
      <c r="BF1998">
        <v>0</v>
      </c>
      <c r="BG1998" t="s">
        <v>87</v>
      </c>
      <c r="BH1998" t="s">
        <v>66</v>
      </c>
      <c r="BI1998">
        <v>0</v>
      </c>
      <c r="BJ1998" t="s">
        <v>66</v>
      </c>
      <c r="BK1998" t="s">
        <v>88</v>
      </c>
      <c r="BL1998" t="s">
        <v>742</v>
      </c>
      <c r="BM1998" t="s">
        <v>159</v>
      </c>
    </row>
    <row r="1999" spans="1:65" x14ac:dyDescent="0.25">
      <c r="A1999">
        <v>1997</v>
      </c>
      <c r="B1999" t="s">
        <v>1945</v>
      </c>
      <c r="C1999" t="s">
        <v>68</v>
      </c>
      <c r="D1999" s="1">
        <v>46230</v>
      </c>
      <c r="E1999" t="s">
        <v>1946</v>
      </c>
      <c r="F1999" t="s">
        <v>68</v>
      </c>
      <c r="G1999" t="s">
        <v>295</v>
      </c>
      <c r="H1999" t="s">
        <v>296</v>
      </c>
      <c r="I1999" t="s">
        <v>71</v>
      </c>
      <c r="J1999" t="s">
        <v>72</v>
      </c>
      <c r="K1999" t="s">
        <v>73</v>
      </c>
      <c r="L1999" t="s">
        <v>74</v>
      </c>
      <c r="M1999" t="s">
        <v>909</v>
      </c>
      <c r="N1999" t="s">
        <v>76</v>
      </c>
      <c r="O1999" t="s">
        <v>910</v>
      </c>
      <c r="P1999" t="s">
        <v>911</v>
      </c>
      <c r="Q1999" t="s">
        <v>66</v>
      </c>
      <c r="R1999" s="1">
        <v>46230</v>
      </c>
      <c r="S1999" t="s">
        <v>841</v>
      </c>
      <c r="T1999" t="s">
        <v>913</v>
      </c>
      <c r="U1999" t="s">
        <v>843</v>
      </c>
      <c r="V1999" t="s">
        <v>66</v>
      </c>
      <c r="W1999" t="s">
        <v>66</v>
      </c>
      <c r="X1999">
        <v>324576</v>
      </c>
      <c r="Y1999">
        <v>35703.360000000001</v>
      </c>
      <c r="Z1999">
        <v>29694</v>
      </c>
      <c r="AA1999">
        <v>3266.34</v>
      </c>
      <c r="AB1999">
        <v>360279.36</v>
      </c>
      <c r="AC1999">
        <v>3</v>
      </c>
      <c r="AD1999" t="s">
        <v>82</v>
      </c>
      <c r="AE1999">
        <v>3</v>
      </c>
      <c r="AF1999" t="s">
        <v>857</v>
      </c>
      <c r="AG1999">
        <f>IFERROR(VLOOKUP(AF1999,[1]STOK!J:O,6,0),"")</f>
        <v>24</v>
      </c>
      <c r="AH1999" s="2">
        <f t="shared" si="62"/>
        <v>0.125</v>
      </c>
      <c r="AI1999" t="s">
        <v>857</v>
      </c>
      <c r="AJ1999" t="s">
        <v>858</v>
      </c>
      <c r="AK1999" t="s">
        <v>859</v>
      </c>
      <c r="AL1999" t="s">
        <v>86</v>
      </c>
      <c r="AM1999">
        <v>11211</v>
      </c>
      <c r="AN1999">
        <f t="shared" si="63"/>
        <v>10986.779999999999</v>
      </c>
      <c r="AO1999" t="s">
        <v>66</v>
      </c>
      <c r="AP1999">
        <v>2</v>
      </c>
      <c r="AQ1999" t="s">
        <v>66</v>
      </c>
      <c r="AR1999">
        <v>0</v>
      </c>
      <c r="AS1999" t="s">
        <v>66</v>
      </c>
      <c r="AT1999">
        <v>0</v>
      </c>
      <c r="AU1999" t="s">
        <v>66</v>
      </c>
      <c r="AV1999">
        <v>0</v>
      </c>
      <c r="AW1999" t="s">
        <v>66</v>
      </c>
      <c r="AX1999">
        <v>0</v>
      </c>
      <c r="AY1999" t="s">
        <v>66</v>
      </c>
      <c r="AZ1999">
        <v>0</v>
      </c>
      <c r="BA1999" t="s">
        <v>66</v>
      </c>
      <c r="BB1999">
        <v>0</v>
      </c>
      <c r="BC1999">
        <v>0</v>
      </c>
      <c r="BD1999">
        <v>32960.339999999997</v>
      </c>
      <c r="BE1999">
        <v>8650.52</v>
      </c>
      <c r="BF1999">
        <v>0</v>
      </c>
      <c r="BG1999" t="s">
        <v>87</v>
      </c>
      <c r="BH1999" t="s">
        <v>66</v>
      </c>
      <c r="BI1999">
        <v>0</v>
      </c>
      <c r="BJ1999" t="s">
        <v>66</v>
      </c>
      <c r="BK1999" t="s">
        <v>88</v>
      </c>
      <c r="BL1999" t="s">
        <v>742</v>
      </c>
      <c r="BM1999" t="s">
        <v>159</v>
      </c>
    </row>
    <row r="2000" spans="1:65" x14ac:dyDescent="0.25">
      <c r="A2000">
        <v>1998</v>
      </c>
      <c r="B2000" t="s">
        <v>1945</v>
      </c>
      <c r="C2000" t="s">
        <v>68</v>
      </c>
      <c r="D2000" s="1">
        <v>46230</v>
      </c>
      <c r="E2000" t="s">
        <v>1946</v>
      </c>
      <c r="F2000" t="s">
        <v>68</v>
      </c>
      <c r="G2000" t="s">
        <v>295</v>
      </c>
      <c r="H2000" t="s">
        <v>296</v>
      </c>
      <c r="I2000" t="s">
        <v>71</v>
      </c>
      <c r="J2000" t="s">
        <v>72</v>
      </c>
      <c r="K2000" t="s">
        <v>73</v>
      </c>
      <c r="L2000" t="s">
        <v>74</v>
      </c>
      <c r="M2000" t="s">
        <v>909</v>
      </c>
      <c r="N2000" t="s">
        <v>76</v>
      </c>
      <c r="O2000" t="s">
        <v>910</v>
      </c>
      <c r="P2000" t="s">
        <v>911</v>
      </c>
      <c r="Q2000" t="s">
        <v>66</v>
      </c>
      <c r="R2000" s="1">
        <v>46230</v>
      </c>
      <c r="S2000" t="s">
        <v>841</v>
      </c>
      <c r="T2000" t="s">
        <v>913</v>
      </c>
      <c r="U2000" t="s">
        <v>843</v>
      </c>
      <c r="V2000" t="s">
        <v>66</v>
      </c>
      <c r="W2000" t="s">
        <v>66</v>
      </c>
      <c r="X2000">
        <v>324576</v>
      </c>
      <c r="Y2000">
        <v>35703.360000000001</v>
      </c>
      <c r="Z2000">
        <v>29694</v>
      </c>
      <c r="AA2000">
        <v>3266.34</v>
      </c>
      <c r="AB2000">
        <v>360279.36</v>
      </c>
      <c r="AC2000">
        <v>3</v>
      </c>
      <c r="AD2000" t="s">
        <v>82</v>
      </c>
      <c r="AE2000">
        <v>3</v>
      </c>
      <c r="AF2000" t="s">
        <v>746</v>
      </c>
      <c r="AG2000">
        <f>IFERROR(VLOOKUP(AF2000,[1]STOK!J:O,6,0),"")</f>
        <v>24</v>
      </c>
      <c r="AH2000" s="2">
        <f t="shared" si="62"/>
        <v>0.125</v>
      </c>
      <c r="AI2000" t="s">
        <v>746</v>
      </c>
      <c r="AJ2000" t="s">
        <v>747</v>
      </c>
      <c r="AK2000" t="s">
        <v>748</v>
      </c>
      <c r="AL2000" t="s">
        <v>86</v>
      </c>
      <c r="AM2000">
        <v>11211</v>
      </c>
      <c r="AN2000">
        <f t="shared" si="63"/>
        <v>10986.779999999999</v>
      </c>
      <c r="AO2000" t="s">
        <v>66</v>
      </c>
      <c r="AP2000">
        <v>2</v>
      </c>
      <c r="AQ2000" t="s">
        <v>66</v>
      </c>
      <c r="AR2000">
        <v>0</v>
      </c>
      <c r="AS2000" t="s">
        <v>66</v>
      </c>
      <c r="AT2000">
        <v>0</v>
      </c>
      <c r="AU2000" t="s">
        <v>66</v>
      </c>
      <c r="AV2000">
        <v>0</v>
      </c>
      <c r="AW2000" t="s">
        <v>66</v>
      </c>
      <c r="AX2000">
        <v>0</v>
      </c>
      <c r="AY2000" t="s">
        <v>66</v>
      </c>
      <c r="AZ2000">
        <v>0</v>
      </c>
      <c r="BA2000" t="s">
        <v>66</v>
      </c>
      <c r="BB2000">
        <v>0</v>
      </c>
      <c r="BC2000">
        <v>0</v>
      </c>
      <c r="BD2000">
        <v>32960.339999999997</v>
      </c>
      <c r="BE2000">
        <v>8992.76</v>
      </c>
      <c r="BF2000">
        <v>0</v>
      </c>
      <c r="BG2000" t="s">
        <v>87</v>
      </c>
      <c r="BH2000" t="s">
        <v>66</v>
      </c>
      <c r="BI2000">
        <v>0</v>
      </c>
      <c r="BJ2000" t="s">
        <v>66</v>
      </c>
      <c r="BK2000" t="s">
        <v>88</v>
      </c>
      <c r="BL2000" t="s">
        <v>742</v>
      </c>
      <c r="BM2000" t="s">
        <v>159</v>
      </c>
    </row>
    <row r="2001" spans="1:65" x14ac:dyDescent="0.25">
      <c r="A2001">
        <v>1999</v>
      </c>
      <c r="B2001" t="s">
        <v>1945</v>
      </c>
      <c r="C2001" t="s">
        <v>68</v>
      </c>
      <c r="D2001" s="1">
        <v>46230</v>
      </c>
      <c r="E2001" t="s">
        <v>1946</v>
      </c>
      <c r="F2001" t="s">
        <v>68</v>
      </c>
      <c r="G2001" t="s">
        <v>295</v>
      </c>
      <c r="H2001" t="s">
        <v>296</v>
      </c>
      <c r="I2001" t="s">
        <v>71</v>
      </c>
      <c r="J2001" t="s">
        <v>72</v>
      </c>
      <c r="K2001" t="s">
        <v>73</v>
      </c>
      <c r="L2001" t="s">
        <v>74</v>
      </c>
      <c r="M2001" t="s">
        <v>909</v>
      </c>
      <c r="N2001" t="s">
        <v>76</v>
      </c>
      <c r="O2001" t="s">
        <v>910</v>
      </c>
      <c r="P2001" t="s">
        <v>911</v>
      </c>
      <c r="Q2001" t="s">
        <v>66</v>
      </c>
      <c r="R2001" s="1">
        <v>46230</v>
      </c>
      <c r="S2001" t="s">
        <v>841</v>
      </c>
      <c r="T2001" t="s">
        <v>913</v>
      </c>
      <c r="U2001" t="s">
        <v>843</v>
      </c>
      <c r="V2001" t="s">
        <v>66</v>
      </c>
      <c r="W2001" t="s">
        <v>66</v>
      </c>
      <c r="X2001">
        <v>324576</v>
      </c>
      <c r="Y2001">
        <v>35703.360000000001</v>
      </c>
      <c r="Z2001">
        <v>23226</v>
      </c>
      <c r="AA2001">
        <v>2554.86</v>
      </c>
      <c r="AB2001">
        <v>360279.36</v>
      </c>
      <c r="AC2001">
        <v>3</v>
      </c>
      <c r="AD2001" t="s">
        <v>82</v>
      </c>
      <c r="AE2001">
        <v>3</v>
      </c>
      <c r="AF2001" t="s">
        <v>199</v>
      </c>
      <c r="AG2001">
        <f>IFERROR(VLOOKUP(AF2001,[1]STOK!J:O,6,0),"")</f>
        <v>24</v>
      </c>
      <c r="AH2001" s="2">
        <f t="shared" si="62"/>
        <v>0.125</v>
      </c>
      <c r="AI2001" t="s">
        <v>199</v>
      </c>
      <c r="AJ2001" t="s">
        <v>200</v>
      </c>
      <c r="AK2001" t="s">
        <v>201</v>
      </c>
      <c r="AL2001" t="s">
        <v>86</v>
      </c>
      <c r="AM2001">
        <v>8769</v>
      </c>
      <c r="AN2001">
        <f t="shared" si="63"/>
        <v>8593.6200000000008</v>
      </c>
      <c r="AO2001" t="s">
        <v>66</v>
      </c>
      <c r="AP2001">
        <v>2</v>
      </c>
      <c r="AQ2001" t="s">
        <v>66</v>
      </c>
      <c r="AR2001">
        <v>0</v>
      </c>
      <c r="AS2001" t="s">
        <v>66</v>
      </c>
      <c r="AT2001">
        <v>0</v>
      </c>
      <c r="AU2001" t="s">
        <v>66</v>
      </c>
      <c r="AV2001">
        <v>0</v>
      </c>
      <c r="AW2001" t="s">
        <v>66</v>
      </c>
      <c r="AX2001">
        <v>0</v>
      </c>
      <c r="AY2001" t="s">
        <v>66</v>
      </c>
      <c r="AZ2001">
        <v>0</v>
      </c>
      <c r="BA2001" t="s">
        <v>66</v>
      </c>
      <c r="BB2001">
        <v>0</v>
      </c>
      <c r="BC2001">
        <v>0</v>
      </c>
      <c r="BD2001">
        <v>25780.86</v>
      </c>
      <c r="BE2001">
        <v>7134.31</v>
      </c>
      <c r="BF2001">
        <v>0</v>
      </c>
      <c r="BG2001" t="s">
        <v>87</v>
      </c>
      <c r="BH2001" t="s">
        <v>66</v>
      </c>
      <c r="BI2001">
        <v>0</v>
      </c>
      <c r="BJ2001" t="s">
        <v>66</v>
      </c>
      <c r="BK2001" t="s">
        <v>88</v>
      </c>
      <c r="BL2001" t="s">
        <v>742</v>
      </c>
      <c r="BM2001" t="s">
        <v>159</v>
      </c>
    </row>
    <row r="2002" spans="1:65" x14ac:dyDescent="0.25">
      <c r="A2002">
        <v>2000</v>
      </c>
      <c r="B2002" t="s">
        <v>1945</v>
      </c>
      <c r="C2002" t="s">
        <v>68</v>
      </c>
      <c r="D2002" s="1">
        <v>46230</v>
      </c>
      <c r="E2002" t="s">
        <v>1946</v>
      </c>
      <c r="F2002" t="s">
        <v>68</v>
      </c>
      <c r="G2002" t="s">
        <v>295</v>
      </c>
      <c r="H2002" t="s">
        <v>296</v>
      </c>
      <c r="I2002" t="s">
        <v>71</v>
      </c>
      <c r="J2002" t="s">
        <v>72</v>
      </c>
      <c r="K2002" t="s">
        <v>73</v>
      </c>
      <c r="L2002" t="s">
        <v>74</v>
      </c>
      <c r="M2002" t="s">
        <v>909</v>
      </c>
      <c r="N2002" t="s">
        <v>76</v>
      </c>
      <c r="O2002" t="s">
        <v>910</v>
      </c>
      <c r="P2002" t="s">
        <v>911</v>
      </c>
      <c r="Q2002" t="s">
        <v>66</v>
      </c>
      <c r="R2002" s="1">
        <v>46230</v>
      </c>
      <c r="S2002" t="s">
        <v>841</v>
      </c>
      <c r="T2002" t="s">
        <v>913</v>
      </c>
      <c r="U2002" t="s">
        <v>843</v>
      </c>
      <c r="V2002" t="s">
        <v>66</v>
      </c>
      <c r="W2002" t="s">
        <v>66</v>
      </c>
      <c r="X2002">
        <v>324576</v>
      </c>
      <c r="Y2002">
        <v>35703.360000000001</v>
      </c>
      <c r="Z2002">
        <v>48510</v>
      </c>
      <c r="AA2002">
        <v>5336.1</v>
      </c>
      <c r="AB2002">
        <v>360279.36</v>
      </c>
      <c r="AC2002">
        <v>3</v>
      </c>
      <c r="AD2002" t="s">
        <v>82</v>
      </c>
      <c r="AE2002">
        <v>3</v>
      </c>
      <c r="AF2002" t="s">
        <v>96</v>
      </c>
      <c r="AG2002">
        <f>IFERROR(VLOOKUP(AF2002,[1]STOK!J:O,6,0),"")</f>
        <v>24</v>
      </c>
      <c r="AH2002" s="2">
        <f t="shared" si="62"/>
        <v>0.125</v>
      </c>
      <c r="AI2002" t="s">
        <v>96</v>
      </c>
      <c r="AJ2002" t="s">
        <v>97</v>
      </c>
      <c r="AK2002" t="s">
        <v>98</v>
      </c>
      <c r="AL2002" t="s">
        <v>86</v>
      </c>
      <c r="AM2002">
        <v>18315</v>
      </c>
      <c r="AN2002">
        <f t="shared" si="63"/>
        <v>17948.7</v>
      </c>
      <c r="AO2002" t="s">
        <v>66</v>
      </c>
      <c r="AP2002">
        <v>2</v>
      </c>
      <c r="AQ2002" t="s">
        <v>66</v>
      </c>
      <c r="AR2002">
        <v>0</v>
      </c>
      <c r="AS2002" t="s">
        <v>66</v>
      </c>
      <c r="AT2002">
        <v>0</v>
      </c>
      <c r="AU2002" t="s">
        <v>66</v>
      </c>
      <c r="AV2002">
        <v>0</v>
      </c>
      <c r="AW2002" t="s">
        <v>66</v>
      </c>
      <c r="AX2002">
        <v>0</v>
      </c>
      <c r="AY2002" t="s">
        <v>66</v>
      </c>
      <c r="AZ2002">
        <v>0</v>
      </c>
      <c r="BA2002" t="s">
        <v>66</v>
      </c>
      <c r="BB2002">
        <v>0</v>
      </c>
      <c r="BC2002">
        <v>0</v>
      </c>
      <c r="BD2002">
        <v>53846.1</v>
      </c>
      <c r="BE2002">
        <v>14924.54</v>
      </c>
      <c r="BF2002">
        <v>0</v>
      </c>
      <c r="BG2002" t="s">
        <v>87</v>
      </c>
      <c r="BH2002" t="s">
        <v>66</v>
      </c>
      <c r="BI2002">
        <v>0</v>
      </c>
      <c r="BJ2002" t="s">
        <v>66</v>
      </c>
      <c r="BK2002" t="s">
        <v>88</v>
      </c>
      <c r="BL2002" t="s">
        <v>742</v>
      </c>
      <c r="BM2002" t="s">
        <v>159</v>
      </c>
    </row>
    <row r="2003" spans="1:65" x14ac:dyDescent="0.25">
      <c r="A2003">
        <v>2001</v>
      </c>
      <c r="B2003" t="s">
        <v>1945</v>
      </c>
      <c r="C2003" t="s">
        <v>68</v>
      </c>
      <c r="D2003" s="1">
        <v>46230</v>
      </c>
      <c r="E2003" t="s">
        <v>1946</v>
      </c>
      <c r="F2003" t="s">
        <v>68</v>
      </c>
      <c r="G2003" t="s">
        <v>295</v>
      </c>
      <c r="H2003" t="s">
        <v>296</v>
      </c>
      <c r="I2003" t="s">
        <v>71</v>
      </c>
      <c r="J2003" t="s">
        <v>72</v>
      </c>
      <c r="K2003" t="s">
        <v>73</v>
      </c>
      <c r="L2003" t="s">
        <v>74</v>
      </c>
      <c r="M2003" t="s">
        <v>909</v>
      </c>
      <c r="N2003" t="s">
        <v>76</v>
      </c>
      <c r="O2003" t="s">
        <v>910</v>
      </c>
      <c r="P2003" t="s">
        <v>911</v>
      </c>
      <c r="Q2003" t="s">
        <v>66</v>
      </c>
      <c r="R2003" s="1">
        <v>46230</v>
      </c>
      <c r="S2003" t="s">
        <v>841</v>
      </c>
      <c r="T2003" t="s">
        <v>913</v>
      </c>
      <c r="U2003" t="s">
        <v>843</v>
      </c>
      <c r="V2003" t="s">
        <v>66</v>
      </c>
      <c r="W2003" t="s">
        <v>66</v>
      </c>
      <c r="X2003">
        <v>324576</v>
      </c>
      <c r="Y2003">
        <v>35703.360000000001</v>
      </c>
      <c r="Z2003">
        <v>117600</v>
      </c>
      <c r="AA2003">
        <v>12936</v>
      </c>
      <c r="AB2003">
        <v>360279.36</v>
      </c>
      <c r="AC2003">
        <v>6</v>
      </c>
      <c r="AD2003" t="s">
        <v>82</v>
      </c>
      <c r="AE2003">
        <v>6</v>
      </c>
      <c r="AF2003" t="s">
        <v>290</v>
      </c>
      <c r="AG2003">
        <f>IFERROR(VLOOKUP(AF2003,[1]STOK!J:O,6,0),"")</f>
        <v>12</v>
      </c>
      <c r="AH2003" s="2">
        <f t="shared" si="62"/>
        <v>0.5</v>
      </c>
      <c r="AI2003" t="s">
        <v>290</v>
      </c>
      <c r="AJ2003" t="s">
        <v>291</v>
      </c>
      <c r="AK2003" t="s">
        <v>292</v>
      </c>
      <c r="AL2003" t="s">
        <v>86</v>
      </c>
      <c r="AM2003">
        <v>22200</v>
      </c>
      <c r="AN2003">
        <f t="shared" si="63"/>
        <v>21756</v>
      </c>
      <c r="AO2003" t="s">
        <v>66</v>
      </c>
      <c r="AP2003">
        <v>2</v>
      </c>
      <c r="AQ2003" t="s">
        <v>66</v>
      </c>
      <c r="AR2003">
        <v>0</v>
      </c>
      <c r="AS2003" t="s">
        <v>66</v>
      </c>
      <c r="AT2003">
        <v>0</v>
      </c>
      <c r="AU2003" t="s">
        <v>66</v>
      </c>
      <c r="AV2003">
        <v>0</v>
      </c>
      <c r="AW2003" t="s">
        <v>66</v>
      </c>
      <c r="AX2003">
        <v>0</v>
      </c>
      <c r="AY2003" t="s">
        <v>66</v>
      </c>
      <c r="AZ2003">
        <v>0</v>
      </c>
      <c r="BA2003" t="s">
        <v>66</v>
      </c>
      <c r="BB2003">
        <v>0</v>
      </c>
      <c r="BC2003">
        <v>0</v>
      </c>
      <c r="BD2003">
        <v>130536</v>
      </c>
      <c r="BE2003">
        <v>18113.71</v>
      </c>
      <c r="BF2003">
        <v>0</v>
      </c>
      <c r="BG2003" t="s">
        <v>87</v>
      </c>
      <c r="BH2003" t="s">
        <v>66</v>
      </c>
      <c r="BI2003">
        <v>0</v>
      </c>
      <c r="BJ2003" t="s">
        <v>66</v>
      </c>
      <c r="BK2003" t="s">
        <v>88</v>
      </c>
      <c r="BL2003" t="s">
        <v>742</v>
      </c>
      <c r="BM2003" t="s">
        <v>159</v>
      </c>
    </row>
    <row r="2004" spans="1:65" x14ac:dyDescent="0.25">
      <c r="A2004">
        <v>2002</v>
      </c>
      <c r="B2004" t="s">
        <v>1947</v>
      </c>
      <c r="C2004" t="s">
        <v>68</v>
      </c>
      <c r="D2004" s="1">
        <v>46230</v>
      </c>
      <c r="E2004" t="s">
        <v>1948</v>
      </c>
      <c r="F2004" t="s">
        <v>68</v>
      </c>
      <c r="G2004" t="s">
        <v>295</v>
      </c>
      <c r="H2004" t="s">
        <v>296</v>
      </c>
      <c r="I2004" t="s">
        <v>71</v>
      </c>
      <c r="J2004" t="s">
        <v>72</v>
      </c>
      <c r="K2004" t="s">
        <v>73</v>
      </c>
      <c r="L2004" t="s">
        <v>74</v>
      </c>
      <c r="M2004" t="s">
        <v>1397</v>
      </c>
      <c r="N2004" t="s">
        <v>76</v>
      </c>
      <c r="O2004" t="s">
        <v>1398</v>
      </c>
      <c r="P2004" t="s">
        <v>1399</v>
      </c>
      <c r="Q2004" t="s">
        <v>66</v>
      </c>
      <c r="R2004" s="1">
        <v>46230</v>
      </c>
      <c r="S2004" t="s">
        <v>841</v>
      </c>
      <c r="T2004" t="s">
        <v>842</v>
      </c>
      <c r="U2004" t="s">
        <v>843</v>
      </c>
      <c r="V2004" t="s">
        <v>66</v>
      </c>
      <c r="W2004" t="s">
        <v>66</v>
      </c>
      <c r="X2004">
        <v>142982</v>
      </c>
      <c r="Y2004">
        <v>15728.02</v>
      </c>
      <c r="Z2004">
        <v>36064</v>
      </c>
      <c r="AA2004">
        <v>3967.04</v>
      </c>
      <c r="AB2004">
        <v>158710.01999999999</v>
      </c>
      <c r="AC2004">
        <v>2</v>
      </c>
      <c r="AD2004" t="s">
        <v>82</v>
      </c>
      <c r="AE2004">
        <v>2</v>
      </c>
      <c r="AF2004" t="s">
        <v>720</v>
      </c>
      <c r="AG2004">
        <f>IFERROR(VLOOKUP(AF2004,[1]STOK!J:O,6,0),"")</f>
        <v>12</v>
      </c>
      <c r="AH2004" s="2">
        <f t="shared" si="62"/>
        <v>0.16666666666666666</v>
      </c>
      <c r="AI2004" t="s">
        <v>720</v>
      </c>
      <c r="AJ2004" t="s">
        <v>721</v>
      </c>
      <c r="AK2004" t="s">
        <v>722</v>
      </c>
      <c r="AL2004" t="s">
        <v>86</v>
      </c>
      <c r="AM2004">
        <v>20424</v>
      </c>
      <c r="AN2004">
        <f t="shared" si="63"/>
        <v>20015.52</v>
      </c>
      <c r="AO2004" t="s">
        <v>66</v>
      </c>
      <c r="AP2004">
        <v>2</v>
      </c>
      <c r="AQ2004" t="s">
        <v>66</v>
      </c>
      <c r="AR2004">
        <v>0</v>
      </c>
      <c r="AS2004" t="s">
        <v>66</v>
      </c>
      <c r="AT2004">
        <v>0</v>
      </c>
      <c r="AU2004" t="s">
        <v>66</v>
      </c>
      <c r="AV2004">
        <v>0</v>
      </c>
      <c r="AW2004" t="s">
        <v>66</v>
      </c>
      <c r="AX2004">
        <v>0</v>
      </c>
      <c r="AY2004" t="s">
        <v>66</v>
      </c>
      <c r="AZ2004">
        <v>0</v>
      </c>
      <c r="BA2004" t="s">
        <v>66</v>
      </c>
      <c r="BB2004">
        <v>0</v>
      </c>
      <c r="BC2004">
        <v>0</v>
      </c>
      <c r="BD2004">
        <v>40031.040000000001</v>
      </c>
      <c r="BE2004">
        <v>16603.169999999998</v>
      </c>
      <c r="BF2004">
        <v>0</v>
      </c>
      <c r="BG2004" t="s">
        <v>87</v>
      </c>
      <c r="BH2004" t="s">
        <v>66</v>
      </c>
      <c r="BI2004">
        <v>0</v>
      </c>
      <c r="BJ2004" t="s">
        <v>66</v>
      </c>
      <c r="BK2004" t="s">
        <v>88</v>
      </c>
      <c r="BL2004" t="s">
        <v>719</v>
      </c>
      <c r="BM2004" t="s">
        <v>159</v>
      </c>
    </row>
    <row r="2005" spans="1:65" x14ac:dyDescent="0.25">
      <c r="A2005">
        <v>2003</v>
      </c>
      <c r="B2005" t="s">
        <v>1947</v>
      </c>
      <c r="C2005" t="s">
        <v>68</v>
      </c>
      <c r="D2005" s="1">
        <v>46230</v>
      </c>
      <c r="E2005" t="s">
        <v>1948</v>
      </c>
      <c r="F2005" t="s">
        <v>68</v>
      </c>
      <c r="G2005" t="s">
        <v>295</v>
      </c>
      <c r="H2005" t="s">
        <v>296</v>
      </c>
      <c r="I2005" t="s">
        <v>71</v>
      </c>
      <c r="J2005" t="s">
        <v>72</v>
      </c>
      <c r="K2005" t="s">
        <v>73</v>
      </c>
      <c r="L2005" t="s">
        <v>74</v>
      </c>
      <c r="M2005" t="s">
        <v>1397</v>
      </c>
      <c r="N2005" t="s">
        <v>76</v>
      </c>
      <c r="O2005" t="s">
        <v>1398</v>
      </c>
      <c r="P2005" t="s">
        <v>1399</v>
      </c>
      <c r="Q2005" t="s">
        <v>66</v>
      </c>
      <c r="R2005" s="1">
        <v>46230</v>
      </c>
      <c r="S2005" t="s">
        <v>841</v>
      </c>
      <c r="T2005" t="s">
        <v>842</v>
      </c>
      <c r="U2005" t="s">
        <v>843</v>
      </c>
      <c r="V2005" t="s">
        <v>66</v>
      </c>
      <c r="W2005" t="s">
        <v>66</v>
      </c>
      <c r="X2005">
        <v>142982</v>
      </c>
      <c r="Y2005">
        <v>15728.02</v>
      </c>
      <c r="Z2005">
        <v>15484</v>
      </c>
      <c r="AA2005">
        <v>1703.24</v>
      </c>
      <c r="AB2005">
        <v>158710.01999999999</v>
      </c>
      <c r="AC2005">
        <v>2</v>
      </c>
      <c r="AD2005" t="s">
        <v>82</v>
      </c>
      <c r="AE2005">
        <v>2</v>
      </c>
      <c r="AF2005" t="s">
        <v>199</v>
      </c>
      <c r="AG2005">
        <f>IFERROR(VLOOKUP(AF2005,[1]STOK!J:O,6,0),"")</f>
        <v>24</v>
      </c>
      <c r="AH2005" s="2">
        <f t="shared" si="62"/>
        <v>8.3333333333333329E-2</v>
      </c>
      <c r="AI2005" t="s">
        <v>199</v>
      </c>
      <c r="AJ2005" t="s">
        <v>200</v>
      </c>
      <c r="AK2005" t="s">
        <v>201</v>
      </c>
      <c r="AL2005" t="s">
        <v>86</v>
      </c>
      <c r="AM2005">
        <v>8769</v>
      </c>
      <c r="AN2005">
        <f t="shared" si="63"/>
        <v>8593.6200000000008</v>
      </c>
      <c r="AO2005" t="s">
        <v>66</v>
      </c>
      <c r="AP2005">
        <v>2</v>
      </c>
      <c r="AQ2005" t="s">
        <v>66</v>
      </c>
      <c r="AR2005">
        <v>0</v>
      </c>
      <c r="AS2005" t="s">
        <v>66</v>
      </c>
      <c r="AT2005">
        <v>0</v>
      </c>
      <c r="AU2005" t="s">
        <v>66</v>
      </c>
      <c r="AV2005">
        <v>0</v>
      </c>
      <c r="AW2005" t="s">
        <v>66</v>
      </c>
      <c r="AX2005">
        <v>0</v>
      </c>
      <c r="AY2005" t="s">
        <v>66</v>
      </c>
      <c r="AZ2005">
        <v>0</v>
      </c>
      <c r="BA2005" t="s">
        <v>66</v>
      </c>
      <c r="BB2005">
        <v>0</v>
      </c>
      <c r="BC2005">
        <v>0</v>
      </c>
      <c r="BD2005">
        <v>17187.240000000002</v>
      </c>
      <c r="BE2005">
        <v>7134.31</v>
      </c>
      <c r="BF2005">
        <v>0</v>
      </c>
      <c r="BG2005" t="s">
        <v>87</v>
      </c>
      <c r="BH2005" t="s">
        <v>66</v>
      </c>
      <c r="BI2005">
        <v>0</v>
      </c>
      <c r="BJ2005" t="s">
        <v>66</v>
      </c>
      <c r="BK2005" t="s">
        <v>88</v>
      </c>
      <c r="BL2005" t="s">
        <v>719</v>
      </c>
      <c r="BM2005" t="s">
        <v>159</v>
      </c>
    </row>
    <row r="2006" spans="1:65" x14ac:dyDescent="0.25">
      <c r="A2006">
        <v>2004</v>
      </c>
      <c r="B2006" t="s">
        <v>1947</v>
      </c>
      <c r="C2006" t="s">
        <v>68</v>
      </c>
      <c r="D2006" s="1">
        <v>46230</v>
      </c>
      <c r="E2006" t="s">
        <v>1948</v>
      </c>
      <c r="F2006" t="s">
        <v>68</v>
      </c>
      <c r="G2006" t="s">
        <v>295</v>
      </c>
      <c r="H2006" t="s">
        <v>296</v>
      </c>
      <c r="I2006" t="s">
        <v>71</v>
      </c>
      <c r="J2006" t="s">
        <v>72</v>
      </c>
      <c r="K2006" t="s">
        <v>73</v>
      </c>
      <c r="L2006" t="s">
        <v>74</v>
      </c>
      <c r="M2006" t="s">
        <v>1397</v>
      </c>
      <c r="N2006" t="s">
        <v>76</v>
      </c>
      <c r="O2006" t="s">
        <v>1398</v>
      </c>
      <c r="P2006" t="s">
        <v>1399</v>
      </c>
      <c r="Q2006" t="s">
        <v>66</v>
      </c>
      <c r="R2006" s="1">
        <v>46230</v>
      </c>
      <c r="S2006" t="s">
        <v>841</v>
      </c>
      <c r="T2006" t="s">
        <v>842</v>
      </c>
      <c r="U2006" t="s">
        <v>843</v>
      </c>
      <c r="V2006" t="s">
        <v>66</v>
      </c>
      <c r="W2006" t="s">
        <v>66</v>
      </c>
      <c r="X2006">
        <v>142982</v>
      </c>
      <c r="Y2006">
        <v>15728.02</v>
      </c>
      <c r="Z2006">
        <v>19992</v>
      </c>
      <c r="AA2006">
        <v>2199.12</v>
      </c>
      <c r="AB2006">
        <v>158710.01999999999</v>
      </c>
      <c r="AC2006">
        <v>2</v>
      </c>
      <c r="AD2006" t="s">
        <v>82</v>
      </c>
      <c r="AE2006">
        <v>2</v>
      </c>
      <c r="AF2006" t="s">
        <v>670</v>
      </c>
      <c r="AG2006">
        <f>IFERROR(VLOOKUP(AF2006,[1]STOK!J:O,6,0),"")</f>
        <v>24</v>
      </c>
      <c r="AH2006" s="2">
        <f t="shared" si="62"/>
        <v>8.3333333333333329E-2</v>
      </c>
      <c r="AI2006" t="s">
        <v>670</v>
      </c>
      <c r="AJ2006" t="s">
        <v>671</v>
      </c>
      <c r="AK2006" t="s">
        <v>672</v>
      </c>
      <c r="AL2006" t="s">
        <v>86</v>
      </c>
      <c r="AM2006">
        <v>11322</v>
      </c>
      <c r="AN2006">
        <f t="shared" si="63"/>
        <v>11095.56</v>
      </c>
      <c r="AO2006" t="s">
        <v>66</v>
      </c>
      <c r="AP2006">
        <v>2</v>
      </c>
      <c r="AQ2006" t="s">
        <v>66</v>
      </c>
      <c r="AR2006">
        <v>0</v>
      </c>
      <c r="AS2006" t="s">
        <v>66</v>
      </c>
      <c r="AT2006">
        <v>0</v>
      </c>
      <c r="AU2006" t="s">
        <v>66</v>
      </c>
      <c r="AV2006">
        <v>0</v>
      </c>
      <c r="AW2006" t="s">
        <v>66</v>
      </c>
      <c r="AX2006">
        <v>0</v>
      </c>
      <c r="AY2006" t="s">
        <v>66</v>
      </c>
      <c r="AZ2006">
        <v>0</v>
      </c>
      <c r="BA2006" t="s">
        <v>66</v>
      </c>
      <c r="BB2006">
        <v>0</v>
      </c>
      <c r="BC2006">
        <v>0</v>
      </c>
      <c r="BD2006">
        <v>22191.119999999999</v>
      </c>
      <c r="BE2006">
        <v>9144.75</v>
      </c>
      <c r="BF2006">
        <v>0</v>
      </c>
      <c r="BG2006" t="s">
        <v>87</v>
      </c>
      <c r="BH2006" t="s">
        <v>66</v>
      </c>
      <c r="BI2006">
        <v>0</v>
      </c>
      <c r="BJ2006" t="s">
        <v>66</v>
      </c>
      <c r="BK2006" t="s">
        <v>88</v>
      </c>
      <c r="BL2006" t="s">
        <v>719</v>
      </c>
      <c r="BM2006" t="s">
        <v>159</v>
      </c>
    </row>
    <row r="2007" spans="1:65" x14ac:dyDescent="0.25">
      <c r="A2007">
        <v>2005</v>
      </c>
      <c r="B2007" t="s">
        <v>1947</v>
      </c>
      <c r="C2007" t="s">
        <v>68</v>
      </c>
      <c r="D2007" s="1">
        <v>46230</v>
      </c>
      <c r="E2007" t="s">
        <v>1948</v>
      </c>
      <c r="F2007" t="s">
        <v>68</v>
      </c>
      <c r="G2007" t="s">
        <v>295</v>
      </c>
      <c r="H2007" t="s">
        <v>296</v>
      </c>
      <c r="I2007" t="s">
        <v>71</v>
      </c>
      <c r="J2007" t="s">
        <v>72</v>
      </c>
      <c r="K2007" t="s">
        <v>73</v>
      </c>
      <c r="L2007" t="s">
        <v>74</v>
      </c>
      <c r="M2007" t="s">
        <v>1397</v>
      </c>
      <c r="N2007" t="s">
        <v>76</v>
      </c>
      <c r="O2007" t="s">
        <v>1398</v>
      </c>
      <c r="P2007" t="s">
        <v>1399</v>
      </c>
      <c r="Q2007" t="s">
        <v>66</v>
      </c>
      <c r="R2007" s="1">
        <v>46230</v>
      </c>
      <c r="S2007" t="s">
        <v>841</v>
      </c>
      <c r="T2007" t="s">
        <v>842</v>
      </c>
      <c r="U2007" t="s">
        <v>843</v>
      </c>
      <c r="V2007" t="s">
        <v>66</v>
      </c>
      <c r="W2007" t="s">
        <v>66</v>
      </c>
      <c r="X2007">
        <v>142982</v>
      </c>
      <c r="Y2007">
        <v>15728.02</v>
      </c>
      <c r="Z2007">
        <v>32340</v>
      </c>
      <c r="AA2007">
        <v>3557.4</v>
      </c>
      <c r="AB2007">
        <v>158710.01999999999</v>
      </c>
      <c r="AC2007">
        <v>2</v>
      </c>
      <c r="AD2007" t="s">
        <v>82</v>
      </c>
      <c r="AE2007">
        <v>2</v>
      </c>
      <c r="AF2007" t="s">
        <v>128</v>
      </c>
      <c r="AG2007">
        <f>IFERROR(VLOOKUP(AF2007,[1]STOK!J:O,6,0),"")</f>
        <v>24</v>
      </c>
      <c r="AH2007" s="2">
        <f t="shared" si="62"/>
        <v>8.3333333333333329E-2</v>
      </c>
      <c r="AI2007" t="s">
        <v>128</v>
      </c>
      <c r="AJ2007" t="s">
        <v>129</v>
      </c>
      <c r="AK2007" t="s">
        <v>130</v>
      </c>
      <c r="AL2007" t="s">
        <v>86</v>
      </c>
      <c r="AM2007">
        <v>18315</v>
      </c>
      <c r="AN2007">
        <f t="shared" si="63"/>
        <v>17948.7</v>
      </c>
      <c r="AO2007" t="s">
        <v>66</v>
      </c>
      <c r="AP2007">
        <v>2</v>
      </c>
      <c r="AQ2007" t="s">
        <v>66</v>
      </c>
      <c r="AR2007">
        <v>0</v>
      </c>
      <c r="AS2007" t="s">
        <v>66</v>
      </c>
      <c r="AT2007">
        <v>0</v>
      </c>
      <c r="AU2007" t="s">
        <v>66</v>
      </c>
      <c r="AV2007">
        <v>0</v>
      </c>
      <c r="AW2007" t="s">
        <v>66</v>
      </c>
      <c r="AX2007">
        <v>0</v>
      </c>
      <c r="AY2007" t="s">
        <v>66</v>
      </c>
      <c r="AZ2007">
        <v>0</v>
      </c>
      <c r="BA2007" t="s">
        <v>66</v>
      </c>
      <c r="BB2007">
        <v>0</v>
      </c>
      <c r="BC2007">
        <v>0</v>
      </c>
      <c r="BD2007">
        <v>35897.4</v>
      </c>
      <c r="BE2007">
        <v>14887.43</v>
      </c>
      <c r="BF2007">
        <v>0</v>
      </c>
      <c r="BG2007" t="s">
        <v>87</v>
      </c>
      <c r="BH2007" t="s">
        <v>66</v>
      </c>
      <c r="BI2007">
        <v>0</v>
      </c>
      <c r="BJ2007" t="s">
        <v>66</v>
      </c>
      <c r="BK2007" t="s">
        <v>88</v>
      </c>
      <c r="BL2007" t="s">
        <v>719</v>
      </c>
      <c r="BM2007" t="s">
        <v>159</v>
      </c>
    </row>
    <row r="2008" spans="1:65" x14ac:dyDescent="0.25">
      <c r="A2008">
        <v>2006</v>
      </c>
      <c r="B2008" t="s">
        <v>1947</v>
      </c>
      <c r="C2008" t="s">
        <v>68</v>
      </c>
      <c r="D2008" s="1">
        <v>46230</v>
      </c>
      <c r="E2008" t="s">
        <v>1948</v>
      </c>
      <c r="F2008" t="s">
        <v>68</v>
      </c>
      <c r="G2008" t="s">
        <v>295</v>
      </c>
      <c r="H2008" t="s">
        <v>296</v>
      </c>
      <c r="I2008" t="s">
        <v>71</v>
      </c>
      <c r="J2008" t="s">
        <v>72</v>
      </c>
      <c r="K2008" t="s">
        <v>73</v>
      </c>
      <c r="L2008" t="s">
        <v>74</v>
      </c>
      <c r="M2008" t="s">
        <v>1397</v>
      </c>
      <c r="N2008" t="s">
        <v>76</v>
      </c>
      <c r="O2008" t="s">
        <v>1398</v>
      </c>
      <c r="P2008" t="s">
        <v>1399</v>
      </c>
      <c r="Q2008" t="s">
        <v>66</v>
      </c>
      <c r="R2008" s="1">
        <v>46230</v>
      </c>
      <c r="S2008" t="s">
        <v>841</v>
      </c>
      <c r="T2008" t="s">
        <v>842</v>
      </c>
      <c r="U2008" t="s">
        <v>843</v>
      </c>
      <c r="V2008" t="s">
        <v>66</v>
      </c>
      <c r="W2008" t="s">
        <v>66</v>
      </c>
      <c r="X2008">
        <v>142982</v>
      </c>
      <c r="Y2008">
        <v>15728.02</v>
      </c>
      <c r="Z2008">
        <v>39102</v>
      </c>
      <c r="AA2008">
        <v>4301.22</v>
      </c>
      <c r="AB2008">
        <v>158710.01999999999</v>
      </c>
      <c r="AC2008">
        <v>3</v>
      </c>
      <c r="AD2008" t="s">
        <v>82</v>
      </c>
      <c r="AE2008">
        <v>3</v>
      </c>
      <c r="AF2008" t="s">
        <v>210</v>
      </c>
      <c r="AG2008">
        <f>IFERROR(VLOOKUP(AF2008,[1]STOK!J:O,6,0),"")</f>
        <v>12</v>
      </c>
      <c r="AH2008" s="2">
        <f t="shared" si="62"/>
        <v>0.25</v>
      </c>
      <c r="AI2008" t="s">
        <v>210</v>
      </c>
      <c r="AJ2008" t="s">
        <v>211</v>
      </c>
      <c r="AK2008" t="s">
        <v>212</v>
      </c>
      <c r="AL2008" t="s">
        <v>86</v>
      </c>
      <c r="AM2008">
        <v>14763</v>
      </c>
      <c r="AN2008">
        <f t="shared" si="63"/>
        <v>14467.74</v>
      </c>
      <c r="AO2008" t="s">
        <v>66</v>
      </c>
      <c r="AP2008">
        <v>2</v>
      </c>
      <c r="AQ2008" t="s">
        <v>66</v>
      </c>
      <c r="AR2008">
        <v>0</v>
      </c>
      <c r="AS2008" t="s">
        <v>66</v>
      </c>
      <c r="AT2008">
        <v>0</v>
      </c>
      <c r="AU2008" t="s">
        <v>66</v>
      </c>
      <c r="AV2008">
        <v>0</v>
      </c>
      <c r="AW2008" t="s">
        <v>66</v>
      </c>
      <c r="AX2008">
        <v>0</v>
      </c>
      <c r="AY2008" t="s">
        <v>66</v>
      </c>
      <c r="AZ2008">
        <v>0</v>
      </c>
      <c r="BA2008" t="s">
        <v>66</v>
      </c>
      <c r="BB2008">
        <v>0</v>
      </c>
      <c r="BC2008">
        <v>0</v>
      </c>
      <c r="BD2008">
        <v>43403.22</v>
      </c>
      <c r="BE2008">
        <v>11976.03</v>
      </c>
      <c r="BF2008">
        <v>0</v>
      </c>
      <c r="BG2008" t="s">
        <v>87</v>
      </c>
      <c r="BH2008" t="s">
        <v>66</v>
      </c>
      <c r="BI2008">
        <v>0</v>
      </c>
      <c r="BJ2008" t="s">
        <v>66</v>
      </c>
      <c r="BK2008" t="s">
        <v>88</v>
      </c>
      <c r="BL2008" t="s">
        <v>719</v>
      </c>
      <c r="BM2008" t="s">
        <v>159</v>
      </c>
    </row>
    <row r="2009" spans="1:65" x14ac:dyDescent="0.25">
      <c r="A2009">
        <v>2007</v>
      </c>
      <c r="B2009" t="s">
        <v>1949</v>
      </c>
      <c r="C2009" t="s">
        <v>68</v>
      </c>
      <c r="D2009" s="1">
        <v>46230</v>
      </c>
      <c r="E2009" t="s">
        <v>1950</v>
      </c>
      <c r="F2009" t="s">
        <v>68</v>
      </c>
      <c r="G2009" t="s">
        <v>295</v>
      </c>
      <c r="H2009" t="s">
        <v>296</v>
      </c>
      <c r="I2009" t="s">
        <v>71</v>
      </c>
      <c r="J2009" t="s">
        <v>72</v>
      </c>
      <c r="K2009" t="s">
        <v>73</v>
      </c>
      <c r="L2009" t="s">
        <v>74</v>
      </c>
      <c r="M2009" t="s">
        <v>1951</v>
      </c>
      <c r="N2009" t="s">
        <v>76</v>
      </c>
      <c r="O2009" t="s">
        <v>1952</v>
      </c>
      <c r="P2009" t="s">
        <v>1953</v>
      </c>
      <c r="Q2009" t="s">
        <v>1954</v>
      </c>
      <c r="R2009" s="1">
        <v>46232</v>
      </c>
      <c r="S2009" t="s">
        <v>841</v>
      </c>
      <c r="T2009" t="s">
        <v>842</v>
      </c>
      <c r="U2009" t="s">
        <v>843</v>
      </c>
      <c r="V2009" t="s">
        <v>66</v>
      </c>
      <c r="W2009" t="s">
        <v>66</v>
      </c>
      <c r="X2009">
        <v>592116</v>
      </c>
      <c r="Y2009">
        <v>65132.76</v>
      </c>
      <c r="Z2009">
        <v>54096</v>
      </c>
      <c r="AA2009">
        <v>5950.56</v>
      </c>
      <c r="AB2009">
        <v>657248.76</v>
      </c>
      <c r="AC2009">
        <v>3</v>
      </c>
      <c r="AD2009" t="s">
        <v>82</v>
      </c>
      <c r="AE2009">
        <v>3</v>
      </c>
      <c r="AF2009" t="s">
        <v>160</v>
      </c>
      <c r="AG2009">
        <f>IFERROR(VLOOKUP(AF2009,[1]STOK!J:O,6,0),"")</f>
        <v>12</v>
      </c>
      <c r="AH2009" s="2">
        <f t="shared" si="62"/>
        <v>0.25</v>
      </c>
      <c r="AI2009" t="s">
        <v>160</v>
      </c>
      <c r="AJ2009" t="s">
        <v>161</v>
      </c>
      <c r="AK2009" t="s">
        <v>162</v>
      </c>
      <c r="AL2009" t="s">
        <v>86</v>
      </c>
      <c r="AM2009">
        <v>20424</v>
      </c>
      <c r="AN2009">
        <f t="shared" si="63"/>
        <v>20015.52</v>
      </c>
      <c r="AO2009" t="s">
        <v>66</v>
      </c>
      <c r="AP2009">
        <v>2</v>
      </c>
      <c r="AQ2009" t="s">
        <v>66</v>
      </c>
      <c r="AR2009">
        <v>0</v>
      </c>
      <c r="AS2009" t="s">
        <v>66</v>
      </c>
      <c r="AT2009">
        <v>0</v>
      </c>
      <c r="AU2009" t="s">
        <v>66</v>
      </c>
      <c r="AV2009">
        <v>0</v>
      </c>
      <c r="AW2009" t="s">
        <v>66</v>
      </c>
      <c r="AX2009">
        <v>0</v>
      </c>
      <c r="AY2009" t="s">
        <v>66</v>
      </c>
      <c r="AZ2009">
        <v>0</v>
      </c>
      <c r="BA2009" t="s">
        <v>66</v>
      </c>
      <c r="BB2009">
        <v>0</v>
      </c>
      <c r="BC2009">
        <v>0</v>
      </c>
      <c r="BD2009">
        <v>60046.559999999998</v>
      </c>
      <c r="BE2009">
        <v>16599.93</v>
      </c>
      <c r="BF2009">
        <v>0</v>
      </c>
      <c r="BG2009" t="s">
        <v>87</v>
      </c>
      <c r="BH2009" t="s">
        <v>66</v>
      </c>
      <c r="BI2009">
        <v>0</v>
      </c>
      <c r="BJ2009" t="s">
        <v>66</v>
      </c>
      <c r="BK2009" t="s">
        <v>88</v>
      </c>
      <c r="BL2009" t="s">
        <v>719</v>
      </c>
      <c r="BM2009" t="s">
        <v>159</v>
      </c>
    </row>
    <row r="2010" spans="1:65" x14ac:dyDescent="0.25">
      <c r="A2010">
        <v>2008</v>
      </c>
      <c r="B2010" t="s">
        <v>1949</v>
      </c>
      <c r="C2010" t="s">
        <v>68</v>
      </c>
      <c r="D2010" s="1">
        <v>46230</v>
      </c>
      <c r="E2010" t="s">
        <v>1950</v>
      </c>
      <c r="F2010" t="s">
        <v>68</v>
      </c>
      <c r="G2010" t="s">
        <v>295</v>
      </c>
      <c r="H2010" t="s">
        <v>296</v>
      </c>
      <c r="I2010" t="s">
        <v>71</v>
      </c>
      <c r="J2010" t="s">
        <v>72</v>
      </c>
      <c r="K2010" t="s">
        <v>73</v>
      </c>
      <c r="L2010" t="s">
        <v>74</v>
      </c>
      <c r="M2010" t="s">
        <v>1951</v>
      </c>
      <c r="N2010" t="s">
        <v>76</v>
      </c>
      <c r="O2010" t="s">
        <v>1952</v>
      </c>
      <c r="P2010" t="s">
        <v>1953</v>
      </c>
      <c r="Q2010" t="s">
        <v>1954</v>
      </c>
      <c r="R2010" s="1">
        <v>46232</v>
      </c>
      <c r="S2010" t="s">
        <v>841</v>
      </c>
      <c r="T2010" t="s">
        <v>842</v>
      </c>
      <c r="U2010" t="s">
        <v>843</v>
      </c>
      <c r="V2010" t="s">
        <v>66</v>
      </c>
      <c r="W2010" t="s">
        <v>66</v>
      </c>
      <c r="X2010">
        <v>592116</v>
      </c>
      <c r="Y2010">
        <v>65132.76</v>
      </c>
      <c r="Z2010">
        <v>54096</v>
      </c>
      <c r="AA2010">
        <v>5950.56</v>
      </c>
      <c r="AB2010">
        <v>657248.76</v>
      </c>
      <c r="AC2010">
        <v>3</v>
      </c>
      <c r="AD2010" t="s">
        <v>82</v>
      </c>
      <c r="AE2010">
        <v>3</v>
      </c>
      <c r="AF2010" t="s">
        <v>116</v>
      </c>
      <c r="AG2010">
        <f>IFERROR(VLOOKUP(AF2010,[1]STOK!J:O,6,0),"")</f>
        <v>12</v>
      </c>
      <c r="AH2010" s="2">
        <f t="shared" si="62"/>
        <v>0.25</v>
      </c>
      <c r="AI2010" t="s">
        <v>116</v>
      </c>
      <c r="AJ2010" t="s">
        <v>117</v>
      </c>
      <c r="AK2010" t="s">
        <v>118</v>
      </c>
      <c r="AL2010" t="s">
        <v>86</v>
      </c>
      <c r="AM2010">
        <v>20424</v>
      </c>
      <c r="AN2010">
        <f t="shared" si="63"/>
        <v>20015.52</v>
      </c>
      <c r="AO2010" t="s">
        <v>66</v>
      </c>
      <c r="AP2010">
        <v>2</v>
      </c>
      <c r="AQ2010" t="s">
        <v>66</v>
      </c>
      <c r="AR2010">
        <v>0</v>
      </c>
      <c r="AS2010" t="s">
        <v>66</v>
      </c>
      <c r="AT2010">
        <v>0</v>
      </c>
      <c r="AU2010" t="s">
        <v>66</v>
      </c>
      <c r="AV2010">
        <v>0</v>
      </c>
      <c r="AW2010" t="s">
        <v>66</v>
      </c>
      <c r="AX2010">
        <v>0</v>
      </c>
      <c r="AY2010" t="s">
        <v>66</v>
      </c>
      <c r="AZ2010">
        <v>0</v>
      </c>
      <c r="BA2010" t="s">
        <v>66</v>
      </c>
      <c r="BB2010">
        <v>0</v>
      </c>
      <c r="BC2010">
        <v>0</v>
      </c>
      <c r="BD2010">
        <v>60046.559999999998</v>
      </c>
      <c r="BE2010">
        <v>16618.900000000001</v>
      </c>
      <c r="BF2010">
        <v>0</v>
      </c>
      <c r="BG2010" t="s">
        <v>87</v>
      </c>
      <c r="BH2010" t="s">
        <v>66</v>
      </c>
      <c r="BI2010">
        <v>0</v>
      </c>
      <c r="BJ2010" t="s">
        <v>66</v>
      </c>
      <c r="BK2010" t="s">
        <v>88</v>
      </c>
      <c r="BL2010" t="s">
        <v>719</v>
      </c>
      <c r="BM2010" t="s">
        <v>159</v>
      </c>
    </row>
    <row r="2011" spans="1:65" x14ac:dyDescent="0.25">
      <c r="A2011">
        <v>2009</v>
      </c>
      <c r="B2011" t="s">
        <v>1949</v>
      </c>
      <c r="C2011" t="s">
        <v>68</v>
      </c>
      <c r="D2011" s="1">
        <v>46230</v>
      </c>
      <c r="E2011" t="s">
        <v>1950</v>
      </c>
      <c r="F2011" t="s">
        <v>68</v>
      </c>
      <c r="G2011" t="s">
        <v>295</v>
      </c>
      <c r="H2011" t="s">
        <v>296</v>
      </c>
      <c r="I2011" t="s">
        <v>71</v>
      </c>
      <c r="J2011" t="s">
        <v>72</v>
      </c>
      <c r="K2011" t="s">
        <v>73</v>
      </c>
      <c r="L2011" t="s">
        <v>74</v>
      </c>
      <c r="M2011" t="s">
        <v>1951</v>
      </c>
      <c r="N2011" t="s">
        <v>76</v>
      </c>
      <c r="O2011" t="s">
        <v>1952</v>
      </c>
      <c r="P2011" t="s">
        <v>1953</v>
      </c>
      <c r="Q2011" t="s">
        <v>1954</v>
      </c>
      <c r="R2011" s="1">
        <v>46232</v>
      </c>
      <c r="S2011" t="s">
        <v>841</v>
      </c>
      <c r="T2011" t="s">
        <v>842</v>
      </c>
      <c r="U2011" t="s">
        <v>843</v>
      </c>
      <c r="V2011" t="s">
        <v>66</v>
      </c>
      <c r="W2011" t="s">
        <v>66</v>
      </c>
      <c r="X2011">
        <v>592116</v>
      </c>
      <c r="Y2011">
        <v>65132.76</v>
      </c>
      <c r="Z2011">
        <v>21756</v>
      </c>
      <c r="AA2011">
        <v>2393.16</v>
      </c>
      <c r="AB2011">
        <v>657248.76</v>
      </c>
      <c r="AC2011">
        <v>3</v>
      </c>
      <c r="AD2011" t="s">
        <v>82</v>
      </c>
      <c r="AE2011">
        <v>3</v>
      </c>
      <c r="AF2011" t="s">
        <v>83</v>
      </c>
      <c r="AG2011">
        <f>IFERROR(VLOOKUP(AF2011,[1]STOK!J:O,6,0),"")</f>
        <v>24</v>
      </c>
      <c r="AH2011" s="2">
        <f t="shared" si="62"/>
        <v>0.125</v>
      </c>
      <c r="AI2011" t="s">
        <v>83</v>
      </c>
      <c r="AJ2011" t="s">
        <v>84</v>
      </c>
      <c r="AK2011" t="s">
        <v>85</v>
      </c>
      <c r="AL2011" t="s">
        <v>86</v>
      </c>
      <c r="AM2011">
        <v>8214</v>
      </c>
      <c r="AN2011">
        <f t="shared" si="63"/>
        <v>8049.72</v>
      </c>
      <c r="AO2011" t="s">
        <v>66</v>
      </c>
      <c r="AP2011">
        <v>2</v>
      </c>
      <c r="AQ2011" t="s">
        <v>66</v>
      </c>
      <c r="AR2011">
        <v>0</v>
      </c>
      <c r="AS2011" t="s">
        <v>66</v>
      </c>
      <c r="AT2011">
        <v>0</v>
      </c>
      <c r="AU2011" t="s">
        <v>66</v>
      </c>
      <c r="AV2011">
        <v>0</v>
      </c>
      <c r="AW2011" t="s">
        <v>66</v>
      </c>
      <c r="AX2011">
        <v>0</v>
      </c>
      <c r="AY2011" t="s">
        <v>66</v>
      </c>
      <c r="AZ2011">
        <v>0</v>
      </c>
      <c r="BA2011" t="s">
        <v>66</v>
      </c>
      <c r="BB2011">
        <v>0</v>
      </c>
      <c r="BC2011">
        <v>0</v>
      </c>
      <c r="BD2011">
        <v>24149.16</v>
      </c>
      <c r="BE2011">
        <v>6682.78</v>
      </c>
      <c r="BF2011">
        <v>0</v>
      </c>
      <c r="BG2011" t="s">
        <v>87</v>
      </c>
      <c r="BH2011" t="s">
        <v>66</v>
      </c>
      <c r="BI2011">
        <v>0</v>
      </c>
      <c r="BJ2011" t="s">
        <v>66</v>
      </c>
      <c r="BK2011" t="s">
        <v>88</v>
      </c>
      <c r="BL2011" t="s">
        <v>719</v>
      </c>
      <c r="BM2011" t="s">
        <v>159</v>
      </c>
    </row>
    <row r="2012" spans="1:65" x14ac:dyDescent="0.25">
      <c r="A2012">
        <v>2010</v>
      </c>
      <c r="B2012" t="s">
        <v>1949</v>
      </c>
      <c r="C2012" t="s">
        <v>68</v>
      </c>
      <c r="D2012" s="1">
        <v>46230</v>
      </c>
      <c r="E2012" t="s">
        <v>1950</v>
      </c>
      <c r="F2012" t="s">
        <v>68</v>
      </c>
      <c r="G2012" t="s">
        <v>295</v>
      </c>
      <c r="H2012" t="s">
        <v>296</v>
      </c>
      <c r="I2012" t="s">
        <v>71</v>
      </c>
      <c r="J2012" t="s">
        <v>72</v>
      </c>
      <c r="K2012" t="s">
        <v>73</v>
      </c>
      <c r="L2012" t="s">
        <v>74</v>
      </c>
      <c r="M2012" t="s">
        <v>1951</v>
      </c>
      <c r="N2012" t="s">
        <v>76</v>
      </c>
      <c r="O2012" t="s">
        <v>1952</v>
      </c>
      <c r="P2012" t="s">
        <v>1953</v>
      </c>
      <c r="Q2012" t="s">
        <v>1954</v>
      </c>
      <c r="R2012" s="1">
        <v>46232</v>
      </c>
      <c r="S2012" t="s">
        <v>841</v>
      </c>
      <c r="T2012" t="s">
        <v>842</v>
      </c>
      <c r="U2012" t="s">
        <v>843</v>
      </c>
      <c r="V2012" t="s">
        <v>66</v>
      </c>
      <c r="W2012" t="s">
        <v>66</v>
      </c>
      <c r="X2012">
        <v>592116</v>
      </c>
      <c r="Y2012">
        <v>65132.76</v>
      </c>
      <c r="Z2012">
        <v>58212</v>
      </c>
      <c r="AA2012">
        <v>6403.32</v>
      </c>
      <c r="AB2012">
        <v>657248.76</v>
      </c>
      <c r="AC2012">
        <v>3</v>
      </c>
      <c r="AD2012" t="s">
        <v>82</v>
      </c>
      <c r="AE2012">
        <v>3</v>
      </c>
      <c r="AF2012" t="s">
        <v>370</v>
      </c>
      <c r="AG2012">
        <f>IFERROR(VLOOKUP(AF2012,[1]STOK!J:O,6,0),"")</f>
        <v>12</v>
      </c>
      <c r="AH2012" s="2">
        <f t="shared" si="62"/>
        <v>0.25</v>
      </c>
      <c r="AI2012" t="s">
        <v>370</v>
      </c>
      <c r="AJ2012" t="s">
        <v>371</v>
      </c>
      <c r="AK2012" t="s">
        <v>372</v>
      </c>
      <c r="AL2012" t="s">
        <v>86</v>
      </c>
      <c r="AM2012">
        <v>21978</v>
      </c>
      <c r="AN2012">
        <f t="shared" si="63"/>
        <v>21538.44</v>
      </c>
      <c r="AO2012" t="s">
        <v>66</v>
      </c>
      <c r="AP2012">
        <v>2</v>
      </c>
      <c r="AQ2012" t="s">
        <v>66</v>
      </c>
      <c r="AR2012">
        <v>0</v>
      </c>
      <c r="AS2012" t="s">
        <v>66</v>
      </c>
      <c r="AT2012">
        <v>0</v>
      </c>
      <c r="AU2012" t="s">
        <v>66</v>
      </c>
      <c r="AV2012">
        <v>0</v>
      </c>
      <c r="AW2012" t="s">
        <v>66</v>
      </c>
      <c r="AX2012">
        <v>0</v>
      </c>
      <c r="AY2012" t="s">
        <v>66</v>
      </c>
      <c r="AZ2012">
        <v>0</v>
      </c>
      <c r="BA2012" t="s">
        <v>66</v>
      </c>
      <c r="BB2012">
        <v>0</v>
      </c>
      <c r="BC2012">
        <v>0</v>
      </c>
      <c r="BD2012">
        <v>64615.32</v>
      </c>
      <c r="BE2012">
        <v>17554.66</v>
      </c>
      <c r="BF2012">
        <v>0</v>
      </c>
      <c r="BG2012" t="s">
        <v>87</v>
      </c>
      <c r="BH2012" t="s">
        <v>66</v>
      </c>
      <c r="BI2012">
        <v>0</v>
      </c>
      <c r="BJ2012" t="s">
        <v>66</v>
      </c>
      <c r="BK2012" t="s">
        <v>88</v>
      </c>
      <c r="BL2012" t="s">
        <v>719</v>
      </c>
      <c r="BM2012" t="s">
        <v>159</v>
      </c>
    </row>
    <row r="2013" spans="1:65" x14ac:dyDescent="0.25">
      <c r="A2013">
        <v>2011</v>
      </c>
      <c r="B2013" t="s">
        <v>1949</v>
      </c>
      <c r="C2013" t="s">
        <v>68</v>
      </c>
      <c r="D2013" s="1">
        <v>46230</v>
      </c>
      <c r="E2013" t="s">
        <v>1950</v>
      </c>
      <c r="F2013" t="s">
        <v>68</v>
      </c>
      <c r="G2013" t="s">
        <v>295</v>
      </c>
      <c r="H2013" t="s">
        <v>296</v>
      </c>
      <c r="I2013" t="s">
        <v>71</v>
      </c>
      <c r="J2013" t="s">
        <v>72</v>
      </c>
      <c r="K2013" t="s">
        <v>73</v>
      </c>
      <c r="L2013" t="s">
        <v>74</v>
      </c>
      <c r="M2013" t="s">
        <v>1951</v>
      </c>
      <c r="N2013" t="s">
        <v>76</v>
      </c>
      <c r="O2013" t="s">
        <v>1952</v>
      </c>
      <c r="P2013" t="s">
        <v>1953</v>
      </c>
      <c r="Q2013" t="s">
        <v>1954</v>
      </c>
      <c r="R2013" s="1">
        <v>46232</v>
      </c>
      <c r="S2013" t="s">
        <v>841</v>
      </c>
      <c r="T2013" t="s">
        <v>842</v>
      </c>
      <c r="U2013" t="s">
        <v>843</v>
      </c>
      <c r="V2013" t="s">
        <v>66</v>
      </c>
      <c r="W2013" t="s">
        <v>66</v>
      </c>
      <c r="X2013">
        <v>592116</v>
      </c>
      <c r="Y2013">
        <v>65132.76</v>
      </c>
      <c r="Z2013">
        <v>58212</v>
      </c>
      <c r="AA2013">
        <v>6403.32</v>
      </c>
      <c r="AB2013">
        <v>657248.76</v>
      </c>
      <c r="AC2013">
        <v>3</v>
      </c>
      <c r="AD2013" t="s">
        <v>82</v>
      </c>
      <c r="AE2013">
        <v>3</v>
      </c>
      <c r="AF2013" t="s">
        <v>743</v>
      </c>
      <c r="AG2013">
        <f>IFERROR(VLOOKUP(AF2013,[1]STOK!J:O,6,0),"")</f>
        <v>12</v>
      </c>
      <c r="AH2013" s="2">
        <f t="shared" si="62"/>
        <v>0.25</v>
      </c>
      <c r="AI2013" t="s">
        <v>743</v>
      </c>
      <c r="AJ2013" t="s">
        <v>744</v>
      </c>
      <c r="AK2013" t="s">
        <v>745</v>
      </c>
      <c r="AL2013" t="s">
        <v>86</v>
      </c>
      <c r="AM2013">
        <v>21978</v>
      </c>
      <c r="AN2013">
        <f t="shared" si="63"/>
        <v>21538.44</v>
      </c>
      <c r="AO2013" t="s">
        <v>66</v>
      </c>
      <c r="AP2013">
        <v>2</v>
      </c>
      <c r="AQ2013" t="s">
        <v>66</v>
      </c>
      <c r="AR2013">
        <v>0</v>
      </c>
      <c r="AS2013" t="s">
        <v>66</v>
      </c>
      <c r="AT2013">
        <v>0</v>
      </c>
      <c r="AU2013" t="s">
        <v>66</v>
      </c>
      <c r="AV2013">
        <v>0</v>
      </c>
      <c r="AW2013" t="s">
        <v>66</v>
      </c>
      <c r="AX2013">
        <v>0</v>
      </c>
      <c r="AY2013" t="s">
        <v>66</v>
      </c>
      <c r="AZ2013">
        <v>0</v>
      </c>
      <c r="BA2013" t="s">
        <v>66</v>
      </c>
      <c r="BB2013">
        <v>0</v>
      </c>
      <c r="BC2013">
        <v>0</v>
      </c>
      <c r="BD2013">
        <v>64615.32</v>
      </c>
      <c r="BE2013">
        <v>17620.39</v>
      </c>
      <c r="BF2013">
        <v>0</v>
      </c>
      <c r="BG2013" t="s">
        <v>87</v>
      </c>
      <c r="BH2013" t="s">
        <v>66</v>
      </c>
      <c r="BI2013">
        <v>0</v>
      </c>
      <c r="BJ2013" t="s">
        <v>66</v>
      </c>
      <c r="BK2013" t="s">
        <v>88</v>
      </c>
      <c r="BL2013" t="s">
        <v>719</v>
      </c>
      <c r="BM2013" t="s">
        <v>159</v>
      </c>
    </row>
    <row r="2014" spans="1:65" x14ac:dyDescent="0.25">
      <c r="A2014">
        <v>2012</v>
      </c>
      <c r="B2014" t="s">
        <v>1949</v>
      </c>
      <c r="C2014" t="s">
        <v>68</v>
      </c>
      <c r="D2014" s="1">
        <v>46230</v>
      </c>
      <c r="E2014" t="s">
        <v>1950</v>
      </c>
      <c r="F2014" t="s">
        <v>68</v>
      </c>
      <c r="G2014" t="s">
        <v>295</v>
      </c>
      <c r="H2014" t="s">
        <v>296</v>
      </c>
      <c r="I2014" t="s">
        <v>71</v>
      </c>
      <c r="J2014" t="s">
        <v>72</v>
      </c>
      <c r="K2014" t="s">
        <v>73</v>
      </c>
      <c r="L2014" t="s">
        <v>74</v>
      </c>
      <c r="M2014" t="s">
        <v>1951</v>
      </c>
      <c r="N2014" t="s">
        <v>76</v>
      </c>
      <c r="O2014" t="s">
        <v>1952</v>
      </c>
      <c r="P2014" t="s">
        <v>1953</v>
      </c>
      <c r="Q2014" t="s">
        <v>1954</v>
      </c>
      <c r="R2014" s="1">
        <v>46232</v>
      </c>
      <c r="S2014" t="s">
        <v>841</v>
      </c>
      <c r="T2014" t="s">
        <v>842</v>
      </c>
      <c r="U2014" t="s">
        <v>843</v>
      </c>
      <c r="V2014" t="s">
        <v>66</v>
      </c>
      <c r="W2014" t="s">
        <v>66</v>
      </c>
      <c r="X2014">
        <v>592116</v>
      </c>
      <c r="Y2014">
        <v>65132.76</v>
      </c>
      <c r="Z2014">
        <v>23226</v>
      </c>
      <c r="AA2014">
        <v>2554.86</v>
      </c>
      <c r="AB2014">
        <v>657248.76</v>
      </c>
      <c r="AC2014">
        <v>3</v>
      </c>
      <c r="AD2014" t="s">
        <v>82</v>
      </c>
      <c r="AE2014">
        <v>3</v>
      </c>
      <c r="AF2014" t="s">
        <v>248</v>
      </c>
      <c r="AG2014">
        <f>IFERROR(VLOOKUP(AF2014,[1]STOK!J:O,6,0),"")</f>
        <v>24</v>
      </c>
      <c r="AH2014" s="2">
        <f t="shared" si="62"/>
        <v>0.125</v>
      </c>
      <c r="AI2014" t="s">
        <v>248</v>
      </c>
      <c r="AJ2014" t="s">
        <v>249</v>
      </c>
      <c r="AK2014" t="s">
        <v>250</v>
      </c>
      <c r="AL2014" t="s">
        <v>86</v>
      </c>
      <c r="AM2014">
        <v>8769</v>
      </c>
      <c r="AN2014">
        <f t="shared" si="63"/>
        <v>8593.6200000000008</v>
      </c>
      <c r="AO2014" t="s">
        <v>66</v>
      </c>
      <c r="AP2014">
        <v>2</v>
      </c>
      <c r="AQ2014" t="s">
        <v>66</v>
      </c>
      <c r="AR2014">
        <v>0</v>
      </c>
      <c r="AS2014" t="s">
        <v>66</v>
      </c>
      <c r="AT2014">
        <v>0</v>
      </c>
      <c r="AU2014" t="s">
        <v>66</v>
      </c>
      <c r="AV2014">
        <v>0</v>
      </c>
      <c r="AW2014" t="s">
        <v>66</v>
      </c>
      <c r="AX2014">
        <v>0</v>
      </c>
      <c r="AY2014" t="s">
        <v>66</v>
      </c>
      <c r="AZ2014">
        <v>0</v>
      </c>
      <c r="BA2014" t="s">
        <v>66</v>
      </c>
      <c r="BB2014">
        <v>0</v>
      </c>
      <c r="BC2014">
        <v>0</v>
      </c>
      <c r="BD2014">
        <v>25780.86</v>
      </c>
      <c r="BE2014">
        <v>7043.22</v>
      </c>
      <c r="BF2014">
        <v>0</v>
      </c>
      <c r="BG2014" t="s">
        <v>87</v>
      </c>
      <c r="BH2014" t="s">
        <v>66</v>
      </c>
      <c r="BI2014">
        <v>0</v>
      </c>
      <c r="BJ2014" t="s">
        <v>66</v>
      </c>
      <c r="BK2014" t="s">
        <v>88</v>
      </c>
      <c r="BL2014" t="s">
        <v>719</v>
      </c>
      <c r="BM2014" t="s">
        <v>159</v>
      </c>
    </row>
    <row r="2015" spans="1:65" x14ac:dyDescent="0.25">
      <c r="A2015">
        <v>2013</v>
      </c>
      <c r="B2015" t="s">
        <v>1949</v>
      </c>
      <c r="C2015" t="s">
        <v>68</v>
      </c>
      <c r="D2015" s="1">
        <v>46230</v>
      </c>
      <c r="E2015" t="s">
        <v>1950</v>
      </c>
      <c r="F2015" t="s">
        <v>68</v>
      </c>
      <c r="G2015" t="s">
        <v>295</v>
      </c>
      <c r="H2015" t="s">
        <v>296</v>
      </c>
      <c r="I2015" t="s">
        <v>71</v>
      </c>
      <c r="J2015" t="s">
        <v>72</v>
      </c>
      <c r="K2015" t="s">
        <v>73</v>
      </c>
      <c r="L2015" t="s">
        <v>74</v>
      </c>
      <c r="M2015" t="s">
        <v>1951</v>
      </c>
      <c r="N2015" t="s">
        <v>76</v>
      </c>
      <c r="O2015" t="s">
        <v>1952</v>
      </c>
      <c r="P2015" t="s">
        <v>1953</v>
      </c>
      <c r="Q2015" t="s">
        <v>1954</v>
      </c>
      <c r="R2015" s="1">
        <v>46232</v>
      </c>
      <c r="S2015" t="s">
        <v>841</v>
      </c>
      <c r="T2015" t="s">
        <v>842</v>
      </c>
      <c r="U2015" t="s">
        <v>843</v>
      </c>
      <c r="V2015" t="s">
        <v>66</v>
      </c>
      <c r="W2015" t="s">
        <v>66</v>
      </c>
      <c r="X2015">
        <v>592116</v>
      </c>
      <c r="Y2015">
        <v>65132.76</v>
      </c>
      <c r="Z2015">
        <v>48510</v>
      </c>
      <c r="AA2015">
        <v>5336.1</v>
      </c>
      <c r="AB2015">
        <v>657248.76</v>
      </c>
      <c r="AC2015">
        <v>3</v>
      </c>
      <c r="AD2015" t="s">
        <v>82</v>
      </c>
      <c r="AE2015">
        <v>3</v>
      </c>
      <c r="AF2015" t="s">
        <v>99</v>
      </c>
      <c r="AG2015">
        <f>IFERROR(VLOOKUP(AF2015,[1]STOK!J:O,6,0),"")</f>
        <v>24</v>
      </c>
      <c r="AH2015" s="2">
        <f t="shared" si="62"/>
        <v>0.125</v>
      </c>
      <c r="AI2015" t="s">
        <v>99</v>
      </c>
      <c r="AJ2015" t="s">
        <v>100</v>
      </c>
      <c r="AK2015" t="s">
        <v>101</v>
      </c>
      <c r="AL2015" t="s">
        <v>86</v>
      </c>
      <c r="AM2015">
        <v>18315</v>
      </c>
      <c r="AN2015">
        <f t="shared" si="63"/>
        <v>17948.7</v>
      </c>
      <c r="AO2015" t="s">
        <v>66</v>
      </c>
      <c r="AP2015">
        <v>2</v>
      </c>
      <c r="AQ2015" t="s">
        <v>66</v>
      </c>
      <c r="AR2015">
        <v>0</v>
      </c>
      <c r="AS2015" t="s">
        <v>66</v>
      </c>
      <c r="AT2015">
        <v>0</v>
      </c>
      <c r="AU2015" t="s">
        <v>66</v>
      </c>
      <c r="AV2015">
        <v>0</v>
      </c>
      <c r="AW2015" t="s">
        <v>66</v>
      </c>
      <c r="AX2015">
        <v>0</v>
      </c>
      <c r="AY2015" t="s">
        <v>66</v>
      </c>
      <c r="AZ2015">
        <v>0</v>
      </c>
      <c r="BA2015" t="s">
        <v>66</v>
      </c>
      <c r="BB2015">
        <v>0</v>
      </c>
      <c r="BC2015">
        <v>0</v>
      </c>
      <c r="BD2015">
        <v>53846.1</v>
      </c>
      <c r="BE2015">
        <v>14925.98</v>
      </c>
      <c r="BF2015">
        <v>0</v>
      </c>
      <c r="BG2015" t="s">
        <v>87</v>
      </c>
      <c r="BH2015" t="s">
        <v>66</v>
      </c>
      <c r="BI2015">
        <v>0</v>
      </c>
      <c r="BJ2015" t="s">
        <v>66</v>
      </c>
      <c r="BK2015" t="s">
        <v>88</v>
      </c>
      <c r="BL2015" t="s">
        <v>719</v>
      </c>
      <c r="BM2015" t="s">
        <v>159</v>
      </c>
    </row>
    <row r="2016" spans="1:65" x14ac:dyDescent="0.25">
      <c r="A2016">
        <v>2014</v>
      </c>
      <c r="B2016" t="s">
        <v>1949</v>
      </c>
      <c r="C2016" t="s">
        <v>68</v>
      </c>
      <c r="D2016" s="1">
        <v>46230</v>
      </c>
      <c r="E2016" t="s">
        <v>1950</v>
      </c>
      <c r="F2016" t="s">
        <v>68</v>
      </c>
      <c r="G2016" t="s">
        <v>295</v>
      </c>
      <c r="H2016" t="s">
        <v>296</v>
      </c>
      <c r="I2016" t="s">
        <v>71</v>
      </c>
      <c r="J2016" t="s">
        <v>72</v>
      </c>
      <c r="K2016" t="s">
        <v>73</v>
      </c>
      <c r="L2016" t="s">
        <v>74</v>
      </c>
      <c r="M2016" t="s">
        <v>1951</v>
      </c>
      <c r="N2016" t="s">
        <v>76</v>
      </c>
      <c r="O2016" t="s">
        <v>1952</v>
      </c>
      <c r="P2016" t="s">
        <v>1953</v>
      </c>
      <c r="Q2016" t="s">
        <v>1954</v>
      </c>
      <c r="R2016" s="1">
        <v>46232</v>
      </c>
      <c r="S2016" t="s">
        <v>841</v>
      </c>
      <c r="T2016" t="s">
        <v>842</v>
      </c>
      <c r="U2016" t="s">
        <v>843</v>
      </c>
      <c r="V2016" t="s">
        <v>66</v>
      </c>
      <c r="W2016" t="s">
        <v>66</v>
      </c>
      <c r="X2016">
        <v>592116</v>
      </c>
      <c r="Y2016">
        <v>65132.76</v>
      </c>
      <c r="Z2016">
        <v>78204</v>
      </c>
      <c r="AA2016">
        <v>8602.44</v>
      </c>
      <c r="AB2016">
        <v>657248.76</v>
      </c>
      <c r="AC2016">
        <v>6</v>
      </c>
      <c r="AD2016" t="s">
        <v>82</v>
      </c>
      <c r="AE2016">
        <v>6</v>
      </c>
      <c r="AF2016" t="s">
        <v>135</v>
      </c>
      <c r="AG2016">
        <f>IFERROR(VLOOKUP(AF2016,[1]STOK!J:O,6,0),"")</f>
        <v>12</v>
      </c>
      <c r="AH2016" s="2">
        <f t="shared" si="62"/>
        <v>0.5</v>
      </c>
      <c r="AI2016" t="s">
        <v>135</v>
      </c>
      <c r="AJ2016" t="s">
        <v>136</v>
      </c>
      <c r="AK2016" t="s">
        <v>137</v>
      </c>
      <c r="AL2016" t="s">
        <v>86</v>
      </c>
      <c r="AM2016">
        <v>14763</v>
      </c>
      <c r="AN2016">
        <f t="shared" si="63"/>
        <v>14467.74</v>
      </c>
      <c r="AO2016" t="s">
        <v>66</v>
      </c>
      <c r="AP2016">
        <v>2</v>
      </c>
      <c r="AQ2016" t="s">
        <v>66</v>
      </c>
      <c r="AR2016">
        <v>0</v>
      </c>
      <c r="AS2016" t="s">
        <v>66</v>
      </c>
      <c r="AT2016">
        <v>0</v>
      </c>
      <c r="AU2016" t="s">
        <v>66</v>
      </c>
      <c r="AV2016">
        <v>0</v>
      </c>
      <c r="AW2016" t="s">
        <v>66</v>
      </c>
      <c r="AX2016">
        <v>0</v>
      </c>
      <c r="AY2016" t="s">
        <v>66</v>
      </c>
      <c r="AZ2016">
        <v>0</v>
      </c>
      <c r="BA2016" t="s">
        <v>66</v>
      </c>
      <c r="BB2016">
        <v>0</v>
      </c>
      <c r="BC2016">
        <v>0</v>
      </c>
      <c r="BD2016">
        <v>86806.44</v>
      </c>
      <c r="BE2016">
        <v>12034.95</v>
      </c>
      <c r="BF2016">
        <v>0</v>
      </c>
      <c r="BG2016" t="s">
        <v>87</v>
      </c>
      <c r="BH2016" t="s">
        <v>66</v>
      </c>
      <c r="BI2016">
        <v>0</v>
      </c>
      <c r="BJ2016" t="s">
        <v>66</v>
      </c>
      <c r="BK2016" t="s">
        <v>88</v>
      </c>
      <c r="BL2016" t="s">
        <v>719</v>
      </c>
      <c r="BM2016" t="s">
        <v>159</v>
      </c>
    </row>
    <row r="2017" spans="1:65" x14ac:dyDescent="0.25">
      <c r="A2017">
        <v>2015</v>
      </c>
      <c r="B2017" t="s">
        <v>1949</v>
      </c>
      <c r="C2017" t="s">
        <v>68</v>
      </c>
      <c r="D2017" s="1">
        <v>46230</v>
      </c>
      <c r="E2017" t="s">
        <v>1950</v>
      </c>
      <c r="F2017" t="s">
        <v>68</v>
      </c>
      <c r="G2017" t="s">
        <v>295</v>
      </c>
      <c r="H2017" t="s">
        <v>296</v>
      </c>
      <c r="I2017" t="s">
        <v>71</v>
      </c>
      <c r="J2017" t="s">
        <v>72</v>
      </c>
      <c r="K2017" t="s">
        <v>73</v>
      </c>
      <c r="L2017" t="s">
        <v>74</v>
      </c>
      <c r="M2017" t="s">
        <v>1951</v>
      </c>
      <c r="N2017" t="s">
        <v>76</v>
      </c>
      <c r="O2017" t="s">
        <v>1952</v>
      </c>
      <c r="P2017" t="s">
        <v>1953</v>
      </c>
      <c r="Q2017" t="s">
        <v>1954</v>
      </c>
      <c r="R2017" s="1">
        <v>46232</v>
      </c>
      <c r="S2017" t="s">
        <v>841</v>
      </c>
      <c r="T2017" t="s">
        <v>842</v>
      </c>
      <c r="U2017" t="s">
        <v>843</v>
      </c>
      <c r="V2017" t="s">
        <v>66</v>
      </c>
      <c r="W2017" t="s">
        <v>66</v>
      </c>
      <c r="X2017">
        <v>592116</v>
      </c>
      <c r="Y2017">
        <v>65132.76</v>
      </c>
      <c r="Z2017">
        <v>78204</v>
      </c>
      <c r="AA2017">
        <v>8602.44</v>
      </c>
      <c r="AB2017">
        <v>657248.76</v>
      </c>
      <c r="AC2017">
        <v>6</v>
      </c>
      <c r="AD2017" t="s">
        <v>82</v>
      </c>
      <c r="AE2017">
        <v>6</v>
      </c>
      <c r="AF2017" t="s">
        <v>210</v>
      </c>
      <c r="AG2017">
        <f>IFERROR(VLOOKUP(AF2017,[1]STOK!J:O,6,0),"")</f>
        <v>12</v>
      </c>
      <c r="AH2017" s="2">
        <f t="shared" si="62"/>
        <v>0.5</v>
      </c>
      <c r="AI2017" t="s">
        <v>210</v>
      </c>
      <c r="AJ2017" t="s">
        <v>211</v>
      </c>
      <c r="AK2017" t="s">
        <v>212</v>
      </c>
      <c r="AL2017" t="s">
        <v>86</v>
      </c>
      <c r="AM2017">
        <v>14763</v>
      </c>
      <c r="AN2017">
        <f t="shared" si="63"/>
        <v>14467.74</v>
      </c>
      <c r="AO2017" t="s">
        <v>66</v>
      </c>
      <c r="AP2017">
        <v>2</v>
      </c>
      <c r="AQ2017" t="s">
        <v>66</v>
      </c>
      <c r="AR2017">
        <v>0</v>
      </c>
      <c r="AS2017" t="s">
        <v>66</v>
      </c>
      <c r="AT2017">
        <v>0</v>
      </c>
      <c r="AU2017" t="s">
        <v>66</v>
      </c>
      <c r="AV2017">
        <v>0</v>
      </c>
      <c r="AW2017" t="s">
        <v>66</v>
      </c>
      <c r="AX2017">
        <v>0</v>
      </c>
      <c r="AY2017" t="s">
        <v>66</v>
      </c>
      <c r="AZ2017">
        <v>0</v>
      </c>
      <c r="BA2017" t="s">
        <v>66</v>
      </c>
      <c r="BB2017">
        <v>0</v>
      </c>
      <c r="BC2017">
        <v>0</v>
      </c>
      <c r="BD2017">
        <v>86806.44</v>
      </c>
      <c r="BE2017">
        <v>11976.03</v>
      </c>
      <c r="BF2017">
        <v>0</v>
      </c>
      <c r="BG2017" t="s">
        <v>87</v>
      </c>
      <c r="BH2017" t="s">
        <v>66</v>
      </c>
      <c r="BI2017">
        <v>0</v>
      </c>
      <c r="BJ2017" t="s">
        <v>66</v>
      </c>
      <c r="BK2017" t="s">
        <v>88</v>
      </c>
      <c r="BL2017" t="s">
        <v>719</v>
      </c>
      <c r="BM2017" t="s">
        <v>159</v>
      </c>
    </row>
    <row r="2018" spans="1:65" x14ac:dyDescent="0.25">
      <c r="A2018">
        <v>2016</v>
      </c>
      <c r="B2018" t="s">
        <v>1949</v>
      </c>
      <c r="C2018" t="s">
        <v>68</v>
      </c>
      <c r="D2018" s="1">
        <v>46230</v>
      </c>
      <c r="E2018" t="s">
        <v>1950</v>
      </c>
      <c r="F2018" t="s">
        <v>68</v>
      </c>
      <c r="G2018" t="s">
        <v>295</v>
      </c>
      <c r="H2018" t="s">
        <v>296</v>
      </c>
      <c r="I2018" t="s">
        <v>71</v>
      </c>
      <c r="J2018" t="s">
        <v>72</v>
      </c>
      <c r="K2018" t="s">
        <v>73</v>
      </c>
      <c r="L2018" t="s">
        <v>74</v>
      </c>
      <c r="M2018" t="s">
        <v>1951</v>
      </c>
      <c r="N2018" t="s">
        <v>76</v>
      </c>
      <c r="O2018" t="s">
        <v>1952</v>
      </c>
      <c r="P2018" t="s">
        <v>1953</v>
      </c>
      <c r="Q2018" t="s">
        <v>1954</v>
      </c>
      <c r="R2018" s="1">
        <v>46232</v>
      </c>
      <c r="S2018" t="s">
        <v>841</v>
      </c>
      <c r="T2018" t="s">
        <v>842</v>
      </c>
      <c r="U2018" t="s">
        <v>843</v>
      </c>
      <c r="V2018" t="s">
        <v>66</v>
      </c>
      <c r="W2018" t="s">
        <v>66</v>
      </c>
      <c r="X2018">
        <v>592116</v>
      </c>
      <c r="Y2018">
        <v>65132.76</v>
      </c>
      <c r="Z2018">
        <v>117600</v>
      </c>
      <c r="AA2018">
        <v>12936</v>
      </c>
      <c r="AB2018">
        <v>657248.76</v>
      </c>
      <c r="AC2018">
        <v>6</v>
      </c>
      <c r="AD2018" t="s">
        <v>82</v>
      </c>
      <c r="AE2018">
        <v>6</v>
      </c>
      <c r="AF2018" t="s">
        <v>290</v>
      </c>
      <c r="AG2018">
        <f>IFERROR(VLOOKUP(AF2018,[1]STOK!J:O,6,0),"")</f>
        <v>12</v>
      </c>
      <c r="AH2018" s="2">
        <f t="shared" si="62"/>
        <v>0.5</v>
      </c>
      <c r="AI2018" t="s">
        <v>290</v>
      </c>
      <c r="AJ2018" t="s">
        <v>291</v>
      </c>
      <c r="AK2018" t="s">
        <v>292</v>
      </c>
      <c r="AL2018" t="s">
        <v>86</v>
      </c>
      <c r="AM2018">
        <v>22200</v>
      </c>
      <c r="AN2018">
        <f t="shared" si="63"/>
        <v>21756</v>
      </c>
      <c r="AO2018" t="s">
        <v>66</v>
      </c>
      <c r="AP2018">
        <v>2</v>
      </c>
      <c r="AQ2018" t="s">
        <v>66</v>
      </c>
      <c r="AR2018">
        <v>0</v>
      </c>
      <c r="AS2018" t="s">
        <v>66</v>
      </c>
      <c r="AT2018">
        <v>0</v>
      </c>
      <c r="AU2018" t="s">
        <v>66</v>
      </c>
      <c r="AV2018">
        <v>0</v>
      </c>
      <c r="AW2018" t="s">
        <v>66</v>
      </c>
      <c r="AX2018">
        <v>0</v>
      </c>
      <c r="AY2018" t="s">
        <v>66</v>
      </c>
      <c r="AZ2018">
        <v>0</v>
      </c>
      <c r="BA2018" t="s">
        <v>66</v>
      </c>
      <c r="BB2018">
        <v>0</v>
      </c>
      <c r="BC2018">
        <v>0</v>
      </c>
      <c r="BD2018">
        <v>130536</v>
      </c>
      <c r="BE2018">
        <v>18113.71</v>
      </c>
      <c r="BF2018">
        <v>0</v>
      </c>
      <c r="BG2018" t="s">
        <v>87</v>
      </c>
      <c r="BH2018" t="s">
        <v>66</v>
      </c>
      <c r="BI2018">
        <v>0</v>
      </c>
      <c r="BJ2018" t="s">
        <v>66</v>
      </c>
      <c r="BK2018" t="s">
        <v>88</v>
      </c>
      <c r="BL2018" t="s">
        <v>719</v>
      </c>
      <c r="BM2018" t="s">
        <v>159</v>
      </c>
    </row>
    <row r="2019" spans="1:65" x14ac:dyDescent="0.25">
      <c r="A2019">
        <v>2017</v>
      </c>
      <c r="B2019" t="s">
        <v>1955</v>
      </c>
      <c r="C2019" t="s">
        <v>68</v>
      </c>
      <c r="D2019" s="1">
        <v>46230</v>
      </c>
      <c r="E2019" t="s">
        <v>1956</v>
      </c>
      <c r="F2019" t="s">
        <v>68</v>
      </c>
      <c r="G2019" t="s">
        <v>295</v>
      </c>
      <c r="H2019" t="s">
        <v>296</v>
      </c>
      <c r="I2019" t="s">
        <v>71</v>
      </c>
      <c r="J2019" t="s">
        <v>72</v>
      </c>
      <c r="K2019" t="s">
        <v>73</v>
      </c>
      <c r="L2019" t="s">
        <v>74</v>
      </c>
      <c r="M2019" t="s">
        <v>1403</v>
      </c>
      <c r="N2019" t="s">
        <v>76</v>
      </c>
      <c r="O2019" t="s">
        <v>1404</v>
      </c>
      <c r="P2019" t="s">
        <v>1405</v>
      </c>
      <c r="Q2019" t="s">
        <v>1957</v>
      </c>
      <c r="R2019" s="1">
        <v>46232</v>
      </c>
      <c r="S2019" t="s">
        <v>841</v>
      </c>
      <c r="T2019" t="s">
        <v>842</v>
      </c>
      <c r="U2019" t="s">
        <v>843</v>
      </c>
      <c r="V2019" t="s">
        <v>66</v>
      </c>
      <c r="W2019" t="s">
        <v>66</v>
      </c>
      <c r="X2019">
        <v>113484</v>
      </c>
      <c r="Y2019">
        <v>12483.24</v>
      </c>
      <c r="Z2019">
        <v>33222</v>
      </c>
      <c r="AA2019">
        <v>3654.42</v>
      </c>
      <c r="AB2019">
        <v>125967.24</v>
      </c>
      <c r="AC2019">
        <v>3</v>
      </c>
      <c r="AD2019" t="s">
        <v>82</v>
      </c>
      <c r="AE2019">
        <v>3</v>
      </c>
      <c r="AF2019" t="s">
        <v>122</v>
      </c>
      <c r="AG2019">
        <f>IFERROR(VLOOKUP(AF2019,[1]STOK!J:O,6,0),"")</f>
        <v>24</v>
      </c>
      <c r="AH2019" s="2">
        <f t="shared" si="62"/>
        <v>0.125</v>
      </c>
      <c r="AI2019" t="s">
        <v>122</v>
      </c>
      <c r="AJ2019" t="s">
        <v>123</v>
      </c>
      <c r="AK2019" t="s">
        <v>124</v>
      </c>
      <c r="AL2019" t="s">
        <v>86</v>
      </c>
      <c r="AM2019">
        <v>12543</v>
      </c>
      <c r="AN2019">
        <f t="shared" si="63"/>
        <v>12292.14</v>
      </c>
      <c r="AO2019" t="s">
        <v>66</v>
      </c>
      <c r="AP2019">
        <v>2</v>
      </c>
      <c r="AQ2019" t="s">
        <v>66</v>
      </c>
      <c r="AR2019">
        <v>0</v>
      </c>
      <c r="AS2019" t="s">
        <v>66</v>
      </c>
      <c r="AT2019">
        <v>0</v>
      </c>
      <c r="AU2019" t="s">
        <v>66</v>
      </c>
      <c r="AV2019">
        <v>0</v>
      </c>
      <c r="AW2019" t="s">
        <v>66</v>
      </c>
      <c r="AX2019">
        <v>0</v>
      </c>
      <c r="AY2019" t="s">
        <v>66</v>
      </c>
      <c r="AZ2019">
        <v>0</v>
      </c>
      <c r="BA2019" t="s">
        <v>66</v>
      </c>
      <c r="BB2019">
        <v>0</v>
      </c>
      <c r="BC2019">
        <v>0</v>
      </c>
      <c r="BD2019">
        <v>36876.42</v>
      </c>
      <c r="BE2019">
        <v>10097.709999999999</v>
      </c>
      <c r="BF2019">
        <v>0</v>
      </c>
      <c r="BG2019" t="s">
        <v>87</v>
      </c>
      <c r="BH2019" t="s">
        <v>66</v>
      </c>
      <c r="BI2019">
        <v>0</v>
      </c>
      <c r="BJ2019" t="s">
        <v>66</v>
      </c>
      <c r="BK2019" t="s">
        <v>88</v>
      </c>
      <c r="BL2019" t="s">
        <v>719</v>
      </c>
      <c r="BM2019" t="s">
        <v>159</v>
      </c>
    </row>
    <row r="2020" spans="1:65" x14ac:dyDescent="0.25">
      <c r="A2020">
        <v>2018</v>
      </c>
      <c r="B2020" t="s">
        <v>1955</v>
      </c>
      <c r="C2020" t="s">
        <v>68</v>
      </c>
      <c r="D2020" s="1">
        <v>46230</v>
      </c>
      <c r="E2020" t="s">
        <v>1956</v>
      </c>
      <c r="F2020" t="s">
        <v>68</v>
      </c>
      <c r="G2020" t="s">
        <v>295</v>
      </c>
      <c r="H2020" t="s">
        <v>296</v>
      </c>
      <c r="I2020" t="s">
        <v>71</v>
      </c>
      <c r="J2020" t="s">
        <v>72</v>
      </c>
      <c r="K2020" t="s">
        <v>73</v>
      </c>
      <c r="L2020" t="s">
        <v>74</v>
      </c>
      <c r="M2020" t="s">
        <v>1403</v>
      </c>
      <c r="N2020" t="s">
        <v>76</v>
      </c>
      <c r="O2020" t="s">
        <v>1404</v>
      </c>
      <c r="P2020" t="s">
        <v>1405</v>
      </c>
      <c r="Q2020" t="s">
        <v>1957</v>
      </c>
      <c r="R2020" s="1">
        <v>46232</v>
      </c>
      <c r="S2020" t="s">
        <v>841</v>
      </c>
      <c r="T2020" t="s">
        <v>842</v>
      </c>
      <c r="U2020" t="s">
        <v>843</v>
      </c>
      <c r="V2020" t="s">
        <v>66</v>
      </c>
      <c r="W2020" t="s">
        <v>66</v>
      </c>
      <c r="X2020">
        <v>113484</v>
      </c>
      <c r="Y2020">
        <v>12483.24</v>
      </c>
      <c r="Z2020">
        <v>29988</v>
      </c>
      <c r="AA2020">
        <v>3298.68</v>
      </c>
      <c r="AB2020">
        <v>125967.24</v>
      </c>
      <c r="AC2020">
        <v>3</v>
      </c>
      <c r="AD2020" t="s">
        <v>82</v>
      </c>
      <c r="AE2020">
        <v>3</v>
      </c>
      <c r="AF2020" t="s">
        <v>670</v>
      </c>
      <c r="AG2020">
        <f>IFERROR(VLOOKUP(AF2020,[1]STOK!J:O,6,0),"")</f>
        <v>24</v>
      </c>
      <c r="AH2020" s="2">
        <f t="shared" si="62"/>
        <v>0.125</v>
      </c>
      <c r="AI2020" t="s">
        <v>670</v>
      </c>
      <c r="AJ2020" t="s">
        <v>671</v>
      </c>
      <c r="AK2020" t="s">
        <v>672</v>
      </c>
      <c r="AL2020" t="s">
        <v>86</v>
      </c>
      <c r="AM2020">
        <v>11322</v>
      </c>
      <c r="AN2020">
        <f t="shared" si="63"/>
        <v>11095.56</v>
      </c>
      <c r="AO2020" t="s">
        <v>66</v>
      </c>
      <c r="AP2020">
        <v>2</v>
      </c>
      <c r="AQ2020" t="s">
        <v>66</v>
      </c>
      <c r="AR2020">
        <v>0</v>
      </c>
      <c r="AS2020" t="s">
        <v>66</v>
      </c>
      <c r="AT2020">
        <v>0</v>
      </c>
      <c r="AU2020" t="s">
        <v>66</v>
      </c>
      <c r="AV2020">
        <v>0</v>
      </c>
      <c r="AW2020" t="s">
        <v>66</v>
      </c>
      <c r="AX2020">
        <v>0</v>
      </c>
      <c r="AY2020" t="s">
        <v>66</v>
      </c>
      <c r="AZ2020">
        <v>0</v>
      </c>
      <c r="BA2020" t="s">
        <v>66</v>
      </c>
      <c r="BB2020">
        <v>0</v>
      </c>
      <c r="BC2020">
        <v>0</v>
      </c>
      <c r="BD2020">
        <v>33286.68</v>
      </c>
      <c r="BE2020">
        <v>9144.75</v>
      </c>
      <c r="BF2020">
        <v>0</v>
      </c>
      <c r="BG2020" t="s">
        <v>87</v>
      </c>
      <c r="BH2020" t="s">
        <v>66</v>
      </c>
      <c r="BI2020">
        <v>0</v>
      </c>
      <c r="BJ2020" t="s">
        <v>66</v>
      </c>
      <c r="BK2020" t="s">
        <v>88</v>
      </c>
      <c r="BL2020" t="s">
        <v>719</v>
      </c>
      <c r="BM2020" t="s">
        <v>159</v>
      </c>
    </row>
    <row r="2021" spans="1:65" x14ac:dyDescent="0.25">
      <c r="A2021">
        <v>2019</v>
      </c>
      <c r="B2021" t="s">
        <v>1955</v>
      </c>
      <c r="C2021" t="s">
        <v>68</v>
      </c>
      <c r="D2021" s="1">
        <v>46230</v>
      </c>
      <c r="E2021" t="s">
        <v>1956</v>
      </c>
      <c r="F2021" t="s">
        <v>68</v>
      </c>
      <c r="G2021" t="s">
        <v>295</v>
      </c>
      <c r="H2021" t="s">
        <v>296</v>
      </c>
      <c r="I2021" t="s">
        <v>71</v>
      </c>
      <c r="J2021" t="s">
        <v>72</v>
      </c>
      <c r="K2021" t="s">
        <v>73</v>
      </c>
      <c r="L2021" t="s">
        <v>74</v>
      </c>
      <c r="M2021" t="s">
        <v>1403</v>
      </c>
      <c r="N2021" t="s">
        <v>76</v>
      </c>
      <c r="O2021" t="s">
        <v>1404</v>
      </c>
      <c r="P2021" t="s">
        <v>1405</v>
      </c>
      <c r="Q2021" t="s">
        <v>1957</v>
      </c>
      <c r="R2021" s="1">
        <v>46232</v>
      </c>
      <c r="S2021" t="s">
        <v>841</v>
      </c>
      <c r="T2021" t="s">
        <v>842</v>
      </c>
      <c r="U2021" t="s">
        <v>843</v>
      </c>
      <c r="V2021" t="s">
        <v>66</v>
      </c>
      <c r="W2021" t="s">
        <v>66</v>
      </c>
      <c r="X2021">
        <v>113484</v>
      </c>
      <c r="Y2021">
        <v>12483.24</v>
      </c>
      <c r="Z2021">
        <v>16758</v>
      </c>
      <c r="AA2021">
        <v>1843.38</v>
      </c>
      <c r="AB2021">
        <v>125967.24</v>
      </c>
      <c r="AC2021">
        <v>3</v>
      </c>
      <c r="AD2021" t="s">
        <v>82</v>
      </c>
      <c r="AE2021">
        <v>3</v>
      </c>
      <c r="AF2021" t="s">
        <v>90</v>
      </c>
      <c r="AG2021">
        <f>IFERROR(VLOOKUP(AF2021,[1]STOK!J:O,6,0),"")</f>
        <v>48</v>
      </c>
      <c r="AH2021" s="2">
        <f t="shared" si="62"/>
        <v>6.25E-2</v>
      </c>
      <c r="AI2021" t="s">
        <v>90</v>
      </c>
      <c r="AJ2021" t="s">
        <v>91</v>
      </c>
      <c r="AK2021" t="s">
        <v>92</v>
      </c>
      <c r="AL2021" t="s">
        <v>86</v>
      </c>
      <c r="AM2021">
        <v>6327</v>
      </c>
      <c r="AN2021">
        <f t="shared" si="63"/>
        <v>6200.46</v>
      </c>
      <c r="AO2021" t="s">
        <v>66</v>
      </c>
      <c r="AP2021">
        <v>2</v>
      </c>
      <c r="AQ2021" t="s">
        <v>66</v>
      </c>
      <c r="AR2021">
        <v>0</v>
      </c>
      <c r="AS2021" t="s">
        <v>66</v>
      </c>
      <c r="AT2021">
        <v>0</v>
      </c>
      <c r="AU2021" t="s">
        <v>66</v>
      </c>
      <c r="AV2021">
        <v>0</v>
      </c>
      <c r="AW2021" t="s">
        <v>66</v>
      </c>
      <c r="AX2021">
        <v>0</v>
      </c>
      <c r="AY2021" t="s">
        <v>66</v>
      </c>
      <c r="AZ2021">
        <v>0</v>
      </c>
      <c r="BA2021" t="s">
        <v>66</v>
      </c>
      <c r="BB2021">
        <v>0</v>
      </c>
      <c r="BC2021">
        <v>0</v>
      </c>
      <c r="BD2021">
        <v>18601.38</v>
      </c>
      <c r="BE2021">
        <v>4964.97</v>
      </c>
      <c r="BF2021">
        <v>0</v>
      </c>
      <c r="BG2021" t="s">
        <v>87</v>
      </c>
      <c r="BH2021" t="s">
        <v>66</v>
      </c>
      <c r="BI2021">
        <v>0</v>
      </c>
      <c r="BJ2021" t="s">
        <v>66</v>
      </c>
      <c r="BK2021" t="s">
        <v>88</v>
      </c>
      <c r="BL2021" t="s">
        <v>719</v>
      </c>
      <c r="BM2021" t="s">
        <v>159</v>
      </c>
    </row>
    <row r="2022" spans="1:65" x14ac:dyDescent="0.25">
      <c r="A2022">
        <v>2020</v>
      </c>
      <c r="B2022" t="s">
        <v>1955</v>
      </c>
      <c r="C2022" t="s">
        <v>68</v>
      </c>
      <c r="D2022" s="1">
        <v>46230</v>
      </c>
      <c r="E2022" t="s">
        <v>1956</v>
      </c>
      <c r="F2022" t="s">
        <v>68</v>
      </c>
      <c r="G2022" t="s">
        <v>295</v>
      </c>
      <c r="H2022" t="s">
        <v>296</v>
      </c>
      <c r="I2022" t="s">
        <v>71</v>
      </c>
      <c r="J2022" t="s">
        <v>72</v>
      </c>
      <c r="K2022" t="s">
        <v>73</v>
      </c>
      <c r="L2022" t="s">
        <v>74</v>
      </c>
      <c r="M2022" t="s">
        <v>1403</v>
      </c>
      <c r="N2022" t="s">
        <v>76</v>
      </c>
      <c r="O2022" t="s">
        <v>1404</v>
      </c>
      <c r="P2022" t="s">
        <v>1405</v>
      </c>
      <c r="Q2022" t="s">
        <v>1957</v>
      </c>
      <c r="R2022" s="1">
        <v>46232</v>
      </c>
      <c r="S2022" t="s">
        <v>841</v>
      </c>
      <c r="T2022" t="s">
        <v>842</v>
      </c>
      <c r="U2022" t="s">
        <v>843</v>
      </c>
      <c r="V2022" t="s">
        <v>66</v>
      </c>
      <c r="W2022" t="s">
        <v>66</v>
      </c>
      <c r="X2022">
        <v>113484</v>
      </c>
      <c r="Y2022">
        <v>12483.24</v>
      </c>
      <c r="Z2022">
        <v>16758</v>
      </c>
      <c r="AA2022">
        <v>1843.38</v>
      </c>
      <c r="AB2022">
        <v>125967.24</v>
      </c>
      <c r="AC2022">
        <v>3</v>
      </c>
      <c r="AD2022" t="s">
        <v>82</v>
      </c>
      <c r="AE2022">
        <v>3</v>
      </c>
      <c r="AF2022" t="s">
        <v>202</v>
      </c>
      <c r="AG2022">
        <f>IFERROR(VLOOKUP(AF2022,[1]STOK!J:O,6,0),"")</f>
        <v>48</v>
      </c>
      <c r="AH2022" s="2">
        <f t="shared" si="62"/>
        <v>6.25E-2</v>
      </c>
      <c r="AI2022" t="s">
        <v>202</v>
      </c>
      <c r="AJ2022" t="s">
        <v>203</v>
      </c>
      <c r="AK2022" t="s">
        <v>204</v>
      </c>
      <c r="AL2022" t="s">
        <v>86</v>
      </c>
      <c r="AM2022">
        <v>6327</v>
      </c>
      <c r="AN2022">
        <f t="shared" si="63"/>
        <v>6200.46</v>
      </c>
      <c r="AO2022" t="s">
        <v>66</v>
      </c>
      <c r="AP2022">
        <v>2</v>
      </c>
      <c r="AQ2022" t="s">
        <v>66</v>
      </c>
      <c r="AR2022">
        <v>0</v>
      </c>
      <c r="AS2022" t="s">
        <v>66</v>
      </c>
      <c r="AT2022">
        <v>0</v>
      </c>
      <c r="AU2022" t="s">
        <v>66</v>
      </c>
      <c r="AV2022">
        <v>0</v>
      </c>
      <c r="AW2022" t="s">
        <v>66</v>
      </c>
      <c r="AX2022">
        <v>0</v>
      </c>
      <c r="AY2022" t="s">
        <v>66</v>
      </c>
      <c r="AZ2022">
        <v>0</v>
      </c>
      <c r="BA2022" t="s">
        <v>66</v>
      </c>
      <c r="BB2022">
        <v>0</v>
      </c>
      <c r="BC2022">
        <v>0</v>
      </c>
      <c r="BD2022">
        <v>18601.38</v>
      </c>
      <c r="BE2022">
        <v>5039.6099999999997</v>
      </c>
      <c r="BF2022">
        <v>0</v>
      </c>
      <c r="BG2022" t="s">
        <v>87</v>
      </c>
      <c r="BH2022" t="s">
        <v>66</v>
      </c>
      <c r="BI2022">
        <v>0</v>
      </c>
      <c r="BJ2022" t="s">
        <v>66</v>
      </c>
      <c r="BK2022" t="s">
        <v>88</v>
      </c>
      <c r="BL2022" t="s">
        <v>719</v>
      </c>
      <c r="BM2022" t="s">
        <v>159</v>
      </c>
    </row>
    <row r="2023" spans="1:65" x14ac:dyDescent="0.25">
      <c r="A2023">
        <v>2021</v>
      </c>
      <c r="B2023" t="s">
        <v>1955</v>
      </c>
      <c r="C2023" t="s">
        <v>68</v>
      </c>
      <c r="D2023" s="1">
        <v>46230</v>
      </c>
      <c r="E2023" t="s">
        <v>1956</v>
      </c>
      <c r="F2023" t="s">
        <v>68</v>
      </c>
      <c r="G2023" t="s">
        <v>295</v>
      </c>
      <c r="H2023" t="s">
        <v>296</v>
      </c>
      <c r="I2023" t="s">
        <v>71</v>
      </c>
      <c r="J2023" t="s">
        <v>72</v>
      </c>
      <c r="K2023" t="s">
        <v>73</v>
      </c>
      <c r="L2023" t="s">
        <v>74</v>
      </c>
      <c r="M2023" t="s">
        <v>1403</v>
      </c>
      <c r="N2023" t="s">
        <v>76</v>
      </c>
      <c r="O2023" t="s">
        <v>1404</v>
      </c>
      <c r="P2023" t="s">
        <v>1405</v>
      </c>
      <c r="Q2023" t="s">
        <v>1957</v>
      </c>
      <c r="R2023" s="1">
        <v>46232</v>
      </c>
      <c r="S2023" t="s">
        <v>841</v>
      </c>
      <c r="T2023" t="s">
        <v>842</v>
      </c>
      <c r="U2023" t="s">
        <v>843</v>
      </c>
      <c r="V2023" t="s">
        <v>66</v>
      </c>
      <c r="W2023" t="s">
        <v>66</v>
      </c>
      <c r="X2023">
        <v>113484</v>
      </c>
      <c r="Y2023">
        <v>12483.24</v>
      </c>
      <c r="Z2023">
        <v>16758</v>
      </c>
      <c r="AA2023">
        <v>1843.38</v>
      </c>
      <c r="AB2023">
        <v>125967.24</v>
      </c>
      <c r="AC2023">
        <v>3</v>
      </c>
      <c r="AD2023" t="s">
        <v>82</v>
      </c>
      <c r="AE2023">
        <v>3</v>
      </c>
      <c r="AF2023" t="s">
        <v>350</v>
      </c>
      <c r="AG2023">
        <f>IFERROR(VLOOKUP(AF2023,[1]STOK!J:O,6,0),"")</f>
        <v>48</v>
      </c>
      <c r="AH2023" s="2">
        <f t="shared" si="62"/>
        <v>6.25E-2</v>
      </c>
      <c r="AI2023" t="s">
        <v>350</v>
      </c>
      <c r="AJ2023" t="s">
        <v>351</v>
      </c>
      <c r="AK2023" t="s">
        <v>352</v>
      </c>
      <c r="AL2023" t="s">
        <v>86</v>
      </c>
      <c r="AM2023">
        <v>6327</v>
      </c>
      <c r="AN2023">
        <f t="shared" si="63"/>
        <v>6200.46</v>
      </c>
      <c r="AO2023" t="s">
        <v>66</v>
      </c>
      <c r="AP2023">
        <v>2</v>
      </c>
      <c r="AQ2023" t="s">
        <v>66</v>
      </c>
      <c r="AR2023">
        <v>0</v>
      </c>
      <c r="AS2023" t="s">
        <v>66</v>
      </c>
      <c r="AT2023">
        <v>0</v>
      </c>
      <c r="AU2023" t="s">
        <v>66</v>
      </c>
      <c r="AV2023">
        <v>0</v>
      </c>
      <c r="AW2023" t="s">
        <v>66</v>
      </c>
      <c r="AX2023">
        <v>0</v>
      </c>
      <c r="AY2023" t="s">
        <v>66</v>
      </c>
      <c r="AZ2023">
        <v>0</v>
      </c>
      <c r="BA2023" t="s">
        <v>66</v>
      </c>
      <c r="BB2023">
        <v>0</v>
      </c>
      <c r="BC2023">
        <v>0</v>
      </c>
      <c r="BD2023">
        <v>18601.38</v>
      </c>
      <c r="BE2023">
        <v>5068.84</v>
      </c>
      <c r="BF2023">
        <v>0</v>
      </c>
      <c r="BG2023" t="s">
        <v>87</v>
      </c>
      <c r="BH2023" t="s">
        <v>66</v>
      </c>
      <c r="BI2023">
        <v>0</v>
      </c>
      <c r="BJ2023" t="s">
        <v>66</v>
      </c>
      <c r="BK2023" t="s">
        <v>88</v>
      </c>
      <c r="BL2023" t="s">
        <v>719</v>
      </c>
      <c r="BM2023" t="s">
        <v>159</v>
      </c>
    </row>
    <row r="2024" spans="1:65" x14ac:dyDescent="0.25">
      <c r="A2024">
        <v>2022</v>
      </c>
      <c r="B2024" t="s">
        <v>1958</v>
      </c>
      <c r="C2024" t="s">
        <v>68</v>
      </c>
      <c r="D2024" s="1">
        <v>46230</v>
      </c>
      <c r="E2024" t="s">
        <v>1959</v>
      </c>
      <c r="F2024" t="s">
        <v>68</v>
      </c>
      <c r="G2024" t="s">
        <v>295</v>
      </c>
      <c r="H2024" t="s">
        <v>296</v>
      </c>
      <c r="I2024" t="s">
        <v>71</v>
      </c>
      <c r="J2024" t="s">
        <v>72</v>
      </c>
      <c r="K2024" t="s">
        <v>73</v>
      </c>
      <c r="L2024" t="s">
        <v>74</v>
      </c>
      <c r="M2024" t="s">
        <v>1960</v>
      </c>
      <c r="N2024" t="s">
        <v>111</v>
      </c>
      <c r="O2024" t="s">
        <v>1961</v>
      </c>
      <c r="P2024" t="s">
        <v>1962</v>
      </c>
      <c r="Q2024" t="s">
        <v>66</v>
      </c>
      <c r="R2024" s="1">
        <v>46230</v>
      </c>
      <c r="S2024" t="s">
        <v>1963</v>
      </c>
      <c r="T2024" t="s">
        <v>1964</v>
      </c>
      <c r="U2024" t="s">
        <v>1965</v>
      </c>
      <c r="V2024" t="s">
        <v>66</v>
      </c>
      <c r="W2024" t="s">
        <v>66</v>
      </c>
      <c r="X2024">
        <v>216500</v>
      </c>
      <c r="Y2024">
        <v>23815</v>
      </c>
      <c r="Z2024">
        <v>39900</v>
      </c>
      <c r="AA2024">
        <v>4389</v>
      </c>
      <c r="AB2024">
        <v>240315</v>
      </c>
      <c r="AC2024">
        <v>3</v>
      </c>
      <c r="AD2024" t="s">
        <v>82</v>
      </c>
      <c r="AE2024">
        <v>3</v>
      </c>
      <c r="AF2024" t="s">
        <v>135</v>
      </c>
      <c r="AG2024">
        <f>IFERROR(VLOOKUP(AF2024,[1]STOK!J:O,6,0),"")</f>
        <v>12</v>
      </c>
      <c r="AH2024" s="2">
        <f t="shared" si="62"/>
        <v>0.25</v>
      </c>
      <c r="AI2024" t="s">
        <v>135</v>
      </c>
      <c r="AJ2024" t="s">
        <v>136</v>
      </c>
      <c r="AK2024" t="s">
        <v>137</v>
      </c>
      <c r="AL2024" t="s">
        <v>86</v>
      </c>
      <c r="AM2024">
        <v>14763</v>
      </c>
      <c r="AN2024">
        <f t="shared" si="63"/>
        <v>14763</v>
      </c>
      <c r="AO2024" t="s">
        <v>66</v>
      </c>
      <c r="AP2024">
        <v>0</v>
      </c>
      <c r="AQ2024" t="s">
        <v>66</v>
      </c>
      <c r="AR2024">
        <v>0</v>
      </c>
      <c r="AS2024" t="s">
        <v>66</v>
      </c>
      <c r="AT2024">
        <v>0</v>
      </c>
      <c r="AU2024" t="s">
        <v>66</v>
      </c>
      <c r="AV2024">
        <v>0</v>
      </c>
      <c r="AW2024" t="s">
        <v>66</v>
      </c>
      <c r="AX2024">
        <v>0</v>
      </c>
      <c r="AY2024" t="s">
        <v>66</v>
      </c>
      <c r="AZ2024">
        <v>0</v>
      </c>
      <c r="BA2024" t="s">
        <v>66</v>
      </c>
      <c r="BB2024">
        <v>0</v>
      </c>
      <c r="BC2024">
        <v>0</v>
      </c>
      <c r="BD2024">
        <v>44289</v>
      </c>
      <c r="BE2024">
        <v>12034.95</v>
      </c>
      <c r="BF2024">
        <v>0</v>
      </c>
      <c r="BG2024" t="s">
        <v>87</v>
      </c>
      <c r="BH2024" t="s">
        <v>66</v>
      </c>
      <c r="BI2024">
        <v>0</v>
      </c>
      <c r="BJ2024" t="s">
        <v>66</v>
      </c>
      <c r="BK2024" t="s">
        <v>88</v>
      </c>
      <c r="BL2024" t="s">
        <v>66</v>
      </c>
      <c r="BM2024" t="s">
        <v>159</v>
      </c>
    </row>
    <row r="2025" spans="1:65" x14ac:dyDescent="0.25">
      <c r="A2025">
        <v>2023</v>
      </c>
      <c r="B2025" t="s">
        <v>1958</v>
      </c>
      <c r="C2025" t="s">
        <v>68</v>
      </c>
      <c r="D2025" s="1">
        <v>46230</v>
      </c>
      <c r="E2025" t="s">
        <v>1959</v>
      </c>
      <c r="F2025" t="s">
        <v>68</v>
      </c>
      <c r="G2025" t="s">
        <v>295</v>
      </c>
      <c r="H2025" t="s">
        <v>296</v>
      </c>
      <c r="I2025" t="s">
        <v>71</v>
      </c>
      <c r="J2025" t="s">
        <v>72</v>
      </c>
      <c r="K2025" t="s">
        <v>73</v>
      </c>
      <c r="L2025" t="s">
        <v>74</v>
      </c>
      <c r="M2025" t="s">
        <v>1960</v>
      </c>
      <c r="N2025" t="s">
        <v>111</v>
      </c>
      <c r="O2025" t="s">
        <v>1961</v>
      </c>
      <c r="P2025" t="s">
        <v>1962</v>
      </c>
      <c r="Q2025" t="s">
        <v>66</v>
      </c>
      <c r="R2025" s="1">
        <v>46230</v>
      </c>
      <c r="S2025" t="s">
        <v>1963</v>
      </c>
      <c r="T2025" t="s">
        <v>1964</v>
      </c>
      <c r="U2025" t="s">
        <v>1965</v>
      </c>
      <c r="V2025" t="s">
        <v>66</v>
      </c>
      <c r="W2025" t="s">
        <v>66</v>
      </c>
      <c r="X2025">
        <v>216500</v>
      </c>
      <c r="Y2025">
        <v>23815</v>
      </c>
      <c r="Z2025">
        <v>60000</v>
      </c>
      <c r="AA2025">
        <v>6600</v>
      </c>
      <c r="AB2025">
        <v>240315</v>
      </c>
      <c r="AC2025">
        <v>3</v>
      </c>
      <c r="AD2025" t="s">
        <v>82</v>
      </c>
      <c r="AE2025">
        <v>3</v>
      </c>
      <c r="AF2025" t="s">
        <v>290</v>
      </c>
      <c r="AG2025">
        <f>IFERROR(VLOOKUP(AF2025,[1]STOK!J:O,6,0),"")</f>
        <v>12</v>
      </c>
      <c r="AH2025" s="2">
        <f t="shared" si="62"/>
        <v>0.25</v>
      </c>
      <c r="AI2025" t="s">
        <v>290</v>
      </c>
      <c r="AJ2025" t="s">
        <v>291</v>
      </c>
      <c r="AK2025" t="s">
        <v>292</v>
      </c>
      <c r="AL2025" t="s">
        <v>86</v>
      </c>
      <c r="AM2025">
        <v>22200</v>
      </c>
      <c r="AN2025">
        <f t="shared" si="63"/>
        <v>22200</v>
      </c>
      <c r="AO2025" t="s">
        <v>66</v>
      </c>
      <c r="AP2025">
        <v>0</v>
      </c>
      <c r="AQ2025" t="s">
        <v>66</v>
      </c>
      <c r="AR2025">
        <v>0</v>
      </c>
      <c r="AS2025" t="s">
        <v>66</v>
      </c>
      <c r="AT2025">
        <v>0</v>
      </c>
      <c r="AU2025" t="s">
        <v>66</v>
      </c>
      <c r="AV2025">
        <v>0</v>
      </c>
      <c r="AW2025" t="s">
        <v>66</v>
      </c>
      <c r="AX2025">
        <v>0</v>
      </c>
      <c r="AY2025" t="s">
        <v>66</v>
      </c>
      <c r="AZ2025">
        <v>0</v>
      </c>
      <c r="BA2025" t="s">
        <v>66</v>
      </c>
      <c r="BB2025">
        <v>0</v>
      </c>
      <c r="BC2025">
        <v>0</v>
      </c>
      <c r="BD2025">
        <v>66600</v>
      </c>
      <c r="BE2025">
        <v>18113.71</v>
      </c>
      <c r="BF2025">
        <v>0</v>
      </c>
      <c r="BG2025" t="s">
        <v>87</v>
      </c>
      <c r="BH2025" t="s">
        <v>66</v>
      </c>
      <c r="BI2025">
        <v>0</v>
      </c>
      <c r="BJ2025" t="s">
        <v>66</v>
      </c>
      <c r="BK2025" t="s">
        <v>88</v>
      </c>
      <c r="BL2025" t="s">
        <v>66</v>
      </c>
      <c r="BM2025" t="s">
        <v>159</v>
      </c>
    </row>
    <row r="2026" spans="1:65" x14ac:dyDescent="0.25">
      <c r="A2026">
        <v>2024</v>
      </c>
      <c r="B2026" t="s">
        <v>1958</v>
      </c>
      <c r="C2026" t="s">
        <v>68</v>
      </c>
      <c r="D2026" s="1">
        <v>46230</v>
      </c>
      <c r="E2026" t="s">
        <v>1959</v>
      </c>
      <c r="F2026" t="s">
        <v>68</v>
      </c>
      <c r="G2026" t="s">
        <v>295</v>
      </c>
      <c r="H2026" t="s">
        <v>296</v>
      </c>
      <c r="I2026" t="s">
        <v>71</v>
      </c>
      <c r="J2026" t="s">
        <v>72</v>
      </c>
      <c r="K2026" t="s">
        <v>73</v>
      </c>
      <c r="L2026" t="s">
        <v>74</v>
      </c>
      <c r="M2026" t="s">
        <v>1960</v>
      </c>
      <c r="N2026" t="s">
        <v>111</v>
      </c>
      <c r="O2026" t="s">
        <v>1961</v>
      </c>
      <c r="P2026" t="s">
        <v>1962</v>
      </c>
      <c r="Q2026" t="s">
        <v>66</v>
      </c>
      <c r="R2026" s="1">
        <v>46230</v>
      </c>
      <c r="S2026" t="s">
        <v>1963</v>
      </c>
      <c r="T2026" t="s">
        <v>1964</v>
      </c>
      <c r="U2026" t="s">
        <v>1965</v>
      </c>
      <c r="V2026" t="s">
        <v>66</v>
      </c>
      <c r="W2026" t="s">
        <v>66</v>
      </c>
      <c r="X2026">
        <v>216500</v>
      </c>
      <c r="Y2026">
        <v>23815</v>
      </c>
      <c r="Z2026">
        <v>40000</v>
      </c>
      <c r="AA2026">
        <v>4400</v>
      </c>
      <c r="AB2026">
        <v>240315</v>
      </c>
      <c r="AC2026">
        <v>2</v>
      </c>
      <c r="AD2026" t="s">
        <v>82</v>
      </c>
      <c r="AE2026">
        <v>2</v>
      </c>
      <c r="AF2026" t="s">
        <v>102</v>
      </c>
      <c r="AG2026">
        <f>IFERROR(VLOOKUP(AF2026,[1]STOK!J:O,6,0),"")</f>
        <v>12</v>
      </c>
      <c r="AH2026" s="2">
        <f t="shared" si="62"/>
        <v>0.16666666666666666</v>
      </c>
      <c r="AI2026" t="s">
        <v>102</v>
      </c>
      <c r="AJ2026" t="s">
        <v>103</v>
      </c>
      <c r="AK2026" t="s">
        <v>104</v>
      </c>
      <c r="AL2026" t="s">
        <v>86</v>
      </c>
      <c r="AM2026">
        <v>22200</v>
      </c>
      <c r="AN2026">
        <f t="shared" si="63"/>
        <v>22200</v>
      </c>
      <c r="AO2026" t="s">
        <v>66</v>
      </c>
      <c r="AP2026">
        <v>0</v>
      </c>
      <c r="AQ2026" t="s">
        <v>66</v>
      </c>
      <c r="AR2026">
        <v>0</v>
      </c>
      <c r="AS2026" t="s">
        <v>66</v>
      </c>
      <c r="AT2026">
        <v>0</v>
      </c>
      <c r="AU2026" t="s">
        <v>66</v>
      </c>
      <c r="AV2026">
        <v>0</v>
      </c>
      <c r="AW2026" t="s">
        <v>66</v>
      </c>
      <c r="AX2026">
        <v>0</v>
      </c>
      <c r="AY2026" t="s">
        <v>66</v>
      </c>
      <c r="AZ2026">
        <v>0</v>
      </c>
      <c r="BA2026" t="s">
        <v>66</v>
      </c>
      <c r="BB2026">
        <v>0</v>
      </c>
      <c r="BC2026">
        <v>0</v>
      </c>
      <c r="BD2026">
        <v>44400</v>
      </c>
      <c r="BE2026">
        <v>18005.03</v>
      </c>
      <c r="BF2026">
        <v>0</v>
      </c>
      <c r="BG2026" t="s">
        <v>87</v>
      </c>
      <c r="BH2026" t="s">
        <v>66</v>
      </c>
      <c r="BI2026">
        <v>0</v>
      </c>
      <c r="BJ2026" t="s">
        <v>66</v>
      </c>
      <c r="BK2026" t="s">
        <v>88</v>
      </c>
      <c r="BL2026" t="s">
        <v>66</v>
      </c>
      <c r="BM2026" t="s">
        <v>159</v>
      </c>
    </row>
    <row r="2027" spans="1:65" x14ac:dyDescent="0.25">
      <c r="A2027">
        <v>2025</v>
      </c>
      <c r="B2027" t="s">
        <v>1958</v>
      </c>
      <c r="C2027" t="s">
        <v>68</v>
      </c>
      <c r="D2027" s="1">
        <v>46230</v>
      </c>
      <c r="E2027" t="s">
        <v>1959</v>
      </c>
      <c r="F2027" t="s">
        <v>68</v>
      </c>
      <c r="G2027" t="s">
        <v>295</v>
      </c>
      <c r="H2027" t="s">
        <v>296</v>
      </c>
      <c r="I2027" t="s">
        <v>71</v>
      </c>
      <c r="J2027" t="s">
        <v>72</v>
      </c>
      <c r="K2027" t="s">
        <v>73</v>
      </c>
      <c r="L2027" t="s">
        <v>74</v>
      </c>
      <c r="M2027" t="s">
        <v>1960</v>
      </c>
      <c r="N2027" t="s">
        <v>111</v>
      </c>
      <c r="O2027" t="s">
        <v>1961</v>
      </c>
      <c r="P2027" t="s">
        <v>1962</v>
      </c>
      <c r="Q2027" t="s">
        <v>66</v>
      </c>
      <c r="R2027" s="1">
        <v>46230</v>
      </c>
      <c r="S2027" t="s">
        <v>1963</v>
      </c>
      <c r="T2027" t="s">
        <v>1964</v>
      </c>
      <c r="U2027" t="s">
        <v>1965</v>
      </c>
      <c r="V2027" t="s">
        <v>66</v>
      </c>
      <c r="W2027" t="s">
        <v>66</v>
      </c>
      <c r="X2027">
        <v>216500</v>
      </c>
      <c r="Y2027">
        <v>23815</v>
      </c>
      <c r="Z2027">
        <v>76600</v>
      </c>
      <c r="AA2027">
        <v>8426</v>
      </c>
      <c r="AB2027">
        <v>240315</v>
      </c>
      <c r="AC2027">
        <v>2</v>
      </c>
      <c r="AD2027" t="s">
        <v>82</v>
      </c>
      <c r="AE2027">
        <v>2</v>
      </c>
      <c r="AF2027" t="s">
        <v>138</v>
      </c>
      <c r="AG2027">
        <f>IFERROR(VLOOKUP(AF2027,[1]STOK!J:O,6,0),"")</f>
        <v>6</v>
      </c>
      <c r="AH2027" s="2">
        <f t="shared" si="62"/>
        <v>0.33333333333333331</v>
      </c>
      <c r="AI2027" t="s">
        <v>138</v>
      </c>
      <c r="AJ2027" t="s">
        <v>139</v>
      </c>
      <c r="AK2027" t="s">
        <v>140</v>
      </c>
      <c r="AL2027" t="s">
        <v>86</v>
      </c>
      <c r="AM2027">
        <v>42513</v>
      </c>
      <c r="AN2027">
        <f t="shared" si="63"/>
        <v>42513</v>
      </c>
      <c r="AO2027" t="s">
        <v>66</v>
      </c>
      <c r="AP2027">
        <v>0</v>
      </c>
      <c r="AQ2027" t="s">
        <v>66</v>
      </c>
      <c r="AR2027">
        <v>0</v>
      </c>
      <c r="AS2027" t="s">
        <v>66</v>
      </c>
      <c r="AT2027">
        <v>0</v>
      </c>
      <c r="AU2027" t="s">
        <v>66</v>
      </c>
      <c r="AV2027">
        <v>0</v>
      </c>
      <c r="AW2027" t="s">
        <v>66</v>
      </c>
      <c r="AX2027">
        <v>0</v>
      </c>
      <c r="AY2027" t="s">
        <v>66</v>
      </c>
      <c r="AZ2027">
        <v>0</v>
      </c>
      <c r="BA2027" t="s">
        <v>66</v>
      </c>
      <c r="BB2027">
        <v>0</v>
      </c>
      <c r="BC2027">
        <v>0</v>
      </c>
      <c r="BD2027">
        <v>85026</v>
      </c>
      <c r="BE2027">
        <v>34652.559999999998</v>
      </c>
      <c r="BF2027">
        <v>0</v>
      </c>
      <c r="BG2027" t="s">
        <v>87</v>
      </c>
      <c r="BH2027" t="s">
        <v>66</v>
      </c>
      <c r="BI2027">
        <v>0</v>
      </c>
      <c r="BJ2027" t="s">
        <v>66</v>
      </c>
      <c r="BK2027" t="s">
        <v>88</v>
      </c>
      <c r="BL2027" t="s">
        <v>66</v>
      </c>
      <c r="BM2027" t="s">
        <v>159</v>
      </c>
    </row>
    <row r="2028" spans="1:65" x14ac:dyDescent="0.25">
      <c r="A2028">
        <v>2026</v>
      </c>
      <c r="B2028" t="s">
        <v>1966</v>
      </c>
      <c r="C2028" t="s">
        <v>68</v>
      </c>
      <c r="D2028" s="1">
        <v>46230</v>
      </c>
      <c r="E2028" t="s">
        <v>1967</v>
      </c>
      <c r="F2028" t="s">
        <v>68</v>
      </c>
      <c r="G2028" t="s">
        <v>69</v>
      </c>
      <c r="H2028" t="s">
        <v>70</v>
      </c>
      <c r="I2028" t="s">
        <v>71</v>
      </c>
      <c r="J2028" t="s">
        <v>72</v>
      </c>
      <c r="K2028" t="s">
        <v>73</v>
      </c>
      <c r="L2028" t="s">
        <v>74</v>
      </c>
      <c r="M2028" t="s">
        <v>924</v>
      </c>
      <c r="N2028" t="s">
        <v>111</v>
      </c>
      <c r="O2028" t="s">
        <v>925</v>
      </c>
      <c r="P2028" t="s">
        <v>926</v>
      </c>
      <c r="Q2028" t="s">
        <v>1968</v>
      </c>
      <c r="R2028" s="1">
        <v>46232</v>
      </c>
      <c r="S2028" t="s">
        <v>544</v>
      </c>
      <c r="T2028" t="s">
        <v>545</v>
      </c>
      <c r="U2028" t="s">
        <v>546</v>
      </c>
      <c r="V2028" t="s">
        <v>66</v>
      </c>
      <c r="W2028" t="s">
        <v>66</v>
      </c>
      <c r="X2028">
        <v>868038</v>
      </c>
      <c r="Y2028">
        <v>95484.18</v>
      </c>
      <c r="Z2028">
        <v>22089</v>
      </c>
      <c r="AA2028">
        <v>2429.79</v>
      </c>
      <c r="AB2028">
        <v>963522.18</v>
      </c>
      <c r="AC2028">
        <v>3</v>
      </c>
      <c r="AD2028" t="s">
        <v>82</v>
      </c>
      <c r="AE2028">
        <v>3</v>
      </c>
      <c r="AF2028" t="s">
        <v>83</v>
      </c>
      <c r="AG2028">
        <f>IFERROR(VLOOKUP(AF2028,[1]STOK!J:O,6,0),"")</f>
        <v>24</v>
      </c>
      <c r="AH2028" s="2">
        <f t="shared" si="62"/>
        <v>0.125</v>
      </c>
      <c r="AI2028" t="s">
        <v>83</v>
      </c>
      <c r="AJ2028" t="s">
        <v>84</v>
      </c>
      <c r="AK2028" t="s">
        <v>85</v>
      </c>
      <c r="AL2028" t="s">
        <v>86</v>
      </c>
      <c r="AM2028">
        <v>8214</v>
      </c>
      <c r="AN2028">
        <f t="shared" si="63"/>
        <v>8172.93</v>
      </c>
      <c r="AO2028" t="s">
        <v>66</v>
      </c>
      <c r="AP2028">
        <v>0.5</v>
      </c>
      <c r="AQ2028" t="s">
        <v>66</v>
      </c>
      <c r="AR2028">
        <v>0</v>
      </c>
      <c r="AS2028" t="s">
        <v>66</v>
      </c>
      <c r="AT2028">
        <v>0</v>
      </c>
      <c r="AU2028" t="s">
        <v>66</v>
      </c>
      <c r="AV2028">
        <v>0</v>
      </c>
      <c r="AW2028" t="s">
        <v>66</v>
      </c>
      <c r="AX2028">
        <v>0</v>
      </c>
      <c r="AY2028" t="s">
        <v>66</v>
      </c>
      <c r="AZ2028">
        <v>0</v>
      </c>
      <c r="BA2028" t="s">
        <v>66</v>
      </c>
      <c r="BB2028">
        <v>0</v>
      </c>
      <c r="BC2028">
        <v>0</v>
      </c>
      <c r="BD2028">
        <v>24518.79</v>
      </c>
      <c r="BE2028">
        <v>6682.78</v>
      </c>
      <c r="BF2028">
        <v>0</v>
      </c>
      <c r="BG2028" t="s">
        <v>87</v>
      </c>
      <c r="BH2028" t="s">
        <v>66</v>
      </c>
      <c r="BI2028">
        <v>0</v>
      </c>
      <c r="BJ2028" t="s">
        <v>66</v>
      </c>
      <c r="BK2028" t="s">
        <v>88</v>
      </c>
      <c r="BL2028" t="s">
        <v>547</v>
      </c>
      <c r="BM2028" t="s">
        <v>159</v>
      </c>
    </row>
    <row r="2029" spans="1:65" x14ac:dyDescent="0.25">
      <c r="A2029">
        <v>2027</v>
      </c>
      <c r="B2029" t="s">
        <v>1966</v>
      </c>
      <c r="C2029" t="s">
        <v>68</v>
      </c>
      <c r="D2029" s="1">
        <v>46230</v>
      </c>
      <c r="E2029" t="s">
        <v>1967</v>
      </c>
      <c r="F2029" t="s">
        <v>68</v>
      </c>
      <c r="G2029" t="s">
        <v>69</v>
      </c>
      <c r="H2029" t="s">
        <v>70</v>
      </c>
      <c r="I2029" t="s">
        <v>71</v>
      </c>
      <c r="J2029" t="s">
        <v>72</v>
      </c>
      <c r="K2029" t="s">
        <v>73</v>
      </c>
      <c r="L2029" t="s">
        <v>74</v>
      </c>
      <c r="M2029" t="s">
        <v>924</v>
      </c>
      <c r="N2029" t="s">
        <v>111</v>
      </c>
      <c r="O2029" t="s">
        <v>925</v>
      </c>
      <c r="P2029" t="s">
        <v>926</v>
      </c>
      <c r="Q2029" t="s">
        <v>1968</v>
      </c>
      <c r="R2029" s="1">
        <v>46232</v>
      </c>
      <c r="S2029" t="s">
        <v>544</v>
      </c>
      <c r="T2029" t="s">
        <v>545</v>
      </c>
      <c r="U2029" t="s">
        <v>546</v>
      </c>
      <c r="V2029" t="s">
        <v>66</v>
      </c>
      <c r="W2029" t="s">
        <v>66</v>
      </c>
      <c r="X2029">
        <v>868038</v>
      </c>
      <c r="Y2029">
        <v>95484.18</v>
      </c>
      <c r="Z2029">
        <v>91042.5</v>
      </c>
      <c r="AA2029">
        <v>10014.68</v>
      </c>
      <c r="AB2029">
        <v>963522.18</v>
      </c>
      <c r="AC2029">
        <v>15</v>
      </c>
      <c r="AD2029" t="s">
        <v>82</v>
      </c>
      <c r="AE2029">
        <v>15</v>
      </c>
      <c r="AF2029" t="s">
        <v>125</v>
      </c>
      <c r="AG2029">
        <f>IFERROR(VLOOKUP(AF2029,[1]STOK!J:O,6,0),"")</f>
        <v>48</v>
      </c>
      <c r="AH2029" s="2">
        <f t="shared" si="62"/>
        <v>0.3125</v>
      </c>
      <c r="AI2029" t="s">
        <v>125</v>
      </c>
      <c r="AJ2029" t="s">
        <v>126</v>
      </c>
      <c r="AK2029" t="s">
        <v>127</v>
      </c>
      <c r="AL2029" t="s">
        <v>86</v>
      </c>
      <c r="AM2029">
        <v>6771</v>
      </c>
      <c r="AN2029">
        <f t="shared" si="63"/>
        <v>6737.1453333333329</v>
      </c>
      <c r="AO2029" t="s">
        <v>66</v>
      </c>
      <c r="AP2029">
        <v>0.5</v>
      </c>
      <c r="AQ2029" t="s">
        <v>66</v>
      </c>
      <c r="AR2029">
        <v>0</v>
      </c>
      <c r="AS2029" t="s">
        <v>66</v>
      </c>
      <c r="AT2029">
        <v>0</v>
      </c>
      <c r="AU2029" t="s">
        <v>66</v>
      </c>
      <c r="AV2029">
        <v>0</v>
      </c>
      <c r="AW2029" t="s">
        <v>66</v>
      </c>
      <c r="AX2029">
        <v>0</v>
      </c>
      <c r="AY2029" t="s">
        <v>66</v>
      </c>
      <c r="AZ2029">
        <v>0</v>
      </c>
      <c r="BA2029" t="s">
        <v>66</v>
      </c>
      <c r="BB2029">
        <v>0</v>
      </c>
      <c r="BC2029">
        <v>0</v>
      </c>
      <c r="BD2029">
        <v>101057.18</v>
      </c>
      <c r="BE2029">
        <v>5333.96</v>
      </c>
      <c r="BF2029">
        <v>0</v>
      </c>
      <c r="BG2029" t="s">
        <v>87</v>
      </c>
      <c r="BH2029" t="s">
        <v>66</v>
      </c>
      <c r="BI2029">
        <v>0</v>
      </c>
      <c r="BJ2029" t="s">
        <v>66</v>
      </c>
      <c r="BK2029" t="s">
        <v>88</v>
      </c>
      <c r="BL2029" t="s">
        <v>547</v>
      </c>
      <c r="BM2029" t="s">
        <v>159</v>
      </c>
    </row>
    <row r="2030" spans="1:65" x14ac:dyDescent="0.25">
      <c r="A2030">
        <v>2028</v>
      </c>
      <c r="B2030" t="s">
        <v>1966</v>
      </c>
      <c r="C2030" t="s">
        <v>68</v>
      </c>
      <c r="D2030" s="1">
        <v>46230</v>
      </c>
      <c r="E2030" t="s">
        <v>1967</v>
      </c>
      <c r="F2030" t="s">
        <v>68</v>
      </c>
      <c r="G2030" t="s">
        <v>69</v>
      </c>
      <c r="H2030" t="s">
        <v>70</v>
      </c>
      <c r="I2030" t="s">
        <v>71</v>
      </c>
      <c r="J2030" t="s">
        <v>72</v>
      </c>
      <c r="K2030" t="s">
        <v>73</v>
      </c>
      <c r="L2030" t="s">
        <v>74</v>
      </c>
      <c r="M2030" t="s">
        <v>924</v>
      </c>
      <c r="N2030" t="s">
        <v>111</v>
      </c>
      <c r="O2030" t="s">
        <v>925</v>
      </c>
      <c r="P2030" t="s">
        <v>926</v>
      </c>
      <c r="Q2030" t="s">
        <v>1968</v>
      </c>
      <c r="R2030" s="1">
        <v>46232</v>
      </c>
      <c r="S2030" t="s">
        <v>544</v>
      </c>
      <c r="T2030" t="s">
        <v>545</v>
      </c>
      <c r="U2030" t="s">
        <v>546</v>
      </c>
      <c r="V2030" t="s">
        <v>66</v>
      </c>
      <c r="W2030" t="s">
        <v>66</v>
      </c>
      <c r="X2030">
        <v>868038</v>
      </c>
      <c r="Y2030">
        <v>95484.18</v>
      </c>
      <c r="Z2030">
        <v>34029</v>
      </c>
      <c r="AA2030">
        <v>3743.19</v>
      </c>
      <c r="AB2030">
        <v>963522.18</v>
      </c>
      <c r="AC2030">
        <v>6</v>
      </c>
      <c r="AD2030" t="s">
        <v>82</v>
      </c>
      <c r="AE2030">
        <v>6</v>
      </c>
      <c r="AF2030" t="s">
        <v>202</v>
      </c>
      <c r="AG2030">
        <f>IFERROR(VLOOKUP(AF2030,[1]STOK!J:O,6,0),"")</f>
        <v>48</v>
      </c>
      <c r="AH2030" s="2">
        <f t="shared" si="62"/>
        <v>0.125</v>
      </c>
      <c r="AI2030" t="s">
        <v>202</v>
      </c>
      <c r="AJ2030" t="s">
        <v>203</v>
      </c>
      <c r="AK2030" t="s">
        <v>204</v>
      </c>
      <c r="AL2030" t="s">
        <v>86</v>
      </c>
      <c r="AM2030">
        <v>6327</v>
      </c>
      <c r="AN2030">
        <f t="shared" si="63"/>
        <v>6295.3650000000007</v>
      </c>
      <c r="AO2030" t="s">
        <v>66</v>
      </c>
      <c r="AP2030">
        <v>0.5</v>
      </c>
      <c r="AQ2030" t="s">
        <v>66</v>
      </c>
      <c r="AR2030">
        <v>0</v>
      </c>
      <c r="AS2030" t="s">
        <v>66</v>
      </c>
      <c r="AT2030">
        <v>0</v>
      </c>
      <c r="AU2030" t="s">
        <v>66</v>
      </c>
      <c r="AV2030">
        <v>0</v>
      </c>
      <c r="AW2030" t="s">
        <v>66</v>
      </c>
      <c r="AX2030">
        <v>0</v>
      </c>
      <c r="AY2030" t="s">
        <v>66</v>
      </c>
      <c r="AZ2030">
        <v>0</v>
      </c>
      <c r="BA2030" t="s">
        <v>66</v>
      </c>
      <c r="BB2030">
        <v>0</v>
      </c>
      <c r="BC2030">
        <v>0</v>
      </c>
      <c r="BD2030">
        <v>37772.19</v>
      </c>
      <c r="BE2030">
        <v>5039.6099999999997</v>
      </c>
      <c r="BF2030">
        <v>0</v>
      </c>
      <c r="BG2030" t="s">
        <v>87</v>
      </c>
      <c r="BH2030" t="s">
        <v>66</v>
      </c>
      <c r="BI2030">
        <v>0</v>
      </c>
      <c r="BJ2030" t="s">
        <v>66</v>
      </c>
      <c r="BK2030" t="s">
        <v>88</v>
      </c>
      <c r="BL2030" t="s">
        <v>547</v>
      </c>
      <c r="BM2030" t="s">
        <v>159</v>
      </c>
    </row>
    <row r="2031" spans="1:65" x14ac:dyDescent="0.25">
      <c r="A2031">
        <v>2029</v>
      </c>
      <c r="B2031" t="s">
        <v>1966</v>
      </c>
      <c r="C2031" t="s">
        <v>68</v>
      </c>
      <c r="D2031" s="1">
        <v>46230</v>
      </c>
      <c r="E2031" t="s">
        <v>1967</v>
      </c>
      <c r="F2031" t="s">
        <v>68</v>
      </c>
      <c r="G2031" t="s">
        <v>69</v>
      </c>
      <c r="H2031" t="s">
        <v>70</v>
      </c>
      <c r="I2031" t="s">
        <v>71</v>
      </c>
      <c r="J2031" t="s">
        <v>72</v>
      </c>
      <c r="K2031" t="s">
        <v>73</v>
      </c>
      <c r="L2031" t="s">
        <v>74</v>
      </c>
      <c r="M2031" t="s">
        <v>924</v>
      </c>
      <c r="N2031" t="s">
        <v>111</v>
      </c>
      <c r="O2031" t="s">
        <v>925</v>
      </c>
      <c r="P2031" t="s">
        <v>926</v>
      </c>
      <c r="Q2031" t="s">
        <v>1968</v>
      </c>
      <c r="R2031" s="1">
        <v>46232</v>
      </c>
      <c r="S2031" t="s">
        <v>544</v>
      </c>
      <c r="T2031" t="s">
        <v>545</v>
      </c>
      <c r="U2031" t="s">
        <v>546</v>
      </c>
      <c r="V2031" t="s">
        <v>66</v>
      </c>
      <c r="W2031" t="s">
        <v>66</v>
      </c>
      <c r="X2031">
        <v>868038</v>
      </c>
      <c r="Y2031">
        <v>95484.18</v>
      </c>
      <c r="Z2031">
        <v>98505</v>
      </c>
      <c r="AA2031">
        <v>10835.55</v>
      </c>
      <c r="AB2031">
        <v>963522.18</v>
      </c>
      <c r="AC2031">
        <v>6</v>
      </c>
      <c r="AD2031" t="s">
        <v>82</v>
      </c>
      <c r="AE2031">
        <v>6</v>
      </c>
      <c r="AF2031" t="s">
        <v>128</v>
      </c>
      <c r="AG2031">
        <f>IFERROR(VLOOKUP(AF2031,[1]STOK!J:O,6,0),"")</f>
        <v>24</v>
      </c>
      <c r="AH2031" s="2">
        <f t="shared" si="62"/>
        <v>0.25</v>
      </c>
      <c r="AI2031" t="s">
        <v>128</v>
      </c>
      <c r="AJ2031" t="s">
        <v>129</v>
      </c>
      <c r="AK2031" t="s">
        <v>130</v>
      </c>
      <c r="AL2031" t="s">
        <v>86</v>
      </c>
      <c r="AM2031">
        <v>18315</v>
      </c>
      <c r="AN2031">
        <f t="shared" si="63"/>
        <v>18223.424999999999</v>
      </c>
      <c r="AO2031" t="s">
        <v>66</v>
      </c>
      <c r="AP2031">
        <v>0.5</v>
      </c>
      <c r="AQ2031" t="s">
        <v>66</v>
      </c>
      <c r="AR2031">
        <v>0</v>
      </c>
      <c r="AS2031" t="s">
        <v>66</v>
      </c>
      <c r="AT2031">
        <v>0</v>
      </c>
      <c r="AU2031" t="s">
        <v>66</v>
      </c>
      <c r="AV2031">
        <v>0</v>
      </c>
      <c r="AW2031" t="s">
        <v>66</v>
      </c>
      <c r="AX2031">
        <v>0</v>
      </c>
      <c r="AY2031" t="s">
        <v>66</v>
      </c>
      <c r="AZ2031">
        <v>0</v>
      </c>
      <c r="BA2031" t="s">
        <v>66</v>
      </c>
      <c r="BB2031">
        <v>0</v>
      </c>
      <c r="BC2031">
        <v>0</v>
      </c>
      <c r="BD2031">
        <v>109340.55</v>
      </c>
      <c r="BE2031">
        <v>14887.43</v>
      </c>
      <c r="BF2031">
        <v>0</v>
      </c>
      <c r="BG2031" t="s">
        <v>87</v>
      </c>
      <c r="BH2031" t="s">
        <v>66</v>
      </c>
      <c r="BI2031">
        <v>0</v>
      </c>
      <c r="BJ2031" t="s">
        <v>66</v>
      </c>
      <c r="BK2031" t="s">
        <v>88</v>
      </c>
      <c r="BL2031" t="s">
        <v>547</v>
      </c>
      <c r="BM2031" t="s">
        <v>159</v>
      </c>
    </row>
    <row r="2032" spans="1:65" x14ac:dyDescent="0.25">
      <c r="A2032">
        <v>2030</v>
      </c>
      <c r="B2032" t="s">
        <v>1966</v>
      </c>
      <c r="C2032" t="s">
        <v>68</v>
      </c>
      <c r="D2032" s="1">
        <v>46230</v>
      </c>
      <c r="E2032" t="s">
        <v>1967</v>
      </c>
      <c r="F2032" t="s">
        <v>68</v>
      </c>
      <c r="G2032" t="s">
        <v>69</v>
      </c>
      <c r="H2032" t="s">
        <v>70</v>
      </c>
      <c r="I2032" t="s">
        <v>71</v>
      </c>
      <c r="J2032" t="s">
        <v>72</v>
      </c>
      <c r="K2032" t="s">
        <v>73</v>
      </c>
      <c r="L2032" t="s">
        <v>74</v>
      </c>
      <c r="M2032" t="s">
        <v>924</v>
      </c>
      <c r="N2032" t="s">
        <v>111</v>
      </c>
      <c r="O2032" t="s">
        <v>925</v>
      </c>
      <c r="P2032" t="s">
        <v>926</v>
      </c>
      <c r="Q2032" t="s">
        <v>1968</v>
      </c>
      <c r="R2032" s="1">
        <v>46232</v>
      </c>
      <c r="S2032" t="s">
        <v>544</v>
      </c>
      <c r="T2032" t="s">
        <v>545</v>
      </c>
      <c r="U2032" t="s">
        <v>546</v>
      </c>
      <c r="V2032" t="s">
        <v>66</v>
      </c>
      <c r="W2032" t="s">
        <v>66</v>
      </c>
      <c r="X2032">
        <v>868038</v>
      </c>
      <c r="Y2032">
        <v>95484.18</v>
      </c>
      <c r="Z2032">
        <v>81490.5</v>
      </c>
      <c r="AA2032">
        <v>8963.9599999999991</v>
      </c>
      <c r="AB2032">
        <v>963522.18</v>
      </c>
      <c r="AC2032">
        <v>3</v>
      </c>
      <c r="AD2032" t="s">
        <v>82</v>
      </c>
      <c r="AE2032">
        <v>3</v>
      </c>
      <c r="AF2032" t="s">
        <v>563</v>
      </c>
      <c r="AG2032">
        <f>IFERROR(VLOOKUP(AF2032,[1]STOK!J:O,6,0),"")</f>
        <v>12</v>
      </c>
      <c r="AH2032" s="2">
        <f t="shared" si="62"/>
        <v>0.25</v>
      </c>
      <c r="AI2032" t="s">
        <v>563</v>
      </c>
      <c r="AJ2032" t="s">
        <v>564</v>
      </c>
      <c r="AK2032" t="s">
        <v>565</v>
      </c>
      <c r="AL2032" t="s">
        <v>86</v>
      </c>
      <c r="AM2032">
        <v>30303</v>
      </c>
      <c r="AN2032">
        <f t="shared" si="63"/>
        <v>30151.486666666668</v>
      </c>
      <c r="AO2032" t="s">
        <v>66</v>
      </c>
      <c r="AP2032">
        <v>0.5</v>
      </c>
      <c r="AQ2032" t="s">
        <v>66</v>
      </c>
      <c r="AR2032">
        <v>0</v>
      </c>
      <c r="AS2032" t="s">
        <v>66</v>
      </c>
      <c r="AT2032">
        <v>0</v>
      </c>
      <c r="AU2032" t="s">
        <v>66</v>
      </c>
      <c r="AV2032">
        <v>0</v>
      </c>
      <c r="AW2032" t="s">
        <v>66</v>
      </c>
      <c r="AX2032">
        <v>0</v>
      </c>
      <c r="AY2032" t="s">
        <v>66</v>
      </c>
      <c r="AZ2032">
        <v>0</v>
      </c>
      <c r="BA2032" t="s">
        <v>66</v>
      </c>
      <c r="BB2032">
        <v>0</v>
      </c>
      <c r="BC2032">
        <v>0</v>
      </c>
      <c r="BD2032">
        <v>90454.46</v>
      </c>
      <c r="BE2032">
        <v>24643.38</v>
      </c>
      <c r="BF2032">
        <v>0</v>
      </c>
      <c r="BG2032" t="s">
        <v>87</v>
      </c>
      <c r="BH2032" t="s">
        <v>66</v>
      </c>
      <c r="BI2032">
        <v>0</v>
      </c>
      <c r="BJ2032" t="s">
        <v>66</v>
      </c>
      <c r="BK2032" t="s">
        <v>88</v>
      </c>
      <c r="BL2032" t="s">
        <v>547</v>
      </c>
      <c r="BM2032" t="s">
        <v>159</v>
      </c>
    </row>
    <row r="2033" spans="1:65" x14ac:dyDescent="0.25">
      <c r="A2033">
        <v>2031</v>
      </c>
      <c r="B2033" t="s">
        <v>1966</v>
      </c>
      <c r="C2033" t="s">
        <v>68</v>
      </c>
      <c r="D2033" s="1">
        <v>46230</v>
      </c>
      <c r="E2033" t="s">
        <v>1967</v>
      </c>
      <c r="F2033" t="s">
        <v>68</v>
      </c>
      <c r="G2033" t="s">
        <v>69</v>
      </c>
      <c r="H2033" t="s">
        <v>70</v>
      </c>
      <c r="I2033" t="s">
        <v>71</v>
      </c>
      <c r="J2033" t="s">
        <v>72</v>
      </c>
      <c r="K2033" t="s">
        <v>73</v>
      </c>
      <c r="L2033" t="s">
        <v>74</v>
      </c>
      <c r="M2033" t="s">
        <v>924</v>
      </c>
      <c r="N2033" t="s">
        <v>111</v>
      </c>
      <c r="O2033" t="s">
        <v>925</v>
      </c>
      <c r="P2033" t="s">
        <v>926</v>
      </c>
      <c r="Q2033" t="s">
        <v>1968</v>
      </c>
      <c r="R2033" s="1">
        <v>46232</v>
      </c>
      <c r="S2033" t="s">
        <v>544</v>
      </c>
      <c r="T2033" t="s">
        <v>545</v>
      </c>
      <c r="U2033" t="s">
        <v>546</v>
      </c>
      <c r="V2033" t="s">
        <v>66</v>
      </c>
      <c r="W2033" t="s">
        <v>66</v>
      </c>
      <c r="X2033">
        <v>868038</v>
      </c>
      <c r="Y2033">
        <v>95484.18</v>
      </c>
      <c r="Z2033">
        <v>81192</v>
      </c>
      <c r="AA2033">
        <v>8931.1200000000008</v>
      </c>
      <c r="AB2033">
        <v>963522.18</v>
      </c>
      <c r="AC2033">
        <v>3</v>
      </c>
      <c r="AD2033" t="s">
        <v>82</v>
      </c>
      <c r="AE2033">
        <v>3</v>
      </c>
      <c r="AF2033" t="s">
        <v>774</v>
      </c>
      <c r="AG2033">
        <f>IFERROR(VLOOKUP(AF2033,[1]STOK!J:O,6,0),"")</f>
        <v>12</v>
      </c>
      <c r="AH2033" s="2">
        <f t="shared" si="62"/>
        <v>0.25</v>
      </c>
      <c r="AI2033" t="s">
        <v>774</v>
      </c>
      <c r="AJ2033" t="s">
        <v>775</v>
      </c>
      <c r="AK2033" t="s">
        <v>776</v>
      </c>
      <c r="AL2033" t="s">
        <v>86</v>
      </c>
      <c r="AM2033">
        <v>30192</v>
      </c>
      <c r="AN2033">
        <f t="shared" si="63"/>
        <v>30041.039999999997</v>
      </c>
      <c r="AO2033" t="s">
        <v>66</v>
      </c>
      <c r="AP2033">
        <v>0.5</v>
      </c>
      <c r="AQ2033" t="s">
        <v>66</v>
      </c>
      <c r="AR2033">
        <v>0</v>
      </c>
      <c r="AS2033" t="s">
        <v>66</v>
      </c>
      <c r="AT2033">
        <v>0</v>
      </c>
      <c r="AU2033" t="s">
        <v>66</v>
      </c>
      <c r="AV2033">
        <v>0</v>
      </c>
      <c r="AW2033" t="s">
        <v>66</v>
      </c>
      <c r="AX2033">
        <v>0</v>
      </c>
      <c r="AY2033" t="s">
        <v>66</v>
      </c>
      <c r="AZ2033">
        <v>0</v>
      </c>
      <c r="BA2033" t="s">
        <v>66</v>
      </c>
      <c r="BB2033">
        <v>0</v>
      </c>
      <c r="BC2033">
        <v>0</v>
      </c>
      <c r="BD2033">
        <v>90123.12</v>
      </c>
      <c r="BE2033">
        <v>23742.19</v>
      </c>
      <c r="BF2033">
        <v>0</v>
      </c>
      <c r="BG2033" t="s">
        <v>87</v>
      </c>
      <c r="BH2033" t="s">
        <v>66</v>
      </c>
      <c r="BI2033">
        <v>0</v>
      </c>
      <c r="BJ2033" t="s">
        <v>66</v>
      </c>
      <c r="BK2033" t="s">
        <v>88</v>
      </c>
      <c r="BL2033" t="s">
        <v>547</v>
      </c>
      <c r="BM2033" t="s">
        <v>159</v>
      </c>
    </row>
    <row r="2034" spans="1:65" x14ac:dyDescent="0.25">
      <c r="A2034">
        <v>2032</v>
      </c>
      <c r="B2034" t="s">
        <v>1966</v>
      </c>
      <c r="C2034" t="s">
        <v>68</v>
      </c>
      <c r="D2034" s="1">
        <v>46230</v>
      </c>
      <c r="E2034" t="s">
        <v>1967</v>
      </c>
      <c r="F2034" t="s">
        <v>68</v>
      </c>
      <c r="G2034" t="s">
        <v>69</v>
      </c>
      <c r="H2034" t="s">
        <v>70</v>
      </c>
      <c r="I2034" t="s">
        <v>71</v>
      </c>
      <c r="J2034" t="s">
        <v>72</v>
      </c>
      <c r="K2034" t="s">
        <v>73</v>
      </c>
      <c r="L2034" t="s">
        <v>74</v>
      </c>
      <c r="M2034" t="s">
        <v>924</v>
      </c>
      <c r="N2034" t="s">
        <v>111</v>
      </c>
      <c r="O2034" t="s">
        <v>925</v>
      </c>
      <c r="P2034" t="s">
        <v>926</v>
      </c>
      <c r="Q2034" t="s">
        <v>1968</v>
      </c>
      <c r="R2034" s="1">
        <v>46232</v>
      </c>
      <c r="S2034" t="s">
        <v>544</v>
      </c>
      <c r="T2034" t="s">
        <v>545</v>
      </c>
      <c r="U2034" t="s">
        <v>546</v>
      </c>
      <c r="V2034" t="s">
        <v>66</v>
      </c>
      <c r="W2034" t="s">
        <v>66</v>
      </c>
      <c r="X2034">
        <v>868038</v>
      </c>
      <c r="Y2034">
        <v>95484.18</v>
      </c>
      <c r="Z2034">
        <v>79401</v>
      </c>
      <c r="AA2034">
        <v>8734.11</v>
      </c>
      <c r="AB2034">
        <v>963522.18</v>
      </c>
      <c r="AC2034">
        <v>6</v>
      </c>
      <c r="AD2034" t="s">
        <v>82</v>
      </c>
      <c r="AE2034">
        <v>6</v>
      </c>
      <c r="AF2034" t="s">
        <v>135</v>
      </c>
      <c r="AG2034">
        <f>IFERROR(VLOOKUP(AF2034,[1]STOK!J:O,6,0),"")</f>
        <v>12</v>
      </c>
      <c r="AH2034" s="2">
        <f t="shared" si="62"/>
        <v>0.5</v>
      </c>
      <c r="AI2034" t="s">
        <v>135</v>
      </c>
      <c r="AJ2034" t="s">
        <v>136</v>
      </c>
      <c r="AK2034" t="s">
        <v>137</v>
      </c>
      <c r="AL2034" t="s">
        <v>86</v>
      </c>
      <c r="AM2034">
        <v>14763</v>
      </c>
      <c r="AN2034">
        <f t="shared" si="63"/>
        <v>14689.184999999999</v>
      </c>
      <c r="AO2034" t="s">
        <v>66</v>
      </c>
      <c r="AP2034">
        <v>0.5</v>
      </c>
      <c r="AQ2034" t="s">
        <v>66</v>
      </c>
      <c r="AR2034">
        <v>0</v>
      </c>
      <c r="AS2034" t="s">
        <v>66</v>
      </c>
      <c r="AT2034">
        <v>0</v>
      </c>
      <c r="AU2034" t="s">
        <v>66</v>
      </c>
      <c r="AV2034">
        <v>0</v>
      </c>
      <c r="AW2034" t="s">
        <v>66</v>
      </c>
      <c r="AX2034">
        <v>0</v>
      </c>
      <c r="AY2034" t="s">
        <v>66</v>
      </c>
      <c r="AZ2034">
        <v>0</v>
      </c>
      <c r="BA2034" t="s">
        <v>66</v>
      </c>
      <c r="BB2034">
        <v>0</v>
      </c>
      <c r="BC2034">
        <v>0</v>
      </c>
      <c r="BD2034">
        <v>88135.11</v>
      </c>
      <c r="BE2034">
        <v>12034.95</v>
      </c>
      <c r="BF2034">
        <v>0</v>
      </c>
      <c r="BG2034" t="s">
        <v>87</v>
      </c>
      <c r="BH2034" t="s">
        <v>66</v>
      </c>
      <c r="BI2034">
        <v>0</v>
      </c>
      <c r="BJ2034" t="s">
        <v>66</v>
      </c>
      <c r="BK2034" t="s">
        <v>88</v>
      </c>
      <c r="BL2034" t="s">
        <v>547</v>
      </c>
      <c r="BM2034" t="s">
        <v>159</v>
      </c>
    </row>
    <row r="2035" spans="1:65" x14ac:dyDescent="0.25">
      <c r="A2035">
        <v>2033</v>
      </c>
      <c r="B2035" t="s">
        <v>1966</v>
      </c>
      <c r="C2035" t="s">
        <v>68</v>
      </c>
      <c r="D2035" s="1">
        <v>46230</v>
      </c>
      <c r="E2035" t="s">
        <v>1967</v>
      </c>
      <c r="F2035" t="s">
        <v>68</v>
      </c>
      <c r="G2035" t="s">
        <v>69</v>
      </c>
      <c r="H2035" t="s">
        <v>70</v>
      </c>
      <c r="I2035" t="s">
        <v>71</v>
      </c>
      <c r="J2035" t="s">
        <v>72</v>
      </c>
      <c r="K2035" t="s">
        <v>73</v>
      </c>
      <c r="L2035" t="s">
        <v>74</v>
      </c>
      <c r="M2035" t="s">
        <v>924</v>
      </c>
      <c r="N2035" t="s">
        <v>111</v>
      </c>
      <c r="O2035" t="s">
        <v>925</v>
      </c>
      <c r="P2035" t="s">
        <v>926</v>
      </c>
      <c r="Q2035" t="s">
        <v>1968</v>
      </c>
      <c r="R2035" s="1">
        <v>46232</v>
      </c>
      <c r="S2035" t="s">
        <v>544</v>
      </c>
      <c r="T2035" t="s">
        <v>545</v>
      </c>
      <c r="U2035" t="s">
        <v>546</v>
      </c>
      <c r="V2035" t="s">
        <v>66</v>
      </c>
      <c r="W2035" t="s">
        <v>66</v>
      </c>
      <c r="X2035">
        <v>868038</v>
      </c>
      <c r="Y2035">
        <v>95484.18</v>
      </c>
      <c r="Z2035">
        <v>79401</v>
      </c>
      <c r="AA2035">
        <v>8734.11</v>
      </c>
      <c r="AB2035">
        <v>963522.18</v>
      </c>
      <c r="AC2035">
        <v>6</v>
      </c>
      <c r="AD2035" t="s">
        <v>82</v>
      </c>
      <c r="AE2035">
        <v>6</v>
      </c>
      <c r="AF2035" t="s">
        <v>210</v>
      </c>
      <c r="AG2035">
        <f>IFERROR(VLOOKUP(AF2035,[1]STOK!J:O,6,0),"")</f>
        <v>12</v>
      </c>
      <c r="AH2035" s="2">
        <f t="shared" si="62"/>
        <v>0.5</v>
      </c>
      <c r="AI2035" t="s">
        <v>210</v>
      </c>
      <c r="AJ2035" t="s">
        <v>211</v>
      </c>
      <c r="AK2035" t="s">
        <v>212</v>
      </c>
      <c r="AL2035" t="s">
        <v>86</v>
      </c>
      <c r="AM2035">
        <v>14763</v>
      </c>
      <c r="AN2035">
        <f t="shared" si="63"/>
        <v>14689.184999999999</v>
      </c>
      <c r="AO2035" t="s">
        <v>66</v>
      </c>
      <c r="AP2035">
        <v>0.5</v>
      </c>
      <c r="AQ2035" t="s">
        <v>66</v>
      </c>
      <c r="AR2035">
        <v>0</v>
      </c>
      <c r="AS2035" t="s">
        <v>66</v>
      </c>
      <c r="AT2035">
        <v>0</v>
      </c>
      <c r="AU2035" t="s">
        <v>66</v>
      </c>
      <c r="AV2035">
        <v>0</v>
      </c>
      <c r="AW2035" t="s">
        <v>66</v>
      </c>
      <c r="AX2035">
        <v>0</v>
      </c>
      <c r="AY2035" t="s">
        <v>66</v>
      </c>
      <c r="AZ2035">
        <v>0</v>
      </c>
      <c r="BA2035" t="s">
        <v>66</v>
      </c>
      <c r="BB2035">
        <v>0</v>
      </c>
      <c r="BC2035">
        <v>0</v>
      </c>
      <c r="BD2035">
        <v>88135.11</v>
      </c>
      <c r="BE2035">
        <v>11976.03</v>
      </c>
      <c r="BF2035">
        <v>0</v>
      </c>
      <c r="BG2035" t="s">
        <v>87</v>
      </c>
      <c r="BH2035" t="s">
        <v>66</v>
      </c>
      <c r="BI2035">
        <v>0</v>
      </c>
      <c r="BJ2035" t="s">
        <v>66</v>
      </c>
      <c r="BK2035" t="s">
        <v>88</v>
      </c>
      <c r="BL2035" t="s">
        <v>547</v>
      </c>
      <c r="BM2035" t="s">
        <v>159</v>
      </c>
    </row>
    <row r="2036" spans="1:65" x14ac:dyDescent="0.25">
      <c r="A2036">
        <v>2034</v>
      </c>
      <c r="B2036" t="s">
        <v>1966</v>
      </c>
      <c r="C2036" t="s">
        <v>68</v>
      </c>
      <c r="D2036" s="1">
        <v>46230</v>
      </c>
      <c r="E2036" t="s">
        <v>1967</v>
      </c>
      <c r="F2036" t="s">
        <v>68</v>
      </c>
      <c r="G2036" t="s">
        <v>69</v>
      </c>
      <c r="H2036" t="s">
        <v>70</v>
      </c>
      <c r="I2036" t="s">
        <v>71</v>
      </c>
      <c r="J2036" t="s">
        <v>72</v>
      </c>
      <c r="K2036" t="s">
        <v>73</v>
      </c>
      <c r="L2036" t="s">
        <v>74</v>
      </c>
      <c r="M2036" t="s">
        <v>924</v>
      </c>
      <c r="N2036" t="s">
        <v>111</v>
      </c>
      <c r="O2036" t="s">
        <v>925</v>
      </c>
      <c r="P2036" t="s">
        <v>926</v>
      </c>
      <c r="Q2036" t="s">
        <v>1968</v>
      </c>
      <c r="R2036" s="1">
        <v>46232</v>
      </c>
      <c r="S2036" t="s">
        <v>544</v>
      </c>
      <c r="T2036" t="s">
        <v>545</v>
      </c>
      <c r="U2036" t="s">
        <v>546</v>
      </c>
      <c r="V2036" t="s">
        <v>66</v>
      </c>
      <c r="W2036" t="s">
        <v>66</v>
      </c>
      <c r="X2036">
        <v>868038</v>
      </c>
      <c r="Y2036">
        <v>95484.18</v>
      </c>
      <c r="Z2036">
        <v>214920</v>
      </c>
      <c r="AA2036">
        <v>23641.200000000001</v>
      </c>
      <c r="AB2036">
        <v>963522.18</v>
      </c>
      <c r="AC2036">
        <v>15</v>
      </c>
      <c r="AD2036" t="s">
        <v>82</v>
      </c>
      <c r="AE2036">
        <v>15</v>
      </c>
      <c r="AF2036" t="s">
        <v>141</v>
      </c>
      <c r="AG2036">
        <f>IFERROR(VLOOKUP(AF2036,[1]STOK!J:O,6,0),"")</f>
        <v>12</v>
      </c>
      <c r="AH2036" s="2">
        <f t="shared" si="62"/>
        <v>1.25</v>
      </c>
      <c r="AI2036" t="s">
        <v>141</v>
      </c>
      <c r="AJ2036" t="s">
        <v>142</v>
      </c>
      <c r="AK2036" t="s">
        <v>143</v>
      </c>
      <c r="AL2036" t="s">
        <v>86</v>
      </c>
      <c r="AM2036">
        <v>15984</v>
      </c>
      <c r="AN2036">
        <f t="shared" si="63"/>
        <v>15904.08</v>
      </c>
      <c r="AO2036" t="s">
        <v>66</v>
      </c>
      <c r="AP2036">
        <v>0.5</v>
      </c>
      <c r="AQ2036" t="s">
        <v>66</v>
      </c>
      <c r="AR2036">
        <v>0</v>
      </c>
      <c r="AS2036" t="s">
        <v>66</v>
      </c>
      <c r="AT2036">
        <v>0</v>
      </c>
      <c r="AU2036" t="s">
        <v>66</v>
      </c>
      <c r="AV2036">
        <v>0</v>
      </c>
      <c r="AW2036" t="s">
        <v>66</v>
      </c>
      <c r="AX2036">
        <v>0</v>
      </c>
      <c r="AY2036" t="s">
        <v>66</v>
      </c>
      <c r="AZ2036">
        <v>0</v>
      </c>
      <c r="BA2036" t="s">
        <v>66</v>
      </c>
      <c r="BB2036">
        <v>0</v>
      </c>
      <c r="BC2036">
        <v>0</v>
      </c>
      <c r="BD2036">
        <v>238561.2</v>
      </c>
      <c r="BE2036">
        <v>13029.29</v>
      </c>
      <c r="BF2036">
        <v>0</v>
      </c>
      <c r="BG2036" t="s">
        <v>87</v>
      </c>
      <c r="BH2036" t="s">
        <v>66</v>
      </c>
      <c r="BI2036">
        <v>0</v>
      </c>
      <c r="BJ2036" t="s">
        <v>66</v>
      </c>
      <c r="BK2036" t="s">
        <v>88</v>
      </c>
      <c r="BL2036" t="s">
        <v>547</v>
      </c>
      <c r="BM2036" t="s">
        <v>159</v>
      </c>
    </row>
    <row r="2037" spans="1:65" x14ac:dyDescent="0.25">
      <c r="A2037">
        <v>2035</v>
      </c>
      <c r="B2037" t="s">
        <v>1966</v>
      </c>
      <c r="C2037" t="s">
        <v>68</v>
      </c>
      <c r="D2037" s="1">
        <v>46230</v>
      </c>
      <c r="E2037" t="s">
        <v>1967</v>
      </c>
      <c r="F2037" t="s">
        <v>68</v>
      </c>
      <c r="G2037" t="s">
        <v>69</v>
      </c>
      <c r="H2037" t="s">
        <v>70</v>
      </c>
      <c r="I2037" t="s">
        <v>71</v>
      </c>
      <c r="J2037" t="s">
        <v>72</v>
      </c>
      <c r="K2037" t="s">
        <v>73</v>
      </c>
      <c r="L2037" t="s">
        <v>74</v>
      </c>
      <c r="M2037" t="s">
        <v>924</v>
      </c>
      <c r="N2037" t="s">
        <v>111</v>
      </c>
      <c r="O2037" t="s">
        <v>925</v>
      </c>
      <c r="P2037" t="s">
        <v>926</v>
      </c>
      <c r="Q2037" t="s">
        <v>1968</v>
      </c>
      <c r="R2037" s="1">
        <v>46232</v>
      </c>
      <c r="S2037" t="s">
        <v>544</v>
      </c>
      <c r="T2037" t="s">
        <v>545</v>
      </c>
      <c r="U2037" t="s">
        <v>546</v>
      </c>
      <c r="V2037" t="s">
        <v>66</v>
      </c>
      <c r="W2037" t="s">
        <v>66</v>
      </c>
      <c r="X2037">
        <v>868038</v>
      </c>
      <c r="Y2037">
        <v>95484.18</v>
      </c>
      <c r="Z2037">
        <v>85968</v>
      </c>
      <c r="AA2037">
        <v>9456.48</v>
      </c>
      <c r="AB2037">
        <v>963522.18</v>
      </c>
      <c r="AC2037">
        <v>6</v>
      </c>
      <c r="AD2037" t="s">
        <v>82</v>
      </c>
      <c r="AE2037">
        <v>6</v>
      </c>
      <c r="AF2037" t="s">
        <v>213</v>
      </c>
      <c r="AG2037">
        <f>IFERROR(VLOOKUP(AF2037,[1]STOK!J:O,6,0),"")</f>
        <v>12</v>
      </c>
      <c r="AH2037" s="2">
        <f t="shared" si="62"/>
        <v>0.5</v>
      </c>
      <c r="AI2037" t="s">
        <v>213</v>
      </c>
      <c r="AJ2037" t="s">
        <v>214</v>
      </c>
      <c r="AK2037" t="s">
        <v>215</v>
      </c>
      <c r="AL2037" t="s">
        <v>86</v>
      </c>
      <c r="AM2037">
        <v>15984</v>
      </c>
      <c r="AN2037">
        <f t="shared" si="63"/>
        <v>15904.08</v>
      </c>
      <c r="AO2037" t="s">
        <v>66</v>
      </c>
      <c r="AP2037">
        <v>0.5</v>
      </c>
      <c r="AQ2037" t="s">
        <v>66</v>
      </c>
      <c r="AR2037">
        <v>0</v>
      </c>
      <c r="AS2037" t="s">
        <v>66</v>
      </c>
      <c r="AT2037">
        <v>0</v>
      </c>
      <c r="AU2037" t="s">
        <v>66</v>
      </c>
      <c r="AV2037">
        <v>0</v>
      </c>
      <c r="AW2037" t="s">
        <v>66</v>
      </c>
      <c r="AX2037">
        <v>0</v>
      </c>
      <c r="AY2037" t="s">
        <v>66</v>
      </c>
      <c r="AZ2037">
        <v>0</v>
      </c>
      <c r="BA2037" t="s">
        <v>66</v>
      </c>
      <c r="BB2037">
        <v>0</v>
      </c>
      <c r="BC2037">
        <v>0</v>
      </c>
      <c r="BD2037">
        <v>95424.48</v>
      </c>
      <c r="BE2037">
        <v>12925.49</v>
      </c>
      <c r="BF2037">
        <v>0</v>
      </c>
      <c r="BG2037" t="s">
        <v>87</v>
      </c>
      <c r="BH2037" t="s">
        <v>66</v>
      </c>
      <c r="BI2037">
        <v>0</v>
      </c>
      <c r="BJ2037" t="s">
        <v>66</v>
      </c>
      <c r="BK2037" t="s">
        <v>88</v>
      </c>
      <c r="BL2037" t="s">
        <v>547</v>
      </c>
      <c r="BM2037" t="s">
        <v>159</v>
      </c>
    </row>
    <row r="2038" spans="1:65" x14ac:dyDescent="0.25">
      <c r="A2038">
        <v>2036</v>
      </c>
      <c r="B2038" t="s">
        <v>1969</v>
      </c>
      <c r="C2038" t="s">
        <v>68</v>
      </c>
      <c r="D2038" s="1">
        <v>46230</v>
      </c>
      <c r="E2038" t="s">
        <v>1970</v>
      </c>
      <c r="F2038" t="s">
        <v>68</v>
      </c>
      <c r="G2038" t="s">
        <v>69</v>
      </c>
      <c r="H2038" t="s">
        <v>70</v>
      </c>
      <c r="I2038" t="s">
        <v>71</v>
      </c>
      <c r="J2038" t="s">
        <v>72</v>
      </c>
      <c r="K2038" t="s">
        <v>73</v>
      </c>
      <c r="L2038" t="s">
        <v>74</v>
      </c>
      <c r="M2038" t="s">
        <v>273</v>
      </c>
      <c r="N2038" t="s">
        <v>274</v>
      </c>
      <c r="O2038" t="s">
        <v>275</v>
      </c>
      <c r="P2038" t="s">
        <v>276</v>
      </c>
      <c r="Q2038" t="s">
        <v>1971</v>
      </c>
      <c r="R2038" s="1">
        <v>46231</v>
      </c>
      <c r="S2038" t="s">
        <v>278</v>
      </c>
      <c r="T2038" t="s">
        <v>279</v>
      </c>
      <c r="U2038" t="s">
        <v>280</v>
      </c>
      <c r="V2038" t="s">
        <v>66</v>
      </c>
      <c r="W2038" t="s">
        <v>66</v>
      </c>
      <c r="X2038">
        <v>1321476</v>
      </c>
      <c r="Y2038">
        <v>145362.35999999999</v>
      </c>
      <c r="Z2038">
        <v>390060</v>
      </c>
      <c r="AA2038">
        <v>42906.6</v>
      </c>
      <c r="AB2038">
        <v>1466838.36</v>
      </c>
      <c r="AC2038">
        <v>1</v>
      </c>
      <c r="AD2038" t="s">
        <v>134</v>
      </c>
      <c r="AE2038">
        <v>24</v>
      </c>
      <c r="AF2038" t="s">
        <v>128</v>
      </c>
      <c r="AG2038">
        <f>IFERROR(VLOOKUP(AF2038,[1]STOK!J:O,6,0),"")</f>
        <v>24</v>
      </c>
      <c r="AH2038" s="2">
        <f t="shared" si="62"/>
        <v>1</v>
      </c>
      <c r="AI2038" t="s">
        <v>128</v>
      </c>
      <c r="AJ2038" t="s">
        <v>129</v>
      </c>
      <c r="AK2038" t="s">
        <v>130</v>
      </c>
      <c r="AL2038" t="s">
        <v>86</v>
      </c>
      <c r="AM2038">
        <v>439560</v>
      </c>
      <c r="AN2038">
        <f t="shared" si="63"/>
        <v>432966.6</v>
      </c>
      <c r="AO2038" t="s">
        <v>66</v>
      </c>
      <c r="AP2038">
        <v>1.5</v>
      </c>
      <c r="AQ2038" t="s">
        <v>66</v>
      </c>
      <c r="AR2038">
        <v>0</v>
      </c>
      <c r="AS2038" t="s">
        <v>66</v>
      </c>
      <c r="AT2038">
        <v>0</v>
      </c>
      <c r="AU2038" t="s">
        <v>66</v>
      </c>
      <c r="AV2038">
        <v>0</v>
      </c>
      <c r="AW2038" t="s">
        <v>66</v>
      </c>
      <c r="AX2038">
        <v>0</v>
      </c>
      <c r="AY2038" t="s">
        <v>66</v>
      </c>
      <c r="AZ2038">
        <v>0</v>
      </c>
      <c r="BA2038" t="s">
        <v>66</v>
      </c>
      <c r="BB2038">
        <v>0</v>
      </c>
      <c r="BC2038">
        <v>0</v>
      </c>
      <c r="BD2038">
        <v>432966.6</v>
      </c>
      <c r="BE2038">
        <v>14887.43</v>
      </c>
      <c r="BF2038">
        <v>0</v>
      </c>
      <c r="BG2038" t="s">
        <v>87</v>
      </c>
      <c r="BH2038" t="s">
        <v>66</v>
      </c>
      <c r="BI2038">
        <v>0</v>
      </c>
      <c r="BJ2038" t="s">
        <v>66</v>
      </c>
      <c r="BK2038" t="s">
        <v>88</v>
      </c>
      <c r="BL2038" t="s">
        <v>66</v>
      </c>
      <c r="BM2038" t="s">
        <v>159</v>
      </c>
    </row>
    <row r="2039" spans="1:65" x14ac:dyDescent="0.25">
      <c r="A2039">
        <v>2037</v>
      </c>
      <c r="B2039" t="s">
        <v>1969</v>
      </c>
      <c r="C2039" t="s">
        <v>68</v>
      </c>
      <c r="D2039" s="1">
        <v>46230</v>
      </c>
      <c r="E2039" t="s">
        <v>1970</v>
      </c>
      <c r="F2039" t="s">
        <v>68</v>
      </c>
      <c r="G2039" t="s">
        <v>69</v>
      </c>
      <c r="H2039" t="s">
        <v>70</v>
      </c>
      <c r="I2039" t="s">
        <v>71</v>
      </c>
      <c r="J2039" t="s">
        <v>72</v>
      </c>
      <c r="K2039" t="s">
        <v>73</v>
      </c>
      <c r="L2039" t="s">
        <v>74</v>
      </c>
      <c r="M2039" t="s">
        <v>273</v>
      </c>
      <c r="N2039" t="s">
        <v>274</v>
      </c>
      <c r="O2039" t="s">
        <v>275</v>
      </c>
      <c r="P2039" t="s">
        <v>276</v>
      </c>
      <c r="Q2039" t="s">
        <v>1971</v>
      </c>
      <c r="R2039" s="1">
        <v>46231</v>
      </c>
      <c r="S2039" t="s">
        <v>278</v>
      </c>
      <c r="T2039" t="s">
        <v>279</v>
      </c>
      <c r="U2039" t="s">
        <v>280</v>
      </c>
      <c r="V2039" t="s">
        <v>66</v>
      </c>
      <c r="W2039" t="s">
        <v>66</v>
      </c>
      <c r="X2039">
        <v>1321476</v>
      </c>
      <c r="Y2039">
        <v>145362.35999999999</v>
      </c>
      <c r="Z2039">
        <v>458616</v>
      </c>
      <c r="AA2039">
        <v>50447.76</v>
      </c>
      <c r="AB2039">
        <v>1466838.36</v>
      </c>
      <c r="AC2039">
        <v>2</v>
      </c>
      <c r="AD2039" t="s">
        <v>134</v>
      </c>
      <c r="AE2039">
        <v>24</v>
      </c>
      <c r="AF2039" t="s">
        <v>284</v>
      </c>
      <c r="AG2039">
        <f>IFERROR(VLOOKUP(AF2039,[1]STOK!J:O,6,0),"")</f>
        <v>12</v>
      </c>
      <c r="AH2039" s="2">
        <f t="shared" si="62"/>
        <v>2</v>
      </c>
      <c r="AI2039" t="s">
        <v>284</v>
      </c>
      <c r="AJ2039" t="s">
        <v>285</v>
      </c>
      <c r="AK2039" t="s">
        <v>286</v>
      </c>
      <c r="AL2039" t="s">
        <v>86</v>
      </c>
      <c r="AM2039">
        <v>258408</v>
      </c>
      <c r="AN2039">
        <f t="shared" si="63"/>
        <v>254531.88</v>
      </c>
      <c r="AO2039" t="s">
        <v>66</v>
      </c>
      <c r="AP2039">
        <v>1.5</v>
      </c>
      <c r="AQ2039" t="s">
        <v>66</v>
      </c>
      <c r="AR2039">
        <v>0</v>
      </c>
      <c r="AS2039" t="s">
        <v>66</v>
      </c>
      <c r="AT2039">
        <v>0</v>
      </c>
      <c r="AU2039" t="s">
        <v>66</v>
      </c>
      <c r="AV2039">
        <v>0</v>
      </c>
      <c r="AW2039" t="s">
        <v>66</v>
      </c>
      <c r="AX2039">
        <v>0</v>
      </c>
      <c r="AY2039" t="s">
        <v>66</v>
      </c>
      <c r="AZ2039">
        <v>0</v>
      </c>
      <c r="BA2039" t="s">
        <v>66</v>
      </c>
      <c r="BB2039">
        <v>0</v>
      </c>
      <c r="BC2039">
        <v>0</v>
      </c>
      <c r="BD2039">
        <v>509063.76</v>
      </c>
      <c r="BE2039">
        <v>17311.39</v>
      </c>
      <c r="BF2039">
        <v>0</v>
      </c>
      <c r="BG2039" t="s">
        <v>87</v>
      </c>
      <c r="BH2039" t="s">
        <v>66</v>
      </c>
      <c r="BI2039">
        <v>0</v>
      </c>
      <c r="BJ2039" t="s">
        <v>66</v>
      </c>
      <c r="BK2039" t="s">
        <v>88</v>
      </c>
      <c r="BL2039" t="s">
        <v>66</v>
      </c>
      <c r="BM2039" t="s">
        <v>159</v>
      </c>
    </row>
    <row r="2040" spans="1:65" x14ac:dyDescent="0.25">
      <c r="A2040">
        <v>2038</v>
      </c>
      <c r="B2040" t="s">
        <v>1969</v>
      </c>
      <c r="C2040" t="s">
        <v>68</v>
      </c>
      <c r="D2040" s="1">
        <v>46230</v>
      </c>
      <c r="E2040" t="s">
        <v>1970</v>
      </c>
      <c r="F2040" t="s">
        <v>68</v>
      </c>
      <c r="G2040" t="s">
        <v>69</v>
      </c>
      <c r="H2040" t="s">
        <v>70</v>
      </c>
      <c r="I2040" t="s">
        <v>71</v>
      </c>
      <c r="J2040" t="s">
        <v>72</v>
      </c>
      <c r="K2040" t="s">
        <v>73</v>
      </c>
      <c r="L2040" t="s">
        <v>74</v>
      </c>
      <c r="M2040" t="s">
        <v>273</v>
      </c>
      <c r="N2040" t="s">
        <v>274</v>
      </c>
      <c r="O2040" t="s">
        <v>275</v>
      </c>
      <c r="P2040" t="s">
        <v>276</v>
      </c>
      <c r="Q2040" t="s">
        <v>1971</v>
      </c>
      <c r="R2040" s="1">
        <v>46231</v>
      </c>
      <c r="S2040" t="s">
        <v>278</v>
      </c>
      <c r="T2040" t="s">
        <v>279</v>
      </c>
      <c r="U2040" t="s">
        <v>280</v>
      </c>
      <c r="V2040" t="s">
        <v>66</v>
      </c>
      <c r="W2040" t="s">
        <v>66</v>
      </c>
      <c r="X2040">
        <v>1321476</v>
      </c>
      <c r="Y2040">
        <v>145362.35999999999</v>
      </c>
      <c r="Z2040">
        <v>472800</v>
      </c>
      <c r="AA2040">
        <v>52008</v>
      </c>
      <c r="AB2040">
        <v>1466838.36</v>
      </c>
      <c r="AC2040">
        <v>2</v>
      </c>
      <c r="AD2040" t="s">
        <v>134</v>
      </c>
      <c r="AE2040">
        <v>24</v>
      </c>
      <c r="AF2040" t="s">
        <v>290</v>
      </c>
      <c r="AG2040">
        <f>IFERROR(VLOOKUP(AF2040,[1]STOK!J:O,6,0),"")</f>
        <v>12</v>
      </c>
      <c r="AH2040" s="2">
        <f t="shared" si="62"/>
        <v>2</v>
      </c>
      <c r="AI2040" t="s">
        <v>290</v>
      </c>
      <c r="AJ2040" t="s">
        <v>291</v>
      </c>
      <c r="AK2040" t="s">
        <v>292</v>
      </c>
      <c r="AL2040" t="s">
        <v>86</v>
      </c>
      <c r="AM2040">
        <v>266400</v>
      </c>
      <c r="AN2040">
        <f t="shared" si="63"/>
        <v>262404</v>
      </c>
      <c r="AO2040" t="s">
        <v>66</v>
      </c>
      <c r="AP2040">
        <v>1.5</v>
      </c>
      <c r="AQ2040" t="s">
        <v>66</v>
      </c>
      <c r="AR2040">
        <v>0</v>
      </c>
      <c r="AS2040" t="s">
        <v>66</v>
      </c>
      <c r="AT2040">
        <v>0</v>
      </c>
      <c r="AU2040" t="s">
        <v>66</v>
      </c>
      <c r="AV2040">
        <v>0</v>
      </c>
      <c r="AW2040" t="s">
        <v>66</v>
      </c>
      <c r="AX2040">
        <v>0</v>
      </c>
      <c r="AY2040" t="s">
        <v>66</v>
      </c>
      <c r="AZ2040">
        <v>0</v>
      </c>
      <c r="BA2040" t="s">
        <v>66</v>
      </c>
      <c r="BB2040">
        <v>0</v>
      </c>
      <c r="BC2040">
        <v>0</v>
      </c>
      <c r="BD2040">
        <v>524808</v>
      </c>
      <c r="BE2040">
        <v>18113.71</v>
      </c>
      <c r="BF2040">
        <v>0</v>
      </c>
      <c r="BG2040" t="s">
        <v>87</v>
      </c>
      <c r="BH2040" t="s">
        <v>66</v>
      </c>
      <c r="BI2040">
        <v>0</v>
      </c>
      <c r="BJ2040" t="s">
        <v>66</v>
      </c>
      <c r="BK2040" t="s">
        <v>88</v>
      </c>
      <c r="BL2040" t="s">
        <v>66</v>
      </c>
      <c r="BM2040" t="s">
        <v>159</v>
      </c>
    </row>
    <row r="2041" spans="1:65" x14ac:dyDescent="0.25">
      <c r="A2041">
        <v>2039</v>
      </c>
      <c r="B2041" t="s">
        <v>1972</v>
      </c>
      <c r="C2041" t="s">
        <v>68</v>
      </c>
      <c r="D2041" s="1">
        <v>46230</v>
      </c>
      <c r="E2041" t="s">
        <v>1973</v>
      </c>
      <c r="F2041" t="s">
        <v>68</v>
      </c>
      <c r="G2041" t="s">
        <v>69</v>
      </c>
      <c r="H2041" t="s">
        <v>70</v>
      </c>
      <c r="I2041" t="s">
        <v>71</v>
      </c>
      <c r="J2041" t="s">
        <v>72</v>
      </c>
      <c r="K2041" t="s">
        <v>73</v>
      </c>
      <c r="L2041" t="s">
        <v>74</v>
      </c>
      <c r="M2041" t="s">
        <v>611</v>
      </c>
      <c r="N2041" t="s">
        <v>76</v>
      </c>
      <c r="O2041" t="s">
        <v>612</v>
      </c>
      <c r="P2041" t="s">
        <v>613</v>
      </c>
      <c r="Q2041" t="s">
        <v>1974</v>
      </c>
      <c r="R2041" s="1">
        <v>46231</v>
      </c>
      <c r="S2041" t="s">
        <v>614</v>
      </c>
      <c r="T2041" t="s">
        <v>615</v>
      </c>
      <c r="U2041" t="s">
        <v>616</v>
      </c>
      <c r="V2041" t="s">
        <v>66</v>
      </c>
      <c r="W2041" t="s">
        <v>66</v>
      </c>
      <c r="X2041">
        <v>3230997</v>
      </c>
      <c r="Y2041">
        <v>355409.67</v>
      </c>
      <c r="Z2041">
        <v>390060</v>
      </c>
      <c r="AA2041">
        <v>42906.6</v>
      </c>
      <c r="AB2041">
        <v>3586406.67</v>
      </c>
      <c r="AC2041">
        <v>1</v>
      </c>
      <c r="AD2041" t="s">
        <v>134</v>
      </c>
      <c r="AE2041">
        <v>24</v>
      </c>
      <c r="AF2041" t="s">
        <v>205</v>
      </c>
      <c r="AG2041">
        <f>IFERROR(VLOOKUP(AF2041,[1]STOK!J:O,6,0),"")</f>
        <v>24</v>
      </c>
      <c r="AH2041" s="2">
        <f t="shared" si="62"/>
        <v>1</v>
      </c>
      <c r="AI2041" t="s">
        <v>205</v>
      </c>
      <c r="AJ2041" t="s">
        <v>206</v>
      </c>
      <c r="AK2041" t="s">
        <v>207</v>
      </c>
      <c r="AL2041" t="s">
        <v>86</v>
      </c>
      <c r="AM2041">
        <v>439560</v>
      </c>
      <c r="AN2041">
        <f t="shared" si="63"/>
        <v>432966.6</v>
      </c>
      <c r="AO2041" t="s">
        <v>66</v>
      </c>
      <c r="AP2041">
        <v>1.5</v>
      </c>
      <c r="AQ2041" t="s">
        <v>66</v>
      </c>
      <c r="AR2041">
        <v>0</v>
      </c>
      <c r="AS2041" t="s">
        <v>66</v>
      </c>
      <c r="AT2041">
        <v>0</v>
      </c>
      <c r="AU2041" t="s">
        <v>66</v>
      </c>
      <c r="AV2041">
        <v>0</v>
      </c>
      <c r="AW2041" t="s">
        <v>66</v>
      </c>
      <c r="AX2041">
        <v>0</v>
      </c>
      <c r="AY2041" t="s">
        <v>66</v>
      </c>
      <c r="AZ2041">
        <v>0</v>
      </c>
      <c r="BA2041" t="s">
        <v>66</v>
      </c>
      <c r="BB2041">
        <v>0</v>
      </c>
      <c r="BC2041">
        <v>0</v>
      </c>
      <c r="BD2041">
        <v>432966.6</v>
      </c>
      <c r="BE2041">
        <v>14893.33</v>
      </c>
      <c r="BF2041">
        <v>0</v>
      </c>
      <c r="BG2041" t="s">
        <v>87</v>
      </c>
      <c r="BH2041" t="s">
        <v>66</v>
      </c>
      <c r="BI2041">
        <v>0</v>
      </c>
      <c r="BJ2041" t="s">
        <v>66</v>
      </c>
      <c r="BK2041" t="s">
        <v>88</v>
      </c>
      <c r="BL2041" t="s">
        <v>618</v>
      </c>
      <c r="BM2041" t="s">
        <v>159</v>
      </c>
    </row>
    <row r="2042" spans="1:65" x14ac:dyDescent="0.25">
      <c r="A2042">
        <v>2040</v>
      </c>
      <c r="B2042" t="s">
        <v>1972</v>
      </c>
      <c r="C2042" t="s">
        <v>68</v>
      </c>
      <c r="D2042" s="1">
        <v>46230</v>
      </c>
      <c r="E2042" t="s">
        <v>1973</v>
      </c>
      <c r="F2042" t="s">
        <v>68</v>
      </c>
      <c r="G2042" t="s">
        <v>69</v>
      </c>
      <c r="H2042" t="s">
        <v>70</v>
      </c>
      <c r="I2042" t="s">
        <v>71</v>
      </c>
      <c r="J2042" t="s">
        <v>72</v>
      </c>
      <c r="K2042" t="s">
        <v>73</v>
      </c>
      <c r="L2042" t="s">
        <v>74</v>
      </c>
      <c r="M2042" t="s">
        <v>611</v>
      </c>
      <c r="N2042" t="s">
        <v>76</v>
      </c>
      <c r="O2042" t="s">
        <v>612</v>
      </c>
      <c r="P2042" t="s">
        <v>613</v>
      </c>
      <c r="Q2042" t="s">
        <v>1974</v>
      </c>
      <c r="R2042" s="1">
        <v>46231</v>
      </c>
      <c r="S2042" t="s">
        <v>614</v>
      </c>
      <c r="T2042" t="s">
        <v>615</v>
      </c>
      <c r="U2042" t="s">
        <v>616</v>
      </c>
      <c r="V2042" t="s">
        <v>66</v>
      </c>
      <c r="W2042" t="s">
        <v>66</v>
      </c>
      <c r="X2042">
        <v>3230997</v>
      </c>
      <c r="Y2042">
        <v>355409.67</v>
      </c>
      <c r="Z2042">
        <v>509836</v>
      </c>
      <c r="AA2042">
        <v>56081.96</v>
      </c>
      <c r="AB2042">
        <v>3586406.67</v>
      </c>
      <c r="AC2042">
        <v>1</v>
      </c>
      <c r="AD2042" t="s">
        <v>134</v>
      </c>
      <c r="AE2042">
        <v>4</v>
      </c>
      <c r="AF2042" t="s">
        <v>596</v>
      </c>
      <c r="AG2042">
        <f>IFERROR(VLOOKUP(AF2042,[1]STOK!J:O,6,0),"")</f>
        <v>4</v>
      </c>
      <c r="AH2042" s="2">
        <f t="shared" si="62"/>
        <v>1</v>
      </c>
      <c r="AI2042" t="s">
        <v>596</v>
      </c>
      <c r="AJ2042" t="s">
        <v>597</v>
      </c>
      <c r="AK2042" t="s">
        <v>598</v>
      </c>
      <c r="AL2042" t="s">
        <v>86</v>
      </c>
      <c r="AM2042">
        <v>574536</v>
      </c>
      <c r="AN2042">
        <f t="shared" si="63"/>
        <v>565917.96</v>
      </c>
      <c r="AO2042" t="s">
        <v>66</v>
      </c>
      <c r="AP2042">
        <v>1.5</v>
      </c>
      <c r="AQ2042" t="s">
        <v>66</v>
      </c>
      <c r="AR2042">
        <v>0</v>
      </c>
      <c r="AS2042" t="s">
        <v>66</v>
      </c>
      <c r="AT2042">
        <v>0</v>
      </c>
      <c r="AU2042" t="s">
        <v>66</v>
      </c>
      <c r="AV2042">
        <v>0</v>
      </c>
      <c r="AW2042" t="s">
        <v>66</v>
      </c>
      <c r="AX2042">
        <v>0</v>
      </c>
      <c r="AY2042" t="s">
        <v>66</v>
      </c>
      <c r="AZ2042">
        <v>0</v>
      </c>
      <c r="BA2042" t="s">
        <v>66</v>
      </c>
      <c r="BB2042">
        <v>0</v>
      </c>
      <c r="BC2042">
        <v>0</v>
      </c>
      <c r="BD2042">
        <v>565917.96</v>
      </c>
      <c r="BE2042">
        <v>114264.03</v>
      </c>
      <c r="BF2042">
        <v>0</v>
      </c>
      <c r="BG2042" t="s">
        <v>87</v>
      </c>
      <c r="BH2042" t="s">
        <v>66</v>
      </c>
      <c r="BI2042">
        <v>0</v>
      </c>
      <c r="BJ2042" t="s">
        <v>66</v>
      </c>
      <c r="BK2042" t="s">
        <v>88</v>
      </c>
      <c r="BL2042" t="s">
        <v>618</v>
      </c>
      <c r="BM2042" t="s">
        <v>159</v>
      </c>
    </row>
    <row r="2043" spans="1:65" x14ac:dyDescent="0.25">
      <c r="A2043">
        <v>2041</v>
      </c>
      <c r="B2043" t="s">
        <v>1972</v>
      </c>
      <c r="C2043" t="s">
        <v>68</v>
      </c>
      <c r="D2043" s="1">
        <v>46230</v>
      </c>
      <c r="E2043" t="s">
        <v>1973</v>
      </c>
      <c r="F2043" t="s">
        <v>68</v>
      </c>
      <c r="G2043" t="s">
        <v>69</v>
      </c>
      <c r="H2043" t="s">
        <v>70</v>
      </c>
      <c r="I2043" t="s">
        <v>71</v>
      </c>
      <c r="J2043" t="s">
        <v>72</v>
      </c>
      <c r="K2043" t="s">
        <v>73</v>
      </c>
      <c r="L2043" t="s">
        <v>74</v>
      </c>
      <c r="M2043" t="s">
        <v>611</v>
      </c>
      <c r="N2043" t="s">
        <v>76</v>
      </c>
      <c r="O2043" t="s">
        <v>612</v>
      </c>
      <c r="P2043" t="s">
        <v>613</v>
      </c>
      <c r="Q2043" t="s">
        <v>1974</v>
      </c>
      <c r="R2043" s="1">
        <v>46231</v>
      </c>
      <c r="S2043" t="s">
        <v>614</v>
      </c>
      <c r="T2043" t="s">
        <v>615</v>
      </c>
      <c r="U2043" t="s">
        <v>616</v>
      </c>
      <c r="V2043" t="s">
        <v>66</v>
      </c>
      <c r="W2043" t="s">
        <v>66</v>
      </c>
      <c r="X2043">
        <v>3230997</v>
      </c>
      <c r="Y2043">
        <v>355409.67</v>
      </c>
      <c r="Z2043">
        <v>509836</v>
      </c>
      <c r="AA2043">
        <v>56081.96</v>
      </c>
      <c r="AB2043">
        <v>3586406.67</v>
      </c>
      <c r="AC2043">
        <v>1</v>
      </c>
      <c r="AD2043" t="s">
        <v>134</v>
      </c>
      <c r="AE2043">
        <v>4</v>
      </c>
      <c r="AF2043" t="s">
        <v>651</v>
      </c>
      <c r="AG2043">
        <f>IFERROR(VLOOKUP(AF2043,[1]STOK!J:O,6,0),"")</f>
        <v>4</v>
      </c>
      <c r="AH2043" s="2">
        <f t="shared" si="62"/>
        <v>1</v>
      </c>
      <c r="AI2043" t="s">
        <v>651</v>
      </c>
      <c r="AJ2043" t="s">
        <v>652</v>
      </c>
      <c r="AK2043" t="s">
        <v>653</v>
      </c>
      <c r="AL2043" t="s">
        <v>86</v>
      </c>
      <c r="AM2043">
        <v>574536</v>
      </c>
      <c r="AN2043">
        <f t="shared" si="63"/>
        <v>565917.96</v>
      </c>
      <c r="AO2043" t="s">
        <v>66</v>
      </c>
      <c r="AP2043">
        <v>1.5</v>
      </c>
      <c r="AQ2043" t="s">
        <v>66</v>
      </c>
      <c r="AR2043">
        <v>0</v>
      </c>
      <c r="AS2043" t="s">
        <v>66</v>
      </c>
      <c r="AT2043">
        <v>0</v>
      </c>
      <c r="AU2043" t="s">
        <v>66</v>
      </c>
      <c r="AV2043">
        <v>0</v>
      </c>
      <c r="AW2043" t="s">
        <v>66</v>
      </c>
      <c r="AX2043">
        <v>0</v>
      </c>
      <c r="AY2043" t="s">
        <v>66</v>
      </c>
      <c r="AZ2043">
        <v>0</v>
      </c>
      <c r="BA2043" t="s">
        <v>66</v>
      </c>
      <c r="BB2043">
        <v>0</v>
      </c>
      <c r="BC2043">
        <v>0</v>
      </c>
      <c r="BD2043">
        <v>565917.96</v>
      </c>
      <c r="BE2043">
        <v>115524.23</v>
      </c>
      <c r="BF2043">
        <v>0</v>
      </c>
      <c r="BG2043" t="s">
        <v>87</v>
      </c>
      <c r="BH2043" t="s">
        <v>66</v>
      </c>
      <c r="BI2043">
        <v>0</v>
      </c>
      <c r="BJ2043" t="s">
        <v>66</v>
      </c>
      <c r="BK2043" t="s">
        <v>88</v>
      </c>
      <c r="BL2043" t="s">
        <v>618</v>
      </c>
      <c r="BM2043" t="s">
        <v>159</v>
      </c>
    </row>
    <row r="2044" spans="1:65" x14ac:dyDescent="0.25">
      <c r="A2044">
        <v>2042</v>
      </c>
      <c r="B2044" t="s">
        <v>1972</v>
      </c>
      <c r="C2044" t="s">
        <v>68</v>
      </c>
      <c r="D2044" s="1">
        <v>46230</v>
      </c>
      <c r="E2044" t="s">
        <v>1973</v>
      </c>
      <c r="F2044" t="s">
        <v>68</v>
      </c>
      <c r="G2044" t="s">
        <v>69</v>
      </c>
      <c r="H2044" t="s">
        <v>70</v>
      </c>
      <c r="I2044" t="s">
        <v>71</v>
      </c>
      <c r="J2044" t="s">
        <v>72</v>
      </c>
      <c r="K2044" t="s">
        <v>73</v>
      </c>
      <c r="L2044" t="s">
        <v>74</v>
      </c>
      <c r="M2044" t="s">
        <v>611</v>
      </c>
      <c r="N2044" t="s">
        <v>76</v>
      </c>
      <c r="O2044" t="s">
        <v>612</v>
      </c>
      <c r="P2044" t="s">
        <v>613</v>
      </c>
      <c r="Q2044" t="s">
        <v>1974</v>
      </c>
      <c r="R2044" s="1">
        <v>46231</v>
      </c>
      <c r="S2044" t="s">
        <v>614</v>
      </c>
      <c r="T2044" t="s">
        <v>615</v>
      </c>
      <c r="U2044" t="s">
        <v>616</v>
      </c>
      <c r="V2044" t="s">
        <v>66</v>
      </c>
      <c r="W2044" t="s">
        <v>66</v>
      </c>
      <c r="X2044">
        <v>3230997</v>
      </c>
      <c r="Y2044">
        <v>355409.67</v>
      </c>
      <c r="Z2044">
        <v>509836</v>
      </c>
      <c r="AA2044">
        <v>56081.96</v>
      </c>
      <c r="AB2044">
        <v>3586406.67</v>
      </c>
      <c r="AC2044">
        <v>1</v>
      </c>
      <c r="AD2044" t="s">
        <v>134</v>
      </c>
      <c r="AE2044">
        <v>4</v>
      </c>
      <c r="AF2044" t="s">
        <v>522</v>
      </c>
      <c r="AG2044">
        <f>IFERROR(VLOOKUP(AF2044,[1]STOK!J:O,6,0),"")</f>
        <v>4</v>
      </c>
      <c r="AH2044" s="2">
        <f t="shared" si="62"/>
        <v>1</v>
      </c>
      <c r="AI2044" t="s">
        <v>522</v>
      </c>
      <c r="AJ2044" t="s">
        <v>523</v>
      </c>
      <c r="AK2044" t="s">
        <v>524</v>
      </c>
      <c r="AL2044" t="s">
        <v>86</v>
      </c>
      <c r="AM2044">
        <v>574536</v>
      </c>
      <c r="AN2044">
        <f t="shared" si="63"/>
        <v>565917.96</v>
      </c>
      <c r="AO2044" t="s">
        <v>66</v>
      </c>
      <c r="AP2044">
        <v>1.5</v>
      </c>
      <c r="AQ2044" t="s">
        <v>66</v>
      </c>
      <c r="AR2044">
        <v>0</v>
      </c>
      <c r="AS2044" t="s">
        <v>66</v>
      </c>
      <c r="AT2044">
        <v>0</v>
      </c>
      <c r="AU2044" t="s">
        <v>66</v>
      </c>
      <c r="AV2044">
        <v>0</v>
      </c>
      <c r="AW2044" t="s">
        <v>66</v>
      </c>
      <c r="AX2044">
        <v>0</v>
      </c>
      <c r="AY2044" t="s">
        <v>66</v>
      </c>
      <c r="AZ2044">
        <v>0</v>
      </c>
      <c r="BA2044" t="s">
        <v>66</v>
      </c>
      <c r="BB2044">
        <v>0</v>
      </c>
      <c r="BC2044">
        <v>0</v>
      </c>
      <c r="BD2044">
        <v>565917.96</v>
      </c>
      <c r="BE2044">
        <v>112721.19</v>
      </c>
      <c r="BF2044">
        <v>0</v>
      </c>
      <c r="BG2044" t="s">
        <v>87</v>
      </c>
      <c r="BH2044" t="s">
        <v>66</v>
      </c>
      <c r="BI2044">
        <v>0</v>
      </c>
      <c r="BJ2044" t="s">
        <v>66</v>
      </c>
      <c r="BK2044" t="s">
        <v>88</v>
      </c>
      <c r="BL2044" t="s">
        <v>618</v>
      </c>
      <c r="BM2044" t="s">
        <v>159</v>
      </c>
    </row>
    <row r="2045" spans="1:65" x14ac:dyDescent="0.25">
      <c r="A2045">
        <v>2043</v>
      </c>
      <c r="B2045" t="s">
        <v>1972</v>
      </c>
      <c r="C2045" t="s">
        <v>68</v>
      </c>
      <c r="D2045" s="1">
        <v>46230</v>
      </c>
      <c r="E2045" t="s">
        <v>1973</v>
      </c>
      <c r="F2045" t="s">
        <v>68</v>
      </c>
      <c r="G2045" t="s">
        <v>69</v>
      </c>
      <c r="H2045" t="s">
        <v>70</v>
      </c>
      <c r="I2045" t="s">
        <v>71</v>
      </c>
      <c r="J2045" t="s">
        <v>72</v>
      </c>
      <c r="K2045" t="s">
        <v>73</v>
      </c>
      <c r="L2045" t="s">
        <v>74</v>
      </c>
      <c r="M2045" t="s">
        <v>611</v>
      </c>
      <c r="N2045" t="s">
        <v>76</v>
      </c>
      <c r="O2045" t="s">
        <v>612</v>
      </c>
      <c r="P2045" t="s">
        <v>613</v>
      </c>
      <c r="Q2045" t="s">
        <v>1974</v>
      </c>
      <c r="R2045" s="1">
        <v>46231</v>
      </c>
      <c r="S2045" t="s">
        <v>614</v>
      </c>
      <c r="T2045" t="s">
        <v>615</v>
      </c>
      <c r="U2045" t="s">
        <v>616</v>
      </c>
      <c r="V2045" t="s">
        <v>66</v>
      </c>
      <c r="W2045" t="s">
        <v>66</v>
      </c>
      <c r="X2045">
        <v>3230997</v>
      </c>
      <c r="Y2045">
        <v>355409.67</v>
      </c>
      <c r="Z2045">
        <v>458616</v>
      </c>
      <c r="AA2045">
        <v>50447.76</v>
      </c>
      <c r="AB2045">
        <v>3586406.67</v>
      </c>
      <c r="AC2045">
        <v>1</v>
      </c>
      <c r="AD2045" t="s">
        <v>134</v>
      </c>
      <c r="AE2045">
        <v>24</v>
      </c>
      <c r="AF2045" t="s">
        <v>470</v>
      </c>
      <c r="AG2045">
        <f>IFERROR(VLOOKUP(AF2045,[1]STOK!J:O,6,0),"")</f>
        <v>24</v>
      </c>
      <c r="AH2045" s="2">
        <f t="shared" si="62"/>
        <v>1</v>
      </c>
      <c r="AI2045" t="s">
        <v>470</v>
      </c>
      <c r="AJ2045" t="s">
        <v>471</v>
      </c>
      <c r="AK2045" t="s">
        <v>472</v>
      </c>
      <c r="AL2045" t="s">
        <v>86</v>
      </c>
      <c r="AM2045">
        <v>516816</v>
      </c>
      <c r="AN2045">
        <f t="shared" si="63"/>
        <v>509063.76</v>
      </c>
      <c r="AO2045" t="s">
        <v>66</v>
      </c>
      <c r="AP2045">
        <v>1.5</v>
      </c>
      <c r="AQ2045" t="s">
        <v>66</v>
      </c>
      <c r="AR2045">
        <v>0</v>
      </c>
      <c r="AS2045" t="s">
        <v>66</v>
      </c>
      <c r="AT2045">
        <v>0</v>
      </c>
      <c r="AU2045" t="s">
        <v>66</v>
      </c>
      <c r="AV2045">
        <v>0</v>
      </c>
      <c r="AW2045" t="s">
        <v>66</v>
      </c>
      <c r="AX2045">
        <v>0</v>
      </c>
      <c r="AY2045" t="s">
        <v>66</v>
      </c>
      <c r="AZ2045">
        <v>0</v>
      </c>
      <c r="BA2045" t="s">
        <v>66</v>
      </c>
      <c r="BB2045">
        <v>0</v>
      </c>
      <c r="BC2045">
        <v>0</v>
      </c>
      <c r="BD2045">
        <v>509063.76</v>
      </c>
      <c r="BE2045">
        <v>17322.240000000002</v>
      </c>
      <c r="BF2045">
        <v>0</v>
      </c>
      <c r="BG2045" t="s">
        <v>87</v>
      </c>
      <c r="BH2045" t="s">
        <v>66</v>
      </c>
      <c r="BI2045">
        <v>0</v>
      </c>
      <c r="BJ2045" t="s">
        <v>66</v>
      </c>
      <c r="BK2045" t="s">
        <v>88</v>
      </c>
      <c r="BL2045" t="s">
        <v>618</v>
      </c>
      <c r="BM2045" t="s">
        <v>159</v>
      </c>
    </row>
    <row r="2046" spans="1:65" x14ac:dyDescent="0.25">
      <c r="A2046">
        <v>2044</v>
      </c>
      <c r="B2046" t="s">
        <v>1972</v>
      </c>
      <c r="C2046" t="s">
        <v>68</v>
      </c>
      <c r="D2046" s="1">
        <v>46230</v>
      </c>
      <c r="E2046" t="s">
        <v>1973</v>
      </c>
      <c r="F2046" t="s">
        <v>68</v>
      </c>
      <c r="G2046" t="s">
        <v>69</v>
      </c>
      <c r="H2046" t="s">
        <v>70</v>
      </c>
      <c r="I2046" t="s">
        <v>71</v>
      </c>
      <c r="J2046" t="s">
        <v>72</v>
      </c>
      <c r="K2046" t="s">
        <v>73</v>
      </c>
      <c r="L2046" t="s">
        <v>74</v>
      </c>
      <c r="M2046" t="s">
        <v>611</v>
      </c>
      <c r="N2046" t="s">
        <v>76</v>
      </c>
      <c r="O2046" t="s">
        <v>612</v>
      </c>
      <c r="P2046" t="s">
        <v>613</v>
      </c>
      <c r="Q2046" t="s">
        <v>1974</v>
      </c>
      <c r="R2046" s="1">
        <v>46231</v>
      </c>
      <c r="S2046" t="s">
        <v>614</v>
      </c>
      <c r="T2046" t="s">
        <v>615</v>
      </c>
      <c r="U2046" t="s">
        <v>616</v>
      </c>
      <c r="V2046" t="s">
        <v>66</v>
      </c>
      <c r="W2046" t="s">
        <v>66</v>
      </c>
      <c r="X2046">
        <v>3230997</v>
      </c>
      <c r="Y2046">
        <v>355409.67</v>
      </c>
      <c r="Z2046">
        <v>229308</v>
      </c>
      <c r="AA2046">
        <v>25223.88</v>
      </c>
      <c r="AB2046">
        <v>3586406.67</v>
      </c>
      <c r="AC2046">
        <v>1</v>
      </c>
      <c r="AD2046" t="s">
        <v>134</v>
      </c>
      <c r="AE2046">
        <v>12</v>
      </c>
      <c r="AF2046" t="s">
        <v>284</v>
      </c>
      <c r="AG2046">
        <f>IFERROR(VLOOKUP(AF2046,[1]STOK!J:O,6,0),"")</f>
        <v>12</v>
      </c>
      <c r="AH2046" s="2">
        <f t="shared" si="62"/>
        <v>1</v>
      </c>
      <c r="AI2046" t="s">
        <v>284</v>
      </c>
      <c r="AJ2046" t="s">
        <v>285</v>
      </c>
      <c r="AK2046" t="s">
        <v>286</v>
      </c>
      <c r="AL2046" t="s">
        <v>86</v>
      </c>
      <c r="AM2046">
        <v>258408</v>
      </c>
      <c r="AN2046">
        <f t="shared" si="63"/>
        <v>254531.88</v>
      </c>
      <c r="AO2046" t="s">
        <v>66</v>
      </c>
      <c r="AP2046">
        <v>1.5</v>
      </c>
      <c r="AQ2046" t="s">
        <v>66</v>
      </c>
      <c r="AR2046">
        <v>0</v>
      </c>
      <c r="AS2046" t="s">
        <v>66</v>
      </c>
      <c r="AT2046">
        <v>0</v>
      </c>
      <c r="AU2046" t="s">
        <v>66</v>
      </c>
      <c r="AV2046">
        <v>0</v>
      </c>
      <c r="AW2046" t="s">
        <v>66</v>
      </c>
      <c r="AX2046">
        <v>0</v>
      </c>
      <c r="AY2046" t="s">
        <v>66</v>
      </c>
      <c r="AZ2046">
        <v>0</v>
      </c>
      <c r="BA2046" t="s">
        <v>66</v>
      </c>
      <c r="BB2046">
        <v>0</v>
      </c>
      <c r="BC2046">
        <v>0</v>
      </c>
      <c r="BD2046">
        <v>254531.88</v>
      </c>
      <c r="BE2046">
        <v>17311.39</v>
      </c>
      <c r="BF2046">
        <v>0</v>
      </c>
      <c r="BG2046" t="s">
        <v>87</v>
      </c>
      <c r="BH2046" t="s">
        <v>66</v>
      </c>
      <c r="BI2046">
        <v>0</v>
      </c>
      <c r="BJ2046" t="s">
        <v>66</v>
      </c>
      <c r="BK2046" t="s">
        <v>88</v>
      </c>
      <c r="BL2046" t="s">
        <v>618</v>
      </c>
      <c r="BM2046" t="s">
        <v>159</v>
      </c>
    </row>
    <row r="2047" spans="1:65" x14ac:dyDescent="0.25">
      <c r="A2047">
        <v>2045</v>
      </c>
      <c r="B2047" t="s">
        <v>1972</v>
      </c>
      <c r="C2047" t="s">
        <v>68</v>
      </c>
      <c r="D2047" s="1">
        <v>46230</v>
      </c>
      <c r="E2047" t="s">
        <v>1973</v>
      </c>
      <c r="F2047" t="s">
        <v>68</v>
      </c>
      <c r="G2047" t="s">
        <v>69</v>
      </c>
      <c r="H2047" t="s">
        <v>70</v>
      </c>
      <c r="I2047" t="s">
        <v>71</v>
      </c>
      <c r="J2047" t="s">
        <v>72</v>
      </c>
      <c r="K2047" t="s">
        <v>73</v>
      </c>
      <c r="L2047" t="s">
        <v>74</v>
      </c>
      <c r="M2047" t="s">
        <v>611</v>
      </c>
      <c r="N2047" t="s">
        <v>76</v>
      </c>
      <c r="O2047" t="s">
        <v>612</v>
      </c>
      <c r="P2047" t="s">
        <v>613</v>
      </c>
      <c r="Q2047" t="s">
        <v>1974</v>
      </c>
      <c r="R2047" s="1">
        <v>46231</v>
      </c>
      <c r="S2047" t="s">
        <v>614</v>
      </c>
      <c r="T2047" t="s">
        <v>615</v>
      </c>
      <c r="U2047" t="s">
        <v>616</v>
      </c>
      <c r="V2047" t="s">
        <v>66</v>
      </c>
      <c r="W2047" t="s">
        <v>66</v>
      </c>
      <c r="X2047">
        <v>3230997</v>
      </c>
      <c r="Y2047">
        <v>355409.67</v>
      </c>
      <c r="Z2047">
        <v>198576</v>
      </c>
      <c r="AA2047">
        <v>21843.360000000001</v>
      </c>
      <c r="AB2047">
        <v>3586406.67</v>
      </c>
      <c r="AC2047">
        <v>4</v>
      </c>
      <c r="AD2047" t="s">
        <v>82</v>
      </c>
      <c r="AE2047">
        <v>4</v>
      </c>
      <c r="AF2047" t="s">
        <v>881</v>
      </c>
      <c r="AG2047">
        <f>IFERROR(VLOOKUP(AF2047,[1]STOK!J:O,6,0),"")</f>
        <v>4</v>
      </c>
      <c r="AH2047" s="2">
        <f t="shared" si="62"/>
        <v>1</v>
      </c>
      <c r="AI2047" t="s">
        <v>881</v>
      </c>
      <c r="AJ2047" t="s">
        <v>882</v>
      </c>
      <c r="AK2047" t="s">
        <v>883</v>
      </c>
      <c r="AL2047" t="s">
        <v>86</v>
      </c>
      <c r="AM2047">
        <v>55944</v>
      </c>
      <c r="AN2047">
        <f t="shared" si="63"/>
        <v>55104.84</v>
      </c>
      <c r="AO2047" t="s">
        <v>66</v>
      </c>
      <c r="AP2047">
        <v>1.5</v>
      </c>
      <c r="AQ2047" t="s">
        <v>66</v>
      </c>
      <c r="AR2047">
        <v>0</v>
      </c>
      <c r="AS2047" t="s">
        <v>66</v>
      </c>
      <c r="AT2047">
        <v>0</v>
      </c>
      <c r="AU2047" t="s">
        <v>66</v>
      </c>
      <c r="AV2047">
        <v>0</v>
      </c>
      <c r="AW2047" t="s">
        <v>66</v>
      </c>
      <c r="AX2047">
        <v>0</v>
      </c>
      <c r="AY2047" t="s">
        <v>66</v>
      </c>
      <c r="AZ2047">
        <v>0</v>
      </c>
      <c r="BA2047" t="s">
        <v>66</v>
      </c>
      <c r="BB2047">
        <v>0</v>
      </c>
      <c r="BC2047">
        <v>0</v>
      </c>
      <c r="BD2047">
        <v>220419.36</v>
      </c>
      <c r="BE2047">
        <v>45059.96</v>
      </c>
      <c r="BF2047">
        <v>0</v>
      </c>
      <c r="BG2047" t="s">
        <v>87</v>
      </c>
      <c r="BH2047" t="s">
        <v>66</v>
      </c>
      <c r="BI2047">
        <v>0</v>
      </c>
      <c r="BJ2047" t="s">
        <v>66</v>
      </c>
      <c r="BK2047" t="s">
        <v>88</v>
      </c>
      <c r="BL2047" t="s">
        <v>618</v>
      </c>
      <c r="BM2047" t="s">
        <v>159</v>
      </c>
    </row>
    <row r="2048" spans="1:65" x14ac:dyDescent="0.25">
      <c r="A2048">
        <v>2046</v>
      </c>
      <c r="B2048" t="s">
        <v>1972</v>
      </c>
      <c r="C2048" t="s">
        <v>68</v>
      </c>
      <c r="D2048" s="1">
        <v>46230</v>
      </c>
      <c r="E2048" t="s">
        <v>1973</v>
      </c>
      <c r="F2048" t="s">
        <v>68</v>
      </c>
      <c r="G2048" t="s">
        <v>69</v>
      </c>
      <c r="H2048" t="s">
        <v>70</v>
      </c>
      <c r="I2048" t="s">
        <v>71</v>
      </c>
      <c r="J2048" t="s">
        <v>72</v>
      </c>
      <c r="K2048" t="s">
        <v>73</v>
      </c>
      <c r="L2048" t="s">
        <v>74</v>
      </c>
      <c r="M2048" t="s">
        <v>611</v>
      </c>
      <c r="N2048" t="s">
        <v>76</v>
      </c>
      <c r="O2048" t="s">
        <v>612</v>
      </c>
      <c r="P2048" t="s">
        <v>613</v>
      </c>
      <c r="Q2048" t="s">
        <v>1974</v>
      </c>
      <c r="R2048" s="1">
        <v>46231</v>
      </c>
      <c r="S2048" t="s">
        <v>614</v>
      </c>
      <c r="T2048" t="s">
        <v>615</v>
      </c>
      <c r="U2048" t="s">
        <v>616</v>
      </c>
      <c r="V2048" t="s">
        <v>66</v>
      </c>
      <c r="W2048" t="s">
        <v>66</v>
      </c>
      <c r="X2048">
        <v>3230997</v>
      </c>
      <c r="Y2048">
        <v>355409.67</v>
      </c>
      <c r="Z2048">
        <v>198576</v>
      </c>
      <c r="AA2048">
        <v>21843.360000000001</v>
      </c>
      <c r="AB2048">
        <v>3586406.67</v>
      </c>
      <c r="AC2048">
        <v>4</v>
      </c>
      <c r="AD2048" t="s">
        <v>82</v>
      </c>
      <c r="AE2048">
        <v>4</v>
      </c>
      <c r="AF2048" t="s">
        <v>581</v>
      </c>
      <c r="AG2048">
        <f>IFERROR(VLOOKUP(AF2048,[1]STOK!J:O,6,0),"")</f>
        <v>4</v>
      </c>
      <c r="AH2048" s="2">
        <f t="shared" si="62"/>
        <v>1</v>
      </c>
      <c r="AI2048" t="s">
        <v>581</v>
      </c>
      <c r="AJ2048" t="s">
        <v>582</v>
      </c>
      <c r="AK2048" t="s">
        <v>583</v>
      </c>
      <c r="AL2048" t="s">
        <v>86</v>
      </c>
      <c r="AM2048">
        <v>55944</v>
      </c>
      <c r="AN2048">
        <f t="shared" si="63"/>
        <v>55104.84</v>
      </c>
      <c r="AO2048" t="s">
        <v>66</v>
      </c>
      <c r="AP2048">
        <v>1.5</v>
      </c>
      <c r="AQ2048" t="s">
        <v>66</v>
      </c>
      <c r="AR2048">
        <v>0</v>
      </c>
      <c r="AS2048" t="s">
        <v>66</v>
      </c>
      <c r="AT2048">
        <v>0</v>
      </c>
      <c r="AU2048" t="s">
        <v>66</v>
      </c>
      <c r="AV2048">
        <v>0</v>
      </c>
      <c r="AW2048" t="s">
        <v>66</v>
      </c>
      <c r="AX2048">
        <v>0</v>
      </c>
      <c r="AY2048" t="s">
        <v>66</v>
      </c>
      <c r="AZ2048">
        <v>0</v>
      </c>
      <c r="BA2048" t="s">
        <v>66</v>
      </c>
      <c r="BB2048">
        <v>0</v>
      </c>
      <c r="BC2048">
        <v>0</v>
      </c>
      <c r="BD2048">
        <v>220419.36</v>
      </c>
      <c r="BE2048">
        <v>44013.35</v>
      </c>
      <c r="BF2048">
        <v>0</v>
      </c>
      <c r="BG2048" t="s">
        <v>87</v>
      </c>
      <c r="BH2048" t="s">
        <v>66</v>
      </c>
      <c r="BI2048">
        <v>0</v>
      </c>
      <c r="BJ2048" t="s">
        <v>66</v>
      </c>
      <c r="BK2048" t="s">
        <v>88</v>
      </c>
      <c r="BL2048" t="s">
        <v>618</v>
      </c>
      <c r="BM2048" t="s">
        <v>159</v>
      </c>
    </row>
    <row r="2049" spans="1:65" x14ac:dyDescent="0.25">
      <c r="A2049">
        <v>2047</v>
      </c>
      <c r="B2049" t="s">
        <v>1972</v>
      </c>
      <c r="C2049" t="s">
        <v>68</v>
      </c>
      <c r="D2049" s="1">
        <v>46230</v>
      </c>
      <c r="E2049" t="s">
        <v>1973</v>
      </c>
      <c r="F2049" t="s">
        <v>68</v>
      </c>
      <c r="G2049" t="s">
        <v>69</v>
      </c>
      <c r="H2049" t="s">
        <v>70</v>
      </c>
      <c r="I2049" t="s">
        <v>71</v>
      </c>
      <c r="J2049" t="s">
        <v>72</v>
      </c>
      <c r="K2049" t="s">
        <v>73</v>
      </c>
      <c r="L2049" t="s">
        <v>74</v>
      </c>
      <c r="M2049" t="s">
        <v>611</v>
      </c>
      <c r="N2049" t="s">
        <v>76</v>
      </c>
      <c r="O2049" t="s">
        <v>612</v>
      </c>
      <c r="P2049" t="s">
        <v>613</v>
      </c>
      <c r="Q2049" t="s">
        <v>1974</v>
      </c>
      <c r="R2049" s="1">
        <v>46231</v>
      </c>
      <c r="S2049" t="s">
        <v>614</v>
      </c>
      <c r="T2049" t="s">
        <v>615</v>
      </c>
      <c r="U2049" t="s">
        <v>616</v>
      </c>
      <c r="V2049" t="s">
        <v>66</v>
      </c>
      <c r="W2049" t="s">
        <v>66</v>
      </c>
      <c r="X2049">
        <v>3230997</v>
      </c>
      <c r="Y2049">
        <v>355409.67</v>
      </c>
      <c r="Z2049">
        <v>226353</v>
      </c>
      <c r="AA2049">
        <v>24898.83</v>
      </c>
      <c r="AB2049">
        <v>3586406.67</v>
      </c>
      <c r="AC2049">
        <v>1</v>
      </c>
      <c r="AD2049" t="s">
        <v>134</v>
      </c>
      <c r="AE2049">
        <v>6</v>
      </c>
      <c r="AF2049" t="s">
        <v>323</v>
      </c>
      <c r="AG2049">
        <f>IFERROR(VLOOKUP(AF2049,[1]STOK!J:O,6,0),"")</f>
        <v>6</v>
      </c>
      <c r="AH2049" s="2">
        <f t="shared" si="62"/>
        <v>1</v>
      </c>
      <c r="AI2049" t="s">
        <v>323</v>
      </c>
      <c r="AJ2049" t="s">
        <v>324</v>
      </c>
      <c r="AK2049" t="s">
        <v>325</v>
      </c>
      <c r="AL2049" t="s">
        <v>86</v>
      </c>
      <c r="AM2049">
        <v>255078</v>
      </c>
      <c r="AN2049">
        <f t="shared" si="63"/>
        <v>251251.83</v>
      </c>
      <c r="AO2049" t="s">
        <v>66</v>
      </c>
      <c r="AP2049">
        <v>1.5</v>
      </c>
      <c r="AQ2049" t="s">
        <v>66</v>
      </c>
      <c r="AR2049">
        <v>0</v>
      </c>
      <c r="AS2049" t="s">
        <v>66</v>
      </c>
      <c r="AT2049">
        <v>0</v>
      </c>
      <c r="AU2049" t="s">
        <v>66</v>
      </c>
      <c r="AV2049">
        <v>0</v>
      </c>
      <c r="AW2049" t="s">
        <v>66</v>
      </c>
      <c r="AX2049">
        <v>0</v>
      </c>
      <c r="AY2049" t="s">
        <v>66</v>
      </c>
      <c r="AZ2049">
        <v>0</v>
      </c>
      <c r="BA2049" t="s">
        <v>66</v>
      </c>
      <c r="BB2049">
        <v>0</v>
      </c>
      <c r="BC2049">
        <v>0</v>
      </c>
      <c r="BD2049">
        <v>251251.83</v>
      </c>
      <c r="BE2049">
        <v>34360.79</v>
      </c>
      <c r="BF2049">
        <v>0</v>
      </c>
      <c r="BG2049" t="s">
        <v>87</v>
      </c>
      <c r="BH2049" t="s">
        <v>66</v>
      </c>
      <c r="BI2049">
        <v>0</v>
      </c>
      <c r="BJ2049" t="s">
        <v>66</v>
      </c>
      <c r="BK2049" t="s">
        <v>88</v>
      </c>
      <c r="BL2049" t="s">
        <v>618</v>
      </c>
      <c r="BM2049" t="s">
        <v>159</v>
      </c>
    </row>
    <row r="2050" spans="1:65" x14ac:dyDescent="0.25">
      <c r="A2050">
        <v>2048</v>
      </c>
      <c r="B2050" t="s">
        <v>1975</v>
      </c>
      <c r="C2050" t="s">
        <v>66</v>
      </c>
      <c r="D2050" s="1">
        <v>46230</v>
      </c>
      <c r="E2050" t="s">
        <v>1976</v>
      </c>
      <c r="F2050" t="s">
        <v>68</v>
      </c>
      <c r="G2050" t="s">
        <v>69</v>
      </c>
      <c r="H2050" t="s">
        <v>70</v>
      </c>
      <c r="I2050" t="s">
        <v>71</v>
      </c>
      <c r="J2050" t="s">
        <v>72</v>
      </c>
      <c r="K2050" t="s">
        <v>73</v>
      </c>
      <c r="L2050" t="s">
        <v>74</v>
      </c>
      <c r="M2050" t="s">
        <v>933</v>
      </c>
      <c r="N2050" t="s">
        <v>111</v>
      </c>
      <c r="O2050" t="s">
        <v>934</v>
      </c>
      <c r="P2050" t="s">
        <v>935</v>
      </c>
      <c r="Q2050" t="s">
        <v>66</v>
      </c>
      <c r="R2050" s="1">
        <v>46230</v>
      </c>
      <c r="S2050" t="s">
        <v>934</v>
      </c>
      <c r="T2050" t="s">
        <v>935</v>
      </c>
      <c r="U2050" t="s">
        <v>937</v>
      </c>
      <c r="V2050" t="s">
        <v>66</v>
      </c>
      <c r="W2050" t="s">
        <v>66</v>
      </c>
      <c r="X2050">
        <v>2561328</v>
      </c>
      <c r="Y2050">
        <v>281746.08</v>
      </c>
      <c r="Z2050">
        <v>43956</v>
      </c>
      <c r="AA2050">
        <v>4835.16</v>
      </c>
      <c r="AB2050">
        <v>2843074.08</v>
      </c>
      <c r="AC2050">
        <v>3</v>
      </c>
      <c r="AD2050" t="s">
        <v>82</v>
      </c>
      <c r="AE2050">
        <v>3</v>
      </c>
      <c r="AF2050" t="s">
        <v>119</v>
      </c>
      <c r="AG2050">
        <f>IFERROR(VLOOKUP(AF2050,[1]STOK!J:O,6,0),"")</f>
        <v>12</v>
      </c>
      <c r="AH2050" s="2">
        <f t="shared" si="62"/>
        <v>0.25</v>
      </c>
      <c r="AI2050" t="s">
        <v>119</v>
      </c>
      <c r="AJ2050" t="s">
        <v>120</v>
      </c>
      <c r="AK2050" t="s">
        <v>121</v>
      </c>
      <c r="AL2050" t="s">
        <v>86</v>
      </c>
      <c r="AM2050">
        <v>16428</v>
      </c>
      <c r="AN2050">
        <f t="shared" si="63"/>
        <v>16263.720000000001</v>
      </c>
      <c r="AO2050" t="s">
        <v>66</v>
      </c>
      <c r="AP2050">
        <v>1</v>
      </c>
      <c r="AQ2050" t="s">
        <v>66</v>
      </c>
      <c r="AR2050">
        <v>0</v>
      </c>
      <c r="AS2050" t="s">
        <v>66</v>
      </c>
      <c r="AT2050">
        <v>0</v>
      </c>
      <c r="AU2050" t="s">
        <v>66</v>
      </c>
      <c r="AV2050">
        <v>0</v>
      </c>
      <c r="AW2050" t="s">
        <v>66</v>
      </c>
      <c r="AX2050">
        <v>0</v>
      </c>
      <c r="AY2050" t="s">
        <v>66</v>
      </c>
      <c r="AZ2050">
        <v>0</v>
      </c>
      <c r="BA2050" t="s">
        <v>66</v>
      </c>
      <c r="BB2050">
        <v>0</v>
      </c>
      <c r="BC2050">
        <v>0</v>
      </c>
      <c r="BD2050">
        <v>48791.16</v>
      </c>
      <c r="BE2050">
        <v>13255.47</v>
      </c>
      <c r="BF2050">
        <v>0</v>
      </c>
      <c r="BG2050" t="s">
        <v>87</v>
      </c>
      <c r="BH2050" t="s">
        <v>66</v>
      </c>
      <c r="BI2050">
        <v>0</v>
      </c>
      <c r="BJ2050" t="s">
        <v>66</v>
      </c>
      <c r="BK2050" t="s">
        <v>88</v>
      </c>
      <c r="BL2050" t="s">
        <v>66</v>
      </c>
      <c r="BM2050" t="s">
        <v>159</v>
      </c>
    </row>
    <row r="2051" spans="1:65" x14ac:dyDescent="0.25">
      <c r="A2051">
        <v>2049</v>
      </c>
      <c r="B2051" t="s">
        <v>1975</v>
      </c>
      <c r="C2051" t="s">
        <v>66</v>
      </c>
      <c r="D2051" s="1">
        <v>46230</v>
      </c>
      <c r="E2051" t="s">
        <v>1976</v>
      </c>
      <c r="F2051" t="s">
        <v>68</v>
      </c>
      <c r="G2051" t="s">
        <v>69</v>
      </c>
      <c r="H2051" t="s">
        <v>70</v>
      </c>
      <c r="I2051" t="s">
        <v>71</v>
      </c>
      <c r="J2051" t="s">
        <v>72</v>
      </c>
      <c r="K2051" t="s">
        <v>73</v>
      </c>
      <c r="L2051" t="s">
        <v>74</v>
      </c>
      <c r="M2051" t="s">
        <v>933</v>
      </c>
      <c r="N2051" t="s">
        <v>111</v>
      </c>
      <c r="O2051" t="s">
        <v>934</v>
      </c>
      <c r="P2051" t="s">
        <v>935</v>
      </c>
      <c r="Q2051" t="s">
        <v>66</v>
      </c>
      <c r="R2051" s="1">
        <v>46230</v>
      </c>
      <c r="S2051" t="s">
        <v>934</v>
      </c>
      <c r="T2051" t="s">
        <v>935</v>
      </c>
      <c r="U2051" t="s">
        <v>937</v>
      </c>
      <c r="V2051" t="s">
        <v>66</v>
      </c>
      <c r="W2051" t="s">
        <v>66</v>
      </c>
      <c r="X2051">
        <v>2561328</v>
      </c>
      <c r="Y2051">
        <v>281746.08</v>
      </c>
      <c r="Z2051">
        <v>196020</v>
      </c>
      <c r="AA2051">
        <v>21562.2</v>
      </c>
      <c r="AB2051">
        <v>2843074.08</v>
      </c>
      <c r="AC2051">
        <v>12</v>
      </c>
      <c r="AD2051" t="s">
        <v>82</v>
      </c>
      <c r="AE2051">
        <v>12</v>
      </c>
      <c r="AF2051" t="s">
        <v>205</v>
      </c>
      <c r="AG2051">
        <f>IFERROR(VLOOKUP(AF2051,[1]STOK!J:O,6,0),"")</f>
        <v>24</v>
      </c>
      <c r="AH2051" s="2">
        <f t="shared" si="62"/>
        <v>0.5</v>
      </c>
      <c r="AI2051" t="s">
        <v>205</v>
      </c>
      <c r="AJ2051" t="s">
        <v>206</v>
      </c>
      <c r="AK2051" t="s">
        <v>207</v>
      </c>
      <c r="AL2051" t="s">
        <v>86</v>
      </c>
      <c r="AM2051">
        <v>18315</v>
      </c>
      <c r="AN2051">
        <f t="shared" si="63"/>
        <v>18131.850000000002</v>
      </c>
      <c r="AO2051" t="s">
        <v>66</v>
      </c>
      <c r="AP2051">
        <v>1</v>
      </c>
      <c r="AQ2051" t="s">
        <v>66</v>
      </c>
      <c r="AR2051">
        <v>0</v>
      </c>
      <c r="AS2051" t="s">
        <v>66</v>
      </c>
      <c r="AT2051">
        <v>0</v>
      </c>
      <c r="AU2051" t="s">
        <v>66</v>
      </c>
      <c r="AV2051">
        <v>0</v>
      </c>
      <c r="AW2051" t="s">
        <v>66</v>
      </c>
      <c r="AX2051">
        <v>0</v>
      </c>
      <c r="AY2051" t="s">
        <v>66</v>
      </c>
      <c r="AZ2051">
        <v>0</v>
      </c>
      <c r="BA2051" t="s">
        <v>66</v>
      </c>
      <c r="BB2051">
        <v>0</v>
      </c>
      <c r="BC2051">
        <v>0</v>
      </c>
      <c r="BD2051">
        <v>217582.2</v>
      </c>
      <c r="BE2051">
        <v>14893.33</v>
      </c>
      <c r="BF2051">
        <v>0</v>
      </c>
      <c r="BG2051" t="s">
        <v>87</v>
      </c>
      <c r="BH2051" t="s">
        <v>66</v>
      </c>
      <c r="BI2051">
        <v>0</v>
      </c>
      <c r="BJ2051" t="s">
        <v>66</v>
      </c>
      <c r="BK2051" t="s">
        <v>88</v>
      </c>
      <c r="BL2051" t="s">
        <v>66</v>
      </c>
      <c r="BM2051" t="s">
        <v>159</v>
      </c>
    </row>
    <row r="2052" spans="1:65" x14ac:dyDescent="0.25">
      <c r="A2052">
        <v>2050</v>
      </c>
      <c r="B2052" t="s">
        <v>1975</v>
      </c>
      <c r="C2052" t="s">
        <v>66</v>
      </c>
      <c r="D2052" s="1">
        <v>46230</v>
      </c>
      <c r="E2052" t="s">
        <v>1976</v>
      </c>
      <c r="F2052" t="s">
        <v>68</v>
      </c>
      <c r="G2052" t="s">
        <v>69</v>
      </c>
      <c r="H2052" t="s">
        <v>70</v>
      </c>
      <c r="I2052" t="s">
        <v>71</v>
      </c>
      <c r="J2052" t="s">
        <v>72</v>
      </c>
      <c r="K2052" t="s">
        <v>73</v>
      </c>
      <c r="L2052" t="s">
        <v>74</v>
      </c>
      <c r="M2052" t="s">
        <v>933</v>
      </c>
      <c r="N2052" t="s">
        <v>111</v>
      </c>
      <c r="O2052" t="s">
        <v>934</v>
      </c>
      <c r="P2052" t="s">
        <v>935</v>
      </c>
      <c r="Q2052" t="s">
        <v>66</v>
      </c>
      <c r="R2052" s="1">
        <v>46230</v>
      </c>
      <c r="S2052" t="s">
        <v>934</v>
      </c>
      <c r="T2052" t="s">
        <v>935</v>
      </c>
      <c r="U2052" t="s">
        <v>937</v>
      </c>
      <c r="V2052" t="s">
        <v>66</v>
      </c>
      <c r="W2052" t="s">
        <v>66</v>
      </c>
      <c r="X2052">
        <v>2561328</v>
      </c>
      <c r="Y2052">
        <v>281746.08</v>
      </c>
      <c r="Z2052">
        <v>392040</v>
      </c>
      <c r="AA2052">
        <v>43124.4</v>
      </c>
      <c r="AB2052">
        <v>2843074.08</v>
      </c>
      <c r="AC2052">
        <v>1</v>
      </c>
      <c r="AD2052" t="s">
        <v>134</v>
      </c>
      <c r="AE2052">
        <v>24</v>
      </c>
      <c r="AF2052" t="s">
        <v>99</v>
      </c>
      <c r="AG2052">
        <f>IFERROR(VLOOKUP(AF2052,[1]STOK!J:O,6,0),"")</f>
        <v>24</v>
      </c>
      <c r="AH2052" s="2">
        <f t="shared" ref="AH2052:AH2115" si="64">AE2052/AG2052</f>
        <v>1</v>
      </c>
      <c r="AI2052" t="s">
        <v>99</v>
      </c>
      <c r="AJ2052" t="s">
        <v>100</v>
      </c>
      <c r="AK2052" t="s">
        <v>101</v>
      </c>
      <c r="AL2052" t="s">
        <v>86</v>
      </c>
      <c r="AM2052">
        <v>439560</v>
      </c>
      <c r="AN2052">
        <f t="shared" ref="AN2052:AN2115" si="65">BD2052/AC2052</f>
        <v>435164.4</v>
      </c>
      <c r="AO2052" t="s">
        <v>66</v>
      </c>
      <c r="AP2052">
        <v>1</v>
      </c>
      <c r="AQ2052" t="s">
        <v>66</v>
      </c>
      <c r="AR2052">
        <v>0</v>
      </c>
      <c r="AS2052" t="s">
        <v>66</v>
      </c>
      <c r="AT2052">
        <v>0</v>
      </c>
      <c r="AU2052" t="s">
        <v>66</v>
      </c>
      <c r="AV2052">
        <v>0</v>
      </c>
      <c r="AW2052" t="s">
        <v>66</v>
      </c>
      <c r="AX2052">
        <v>0</v>
      </c>
      <c r="AY2052" t="s">
        <v>66</v>
      </c>
      <c r="AZ2052">
        <v>0</v>
      </c>
      <c r="BA2052" t="s">
        <v>66</v>
      </c>
      <c r="BB2052">
        <v>0</v>
      </c>
      <c r="BC2052">
        <v>0</v>
      </c>
      <c r="BD2052">
        <v>435164.4</v>
      </c>
      <c r="BE2052">
        <v>14925.98</v>
      </c>
      <c r="BF2052">
        <v>0</v>
      </c>
      <c r="BG2052" t="s">
        <v>87</v>
      </c>
      <c r="BH2052" t="s">
        <v>66</v>
      </c>
      <c r="BI2052">
        <v>0</v>
      </c>
      <c r="BJ2052" t="s">
        <v>66</v>
      </c>
      <c r="BK2052" t="s">
        <v>88</v>
      </c>
      <c r="BL2052" t="s">
        <v>66</v>
      </c>
      <c r="BM2052" t="s">
        <v>159</v>
      </c>
    </row>
    <row r="2053" spans="1:65" x14ac:dyDescent="0.25">
      <c r="A2053">
        <v>2051</v>
      </c>
      <c r="B2053" t="s">
        <v>1975</v>
      </c>
      <c r="C2053" t="s">
        <v>66</v>
      </c>
      <c r="D2053" s="1">
        <v>46230</v>
      </c>
      <c r="E2053" t="s">
        <v>1976</v>
      </c>
      <c r="F2053" t="s">
        <v>68</v>
      </c>
      <c r="G2053" t="s">
        <v>69</v>
      </c>
      <c r="H2053" t="s">
        <v>70</v>
      </c>
      <c r="I2053" t="s">
        <v>71</v>
      </c>
      <c r="J2053" t="s">
        <v>72</v>
      </c>
      <c r="K2053" t="s">
        <v>73</v>
      </c>
      <c r="L2053" t="s">
        <v>74</v>
      </c>
      <c r="M2053" t="s">
        <v>933</v>
      </c>
      <c r="N2053" t="s">
        <v>111</v>
      </c>
      <c r="O2053" t="s">
        <v>934</v>
      </c>
      <c r="P2053" t="s">
        <v>935</v>
      </c>
      <c r="Q2053" t="s">
        <v>66</v>
      </c>
      <c r="R2053" s="1">
        <v>46230</v>
      </c>
      <c r="S2053" t="s">
        <v>934</v>
      </c>
      <c r="T2053" t="s">
        <v>935</v>
      </c>
      <c r="U2053" t="s">
        <v>937</v>
      </c>
      <c r="V2053" t="s">
        <v>66</v>
      </c>
      <c r="W2053" t="s">
        <v>66</v>
      </c>
      <c r="X2053">
        <v>2561328</v>
      </c>
      <c r="Y2053">
        <v>281746.08</v>
      </c>
      <c r="Z2053">
        <v>81972</v>
      </c>
      <c r="AA2053">
        <v>9016.92</v>
      </c>
      <c r="AB2053">
        <v>2843074.08</v>
      </c>
      <c r="AC2053">
        <v>12</v>
      </c>
      <c r="AD2053" t="s">
        <v>82</v>
      </c>
      <c r="AE2053">
        <v>12</v>
      </c>
      <c r="AF2053" t="s">
        <v>1141</v>
      </c>
      <c r="AG2053">
        <f>IFERROR(VLOOKUP(AF2053,[1]STOK!J:O,6,0),"")</f>
        <v>24</v>
      </c>
      <c r="AH2053" s="2">
        <f t="shared" si="64"/>
        <v>0.5</v>
      </c>
      <c r="AI2053" t="s">
        <v>1141</v>
      </c>
      <c r="AJ2053" t="s">
        <v>1142</v>
      </c>
      <c r="AK2053" t="s">
        <v>1143</v>
      </c>
      <c r="AL2053" t="s">
        <v>86</v>
      </c>
      <c r="AM2053">
        <v>7659</v>
      </c>
      <c r="AN2053">
        <f t="shared" si="65"/>
        <v>7582.41</v>
      </c>
      <c r="AO2053" t="s">
        <v>66</v>
      </c>
      <c r="AP2053">
        <v>1</v>
      </c>
      <c r="AQ2053" t="s">
        <v>66</v>
      </c>
      <c r="AR2053">
        <v>0</v>
      </c>
      <c r="AS2053" t="s">
        <v>66</v>
      </c>
      <c r="AT2053">
        <v>0</v>
      </c>
      <c r="AU2053" t="s">
        <v>66</v>
      </c>
      <c r="AV2053">
        <v>0</v>
      </c>
      <c r="AW2053" t="s">
        <v>66</v>
      </c>
      <c r="AX2053">
        <v>0</v>
      </c>
      <c r="AY2053" t="s">
        <v>66</v>
      </c>
      <c r="AZ2053">
        <v>0</v>
      </c>
      <c r="BA2053" t="s">
        <v>66</v>
      </c>
      <c r="BB2053">
        <v>0</v>
      </c>
      <c r="BC2053">
        <v>0</v>
      </c>
      <c r="BD2053">
        <v>90988.92</v>
      </c>
      <c r="BE2053">
        <v>6158.06</v>
      </c>
      <c r="BF2053">
        <v>0</v>
      </c>
      <c r="BG2053" t="s">
        <v>87</v>
      </c>
      <c r="BH2053" t="s">
        <v>66</v>
      </c>
      <c r="BI2053">
        <v>0</v>
      </c>
      <c r="BJ2053" t="s">
        <v>66</v>
      </c>
      <c r="BK2053" t="s">
        <v>88</v>
      </c>
      <c r="BL2053" t="s">
        <v>66</v>
      </c>
      <c r="BM2053" t="s">
        <v>159</v>
      </c>
    </row>
    <row r="2054" spans="1:65" x14ac:dyDescent="0.25">
      <c r="A2054">
        <v>2052</v>
      </c>
      <c r="B2054" t="s">
        <v>1975</v>
      </c>
      <c r="C2054" t="s">
        <v>66</v>
      </c>
      <c r="D2054" s="1">
        <v>46230</v>
      </c>
      <c r="E2054" t="s">
        <v>1976</v>
      </c>
      <c r="F2054" t="s">
        <v>68</v>
      </c>
      <c r="G2054" t="s">
        <v>69</v>
      </c>
      <c r="H2054" t="s">
        <v>70</v>
      </c>
      <c r="I2054" t="s">
        <v>71</v>
      </c>
      <c r="J2054" t="s">
        <v>72</v>
      </c>
      <c r="K2054" t="s">
        <v>73</v>
      </c>
      <c r="L2054" t="s">
        <v>74</v>
      </c>
      <c r="M2054" t="s">
        <v>933</v>
      </c>
      <c r="N2054" t="s">
        <v>111</v>
      </c>
      <c r="O2054" t="s">
        <v>934</v>
      </c>
      <c r="P2054" t="s">
        <v>935</v>
      </c>
      <c r="Q2054" t="s">
        <v>66</v>
      </c>
      <c r="R2054" s="1">
        <v>46230</v>
      </c>
      <c r="S2054" t="s">
        <v>934</v>
      </c>
      <c r="T2054" t="s">
        <v>935</v>
      </c>
      <c r="U2054" t="s">
        <v>937</v>
      </c>
      <c r="V2054" t="s">
        <v>66</v>
      </c>
      <c r="W2054" t="s">
        <v>66</v>
      </c>
      <c r="X2054">
        <v>2561328</v>
      </c>
      <c r="Y2054">
        <v>281746.08</v>
      </c>
      <c r="Z2054">
        <v>205524</v>
      </c>
      <c r="AA2054">
        <v>22607.64</v>
      </c>
      <c r="AB2054">
        <v>2843074.08</v>
      </c>
      <c r="AC2054">
        <v>1</v>
      </c>
      <c r="AD2054" t="s">
        <v>134</v>
      </c>
      <c r="AE2054">
        <v>12</v>
      </c>
      <c r="AF2054" t="s">
        <v>359</v>
      </c>
      <c r="AG2054">
        <f>IFERROR(VLOOKUP(AF2054,[1]STOK!J:O,6,0),"")</f>
        <v>12</v>
      </c>
      <c r="AH2054" s="2">
        <f t="shared" si="64"/>
        <v>1</v>
      </c>
      <c r="AI2054" t="s">
        <v>359</v>
      </c>
      <c r="AJ2054" t="s">
        <v>360</v>
      </c>
      <c r="AK2054" t="s">
        <v>361</v>
      </c>
      <c r="AL2054" t="s">
        <v>86</v>
      </c>
      <c r="AM2054">
        <v>230436</v>
      </c>
      <c r="AN2054">
        <f t="shared" si="65"/>
        <v>228131.64</v>
      </c>
      <c r="AO2054" t="s">
        <v>66</v>
      </c>
      <c r="AP2054">
        <v>1</v>
      </c>
      <c r="AQ2054" t="s">
        <v>66</v>
      </c>
      <c r="AR2054">
        <v>0</v>
      </c>
      <c r="AS2054" t="s">
        <v>66</v>
      </c>
      <c r="AT2054">
        <v>0</v>
      </c>
      <c r="AU2054" t="s">
        <v>66</v>
      </c>
      <c r="AV2054">
        <v>0</v>
      </c>
      <c r="AW2054" t="s">
        <v>66</v>
      </c>
      <c r="AX2054">
        <v>0</v>
      </c>
      <c r="AY2054" t="s">
        <v>66</v>
      </c>
      <c r="AZ2054">
        <v>0</v>
      </c>
      <c r="BA2054" t="s">
        <v>66</v>
      </c>
      <c r="BB2054">
        <v>0</v>
      </c>
      <c r="BC2054">
        <v>0</v>
      </c>
      <c r="BD2054">
        <v>228131.64</v>
      </c>
      <c r="BE2054">
        <v>15617.48</v>
      </c>
      <c r="BF2054">
        <v>0</v>
      </c>
      <c r="BG2054" t="s">
        <v>87</v>
      </c>
      <c r="BH2054" t="s">
        <v>66</v>
      </c>
      <c r="BI2054">
        <v>0</v>
      </c>
      <c r="BJ2054" t="s">
        <v>66</v>
      </c>
      <c r="BK2054" t="s">
        <v>88</v>
      </c>
      <c r="BL2054" t="s">
        <v>66</v>
      </c>
      <c r="BM2054" t="s">
        <v>159</v>
      </c>
    </row>
    <row r="2055" spans="1:65" x14ac:dyDescent="0.25">
      <c r="A2055">
        <v>2053</v>
      </c>
      <c r="B2055" t="s">
        <v>1975</v>
      </c>
      <c r="C2055" t="s">
        <v>66</v>
      </c>
      <c r="D2055" s="1">
        <v>46230</v>
      </c>
      <c r="E2055" t="s">
        <v>1976</v>
      </c>
      <c r="F2055" t="s">
        <v>68</v>
      </c>
      <c r="G2055" t="s">
        <v>69</v>
      </c>
      <c r="H2055" t="s">
        <v>70</v>
      </c>
      <c r="I2055" t="s">
        <v>71</v>
      </c>
      <c r="J2055" t="s">
        <v>72</v>
      </c>
      <c r="K2055" t="s">
        <v>73</v>
      </c>
      <c r="L2055" t="s">
        <v>74</v>
      </c>
      <c r="M2055" t="s">
        <v>933</v>
      </c>
      <c r="N2055" t="s">
        <v>111</v>
      </c>
      <c r="O2055" t="s">
        <v>934</v>
      </c>
      <c r="P2055" t="s">
        <v>935</v>
      </c>
      <c r="Q2055" t="s">
        <v>66</v>
      </c>
      <c r="R2055" s="1">
        <v>46230</v>
      </c>
      <c r="S2055" t="s">
        <v>934</v>
      </c>
      <c r="T2055" t="s">
        <v>935</v>
      </c>
      <c r="U2055" t="s">
        <v>937</v>
      </c>
      <c r="V2055" t="s">
        <v>66</v>
      </c>
      <c r="W2055" t="s">
        <v>66</v>
      </c>
      <c r="X2055">
        <v>2561328</v>
      </c>
      <c r="Y2055">
        <v>281746.08</v>
      </c>
      <c r="Z2055">
        <v>677160</v>
      </c>
      <c r="AA2055">
        <v>74487.600000000006</v>
      </c>
      <c r="AB2055">
        <v>2843074.08</v>
      </c>
      <c r="AC2055">
        <v>3</v>
      </c>
      <c r="AD2055" t="s">
        <v>134</v>
      </c>
      <c r="AE2055">
        <v>36</v>
      </c>
      <c r="AF2055" t="s">
        <v>290</v>
      </c>
      <c r="AG2055">
        <f>IFERROR(VLOOKUP(AF2055,[1]STOK!J:O,6,0),"")</f>
        <v>12</v>
      </c>
      <c r="AH2055" s="2">
        <f t="shared" si="64"/>
        <v>3</v>
      </c>
      <c r="AI2055" t="s">
        <v>290</v>
      </c>
      <c r="AJ2055" t="s">
        <v>291</v>
      </c>
      <c r="AK2055" t="s">
        <v>292</v>
      </c>
      <c r="AL2055" t="s">
        <v>86</v>
      </c>
      <c r="AM2055">
        <v>266400</v>
      </c>
      <c r="AN2055">
        <f t="shared" si="65"/>
        <v>250549.19999999998</v>
      </c>
      <c r="AO2055" t="s">
        <v>66</v>
      </c>
      <c r="AP2055">
        <v>1</v>
      </c>
      <c r="AQ2055" t="s">
        <v>66</v>
      </c>
      <c r="AR2055">
        <v>0</v>
      </c>
      <c r="AS2055" t="s">
        <v>66</v>
      </c>
      <c r="AT2055">
        <v>0</v>
      </c>
      <c r="AU2055" t="s">
        <v>66</v>
      </c>
      <c r="AV2055">
        <v>5</v>
      </c>
      <c r="AW2055" t="s">
        <v>66</v>
      </c>
      <c r="AX2055">
        <v>0</v>
      </c>
      <c r="AY2055" t="s">
        <v>66</v>
      </c>
      <c r="AZ2055">
        <v>0</v>
      </c>
      <c r="BA2055" t="s">
        <v>66</v>
      </c>
      <c r="BB2055">
        <v>0</v>
      </c>
      <c r="BC2055">
        <v>0</v>
      </c>
      <c r="BD2055">
        <v>751647.6</v>
      </c>
      <c r="BE2055">
        <v>18113.71</v>
      </c>
      <c r="BF2055">
        <v>0</v>
      </c>
      <c r="BG2055" t="s">
        <v>87</v>
      </c>
      <c r="BH2055" t="s">
        <v>66</v>
      </c>
      <c r="BI2055">
        <v>0</v>
      </c>
      <c r="BJ2055" t="s">
        <v>66</v>
      </c>
      <c r="BK2055" t="s">
        <v>88</v>
      </c>
      <c r="BL2055" t="s">
        <v>66</v>
      </c>
      <c r="BM2055" t="s">
        <v>159</v>
      </c>
    </row>
    <row r="2056" spans="1:65" x14ac:dyDescent="0.25">
      <c r="A2056">
        <v>2054</v>
      </c>
      <c r="B2056" t="s">
        <v>1975</v>
      </c>
      <c r="C2056" t="s">
        <v>66</v>
      </c>
      <c r="D2056" s="1">
        <v>46230</v>
      </c>
      <c r="E2056" t="s">
        <v>1976</v>
      </c>
      <c r="F2056" t="s">
        <v>68</v>
      </c>
      <c r="G2056" t="s">
        <v>69</v>
      </c>
      <c r="H2056" t="s">
        <v>70</v>
      </c>
      <c r="I2056" t="s">
        <v>71</v>
      </c>
      <c r="J2056" t="s">
        <v>72</v>
      </c>
      <c r="K2056" t="s">
        <v>73</v>
      </c>
      <c r="L2056" t="s">
        <v>74</v>
      </c>
      <c r="M2056" t="s">
        <v>933</v>
      </c>
      <c r="N2056" t="s">
        <v>111</v>
      </c>
      <c r="O2056" t="s">
        <v>934</v>
      </c>
      <c r="P2056" t="s">
        <v>935</v>
      </c>
      <c r="Q2056" t="s">
        <v>66</v>
      </c>
      <c r="R2056" s="1">
        <v>46230</v>
      </c>
      <c r="S2056" t="s">
        <v>934</v>
      </c>
      <c r="T2056" t="s">
        <v>935</v>
      </c>
      <c r="U2056" t="s">
        <v>937</v>
      </c>
      <c r="V2056" t="s">
        <v>66</v>
      </c>
      <c r="W2056" t="s">
        <v>66</v>
      </c>
      <c r="X2056">
        <v>2561328</v>
      </c>
      <c r="Y2056">
        <v>281746.08</v>
      </c>
      <c r="Z2056">
        <v>451440</v>
      </c>
      <c r="AA2056">
        <v>49658.400000000001</v>
      </c>
      <c r="AB2056">
        <v>2843074.08</v>
      </c>
      <c r="AC2056">
        <v>2</v>
      </c>
      <c r="AD2056" t="s">
        <v>134</v>
      </c>
      <c r="AE2056">
        <v>24</v>
      </c>
      <c r="AF2056" t="s">
        <v>102</v>
      </c>
      <c r="AG2056">
        <f>IFERROR(VLOOKUP(AF2056,[1]STOK!J:O,6,0),"")</f>
        <v>12</v>
      </c>
      <c r="AH2056" s="2">
        <f t="shared" si="64"/>
        <v>2</v>
      </c>
      <c r="AI2056" t="s">
        <v>102</v>
      </c>
      <c r="AJ2056" t="s">
        <v>103</v>
      </c>
      <c r="AK2056" t="s">
        <v>104</v>
      </c>
      <c r="AL2056" t="s">
        <v>86</v>
      </c>
      <c r="AM2056">
        <v>266400</v>
      </c>
      <c r="AN2056">
        <f t="shared" si="65"/>
        <v>250549.2</v>
      </c>
      <c r="AO2056" t="s">
        <v>66</v>
      </c>
      <c r="AP2056">
        <v>1</v>
      </c>
      <c r="AQ2056" t="s">
        <v>66</v>
      </c>
      <c r="AR2056">
        <v>0</v>
      </c>
      <c r="AS2056" t="s">
        <v>66</v>
      </c>
      <c r="AT2056">
        <v>0</v>
      </c>
      <c r="AU2056" t="s">
        <v>66</v>
      </c>
      <c r="AV2056">
        <v>5</v>
      </c>
      <c r="AW2056" t="s">
        <v>66</v>
      </c>
      <c r="AX2056">
        <v>0</v>
      </c>
      <c r="AY2056" t="s">
        <v>66</v>
      </c>
      <c r="AZ2056">
        <v>0</v>
      </c>
      <c r="BA2056" t="s">
        <v>66</v>
      </c>
      <c r="BB2056">
        <v>0</v>
      </c>
      <c r="BC2056">
        <v>0</v>
      </c>
      <c r="BD2056">
        <v>501098.4</v>
      </c>
      <c r="BE2056">
        <v>18005.03</v>
      </c>
      <c r="BF2056">
        <v>0</v>
      </c>
      <c r="BG2056" t="s">
        <v>87</v>
      </c>
      <c r="BH2056" t="s">
        <v>66</v>
      </c>
      <c r="BI2056">
        <v>0</v>
      </c>
      <c r="BJ2056" t="s">
        <v>66</v>
      </c>
      <c r="BK2056" t="s">
        <v>88</v>
      </c>
      <c r="BL2056" t="s">
        <v>66</v>
      </c>
      <c r="BM2056" t="s">
        <v>159</v>
      </c>
    </row>
    <row r="2057" spans="1:65" x14ac:dyDescent="0.25">
      <c r="A2057">
        <v>2055</v>
      </c>
      <c r="B2057" t="s">
        <v>1975</v>
      </c>
      <c r="C2057" t="s">
        <v>66</v>
      </c>
      <c r="D2057" s="1">
        <v>46230</v>
      </c>
      <c r="E2057" t="s">
        <v>1976</v>
      </c>
      <c r="F2057" t="s">
        <v>68</v>
      </c>
      <c r="G2057" t="s">
        <v>69</v>
      </c>
      <c r="H2057" t="s">
        <v>70</v>
      </c>
      <c r="I2057" t="s">
        <v>71</v>
      </c>
      <c r="J2057" t="s">
        <v>72</v>
      </c>
      <c r="K2057" t="s">
        <v>73</v>
      </c>
      <c r="L2057" t="s">
        <v>74</v>
      </c>
      <c r="M2057" t="s">
        <v>933</v>
      </c>
      <c r="N2057" t="s">
        <v>111</v>
      </c>
      <c r="O2057" t="s">
        <v>934</v>
      </c>
      <c r="P2057" t="s">
        <v>935</v>
      </c>
      <c r="Q2057" t="s">
        <v>66</v>
      </c>
      <c r="R2057" s="1">
        <v>46230</v>
      </c>
      <c r="S2057" t="s">
        <v>934</v>
      </c>
      <c r="T2057" t="s">
        <v>935</v>
      </c>
      <c r="U2057" t="s">
        <v>937</v>
      </c>
      <c r="V2057" t="s">
        <v>66</v>
      </c>
      <c r="W2057" t="s">
        <v>66</v>
      </c>
      <c r="X2057">
        <v>2561328</v>
      </c>
      <c r="Y2057">
        <v>281746.08</v>
      </c>
      <c r="Z2057">
        <v>342144</v>
      </c>
      <c r="AA2057">
        <v>37635.839999999997</v>
      </c>
      <c r="AB2057">
        <v>2843074.08</v>
      </c>
      <c r="AC2057">
        <v>2</v>
      </c>
      <c r="AD2057" t="s">
        <v>134</v>
      </c>
      <c r="AE2057">
        <v>24</v>
      </c>
      <c r="AF2057" t="s">
        <v>141</v>
      </c>
      <c r="AG2057">
        <f>IFERROR(VLOOKUP(AF2057,[1]STOK!J:O,6,0),"")</f>
        <v>12</v>
      </c>
      <c r="AH2057" s="2">
        <f t="shared" si="64"/>
        <v>2</v>
      </c>
      <c r="AI2057" t="s">
        <v>141</v>
      </c>
      <c r="AJ2057" t="s">
        <v>142</v>
      </c>
      <c r="AK2057" t="s">
        <v>143</v>
      </c>
      <c r="AL2057" t="s">
        <v>86</v>
      </c>
      <c r="AM2057">
        <v>191808</v>
      </c>
      <c r="AN2057">
        <f t="shared" si="65"/>
        <v>189889.92000000001</v>
      </c>
      <c r="AO2057" t="s">
        <v>66</v>
      </c>
      <c r="AP2057">
        <v>1</v>
      </c>
      <c r="AQ2057" t="s">
        <v>66</v>
      </c>
      <c r="AR2057">
        <v>0</v>
      </c>
      <c r="AS2057" t="s">
        <v>66</v>
      </c>
      <c r="AT2057">
        <v>0</v>
      </c>
      <c r="AU2057" t="s">
        <v>66</v>
      </c>
      <c r="AV2057">
        <v>0</v>
      </c>
      <c r="AW2057" t="s">
        <v>66</v>
      </c>
      <c r="AX2057">
        <v>0</v>
      </c>
      <c r="AY2057" t="s">
        <v>66</v>
      </c>
      <c r="AZ2057">
        <v>0</v>
      </c>
      <c r="BA2057" t="s">
        <v>66</v>
      </c>
      <c r="BB2057">
        <v>0</v>
      </c>
      <c r="BC2057">
        <v>0</v>
      </c>
      <c r="BD2057">
        <v>379779.84000000003</v>
      </c>
      <c r="BE2057">
        <v>13029.29</v>
      </c>
      <c r="BF2057">
        <v>0</v>
      </c>
      <c r="BG2057" t="s">
        <v>87</v>
      </c>
      <c r="BH2057" t="s">
        <v>66</v>
      </c>
      <c r="BI2057">
        <v>0</v>
      </c>
      <c r="BJ2057" t="s">
        <v>66</v>
      </c>
      <c r="BK2057" t="s">
        <v>88</v>
      </c>
      <c r="BL2057" t="s">
        <v>66</v>
      </c>
      <c r="BM2057" t="s">
        <v>159</v>
      </c>
    </row>
    <row r="2058" spans="1:65" x14ac:dyDescent="0.25">
      <c r="A2058">
        <v>2056</v>
      </c>
      <c r="B2058" t="s">
        <v>1975</v>
      </c>
      <c r="C2058" t="s">
        <v>66</v>
      </c>
      <c r="D2058" s="1">
        <v>46230</v>
      </c>
      <c r="E2058" t="s">
        <v>1976</v>
      </c>
      <c r="F2058" t="s">
        <v>68</v>
      </c>
      <c r="G2058" t="s">
        <v>69</v>
      </c>
      <c r="H2058" t="s">
        <v>70</v>
      </c>
      <c r="I2058" t="s">
        <v>71</v>
      </c>
      <c r="J2058" t="s">
        <v>72</v>
      </c>
      <c r="K2058" t="s">
        <v>73</v>
      </c>
      <c r="L2058" t="s">
        <v>74</v>
      </c>
      <c r="M2058" t="s">
        <v>933</v>
      </c>
      <c r="N2058" t="s">
        <v>111</v>
      </c>
      <c r="O2058" t="s">
        <v>934</v>
      </c>
      <c r="P2058" t="s">
        <v>935</v>
      </c>
      <c r="Q2058" t="s">
        <v>66</v>
      </c>
      <c r="R2058" s="1">
        <v>46230</v>
      </c>
      <c r="S2058" t="s">
        <v>934</v>
      </c>
      <c r="T2058" t="s">
        <v>935</v>
      </c>
      <c r="U2058" t="s">
        <v>937</v>
      </c>
      <c r="V2058" t="s">
        <v>66</v>
      </c>
      <c r="W2058" t="s">
        <v>66</v>
      </c>
      <c r="X2058">
        <v>2561328</v>
      </c>
      <c r="Y2058">
        <v>281746.08</v>
      </c>
      <c r="Z2058">
        <v>171072</v>
      </c>
      <c r="AA2058">
        <v>18817.919999999998</v>
      </c>
      <c r="AB2058">
        <v>2843074.08</v>
      </c>
      <c r="AC2058">
        <v>1</v>
      </c>
      <c r="AD2058" t="s">
        <v>134</v>
      </c>
      <c r="AE2058">
        <v>12</v>
      </c>
      <c r="AF2058" t="s">
        <v>213</v>
      </c>
      <c r="AG2058">
        <f>IFERROR(VLOOKUP(AF2058,[1]STOK!J:O,6,0),"")</f>
        <v>12</v>
      </c>
      <c r="AH2058" s="2">
        <f t="shared" si="64"/>
        <v>1</v>
      </c>
      <c r="AI2058" t="s">
        <v>213</v>
      </c>
      <c r="AJ2058" t="s">
        <v>214</v>
      </c>
      <c r="AK2058" t="s">
        <v>215</v>
      </c>
      <c r="AL2058" t="s">
        <v>86</v>
      </c>
      <c r="AM2058">
        <v>191808</v>
      </c>
      <c r="AN2058">
        <f t="shared" si="65"/>
        <v>189889.92000000001</v>
      </c>
      <c r="AO2058" t="s">
        <v>66</v>
      </c>
      <c r="AP2058">
        <v>1</v>
      </c>
      <c r="AQ2058" t="s">
        <v>66</v>
      </c>
      <c r="AR2058">
        <v>0</v>
      </c>
      <c r="AS2058" t="s">
        <v>66</v>
      </c>
      <c r="AT2058">
        <v>0</v>
      </c>
      <c r="AU2058" t="s">
        <v>66</v>
      </c>
      <c r="AV2058">
        <v>0</v>
      </c>
      <c r="AW2058" t="s">
        <v>66</v>
      </c>
      <c r="AX2058">
        <v>0</v>
      </c>
      <c r="AY2058" t="s">
        <v>66</v>
      </c>
      <c r="AZ2058">
        <v>0</v>
      </c>
      <c r="BA2058" t="s">
        <v>66</v>
      </c>
      <c r="BB2058">
        <v>0</v>
      </c>
      <c r="BC2058">
        <v>0</v>
      </c>
      <c r="BD2058">
        <v>189889.92000000001</v>
      </c>
      <c r="BE2058">
        <v>12925.49</v>
      </c>
      <c r="BF2058">
        <v>0</v>
      </c>
      <c r="BG2058" t="s">
        <v>87</v>
      </c>
      <c r="BH2058" t="s">
        <v>66</v>
      </c>
      <c r="BI2058">
        <v>0</v>
      </c>
      <c r="BJ2058" t="s">
        <v>66</v>
      </c>
      <c r="BK2058" t="s">
        <v>88</v>
      </c>
      <c r="BL2058" t="s">
        <v>66</v>
      </c>
      <c r="BM2058" t="s">
        <v>159</v>
      </c>
    </row>
    <row r="2059" spans="1:65" x14ac:dyDescent="0.25">
      <c r="A2059">
        <v>2057</v>
      </c>
      <c r="B2059" t="s">
        <v>1977</v>
      </c>
      <c r="C2059" t="s">
        <v>68</v>
      </c>
      <c r="D2059" s="1">
        <v>46230</v>
      </c>
      <c r="E2059" t="s">
        <v>1978</v>
      </c>
      <c r="F2059" t="s">
        <v>68</v>
      </c>
      <c r="G2059" t="s">
        <v>69</v>
      </c>
      <c r="H2059" t="s">
        <v>70</v>
      </c>
      <c r="I2059" t="s">
        <v>71</v>
      </c>
      <c r="J2059" t="s">
        <v>72</v>
      </c>
      <c r="K2059" t="s">
        <v>73</v>
      </c>
      <c r="L2059" t="s">
        <v>74</v>
      </c>
      <c r="M2059" t="s">
        <v>586</v>
      </c>
      <c r="N2059" t="s">
        <v>111</v>
      </c>
      <c r="O2059" t="s">
        <v>587</v>
      </c>
      <c r="P2059" t="s">
        <v>588</v>
      </c>
      <c r="Q2059" t="s">
        <v>1979</v>
      </c>
      <c r="R2059" s="1">
        <v>46233</v>
      </c>
      <c r="S2059" t="s">
        <v>590</v>
      </c>
      <c r="T2059" t="s">
        <v>591</v>
      </c>
      <c r="U2059" t="s">
        <v>592</v>
      </c>
      <c r="V2059" t="s">
        <v>66</v>
      </c>
      <c r="W2059" t="s">
        <v>66</v>
      </c>
      <c r="X2059">
        <v>4391918</v>
      </c>
      <c r="Y2059">
        <v>483110.98</v>
      </c>
      <c r="Z2059">
        <v>780120</v>
      </c>
      <c r="AA2059">
        <v>85813.2</v>
      </c>
      <c r="AB2059">
        <v>4875028.9800000004</v>
      </c>
      <c r="AC2059">
        <v>2</v>
      </c>
      <c r="AD2059" t="s">
        <v>134</v>
      </c>
      <c r="AE2059">
        <v>48</v>
      </c>
      <c r="AF2059" t="s">
        <v>93</v>
      </c>
      <c r="AG2059">
        <f>IFERROR(VLOOKUP(AF2059,[1]STOK!J:O,6,0),"")</f>
        <v>24</v>
      </c>
      <c r="AH2059" s="2">
        <f t="shared" si="64"/>
        <v>2</v>
      </c>
      <c r="AI2059" t="s">
        <v>93</v>
      </c>
      <c r="AJ2059" t="s">
        <v>94</v>
      </c>
      <c r="AK2059" t="s">
        <v>95</v>
      </c>
      <c r="AL2059" t="s">
        <v>86</v>
      </c>
      <c r="AM2059">
        <v>439560</v>
      </c>
      <c r="AN2059">
        <f t="shared" si="65"/>
        <v>432966.6</v>
      </c>
      <c r="AO2059" t="s">
        <v>66</v>
      </c>
      <c r="AP2059">
        <v>1.5</v>
      </c>
      <c r="AQ2059" t="s">
        <v>66</v>
      </c>
      <c r="AR2059">
        <v>0</v>
      </c>
      <c r="AS2059" t="s">
        <v>66</v>
      </c>
      <c r="AT2059">
        <v>0</v>
      </c>
      <c r="AU2059" t="s">
        <v>66</v>
      </c>
      <c r="AV2059">
        <v>0</v>
      </c>
      <c r="AW2059" t="s">
        <v>66</v>
      </c>
      <c r="AX2059">
        <v>0</v>
      </c>
      <c r="AY2059" t="s">
        <v>66</v>
      </c>
      <c r="AZ2059">
        <v>0</v>
      </c>
      <c r="BA2059" t="s">
        <v>66</v>
      </c>
      <c r="BB2059">
        <v>0</v>
      </c>
      <c r="BC2059">
        <v>0</v>
      </c>
      <c r="BD2059">
        <v>865933.2</v>
      </c>
      <c r="BE2059">
        <v>14923.68</v>
      </c>
      <c r="BF2059">
        <v>0</v>
      </c>
      <c r="BG2059" t="s">
        <v>87</v>
      </c>
      <c r="BH2059" t="s">
        <v>66</v>
      </c>
      <c r="BI2059">
        <v>0</v>
      </c>
      <c r="BJ2059" t="s">
        <v>66</v>
      </c>
      <c r="BK2059" t="s">
        <v>88</v>
      </c>
      <c r="BL2059" t="s">
        <v>66</v>
      </c>
      <c r="BM2059" t="s">
        <v>159</v>
      </c>
    </row>
    <row r="2060" spans="1:65" x14ac:dyDescent="0.25">
      <c r="A2060">
        <v>2058</v>
      </c>
      <c r="B2060" t="s">
        <v>1977</v>
      </c>
      <c r="C2060" t="s">
        <v>68</v>
      </c>
      <c r="D2060" s="1">
        <v>46230</v>
      </c>
      <c r="E2060" t="s">
        <v>1978</v>
      </c>
      <c r="F2060" t="s">
        <v>68</v>
      </c>
      <c r="G2060" t="s">
        <v>69</v>
      </c>
      <c r="H2060" t="s">
        <v>70</v>
      </c>
      <c r="I2060" t="s">
        <v>71</v>
      </c>
      <c r="J2060" t="s">
        <v>72</v>
      </c>
      <c r="K2060" t="s">
        <v>73</v>
      </c>
      <c r="L2060" t="s">
        <v>74</v>
      </c>
      <c r="M2060" t="s">
        <v>586</v>
      </c>
      <c r="N2060" t="s">
        <v>111</v>
      </c>
      <c r="O2060" t="s">
        <v>587</v>
      </c>
      <c r="P2060" t="s">
        <v>588</v>
      </c>
      <c r="Q2060" t="s">
        <v>1979</v>
      </c>
      <c r="R2060" s="1">
        <v>46233</v>
      </c>
      <c r="S2060" t="s">
        <v>590</v>
      </c>
      <c r="T2060" t="s">
        <v>591</v>
      </c>
      <c r="U2060" t="s">
        <v>592</v>
      </c>
      <c r="V2060" t="s">
        <v>66</v>
      </c>
      <c r="W2060" t="s">
        <v>66</v>
      </c>
      <c r="X2060">
        <v>4391918</v>
      </c>
      <c r="Y2060">
        <v>483110.98</v>
      </c>
      <c r="Z2060">
        <v>1019672</v>
      </c>
      <c r="AA2060">
        <v>112163.92</v>
      </c>
      <c r="AB2060">
        <v>4875028.9800000004</v>
      </c>
      <c r="AC2060">
        <v>2</v>
      </c>
      <c r="AD2060" t="s">
        <v>134</v>
      </c>
      <c r="AE2060">
        <v>8</v>
      </c>
      <c r="AF2060" t="s">
        <v>522</v>
      </c>
      <c r="AG2060">
        <f>IFERROR(VLOOKUP(AF2060,[1]STOK!J:O,6,0),"")</f>
        <v>4</v>
      </c>
      <c r="AH2060" s="2">
        <f t="shared" si="64"/>
        <v>2</v>
      </c>
      <c r="AI2060" t="s">
        <v>522</v>
      </c>
      <c r="AJ2060" t="s">
        <v>523</v>
      </c>
      <c r="AK2060" t="s">
        <v>524</v>
      </c>
      <c r="AL2060" t="s">
        <v>86</v>
      </c>
      <c r="AM2060">
        <v>574536</v>
      </c>
      <c r="AN2060">
        <f t="shared" si="65"/>
        <v>565917.96</v>
      </c>
      <c r="AO2060" t="s">
        <v>66</v>
      </c>
      <c r="AP2060">
        <v>1.5</v>
      </c>
      <c r="AQ2060" t="s">
        <v>66</v>
      </c>
      <c r="AR2060">
        <v>0</v>
      </c>
      <c r="AS2060" t="s">
        <v>66</v>
      </c>
      <c r="AT2060">
        <v>0</v>
      </c>
      <c r="AU2060" t="s">
        <v>66</v>
      </c>
      <c r="AV2060">
        <v>0</v>
      </c>
      <c r="AW2060" t="s">
        <v>66</v>
      </c>
      <c r="AX2060">
        <v>0</v>
      </c>
      <c r="AY2060" t="s">
        <v>66</v>
      </c>
      <c r="AZ2060">
        <v>0</v>
      </c>
      <c r="BA2060" t="s">
        <v>66</v>
      </c>
      <c r="BB2060">
        <v>0</v>
      </c>
      <c r="BC2060">
        <v>0</v>
      </c>
      <c r="BD2060">
        <v>1131835.92</v>
      </c>
      <c r="BE2060">
        <v>112721.19</v>
      </c>
      <c r="BF2060">
        <v>0</v>
      </c>
      <c r="BG2060" t="s">
        <v>87</v>
      </c>
      <c r="BH2060" t="s">
        <v>66</v>
      </c>
      <c r="BI2060">
        <v>0</v>
      </c>
      <c r="BJ2060" t="s">
        <v>66</v>
      </c>
      <c r="BK2060" t="s">
        <v>88</v>
      </c>
      <c r="BL2060" t="s">
        <v>66</v>
      </c>
      <c r="BM2060" t="s">
        <v>159</v>
      </c>
    </row>
    <row r="2061" spans="1:65" x14ac:dyDescent="0.25">
      <c r="A2061">
        <v>2059</v>
      </c>
      <c r="B2061" t="s">
        <v>1977</v>
      </c>
      <c r="C2061" t="s">
        <v>68</v>
      </c>
      <c r="D2061" s="1">
        <v>46230</v>
      </c>
      <c r="E2061" t="s">
        <v>1978</v>
      </c>
      <c r="F2061" t="s">
        <v>68</v>
      </c>
      <c r="G2061" t="s">
        <v>69</v>
      </c>
      <c r="H2061" t="s">
        <v>70</v>
      </c>
      <c r="I2061" t="s">
        <v>71</v>
      </c>
      <c r="J2061" t="s">
        <v>72</v>
      </c>
      <c r="K2061" t="s">
        <v>73</v>
      </c>
      <c r="L2061" t="s">
        <v>74</v>
      </c>
      <c r="M2061" t="s">
        <v>586</v>
      </c>
      <c r="N2061" t="s">
        <v>111</v>
      </c>
      <c r="O2061" t="s">
        <v>587</v>
      </c>
      <c r="P2061" t="s">
        <v>588</v>
      </c>
      <c r="Q2061" t="s">
        <v>1979</v>
      </c>
      <c r="R2061" s="1">
        <v>46233</v>
      </c>
      <c r="S2061" t="s">
        <v>590</v>
      </c>
      <c r="T2061" t="s">
        <v>591</v>
      </c>
      <c r="U2061" t="s">
        <v>592</v>
      </c>
      <c r="V2061" t="s">
        <v>66</v>
      </c>
      <c r="W2061" t="s">
        <v>66</v>
      </c>
      <c r="X2061">
        <v>4391918</v>
      </c>
      <c r="Y2061">
        <v>483110.98</v>
      </c>
      <c r="Z2061">
        <v>917232</v>
      </c>
      <c r="AA2061">
        <v>100895.52</v>
      </c>
      <c r="AB2061">
        <v>4875028.9800000004</v>
      </c>
      <c r="AC2061">
        <v>2</v>
      </c>
      <c r="AD2061" t="s">
        <v>134</v>
      </c>
      <c r="AE2061">
        <v>48</v>
      </c>
      <c r="AF2061" t="s">
        <v>281</v>
      </c>
      <c r="AG2061">
        <f>IFERROR(VLOOKUP(AF2061,[1]STOK!J:O,6,0),"")</f>
        <v>24</v>
      </c>
      <c r="AH2061" s="2">
        <f t="shared" si="64"/>
        <v>2</v>
      </c>
      <c r="AI2061" t="s">
        <v>281</v>
      </c>
      <c r="AJ2061" t="s">
        <v>282</v>
      </c>
      <c r="AK2061" t="s">
        <v>283</v>
      </c>
      <c r="AL2061" t="s">
        <v>86</v>
      </c>
      <c r="AM2061">
        <v>516816</v>
      </c>
      <c r="AN2061">
        <f t="shared" si="65"/>
        <v>509063.76</v>
      </c>
      <c r="AO2061" t="s">
        <v>66</v>
      </c>
      <c r="AP2061">
        <v>1.5</v>
      </c>
      <c r="AQ2061" t="s">
        <v>66</v>
      </c>
      <c r="AR2061">
        <v>0</v>
      </c>
      <c r="AS2061" t="s">
        <v>66</v>
      </c>
      <c r="AT2061">
        <v>0</v>
      </c>
      <c r="AU2061" t="s">
        <v>66</v>
      </c>
      <c r="AV2061">
        <v>0</v>
      </c>
      <c r="AW2061" t="s">
        <v>66</v>
      </c>
      <c r="AX2061">
        <v>0</v>
      </c>
      <c r="AY2061" t="s">
        <v>66</v>
      </c>
      <c r="AZ2061">
        <v>0</v>
      </c>
      <c r="BA2061" t="s">
        <v>66</v>
      </c>
      <c r="BB2061">
        <v>0</v>
      </c>
      <c r="BC2061">
        <v>0</v>
      </c>
      <c r="BD2061">
        <v>1018127.52</v>
      </c>
      <c r="BE2061">
        <v>17182.330000000002</v>
      </c>
      <c r="BF2061">
        <v>0</v>
      </c>
      <c r="BG2061" t="s">
        <v>87</v>
      </c>
      <c r="BH2061" t="s">
        <v>66</v>
      </c>
      <c r="BI2061">
        <v>0</v>
      </c>
      <c r="BJ2061" t="s">
        <v>66</v>
      </c>
      <c r="BK2061" t="s">
        <v>88</v>
      </c>
      <c r="BL2061" t="s">
        <v>66</v>
      </c>
      <c r="BM2061" t="s">
        <v>159</v>
      </c>
    </row>
    <row r="2062" spans="1:65" x14ac:dyDescent="0.25">
      <c r="A2062">
        <v>2060</v>
      </c>
      <c r="B2062" t="s">
        <v>1977</v>
      </c>
      <c r="C2062" t="s">
        <v>68</v>
      </c>
      <c r="D2062" s="1">
        <v>46230</v>
      </c>
      <c r="E2062" t="s">
        <v>1978</v>
      </c>
      <c r="F2062" t="s">
        <v>68</v>
      </c>
      <c r="G2062" t="s">
        <v>69</v>
      </c>
      <c r="H2062" t="s">
        <v>70</v>
      </c>
      <c r="I2062" t="s">
        <v>71</v>
      </c>
      <c r="J2062" t="s">
        <v>72</v>
      </c>
      <c r="K2062" t="s">
        <v>73</v>
      </c>
      <c r="L2062" t="s">
        <v>74</v>
      </c>
      <c r="M2062" t="s">
        <v>586</v>
      </c>
      <c r="N2062" t="s">
        <v>111</v>
      </c>
      <c r="O2062" t="s">
        <v>587</v>
      </c>
      <c r="P2062" t="s">
        <v>588</v>
      </c>
      <c r="Q2062" t="s">
        <v>1979</v>
      </c>
      <c r="R2062" s="1">
        <v>46233</v>
      </c>
      <c r="S2062" t="s">
        <v>590</v>
      </c>
      <c r="T2062" t="s">
        <v>591</v>
      </c>
      <c r="U2062" t="s">
        <v>592</v>
      </c>
      <c r="V2062" t="s">
        <v>66</v>
      </c>
      <c r="W2062" t="s">
        <v>66</v>
      </c>
      <c r="X2062">
        <v>4391918</v>
      </c>
      <c r="Y2062">
        <v>483110.98</v>
      </c>
      <c r="Z2062">
        <v>458616</v>
      </c>
      <c r="AA2062">
        <v>50447.76</v>
      </c>
      <c r="AB2062">
        <v>4875028.9800000004</v>
      </c>
      <c r="AC2062">
        <v>2</v>
      </c>
      <c r="AD2062" t="s">
        <v>134</v>
      </c>
      <c r="AE2062">
        <v>24</v>
      </c>
      <c r="AF2062" t="s">
        <v>284</v>
      </c>
      <c r="AG2062">
        <f>IFERROR(VLOOKUP(AF2062,[1]STOK!J:O,6,0),"")</f>
        <v>12</v>
      </c>
      <c r="AH2062" s="2">
        <f t="shared" si="64"/>
        <v>2</v>
      </c>
      <c r="AI2062" t="s">
        <v>284</v>
      </c>
      <c r="AJ2062" t="s">
        <v>285</v>
      </c>
      <c r="AK2062" t="s">
        <v>286</v>
      </c>
      <c r="AL2062" t="s">
        <v>86</v>
      </c>
      <c r="AM2062">
        <v>258408</v>
      </c>
      <c r="AN2062">
        <f t="shared" si="65"/>
        <v>254531.88</v>
      </c>
      <c r="AO2062" t="s">
        <v>66</v>
      </c>
      <c r="AP2062">
        <v>1.5</v>
      </c>
      <c r="AQ2062" t="s">
        <v>66</v>
      </c>
      <c r="AR2062">
        <v>0</v>
      </c>
      <c r="AS2062" t="s">
        <v>66</v>
      </c>
      <c r="AT2062">
        <v>0</v>
      </c>
      <c r="AU2062" t="s">
        <v>66</v>
      </c>
      <c r="AV2062">
        <v>0</v>
      </c>
      <c r="AW2062" t="s">
        <v>66</v>
      </c>
      <c r="AX2062">
        <v>0</v>
      </c>
      <c r="AY2062" t="s">
        <v>66</v>
      </c>
      <c r="AZ2062">
        <v>0</v>
      </c>
      <c r="BA2062" t="s">
        <v>66</v>
      </c>
      <c r="BB2062">
        <v>0</v>
      </c>
      <c r="BC2062">
        <v>0</v>
      </c>
      <c r="BD2062">
        <v>509063.76</v>
      </c>
      <c r="BE2062">
        <v>17311.39</v>
      </c>
      <c r="BF2062">
        <v>0</v>
      </c>
      <c r="BG2062" t="s">
        <v>87</v>
      </c>
      <c r="BH2062" t="s">
        <v>66</v>
      </c>
      <c r="BI2062">
        <v>0</v>
      </c>
      <c r="BJ2062" t="s">
        <v>66</v>
      </c>
      <c r="BK2062" t="s">
        <v>88</v>
      </c>
      <c r="BL2062" t="s">
        <v>66</v>
      </c>
      <c r="BM2062" t="s">
        <v>159</v>
      </c>
    </row>
    <row r="2063" spans="1:65" x14ac:dyDescent="0.25">
      <c r="A2063">
        <v>2061</v>
      </c>
      <c r="B2063" t="s">
        <v>1977</v>
      </c>
      <c r="C2063" t="s">
        <v>68</v>
      </c>
      <c r="D2063" s="1">
        <v>46230</v>
      </c>
      <c r="E2063" t="s">
        <v>1978</v>
      </c>
      <c r="F2063" t="s">
        <v>68</v>
      </c>
      <c r="G2063" t="s">
        <v>69</v>
      </c>
      <c r="H2063" t="s">
        <v>70</v>
      </c>
      <c r="I2063" t="s">
        <v>71</v>
      </c>
      <c r="J2063" t="s">
        <v>72</v>
      </c>
      <c r="K2063" t="s">
        <v>73</v>
      </c>
      <c r="L2063" t="s">
        <v>74</v>
      </c>
      <c r="M2063" t="s">
        <v>586</v>
      </c>
      <c r="N2063" t="s">
        <v>111</v>
      </c>
      <c r="O2063" t="s">
        <v>587</v>
      </c>
      <c r="P2063" t="s">
        <v>588</v>
      </c>
      <c r="Q2063" t="s">
        <v>1979</v>
      </c>
      <c r="R2063" s="1">
        <v>46233</v>
      </c>
      <c r="S2063" t="s">
        <v>590</v>
      </c>
      <c r="T2063" t="s">
        <v>591</v>
      </c>
      <c r="U2063" t="s">
        <v>592</v>
      </c>
      <c r="V2063" t="s">
        <v>66</v>
      </c>
      <c r="W2063" t="s">
        <v>66</v>
      </c>
      <c r="X2063">
        <v>4391918</v>
      </c>
      <c r="Y2063">
        <v>483110.98</v>
      </c>
      <c r="Z2063">
        <v>290772</v>
      </c>
      <c r="AA2063">
        <v>31984.92</v>
      </c>
      <c r="AB2063">
        <v>4875028.9800000004</v>
      </c>
      <c r="AC2063">
        <v>1</v>
      </c>
      <c r="AD2063" t="s">
        <v>134</v>
      </c>
      <c r="AE2063">
        <v>12</v>
      </c>
      <c r="AF2063" t="s">
        <v>534</v>
      </c>
      <c r="AG2063">
        <f>IFERROR(VLOOKUP(AF2063,[1]STOK!J:O,6,0),"")</f>
        <v>12</v>
      </c>
      <c r="AH2063" s="2">
        <f t="shared" si="64"/>
        <v>1</v>
      </c>
      <c r="AI2063" t="s">
        <v>534</v>
      </c>
      <c r="AJ2063" t="s">
        <v>535</v>
      </c>
      <c r="AK2063" t="s">
        <v>536</v>
      </c>
      <c r="AL2063" t="s">
        <v>86</v>
      </c>
      <c r="AM2063">
        <v>327672</v>
      </c>
      <c r="AN2063">
        <f t="shared" si="65"/>
        <v>322756.92</v>
      </c>
      <c r="AO2063" t="s">
        <v>66</v>
      </c>
      <c r="AP2063">
        <v>1.5</v>
      </c>
      <c r="AQ2063" t="s">
        <v>66</v>
      </c>
      <c r="AR2063">
        <v>0</v>
      </c>
      <c r="AS2063" t="s">
        <v>66</v>
      </c>
      <c r="AT2063">
        <v>0</v>
      </c>
      <c r="AU2063" t="s">
        <v>66</v>
      </c>
      <c r="AV2063">
        <v>0</v>
      </c>
      <c r="AW2063" t="s">
        <v>66</v>
      </c>
      <c r="AX2063">
        <v>0</v>
      </c>
      <c r="AY2063" t="s">
        <v>66</v>
      </c>
      <c r="AZ2063">
        <v>0</v>
      </c>
      <c r="BA2063" t="s">
        <v>66</v>
      </c>
      <c r="BB2063">
        <v>0</v>
      </c>
      <c r="BC2063">
        <v>0</v>
      </c>
      <c r="BD2063">
        <v>322756.92</v>
      </c>
      <c r="BE2063">
        <v>21977.17</v>
      </c>
      <c r="BF2063">
        <v>0</v>
      </c>
      <c r="BG2063" t="s">
        <v>87</v>
      </c>
      <c r="BH2063" t="s">
        <v>66</v>
      </c>
      <c r="BI2063">
        <v>0</v>
      </c>
      <c r="BJ2063" t="s">
        <v>66</v>
      </c>
      <c r="BK2063" t="s">
        <v>88</v>
      </c>
      <c r="BL2063" t="s">
        <v>66</v>
      </c>
      <c r="BM2063" t="s">
        <v>159</v>
      </c>
    </row>
    <row r="2064" spans="1:65" x14ac:dyDescent="0.25">
      <c r="A2064">
        <v>2062</v>
      </c>
      <c r="B2064" t="s">
        <v>1977</v>
      </c>
      <c r="C2064" t="s">
        <v>68</v>
      </c>
      <c r="D2064" s="1">
        <v>46230</v>
      </c>
      <c r="E2064" t="s">
        <v>1978</v>
      </c>
      <c r="F2064" t="s">
        <v>68</v>
      </c>
      <c r="G2064" t="s">
        <v>69</v>
      </c>
      <c r="H2064" t="s">
        <v>70</v>
      </c>
      <c r="I2064" t="s">
        <v>71</v>
      </c>
      <c r="J2064" t="s">
        <v>72</v>
      </c>
      <c r="K2064" t="s">
        <v>73</v>
      </c>
      <c r="L2064" t="s">
        <v>74</v>
      </c>
      <c r="M2064" t="s">
        <v>586</v>
      </c>
      <c r="N2064" t="s">
        <v>111</v>
      </c>
      <c r="O2064" t="s">
        <v>587</v>
      </c>
      <c r="P2064" t="s">
        <v>588</v>
      </c>
      <c r="Q2064" t="s">
        <v>1979</v>
      </c>
      <c r="R2064" s="1">
        <v>46233</v>
      </c>
      <c r="S2064" t="s">
        <v>590</v>
      </c>
      <c r="T2064" t="s">
        <v>591</v>
      </c>
      <c r="U2064" t="s">
        <v>592</v>
      </c>
      <c r="V2064" t="s">
        <v>66</v>
      </c>
      <c r="W2064" t="s">
        <v>66</v>
      </c>
      <c r="X2064">
        <v>4391918</v>
      </c>
      <c r="Y2064">
        <v>483110.98</v>
      </c>
      <c r="Z2064">
        <v>472800</v>
      </c>
      <c r="AA2064">
        <v>52008</v>
      </c>
      <c r="AB2064">
        <v>4875028.9800000004</v>
      </c>
      <c r="AC2064">
        <v>2</v>
      </c>
      <c r="AD2064" t="s">
        <v>134</v>
      </c>
      <c r="AE2064">
        <v>24</v>
      </c>
      <c r="AF2064" t="s">
        <v>290</v>
      </c>
      <c r="AG2064">
        <f>IFERROR(VLOOKUP(AF2064,[1]STOK!J:O,6,0),"")</f>
        <v>12</v>
      </c>
      <c r="AH2064" s="2">
        <f t="shared" si="64"/>
        <v>2</v>
      </c>
      <c r="AI2064" t="s">
        <v>290</v>
      </c>
      <c r="AJ2064" t="s">
        <v>291</v>
      </c>
      <c r="AK2064" t="s">
        <v>292</v>
      </c>
      <c r="AL2064" t="s">
        <v>86</v>
      </c>
      <c r="AM2064">
        <v>266400</v>
      </c>
      <c r="AN2064">
        <f t="shared" si="65"/>
        <v>262404</v>
      </c>
      <c r="AO2064" t="s">
        <v>66</v>
      </c>
      <c r="AP2064">
        <v>1.5</v>
      </c>
      <c r="AQ2064" t="s">
        <v>66</v>
      </c>
      <c r="AR2064">
        <v>0</v>
      </c>
      <c r="AS2064" t="s">
        <v>66</v>
      </c>
      <c r="AT2064">
        <v>0</v>
      </c>
      <c r="AU2064" t="s">
        <v>66</v>
      </c>
      <c r="AV2064">
        <v>0</v>
      </c>
      <c r="AW2064" t="s">
        <v>66</v>
      </c>
      <c r="AX2064">
        <v>0</v>
      </c>
      <c r="AY2064" t="s">
        <v>66</v>
      </c>
      <c r="AZ2064">
        <v>0</v>
      </c>
      <c r="BA2064" t="s">
        <v>66</v>
      </c>
      <c r="BB2064">
        <v>0</v>
      </c>
      <c r="BC2064">
        <v>0</v>
      </c>
      <c r="BD2064">
        <v>524808</v>
      </c>
      <c r="BE2064">
        <v>18113.71</v>
      </c>
      <c r="BF2064">
        <v>0</v>
      </c>
      <c r="BG2064" t="s">
        <v>87</v>
      </c>
      <c r="BH2064" t="s">
        <v>66</v>
      </c>
      <c r="BI2064">
        <v>0</v>
      </c>
      <c r="BJ2064" t="s">
        <v>66</v>
      </c>
      <c r="BK2064" t="s">
        <v>88</v>
      </c>
      <c r="BL2064" t="s">
        <v>66</v>
      </c>
      <c r="BM2064" t="s">
        <v>159</v>
      </c>
    </row>
    <row r="2065" spans="1:65" x14ac:dyDescent="0.25">
      <c r="A2065">
        <v>2063</v>
      </c>
      <c r="B2065" t="s">
        <v>1977</v>
      </c>
      <c r="C2065" t="s">
        <v>68</v>
      </c>
      <c r="D2065" s="1">
        <v>46230</v>
      </c>
      <c r="E2065" t="s">
        <v>1978</v>
      </c>
      <c r="F2065" t="s">
        <v>68</v>
      </c>
      <c r="G2065" t="s">
        <v>69</v>
      </c>
      <c r="H2065" t="s">
        <v>70</v>
      </c>
      <c r="I2065" t="s">
        <v>71</v>
      </c>
      <c r="J2065" t="s">
        <v>72</v>
      </c>
      <c r="K2065" t="s">
        <v>73</v>
      </c>
      <c r="L2065" t="s">
        <v>74</v>
      </c>
      <c r="M2065" t="s">
        <v>586</v>
      </c>
      <c r="N2065" t="s">
        <v>111</v>
      </c>
      <c r="O2065" t="s">
        <v>587</v>
      </c>
      <c r="P2065" t="s">
        <v>588</v>
      </c>
      <c r="Q2065" t="s">
        <v>1979</v>
      </c>
      <c r="R2065" s="1">
        <v>46233</v>
      </c>
      <c r="S2065" t="s">
        <v>590</v>
      </c>
      <c r="T2065" t="s">
        <v>591</v>
      </c>
      <c r="U2065" t="s">
        <v>592</v>
      </c>
      <c r="V2065" t="s">
        <v>66</v>
      </c>
      <c r="W2065" t="s">
        <v>66</v>
      </c>
      <c r="X2065">
        <v>4391918</v>
      </c>
      <c r="Y2065">
        <v>483110.98</v>
      </c>
      <c r="Z2065">
        <v>452706</v>
      </c>
      <c r="AA2065">
        <v>49797.66</v>
      </c>
      <c r="AB2065">
        <v>4875028.9800000004</v>
      </c>
      <c r="AC2065">
        <v>2</v>
      </c>
      <c r="AD2065" t="s">
        <v>134</v>
      </c>
      <c r="AE2065">
        <v>12</v>
      </c>
      <c r="AF2065" t="s">
        <v>138</v>
      </c>
      <c r="AG2065">
        <f>IFERROR(VLOOKUP(AF2065,[1]STOK!J:O,6,0),"")</f>
        <v>6</v>
      </c>
      <c r="AH2065" s="2">
        <f t="shared" si="64"/>
        <v>2</v>
      </c>
      <c r="AI2065" t="s">
        <v>138</v>
      </c>
      <c r="AJ2065" t="s">
        <v>139</v>
      </c>
      <c r="AK2065" t="s">
        <v>140</v>
      </c>
      <c r="AL2065" t="s">
        <v>86</v>
      </c>
      <c r="AM2065">
        <v>255078</v>
      </c>
      <c r="AN2065">
        <f t="shared" si="65"/>
        <v>251251.83</v>
      </c>
      <c r="AO2065" t="s">
        <v>66</v>
      </c>
      <c r="AP2065">
        <v>1.5</v>
      </c>
      <c r="AQ2065" t="s">
        <v>66</v>
      </c>
      <c r="AR2065">
        <v>0</v>
      </c>
      <c r="AS2065" t="s">
        <v>66</v>
      </c>
      <c r="AT2065">
        <v>0</v>
      </c>
      <c r="AU2065" t="s">
        <v>66</v>
      </c>
      <c r="AV2065">
        <v>0</v>
      </c>
      <c r="AW2065" t="s">
        <v>66</v>
      </c>
      <c r="AX2065">
        <v>0</v>
      </c>
      <c r="AY2065" t="s">
        <v>66</v>
      </c>
      <c r="AZ2065">
        <v>0</v>
      </c>
      <c r="BA2065" t="s">
        <v>66</v>
      </c>
      <c r="BB2065">
        <v>0</v>
      </c>
      <c r="BC2065">
        <v>0</v>
      </c>
      <c r="BD2065">
        <v>502503.66</v>
      </c>
      <c r="BE2065">
        <v>34652.559999999998</v>
      </c>
      <c r="BF2065">
        <v>0</v>
      </c>
      <c r="BG2065" t="s">
        <v>87</v>
      </c>
      <c r="BH2065" t="s">
        <v>66</v>
      </c>
      <c r="BI2065">
        <v>0</v>
      </c>
      <c r="BJ2065" t="s">
        <v>66</v>
      </c>
      <c r="BK2065" t="s">
        <v>88</v>
      </c>
      <c r="BL2065" t="s">
        <v>66</v>
      </c>
      <c r="BM2065" t="s">
        <v>159</v>
      </c>
    </row>
    <row r="2066" spans="1:65" x14ac:dyDescent="0.25">
      <c r="A2066">
        <v>2064</v>
      </c>
      <c r="B2066" t="s">
        <v>1980</v>
      </c>
      <c r="C2066" t="s">
        <v>1981</v>
      </c>
      <c r="D2066" s="1">
        <v>46230</v>
      </c>
      <c r="E2066" t="s">
        <v>1982</v>
      </c>
      <c r="F2066" t="s">
        <v>1983</v>
      </c>
      <c r="G2066" t="s">
        <v>295</v>
      </c>
      <c r="H2066" t="s">
        <v>296</v>
      </c>
      <c r="I2066" t="s">
        <v>71</v>
      </c>
      <c r="J2066" t="s">
        <v>72</v>
      </c>
      <c r="K2066" t="s">
        <v>73</v>
      </c>
      <c r="L2066" t="s">
        <v>74</v>
      </c>
      <c r="M2066" t="s">
        <v>1722</v>
      </c>
      <c r="N2066" t="s">
        <v>76</v>
      </c>
      <c r="O2066" t="s">
        <v>1723</v>
      </c>
      <c r="P2066" t="s">
        <v>1724</v>
      </c>
      <c r="Q2066" t="s">
        <v>1984</v>
      </c>
      <c r="R2066" s="1">
        <v>46225</v>
      </c>
      <c r="S2066" t="s">
        <v>716</v>
      </c>
      <c r="T2066" t="s">
        <v>717</v>
      </c>
      <c r="U2066" t="s">
        <v>718</v>
      </c>
      <c r="V2066" t="s">
        <v>66</v>
      </c>
      <c r="W2066" t="s">
        <v>66</v>
      </c>
      <c r="X2066">
        <v>257838</v>
      </c>
      <c r="Y2066">
        <v>28362.18</v>
      </c>
      <c r="Z2066">
        <v>54096</v>
      </c>
      <c r="AA2066">
        <v>5950.56</v>
      </c>
      <c r="AB2066">
        <v>286200.18</v>
      </c>
      <c r="AC2066">
        <v>3</v>
      </c>
      <c r="AD2066" t="s">
        <v>82</v>
      </c>
      <c r="AE2066">
        <v>3</v>
      </c>
      <c r="AF2066" t="s">
        <v>160</v>
      </c>
      <c r="AG2066">
        <f>IFERROR(VLOOKUP(AF2066,[1]STOK!J:O,6,0),"")</f>
        <v>12</v>
      </c>
      <c r="AH2066" s="2">
        <f t="shared" si="64"/>
        <v>0.25</v>
      </c>
      <c r="AI2066" t="s">
        <v>160</v>
      </c>
      <c r="AJ2066" t="s">
        <v>161</v>
      </c>
      <c r="AK2066" t="s">
        <v>162</v>
      </c>
      <c r="AL2066" t="s">
        <v>86</v>
      </c>
      <c r="AM2066">
        <v>20424</v>
      </c>
      <c r="AN2066">
        <f t="shared" si="65"/>
        <v>20015.52</v>
      </c>
      <c r="AO2066" t="s">
        <v>66</v>
      </c>
      <c r="AP2066">
        <v>2</v>
      </c>
      <c r="AQ2066" t="s">
        <v>66</v>
      </c>
      <c r="AR2066">
        <v>0</v>
      </c>
      <c r="AS2066" t="s">
        <v>66</v>
      </c>
      <c r="AT2066">
        <v>0</v>
      </c>
      <c r="AU2066" t="s">
        <v>66</v>
      </c>
      <c r="AV2066">
        <v>0</v>
      </c>
      <c r="AW2066" t="s">
        <v>66</v>
      </c>
      <c r="AX2066">
        <v>0</v>
      </c>
      <c r="AY2066" t="s">
        <v>66</v>
      </c>
      <c r="AZ2066">
        <v>0</v>
      </c>
      <c r="BA2066" t="s">
        <v>66</v>
      </c>
      <c r="BB2066">
        <v>0</v>
      </c>
      <c r="BC2066">
        <v>0</v>
      </c>
      <c r="BD2066">
        <v>60046.559999999998</v>
      </c>
      <c r="BE2066">
        <v>16599.93</v>
      </c>
      <c r="BF2066">
        <v>0</v>
      </c>
      <c r="BG2066" t="s">
        <v>87</v>
      </c>
      <c r="BH2066" t="s">
        <v>66</v>
      </c>
      <c r="BI2066">
        <v>0</v>
      </c>
      <c r="BJ2066" t="s">
        <v>66</v>
      </c>
      <c r="BK2066" t="s">
        <v>88</v>
      </c>
      <c r="BL2066" t="s">
        <v>742</v>
      </c>
      <c r="BM2066" t="s">
        <v>159</v>
      </c>
    </row>
    <row r="2067" spans="1:65" x14ac:dyDescent="0.25">
      <c r="A2067">
        <v>2065</v>
      </c>
      <c r="B2067" t="s">
        <v>1980</v>
      </c>
      <c r="C2067" t="s">
        <v>1981</v>
      </c>
      <c r="D2067" s="1">
        <v>46230</v>
      </c>
      <c r="E2067" t="s">
        <v>1982</v>
      </c>
      <c r="F2067" t="s">
        <v>1983</v>
      </c>
      <c r="G2067" t="s">
        <v>295</v>
      </c>
      <c r="H2067" t="s">
        <v>296</v>
      </c>
      <c r="I2067" t="s">
        <v>71</v>
      </c>
      <c r="J2067" t="s">
        <v>72</v>
      </c>
      <c r="K2067" t="s">
        <v>73</v>
      </c>
      <c r="L2067" t="s">
        <v>74</v>
      </c>
      <c r="M2067" t="s">
        <v>1722</v>
      </c>
      <c r="N2067" t="s">
        <v>76</v>
      </c>
      <c r="O2067" t="s">
        <v>1723</v>
      </c>
      <c r="P2067" t="s">
        <v>1724</v>
      </c>
      <c r="Q2067" t="s">
        <v>1984</v>
      </c>
      <c r="R2067" s="1">
        <v>46225</v>
      </c>
      <c r="S2067" t="s">
        <v>716</v>
      </c>
      <c r="T2067" t="s">
        <v>717</v>
      </c>
      <c r="U2067" t="s">
        <v>718</v>
      </c>
      <c r="V2067" t="s">
        <v>66</v>
      </c>
      <c r="W2067" t="s">
        <v>66</v>
      </c>
      <c r="X2067">
        <v>257838</v>
      </c>
      <c r="Y2067">
        <v>28362.18</v>
      </c>
      <c r="Z2067">
        <v>21756</v>
      </c>
      <c r="AA2067">
        <v>2393.16</v>
      </c>
      <c r="AB2067">
        <v>286200.18</v>
      </c>
      <c r="AC2067">
        <v>3</v>
      </c>
      <c r="AD2067" t="s">
        <v>82</v>
      </c>
      <c r="AE2067">
        <v>3</v>
      </c>
      <c r="AF2067" t="s">
        <v>262</v>
      </c>
      <c r="AG2067">
        <f>IFERROR(VLOOKUP(AF2067,[1]STOK!J:O,6,0),"")</f>
        <v>24</v>
      </c>
      <c r="AH2067" s="2">
        <f t="shared" si="64"/>
        <v>0.125</v>
      </c>
      <c r="AI2067" t="s">
        <v>262</v>
      </c>
      <c r="AJ2067" t="s">
        <v>263</v>
      </c>
      <c r="AK2067" t="s">
        <v>264</v>
      </c>
      <c r="AL2067" t="s">
        <v>86</v>
      </c>
      <c r="AM2067">
        <v>8214</v>
      </c>
      <c r="AN2067">
        <f t="shared" si="65"/>
        <v>8049.72</v>
      </c>
      <c r="AO2067" t="s">
        <v>66</v>
      </c>
      <c r="AP2067">
        <v>2</v>
      </c>
      <c r="AQ2067" t="s">
        <v>66</v>
      </c>
      <c r="AR2067">
        <v>0</v>
      </c>
      <c r="AS2067" t="s">
        <v>66</v>
      </c>
      <c r="AT2067">
        <v>0</v>
      </c>
      <c r="AU2067" t="s">
        <v>66</v>
      </c>
      <c r="AV2067">
        <v>0</v>
      </c>
      <c r="AW2067" t="s">
        <v>66</v>
      </c>
      <c r="AX2067">
        <v>0</v>
      </c>
      <c r="AY2067" t="s">
        <v>66</v>
      </c>
      <c r="AZ2067">
        <v>0</v>
      </c>
      <c r="BA2067" t="s">
        <v>66</v>
      </c>
      <c r="BB2067">
        <v>0</v>
      </c>
      <c r="BC2067">
        <v>0</v>
      </c>
      <c r="BD2067">
        <v>24149.16</v>
      </c>
      <c r="BE2067">
        <v>6675.26</v>
      </c>
      <c r="BF2067">
        <v>0</v>
      </c>
      <c r="BG2067" t="s">
        <v>87</v>
      </c>
      <c r="BH2067" t="s">
        <v>66</v>
      </c>
      <c r="BI2067">
        <v>0</v>
      </c>
      <c r="BJ2067" t="s">
        <v>66</v>
      </c>
      <c r="BK2067" t="s">
        <v>88</v>
      </c>
      <c r="BL2067" t="s">
        <v>742</v>
      </c>
      <c r="BM2067" t="s">
        <v>159</v>
      </c>
    </row>
    <row r="2068" spans="1:65" x14ac:dyDescent="0.25">
      <c r="A2068">
        <v>2066</v>
      </c>
      <c r="B2068" t="s">
        <v>1980</v>
      </c>
      <c r="C2068" t="s">
        <v>1981</v>
      </c>
      <c r="D2068" s="1">
        <v>46230</v>
      </c>
      <c r="E2068" t="s">
        <v>1982</v>
      </c>
      <c r="F2068" t="s">
        <v>1983</v>
      </c>
      <c r="G2068" t="s">
        <v>295</v>
      </c>
      <c r="H2068" t="s">
        <v>296</v>
      </c>
      <c r="I2068" t="s">
        <v>71</v>
      </c>
      <c r="J2068" t="s">
        <v>72</v>
      </c>
      <c r="K2068" t="s">
        <v>73</v>
      </c>
      <c r="L2068" t="s">
        <v>74</v>
      </c>
      <c r="M2068" t="s">
        <v>1722</v>
      </c>
      <c r="N2068" t="s">
        <v>76</v>
      </c>
      <c r="O2068" t="s">
        <v>1723</v>
      </c>
      <c r="P2068" t="s">
        <v>1724</v>
      </c>
      <c r="Q2068" t="s">
        <v>1984</v>
      </c>
      <c r="R2068" s="1">
        <v>46225</v>
      </c>
      <c r="S2068" t="s">
        <v>716</v>
      </c>
      <c r="T2068" t="s">
        <v>717</v>
      </c>
      <c r="U2068" t="s">
        <v>718</v>
      </c>
      <c r="V2068" t="s">
        <v>66</v>
      </c>
      <c r="W2068" t="s">
        <v>66</v>
      </c>
      <c r="X2068">
        <v>257838</v>
      </c>
      <c r="Y2068">
        <v>28362.18</v>
      </c>
      <c r="Z2068">
        <v>29694</v>
      </c>
      <c r="AA2068">
        <v>3266.34</v>
      </c>
      <c r="AB2068">
        <v>286200.18</v>
      </c>
      <c r="AC2068">
        <v>3</v>
      </c>
      <c r="AD2068" t="s">
        <v>82</v>
      </c>
      <c r="AE2068">
        <v>3</v>
      </c>
      <c r="AF2068" t="s">
        <v>848</v>
      </c>
      <c r="AG2068">
        <f>IFERROR(VLOOKUP(AF2068,[1]STOK!J:O,6,0),"")</f>
        <v>24</v>
      </c>
      <c r="AH2068" s="2">
        <f t="shared" si="64"/>
        <v>0.125</v>
      </c>
      <c r="AI2068" t="s">
        <v>848</v>
      </c>
      <c r="AJ2068" t="s">
        <v>849</v>
      </c>
      <c r="AK2068" t="s">
        <v>850</v>
      </c>
      <c r="AL2068" t="s">
        <v>86</v>
      </c>
      <c r="AM2068">
        <v>11211</v>
      </c>
      <c r="AN2068">
        <f t="shared" si="65"/>
        <v>10986.779999999999</v>
      </c>
      <c r="AO2068" t="s">
        <v>66</v>
      </c>
      <c r="AP2068">
        <v>2</v>
      </c>
      <c r="AQ2068" t="s">
        <v>66</v>
      </c>
      <c r="AR2068">
        <v>0</v>
      </c>
      <c r="AS2068" t="s">
        <v>66</v>
      </c>
      <c r="AT2068">
        <v>0</v>
      </c>
      <c r="AU2068" t="s">
        <v>66</v>
      </c>
      <c r="AV2068">
        <v>0</v>
      </c>
      <c r="AW2068" t="s">
        <v>66</v>
      </c>
      <c r="AX2068">
        <v>0</v>
      </c>
      <c r="AY2068" t="s">
        <v>66</v>
      </c>
      <c r="AZ2068">
        <v>0</v>
      </c>
      <c r="BA2068" t="s">
        <v>66</v>
      </c>
      <c r="BB2068">
        <v>0</v>
      </c>
      <c r="BC2068">
        <v>0</v>
      </c>
      <c r="BD2068">
        <v>32960.339999999997</v>
      </c>
      <c r="BE2068">
        <v>9090.16</v>
      </c>
      <c r="BF2068">
        <v>0</v>
      </c>
      <c r="BG2068" t="s">
        <v>87</v>
      </c>
      <c r="BH2068" t="s">
        <v>66</v>
      </c>
      <c r="BI2068">
        <v>0</v>
      </c>
      <c r="BJ2068" t="s">
        <v>66</v>
      </c>
      <c r="BK2068" t="s">
        <v>88</v>
      </c>
      <c r="BL2068" t="s">
        <v>742</v>
      </c>
      <c r="BM2068" t="s">
        <v>159</v>
      </c>
    </row>
    <row r="2069" spans="1:65" x14ac:dyDescent="0.25">
      <c r="A2069">
        <v>2067</v>
      </c>
      <c r="B2069" t="s">
        <v>1980</v>
      </c>
      <c r="C2069" t="s">
        <v>1981</v>
      </c>
      <c r="D2069" s="1">
        <v>46230</v>
      </c>
      <c r="E2069" t="s">
        <v>1982</v>
      </c>
      <c r="F2069" t="s">
        <v>1983</v>
      </c>
      <c r="G2069" t="s">
        <v>295</v>
      </c>
      <c r="H2069" t="s">
        <v>296</v>
      </c>
      <c r="I2069" t="s">
        <v>71</v>
      </c>
      <c r="J2069" t="s">
        <v>72</v>
      </c>
      <c r="K2069" t="s">
        <v>73</v>
      </c>
      <c r="L2069" t="s">
        <v>74</v>
      </c>
      <c r="M2069" t="s">
        <v>1722</v>
      </c>
      <c r="N2069" t="s">
        <v>76</v>
      </c>
      <c r="O2069" t="s">
        <v>1723</v>
      </c>
      <c r="P2069" t="s">
        <v>1724</v>
      </c>
      <c r="Q2069" t="s">
        <v>1984</v>
      </c>
      <c r="R2069" s="1">
        <v>46225</v>
      </c>
      <c r="S2069" t="s">
        <v>716</v>
      </c>
      <c r="T2069" t="s">
        <v>717</v>
      </c>
      <c r="U2069" t="s">
        <v>718</v>
      </c>
      <c r="V2069" t="s">
        <v>66</v>
      </c>
      <c r="W2069" t="s">
        <v>66</v>
      </c>
      <c r="X2069">
        <v>257838</v>
      </c>
      <c r="Y2069">
        <v>28362.18</v>
      </c>
      <c r="Z2069">
        <v>23226</v>
      </c>
      <c r="AA2069">
        <v>2554.86</v>
      </c>
      <c r="AB2069">
        <v>286200.18</v>
      </c>
      <c r="AC2069">
        <v>3</v>
      </c>
      <c r="AD2069" t="s">
        <v>82</v>
      </c>
      <c r="AE2069">
        <v>3</v>
      </c>
      <c r="AF2069" t="s">
        <v>199</v>
      </c>
      <c r="AG2069">
        <f>IFERROR(VLOOKUP(AF2069,[1]STOK!J:O,6,0),"")</f>
        <v>24</v>
      </c>
      <c r="AH2069" s="2">
        <f t="shared" si="64"/>
        <v>0.125</v>
      </c>
      <c r="AI2069" t="s">
        <v>199</v>
      </c>
      <c r="AJ2069" t="s">
        <v>200</v>
      </c>
      <c r="AK2069" t="s">
        <v>201</v>
      </c>
      <c r="AL2069" t="s">
        <v>86</v>
      </c>
      <c r="AM2069">
        <v>8769</v>
      </c>
      <c r="AN2069">
        <f t="shared" si="65"/>
        <v>8593.6200000000008</v>
      </c>
      <c r="AO2069" t="s">
        <v>66</v>
      </c>
      <c r="AP2069">
        <v>2</v>
      </c>
      <c r="AQ2069" t="s">
        <v>66</v>
      </c>
      <c r="AR2069">
        <v>0</v>
      </c>
      <c r="AS2069" t="s">
        <v>66</v>
      </c>
      <c r="AT2069">
        <v>0</v>
      </c>
      <c r="AU2069" t="s">
        <v>66</v>
      </c>
      <c r="AV2069">
        <v>0</v>
      </c>
      <c r="AW2069" t="s">
        <v>66</v>
      </c>
      <c r="AX2069">
        <v>0</v>
      </c>
      <c r="AY2069" t="s">
        <v>66</v>
      </c>
      <c r="AZ2069">
        <v>0</v>
      </c>
      <c r="BA2069" t="s">
        <v>66</v>
      </c>
      <c r="BB2069">
        <v>0</v>
      </c>
      <c r="BC2069">
        <v>0</v>
      </c>
      <c r="BD2069">
        <v>25780.86</v>
      </c>
      <c r="BE2069">
        <v>7134.31</v>
      </c>
      <c r="BF2069">
        <v>0</v>
      </c>
      <c r="BG2069" t="s">
        <v>87</v>
      </c>
      <c r="BH2069" t="s">
        <v>66</v>
      </c>
      <c r="BI2069">
        <v>0</v>
      </c>
      <c r="BJ2069" t="s">
        <v>66</v>
      </c>
      <c r="BK2069" t="s">
        <v>88</v>
      </c>
      <c r="BL2069" t="s">
        <v>742</v>
      </c>
      <c r="BM2069" t="s">
        <v>159</v>
      </c>
    </row>
    <row r="2070" spans="1:65" x14ac:dyDescent="0.25">
      <c r="A2070">
        <v>2068</v>
      </c>
      <c r="B2070" t="s">
        <v>1980</v>
      </c>
      <c r="C2070" t="s">
        <v>1981</v>
      </c>
      <c r="D2070" s="1">
        <v>46230</v>
      </c>
      <c r="E2070" t="s">
        <v>1982</v>
      </c>
      <c r="F2070" t="s">
        <v>1983</v>
      </c>
      <c r="G2070" t="s">
        <v>295</v>
      </c>
      <c r="H2070" t="s">
        <v>296</v>
      </c>
      <c r="I2070" t="s">
        <v>71</v>
      </c>
      <c r="J2070" t="s">
        <v>72</v>
      </c>
      <c r="K2070" t="s">
        <v>73</v>
      </c>
      <c r="L2070" t="s">
        <v>74</v>
      </c>
      <c r="M2070" t="s">
        <v>1722</v>
      </c>
      <c r="N2070" t="s">
        <v>76</v>
      </c>
      <c r="O2070" t="s">
        <v>1723</v>
      </c>
      <c r="P2070" t="s">
        <v>1724</v>
      </c>
      <c r="Q2070" t="s">
        <v>1984</v>
      </c>
      <c r="R2070" s="1">
        <v>46225</v>
      </c>
      <c r="S2070" t="s">
        <v>716</v>
      </c>
      <c r="T2070" t="s">
        <v>717</v>
      </c>
      <c r="U2070" t="s">
        <v>718</v>
      </c>
      <c r="V2070" t="s">
        <v>66</v>
      </c>
      <c r="W2070" t="s">
        <v>66</v>
      </c>
      <c r="X2070">
        <v>257838</v>
      </c>
      <c r="Y2070">
        <v>28362.18</v>
      </c>
      <c r="Z2070">
        <v>78204</v>
      </c>
      <c r="AA2070">
        <v>8602.44</v>
      </c>
      <c r="AB2070">
        <v>286200.18</v>
      </c>
      <c r="AC2070">
        <v>6</v>
      </c>
      <c r="AD2070" t="s">
        <v>82</v>
      </c>
      <c r="AE2070">
        <v>6</v>
      </c>
      <c r="AF2070" t="s">
        <v>210</v>
      </c>
      <c r="AG2070">
        <f>IFERROR(VLOOKUP(AF2070,[1]STOK!J:O,6,0),"")</f>
        <v>12</v>
      </c>
      <c r="AH2070" s="2">
        <f t="shared" si="64"/>
        <v>0.5</v>
      </c>
      <c r="AI2070" t="s">
        <v>210</v>
      </c>
      <c r="AJ2070" t="s">
        <v>211</v>
      </c>
      <c r="AK2070" t="s">
        <v>212</v>
      </c>
      <c r="AL2070" t="s">
        <v>86</v>
      </c>
      <c r="AM2070">
        <v>14763</v>
      </c>
      <c r="AN2070">
        <f t="shared" si="65"/>
        <v>14467.74</v>
      </c>
      <c r="AO2070" t="s">
        <v>66</v>
      </c>
      <c r="AP2070">
        <v>2</v>
      </c>
      <c r="AQ2070" t="s">
        <v>66</v>
      </c>
      <c r="AR2070">
        <v>0</v>
      </c>
      <c r="AS2070" t="s">
        <v>66</v>
      </c>
      <c r="AT2070">
        <v>0</v>
      </c>
      <c r="AU2070" t="s">
        <v>66</v>
      </c>
      <c r="AV2070">
        <v>0</v>
      </c>
      <c r="AW2070" t="s">
        <v>66</v>
      </c>
      <c r="AX2070">
        <v>0</v>
      </c>
      <c r="AY2070" t="s">
        <v>66</v>
      </c>
      <c r="AZ2070">
        <v>0</v>
      </c>
      <c r="BA2070" t="s">
        <v>66</v>
      </c>
      <c r="BB2070">
        <v>0</v>
      </c>
      <c r="BC2070">
        <v>0</v>
      </c>
      <c r="BD2070">
        <v>86806.44</v>
      </c>
      <c r="BE2070">
        <v>11976.03</v>
      </c>
      <c r="BF2070">
        <v>0</v>
      </c>
      <c r="BG2070" t="s">
        <v>87</v>
      </c>
      <c r="BH2070" t="s">
        <v>66</v>
      </c>
      <c r="BI2070">
        <v>0</v>
      </c>
      <c r="BJ2070" t="s">
        <v>66</v>
      </c>
      <c r="BK2070" t="s">
        <v>88</v>
      </c>
      <c r="BL2070" t="s">
        <v>742</v>
      </c>
      <c r="BM2070" t="s">
        <v>159</v>
      </c>
    </row>
    <row r="2071" spans="1:65" x14ac:dyDescent="0.25">
      <c r="A2071">
        <v>2069</v>
      </c>
      <c r="B2071" t="s">
        <v>1980</v>
      </c>
      <c r="C2071" t="s">
        <v>1981</v>
      </c>
      <c r="D2071" s="1">
        <v>46230</v>
      </c>
      <c r="E2071" t="s">
        <v>1982</v>
      </c>
      <c r="F2071" t="s">
        <v>1983</v>
      </c>
      <c r="G2071" t="s">
        <v>295</v>
      </c>
      <c r="H2071" t="s">
        <v>296</v>
      </c>
      <c r="I2071" t="s">
        <v>71</v>
      </c>
      <c r="J2071" t="s">
        <v>72</v>
      </c>
      <c r="K2071" t="s">
        <v>73</v>
      </c>
      <c r="L2071" t="s">
        <v>74</v>
      </c>
      <c r="M2071" t="s">
        <v>1722</v>
      </c>
      <c r="N2071" t="s">
        <v>76</v>
      </c>
      <c r="O2071" t="s">
        <v>1723</v>
      </c>
      <c r="P2071" t="s">
        <v>1724</v>
      </c>
      <c r="Q2071" t="s">
        <v>1984</v>
      </c>
      <c r="R2071" s="1">
        <v>46225</v>
      </c>
      <c r="S2071" t="s">
        <v>716</v>
      </c>
      <c r="T2071" t="s">
        <v>717</v>
      </c>
      <c r="U2071" t="s">
        <v>718</v>
      </c>
      <c r="V2071" t="s">
        <v>66</v>
      </c>
      <c r="W2071" t="s">
        <v>66</v>
      </c>
      <c r="X2071">
        <v>257838</v>
      </c>
      <c r="Y2071">
        <v>28362.18</v>
      </c>
      <c r="Z2071">
        <v>50862</v>
      </c>
      <c r="AA2071">
        <v>5594.82</v>
      </c>
      <c r="AB2071">
        <v>286200.18</v>
      </c>
      <c r="AC2071">
        <v>3</v>
      </c>
      <c r="AD2071" t="s">
        <v>82</v>
      </c>
      <c r="AE2071">
        <v>3</v>
      </c>
      <c r="AF2071" t="s">
        <v>359</v>
      </c>
      <c r="AG2071">
        <f>IFERROR(VLOOKUP(AF2071,[1]STOK!J:O,6,0),"")</f>
        <v>12</v>
      </c>
      <c r="AH2071" s="2">
        <f t="shared" si="64"/>
        <v>0.25</v>
      </c>
      <c r="AI2071" t="s">
        <v>359</v>
      </c>
      <c r="AJ2071" t="s">
        <v>360</v>
      </c>
      <c r="AK2071" t="s">
        <v>361</v>
      </c>
      <c r="AL2071" t="s">
        <v>86</v>
      </c>
      <c r="AM2071">
        <v>19203</v>
      </c>
      <c r="AN2071">
        <f t="shared" si="65"/>
        <v>18818.939999999999</v>
      </c>
      <c r="AO2071" t="s">
        <v>66</v>
      </c>
      <c r="AP2071">
        <v>2</v>
      </c>
      <c r="AQ2071" t="s">
        <v>66</v>
      </c>
      <c r="AR2071">
        <v>0</v>
      </c>
      <c r="AS2071" t="s">
        <v>66</v>
      </c>
      <c r="AT2071">
        <v>0</v>
      </c>
      <c r="AU2071" t="s">
        <v>66</v>
      </c>
      <c r="AV2071">
        <v>0</v>
      </c>
      <c r="AW2071" t="s">
        <v>66</v>
      </c>
      <c r="AX2071">
        <v>0</v>
      </c>
      <c r="AY2071" t="s">
        <v>66</v>
      </c>
      <c r="AZ2071">
        <v>0</v>
      </c>
      <c r="BA2071" t="s">
        <v>66</v>
      </c>
      <c r="BB2071">
        <v>0</v>
      </c>
      <c r="BC2071">
        <v>0</v>
      </c>
      <c r="BD2071">
        <v>56456.82</v>
      </c>
      <c r="BE2071">
        <v>15617.48</v>
      </c>
      <c r="BF2071">
        <v>0</v>
      </c>
      <c r="BG2071" t="s">
        <v>87</v>
      </c>
      <c r="BH2071" t="s">
        <v>66</v>
      </c>
      <c r="BI2071">
        <v>0</v>
      </c>
      <c r="BJ2071" t="s">
        <v>66</v>
      </c>
      <c r="BK2071" t="s">
        <v>88</v>
      </c>
      <c r="BL2071" t="s">
        <v>742</v>
      </c>
      <c r="BM2071" t="s">
        <v>159</v>
      </c>
    </row>
    <row r="2072" spans="1:65" x14ac:dyDescent="0.25">
      <c r="A2072">
        <v>2070</v>
      </c>
      <c r="B2072" t="s">
        <v>1985</v>
      </c>
      <c r="C2072" t="s">
        <v>1986</v>
      </c>
      <c r="D2072" s="1">
        <v>46231</v>
      </c>
      <c r="E2072" t="s">
        <v>1987</v>
      </c>
      <c r="F2072" t="s">
        <v>1988</v>
      </c>
      <c r="G2072" t="s">
        <v>295</v>
      </c>
      <c r="H2072" t="s">
        <v>296</v>
      </c>
      <c r="I2072" t="s">
        <v>71</v>
      </c>
      <c r="J2072" t="s">
        <v>72</v>
      </c>
      <c r="K2072" t="s">
        <v>73</v>
      </c>
      <c r="L2072" t="s">
        <v>74</v>
      </c>
      <c r="M2072" t="s">
        <v>1111</v>
      </c>
      <c r="N2072" t="s">
        <v>696</v>
      </c>
      <c r="O2072" t="s">
        <v>1112</v>
      </c>
      <c r="P2072" t="s">
        <v>1113</v>
      </c>
      <c r="Q2072" t="s">
        <v>1989</v>
      </c>
      <c r="R2072" s="1">
        <v>46232</v>
      </c>
      <c r="S2072" t="s">
        <v>1115</v>
      </c>
      <c r="T2072" t="s">
        <v>1116</v>
      </c>
      <c r="U2072" t="s">
        <v>1117</v>
      </c>
      <c r="V2072" t="s">
        <v>66</v>
      </c>
      <c r="W2072" t="s">
        <v>66</v>
      </c>
      <c r="X2072">
        <v>14659416</v>
      </c>
      <c r="Y2072">
        <v>1612535.76</v>
      </c>
      <c r="Z2072">
        <v>1548120</v>
      </c>
      <c r="AA2072">
        <v>170293.2</v>
      </c>
      <c r="AB2072">
        <v>16271951.76</v>
      </c>
      <c r="AC2072">
        <v>10</v>
      </c>
      <c r="AD2072" t="s">
        <v>134</v>
      </c>
      <c r="AE2072">
        <v>120</v>
      </c>
      <c r="AF2072" t="s">
        <v>135</v>
      </c>
      <c r="AG2072">
        <f>IFERROR(VLOOKUP(AF2072,[1]STOK!J:O,6,0),"")</f>
        <v>12</v>
      </c>
      <c r="AH2072" s="2">
        <f t="shared" si="64"/>
        <v>10</v>
      </c>
      <c r="AI2072" t="s">
        <v>135</v>
      </c>
      <c r="AJ2072" t="s">
        <v>136</v>
      </c>
      <c r="AK2072" t="s">
        <v>137</v>
      </c>
      <c r="AL2072" t="s">
        <v>86</v>
      </c>
      <c r="AM2072">
        <v>177156</v>
      </c>
      <c r="AN2072">
        <f t="shared" si="65"/>
        <v>171841.32</v>
      </c>
      <c r="AO2072" t="s">
        <v>66</v>
      </c>
      <c r="AP2072">
        <v>3</v>
      </c>
      <c r="AQ2072" t="s">
        <v>66</v>
      </c>
      <c r="AR2072">
        <v>0</v>
      </c>
      <c r="AS2072" t="s">
        <v>66</v>
      </c>
      <c r="AT2072">
        <v>0</v>
      </c>
      <c r="AU2072" t="s">
        <v>66</v>
      </c>
      <c r="AV2072">
        <v>0</v>
      </c>
      <c r="AW2072" t="s">
        <v>66</v>
      </c>
      <c r="AX2072">
        <v>0</v>
      </c>
      <c r="AY2072" t="s">
        <v>66</v>
      </c>
      <c r="AZ2072">
        <v>0</v>
      </c>
      <c r="BA2072" t="s">
        <v>66</v>
      </c>
      <c r="BB2072">
        <v>0</v>
      </c>
      <c r="BC2072">
        <v>0</v>
      </c>
      <c r="BD2072">
        <v>1718413.2</v>
      </c>
      <c r="BE2072">
        <v>12034.95</v>
      </c>
      <c r="BF2072">
        <v>0</v>
      </c>
      <c r="BG2072" t="s">
        <v>87</v>
      </c>
      <c r="BH2072" t="s">
        <v>66</v>
      </c>
      <c r="BI2072">
        <v>0</v>
      </c>
      <c r="BJ2072" t="s">
        <v>66</v>
      </c>
      <c r="BK2072" t="s">
        <v>88</v>
      </c>
      <c r="BL2072" t="s">
        <v>66</v>
      </c>
      <c r="BM2072" t="s">
        <v>159</v>
      </c>
    </row>
    <row r="2073" spans="1:65" x14ac:dyDescent="0.25">
      <c r="A2073">
        <v>2071</v>
      </c>
      <c r="B2073" t="s">
        <v>1985</v>
      </c>
      <c r="C2073" t="s">
        <v>1986</v>
      </c>
      <c r="D2073" s="1">
        <v>46231</v>
      </c>
      <c r="E2073" t="s">
        <v>1987</v>
      </c>
      <c r="F2073" t="s">
        <v>1988</v>
      </c>
      <c r="G2073" t="s">
        <v>295</v>
      </c>
      <c r="H2073" t="s">
        <v>296</v>
      </c>
      <c r="I2073" t="s">
        <v>71</v>
      </c>
      <c r="J2073" t="s">
        <v>72</v>
      </c>
      <c r="K2073" t="s">
        <v>73</v>
      </c>
      <c r="L2073" t="s">
        <v>74</v>
      </c>
      <c r="M2073" t="s">
        <v>1111</v>
      </c>
      <c r="N2073" t="s">
        <v>696</v>
      </c>
      <c r="O2073" t="s">
        <v>1112</v>
      </c>
      <c r="P2073" t="s">
        <v>1113</v>
      </c>
      <c r="Q2073" t="s">
        <v>1989</v>
      </c>
      <c r="R2073" s="1">
        <v>46232</v>
      </c>
      <c r="S2073" t="s">
        <v>1115</v>
      </c>
      <c r="T2073" t="s">
        <v>1116</v>
      </c>
      <c r="U2073" t="s">
        <v>1117</v>
      </c>
      <c r="V2073" t="s">
        <v>66</v>
      </c>
      <c r="W2073" t="s">
        <v>66</v>
      </c>
      <c r="X2073">
        <v>14659416</v>
      </c>
      <c r="Y2073">
        <v>1612535.76</v>
      </c>
      <c r="Z2073">
        <v>1006860</v>
      </c>
      <c r="AA2073">
        <v>110754.6</v>
      </c>
      <c r="AB2073">
        <v>16271951.76</v>
      </c>
      <c r="AC2073">
        <v>5</v>
      </c>
      <c r="AD2073" t="s">
        <v>134</v>
      </c>
      <c r="AE2073">
        <v>60</v>
      </c>
      <c r="AF2073" t="s">
        <v>359</v>
      </c>
      <c r="AG2073">
        <f>IFERROR(VLOOKUP(AF2073,[1]STOK!J:O,6,0),"")</f>
        <v>12</v>
      </c>
      <c r="AH2073" s="2">
        <f t="shared" si="64"/>
        <v>5</v>
      </c>
      <c r="AI2073" t="s">
        <v>359</v>
      </c>
      <c r="AJ2073" t="s">
        <v>360</v>
      </c>
      <c r="AK2073" t="s">
        <v>361</v>
      </c>
      <c r="AL2073" t="s">
        <v>86</v>
      </c>
      <c r="AM2073">
        <v>230436</v>
      </c>
      <c r="AN2073">
        <f t="shared" si="65"/>
        <v>223522.92</v>
      </c>
      <c r="AO2073" t="s">
        <v>66</v>
      </c>
      <c r="AP2073">
        <v>3</v>
      </c>
      <c r="AQ2073" t="s">
        <v>66</v>
      </c>
      <c r="AR2073">
        <v>0</v>
      </c>
      <c r="AS2073" t="s">
        <v>66</v>
      </c>
      <c r="AT2073">
        <v>0</v>
      </c>
      <c r="AU2073" t="s">
        <v>66</v>
      </c>
      <c r="AV2073">
        <v>0</v>
      </c>
      <c r="AW2073" t="s">
        <v>66</v>
      </c>
      <c r="AX2073">
        <v>0</v>
      </c>
      <c r="AY2073" t="s">
        <v>66</v>
      </c>
      <c r="AZ2073">
        <v>0</v>
      </c>
      <c r="BA2073" t="s">
        <v>66</v>
      </c>
      <c r="BB2073">
        <v>0</v>
      </c>
      <c r="BC2073">
        <v>0</v>
      </c>
      <c r="BD2073">
        <v>1117614.6000000001</v>
      </c>
      <c r="BE2073">
        <v>15617.48</v>
      </c>
      <c r="BF2073">
        <v>0</v>
      </c>
      <c r="BG2073" t="s">
        <v>87</v>
      </c>
      <c r="BH2073" t="s">
        <v>66</v>
      </c>
      <c r="BI2073">
        <v>0</v>
      </c>
      <c r="BJ2073" t="s">
        <v>66</v>
      </c>
      <c r="BK2073" t="s">
        <v>88</v>
      </c>
      <c r="BL2073" t="s">
        <v>66</v>
      </c>
      <c r="BM2073" t="s">
        <v>159</v>
      </c>
    </row>
    <row r="2074" spans="1:65" x14ac:dyDescent="0.25">
      <c r="A2074">
        <v>2072</v>
      </c>
      <c r="B2074" t="s">
        <v>1985</v>
      </c>
      <c r="C2074" t="s">
        <v>1986</v>
      </c>
      <c r="D2074" s="1">
        <v>46231</v>
      </c>
      <c r="E2074" t="s">
        <v>1987</v>
      </c>
      <c r="F2074" t="s">
        <v>1988</v>
      </c>
      <c r="G2074" t="s">
        <v>295</v>
      </c>
      <c r="H2074" t="s">
        <v>296</v>
      </c>
      <c r="I2074" t="s">
        <v>71</v>
      </c>
      <c r="J2074" t="s">
        <v>72</v>
      </c>
      <c r="K2074" t="s">
        <v>73</v>
      </c>
      <c r="L2074" t="s">
        <v>74</v>
      </c>
      <c r="M2074" t="s">
        <v>1111</v>
      </c>
      <c r="N2074" t="s">
        <v>696</v>
      </c>
      <c r="O2074" t="s">
        <v>1112</v>
      </c>
      <c r="P2074" t="s">
        <v>1113</v>
      </c>
      <c r="Q2074" t="s">
        <v>1989</v>
      </c>
      <c r="R2074" s="1">
        <v>46232</v>
      </c>
      <c r="S2074" t="s">
        <v>1115</v>
      </c>
      <c r="T2074" t="s">
        <v>1116</v>
      </c>
      <c r="U2074" t="s">
        <v>1117</v>
      </c>
      <c r="V2074" t="s">
        <v>66</v>
      </c>
      <c r="W2074" t="s">
        <v>66</v>
      </c>
      <c r="X2074">
        <v>14659416</v>
      </c>
      <c r="Y2074">
        <v>1612535.76</v>
      </c>
      <c r="Z2074">
        <v>6984000</v>
      </c>
      <c r="AA2074">
        <v>768240</v>
      </c>
      <c r="AB2074">
        <v>16271951.76</v>
      </c>
      <c r="AC2074">
        <v>30</v>
      </c>
      <c r="AD2074" t="s">
        <v>134</v>
      </c>
      <c r="AE2074">
        <v>360</v>
      </c>
      <c r="AF2074" t="s">
        <v>290</v>
      </c>
      <c r="AG2074">
        <f>IFERROR(VLOOKUP(AF2074,[1]STOK!J:O,6,0),"")</f>
        <v>12</v>
      </c>
      <c r="AH2074" s="2">
        <f t="shared" si="64"/>
        <v>30</v>
      </c>
      <c r="AI2074" t="s">
        <v>290</v>
      </c>
      <c r="AJ2074" t="s">
        <v>291</v>
      </c>
      <c r="AK2074" t="s">
        <v>292</v>
      </c>
      <c r="AL2074" t="s">
        <v>86</v>
      </c>
      <c r="AM2074">
        <v>266400</v>
      </c>
      <c r="AN2074">
        <f t="shared" si="65"/>
        <v>258408</v>
      </c>
      <c r="AO2074" t="s">
        <v>66</v>
      </c>
      <c r="AP2074">
        <v>3</v>
      </c>
      <c r="AQ2074" t="s">
        <v>66</v>
      </c>
      <c r="AR2074">
        <v>0</v>
      </c>
      <c r="AS2074" t="s">
        <v>66</v>
      </c>
      <c r="AT2074">
        <v>0</v>
      </c>
      <c r="AU2074" t="s">
        <v>66</v>
      </c>
      <c r="AV2074">
        <v>0</v>
      </c>
      <c r="AW2074" t="s">
        <v>66</v>
      </c>
      <c r="AX2074">
        <v>0</v>
      </c>
      <c r="AY2074" t="s">
        <v>66</v>
      </c>
      <c r="AZ2074">
        <v>0</v>
      </c>
      <c r="BA2074" t="s">
        <v>66</v>
      </c>
      <c r="BB2074">
        <v>0</v>
      </c>
      <c r="BC2074">
        <v>0</v>
      </c>
      <c r="BD2074">
        <v>7752240</v>
      </c>
      <c r="BE2074">
        <v>18113.71</v>
      </c>
      <c r="BF2074">
        <v>0</v>
      </c>
      <c r="BG2074" t="s">
        <v>87</v>
      </c>
      <c r="BH2074" t="s">
        <v>66</v>
      </c>
      <c r="BI2074">
        <v>0</v>
      </c>
      <c r="BJ2074" t="s">
        <v>66</v>
      </c>
      <c r="BK2074" t="s">
        <v>88</v>
      </c>
      <c r="BL2074" t="s">
        <v>66</v>
      </c>
      <c r="BM2074" t="s">
        <v>159</v>
      </c>
    </row>
    <row r="2075" spans="1:65" x14ac:dyDescent="0.25">
      <c r="A2075">
        <v>2073</v>
      </c>
      <c r="B2075" t="s">
        <v>1985</v>
      </c>
      <c r="C2075" t="s">
        <v>1986</v>
      </c>
      <c r="D2075" s="1">
        <v>46231</v>
      </c>
      <c r="E2075" t="s">
        <v>1987</v>
      </c>
      <c r="F2075" t="s">
        <v>1988</v>
      </c>
      <c r="G2075" t="s">
        <v>295</v>
      </c>
      <c r="H2075" t="s">
        <v>296</v>
      </c>
      <c r="I2075" t="s">
        <v>71</v>
      </c>
      <c r="J2075" t="s">
        <v>72</v>
      </c>
      <c r="K2075" t="s">
        <v>73</v>
      </c>
      <c r="L2075" t="s">
        <v>74</v>
      </c>
      <c r="M2075" t="s">
        <v>1111</v>
      </c>
      <c r="N2075" t="s">
        <v>696</v>
      </c>
      <c r="O2075" t="s">
        <v>1112</v>
      </c>
      <c r="P2075" t="s">
        <v>1113</v>
      </c>
      <c r="Q2075" t="s">
        <v>1989</v>
      </c>
      <c r="R2075" s="1">
        <v>46232</v>
      </c>
      <c r="S2075" t="s">
        <v>1115</v>
      </c>
      <c r="T2075" t="s">
        <v>1116</v>
      </c>
      <c r="U2075" t="s">
        <v>1117</v>
      </c>
      <c r="V2075" t="s">
        <v>66</v>
      </c>
      <c r="W2075" t="s">
        <v>66</v>
      </c>
      <c r="X2075">
        <v>14659416</v>
      </c>
      <c r="Y2075">
        <v>1612535.76</v>
      </c>
      <c r="Z2075">
        <v>1164000</v>
      </c>
      <c r="AA2075">
        <v>128040</v>
      </c>
      <c r="AB2075">
        <v>16271951.76</v>
      </c>
      <c r="AC2075">
        <v>5</v>
      </c>
      <c r="AD2075" t="s">
        <v>134</v>
      </c>
      <c r="AE2075">
        <v>60</v>
      </c>
      <c r="AF2075" t="s">
        <v>102</v>
      </c>
      <c r="AG2075">
        <f>IFERROR(VLOOKUP(AF2075,[1]STOK!J:O,6,0),"")</f>
        <v>12</v>
      </c>
      <c r="AH2075" s="2">
        <f t="shared" si="64"/>
        <v>5</v>
      </c>
      <c r="AI2075" t="s">
        <v>102</v>
      </c>
      <c r="AJ2075" t="s">
        <v>103</v>
      </c>
      <c r="AK2075" t="s">
        <v>104</v>
      </c>
      <c r="AL2075" t="s">
        <v>86</v>
      </c>
      <c r="AM2075">
        <v>266400</v>
      </c>
      <c r="AN2075">
        <f t="shared" si="65"/>
        <v>258408</v>
      </c>
      <c r="AO2075" t="s">
        <v>66</v>
      </c>
      <c r="AP2075">
        <v>3</v>
      </c>
      <c r="AQ2075" t="s">
        <v>66</v>
      </c>
      <c r="AR2075">
        <v>0</v>
      </c>
      <c r="AS2075" t="s">
        <v>66</v>
      </c>
      <c r="AT2075">
        <v>0</v>
      </c>
      <c r="AU2075" t="s">
        <v>66</v>
      </c>
      <c r="AV2075">
        <v>0</v>
      </c>
      <c r="AW2075" t="s">
        <v>66</v>
      </c>
      <c r="AX2075">
        <v>0</v>
      </c>
      <c r="AY2075" t="s">
        <v>66</v>
      </c>
      <c r="AZ2075">
        <v>0</v>
      </c>
      <c r="BA2075" t="s">
        <v>66</v>
      </c>
      <c r="BB2075">
        <v>0</v>
      </c>
      <c r="BC2075">
        <v>0</v>
      </c>
      <c r="BD2075">
        <v>1292040</v>
      </c>
      <c r="BE2075">
        <v>18005.03</v>
      </c>
      <c r="BF2075">
        <v>0</v>
      </c>
      <c r="BG2075" t="s">
        <v>87</v>
      </c>
      <c r="BH2075" t="s">
        <v>66</v>
      </c>
      <c r="BI2075">
        <v>0</v>
      </c>
      <c r="BJ2075" t="s">
        <v>66</v>
      </c>
      <c r="BK2075" t="s">
        <v>88</v>
      </c>
      <c r="BL2075" t="s">
        <v>66</v>
      </c>
      <c r="BM2075" t="s">
        <v>159</v>
      </c>
    </row>
    <row r="2076" spans="1:65" x14ac:dyDescent="0.25">
      <c r="A2076">
        <v>2074</v>
      </c>
      <c r="B2076" t="s">
        <v>1985</v>
      </c>
      <c r="C2076" t="s">
        <v>1986</v>
      </c>
      <c r="D2076" s="1">
        <v>46231</v>
      </c>
      <c r="E2076" t="s">
        <v>1987</v>
      </c>
      <c r="F2076" t="s">
        <v>1988</v>
      </c>
      <c r="G2076" t="s">
        <v>295</v>
      </c>
      <c r="H2076" t="s">
        <v>296</v>
      </c>
      <c r="I2076" t="s">
        <v>71</v>
      </c>
      <c r="J2076" t="s">
        <v>72</v>
      </c>
      <c r="K2076" t="s">
        <v>73</v>
      </c>
      <c r="L2076" t="s">
        <v>74</v>
      </c>
      <c r="M2076" t="s">
        <v>1111</v>
      </c>
      <c r="N2076" t="s">
        <v>696</v>
      </c>
      <c r="O2076" t="s">
        <v>1112</v>
      </c>
      <c r="P2076" t="s">
        <v>1113</v>
      </c>
      <c r="Q2076" t="s">
        <v>1989</v>
      </c>
      <c r="R2076" s="1">
        <v>46232</v>
      </c>
      <c r="S2076" t="s">
        <v>1115</v>
      </c>
      <c r="T2076" t="s">
        <v>1116</v>
      </c>
      <c r="U2076" t="s">
        <v>1117</v>
      </c>
      <c r="V2076" t="s">
        <v>66</v>
      </c>
      <c r="W2076" t="s">
        <v>66</v>
      </c>
      <c r="X2076">
        <v>14659416</v>
      </c>
      <c r="Y2076">
        <v>1612535.76</v>
      </c>
      <c r="Z2076">
        <v>1337436</v>
      </c>
      <c r="AA2076">
        <v>147117.96</v>
      </c>
      <c r="AB2076">
        <v>16271951.76</v>
      </c>
      <c r="AC2076">
        <v>6</v>
      </c>
      <c r="AD2076" t="s">
        <v>134</v>
      </c>
      <c r="AE2076">
        <v>36</v>
      </c>
      <c r="AF2076" t="s">
        <v>138</v>
      </c>
      <c r="AG2076">
        <f>IFERROR(VLOOKUP(AF2076,[1]STOK!J:O,6,0),"")</f>
        <v>6</v>
      </c>
      <c r="AH2076" s="2">
        <f t="shared" si="64"/>
        <v>6</v>
      </c>
      <c r="AI2076" t="s">
        <v>138</v>
      </c>
      <c r="AJ2076" t="s">
        <v>139</v>
      </c>
      <c r="AK2076" t="s">
        <v>140</v>
      </c>
      <c r="AL2076" t="s">
        <v>86</v>
      </c>
      <c r="AM2076">
        <v>255078</v>
      </c>
      <c r="AN2076">
        <f t="shared" si="65"/>
        <v>247425.66</v>
      </c>
      <c r="AO2076" t="s">
        <v>66</v>
      </c>
      <c r="AP2076">
        <v>3</v>
      </c>
      <c r="AQ2076" t="s">
        <v>66</v>
      </c>
      <c r="AR2076">
        <v>0</v>
      </c>
      <c r="AS2076" t="s">
        <v>66</v>
      </c>
      <c r="AT2076">
        <v>0</v>
      </c>
      <c r="AU2076" t="s">
        <v>66</v>
      </c>
      <c r="AV2076">
        <v>0</v>
      </c>
      <c r="AW2076" t="s">
        <v>66</v>
      </c>
      <c r="AX2076">
        <v>0</v>
      </c>
      <c r="AY2076" t="s">
        <v>66</v>
      </c>
      <c r="AZ2076">
        <v>0</v>
      </c>
      <c r="BA2076" t="s">
        <v>66</v>
      </c>
      <c r="BB2076">
        <v>0</v>
      </c>
      <c r="BC2076">
        <v>0</v>
      </c>
      <c r="BD2076">
        <v>1484553.96</v>
      </c>
      <c r="BE2076">
        <v>34652.559999999998</v>
      </c>
      <c r="BF2076">
        <v>0</v>
      </c>
      <c r="BG2076" t="s">
        <v>87</v>
      </c>
      <c r="BH2076" t="s">
        <v>66</v>
      </c>
      <c r="BI2076">
        <v>0</v>
      </c>
      <c r="BJ2076" t="s">
        <v>66</v>
      </c>
      <c r="BK2076" t="s">
        <v>88</v>
      </c>
      <c r="BL2076" t="s">
        <v>66</v>
      </c>
      <c r="BM2076" t="s">
        <v>159</v>
      </c>
    </row>
    <row r="2077" spans="1:65" x14ac:dyDescent="0.25">
      <c r="A2077">
        <v>2075</v>
      </c>
      <c r="B2077" t="s">
        <v>1985</v>
      </c>
      <c r="C2077" t="s">
        <v>1986</v>
      </c>
      <c r="D2077" s="1">
        <v>46231</v>
      </c>
      <c r="E2077" t="s">
        <v>1987</v>
      </c>
      <c r="F2077" t="s">
        <v>1988</v>
      </c>
      <c r="G2077" t="s">
        <v>295</v>
      </c>
      <c r="H2077" t="s">
        <v>296</v>
      </c>
      <c r="I2077" t="s">
        <v>71</v>
      </c>
      <c r="J2077" t="s">
        <v>72</v>
      </c>
      <c r="K2077" t="s">
        <v>73</v>
      </c>
      <c r="L2077" t="s">
        <v>74</v>
      </c>
      <c r="M2077" t="s">
        <v>1111</v>
      </c>
      <c r="N2077" t="s">
        <v>696</v>
      </c>
      <c r="O2077" t="s">
        <v>1112</v>
      </c>
      <c r="P2077" t="s">
        <v>1113</v>
      </c>
      <c r="Q2077" t="s">
        <v>1989</v>
      </c>
      <c r="R2077" s="1">
        <v>46232</v>
      </c>
      <c r="S2077" t="s">
        <v>1115</v>
      </c>
      <c r="T2077" t="s">
        <v>1116</v>
      </c>
      <c r="U2077" t="s">
        <v>1117</v>
      </c>
      <c r="V2077" t="s">
        <v>66</v>
      </c>
      <c r="W2077" t="s">
        <v>66</v>
      </c>
      <c r="X2077">
        <v>14659416</v>
      </c>
      <c r="Y2077">
        <v>1612535.76</v>
      </c>
      <c r="Z2077">
        <v>2619000</v>
      </c>
      <c r="AA2077">
        <v>288090</v>
      </c>
      <c r="AB2077">
        <v>16271951.76</v>
      </c>
      <c r="AC2077">
        <v>10</v>
      </c>
      <c r="AD2077" t="s">
        <v>134</v>
      </c>
      <c r="AE2077">
        <v>40</v>
      </c>
      <c r="AF2077" t="s">
        <v>312</v>
      </c>
      <c r="AG2077">
        <f>IFERROR(VLOOKUP(AF2077,[1]STOK!J:O,6,0),"")</f>
        <v>4</v>
      </c>
      <c r="AH2077" s="2">
        <f t="shared" si="64"/>
        <v>10</v>
      </c>
      <c r="AI2077" t="s">
        <v>312</v>
      </c>
      <c r="AJ2077" t="s">
        <v>313</v>
      </c>
      <c r="AK2077" t="s">
        <v>314</v>
      </c>
      <c r="AL2077" t="s">
        <v>86</v>
      </c>
      <c r="AM2077">
        <v>299700</v>
      </c>
      <c r="AN2077">
        <f t="shared" si="65"/>
        <v>290709</v>
      </c>
      <c r="AO2077" t="s">
        <v>66</v>
      </c>
      <c r="AP2077">
        <v>3</v>
      </c>
      <c r="AQ2077" t="s">
        <v>66</v>
      </c>
      <c r="AR2077">
        <v>0</v>
      </c>
      <c r="AS2077" t="s">
        <v>66</v>
      </c>
      <c r="AT2077">
        <v>0</v>
      </c>
      <c r="AU2077" t="s">
        <v>66</v>
      </c>
      <c r="AV2077">
        <v>0</v>
      </c>
      <c r="AW2077" t="s">
        <v>66</v>
      </c>
      <c r="AX2077">
        <v>0</v>
      </c>
      <c r="AY2077" t="s">
        <v>66</v>
      </c>
      <c r="AZ2077">
        <v>0</v>
      </c>
      <c r="BA2077" t="s">
        <v>66</v>
      </c>
      <c r="BB2077">
        <v>0</v>
      </c>
      <c r="BC2077">
        <v>0</v>
      </c>
      <c r="BD2077">
        <v>2907090</v>
      </c>
      <c r="BE2077">
        <v>60344.4</v>
      </c>
      <c r="BF2077">
        <v>0</v>
      </c>
      <c r="BG2077" t="s">
        <v>87</v>
      </c>
      <c r="BH2077" t="s">
        <v>66</v>
      </c>
      <c r="BI2077">
        <v>0</v>
      </c>
      <c r="BJ2077" t="s">
        <v>66</v>
      </c>
      <c r="BK2077" t="s">
        <v>88</v>
      </c>
      <c r="BL2077" t="s">
        <v>66</v>
      </c>
      <c r="BM2077" t="s">
        <v>159</v>
      </c>
    </row>
    <row r="2078" spans="1:65" x14ac:dyDescent="0.25">
      <c r="A2078">
        <v>2076</v>
      </c>
      <c r="B2078" t="s">
        <v>1990</v>
      </c>
      <c r="C2078" t="s">
        <v>1991</v>
      </c>
      <c r="D2078" s="1">
        <v>46231</v>
      </c>
      <c r="E2078" t="s">
        <v>1992</v>
      </c>
      <c r="F2078" t="s">
        <v>68</v>
      </c>
      <c r="G2078" t="s">
        <v>69</v>
      </c>
      <c r="H2078" t="s">
        <v>70</v>
      </c>
      <c r="I2078" t="s">
        <v>71</v>
      </c>
      <c r="J2078" t="s">
        <v>72</v>
      </c>
      <c r="K2078" t="s">
        <v>73</v>
      </c>
      <c r="L2078" t="s">
        <v>74</v>
      </c>
      <c r="M2078" t="s">
        <v>571</v>
      </c>
      <c r="N2078" t="s">
        <v>76</v>
      </c>
      <c r="O2078" t="s">
        <v>572</v>
      </c>
      <c r="P2078" t="s">
        <v>573</v>
      </c>
      <c r="Q2078" t="s">
        <v>66</v>
      </c>
      <c r="R2078" s="1">
        <v>46231</v>
      </c>
      <c r="S2078" t="s">
        <v>575</v>
      </c>
      <c r="T2078" t="s">
        <v>576</v>
      </c>
      <c r="U2078" t="s">
        <v>577</v>
      </c>
      <c r="V2078" t="s">
        <v>66</v>
      </c>
      <c r="W2078" t="s">
        <v>66</v>
      </c>
      <c r="X2078">
        <v>7021248</v>
      </c>
      <c r="Y2078">
        <v>772337.28</v>
      </c>
      <c r="Z2078">
        <v>214176</v>
      </c>
      <c r="AA2078">
        <v>23559.360000000001</v>
      </c>
      <c r="AB2078">
        <v>7793585.2800000003</v>
      </c>
      <c r="AC2078">
        <v>12</v>
      </c>
      <c r="AD2078" t="s">
        <v>82</v>
      </c>
      <c r="AE2078">
        <v>12</v>
      </c>
      <c r="AF2078" t="s">
        <v>116</v>
      </c>
      <c r="AG2078">
        <f>IFERROR(VLOOKUP(AF2078,[1]STOK!J:O,6,0),"")</f>
        <v>12</v>
      </c>
      <c r="AH2078" s="2">
        <f t="shared" si="64"/>
        <v>1</v>
      </c>
      <c r="AI2078" t="s">
        <v>116</v>
      </c>
      <c r="AJ2078" t="s">
        <v>117</v>
      </c>
      <c r="AK2078" t="s">
        <v>118</v>
      </c>
      <c r="AL2078" t="s">
        <v>86</v>
      </c>
      <c r="AM2078">
        <v>20424</v>
      </c>
      <c r="AN2078">
        <f t="shared" si="65"/>
        <v>19811.28</v>
      </c>
      <c r="AO2078" t="s">
        <v>66</v>
      </c>
      <c r="AP2078">
        <v>3</v>
      </c>
      <c r="AQ2078" t="s">
        <v>66</v>
      </c>
      <c r="AR2078">
        <v>0</v>
      </c>
      <c r="AS2078" t="s">
        <v>66</v>
      </c>
      <c r="AT2078">
        <v>0</v>
      </c>
      <c r="AU2078" t="s">
        <v>66</v>
      </c>
      <c r="AV2078">
        <v>0</v>
      </c>
      <c r="AW2078" t="s">
        <v>66</v>
      </c>
      <c r="AX2078">
        <v>0</v>
      </c>
      <c r="AY2078" t="s">
        <v>66</v>
      </c>
      <c r="AZ2078">
        <v>0</v>
      </c>
      <c r="BA2078" t="s">
        <v>66</v>
      </c>
      <c r="BB2078">
        <v>0</v>
      </c>
      <c r="BC2078">
        <v>0</v>
      </c>
      <c r="BD2078">
        <v>237735.36</v>
      </c>
      <c r="BE2078">
        <v>16618.900000000001</v>
      </c>
      <c r="BF2078">
        <v>0</v>
      </c>
      <c r="BG2078" t="s">
        <v>87</v>
      </c>
      <c r="BH2078" t="s">
        <v>66</v>
      </c>
      <c r="BI2078">
        <v>0</v>
      </c>
      <c r="BJ2078" t="s">
        <v>66</v>
      </c>
      <c r="BK2078" t="s">
        <v>88</v>
      </c>
      <c r="BL2078" t="s">
        <v>66</v>
      </c>
      <c r="BM2078" t="s">
        <v>159</v>
      </c>
    </row>
    <row r="2079" spans="1:65" x14ac:dyDescent="0.25">
      <c r="A2079">
        <v>2077</v>
      </c>
      <c r="B2079" t="s">
        <v>1990</v>
      </c>
      <c r="C2079" t="s">
        <v>1991</v>
      </c>
      <c r="D2079" s="1">
        <v>46231</v>
      </c>
      <c r="E2079" t="s">
        <v>1992</v>
      </c>
      <c r="F2079" t="s">
        <v>68</v>
      </c>
      <c r="G2079" t="s">
        <v>69</v>
      </c>
      <c r="H2079" t="s">
        <v>70</v>
      </c>
      <c r="I2079" t="s">
        <v>71</v>
      </c>
      <c r="J2079" t="s">
        <v>72</v>
      </c>
      <c r="K2079" t="s">
        <v>73</v>
      </c>
      <c r="L2079" t="s">
        <v>74</v>
      </c>
      <c r="M2079" t="s">
        <v>571</v>
      </c>
      <c r="N2079" t="s">
        <v>76</v>
      </c>
      <c r="O2079" t="s">
        <v>572</v>
      </c>
      <c r="P2079" t="s">
        <v>573</v>
      </c>
      <c r="Q2079" t="s">
        <v>66</v>
      </c>
      <c r="R2079" s="1">
        <v>46231</v>
      </c>
      <c r="S2079" t="s">
        <v>575</v>
      </c>
      <c r="T2079" t="s">
        <v>576</v>
      </c>
      <c r="U2079" t="s">
        <v>577</v>
      </c>
      <c r="V2079" t="s">
        <v>66</v>
      </c>
      <c r="W2079" t="s">
        <v>66</v>
      </c>
      <c r="X2079">
        <v>7021248</v>
      </c>
      <c r="Y2079">
        <v>772337.28</v>
      </c>
      <c r="Z2079">
        <v>195552</v>
      </c>
      <c r="AA2079">
        <v>21510.720000000001</v>
      </c>
      <c r="AB2079">
        <v>7793585.2800000003</v>
      </c>
      <c r="AC2079">
        <v>1</v>
      </c>
      <c r="AD2079" t="s">
        <v>134</v>
      </c>
      <c r="AE2079">
        <v>4</v>
      </c>
      <c r="AF2079" t="s">
        <v>881</v>
      </c>
      <c r="AG2079">
        <f>IFERROR(VLOOKUP(AF2079,[1]STOK!J:O,6,0),"")</f>
        <v>4</v>
      </c>
      <c r="AH2079" s="2">
        <f t="shared" si="64"/>
        <v>1</v>
      </c>
      <c r="AI2079" t="s">
        <v>881</v>
      </c>
      <c r="AJ2079" t="s">
        <v>882</v>
      </c>
      <c r="AK2079" t="s">
        <v>883</v>
      </c>
      <c r="AL2079" t="s">
        <v>86</v>
      </c>
      <c r="AM2079">
        <v>223776</v>
      </c>
      <c r="AN2079">
        <f t="shared" si="65"/>
        <v>217062.72</v>
      </c>
      <c r="AO2079" t="s">
        <v>66</v>
      </c>
      <c r="AP2079">
        <v>3</v>
      </c>
      <c r="AQ2079" t="s">
        <v>66</v>
      </c>
      <c r="AR2079">
        <v>0</v>
      </c>
      <c r="AS2079" t="s">
        <v>66</v>
      </c>
      <c r="AT2079">
        <v>0</v>
      </c>
      <c r="AU2079" t="s">
        <v>66</v>
      </c>
      <c r="AV2079">
        <v>0</v>
      </c>
      <c r="AW2079" t="s">
        <v>66</v>
      </c>
      <c r="AX2079">
        <v>0</v>
      </c>
      <c r="AY2079" t="s">
        <v>66</v>
      </c>
      <c r="AZ2079">
        <v>0</v>
      </c>
      <c r="BA2079" t="s">
        <v>66</v>
      </c>
      <c r="BB2079">
        <v>0</v>
      </c>
      <c r="BC2079">
        <v>0</v>
      </c>
      <c r="BD2079">
        <v>217062.72</v>
      </c>
      <c r="BE2079">
        <v>45059.96</v>
      </c>
      <c r="BF2079">
        <v>0</v>
      </c>
      <c r="BG2079" t="s">
        <v>87</v>
      </c>
      <c r="BH2079" t="s">
        <v>66</v>
      </c>
      <c r="BI2079">
        <v>0</v>
      </c>
      <c r="BJ2079" t="s">
        <v>66</v>
      </c>
      <c r="BK2079" t="s">
        <v>88</v>
      </c>
      <c r="BL2079" t="s">
        <v>66</v>
      </c>
      <c r="BM2079" t="s">
        <v>159</v>
      </c>
    </row>
    <row r="2080" spans="1:65" x14ac:dyDescent="0.25">
      <c r="A2080">
        <v>2078</v>
      </c>
      <c r="B2080" t="s">
        <v>1990</v>
      </c>
      <c r="C2080" t="s">
        <v>1991</v>
      </c>
      <c r="D2080" s="1">
        <v>46231</v>
      </c>
      <c r="E2080" t="s">
        <v>1992</v>
      </c>
      <c r="F2080" t="s">
        <v>68</v>
      </c>
      <c r="G2080" t="s">
        <v>69</v>
      </c>
      <c r="H2080" t="s">
        <v>70</v>
      </c>
      <c r="I2080" t="s">
        <v>71</v>
      </c>
      <c r="J2080" t="s">
        <v>72</v>
      </c>
      <c r="K2080" t="s">
        <v>73</v>
      </c>
      <c r="L2080" t="s">
        <v>74</v>
      </c>
      <c r="M2080" t="s">
        <v>571</v>
      </c>
      <c r="N2080" t="s">
        <v>76</v>
      </c>
      <c r="O2080" t="s">
        <v>572</v>
      </c>
      <c r="P2080" t="s">
        <v>573</v>
      </c>
      <c r="Q2080" t="s">
        <v>66</v>
      </c>
      <c r="R2080" s="1">
        <v>46231</v>
      </c>
      <c r="S2080" t="s">
        <v>575</v>
      </c>
      <c r="T2080" t="s">
        <v>576</v>
      </c>
      <c r="U2080" t="s">
        <v>577</v>
      </c>
      <c r="V2080" t="s">
        <v>66</v>
      </c>
      <c r="W2080" t="s">
        <v>66</v>
      </c>
      <c r="X2080">
        <v>7021248</v>
      </c>
      <c r="Y2080">
        <v>772337.28</v>
      </c>
      <c r="Z2080">
        <v>805488</v>
      </c>
      <c r="AA2080">
        <v>88603.68</v>
      </c>
      <c r="AB2080">
        <v>7793585.2800000003</v>
      </c>
      <c r="AC2080">
        <v>4</v>
      </c>
      <c r="AD2080" t="s">
        <v>134</v>
      </c>
      <c r="AE2080">
        <v>48</v>
      </c>
      <c r="AF2080" t="s">
        <v>359</v>
      </c>
      <c r="AG2080">
        <f>IFERROR(VLOOKUP(AF2080,[1]STOK!J:O,6,0),"")</f>
        <v>12</v>
      </c>
      <c r="AH2080" s="2">
        <f t="shared" si="64"/>
        <v>4</v>
      </c>
      <c r="AI2080" t="s">
        <v>359</v>
      </c>
      <c r="AJ2080" t="s">
        <v>360</v>
      </c>
      <c r="AK2080" t="s">
        <v>361</v>
      </c>
      <c r="AL2080" t="s">
        <v>86</v>
      </c>
      <c r="AM2080">
        <v>230436</v>
      </c>
      <c r="AN2080">
        <f t="shared" si="65"/>
        <v>223522.92</v>
      </c>
      <c r="AO2080" t="s">
        <v>66</v>
      </c>
      <c r="AP2080">
        <v>3</v>
      </c>
      <c r="AQ2080" t="s">
        <v>66</v>
      </c>
      <c r="AR2080">
        <v>0</v>
      </c>
      <c r="AS2080" t="s">
        <v>66</v>
      </c>
      <c r="AT2080">
        <v>0</v>
      </c>
      <c r="AU2080" t="s">
        <v>66</v>
      </c>
      <c r="AV2080">
        <v>0</v>
      </c>
      <c r="AW2080" t="s">
        <v>66</v>
      </c>
      <c r="AX2080">
        <v>0</v>
      </c>
      <c r="AY2080" t="s">
        <v>66</v>
      </c>
      <c r="AZ2080">
        <v>0</v>
      </c>
      <c r="BA2080" t="s">
        <v>66</v>
      </c>
      <c r="BB2080">
        <v>0</v>
      </c>
      <c r="BC2080">
        <v>0</v>
      </c>
      <c r="BD2080">
        <v>894091.68</v>
      </c>
      <c r="BE2080">
        <v>15617.48</v>
      </c>
      <c r="BF2080">
        <v>0</v>
      </c>
      <c r="BG2080" t="s">
        <v>87</v>
      </c>
      <c r="BH2080" t="s">
        <v>66</v>
      </c>
      <c r="BI2080">
        <v>0</v>
      </c>
      <c r="BJ2080" t="s">
        <v>66</v>
      </c>
      <c r="BK2080" t="s">
        <v>88</v>
      </c>
      <c r="BL2080" t="s">
        <v>66</v>
      </c>
      <c r="BM2080" t="s">
        <v>159</v>
      </c>
    </row>
    <row r="2081" spans="1:65" x14ac:dyDescent="0.25">
      <c r="A2081">
        <v>2079</v>
      </c>
      <c r="B2081" t="s">
        <v>1990</v>
      </c>
      <c r="C2081" t="s">
        <v>1991</v>
      </c>
      <c r="D2081" s="1">
        <v>46231</v>
      </c>
      <c r="E2081" t="s">
        <v>1992</v>
      </c>
      <c r="F2081" t="s">
        <v>68</v>
      </c>
      <c r="G2081" t="s">
        <v>69</v>
      </c>
      <c r="H2081" t="s">
        <v>70</v>
      </c>
      <c r="I2081" t="s">
        <v>71</v>
      </c>
      <c r="J2081" t="s">
        <v>72</v>
      </c>
      <c r="K2081" t="s">
        <v>73</v>
      </c>
      <c r="L2081" t="s">
        <v>74</v>
      </c>
      <c r="M2081" t="s">
        <v>571</v>
      </c>
      <c r="N2081" t="s">
        <v>76</v>
      </c>
      <c r="O2081" t="s">
        <v>572</v>
      </c>
      <c r="P2081" t="s">
        <v>573</v>
      </c>
      <c r="Q2081" t="s">
        <v>66</v>
      </c>
      <c r="R2081" s="1">
        <v>46231</v>
      </c>
      <c r="S2081" t="s">
        <v>575</v>
      </c>
      <c r="T2081" t="s">
        <v>576</v>
      </c>
      <c r="U2081" t="s">
        <v>577</v>
      </c>
      <c r="V2081" t="s">
        <v>66</v>
      </c>
      <c r="W2081" t="s">
        <v>66</v>
      </c>
      <c r="X2081">
        <v>7021248</v>
      </c>
      <c r="Y2081">
        <v>772337.28</v>
      </c>
      <c r="Z2081">
        <v>2211600</v>
      </c>
      <c r="AA2081">
        <v>243276</v>
      </c>
      <c r="AB2081">
        <v>7793585.2800000003</v>
      </c>
      <c r="AC2081">
        <v>10</v>
      </c>
      <c r="AD2081" t="s">
        <v>134</v>
      </c>
      <c r="AE2081">
        <v>120</v>
      </c>
      <c r="AF2081" t="s">
        <v>290</v>
      </c>
      <c r="AG2081">
        <f>IFERROR(VLOOKUP(AF2081,[1]STOK!J:O,6,0),"")</f>
        <v>12</v>
      </c>
      <c r="AH2081" s="2">
        <f t="shared" si="64"/>
        <v>10</v>
      </c>
      <c r="AI2081" t="s">
        <v>290</v>
      </c>
      <c r="AJ2081" t="s">
        <v>291</v>
      </c>
      <c r="AK2081" t="s">
        <v>292</v>
      </c>
      <c r="AL2081" t="s">
        <v>86</v>
      </c>
      <c r="AM2081">
        <v>266400</v>
      </c>
      <c r="AN2081">
        <f t="shared" si="65"/>
        <v>245487.6</v>
      </c>
      <c r="AO2081" t="s">
        <v>66</v>
      </c>
      <c r="AP2081">
        <v>3</v>
      </c>
      <c r="AQ2081" t="s">
        <v>66</v>
      </c>
      <c r="AR2081">
        <v>0</v>
      </c>
      <c r="AS2081" t="s">
        <v>66</v>
      </c>
      <c r="AT2081">
        <v>0</v>
      </c>
      <c r="AU2081" t="s">
        <v>66</v>
      </c>
      <c r="AV2081">
        <v>5</v>
      </c>
      <c r="AW2081" t="s">
        <v>66</v>
      </c>
      <c r="AX2081">
        <v>0</v>
      </c>
      <c r="AY2081" t="s">
        <v>66</v>
      </c>
      <c r="AZ2081">
        <v>0</v>
      </c>
      <c r="BA2081" t="s">
        <v>66</v>
      </c>
      <c r="BB2081">
        <v>0</v>
      </c>
      <c r="BC2081">
        <v>0</v>
      </c>
      <c r="BD2081">
        <v>2454876</v>
      </c>
      <c r="BE2081">
        <v>18113.71</v>
      </c>
      <c r="BF2081">
        <v>0</v>
      </c>
      <c r="BG2081" t="s">
        <v>87</v>
      </c>
      <c r="BH2081" t="s">
        <v>66</v>
      </c>
      <c r="BI2081">
        <v>0</v>
      </c>
      <c r="BJ2081" t="s">
        <v>66</v>
      </c>
      <c r="BK2081" t="s">
        <v>88</v>
      </c>
      <c r="BL2081" t="s">
        <v>66</v>
      </c>
      <c r="BM2081" t="s">
        <v>159</v>
      </c>
    </row>
    <row r="2082" spans="1:65" x14ac:dyDescent="0.25">
      <c r="A2082">
        <v>2080</v>
      </c>
      <c r="B2082" t="s">
        <v>1990</v>
      </c>
      <c r="C2082" t="s">
        <v>1991</v>
      </c>
      <c r="D2082" s="1">
        <v>46231</v>
      </c>
      <c r="E2082" t="s">
        <v>1992</v>
      </c>
      <c r="F2082" t="s">
        <v>68</v>
      </c>
      <c r="G2082" t="s">
        <v>69</v>
      </c>
      <c r="H2082" t="s">
        <v>70</v>
      </c>
      <c r="I2082" t="s">
        <v>71</v>
      </c>
      <c r="J2082" t="s">
        <v>72</v>
      </c>
      <c r="K2082" t="s">
        <v>73</v>
      </c>
      <c r="L2082" t="s">
        <v>74</v>
      </c>
      <c r="M2082" t="s">
        <v>571</v>
      </c>
      <c r="N2082" t="s">
        <v>76</v>
      </c>
      <c r="O2082" t="s">
        <v>572</v>
      </c>
      <c r="P2082" t="s">
        <v>573</v>
      </c>
      <c r="Q2082" t="s">
        <v>66</v>
      </c>
      <c r="R2082" s="1">
        <v>46231</v>
      </c>
      <c r="S2082" t="s">
        <v>575</v>
      </c>
      <c r="T2082" t="s">
        <v>576</v>
      </c>
      <c r="U2082" t="s">
        <v>577</v>
      </c>
      <c r="V2082" t="s">
        <v>66</v>
      </c>
      <c r="W2082" t="s">
        <v>66</v>
      </c>
      <c r="X2082">
        <v>7021248</v>
      </c>
      <c r="Y2082">
        <v>772337.28</v>
      </c>
      <c r="Z2082">
        <v>2211600</v>
      </c>
      <c r="AA2082">
        <v>243276</v>
      </c>
      <c r="AB2082">
        <v>7793585.2800000003</v>
      </c>
      <c r="AC2082">
        <v>10</v>
      </c>
      <c r="AD2082" t="s">
        <v>134</v>
      </c>
      <c r="AE2082">
        <v>120</v>
      </c>
      <c r="AF2082" t="s">
        <v>102</v>
      </c>
      <c r="AG2082">
        <f>IFERROR(VLOOKUP(AF2082,[1]STOK!J:O,6,0),"")</f>
        <v>12</v>
      </c>
      <c r="AH2082" s="2">
        <f t="shared" si="64"/>
        <v>10</v>
      </c>
      <c r="AI2082" t="s">
        <v>102</v>
      </c>
      <c r="AJ2082" t="s">
        <v>103</v>
      </c>
      <c r="AK2082" t="s">
        <v>104</v>
      </c>
      <c r="AL2082" t="s">
        <v>86</v>
      </c>
      <c r="AM2082">
        <v>266400</v>
      </c>
      <c r="AN2082">
        <f t="shared" si="65"/>
        <v>245487.6</v>
      </c>
      <c r="AO2082" t="s">
        <v>66</v>
      </c>
      <c r="AP2082">
        <v>3</v>
      </c>
      <c r="AQ2082" t="s">
        <v>66</v>
      </c>
      <c r="AR2082">
        <v>0</v>
      </c>
      <c r="AS2082" t="s">
        <v>66</v>
      </c>
      <c r="AT2082">
        <v>0</v>
      </c>
      <c r="AU2082" t="s">
        <v>66</v>
      </c>
      <c r="AV2082">
        <v>5</v>
      </c>
      <c r="AW2082" t="s">
        <v>66</v>
      </c>
      <c r="AX2082">
        <v>0</v>
      </c>
      <c r="AY2082" t="s">
        <v>66</v>
      </c>
      <c r="AZ2082">
        <v>0</v>
      </c>
      <c r="BA2082" t="s">
        <v>66</v>
      </c>
      <c r="BB2082">
        <v>0</v>
      </c>
      <c r="BC2082">
        <v>0</v>
      </c>
      <c r="BD2082">
        <v>2454876</v>
      </c>
      <c r="BE2082">
        <v>18005.03</v>
      </c>
      <c r="BF2082">
        <v>0</v>
      </c>
      <c r="BG2082" t="s">
        <v>87</v>
      </c>
      <c r="BH2082" t="s">
        <v>66</v>
      </c>
      <c r="BI2082">
        <v>0</v>
      </c>
      <c r="BJ2082" t="s">
        <v>66</v>
      </c>
      <c r="BK2082" t="s">
        <v>88</v>
      </c>
      <c r="BL2082" t="s">
        <v>66</v>
      </c>
      <c r="BM2082" t="s">
        <v>159</v>
      </c>
    </row>
    <row r="2083" spans="1:65" x14ac:dyDescent="0.25">
      <c r="A2083">
        <v>2081</v>
      </c>
      <c r="B2083" t="s">
        <v>1990</v>
      </c>
      <c r="C2083" t="s">
        <v>1991</v>
      </c>
      <c r="D2083" s="1">
        <v>46231</v>
      </c>
      <c r="E2083" t="s">
        <v>1992</v>
      </c>
      <c r="F2083" t="s">
        <v>68</v>
      </c>
      <c r="G2083" t="s">
        <v>69</v>
      </c>
      <c r="H2083" t="s">
        <v>70</v>
      </c>
      <c r="I2083" t="s">
        <v>71</v>
      </c>
      <c r="J2083" t="s">
        <v>72</v>
      </c>
      <c r="K2083" t="s">
        <v>73</v>
      </c>
      <c r="L2083" t="s">
        <v>74</v>
      </c>
      <c r="M2083" t="s">
        <v>571</v>
      </c>
      <c r="N2083" t="s">
        <v>76</v>
      </c>
      <c r="O2083" t="s">
        <v>572</v>
      </c>
      <c r="P2083" t="s">
        <v>573</v>
      </c>
      <c r="Q2083" t="s">
        <v>66</v>
      </c>
      <c r="R2083" s="1">
        <v>46231</v>
      </c>
      <c r="S2083" t="s">
        <v>575</v>
      </c>
      <c r="T2083" t="s">
        <v>576</v>
      </c>
      <c r="U2083" t="s">
        <v>577</v>
      </c>
      <c r="V2083" t="s">
        <v>66</v>
      </c>
      <c r="W2083" t="s">
        <v>66</v>
      </c>
      <c r="X2083">
        <v>7021248</v>
      </c>
      <c r="Y2083">
        <v>772337.28</v>
      </c>
      <c r="Z2083">
        <v>1047600</v>
      </c>
      <c r="AA2083">
        <v>115236</v>
      </c>
      <c r="AB2083">
        <v>7793585.2800000003</v>
      </c>
      <c r="AC2083">
        <v>4</v>
      </c>
      <c r="AD2083" t="s">
        <v>134</v>
      </c>
      <c r="AE2083">
        <v>16</v>
      </c>
      <c r="AF2083" t="s">
        <v>312</v>
      </c>
      <c r="AG2083">
        <f>IFERROR(VLOOKUP(AF2083,[1]STOK!J:O,6,0),"")</f>
        <v>4</v>
      </c>
      <c r="AH2083" s="2">
        <f t="shared" si="64"/>
        <v>4</v>
      </c>
      <c r="AI2083" t="s">
        <v>312</v>
      </c>
      <c r="AJ2083" t="s">
        <v>313</v>
      </c>
      <c r="AK2083" t="s">
        <v>314</v>
      </c>
      <c r="AL2083" t="s">
        <v>86</v>
      </c>
      <c r="AM2083">
        <v>299700</v>
      </c>
      <c r="AN2083">
        <f t="shared" si="65"/>
        <v>290709</v>
      </c>
      <c r="AO2083" t="s">
        <v>66</v>
      </c>
      <c r="AP2083">
        <v>3</v>
      </c>
      <c r="AQ2083" t="s">
        <v>66</v>
      </c>
      <c r="AR2083">
        <v>0</v>
      </c>
      <c r="AS2083" t="s">
        <v>66</v>
      </c>
      <c r="AT2083">
        <v>0</v>
      </c>
      <c r="AU2083" t="s">
        <v>66</v>
      </c>
      <c r="AV2083">
        <v>0</v>
      </c>
      <c r="AW2083" t="s">
        <v>66</v>
      </c>
      <c r="AX2083">
        <v>0</v>
      </c>
      <c r="AY2083" t="s">
        <v>66</v>
      </c>
      <c r="AZ2083">
        <v>0</v>
      </c>
      <c r="BA2083" t="s">
        <v>66</v>
      </c>
      <c r="BB2083">
        <v>0</v>
      </c>
      <c r="BC2083">
        <v>0</v>
      </c>
      <c r="BD2083">
        <v>1162836</v>
      </c>
      <c r="BE2083">
        <v>60344.4</v>
      </c>
      <c r="BF2083">
        <v>0</v>
      </c>
      <c r="BG2083" t="s">
        <v>87</v>
      </c>
      <c r="BH2083" t="s">
        <v>66</v>
      </c>
      <c r="BI2083">
        <v>0</v>
      </c>
      <c r="BJ2083" t="s">
        <v>66</v>
      </c>
      <c r="BK2083" t="s">
        <v>88</v>
      </c>
      <c r="BL2083" t="s">
        <v>66</v>
      </c>
      <c r="BM2083" t="s">
        <v>159</v>
      </c>
    </row>
    <row r="2084" spans="1:65" x14ac:dyDescent="0.25">
      <c r="A2084">
        <v>2082</v>
      </c>
      <c r="B2084" t="s">
        <v>1990</v>
      </c>
      <c r="C2084" t="s">
        <v>1991</v>
      </c>
      <c r="D2084" s="1">
        <v>46231</v>
      </c>
      <c r="E2084" t="s">
        <v>1992</v>
      </c>
      <c r="F2084" t="s">
        <v>68</v>
      </c>
      <c r="G2084" t="s">
        <v>69</v>
      </c>
      <c r="H2084" t="s">
        <v>70</v>
      </c>
      <c r="I2084" t="s">
        <v>71</v>
      </c>
      <c r="J2084" t="s">
        <v>72</v>
      </c>
      <c r="K2084" t="s">
        <v>73</v>
      </c>
      <c r="L2084" t="s">
        <v>74</v>
      </c>
      <c r="M2084" t="s">
        <v>571</v>
      </c>
      <c r="N2084" t="s">
        <v>76</v>
      </c>
      <c r="O2084" t="s">
        <v>572</v>
      </c>
      <c r="P2084" t="s">
        <v>573</v>
      </c>
      <c r="Q2084" t="s">
        <v>66</v>
      </c>
      <c r="R2084" s="1">
        <v>46231</v>
      </c>
      <c r="S2084" t="s">
        <v>575</v>
      </c>
      <c r="T2084" t="s">
        <v>576</v>
      </c>
      <c r="U2084" t="s">
        <v>577</v>
      </c>
      <c r="V2084" t="s">
        <v>66</v>
      </c>
      <c r="W2084" t="s">
        <v>66</v>
      </c>
      <c r="X2084">
        <v>7021248</v>
      </c>
      <c r="Y2084">
        <v>772337.28</v>
      </c>
      <c r="Z2084">
        <v>335232</v>
      </c>
      <c r="AA2084">
        <v>36875.519999999997</v>
      </c>
      <c r="AB2084">
        <v>7793585.2800000003</v>
      </c>
      <c r="AC2084">
        <v>2</v>
      </c>
      <c r="AD2084" t="s">
        <v>134</v>
      </c>
      <c r="AE2084">
        <v>24</v>
      </c>
      <c r="AF2084" t="s">
        <v>213</v>
      </c>
      <c r="AG2084">
        <f>IFERROR(VLOOKUP(AF2084,[1]STOK!J:O,6,0),"")</f>
        <v>12</v>
      </c>
      <c r="AH2084" s="2">
        <f t="shared" si="64"/>
        <v>2</v>
      </c>
      <c r="AI2084" t="s">
        <v>213</v>
      </c>
      <c r="AJ2084" t="s">
        <v>214</v>
      </c>
      <c r="AK2084" t="s">
        <v>215</v>
      </c>
      <c r="AL2084" t="s">
        <v>86</v>
      </c>
      <c r="AM2084">
        <v>191808</v>
      </c>
      <c r="AN2084">
        <f t="shared" si="65"/>
        <v>186053.76000000001</v>
      </c>
      <c r="AO2084" t="s">
        <v>66</v>
      </c>
      <c r="AP2084">
        <v>3</v>
      </c>
      <c r="AQ2084" t="s">
        <v>66</v>
      </c>
      <c r="AR2084">
        <v>0</v>
      </c>
      <c r="AS2084" t="s">
        <v>66</v>
      </c>
      <c r="AT2084">
        <v>0</v>
      </c>
      <c r="AU2084" t="s">
        <v>66</v>
      </c>
      <c r="AV2084">
        <v>0</v>
      </c>
      <c r="AW2084" t="s">
        <v>66</v>
      </c>
      <c r="AX2084">
        <v>0</v>
      </c>
      <c r="AY2084" t="s">
        <v>66</v>
      </c>
      <c r="AZ2084">
        <v>0</v>
      </c>
      <c r="BA2084" t="s">
        <v>66</v>
      </c>
      <c r="BB2084">
        <v>0</v>
      </c>
      <c r="BC2084">
        <v>0</v>
      </c>
      <c r="BD2084">
        <v>372107.52000000002</v>
      </c>
      <c r="BE2084">
        <v>12925.49</v>
      </c>
      <c r="BF2084">
        <v>0</v>
      </c>
      <c r="BG2084" t="s">
        <v>87</v>
      </c>
      <c r="BH2084" t="s">
        <v>66</v>
      </c>
      <c r="BI2084">
        <v>0</v>
      </c>
      <c r="BJ2084" t="s">
        <v>66</v>
      </c>
      <c r="BK2084" t="s">
        <v>88</v>
      </c>
      <c r="BL2084" t="s">
        <v>66</v>
      </c>
      <c r="BM2084" t="s">
        <v>159</v>
      </c>
    </row>
    <row r="2085" spans="1:65" x14ac:dyDescent="0.25">
      <c r="A2085">
        <v>2083</v>
      </c>
      <c r="B2085" t="s">
        <v>1993</v>
      </c>
      <c r="C2085" t="s">
        <v>68</v>
      </c>
      <c r="D2085" s="1">
        <v>46231</v>
      </c>
      <c r="E2085" t="s">
        <v>1994</v>
      </c>
      <c r="F2085" t="s">
        <v>68</v>
      </c>
      <c r="G2085" t="s">
        <v>69</v>
      </c>
      <c r="H2085" t="s">
        <v>70</v>
      </c>
      <c r="I2085" t="s">
        <v>71</v>
      </c>
      <c r="J2085" t="s">
        <v>72</v>
      </c>
      <c r="K2085" t="s">
        <v>73</v>
      </c>
      <c r="L2085" t="s">
        <v>74</v>
      </c>
      <c r="M2085" t="s">
        <v>968</v>
      </c>
      <c r="N2085" t="s">
        <v>76</v>
      </c>
      <c r="O2085" t="s">
        <v>969</v>
      </c>
      <c r="P2085" t="s">
        <v>970</v>
      </c>
      <c r="Q2085" t="s">
        <v>66</v>
      </c>
      <c r="R2085" s="1">
        <v>46231</v>
      </c>
      <c r="S2085" t="s">
        <v>962</v>
      </c>
      <c r="T2085" t="s">
        <v>963</v>
      </c>
      <c r="U2085" t="s">
        <v>964</v>
      </c>
      <c r="V2085" t="s">
        <v>66</v>
      </c>
      <c r="W2085" t="s">
        <v>66</v>
      </c>
      <c r="X2085">
        <v>1042944</v>
      </c>
      <c r="Y2085">
        <v>114723.84</v>
      </c>
      <c r="Z2085">
        <v>29100</v>
      </c>
      <c r="AA2085">
        <v>3201</v>
      </c>
      <c r="AB2085">
        <v>1157667.8400000001</v>
      </c>
      <c r="AC2085">
        <v>12</v>
      </c>
      <c r="AD2085" t="s">
        <v>82</v>
      </c>
      <c r="AE2085">
        <v>12</v>
      </c>
      <c r="AF2085" t="s">
        <v>185</v>
      </c>
      <c r="AG2085">
        <f>IFERROR(VLOOKUP(AF2085,[1]STOK!J:O,6,0),"")</f>
        <v>72</v>
      </c>
      <c r="AH2085" s="2">
        <f t="shared" si="64"/>
        <v>0.16666666666666666</v>
      </c>
      <c r="AI2085" t="s">
        <v>185</v>
      </c>
      <c r="AJ2085" t="s">
        <v>186</v>
      </c>
      <c r="AK2085" t="s">
        <v>187</v>
      </c>
      <c r="AL2085" t="s">
        <v>86</v>
      </c>
      <c r="AM2085">
        <v>2775</v>
      </c>
      <c r="AN2085">
        <f t="shared" si="65"/>
        <v>2691.75</v>
      </c>
      <c r="AO2085" t="s">
        <v>66</v>
      </c>
      <c r="AP2085">
        <v>3</v>
      </c>
      <c r="AQ2085" t="s">
        <v>66</v>
      </c>
      <c r="AR2085">
        <v>0</v>
      </c>
      <c r="AS2085" t="s">
        <v>66</v>
      </c>
      <c r="AT2085">
        <v>0</v>
      </c>
      <c r="AU2085" t="s">
        <v>66</v>
      </c>
      <c r="AV2085">
        <v>0</v>
      </c>
      <c r="AW2085" t="s">
        <v>66</v>
      </c>
      <c r="AX2085">
        <v>0</v>
      </c>
      <c r="AY2085" t="s">
        <v>66</v>
      </c>
      <c r="AZ2085">
        <v>0</v>
      </c>
      <c r="BA2085" t="s">
        <v>66</v>
      </c>
      <c r="BB2085">
        <v>0</v>
      </c>
      <c r="BC2085">
        <v>0</v>
      </c>
      <c r="BD2085">
        <v>32301</v>
      </c>
      <c r="BE2085">
        <v>2241.11</v>
      </c>
      <c r="BF2085">
        <v>0</v>
      </c>
      <c r="BG2085" t="s">
        <v>87</v>
      </c>
      <c r="BH2085" t="s">
        <v>66</v>
      </c>
      <c r="BI2085">
        <v>0</v>
      </c>
      <c r="BJ2085" t="s">
        <v>66</v>
      </c>
      <c r="BK2085" t="s">
        <v>88</v>
      </c>
      <c r="BL2085" t="s">
        <v>965</v>
      </c>
      <c r="BM2085" t="s">
        <v>159</v>
      </c>
    </row>
    <row r="2086" spans="1:65" x14ac:dyDescent="0.25">
      <c r="A2086">
        <v>2084</v>
      </c>
      <c r="B2086" t="s">
        <v>1993</v>
      </c>
      <c r="C2086" t="s">
        <v>68</v>
      </c>
      <c r="D2086" s="1">
        <v>46231</v>
      </c>
      <c r="E2086" t="s">
        <v>1994</v>
      </c>
      <c r="F2086" t="s">
        <v>68</v>
      </c>
      <c r="G2086" t="s">
        <v>69</v>
      </c>
      <c r="H2086" t="s">
        <v>70</v>
      </c>
      <c r="I2086" t="s">
        <v>71</v>
      </c>
      <c r="J2086" t="s">
        <v>72</v>
      </c>
      <c r="K2086" t="s">
        <v>73</v>
      </c>
      <c r="L2086" t="s">
        <v>74</v>
      </c>
      <c r="M2086" t="s">
        <v>968</v>
      </c>
      <c r="N2086" t="s">
        <v>76</v>
      </c>
      <c r="O2086" t="s">
        <v>969</v>
      </c>
      <c r="P2086" t="s">
        <v>970</v>
      </c>
      <c r="Q2086" t="s">
        <v>66</v>
      </c>
      <c r="R2086" s="1">
        <v>46231</v>
      </c>
      <c r="S2086" t="s">
        <v>962</v>
      </c>
      <c r="T2086" t="s">
        <v>963</v>
      </c>
      <c r="U2086" t="s">
        <v>964</v>
      </c>
      <c r="V2086" t="s">
        <v>66</v>
      </c>
      <c r="W2086" t="s">
        <v>66</v>
      </c>
      <c r="X2086">
        <v>1042944</v>
      </c>
      <c r="Y2086">
        <v>114723.84</v>
      </c>
      <c r="Z2086">
        <v>29100</v>
      </c>
      <c r="AA2086">
        <v>3201</v>
      </c>
      <c r="AB2086">
        <v>1157667.8400000001</v>
      </c>
      <c r="AC2086">
        <v>12</v>
      </c>
      <c r="AD2086" t="s">
        <v>82</v>
      </c>
      <c r="AE2086">
        <v>12</v>
      </c>
      <c r="AF2086" t="s">
        <v>341</v>
      </c>
      <c r="AG2086">
        <f>IFERROR(VLOOKUP(AF2086,[1]STOK!J:O,6,0),"")</f>
        <v>72</v>
      </c>
      <c r="AH2086" s="2">
        <f t="shared" si="64"/>
        <v>0.16666666666666666</v>
      </c>
      <c r="AI2086" t="s">
        <v>341</v>
      </c>
      <c r="AJ2086" t="s">
        <v>342</v>
      </c>
      <c r="AK2086" t="s">
        <v>343</v>
      </c>
      <c r="AL2086" t="s">
        <v>86</v>
      </c>
      <c r="AM2086">
        <v>2775</v>
      </c>
      <c r="AN2086">
        <f t="shared" si="65"/>
        <v>2691.75</v>
      </c>
      <c r="AO2086" t="s">
        <v>66</v>
      </c>
      <c r="AP2086">
        <v>3</v>
      </c>
      <c r="AQ2086" t="s">
        <v>66</v>
      </c>
      <c r="AR2086">
        <v>0</v>
      </c>
      <c r="AS2086" t="s">
        <v>66</v>
      </c>
      <c r="AT2086">
        <v>0</v>
      </c>
      <c r="AU2086" t="s">
        <v>66</v>
      </c>
      <c r="AV2086">
        <v>0</v>
      </c>
      <c r="AW2086" t="s">
        <v>66</v>
      </c>
      <c r="AX2086">
        <v>0</v>
      </c>
      <c r="AY2086" t="s">
        <v>66</v>
      </c>
      <c r="AZ2086">
        <v>0</v>
      </c>
      <c r="BA2086" t="s">
        <v>66</v>
      </c>
      <c r="BB2086">
        <v>0</v>
      </c>
      <c r="BC2086">
        <v>0</v>
      </c>
      <c r="BD2086">
        <v>32301</v>
      </c>
      <c r="BE2086">
        <v>2228.91</v>
      </c>
      <c r="BF2086">
        <v>0</v>
      </c>
      <c r="BG2086" t="s">
        <v>87</v>
      </c>
      <c r="BH2086" t="s">
        <v>66</v>
      </c>
      <c r="BI2086">
        <v>0</v>
      </c>
      <c r="BJ2086" t="s">
        <v>66</v>
      </c>
      <c r="BK2086" t="s">
        <v>88</v>
      </c>
      <c r="BL2086" t="s">
        <v>965</v>
      </c>
      <c r="BM2086" t="s">
        <v>159</v>
      </c>
    </row>
    <row r="2087" spans="1:65" x14ac:dyDescent="0.25">
      <c r="A2087">
        <v>2085</v>
      </c>
      <c r="B2087" t="s">
        <v>1993</v>
      </c>
      <c r="C2087" t="s">
        <v>68</v>
      </c>
      <c r="D2087" s="1">
        <v>46231</v>
      </c>
      <c r="E2087" t="s">
        <v>1994</v>
      </c>
      <c r="F2087" t="s">
        <v>68</v>
      </c>
      <c r="G2087" t="s">
        <v>69</v>
      </c>
      <c r="H2087" t="s">
        <v>70</v>
      </c>
      <c r="I2087" t="s">
        <v>71</v>
      </c>
      <c r="J2087" t="s">
        <v>72</v>
      </c>
      <c r="K2087" t="s">
        <v>73</v>
      </c>
      <c r="L2087" t="s">
        <v>74</v>
      </c>
      <c r="M2087" t="s">
        <v>968</v>
      </c>
      <c r="N2087" t="s">
        <v>76</v>
      </c>
      <c r="O2087" t="s">
        <v>969</v>
      </c>
      <c r="P2087" t="s">
        <v>970</v>
      </c>
      <c r="Q2087" t="s">
        <v>66</v>
      </c>
      <c r="R2087" s="1">
        <v>46231</v>
      </c>
      <c r="S2087" t="s">
        <v>962</v>
      </c>
      <c r="T2087" t="s">
        <v>963</v>
      </c>
      <c r="U2087" t="s">
        <v>964</v>
      </c>
      <c r="V2087" t="s">
        <v>66</v>
      </c>
      <c r="W2087" t="s">
        <v>66</v>
      </c>
      <c r="X2087">
        <v>1042944</v>
      </c>
      <c r="Y2087">
        <v>114723.84</v>
      </c>
      <c r="Z2087">
        <v>91956</v>
      </c>
      <c r="AA2087">
        <v>10115.16</v>
      </c>
      <c r="AB2087">
        <v>1157667.8400000001</v>
      </c>
      <c r="AC2087">
        <v>12</v>
      </c>
      <c r="AD2087" t="s">
        <v>82</v>
      </c>
      <c r="AE2087">
        <v>12</v>
      </c>
      <c r="AF2087" t="s">
        <v>199</v>
      </c>
      <c r="AG2087">
        <f>IFERROR(VLOOKUP(AF2087,[1]STOK!J:O,6,0),"")</f>
        <v>24</v>
      </c>
      <c r="AH2087" s="2">
        <f t="shared" si="64"/>
        <v>0.5</v>
      </c>
      <c r="AI2087" t="s">
        <v>199</v>
      </c>
      <c r="AJ2087" t="s">
        <v>200</v>
      </c>
      <c r="AK2087" t="s">
        <v>201</v>
      </c>
      <c r="AL2087" t="s">
        <v>86</v>
      </c>
      <c r="AM2087">
        <v>8769</v>
      </c>
      <c r="AN2087">
        <f t="shared" si="65"/>
        <v>8505.93</v>
      </c>
      <c r="AO2087" t="s">
        <v>66</v>
      </c>
      <c r="AP2087">
        <v>3</v>
      </c>
      <c r="AQ2087" t="s">
        <v>66</v>
      </c>
      <c r="AR2087">
        <v>0</v>
      </c>
      <c r="AS2087" t="s">
        <v>66</v>
      </c>
      <c r="AT2087">
        <v>0</v>
      </c>
      <c r="AU2087" t="s">
        <v>66</v>
      </c>
      <c r="AV2087">
        <v>0</v>
      </c>
      <c r="AW2087" t="s">
        <v>66</v>
      </c>
      <c r="AX2087">
        <v>0</v>
      </c>
      <c r="AY2087" t="s">
        <v>66</v>
      </c>
      <c r="AZ2087">
        <v>0</v>
      </c>
      <c r="BA2087" t="s">
        <v>66</v>
      </c>
      <c r="BB2087">
        <v>0</v>
      </c>
      <c r="BC2087">
        <v>0</v>
      </c>
      <c r="BD2087">
        <v>102071.16</v>
      </c>
      <c r="BE2087">
        <v>7134.31</v>
      </c>
      <c r="BF2087">
        <v>0</v>
      </c>
      <c r="BG2087" t="s">
        <v>87</v>
      </c>
      <c r="BH2087" t="s">
        <v>66</v>
      </c>
      <c r="BI2087">
        <v>0</v>
      </c>
      <c r="BJ2087" t="s">
        <v>66</v>
      </c>
      <c r="BK2087" t="s">
        <v>88</v>
      </c>
      <c r="BL2087" t="s">
        <v>965</v>
      </c>
      <c r="BM2087" t="s">
        <v>159</v>
      </c>
    </row>
    <row r="2088" spans="1:65" x14ac:dyDescent="0.25">
      <c r="A2088">
        <v>2086</v>
      </c>
      <c r="B2088" t="s">
        <v>1993</v>
      </c>
      <c r="C2088" t="s">
        <v>68</v>
      </c>
      <c r="D2088" s="1">
        <v>46231</v>
      </c>
      <c r="E2088" t="s">
        <v>1994</v>
      </c>
      <c r="F2088" t="s">
        <v>68</v>
      </c>
      <c r="G2088" t="s">
        <v>69</v>
      </c>
      <c r="H2088" t="s">
        <v>70</v>
      </c>
      <c r="I2088" t="s">
        <v>71</v>
      </c>
      <c r="J2088" t="s">
        <v>72</v>
      </c>
      <c r="K2088" t="s">
        <v>73</v>
      </c>
      <c r="L2088" t="s">
        <v>74</v>
      </c>
      <c r="M2088" t="s">
        <v>968</v>
      </c>
      <c r="N2088" t="s">
        <v>76</v>
      </c>
      <c r="O2088" t="s">
        <v>969</v>
      </c>
      <c r="P2088" t="s">
        <v>970</v>
      </c>
      <c r="Q2088" t="s">
        <v>66</v>
      </c>
      <c r="R2088" s="1">
        <v>46231</v>
      </c>
      <c r="S2088" t="s">
        <v>962</v>
      </c>
      <c r="T2088" t="s">
        <v>963</v>
      </c>
      <c r="U2088" t="s">
        <v>964</v>
      </c>
      <c r="V2088" t="s">
        <v>66</v>
      </c>
      <c r="W2088" t="s">
        <v>66</v>
      </c>
      <c r="X2088">
        <v>1042944</v>
      </c>
      <c r="Y2088">
        <v>114723.84</v>
      </c>
      <c r="Z2088">
        <v>192060</v>
      </c>
      <c r="AA2088">
        <v>21126.6</v>
      </c>
      <c r="AB2088">
        <v>1157667.8400000001</v>
      </c>
      <c r="AC2088">
        <v>12</v>
      </c>
      <c r="AD2088" t="s">
        <v>82</v>
      </c>
      <c r="AE2088">
        <v>12</v>
      </c>
      <c r="AF2088" t="s">
        <v>99</v>
      </c>
      <c r="AG2088">
        <f>IFERROR(VLOOKUP(AF2088,[1]STOK!J:O,6,0),"")</f>
        <v>24</v>
      </c>
      <c r="AH2088" s="2">
        <f t="shared" si="64"/>
        <v>0.5</v>
      </c>
      <c r="AI2088" t="s">
        <v>99</v>
      </c>
      <c r="AJ2088" t="s">
        <v>100</v>
      </c>
      <c r="AK2088" t="s">
        <v>101</v>
      </c>
      <c r="AL2088" t="s">
        <v>86</v>
      </c>
      <c r="AM2088">
        <v>18315</v>
      </c>
      <c r="AN2088">
        <f t="shared" si="65"/>
        <v>17765.55</v>
      </c>
      <c r="AO2088" t="s">
        <v>66</v>
      </c>
      <c r="AP2088">
        <v>3</v>
      </c>
      <c r="AQ2088" t="s">
        <v>66</v>
      </c>
      <c r="AR2088">
        <v>0</v>
      </c>
      <c r="AS2088" t="s">
        <v>66</v>
      </c>
      <c r="AT2088">
        <v>0</v>
      </c>
      <c r="AU2088" t="s">
        <v>66</v>
      </c>
      <c r="AV2088">
        <v>0</v>
      </c>
      <c r="AW2088" t="s">
        <v>66</v>
      </c>
      <c r="AX2088">
        <v>0</v>
      </c>
      <c r="AY2088" t="s">
        <v>66</v>
      </c>
      <c r="AZ2088">
        <v>0</v>
      </c>
      <c r="BA2088" t="s">
        <v>66</v>
      </c>
      <c r="BB2088">
        <v>0</v>
      </c>
      <c r="BC2088">
        <v>0</v>
      </c>
      <c r="BD2088">
        <v>213186.6</v>
      </c>
      <c r="BE2088">
        <v>14925.98</v>
      </c>
      <c r="BF2088">
        <v>0</v>
      </c>
      <c r="BG2088" t="s">
        <v>87</v>
      </c>
      <c r="BH2088" t="s">
        <v>66</v>
      </c>
      <c r="BI2088">
        <v>0</v>
      </c>
      <c r="BJ2088" t="s">
        <v>66</v>
      </c>
      <c r="BK2088" t="s">
        <v>88</v>
      </c>
      <c r="BL2088" t="s">
        <v>965</v>
      </c>
      <c r="BM2088" t="s">
        <v>159</v>
      </c>
    </row>
    <row r="2089" spans="1:65" x14ac:dyDescent="0.25">
      <c r="A2089">
        <v>2087</v>
      </c>
      <c r="B2089" t="s">
        <v>1993</v>
      </c>
      <c r="C2089" t="s">
        <v>68</v>
      </c>
      <c r="D2089" s="1">
        <v>46231</v>
      </c>
      <c r="E2089" t="s">
        <v>1994</v>
      </c>
      <c r="F2089" t="s">
        <v>68</v>
      </c>
      <c r="G2089" t="s">
        <v>69</v>
      </c>
      <c r="H2089" t="s">
        <v>70</v>
      </c>
      <c r="I2089" t="s">
        <v>71</v>
      </c>
      <c r="J2089" t="s">
        <v>72</v>
      </c>
      <c r="K2089" t="s">
        <v>73</v>
      </c>
      <c r="L2089" t="s">
        <v>74</v>
      </c>
      <c r="M2089" t="s">
        <v>968</v>
      </c>
      <c r="N2089" t="s">
        <v>76</v>
      </c>
      <c r="O2089" t="s">
        <v>969</v>
      </c>
      <c r="P2089" t="s">
        <v>970</v>
      </c>
      <c r="Q2089" t="s">
        <v>66</v>
      </c>
      <c r="R2089" s="1">
        <v>46231</v>
      </c>
      <c r="S2089" t="s">
        <v>962</v>
      </c>
      <c r="T2089" t="s">
        <v>963</v>
      </c>
      <c r="U2089" t="s">
        <v>964</v>
      </c>
      <c r="V2089" t="s">
        <v>66</v>
      </c>
      <c r="W2089" t="s">
        <v>66</v>
      </c>
      <c r="X2089">
        <v>1042944</v>
      </c>
      <c r="Y2089">
        <v>114723.84</v>
      </c>
      <c r="Z2089">
        <v>80316</v>
      </c>
      <c r="AA2089">
        <v>8834.76</v>
      </c>
      <c r="AB2089">
        <v>1157667.8400000001</v>
      </c>
      <c r="AC2089">
        <v>12</v>
      </c>
      <c r="AD2089" t="s">
        <v>82</v>
      </c>
      <c r="AE2089">
        <v>12</v>
      </c>
      <c r="AF2089" t="s">
        <v>495</v>
      </c>
      <c r="AG2089">
        <f>IFERROR(VLOOKUP(AF2089,[1]STOK!J:O,6,0),"")</f>
        <v>24</v>
      </c>
      <c r="AH2089" s="2">
        <f t="shared" si="64"/>
        <v>0.5</v>
      </c>
      <c r="AI2089" t="s">
        <v>495</v>
      </c>
      <c r="AJ2089" t="s">
        <v>496</v>
      </c>
      <c r="AK2089" t="s">
        <v>497</v>
      </c>
      <c r="AL2089" t="s">
        <v>86</v>
      </c>
      <c r="AM2089">
        <v>7659</v>
      </c>
      <c r="AN2089">
        <f t="shared" si="65"/>
        <v>7429.23</v>
      </c>
      <c r="AO2089" t="s">
        <v>66</v>
      </c>
      <c r="AP2089">
        <v>3</v>
      </c>
      <c r="AQ2089" t="s">
        <v>66</v>
      </c>
      <c r="AR2089">
        <v>0</v>
      </c>
      <c r="AS2089" t="s">
        <v>66</v>
      </c>
      <c r="AT2089">
        <v>0</v>
      </c>
      <c r="AU2089" t="s">
        <v>66</v>
      </c>
      <c r="AV2089">
        <v>0</v>
      </c>
      <c r="AW2089" t="s">
        <v>66</v>
      </c>
      <c r="AX2089">
        <v>0</v>
      </c>
      <c r="AY2089" t="s">
        <v>66</v>
      </c>
      <c r="AZ2089">
        <v>0</v>
      </c>
      <c r="BA2089" t="s">
        <v>66</v>
      </c>
      <c r="BB2089">
        <v>0</v>
      </c>
      <c r="BC2089">
        <v>0</v>
      </c>
      <c r="BD2089">
        <v>89150.76</v>
      </c>
      <c r="BE2089">
        <v>6234.51</v>
      </c>
      <c r="BF2089">
        <v>0</v>
      </c>
      <c r="BG2089" t="s">
        <v>87</v>
      </c>
      <c r="BH2089" t="s">
        <v>66</v>
      </c>
      <c r="BI2089">
        <v>0</v>
      </c>
      <c r="BJ2089" t="s">
        <v>66</v>
      </c>
      <c r="BK2089" t="s">
        <v>88</v>
      </c>
      <c r="BL2089" t="s">
        <v>965</v>
      </c>
      <c r="BM2089" t="s">
        <v>159</v>
      </c>
    </row>
    <row r="2090" spans="1:65" x14ac:dyDescent="0.25">
      <c r="A2090">
        <v>2088</v>
      </c>
      <c r="B2090" t="s">
        <v>1993</v>
      </c>
      <c r="C2090" t="s">
        <v>68</v>
      </c>
      <c r="D2090" s="1">
        <v>46231</v>
      </c>
      <c r="E2090" t="s">
        <v>1994</v>
      </c>
      <c r="F2090" t="s">
        <v>68</v>
      </c>
      <c r="G2090" t="s">
        <v>69</v>
      </c>
      <c r="H2090" t="s">
        <v>70</v>
      </c>
      <c r="I2090" t="s">
        <v>71</v>
      </c>
      <c r="J2090" t="s">
        <v>72</v>
      </c>
      <c r="K2090" t="s">
        <v>73</v>
      </c>
      <c r="L2090" t="s">
        <v>74</v>
      </c>
      <c r="M2090" t="s">
        <v>968</v>
      </c>
      <c r="N2090" t="s">
        <v>76</v>
      </c>
      <c r="O2090" t="s">
        <v>969</v>
      </c>
      <c r="P2090" t="s">
        <v>970</v>
      </c>
      <c r="Q2090" t="s">
        <v>66</v>
      </c>
      <c r="R2090" s="1">
        <v>46231</v>
      </c>
      <c r="S2090" t="s">
        <v>962</v>
      </c>
      <c r="T2090" t="s">
        <v>963</v>
      </c>
      <c r="U2090" t="s">
        <v>964</v>
      </c>
      <c r="V2090" t="s">
        <v>66</v>
      </c>
      <c r="W2090" t="s">
        <v>66</v>
      </c>
      <c r="X2090">
        <v>1042944</v>
      </c>
      <c r="Y2090">
        <v>114723.84</v>
      </c>
      <c r="Z2090">
        <v>154812</v>
      </c>
      <c r="AA2090">
        <v>17029.32</v>
      </c>
      <c r="AB2090">
        <v>1157667.8400000001</v>
      </c>
      <c r="AC2090">
        <v>1</v>
      </c>
      <c r="AD2090" t="s">
        <v>134</v>
      </c>
      <c r="AE2090">
        <v>12</v>
      </c>
      <c r="AF2090" t="s">
        <v>135</v>
      </c>
      <c r="AG2090">
        <f>IFERROR(VLOOKUP(AF2090,[1]STOK!J:O,6,0),"")</f>
        <v>12</v>
      </c>
      <c r="AH2090" s="2">
        <f t="shared" si="64"/>
        <v>1</v>
      </c>
      <c r="AI2090" t="s">
        <v>135</v>
      </c>
      <c r="AJ2090" t="s">
        <v>136</v>
      </c>
      <c r="AK2090" t="s">
        <v>137</v>
      </c>
      <c r="AL2090" t="s">
        <v>86</v>
      </c>
      <c r="AM2090">
        <v>177156</v>
      </c>
      <c r="AN2090">
        <f t="shared" si="65"/>
        <v>171841.32</v>
      </c>
      <c r="AO2090" t="s">
        <v>66</v>
      </c>
      <c r="AP2090">
        <v>3</v>
      </c>
      <c r="AQ2090" t="s">
        <v>66</v>
      </c>
      <c r="AR2090">
        <v>0</v>
      </c>
      <c r="AS2090" t="s">
        <v>66</v>
      </c>
      <c r="AT2090">
        <v>0</v>
      </c>
      <c r="AU2090" t="s">
        <v>66</v>
      </c>
      <c r="AV2090">
        <v>0</v>
      </c>
      <c r="AW2090" t="s">
        <v>66</v>
      </c>
      <c r="AX2090">
        <v>0</v>
      </c>
      <c r="AY2090" t="s">
        <v>66</v>
      </c>
      <c r="AZ2090">
        <v>0</v>
      </c>
      <c r="BA2090" t="s">
        <v>66</v>
      </c>
      <c r="BB2090">
        <v>0</v>
      </c>
      <c r="BC2090">
        <v>0</v>
      </c>
      <c r="BD2090">
        <v>171841.32</v>
      </c>
      <c r="BE2090">
        <v>12034.95</v>
      </c>
      <c r="BF2090">
        <v>0</v>
      </c>
      <c r="BG2090" t="s">
        <v>87</v>
      </c>
      <c r="BH2090" t="s">
        <v>66</v>
      </c>
      <c r="BI2090">
        <v>0</v>
      </c>
      <c r="BJ2090" t="s">
        <v>66</v>
      </c>
      <c r="BK2090" t="s">
        <v>88</v>
      </c>
      <c r="BL2090" t="s">
        <v>965</v>
      </c>
      <c r="BM2090" t="s">
        <v>159</v>
      </c>
    </row>
    <row r="2091" spans="1:65" x14ac:dyDescent="0.25">
      <c r="A2091">
        <v>2089</v>
      </c>
      <c r="B2091" t="s">
        <v>1993</v>
      </c>
      <c r="C2091" t="s">
        <v>68</v>
      </c>
      <c r="D2091" s="1">
        <v>46231</v>
      </c>
      <c r="E2091" t="s">
        <v>1994</v>
      </c>
      <c r="F2091" t="s">
        <v>68</v>
      </c>
      <c r="G2091" t="s">
        <v>69</v>
      </c>
      <c r="H2091" t="s">
        <v>70</v>
      </c>
      <c r="I2091" t="s">
        <v>71</v>
      </c>
      <c r="J2091" t="s">
        <v>72</v>
      </c>
      <c r="K2091" t="s">
        <v>73</v>
      </c>
      <c r="L2091" t="s">
        <v>74</v>
      </c>
      <c r="M2091" t="s">
        <v>968</v>
      </c>
      <c r="N2091" t="s">
        <v>76</v>
      </c>
      <c r="O2091" t="s">
        <v>969</v>
      </c>
      <c r="P2091" t="s">
        <v>970</v>
      </c>
      <c r="Q2091" t="s">
        <v>66</v>
      </c>
      <c r="R2091" s="1">
        <v>46231</v>
      </c>
      <c r="S2091" t="s">
        <v>962</v>
      </c>
      <c r="T2091" t="s">
        <v>963</v>
      </c>
      <c r="U2091" t="s">
        <v>964</v>
      </c>
      <c r="V2091" t="s">
        <v>66</v>
      </c>
      <c r="W2091" t="s">
        <v>66</v>
      </c>
      <c r="X2091">
        <v>1042944</v>
      </c>
      <c r="Y2091">
        <v>114723.84</v>
      </c>
      <c r="Z2091">
        <v>232800</v>
      </c>
      <c r="AA2091">
        <v>25608</v>
      </c>
      <c r="AB2091">
        <v>1157667.8400000001</v>
      </c>
      <c r="AC2091">
        <v>1</v>
      </c>
      <c r="AD2091" t="s">
        <v>134</v>
      </c>
      <c r="AE2091">
        <v>12</v>
      </c>
      <c r="AF2091" t="s">
        <v>290</v>
      </c>
      <c r="AG2091">
        <f>IFERROR(VLOOKUP(AF2091,[1]STOK!J:O,6,0),"")</f>
        <v>12</v>
      </c>
      <c r="AH2091" s="2">
        <f t="shared" si="64"/>
        <v>1</v>
      </c>
      <c r="AI2091" t="s">
        <v>290</v>
      </c>
      <c r="AJ2091" t="s">
        <v>291</v>
      </c>
      <c r="AK2091" t="s">
        <v>292</v>
      </c>
      <c r="AL2091" t="s">
        <v>86</v>
      </c>
      <c r="AM2091">
        <v>266400</v>
      </c>
      <c r="AN2091">
        <f t="shared" si="65"/>
        <v>258408</v>
      </c>
      <c r="AO2091" t="s">
        <v>66</v>
      </c>
      <c r="AP2091">
        <v>3</v>
      </c>
      <c r="AQ2091" t="s">
        <v>66</v>
      </c>
      <c r="AR2091">
        <v>0</v>
      </c>
      <c r="AS2091" t="s">
        <v>66</v>
      </c>
      <c r="AT2091">
        <v>0</v>
      </c>
      <c r="AU2091" t="s">
        <v>66</v>
      </c>
      <c r="AV2091">
        <v>0</v>
      </c>
      <c r="AW2091" t="s">
        <v>66</v>
      </c>
      <c r="AX2091">
        <v>0</v>
      </c>
      <c r="AY2091" t="s">
        <v>66</v>
      </c>
      <c r="AZ2091">
        <v>0</v>
      </c>
      <c r="BA2091" t="s">
        <v>66</v>
      </c>
      <c r="BB2091">
        <v>0</v>
      </c>
      <c r="BC2091">
        <v>0</v>
      </c>
      <c r="BD2091">
        <v>258408</v>
      </c>
      <c r="BE2091">
        <v>18113.71</v>
      </c>
      <c r="BF2091">
        <v>0</v>
      </c>
      <c r="BG2091" t="s">
        <v>87</v>
      </c>
      <c r="BH2091" t="s">
        <v>66</v>
      </c>
      <c r="BI2091">
        <v>0</v>
      </c>
      <c r="BJ2091" t="s">
        <v>66</v>
      </c>
      <c r="BK2091" t="s">
        <v>88</v>
      </c>
      <c r="BL2091" t="s">
        <v>965</v>
      </c>
      <c r="BM2091" t="s">
        <v>159</v>
      </c>
    </row>
    <row r="2092" spans="1:65" x14ac:dyDescent="0.25">
      <c r="A2092">
        <v>2090</v>
      </c>
      <c r="B2092" t="s">
        <v>1993</v>
      </c>
      <c r="C2092" t="s">
        <v>68</v>
      </c>
      <c r="D2092" s="1">
        <v>46231</v>
      </c>
      <c r="E2092" t="s">
        <v>1994</v>
      </c>
      <c r="F2092" t="s">
        <v>68</v>
      </c>
      <c r="G2092" t="s">
        <v>69</v>
      </c>
      <c r="H2092" t="s">
        <v>70</v>
      </c>
      <c r="I2092" t="s">
        <v>71</v>
      </c>
      <c r="J2092" t="s">
        <v>72</v>
      </c>
      <c r="K2092" t="s">
        <v>73</v>
      </c>
      <c r="L2092" t="s">
        <v>74</v>
      </c>
      <c r="M2092" t="s">
        <v>968</v>
      </c>
      <c r="N2092" t="s">
        <v>76</v>
      </c>
      <c r="O2092" t="s">
        <v>969</v>
      </c>
      <c r="P2092" t="s">
        <v>970</v>
      </c>
      <c r="Q2092" t="s">
        <v>66</v>
      </c>
      <c r="R2092" s="1">
        <v>46231</v>
      </c>
      <c r="S2092" t="s">
        <v>962</v>
      </c>
      <c r="T2092" t="s">
        <v>963</v>
      </c>
      <c r="U2092" t="s">
        <v>964</v>
      </c>
      <c r="V2092" t="s">
        <v>66</v>
      </c>
      <c r="W2092" t="s">
        <v>66</v>
      </c>
      <c r="X2092">
        <v>1042944</v>
      </c>
      <c r="Y2092">
        <v>114723.84</v>
      </c>
      <c r="Z2092">
        <v>232800</v>
      </c>
      <c r="AA2092">
        <v>25608</v>
      </c>
      <c r="AB2092">
        <v>1157667.8400000001</v>
      </c>
      <c r="AC2092">
        <v>1</v>
      </c>
      <c r="AD2092" t="s">
        <v>134</v>
      </c>
      <c r="AE2092">
        <v>12</v>
      </c>
      <c r="AF2092" t="s">
        <v>102</v>
      </c>
      <c r="AG2092">
        <f>IFERROR(VLOOKUP(AF2092,[1]STOK!J:O,6,0),"")</f>
        <v>12</v>
      </c>
      <c r="AH2092" s="2">
        <f t="shared" si="64"/>
        <v>1</v>
      </c>
      <c r="AI2092" t="s">
        <v>102</v>
      </c>
      <c r="AJ2092" t="s">
        <v>103</v>
      </c>
      <c r="AK2092" t="s">
        <v>104</v>
      </c>
      <c r="AL2092" t="s">
        <v>86</v>
      </c>
      <c r="AM2092">
        <v>266400</v>
      </c>
      <c r="AN2092">
        <f t="shared" si="65"/>
        <v>258408</v>
      </c>
      <c r="AO2092" t="s">
        <v>66</v>
      </c>
      <c r="AP2092">
        <v>3</v>
      </c>
      <c r="AQ2092" t="s">
        <v>66</v>
      </c>
      <c r="AR2092">
        <v>0</v>
      </c>
      <c r="AS2092" t="s">
        <v>66</v>
      </c>
      <c r="AT2092">
        <v>0</v>
      </c>
      <c r="AU2092" t="s">
        <v>66</v>
      </c>
      <c r="AV2092">
        <v>0</v>
      </c>
      <c r="AW2092" t="s">
        <v>66</v>
      </c>
      <c r="AX2092">
        <v>0</v>
      </c>
      <c r="AY2092" t="s">
        <v>66</v>
      </c>
      <c r="AZ2092">
        <v>0</v>
      </c>
      <c r="BA2092" t="s">
        <v>66</v>
      </c>
      <c r="BB2092">
        <v>0</v>
      </c>
      <c r="BC2092">
        <v>0</v>
      </c>
      <c r="BD2092">
        <v>258408</v>
      </c>
      <c r="BE2092">
        <v>18005.03</v>
      </c>
      <c r="BF2092">
        <v>0</v>
      </c>
      <c r="BG2092" t="s">
        <v>87</v>
      </c>
      <c r="BH2092" t="s">
        <v>66</v>
      </c>
      <c r="BI2092">
        <v>0</v>
      </c>
      <c r="BJ2092" t="s">
        <v>66</v>
      </c>
      <c r="BK2092" t="s">
        <v>88</v>
      </c>
      <c r="BL2092" t="s">
        <v>965</v>
      </c>
      <c r="BM2092" t="s">
        <v>159</v>
      </c>
    </row>
    <row r="2093" spans="1:65" x14ac:dyDescent="0.25">
      <c r="A2093">
        <v>2091</v>
      </c>
      <c r="B2093" t="s">
        <v>1995</v>
      </c>
      <c r="C2093" t="s">
        <v>66</v>
      </c>
      <c r="D2093" s="1">
        <v>46231</v>
      </c>
      <c r="E2093" t="s">
        <v>1996</v>
      </c>
      <c r="F2093" t="s">
        <v>68</v>
      </c>
      <c r="G2093" t="s">
        <v>69</v>
      </c>
      <c r="H2093" t="s">
        <v>70</v>
      </c>
      <c r="I2093" t="s">
        <v>71</v>
      </c>
      <c r="J2093" t="s">
        <v>72</v>
      </c>
      <c r="K2093" t="s">
        <v>73</v>
      </c>
      <c r="L2093" t="s">
        <v>74</v>
      </c>
      <c r="M2093" t="s">
        <v>556</v>
      </c>
      <c r="N2093" t="s">
        <v>111</v>
      </c>
      <c r="O2093" t="s">
        <v>557</v>
      </c>
      <c r="P2093" t="s">
        <v>558</v>
      </c>
      <c r="Q2093" t="s">
        <v>1997</v>
      </c>
      <c r="R2093" s="1">
        <v>46232</v>
      </c>
      <c r="S2093" t="s">
        <v>560</v>
      </c>
      <c r="T2093" t="s">
        <v>561</v>
      </c>
      <c r="U2093" t="s">
        <v>562</v>
      </c>
      <c r="V2093" t="s">
        <v>66</v>
      </c>
      <c r="W2093" t="s">
        <v>66</v>
      </c>
      <c r="X2093">
        <v>3877632</v>
      </c>
      <c r="Y2093">
        <v>426539.52000000002</v>
      </c>
      <c r="Z2093">
        <v>392040</v>
      </c>
      <c r="AA2093">
        <v>43124.4</v>
      </c>
      <c r="AB2093">
        <v>4304171.5199999996</v>
      </c>
      <c r="AC2093">
        <v>1</v>
      </c>
      <c r="AD2093" t="s">
        <v>134</v>
      </c>
      <c r="AE2093">
        <v>24</v>
      </c>
      <c r="AF2093" t="s">
        <v>128</v>
      </c>
      <c r="AG2093">
        <f>IFERROR(VLOOKUP(AF2093,[1]STOK!J:O,6,0),"")</f>
        <v>24</v>
      </c>
      <c r="AH2093" s="2">
        <f t="shared" si="64"/>
        <v>1</v>
      </c>
      <c r="AI2093" t="s">
        <v>128</v>
      </c>
      <c r="AJ2093" t="s">
        <v>129</v>
      </c>
      <c r="AK2093" t="s">
        <v>130</v>
      </c>
      <c r="AL2093" t="s">
        <v>86</v>
      </c>
      <c r="AM2093">
        <v>439560</v>
      </c>
      <c r="AN2093">
        <f t="shared" si="65"/>
        <v>435164.4</v>
      </c>
      <c r="AO2093" t="s">
        <v>66</v>
      </c>
      <c r="AP2093">
        <v>1</v>
      </c>
      <c r="AQ2093" t="s">
        <v>66</v>
      </c>
      <c r="AR2093">
        <v>0</v>
      </c>
      <c r="AS2093" t="s">
        <v>66</v>
      </c>
      <c r="AT2093">
        <v>0</v>
      </c>
      <c r="AU2093" t="s">
        <v>66</v>
      </c>
      <c r="AV2093">
        <v>0</v>
      </c>
      <c r="AW2093" t="s">
        <v>66</v>
      </c>
      <c r="AX2093">
        <v>0</v>
      </c>
      <c r="AY2093" t="s">
        <v>66</v>
      </c>
      <c r="AZ2093">
        <v>0</v>
      </c>
      <c r="BA2093" t="s">
        <v>66</v>
      </c>
      <c r="BB2093">
        <v>0</v>
      </c>
      <c r="BC2093">
        <v>0</v>
      </c>
      <c r="BD2093">
        <v>435164.4</v>
      </c>
      <c r="BE2093">
        <v>14887.43</v>
      </c>
      <c r="BF2093">
        <v>0</v>
      </c>
      <c r="BG2093" t="s">
        <v>87</v>
      </c>
      <c r="BH2093" t="s">
        <v>66</v>
      </c>
      <c r="BI2093">
        <v>0</v>
      </c>
      <c r="BJ2093" t="s">
        <v>66</v>
      </c>
      <c r="BK2093" t="s">
        <v>88</v>
      </c>
      <c r="BL2093" t="s">
        <v>66</v>
      </c>
      <c r="BM2093" t="s">
        <v>159</v>
      </c>
    </row>
    <row r="2094" spans="1:65" x14ac:dyDescent="0.25">
      <c r="A2094">
        <v>2092</v>
      </c>
      <c r="B2094" t="s">
        <v>1995</v>
      </c>
      <c r="C2094" t="s">
        <v>66</v>
      </c>
      <c r="D2094" s="1">
        <v>46231</v>
      </c>
      <c r="E2094" t="s">
        <v>1996</v>
      </c>
      <c r="F2094" t="s">
        <v>68</v>
      </c>
      <c r="G2094" t="s">
        <v>69</v>
      </c>
      <c r="H2094" t="s">
        <v>70</v>
      </c>
      <c r="I2094" t="s">
        <v>71</v>
      </c>
      <c r="J2094" t="s">
        <v>72</v>
      </c>
      <c r="K2094" t="s">
        <v>73</v>
      </c>
      <c r="L2094" t="s">
        <v>74</v>
      </c>
      <c r="M2094" t="s">
        <v>556</v>
      </c>
      <c r="N2094" t="s">
        <v>111</v>
      </c>
      <c r="O2094" t="s">
        <v>557</v>
      </c>
      <c r="P2094" t="s">
        <v>558</v>
      </c>
      <c r="Q2094" t="s">
        <v>1997</v>
      </c>
      <c r="R2094" s="1">
        <v>46232</v>
      </c>
      <c r="S2094" t="s">
        <v>560</v>
      </c>
      <c r="T2094" t="s">
        <v>561</v>
      </c>
      <c r="U2094" t="s">
        <v>562</v>
      </c>
      <c r="V2094" t="s">
        <v>66</v>
      </c>
      <c r="W2094" t="s">
        <v>66</v>
      </c>
      <c r="X2094">
        <v>3877632</v>
      </c>
      <c r="Y2094">
        <v>426539.52000000002</v>
      </c>
      <c r="Z2094">
        <v>460944</v>
      </c>
      <c r="AA2094">
        <v>50703.839999999997</v>
      </c>
      <c r="AB2094">
        <v>4304171.5199999996</v>
      </c>
      <c r="AC2094">
        <v>2</v>
      </c>
      <c r="AD2094" t="s">
        <v>134</v>
      </c>
      <c r="AE2094">
        <v>24</v>
      </c>
      <c r="AF2094" t="s">
        <v>287</v>
      </c>
      <c r="AG2094">
        <f>IFERROR(VLOOKUP(AF2094,[1]STOK!J:O,6,0),"")</f>
        <v>12</v>
      </c>
      <c r="AH2094" s="2">
        <f t="shared" si="64"/>
        <v>2</v>
      </c>
      <c r="AI2094" t="s">
        <v>287</v>
      </c>
      <c r="AJ2094" t="s">
        <v>288</v>
      </c>
      <c r="AK2094" t="s">
        <v>289</v>
      </c>
      <c r="AL2094" t="s">
        <v>86</v>
      </c>
      <c r="AM2094">
        <v>258408</v>
      </c>
      <c r="AN2094">
        <f t="shared" si="65"/>
        <v>255823.92</v>
      </c>
      <c r="AO2094" t="s">
        <v>66</v>
      </c>
      <c r="AP2094">
        <v>1</v>
      </c>
      <c r="AQ2094" t="s">
        <v>66</v>
      </c>
      <c r="AR2094">
        <v>0</v>
      </c>
      <c r="AS2094" t="s">
        <v>66</v>
      </c>
      <c r="AT2094">
        <v>0</v>
      </c>
      <c r="AU2094" t="s">
        <v>66</v>
      </c>
      <c r="AV2094">
        <v>0</v>
      </c>
      <c r="AW2094" t="s">
        <v>66</v>
      </c>
      <c r="AX2094">
        <v>0</v>
      </c>
      <c r="AY2094" t="s">
        <v>66</v>
      </c>
      <c r="AZ2094">
        <v>0</v>
      </c>
      <c r="BA2094" t="s">
        <v>66</v>
      </c>
      <c r="BB2094">
        <v>0</v>
      </c>
      <c r="BC2094">
        <v>0</v>
      </c>
      <c r="BD2094">
        <v>511647.84</v>
      </c>
      <c r="BE2094">
        <v>17377.759999999998</v>
      </c>
      <c r="BF2094">
        <v>0</v>
      </c>
      <c r="BG2094" t="s">
        <v>87</v>
      </c>
      <c r="BH2094" t="s">
        <v>66</v>
      </c>
      <c r="BI2094">
        <v>0</v>
      </c>
      <c r="BJ2094" t="s">
        <v>66</v>
      </c>
      <c r="BK2094" t="s">
        <v>88</v>
      </c>
      <c r="BL2094" t="s">
        <v>66</v>
      </c>
      <c r="BM2094" t="s">
        <v>159</v>
      </c>
    </row>
    <row r="2095" spans="1:65" x14ac:dyDescent="0.25">
      <c r="A2095">
        <v>2093</v>
      </c>
      <c r="B2095" t="s">
        <v>1995</v>
      </c>
      <c r="C2095" t="s">
        <v>66</v>
      </c>
      <c r="D2095" s="1">
        <v>46231</v>
      </c>
      <c r="E2095" t="s">
        <v>1996</v>
      </c>
      <c r="F2095" t="s">
        <v>68</v>
      </c>
      <c r="G2095" t="s">
        <v>69</v>
      </c>
      <c r="H2095" t="s">
        <v>70</v>
      </c>
      <c r="I2095" t="s">
        <v>71</v>
      </c>
      <c r="J2095" t="s">
        <v>72</v>
      </c>
      <c r="K2095" t="s">
        <v>73</v>
      </c>
      <c r="L2095" t="s">
        <v>74</v>
      </c>
      <c r="M2095" t="s">
        <v>556</v>
      </c>
      <c r="N2095" t="s">
        <v>111</v>
      </c>
      <c r="O2095" t="s">
        <v>557</v>
      </c>
      <c r="P2095" t="s">
        <v>558</v>
      </c>
      <c r="Q2095" t="s">
        <v>1997</v>
      </c>
      <c r="R2095" s="1">
        <v>46232</v>
      </c>
      <c r="S2095" t="s">
        <v>560</v>
      </c>
      <c r="T2095" t="s">
        <v>561</v>
      </c>
      <c r="U2095" t="s">
        <v>562</v>
      </c>
      <c r="V2095" t="s">
        <v>66</v>
      </c>
      <c r="W2095" t="s">
        <v>66</v>
      </c>
      <c r="X2095">
        <v>3877632</v>
      </c>
      <c r="Y2095">
        <v>426539.52000000002</v>
      </c>
      <c r="Z2095">
        <v>319572</v>
      </c>
      <c r="AA2095">
        <v>35152.92</v>
      </c>
      <c r="AB2095">
        <v>4304171.5199999996</v>
      </c>
      <c r="AC2095">
        <v>1</v>
      </c>
      <c r="AD2095" t="s">
        <v>134</v>
      </c>
      <c r="AE2095">
        <v>6</v>
      </c>
      <c r="AF2095" t="s">
        <v>878</v>
      </c>
      <c r="AG2095">
        <f>IFERROR(VLOOKUP(AF2095,[1]STOK!J:O,6,0),"")</f>
        <v>6</v>
      </c>
      <c r="AH2095" s="2">
        <f t="shared" si="64"/>
        <v>1</v>
      </c>
      <c r="AI2095" t="s">
        <v>878</v>
      </c>
      <c r="AJ2095" t="s">
        <v>879</v>
      </c>
      <c r="AK2095" t="s">
        <v>880</v>
      </c>
      <c r="AL2095" t="s">
        <v>86</v>
      </c>
      <c r="AM2095">
        <v>358308</v>
      </c>
      <c r="AN2095">
        <f t="shared" si="65"/>
        <v>354724.92</v>
      </c>
      <c r="AO2095" t="s">
        <v>66</v>
      </c>
      <c r="AP2095">
        <v>1</v>
      </c>
      <c r="AQ2095" t="s">
        <v>66</v>
      </c>
      <c r="AR2095">
        <v>0</v>
      </c>
      <c r="AS2095" t="s">
        <v>66</v>
      </c>
      <c r="AT2095">
        <v>0</v>
      </c>
      <c r="AU2095" t="s">
        <v>66</v>
      </c>
      <c r="AV2095">
        <v>0</v>
      </c>
      <c r="AW2095" t="s">
        <v>66</v>
      </c>
      <c r="AX2095">
        <v>0</v>
      </c>
      <c r="AY2095" t="s">
        <v>66</v>
      </c>
      <c r="AZ2095">
        <v>0</v>
      </c>
      <c r="BA2095" t="s">
        <v>66</v>
      </c>
      <c r="BB2095">
        <v>0</v>
      </c>
      <c r="BC2095">
        <v>0</v>
      </c>
      <c r="BD2095">
        <v>354724.92</v>
      </c>
      <c r="BE2095">
        <v>45308.94</v>
      </c>
      <c r="BF2095">
        <v>0</v>
      </c>
      <c r="BG2095" t="s">
        <v>87</v>
      </c>
      <c r="BH2095" t="s">
        <v>66</v>
      </c>
      <c r="BI2095">
        <v>0</v>
      </c>
      <c r="BJ2095" t="s">
        <v>66</v>
      </c>
      <c r="BK2095" t="s">
        <v>88</v>
      </c>
      <c r="BL2095" t="s">
        <v>66</v>
      </c>
      <c r="BM2095" t="s">
        <v>159</v>
      </c>
    </row>
    <row r="2096" spans="1:65" x14ac:dyDescent="0.25">
      <c r="A2096">
        <v>2094</v>
      </c>
      <c r="B2096" t="s">
        <v>1995</v>
      </c>
      <c r="C2096" t="s">
        <v>66</v>
      </c>
      <c r="D2096" s="1">
        <v>46231</v>
      </c>
      <c r="E2096" t="s">
        <v>1996</v>
      </c>
      <c r="F2096" t="s">
        <v>68</v>
      </c>
      <c r="G2096" t="s">
        <v>69</v>
      </c>
      <c r="H2096" t="s">
        <v>70</v>
      </c>
      <c r="I2096" t="s">
        <v>71</v>
      </c>
      <c r="J2096" t="s">
        <v>72</v>
      </c>
      <c r="K2096" t="s">
        <v>73</v>
      </c>
      <c r="L2096" t="s">
        <v>74</v>
      </c>
      <c r="M2096" t="s">
        <v>556</v>
      </c>
      <c r="N2096" t="s">
        <v>111</v>
      </c>
      <c r="O2096" t="s">
        <v>557</v>
      </c>
      <c r="P2096" t="s">
        <v>558</v>
      </c>
      <c r="Q2096" t="s">
        <v>1997</v>
      </c>
      <c r="R2096" s="1">
        <v>46232</v>
      </c>
      <c r="S2096" t="s">
        <v>560</v>
      </c>
      <c r="T2096" t="s">
        <v>561</v>
      </c>
      <c r="U2096" t="s">
        <v>562</v>
      </c>
      <c r="V2096" t="s">
        <v>66</v>
      </c>
      <c r="W2096" t="s">
        <v>66</v>
      </c>
      <c r="X2096">
        <v>3877632</v>
      </c>
      <c r="Y2096">
        <v>426539.52000000002</v>
      </c>
      <c r="Z2096">
        <v>430056</v>
      </c>
      <c r="AA2096">
        <v>47306.16</v>
      </c>
      <c r="AB2096">
        <v>4304171.5199999996</v>
      </c>
      <c r="AC2096">
        <v>2</v>
      </c>
      <c r="AD2096" t="s">
        <v>134</v>
      </c>
      <c r="AE2096">
        <v>24</v>
      </c>
      <c r="AF2096" t="s">
        <v>356</v>
      </c>
      <c r="AG2096">
        <f>IFERROR(VLOOKUP(AF2096,[1]STOK!J:O,6,0),"")</f>
        <v>12</v>
      </c>
      <c r="AH2096" s="2">
        <f t="shared" si="64"/>
        <v>2</v>
      </c>
      <c r="AI2096" t="s">
        <v>356</v>
      </c>
      <c r="AJ2096" t="s">
        <v>357</v>
      </c>
      <c r="AK2096" t="s">
        <v>358</v>
      </c>
      <c r="AL2096" t="s">
        <v>86</v>
      </c>
      <c r="AM2096">
        <v>241092</v>
      </c>
      <c r="AN2096">
        <f t="shared" si="65"/>
        <v>238681.08</v>
      </c>
      <c r="AO2096" t="s">
        <v>66</v>
      </c>
      <c r="AP2096">
        <v>1</v>
      </c>
      <c r="AQ2096" t="s">
        <v>66</v>
      </c>
      <c r="AR2096">
        <v>0</v>
      </c>
      <c r="AS2096" t="s">
        <v>66</v>
      </c>
      <c r="AT2096">
        <v>0</v>
      </c>
      <c r="AU2096" t="s">
        <v>66</v>
      </c>
      <c r="AV2096">
        <v>0</v>
      </c>
      <c r="AW2096" t="s">
        <v>66</v>
      </c>
      <c r="AX2096">
        <v>0</v>
      </c>
      <c r="AY2096" t="s">
        <v>66</v>
      </c>
      <c r="AZ2096">
        <v>0</v>
      </c>
      <c r="BA2096" t="s">
        <v>66</v>
      </c>
      <c r="BB2096">
        <v>0</v>
      </c>
      <c r="BC2096">
        <v>0</v>
      </c>
      <c r="BD2096">
        <v>477362.16</v>
      </c>
      <c r="BE2096">
        <v>16252.41</v>
      </c>
      <c r="BF2096">
        <v>0</v>
      </c>
      <c r="BG2096" t="s">
        <v>87</v>
      </c>
      <c r="BH2096" t="s">
        <v>66</v>
      </c>
      <c r="BI2096">
        <v>0</v>
      </c>
      <c r="BJ2096" t="s">
        <v>66</v>
      </c>
      <c r="BK2096" t="s">
        <v>88</v>
      </c>
      <c r="BL2096" t="s">
        <v>66</v>
      </c>
      <c r="BM2096" t="s">
        <v>159</v>
      </c>
    </row>
    <row r="2097" spans="1:65" x14ac:dyDescent="0.25">
      <c r="A2097">
        <v>2095</v>
      </c>
      <c r="B2097" t="s">
        <v>1995</v>
      </c>
      <c r="C2097" t="s">
        <v>66</v>
      </c>
      <c r="D2097" s="1">
        <v>46231</v>
      </c>
      <c r="E2097" t="s">
        <v>1996</v>
      </c>
      <c r="F2097" t="s">
        <v>68</v>
      </c>
      <c r="G2097" t="s">
        <v>69</v>
      </c>
      <c r="H2097" t="s">
        <v>70</v>
      </c>
      <c r="I2097" t="s">
        <v>71</v>
      </c>
      <c r="J2097" t="s">
        <v>72</v>
      </c>
      <c r="K2097" t="s">
        <v>73</v>
      </c>
      <c r="L2097" t="s">
        <v>74</v>
      </c>
      <c r="M2097" t="s">
        <v>556</v>
      </c>
      <c r="N2097" t="s">
        <v>111</v>
      </c>
      <c r="O2097" t="s">
        <v>557</v>
      </c>
      <c r="P2097" t="s">
        <v>558</v>
      </c>
      <c r="Q2097" t="s">
        <v>1997</v>
      </c>
      <c r="R2097" s="1">
        <v>46232</v>
      </c>
      <c r="S2097" t="s">
        <v>560</v>
      </c>
      <c r="T2097" t="s">
        <v>561</v>
      </c>
      <c r="U2097" t="s">
        <v>562</v>
      </c>
      <c r="V2097" t="s">
        <v>66</v>
      </c>
      <c r="W2097" t="s">
        <v>66</v>
      </c>
      <c r="X2097">
        <v>3877632</v>
      </c>
      <c r="Y2097">
        <v>426539.52000000002</v>
      </c>
      <c r="Z2097">
        <v>2275020</v>
      </c>
      <c r="AA2097">
        <v>250252.2</v>
      </c>
      <c r="AB2097">
        <v>4304171.5199999996</v>
      </c>
      <c r="AC2097">
        <v>10</v>
      </c>
      <c r="AD2097" t="s">
        <v>134</v>
      </c>
      <c r="AE2097">
        <v>60</v>
      </c>
      <c r="AF2097" t="s">
        <v>138</v>
      </c>
      <c r="AG2097">
        <f>IFERROR(VLOOKUP(AF2097,[1]STOK!J:O,6,0),"")</f>
        <v>6</v>
      </c>
      <c r="AH2097" s="2">
        <f t="shared" si="64"/>
        <v>10</v>
      </c>
      <c r="AI2097" t="s">
        <v>138</v>
      </c>
      <c r="AJ2097" t="s">
        <v>139</v>
      </c>
      <c r="AK2097" t="s">
        <v>140</v>
      </c>
      <c r="AL2097" t="s">
        <v>86</v>
      </c>
      <c r="AM2097">
        <v>255078</v>
      </c>
      <c r="AN2097">
        <f t="shared" si="65"/>
        <v>252527.22000000003</v>
      </c>
      <c r="AO2097" t="s">
        <v>66</v>
      </c>
      <c r="AP2097">
        <v>1</v>
      </c>
      <c r="AQ2097" t="s">
        <v>66</v>
      </c>
      <c r="AR2097">
        <v>0</v>
      </c>
      <c r="AS2097" t="s">
        <v>66</v>
      </c>
      <c r="AT2097">
        <v>0</v>
      </c>
      <c r="AU2097" t="s">
        <v>66</v>
      </c>
      <c r="AV2097">
        <v>0</v>
      </c>
      <c r="AW2097" t="s">
        <v>66</v>
      </c>
      <c r="AX2097">
        <v>0</v>
      </c>
      <c r="AY2097" t="s">
        <v>66</v>
      </c>
      <c r="AZ2097">
        <v>0</v>
      </c>
      <c r="BA2097" t="s">
        <v>66</v>
      </c>
      <c r="BB2097">
        <v>0</v>
      </c>
      <c r="BC2097">
        <v>0</v>
      </c>
      <c r="BD2097">
        <v>2525272.2000000002</v>
      </c>
      <c r="BE2097">
        <v>34652.559999999998</v>
      </c>
      <c r="BF2097">
        <v>0</v>
      </c>
      <c r="BG2097" t="s">
        <v>87</v>
      </c>
      <c r="BH2097" t="s">
        <v>66</v>
      </c>
      <c r="BI2097">
        <v>0</v>
      </c>
      <c r="BJ2097" t="s">
        <v>66</v>
      </c>
      <c r="BK2097" t="s">
        <v>88</v>
      </c>
      <c r="BL2097" t="s">
        <v>66</v>
      </c>
      <c r="BM2097" t="s">
        <v>159</v>
      </c>
    </row>
    <row r="2098" spans="1:65" x14ac:dyDescent="0.25">
      <c r="A2098">
        <v>2096</v>
      </c>
      <c r="B2098" t="s">
        <v>1998</v>
      </c>
      <c r="C2098" t="s">
        <v>68</v>
      </c>
      <c r="D2098" s="1">
        <v>46231</v>
      </c>
      <c r="E2098" t="s">
        <v>1999</v>
      </c>
      <c r="F2098" t="s">
        <v>68</v>
      </c>
      <c r="G2098" t="s">
        <v>295</v>
      </c>
      <c r="H2098" t="s">
        <v>296</v>
      </c>
      <c r="I2098" t="s">
        <v>71</v>
      </c>
      <c r="J2098" t="s">
        <v>72</v>
      </c>
      <c r="K2098" t="s">
        <v>73</v>
      </c>
      <c r="L2098" t="s">
        <v>74</v>
      </c>
      <c r="M2098" t="s">
        <v>2000</v>
      </c>
      <c r="N2098" t="s">
        <v>76</v>
      </c>
      <c r="O2098" t="s">
        <v>2001</v>
      </c>
      <c r="P2098" t="s">
        <v>2002</v>
      </c>
      <c r="Q2098" t="s">
        <v>66</v>
      </c>
      <c r="R2098" s="1">
        <v>46231</v>
      </c>
      <c r="S2098" t="s">
        <v>841</v>
      </c>
      <c r="T2098" t="s">
        <v>842</v>
      </c>
      <c r="U2098" t="s">
        <v>843</v>
      </c>
      <c r="V2098" t="s">
        <v>66</v>
      </c>
      <c r="W2098" t="s">
        <v>66</v>
      </c>
      <c r="X2098">
        <v>247254</v>
      </c>
      <c r="Y2098">
        <v>27197.94</v>
      </c>
      <c r="Z2098">
        <v>54096</v>
      </c>
      <c r="AA2098">
        <v>5950.56</v>
      </c>
      <c r="AB2098">
        <v>274451.94</v>
      </c>
      <c r="AC2098">
        <v>3</v>
      </c>
      <c r="AD2098" t="s">
        <v>82</v>
      </c>
      <c r="AE2098">
        <v>3</v>
      </c>
      <c r="AF2098" t="s">
        <v>160</v>
      </c>
      <c r="AG2098">
        <f>IFERROR(VLOOKUP(AF2098,[1]STOK!J:O,6,0),"")</f>
        <v>12</v>
      </c>
      <c r="AH2098" s="2">
        <f t="shared" si="64"/>
        <v>0.25</v>
      </c>
      <c r="AI2098" t="s">
        <v>160</v>
      </c>
      <c r="AJ2098" t="s">
        <v>161</v>
      </c>
      <c r="AK2098" t="s">
        <v>162</v>
      </c>
      <c r="AL2098" t="s">
        <v>86</v>
      </c>
      <c r="AM2098">
        <v>20424</v>
      </c>
      <c r="AN2098">
        <f t="shared" si="65"/>
        <v>20015.52</v>
      </c>
      <c r="AO2098" t="s">
        <v>66</v>
      </c>
      <c r="AP2098">
        <v>2</v>
      </c>
      <c r="AQ2098" t="s">
        <v>66</v>
      </c>
      <c r="AR2098">
        <v>0</v>
      </c>
      <c r="AS2098" t="s">
        <v>66</v>
      </c>
      <c r="AT2098">
        <v>0</v>
      </c>
      <c r="AU2098" t="s">
        <v>66</v>
      </c>
      <c r="AV2098">
        <v>0</v>
      </c>
      <c r="AW2098" t="s">
        <v>66</v>
      </c>
      <c r="AX2098">
        <v>0</v>
      </c>
      <c r="AY2098" t="s">
        <v>66</v>
      </c>
      <c r="AZ2098">
        <v>0</v>
      </c>
      <c r="BA2098" t="s">
        <v>66</v>
      </c>
      <c r="BB2098">
        <v>0</v>
      </c>
      <c r="BC2098">
        <v>0</v>
      </c>
      <c r="BD2098">
        <v>60046.559999999998</v>
      </c>
      <c r="BE2098">
        <v>16599.93</v>
      </c>
      <c r="BF2098">
        <v>0</v>
      </c>
      <c r="BG2098" t="s">
        <v>87</v>
      </c>
      <c r="BH2098" t="s">
        <v>66</v>
      </c>
      <c r="BI2098">
        <v>0</v>
      </c>
      <c r="BJ2098" t="s">
        <v>66</v>
      </c>
      <c r="BK2098" t="s">
        <v>88</v>
      </c>
      <c r="BL2098" t="s">
        <v>719</v>
      </c>
      <c r="BM2098" t="s">
        <v>159</v>
      </c>
    </row>
    <row r="2099" spans="1:65" x14ac:dyDescent="0.25">
      <c r="A2099">
        <v>2097</v>
      </c>
      <c r="B2099" t="s">
        <v>1998</v>
      </c>
      <c r="C2099" t="s">
        <v>68</v>
      </c>
      <c r="D2099" s="1">
        <v>46231</v>
      </c>
      <c r="E2099" t="s">
        <v>1999</v>
      </c>
      <c r="F2099" t="s">
        <v>68</v>
      </c>
      <c r="G2099" t="s">
        <v>295</v>
      </c>
      <c r="H2099" t="s">
        <v>296</v>
      </c>
      <c r="I2099" t="s">
        <v>71</v>
      </c>
      <c r="J2099" t="s">
        <v>72</v>
      </c>
      <c r="K2099" t="s">
        <v>73</v>
      </c>
      <c r="L2099" t="s">
        <v>74</v>
      </c>
      <c r="M2099" t="s">
        <v>2000</v>
      </c>
      <c r="N2099" t="s">
        <v>76</v>
      </c>
      <c r="O2099" t="s">
        <v>2001</v>
      </c>
      <c r="P2099" t="s">
        <v>2002</v>
      </c>
      <c r="Q2099" t="s">
        <v>66</v>
      </c>
      <c r="R2099" s="1">
        <v>46231</v>
      </c>
      <c r="S2099" t="s">
        <v>841</v>
      </c>
      <c r="T2099" t="s">
        <v>842</v>
      </c>
      <c r="U2099" t="s">
        <v>843</v>
      </c>
      <c r="V2099" t="s">
        <v>66</v>
      </c>
      <c r="W2099" t="s">
        <v>66</v>
      </c>
      <c r="X2099">
        <v>247254</v>
      </c>
      <c r="Y2099">
        <v>27197.94</v>
      </c>
      <c r="Z2099">
        <v>23226</v>
      </c>
      <c r="AA2099">
        <v>2554.86</v>
      </c>
      <c r="AB2099">
        <v>274451.94</v>
      </c>
      <c r="AC2099">
        <v>3</v>
      </c>
      <c r="AD2099" t="s">
        <v>82</v>
      </c>
      <c r="AE2099">
        <v>3</v>
      </c>
      <c r="AF2099" t="s">
        <v>248</v>
      </c>
      <c r="AG2099">
        <f>IFERROR(VLOOKUP(AF2099,[1]STOK!J:O,6,0),"")</f>
        <v>24</v>
      </c>
      <c r="AH2099" s="2">
        <f t="shared" si="64"/>
        <v>0.125</v>
      </c>
      <c r="AI2099" t="s">
        <v>248</v>
      </c>
      <c r="AJ2099" t="s">
        <v>249</v>
      </c>
      <c r="AK2099" t="s">
        <v>250</v>
      </c>
      <c r="AL2099" t="s">
        <v>86</v>
      </c>
      <c r="AM2099">
        <v>8769</v>
      </c>
      <c r="AN2099">
        <f t="shared" si="65"/>
        <v>8593.6200000000008</v>
      </c>
      <c r="AO2099" t="s">
        <v>66</v>
      </c>
      <c r="AP2099">
        <v>2</v>
      </c>
      <c r="AQ2099" t="s">
        <v>66</v>
      </c>
      <c r="AR2099">
        <v>0</v>
      </c>
      <c r="AS2099" t="s">
        <v>66</v>
      </c>
      <c r="AT2099">
        <v>0</v>
      </c>
      <c r="AU2099" t="s">
        <v>66</v>
      </c>
      <c r="AV2099">
        <v>0</v>
      </c>
      <c r="AW2099" t="s">
        <v>66</v>
      </c>
      <c r="AX2099">
        <v>0</v>
      </c>
      <c r="AY2099" t="s">
        <v>66</v>
      </c>
      <c r="AZ2099">
        <v>0</v>
      </c>
      <c r="BA2099" t="s">
        <v>66</v>
      </c>
      <c r="BB2099">
        <v>0</v>
      </c>
      <c r="BC2099">
        <v>0</v>
      </c>
      <c r="BD2099">
        <v>25780.86</v>
      </c>
      <c r="BE2099">
        <v>7043.22</v>
      </c>
      <c r="BF2099">
        <v>0</v>
      </c>
      <c r="BG2099" t="s">
        <v>87</v>
      </c>
      <c r="BH2099" t="s">
        <v>66</v>
      </c>
      <c r="BI2099">
        <v>0</v>
      </c>
      <c r="BJ2099" t="s">
        <v>66</v>
      </c>
      <c r="BK2099" t="s">
        <v>88</v>
      </c>
      <c r="BL2099" t="s">
        <v>719</v>
      </c>
      <c r="BM2099" t="s">
        <v>159</v>
      </c>
    </row>
    <row r="2100" spans="1:65" x14ac:dyDescent="0.25">
      <c r="A2100">
        <v>2098</v>
      </c>
      <c r="B2100" t="s">
        <v>1998</v>
      </c>
      <c r="C2100" t="s">
        <v>68</v>
      </c>
      <c r="D2100" s="1">
        <v>46231</v>
      </c>
      <c r="E2100" t="s">
        <v>1999</v>
      </c>
      <c r="F2100" t="s">
        <v>68</v>
      </c>
      <c r="G2100" t="s">
        <v>295</v>
      </c>
      <c r="H2100" t="s">
        <v>296</v>
      </c>
      <c r="I2100" t="s">
        <v>71</v>
      </c>
      <c r="J2100" t="s">
        <v>72</v>
      </c>
      <c r="K2100" t="s">
        <v>73</v>
      </c>
      <c r="L2100" t="s">
        <v>74</v>
      </c>
      <c r="M2100" t="s">
        <v>2000</v>
      </c>
      <c r="N2100" t="s">
        <v>76</v>
      </c>
      <c r="O2100" t="s">
        <v>2001</v>
      </c>
      <c r="P2100" t="s">
        <v>2002</v>
      </c>
      <c r="Q2100" t="s">
        <v>66</v>
      </c>
      <c r="R2100" s="1">
        <v>46231</v>
      </c>
      <c r="S2100" t="s">
        <v>841</v>
      </c>
      <c r="T2100" t="s">
        <v>842</v>
      </c>
      <c r="U2100" t="s">
        <v>843</v>
      </c>
      <c r="V2100" t="s">
        <v>66</v>
      </c>
      <c r="W2100" t="s">
        <v>66</v>
      </c>
      <c r="X2100">
        <v>247254</v>
      </c>
      <c r="Y2100">
        <v>27197.94</v>
      </c>
      <c r="Z2100">
        <v>23226</v>
      </c>
      <c r="AA2100">
        <v>2554.86</v>
      </c>
      <c r="AB2100">
        <v>274451.94</v>
      </c>
      <c r="AC2100">
        <v>3</v>
      </c>
      <c r="AD2100" t="s">
        <v>82</v>
      </c>
      <c r="AE2100">
        <v>3</v>
      </c>
      <c r="AF2100" t="s">
        <v>199</v>
      </c>
      <c r="AG2100">
        <f>IFERROR(VLOOKUP(AF2100,[1]STOK!J:O,6,0),"")</f>
        <v>24</v>
      </c>
      <c r="AH2100" s="2">
        <f t="shared" si="64"/>
        <v>0.125</v>
      </c>
      <c r="AI2100" t="s">
        <v>199</v>
      </c>
      <c r="AJ2100" t="s">
        <v>200</v>
      </c>
      <c r="AK2100" t="s">
        <v>201</v>
      </c>
      <c r="AL2100" t="s">
        <v>86</v>
      </c>
      <c r="AM2100">
        <v>8769</v>
      </c>
      <c r="AN2100">
        <f t="shared" si="65"/>
        <v>8593.6200000000008</v>
      </c>
      <c r="AO2100" t="s">
        <v>66</v>
      </c>
      <c r="AP2100">
        <v>2</v>
      </c>
      <c r="AQ2100" t="s">
        <v>66</v>
      </c>
      <c r="AR2100">
        <v>0</v>
      </c>
      <c r="AS2100" t="s">
        <v>66</v>
      </c>
      <c r="AT2100">
        <v>0</v>
      </c>
      <c r="AU2100" t="s">
        <v>66</v>
      </c>
      <c r="AV2100">
        <v>0</v>
      </c>
      <c r="AW2100" t="s">
        <v>66</v>
      </c>
      <c r="AX2100">
        <v>0</v>
      </c>
      <c r="AY2100" t="s">
        <v>66</v>
      </c>
      <c r="AZ2100">
        <v>0</v>
      </c>
      <c r="BA2100" t="s">
        <v>66</v>
      </c>
      <c r="BB2100">
        <v>0</v>
      </c>
      <c r="BC2100">
        <v>0</v>
      </c>
      <c r="BD2100">
        <v>25780.86</v>
      </c>
      <c r="BE2100">
        <v>7134.31</v>
      </c>
      <c r="BF2100">
        <v>0</v>
      </c>
      <c r="BG2100" t="s">
        <v>87</v>
      </c>
      <c r="BH2100" t="s">
        <v>66</v>
      </c>
      <c r="BI2100">
        <v>0</v>
      </c>
      <c r="BJ2100" t="s">
        <v>66</v>
      </c>
      <c r="BK2100" t="s">
        <v>88</v>
      </c>
      <c r="BL2100" t="s">
        <v>719</v>
      </c>
      <c r="BM2100" t="s">
        <v>159</v>
      </c>
    </row>
    <row r="2101" spans="1:65" x14ac:dyDescent="0.25">
      <c r="A2101">
        <v>2099</v>
      </c>
      <c r="B2101" t="s">
        <v>1998</v>
      </c>
      <c r="C2101" t="s">
        <v>68</v>
      </c>
      <c r="D2101" s="1">
        <v>46231</v>
      </c>
      <c r="E2101" t="s">
        <v>1999</v>
      </c>
      <c r="F2101" t="s">
        <v>68</v>
      </c>
      <c r="G2101" t="s">
        <v>295</v>
      </c>
      <c r="H2101" t="s">
        <v>296</v>
      </c>
      <c r="I2101" t="s">
        <v>71</v>
      </c>
      <c r="J2101" t="s">
        <v>72</v>
      </c>
      <c r="K2101" t="s">
        <v>73</v>
      </c>
      <c r="L2101" t="s">
        <v>74</v>
      </c>
      <c r="M2101" t="s">
        <v>2000</v>
      </c>
      <c r="N2101" t="s">
        <v>76</v>
      </c>
      <c r="O2101" t="s">
        <v>2001</v>
      </c>
      <c r="P2101" t="s">
        <v>2002</v>
      </c>
      <c r="Q2101" t="s">
        <v>66</v>
      </c>
      <c r="R2101" s="1">
        <v>46231</v>
      </c>
      <c r="S2101" t="s">
        <v>841</v>
      </c>
      <c r="T2101" t="s">
        <v>842</v>
      </c>
      <c r="U2101" t="s">
        <v>843</v>
      </c>
      <c r="V2101" t="s">
        <v>66</v>
      </c>
      <c r="W2101" t="s">
        <v>66</v>
      </c>
      <c r="X2101">
        <v>247254</v>
      </c>
      <c r="Y2101">
        <v>27197.94</v>
      </c>
      <c r="Z2101">
        <v>66444</v>
      </c>
      <c r="AA2101">
        <v>7308.84</v>
      </c>
      <c r="AB2101">
        <v>274451.94</v>
      </c>
      <c r="AC2101">
        <v>6</v>
      </c>
      <c r="AD2101" t="s">
        <v>82</v>
      </c>
      <c r="AE2101">
        <v>6</v>
      </c>
      <c r="AF2101" t="s">
        <v>122</v>
      </c>
      <c r="AG2101">
        <f>IFERROR(VLOOKUP(AF2101,[1]STOK!J:O,6,0),"")</f>
        <v>24</v>
      </c>
      <c r="AH2101" s="2">
        <f t="shared" si="64"/>
        <v>0.25</v>
      </c>
      <c r="AI2101" t="s">
        <v>122</v>
      </c>
      <c r="AJ2101" t="s">
        <v>123</v>
      </c>
      <c r="AK2101" t="s">
        <v>124</v>
      </c>
      <c r="AL2101" t="s">
        <v>86</v>
      </c>
      <c r="AM2101">
        <v>12543</v>
      </c>
      <c r="AN2101">
        <f t="shared" si="65"/>
        <v>12292.14</v>
      </c>
      <c r="AO2101" t="s">
        <v>66</v>
      </c>
      <c r="AP2101">
        <v>2</v>
      </c>
      <c r="AQ2101" t="s">
        <v>66</v>
      </c>
      <c r="AR2101">
        <v>0</v>
      </c>
      <c r="AS2101" t="s">
        <v>66</v>
      </c>
      <c r="AT2101">
        <v>0</v>
      </c>
      <c r="AU2101" t="s">
        <v>66</v>
      </c>
      <c r="AV2101">
        <v>0</v>
      </c>
      <c r="AW2101" t="s">
        <v>66</v>
      </c>
      <c r="AX2101">
        <v>0</v>
      </c>
      <c r="AY2101" t="s">
        <v>66</v>
      </c>
      <c r="AZ2101">
        <v>0</v>
      </c>
      <c r="BA2101" t="s">
        <v>66</v>
      </c>
      <c r="BB2101">
        <v>0</v>
      </c>
      <c r="BC2101">
        <v>0</v>
      </c>
      <c r="BD2101">
        <v>73752.84</v>
      </c>
      <c r="BE2101">
        <v>10097.709999999999</v>
      </c>
      <c r="BF2101">
        <v>0</v>
      </c>
      <c r="BG2101" t="s">
        <v>87</v>
      </c>
      <c r="BH2101" t="s">
        <v>66</v>
      </c>
      <c r="BI2101">
        <v>0</v>
      </c>
      <c r="BJ2101" t="s">
        <v>66</v>
      </c>
      <c r="BK2101" t="s">
        <v>88</v>
      </c>
      <c r="BL2101" t="s">
        <v>719</v>
      </c>
      <c r="BM2101" t="s">
        <v>159</v>
      </c>
    </row>
    <row r="2102" spans="1:65" x14ac:dyDescent="0.25">
      <c r="A2102">
        <v>2100</v>
      </c>
      <c r="B2102" t="s">
        <v>1998</v>
      </c>
      <c r="C2102" t="s">
        <v>68</v>
      </c>
      <c r="D2102" s="1">
        <v>46231</v>
      </c>
      <c r="E2102" t="s">
        <v>1999</v>
      </c>
      <c r="F2102" t="s">
        <v>68</v>
      </c>
      <c r="G2102" t="s">
        <v>295</v>
      </c>
      <c r="H2102" t="s">
        <v>296</v>
      </c>
      <c r="I2102" t="s">
        <v>71</v>
      </c>
      <c r="J2102" t="s">
        <v>72</v>
      </c>
      <c r="K2102" t="s">
        <v>73</v>
      </c>
      <c r="L2102" t="s">
        <v>74</v>
      </c>
      <c r="M2102" t="s">
        <v>2000</v>
      </c>
      <c r="N2102" t="s">
        <v>76</v>
      </c>
      <c r="O2102" t="s">
        <v>2001</v>
      </c>
      <c r="P2102" t="s">
        <v>2002</v>
      </c>
      <c r="Q2102" t="s">
        <v>66</v>
      </c>
      <c r="R2102" s="1">
        <v>46231</v>
      </c>
      <c r="S2102" t="s">
        <v>841</v>
      </c>
      <c r="T2102" t="s">
        <v>842</v>
      </c>
      <c r="U2102" t="s">
        <v>843</v>
      </c>
      <c r="V2102" t="s">
        <v>66</v>
      </c>
      <c r="W2102" t="s">
        <v>66</v>
      </c>
      <c r="X2102">
        <v>247254</v>
      </c>
      <c r="Y2102">
        <v>27197.94</v>
      </c>
      <c r="Z2102">
        <v>29988</v>
      </c>
      <c r="AA2102">
        <v>3298.68</v>
      </c>
      <c r="AB2102">
        <v>274451.94</v>
      </c>
      <c r="AC2102">
        <v>3</v>
      </c>
      <c r="AD2102" t="s">
        <v>82</v>
      </c>
      <c r="AE2102">
        <v>3</v>
      </c>
      <c r="AF2102" t="s">
        <v>860</v>
      </c>
      <c r="AG2102">
        <f>IFERROR(VLOOKUP(AF2102,[1]STOK!J:O,6,0),"")</f>
        <v>24</v>
      </c>
      <c r="AH2102" s="2">
        <f t="shared" si="64"/>
        <v>0.125</v>
      </c>
      <c r="AI2102" t="s">
        <v>860</v>
      </c>
      <c r="AJ2102" t="s">
        <v>861</v>
      </c>
      <c r="AK2102" t="s">
        <v>862</v>
      </c>
      <c r="AL2102" t="s">
        <v>86</v>
      </c>
      <c r="AM2102">
        <v>11322</v>
      </c>
      <c r="AN2102">
        <f t="shared" si="65"/>
        <v>11095.56</v>
      </c>
      <c r="AO2102" t="s">
        <v>66</v>
      </c>
      <c r="AP2102">
        <v>2</v>
      </c>
      <c r="AQ2102" t="s">
        <v>66</v>
      </c>
      <c r="AR2102">
        <v>0</v>
      </c>
      <c r="AS2102" t="s">
        <v>66</v>
      </c>
      <c r="AT2102">
        <v>0</v>
      </c>
      <c r="AU2102" t="s">
        <v>66</v>
      </c>
      <c r="AV2102">
        <v>0</v>
      </c>
      <c r="AW2102" t="s">
        <v>66</v>
      </c>
      <c r="AX2102">
        <v>0</v>
      </c>
      <c r="AY2102" t="s">
        <v>66</v>
      </c>
      <c r="AZ2102">
        <v>0</v>
      </c>
      <c r="BA2102" t="s">
        <v>66</v>
      </c>
      <c r="BB2102">
        <v>0</v>
      </c>
      <c r="BC2102">
        <v>0</v>
      </c>
      <c r="BD2102">
        <v>33286.68</v>
      </c>
      <c r="BE2102">
        <v>9116.64</v>
      </c>
      <c r="BF2102">
        <v>0</v>
      </c>
      <c r="BG2102" t="s">
        <v>87</v>
      </c>
      <c r="BH2102" t="s">
        <v>66</v>
      </c>
      <c r="BI2102">
        <v>0</v>
      </c>
      <c r="BJ2102" t="s">
        <v>66</v>
      </c>
      <c r="BK2102" t="s">
        <v>88</v>
      </c>
      <c r="BL2102" t="s">
        <v>719</v>
      </c>
      <c r="BM2102" t="s">
        <v>159</v>
      </c>
    </row>
    <row r="2103" spans="1:65" x14ac:dyDescent="0.25">
      <c r="A2103">
        <v>2101</v>
      </c>
      <c r="B2103" t="s">
        <v>1998</v>
      </c>
      <c r="C2103" t="s">
        <v>68</v>
      </c>
      <c r="D2103" s="1">
        <v>46231</v>
      </c>
      <c r="E2103" t="s">
        <v>1999</v>
      </c>
      <c r="F2103" t="s">
        <v>68</v>
      </c>
      <c r="G2103" t="s">
        <v>295</v>
      </c>
      <c r="H2103" t="s">
        <v>296</v>
      </c>
      <c r="I2103" t="s">
        <v>71</v>
      </c>
      <c r="J2103" t="s">
        <v>72</v>
      </c>
      <c r="K2103" t="s">
        <v>73</v>
      </c>
      <c r="L2103" t="s">
        <v>74</v>
      </c>
      <c r="M2103" t="s">
        <v>2000</v>
      </c>
      <c r="N2103" t="s">
        <v>76</v>
      </c>
      <c r="O2103" t="s">
        <v>2001</v>
      </c>
      <c r="P2103" t="s">
        <v>2002</v>
      </c>
      <c r="Q2103" t="s">
        <v>66</v>
      </c>
      <c r="R2103" s="1">
        <v>46231</v>
      </c>
      <c r="S2103" t="s">
        <v>841</v>
      </c>
      <c r="T2103" t="s">
        <v>842</v>
      </c>
      <c r="U2103" t="s">
        <v>843</v>
      </c>
      <c r="V2103" t="s">
        <v>66</v>
      </c>
      <c r="W2103" t="s">
        <v>66</v>
      </c>
      <c r="X2103">
        <v>247254</v>
      </c>
      <c r="Y2103">
        <v>27197.94</v>
      </c>
      <c r="Z2103">
        <v>16758</v>
      </c>
      <c r="AA2103">
        <v>1843.38</v>
      </c>
      <c r="AB2103">
        <v>274451.94</v>
      </c>
      <c r="AC2103">
        <v>3</v>
      </c>
      <c r="AD2103" t="s">
        <v>82</v>
      </c>
      <c r="AE2103">
        <v>3</v>
      </c>
      <c r="AF2103" t="s">
        <v>90</v>
      </c>
      <c r="AG2103">
        <f>IFERROR(VLOOKUP(AF2103,[1]STOK!J:O,6,0),"")</f>
        <v>48</v>
      </c>
      <c r="AH2103" s="2">
        <f t="shared" si="64"/>
        <v>6.25E-2</v>
      </c>
      <c r="AI2103" t="s">
        <v>90</v>
      </c>
      <c r="AJ2103" t="s">
        <v>91</v>
      </c>
      <c r="AK2103" t="s">
        <v>92</v>
      </c>
      <c r="AL2103" t="s">
        <v>86</v>
      </c>
      <c r="AM2103">
        <v>6327</v>
      </c>
      <c r="AN2103">
        <f t="shared" si="65"/>
        <v>6200.46</v>
      </c>
      <c r="AO2103" t="s">
        <v>66</v>
      </c>
      <c r="AP2103">
        <v>2</v>
      </c>
      <c r="AQ2103" t="s">
        <v>66</v>
      </c>
      <c r="AR2103">
        <v>0</v>
      </c>
      <c r="AS2103" t="s">
        <v>66</v>
      </c>
      <c r="AT2103">
        <v>0</v>
      </c>
      <c r="AU2103" t="s">
        <v>66</v>
      </c>
      <c r="AV2103">
        <v>0</v>
      </c>
      <c r="AW2103" t="s">
        <v>66</v>
      </c>
      <c r="AX2103">
        <v>0</v>
      </c>
      <c r="AY2103" t="s">
        <v>66</v>
      </c>
      <c r="AZ2103">
        <v>0</v>
      </c>
      <c r="BA2103" t="s">
        <v>66</v>
      </c>
      <c r="BB2103">
        <v>0</v>
      </c>
      <c r="BC2103">
        <v>0</v>
      </c>
      <c r="BD2103">
        <v>18601.38</v>
      </c>
      <c r="BE2103">
        <v>4964.97</v>
      </c>
      <c r="BF2103">
        <v>0</v>
      </c>
      <c r="BG2103" t="s">
        <v>87</v>
      </c>
      <c r="BH2103" t="s">
        <v>66</v>
      </c>
      <c r="BI2103">
        <v>0</v>
      </c>
      <c r="BJ2103" t="s">
        <v>66</v>
      </c>
      <c r="BK2103" t="s">
        <v>88</v>
      </c>
      <c r="BL2103" t="s">
        <v>719</v>
      </c>
      <c r="BM2103" t="s">
        <v>159</v>
      </c>
    </row>
    <row r="2104" spans="1:65" x14ac:dyDescent="0.25">
      <c r="A2104">
        <v>2102</v>
      </c>
      <c r="B2104" t="s">
        <v>1998</v>
      </c>
      <c r="C2104" t="s">
        <v>68</v>
      </c>
      <c r="D2104" s="1">
        <v>46231</v>
      </c>
      <c r="E2104" t="s">
        <v>1999</v>
      </c>
      <c r="F2104" t="s">
        <v>68</v>
      </c>
      <c r="G2104" t="s">
        <v>295</v>
      </c>
      <c r="H2104" t="s">
        <v>296</v>
      </c>
      <c r="I2104" t="s">
        <v>71</v>
      </c>
      <c r="J2104" t="s">
        <v>72</v>
      </c>
      <c r="K2104" t="s">
        <v>73</v>
      </c>
      <c r="L2104" t="s">
        <v>74</v>
      </c>
      <c r="M2104" t="s">
        <v>2000</v>
      </c>
      <c r="N2104" t="s">
        <v>76</v>
      </c>
      <c r="O2104" t="s">
        <v>2001</v>
      </c>
      <c r="P2104" t="s">
        <v>2002</v>
      </c>
      <c r="Q2104" t="s">
        <v>66</v>
      </c>
      <c r="R2104" s="1">
        <v>46231</v>
      </c>
      <c r="S2104" t="s">
        <v>841</v>
      </c>
      <c r="T2104" t="s">
        <v>842</v>
      </c>
      <c r="U2104" t="s">
        <v>843</v>
      </c>
      <c r="V2104" t="s">
        <v>66</v>
      </c>
      <c r="W2104" t="s">
        <v>66</v>
      </c>
      <c r="X2104">
        <v>247254</v>
      </c>
      <c r="Y2104">
        <v>27197.94</v>
      </c>
      <c r="Z2104">
        <v>16758</v>
      </c>
      <c r="AA2104">
        <v>1843.38</v>
      </c>
      <c r="AB2104">
        <v>274451.94</v>
      </c>
      <c r="AC2104">
        <v>3</v>
      </c>
      <c r="AD2104" t="s">
        <v>82</v>
      </c>
      <c r="AE2104">
        <v>3</v>
      </c>
      <c r="AF2104" t="s">
        <v>202</v>
      </c>
      <c r="AG2104">
        <f>IFERROR(VLOOKUP(AF2104,[1]STOK!J:O,6,0),"")</f>
        <v>48</v>
      </c>
      <c r="AH2104" s="2">
        <f t="shared" si="64"/>
        <v>6.25E-2</v>
      </c>
      <c r="AI2104" t="s">
        <v>202</v>
      </c>
      <c r="AJ2104" t="s">
        <v>203</v>
      </c>
      <c r="AK2104" t="s">
        <v>204</v>
      </c>
      <c r="AL2104" t="s">
        <v>86</v>
      </c>
      <c r="AM2104">
        <v>6327</v>
      </c>
      <c r="AN2104">
        <f t="shared" si="65"/>
        <v>6200.46</v>
      </c>
      <c r="AO2104" t="s">
        <v>66</v>
      </c>
      <c r="AP2104">
        <v>2</v>
      </c>
      <c r="AQ2104" t="s">
        <v>66</v>
      </c>
      <c r="AR2104">
        <v>0</v>
      </c>
      <c r="AS2104" t="s">
        <v>66</v>
      </c>
      <c r="AT2104">
        <v>0</v>
      </c>
      <c r="AU2104" t="s">
        <v>66</v>
      </c>
      <c r="AV2104">
        <v>0</v>
      </c>
      <c r="AW2104" t="s">
        <v>66</v>
      </c>
      <c r="AX2104">
        <v>0</v>
      </c>
      <c r="AY2104" t="s">
        <v>66</v>
      </c>
      <c r="AZ2104">
        <v>0</v>
      </c>
      <c r="BA2104" t="s">
        <v>66</v>
      </c>
      <c r="BB2104">
        <v>0</v>
      </c>
      <c r="BC2104">
        <v>0</v>
      </c>
      <c r="BD2104">
        <v>18601.38</v>
      </c>
      <c r="BE2104">
        <v>5039.6099999999997</v>
      </c>
      <c r="BF2104">
        <v>0</v>
      </c>
      <c r="BG2104" t="s">
        <v>87</v>
      </c>
      <c r="BH2104" t="s">
        <v>66</v>
      </c>
      <c r="BI2104">
        <v>0</v>
      </c>
      <c r="BJ2104" t="s">
        <v>66</v>
      </c>
      <c r="BK2104" t="s">
        <v>88</v>
      </c>
      <c r="BL2104" t="s">
        <v>719</v>
      </c>
      <c r="BM2104" t="s">
        <v>159</v>
      </c>
    </row>
    <row r="2105" spans="1:65" x14ac:dyDescent="0.25">
      <c r="A2105">
        <v>2103</v>
      </c>
      <c r="B2105" t="s">
        <v>1998</v>
      </c>
      <c r="C2105" t="s">
        <v>68</v>
      </c>
      <c r="D2105" s="1">
        <v>46231</v>
      </c>
      <c r="E2105" t="s">
        <v>1999</v>
      </c>
      <c r="F2105" t="s">
        <v>68</v>
      </c>
      <c r="G2105" t="s">
        <v>295</v>
      </c>
      <c r="H2105" t="s">
        <v>296</v>
      </c>
      <c r="I2105" t="s">
        <v>71</v>
      </c>
      <c r="J2105" t="s">
        <v>72</v>
      </c>
      <c r="K2105" t="s">
        <v>73</v>
      </c>
      <c r="L2105" t="s">
        <v>74</v>
      </c>
      <c r="M2105" t="s">
        <v>2000</v>
      </c>
      <c r="N2105" t="s">
        <v>76</v>
      </c>
      <c r="O2105" t="s">
        <v>2001</v>
      </c>
      <c r="P2105" t="s">
        <v>2002</v>
      </c>
      <c r="Q2105" t="s">
        <v>66</v>
      </c>
      <c r="R2105" s="1">
        <v>46231</v>
      </c>
      <c r="S2105" t="s">
        <v>841</v>
      </c>
      <c r="T2105" t="s">
        <v>842</v>
      </c>
      <c r="U2105" t="s">
        <v>843</v>
      </c>
      <c r="V2105" t="s">
        <v>66</v>
      </c>
      <c r="W2105" t="s">
        <v>66</v>
      </c>
      <c r="X2105">
        <v>247254</v>
      </c>
      <c r="Y2105">
        <v>27197.94</v>
      </c>
      <c r="Z2105">
        <v>16758</v>
      </c>
      <c r="AA2105">
        <v>1843.38</v>
      </c>
      <c r="AB2105">
        <v>274451.94</v>
      </c>
      <c r="AC2105">
        <v>3</v>
      </c>
      <c r="AD2105" t="s">
        <v>82</v>
      </c>
      <c r="AE2105">
        <v>3</v>
      </c>
      <c r="AF2105" t="s">
        <v>350</v>
      </c>
      <c r="AG2105">
        <f>IFERROR(VLOOKUP(AF2105,[1]STOK!J:O,6,0),"")</f>
        <v>48</v>
      </c>
      <c r="AH2105" s="2">
        <f t="shared" si="64"/>
        <v>6.25E-2</v>
      </c>
      <c r="AI2105" t="s">
        <v>350</v>
      </c>
      <c r="AJ2105" t="s">
        <v>351</v>
      </c>
      <c r="AK2105" t="s">
        <v>352</v>
      </c>
      <c r="AL2105" t="s">
        <v>86</v>
      </c>
      <c r="AM2105">
        <v>6327</v>
      </c>
      <c r="AN2105">
        <f t="shared" si="65"/>
        <v>6200.46</v>
      </c>
      <c r="AO2105" t="s">
        <v>66</v>
      </c>
      <c r="AP2105">
        <v>2</v>
      </c>
      <c r="AQ2105" t="s">
        <v>66</v>
      </c>
      <c r="AR2105">
        <v>0</v>
      </c>
      <c r="AS2105" t="s">
        <v>66</v>
      </c>
      <c r="AT2105">
        <v>0</v>
      </c>
      <c r="AU2105" t="s">
        <v>66</v>
      </c>
      <c r="AV2105">
        <v>0</v>
      </c>
      <c r="AW2105" t="s">
        <v>66</v>
      </c>
      <c r="AX2105">
        <v>0</v>
      </c>
      <c r="AY2105" t="s">
        <v>66</v>
      </c>
      <c r="AZ2105">
        <v>0</v>
      </c>
      <c r="BA2105" t="s">
        <v>66</v>
      </c>
      <c r="BB2105">
        <v>0</v>
      </c>
      <c r="BC2105">
        <v>0</v>
      </c>
      <c r="BD2105">
        <v>18601.38</v>
      </c>
      <c r="BE2105">
        <v>5068.84</v>
      </c>
      <c r="BF2105">
        <v>0</v>
      </c>
      <c r="BG2105" t="s">
        <v>87</v>
      </c>
      <c r="BH2105" t="s">
        <v>66</v>
      </c>
      <c r="BI2105">
        <v>0</v>
      </c>
      <c r="BJ2105" t="s">
        <v>66</v>
      </c>
      <c r="BK2105" t="s">
        <v>88</v>
      </c>
      <c r="BL2105" t="s">
        <v>719</v>
      </c>
      <c r="BM2105" t="s">
        <v>159</v>
      </c>
    </row>
    <row r="2106" spans="1:65" x14ac:dyDescent="0.25">
      <c r="A2106">
        <v>2104</v>
      </c>
      <c r="B2106" t="s">
        <v>2003</v>
      </c>
      <c r="C2106" t="s">
        <v>68</v>
      </c>
      <c r="D2106" s="1">
        <v>46231</v>
      </c>
      <c r="E2106" t="s">
        <v>2004</v>
      </c>
      <c r="F2106" t="s">
        <v>68</v>
      </c>
      <c r="G2106" t="s">
        <v>295</v>
      </c>
      <c r="H2106" t="s">
        <v>296</v>
      </c>
      <c r="I2106" t="s">
        <v>71</v>
      </c>
      <c r="J2106" t="s">
        <v>72</v>
      </c>
      <c r="K2106" t="s">
        <v>73</v>
      </c>
      <c r="L2106" t="s">
        <v>74</v>
      </c>
      <c r="M2106" t="s">
        <v>2005</v>
      </c>
      <c r="N2106" t="s">
        <v>76</v>
      </c>
      <c r="O2106" t="s">
        <v>2006</v>
      </c>
      <c r="P2106" t="s">
        <v>2007</v>
      </c>
      <c r="Q2106" t="s">
        <v>66</v>
      </c>
      <c r="R2106" s="1">
        <v>46231</v>
      </c>
      <c r="S2106" t="s">
        <v>2008</v>
      </c>
      <c r="T2106" t="s">
        <v>842</v>
      </c>
      <c r="U2106" t="s">
        <v>843</v>
      </c>
      <c r="V2106" t="s">
        <v>66</v>
      </c>
      <c r="W2106" t="s">
        <v>66</v>
      </c>
      <c r="X2106">
        <v>170520</v>
      </c>
      <c r="Y2106">
        <v>18757.2</v>
      </c>
      <c r="Z2106">
        <v>108192</v>
      </c>
      <c r="AA2106">
        <v>11901.12</v>
      </c>
      <c r="AB2106">
        <v>189277.2</v>
      </c>
      <c r="AC2106">
        <v>6</v>
      </c>
      <c r="AD2106" t="s">
        <v>82</v>
      </c>
      <c r="AE2106">
        <v>6</v>
      </c>
      <c r="AF2106" t="s">
        <v>116</v>
      </c>
      <c r="AG2106">
        <f>IFERROR(VLOOKUP(AF2106,[1]STOK!J:O,6,0),"")</f>
        <v>12</v>
      </c>
      <c r="AH2106" s="2">
        <f t="shared" si="64"/>
        <v>0.5</v>
      </c>
      <c r="AI2106" t="s">
        <v>116</v>
      </c>
      <c r="AJ2106" t="s">
        <v>117</v>
      </c>
      <c r="AK2106" t="s">
        <v>118</v>
      </c>
      <c r="AL2106" t="s">
        <v>86</v>
      </c>
      <c r="AM2106">
        <v>20424</v>
      </c>
      <c r="AN2106">
        <f t="shared" si="65"/>
        <v>20015.52</v>
      </c>
      <c r="AO2106" t="s">
        <v>66</v>
      </c>
      <c r="AP2106">
        <v>2</v>
      </c>
      <c r="AQ2106" t="s">
        <v>66</v>
      </c>
      <c r="AR2106">
        <v>0</v>
      </c>
      <c r="AS2106" t="s">
        <v>66</v>
      </c>
      <c r="AT2106">
        <v>0</v>
      </c>
      <c r="AU2106" t="s">
        <v>66</v>
      </c>
      <c r="AV2106">
        <v>0</v>
      </c>
      <c r="AW2106" t="s">
        <v>66</v>
      </c>
      <c r="AX2106">
        <v>0</v>
      </c>
      <c r="AY2106" t="s">
        <v>66</v>
      </c>
      <c r="AZ2106">
        <v>0</v>
      </c>
      <c r="BA2106" t="s">
        <v>66</v>
      </c>
      <c r="BB2106">
        <v>0</v>
      </c>
      <c r="BC2106">
        <v>0</v>
      </c>
      <c r="BD2106">
        <v>120093.12</v>
      </c>
      <c r="BE2106">
        <v>16618.900000000001</v>
      </c>
      <c r="BF2106">
        <v>0</v>
      </c>
      <c r="BG2106" t="s">
        <v>87</v>
      </c>
      <c r="BH2106" t="s">
        <v>66</v>
      </c>
      <c r="BI2106">
        <v>0</v>
      </c>
      <c r="BJ2106" t="s">
        <v>66</v>
      </c>
      <c r="BK2106" t="s">
        <v>88</v>
      </c>
      <c r="BL2106" t="s">
        <v>2009</v>
      </c>
      <c r="BM2106" t="s">
        <v>159</v>
      </c>
    </row>
    <row r="2107" spans="1:65" x14ac:dyDescent="0.25">
      <c r="A2107">
        <v>2105</v>
      </c>
      <c r="B2107" t="s">
        <v>2003</v>
      </c>
      <c r="C2107" t="s">
        <v>68</v>
      </c>
      <c r="D2107" s="1">
        <v>46231</v>
      </c>
      <c r="E2107" t="s">
        <v>2004</v>
      </c>
      <c r="F2107" t="s">
        <v>68</v>
      </c>
      <c r="G2107" t="s">
        <v>295</v>
      </c>
      <c r="H2107" t="s">
        <v>296</v>
      </c>
      <c r="I2107" t="s">
        <v>71</v>
      </c>
      <c r="J2107" t="s">
        <v>72</v>
      </c>
      <c r="K2107" t="s">
        <v>73</v>
      </c>
      <c r="L2107" t="s">
        <v>74</v>
      </c>
      <c r="M2107" t="s">
        <v>2005</v>
      </c>
      <c r="N2107" t="s">
        <v>76</v>
      </c>
      <c r="O2107" t="s">
        <v>2006</v>
      </c>
      <c r="P2107" t="s">
        <v>2007</v>
      </c>
      <c r="Q2107" t="s">
        <v>66</v>
      </c>
      <c r="R2107" s="1">
        <v>46231</v>
      </c>
      <c r="S2107" t="s">
        <v>2008</v>
      </c>
      <c r="T2107" t="s">
        <v>842</v>
      </c>
      <c r="U2107" t="s">
        <v>843</v>
      </c>
      <c r="V2107" t="s">
        <v>66</v>
      </c>
      <c r="W2107" t="s">
        <v>66</v>
      </c>
      <c r="X2107">
        <v>170520</v>
      </c>
      <c r="Y2107">
        <v>18757.2</v>
      </c>
      <c r="Z2107">
        <v>23226</v>
      </c>
      <c r="AA2107">
        <v>2554.86</v>
      </c>
      <c r="AB2107">
        <v>189277.2</v>
      </c>
      <c r="AC2107">
        <v>3</v>
      </c>
      <c r="AD2107" t="s">
        <v>82</v>
      </c>
      <c r="AE2107">
        <v>3</v>
      </c>
      <c r="AF2107" t="s">
        <v>248</v>
      </c>
      <c r="AG2107">
        <f>IFERROR(VLOOKUP(AF2107,[1]STOK!J:O,6,0),"")</f>
        <v>24</v>
      </c>
      <c r="AH2107" s="2">
        <f t="shared" si="64"/>
        <v>0.125</v>
      </c>
      <c r="AI2107" t="s">
        <v>248</v>
      </c>
      <c r="AJ2107" t="s">
        <v>249</v>
      </c>
      <c r="AK2107" t="s">
        <v>250</v>
      </c>
      <c r="AL2107" t="s">
        <v>86</v>
      </c>
      <c r="AM2107">
        <v>8769</v>
      </c>
      <c r="AN2107">
        <f t="shared" si="65"/>
        <v>8593.6200000000008</v>
      </c>
      <c r="AO2107" t="s">
        <v>66</v>
      </c>
      <c r="AP2107">
        <v>2</v>
      </c>
      <c r="AQ2107" t="s">
        <v>66</v>
      </c>
      <c r="AR2107">
        <v>0</v>
      </c>
      <c r="AS2107" t="s">
        <v>66</v>
      </c>
      <c r="AT2107">
        <v>0</v>
      </c>
      <c r="AU2107" t="s">
        <v>66</v>
      </c>
      <c r="AV2107">
        <v>0</v>
      </c>
      <c r="AW2107" t="s">
        <v>66</v>
      </c>
      <c r="AX2107">
        <v>0</v>
      </c>
      <c r="AY2107" t="s">
        <v>66</v>
      </c>
      <c r="AZ2107">
        <v>0</v>
      </c>
      <c r="BA2107" t="s">
        <v>66</v>
      </c>
      <c r="BB2107">
        <v>0</v>
      </c>
      <c r="BC2107">
        <v>0</v>
      </c>
      <c r="BD2107">
        <v>25780.86</v>
      </c>
      <c r="BE2107">
        <v>7043.22</v>
      </c>
      <c r="BF2107">
        <v>0</v>
      </c>
      <c r="BG2107" t="s">
        <v>87</v>
      </c>
      <c r="BH2107" t="s">
        <v>66</v>
      </c>
      <c r="BI2107">
        <v>0</v>
      </c>
      <c r="BJ2107" t="s">
        <v>66</v>
      </c>
      <c r="BK2107" t="s">
        <v>88</v>
      </c>
      <c r="BL2107" t="s">
        <v>2009</v>
      </c>
      <c r="BM2107" t="s">
        <v>159</v>
      </c>
    </row>
    <row r="2108" spans="1:65" x14ac:dyDescent="0.25">
      <c r="A2108">
        <v>2106</v>
      </c>
      <c r="B2108" t="s">
        <v>2003</v>
      </c>
      <c r="C2108" t="s">
        <v>68</v>
      </c>
      <c r="D2108" s="1">
        <v>46231</v>
      </c>
      <c r="E2108" t="s">
        <v>2004</v>
      </c>
      <c r="F2108" t="s">
        <v>68</v>
      </c>
      <c r="G2108" t="s">
        <v>295</v>
      </c>
      <c r="H2108" t="s">
        <v>296</v>
      </c>
      <c r="I2108" t="s">
        <v>71</v>
      </c>
      <c r="J2108" t="s">
        <v>72</v>
      </c>
      <c r="K2108" t="s">
        <v>73</v>
      </c>
      <c r="L2108" t="s">
        <v>74</v>
      </c>
      <c r="M2108" t="s">
        <v>2005</v>
      </c>
      <c r="N2108" t="s">
        <v>76</v>
      </c>
      <c r="O2108" t="s">
        <v>2006</v>
      </c>
      <c r="P2108" t="s">
        <v>2007</v>
      </c>
      <c r="Q2108" t="s">
        <v>66</v>
      </c>
      <c r="R2108" s="1">
        <v>46231</v>
      </c>
      <c r="S2108" t="s">
        <v>2008</v>
      </c>
      <c r="T2108" t="s">
        <v>842</v>
      </c>
      <c r="U2108" t="s">
        <v>843</v>
      </c>
      <c r="V2108" t="s">
        <v>66</v>
      </c>
      <c r="W2108" t="s">
        <v>66</v>
      </c>
      <c r="X2108">
        <v>170520</v>
      </c>
      <c r="Y2108">
        <v>18757.2</v>
      </c>
      <c r="Z2108">
        <v>39102</v>
      </c>
      <c r="AA2108">
        <v>4301.22</v>
      </c>
      <c r="AB2108">
        <v>189277.2</v>
      </c>
      <c r="AC2108">
        <v>3</v>
      </c>
      <c r="AD2108" t="s">
        <v>82</v>
      </c>
      <c r="AE2108">
        <v>3</v>
      </c>
      <c r="AF2108" t="s">
        <v>135</v>
      </c>
      <c r="AG2108">
        <f>IFERROR(VLOOKUP(AF2108,[1]STOK!J:O,6,0),"")</f>
        <v>12</v>
      </c>
      <c r="AH2108" s="2">
        <f t="shared" si="64"/>
        <v>0.25</v>
      </c>
      <c r="AI2108" t="s">
        <v>135</v>
      </c>
      <c r="AJ2108" t="s">
        <v>136</v>
      </c>
      <c r="AK2108" t="s">
        <v>137</v>
      </c>
      <c r="AL2108" t="s">
        <v>86</v>
      </c>
      <c r="AM2108">
        <v>14763</v>
      </c>
      <c r="AN2108">
        <f t="shared" si="65"/>
        <v>14467.74</v>
      </c>
      <c r="AO2108" t="s">
        <v>66</v>
      </c>
      <c r="AP2108">
        <v>2</v>
      </c>
      <c r="AQ2108" t="s">
        <v>66</v>
      </c>
      <c r="AR2108">
        <v>0</v>
      </c>
      <c r="AS2108" t="s">
        <v>66</v>
      </c>
      <c r="AT2108">
        <v>0</v>
      </c>
      <c r="AU2108" t="s">
        <v>66</v>
      </c>
      <c r="AV2108">
        <v>0</v>
      </c>
      <c r="AW2108" t="s">
        <v>66</v>
      </c>
      <c r="AX2108">
        <v>0</v>
      </c>
      <c r="AY2108" t="s">
        <v>66</v>
      </c>
      <c r="AZ2108">
        <v>0</v>
      </c>
      <c r="BA2108" t="s">
        <v>66</v>
      </c>
      <c r="BB2108">
        <v>0</v>
      </c>
      <c r="BC2108">
        <v>0</v>
      </c>
      <c r="BD2108">
        <v>43403.22</v>
      </c>
      <c r="BE2108">
        <v>12034.95</v>
      </c>
      <c r="BF2108">
        <v>0</v>
      </c>
      <c r="BG2108" t="s">
        <v>87</v>
      </c>
      <c r="BH2108" t="s">
        <v>66</v>
      </c>
      <c r="BI2108">
        <v>0</v>
      </c>
      <c r="BJ2108" t="s">
        <v>66</v>
      </c>
      <c r="BK2108" t="s">
        <v>88</v>
      </c>
      <c r="BL2108" t="s">
        <v>2009</v>
      </c>
      <c r="BM2108" t="s">
        <v>159</v>
      </c>
    </row>
    <row r="2109" spans="1:65" x14ac:dyDescent="0.25">
      <c r="A2109">
        <v>2107</v>
      </c>
      <c r="B2109" t="s">
        <v>2010</v>
      </c>
      <c r="C2109" t="s">
        <v>2011</v>
      </c>
      <c r="D2109" s="1">
        <v>46231</v>
      </c>
      <c r="E2109" t="s">
        <v>2012</v>
      </c>
      <c r="F2109" t="s">
        <v>2013</v>
      </c>
      <c r="G2109" t="s">
        <v>295</v>
      </c>
      <c r="H2109" t="s">
        <v>296</v>
      </c>
      <c r="I2109" t="s">
        <v>71</v>
      </c>
      <c r="J2109" t="s">
        <v>72</v>
      </c>
      <c r="K2109" t="s">
        <v>73</v>
      </c>
      <c r="L2109" t="s">
        <v>74</v>
      </c>
      <c r="M2109" t="s">
        <v>995</v>
      </c>
      <c r="N2109" t="s">
        <v>111</v>
      </c>
      <c r="O2109" t="s">
        <v>996</v>
      </c>
      <c r="P2109" t="s">
        <v>997</v>
      </c>
      <c r="Q2109" t="s">
        <v>66</v>
      </c>
      <c r="R2109" s="1">
        <v>46231</v>
      </c>
      <c r="S2109" t="s">
        <v>999</v>
      </c>
      <c r="T2109" t="s">
        <v>1000</v>
      </c>
      <c r="U2109" t="s">
        <v>1001</v>
      </c>
      <c r="V2109" t="s">
        <v>66</v>
      </c>
      <c r="W2109" t="s">
        <v>66</v>
      </c>
      <c r="X2109">
        <v>231636</v>
      </c>
      <c r="Y2109">
        <v>25479.96</v>
      </c>
      <c r="Z2109">
        <v>231636</v>
      </c>
      <c r="AA2109">
        <v>25479.96</v>
      </c>
      <c r="AB2109">
        <v>257115.96</v>
      </c>
      <c r="AC2109">
        <v>1</v>
      </c>
      <c r="AD2109" t="s">
        <v>134</v>
      </c>
      <c r="AE2109">
        <v>12</v>
      </c>
      <c r="AF2109" t="s">
        <v>290</v>
      </c>
      <c r="AG2109">
        <f>IFERROR(VLOOKUP(AF2109,[1]STOK!J:O,6,0),"")</f>
        <v>12</v>
      </c>
      <c r="AH2109" s="2">
        <f t="shared" si="64"/>
        <v>1</v>
      </c>
      <c r="AI2109" t="s">
        <v>290</v>
      </c>
      <c r="AJ2109" t="s">
        <v>291</v>
      </c>
      <c r="AK2109" t="s">
        <v>292</v>
      </c>
      <c r="AL2109" t="s">
        <v>86</v>
      </c>
      <c r="AM2109">
        <v>266400</v>
      </c>
      <c r="AN2109">
        <f t="shared" si="65"/>
        <v>257115.96</v>
      </c>
      <c r="AO2109" t="s">
        <v>66</v>
      </c>
      <c r="AP2109">
        <v>3</v>
      </c>
      <c r="AQ2109" t="s">
        <v>66</v>
      </c>
      <c r="AR2109">
        <v>0</v>
      </c>
      <c r="AS2109" t="s">
        <v>66</v>
      </c>
      <c r="AT2109">
        <v>0</v>
      </c>
      <c r="AU2109" t="s">
        <v>66</v>
      </c>
      <c r="AV2109">
        <v>0.5</v>
      </c>
      <c r="AW2109" t="s">
        <v>66</v>
      </c>
      <c r="AX2109">
        <v>0</v>
      </c>
      <c r="AY2109" t="s">
        <v>66</v>
      </c>
      <c r="AZ2109">
        <v>0</v>
      </c>
      <c r="BA2109" t="s">
        <v>66</v>
      </c>
      <c r="BB2109">
        <v>0</v>
      </c>
      <c r="BC2109">
        <v>0</v>
      </c>
      <c r="BD2109">
        <v>257115.96</v>
      </c>
      <c r="BE2109">
        <v>18113.71</v>
      </c>
      <c r="BF2109">
        <v>0</v>
      </c>
      <c r="BG2109" t="s">
        <v>87</v>
      </c>
      <c r="BH2109" t="s">
        <v>66</v>
      </c>
      <c r="BI2109">
        <v>0</v>
      </c>
      <c r="BJ2109" t="s">
        <v>66</v>
      </c>
      <c r="BK2109" t="s">
        <v>88</v>
      </c>
      <c r="BL2109" t="s">
        <v>66</v>
      </c>
      <c r="BM2109" t="s">
        <v>159</v>
      </c>
    </row>
    <row r="2110" spans="1:65" x14ac:dyDescent="0.25">
      <c r="A2110">
        <v>2108</v>
      </c>
      <c r="B2110" t="s">
        <v>2014</v>
      </c>
      <c r="C2110" t="s">
        <v>2015</v>
      </c>
      <c r="D2110" s="1">
        <v>46231</v>
      </c>
      <c r="E2110" t="s">
        <v>2016</v>
      </c>
      <c r="F2110" t="s">
        <v>2017</v>
      </c>
      <c r="G2110" t="s">
        <v>69</v>
      </c>
      <c r="H2110" t="s">
        <v>70</v>
      </c>
      <c r="I2110" t="s">
        <v>71</v>
      </c>
      <c r="J2110" t="s">
        <v>72</v>
      </c>
      <c r="K2110" t="s">
        <v>73</v>
      </c>
      <c r="L2110" t="s">
        <v>74</v>
      </c>
      <c r="M2110" t="s">
        <v>867</v>
      </c>
      <c r="N2110" t="s">
        <v>696</v>
      </c>
      <c r="O2110" t="s">
        <v>868</v>
      </c>
      <c r="P2110" t="s">
        <v>869</v>
      </c>
      <c r="Q2110" t="s">
        <v>2018</v>
      </c>
      <c r="R2110" s="1">
        <v>46232</v>
      </c>
      <c r="S2110" t="s">
        <v>871</v>
      </c>
      <c r="T2110" t="s">
        <v>872</v>
      </c>
      <c r="U2110" t="s">
        <v>873</v>
      </c>
      <c r="V2110" t="s">
        <v>66</v>
      </c>
      <c r="W2110" t="s">
        <v>66</v>
      </c>
      <c r="X2110">
        <v>568032</v>
      </c>
      <c r="Y2110">
        <v>62483.519999999997</v>
      </c>
      <c r="Z2110">
        <v>568032</v>
      </c>
      <c r="AA2110">
        <v>62483.519999999997</v>
      </c>
      <c r="AB2110">
        <v>630515.52</v>
      </c>
      <c r="AC2110">
        <v>2</v>
      </c>
      <c r="AD2110" t="s">
        <v>134</v>
      </c>
      <c r="AE2110">
        <v>96</v>
      </c>
      <c r="AF2110" t="s">
        <v>125</v>
      </c>
      <c r="AG2110">
        <f>IFERROR(VLOOKUP(AF2110,[1]STOK!J:O,6,0),"")</f>
        <v>48</v>
      </c>
      <c r="AH2110" s="2">
        <f t="shared" si="64"/>
        <v>2</v>
      </c>
      <c r="AI2110" t="s">
        <v>125</v>
      </c>
      <c r="AJ2110" t="s">
        <v>126</v>
      </c>
      <c r="AK2110" t="s">
        <v>127</v>
      </c>
      <c r="AL2110" t="s">
        <v>86</v>
      </c>
      <c r="AM2110">
        <v>325008</v>
      </c>
      <c r="AN2110">
        <f t="shared" si="65"/>
        <v>315257.76</v>
      </c>
      <c r="AO2110" t="s">
        <v>66</v>
      </c>
      <c r="AP2110">
        <v>3</v>
      </c>
      <c r="AQ2110" t="s">
        <v>66</v>
      </c>
      <c r="AR2110">
        <v>0</v>
      </c>
      <c r="AS2110" t="s">
        <v>66</v>
      </c>
      <c r="AT2110">
        <v>0</v>
      </c>
      <c r="AU2110" t="s">
        <v>66</v>
      </c>
      <c r="AV2110">
        <v>0</v>
      </c>
      <c r="AW2110" t="s">
        <v>66</v>
      </c>
      <c r="AX2110">
        <v>0</v>
      </c>
      <c r="AY2110" t="s">
        <v>66</v>
      </c>
      <c r="AZ2110">
        <v>0</v>
      </c>
      <c r="BA2110" t="s">
        <v>66</v>
      </c>
      <c r="BB2110">
        <v>0</v>
      </c>
      <c r="BC2110">
        <v>0</v>
      </c>
      <c r="BD2110">
        <v>630515.52</v>
      </c>
      <c r="BE2110">
        <v>5333.96</v>
      </c>
      <c r="BF2110">
        <v>0</v>
      </c>
      <c r="BG2110" t="s">
        <v>87</v>
      </c>
      <c r="BH2110" t="s">
        <v>66</v>
      </c>
      <c r="BI2110">
        <v>0</v>
      </c>
      <c r="BJ2110" t="s">
        <v>66</v>
      </c>
      <c r="BK2110" t="s">
        <v>88</v>
      </c>
      <c r="BL2110" t="s">
        <v>877</v>
      </c>
      <c r="BM2110" t="s">
        <v>159</v>
      </c>
    </row>
    <row r="2111" spans="1:65" x14ac:dyDescent="0.25">
      <c r="A2111">
        <v>2109</v>
      </c>
      <c r="B2111" t="s">
        <v>2019</v>
      </c>
      <c r="C2111" t="s">
        <v>2020</v>
      </c>
      <c r="D2111" s="1">
        <v>46231</v>
      </c>
      <c r="E2111" t="s">
        <v>2021</v>
      </c>
      <c r="F2111" t="s">
        <v>2022</v>
      </c>
      <c r="G2111" t="s">
        <v>295</v>
      </c>
      <c r="H2111" t="s">
        <v>296</v>
      </c>
      <c r="I2111" t="s">
        <v>71</v>
      </c>
      <c r="J2111" t="s">
        <v>72</v>
      </c>
      <c r="K2111" t="s">
        <v>73</v>
      </c>
      <c r="L2111" t="s">
        <v>74</v>
      </c>
      <c r="M2111" t="s">
        <v>695</v>
      </c>
      <c r="N2111" t="s">
        <v>696</v>
      </c>
      <c r="O2111" t="s">
        <v>697</v>
      </c>
      <c r="P2111" t="s">
        <v>698</v>
      </c>
      <c r="Q2111" t="s">
        <v>66</v>
      </c>
      <c r="R2111" s="1">
        <v>46231</v>
      </c>
      <c r="S2111" t="s">
        <v>700</v>
      </c>
      <c r="T2111" t="s">
        <v>701</v>
      </c>
      <c r="U2111" t="s">
        <v>702</v>
      </c>
      <c r="V2111" t="s">
        <v>66</v>
      </c>
      <c r="W2111" t="s">
        <v>66</v>
      </c>
      <c r="X2111">
        <v>192060</v>
      </c>
      <c r="Y2111">
        <v>21126.6</v>
      </c>
      <c r="Z2111">
        <v>192060</v>
      </c>
      <c r="AA2111">
        <v>21126.6</v>
      </c>
      <c r="AB2111">
        <v>213186.6</v>
      </c>
      <c r="AC2111">
        <v>12</v>
      </c>
      <c r="AD2111" t="s">
        <v>82</v>
      </c>
      <c r="AE2111">
        <v>12</v>
      </c>
      <c r="AF2111" t="s">
        <v>99</v>
      </c>
      <c r="AG2111">
        <f>IFERROR(VLOOKUP(AF2111,[1]STOK!J:O,6,0),"")</f>
        <v>24</v>
      </c>
      <c r="AH2111" s="2">
        <f t="shared" si="64"/>
        <v>0.5</v>
      </c>
      <c r="AI2111" t="s">
        <v>99</v>
      </c>
      <c r="AJ2111" t="s">
        <v>100</v>
      </c>
      <c r="AK2111" t="s">
        <v>101</v>
      </c>
      <c r="AL2111" t="s">
        <v>86</v>
      </c>
      <c r="AM2111">
        <v>18315</v>
      </c>
      <c r="AN2111">
        <f t="shared" si="65"/>
        <v>17765.55</v>
      </c>
      <c r="AO2111" t="s">
        <v>66</v>
      </c>
      <c r="AP2111">
        <v>3</v>
      </c>
      <c r="AQ2111" t="s">
        <v>66</v>
      </c>
      <c r="AR2111">
        <v>0</v>
      </c>
      <c r="AS2111" t="s">
        <v>66</v>
      </c>
      <c r="AT2111">
        <v>0</v>
      </c>
      <c r="AU2111" t="s">
        <v>66</v>
      </c>
      <c r="AV2111">
        <v>0</v>
      </c>
      <c r="AW2111" t="s">
        <v>66</v>
      </c>
      <c r="AX2111">
        <v>0</v>
      </c>
      <c r="AY2111" t="s">
        <v>66</v>
      </c>
      <c r="AZ2111">
        <v>0</v>
      </c>
      <c r="BA2111" t="s">
        <v>66</v>
      </c>
      <c r="BB2111">
        <v>0</v>
      </c>
      <c r="BC2111">
        <v>0</v>
      </c>
      <c r="BD2111">
        <v>213186.6</v>
      </c>
      <c r="BE2111">
        <v>14925.98</v>
      </c>
      <c r="BF2111">
        <v>0</v>
      </c>
      <c r="BG2111" t="s">
        <v>87</v>
      </c>
      <c r="BH2111" t="s">
        <v>66</v>
      </c>
      <c r="BI2111">
        <v>0</v>
      </c>
      <c r="BJ2111" t="s">
        <v>66</v>
      </c>
      <c r="BK2111" t="s">
        <v>88</v>
      </c>
      <c r="BL2111" t="s">
        <v>66</v>
      </c>
      <c r="BM2111" t="s">
        <v>159</v>
      </c>
    </row>
    <row r="2112" spans="1:65" x14ac:dyDescent="0.25">
      <c r="A2112">
        <v>2110</v>
      </c>
      <c r="B2112" t="s">
        <v>2023</v>
      </c>
      <c r="C2112" t="s">
        <v>68</v>
      </c>
      <c r="D2112" s="1">
        <v>46231</v>
      </c>
      <c r="E2112" t="s">
        <v>2024</v>
      </c>
      <c r="F2112" t="s">
        <v>2025</v>
      </c>
      <c r="G2112" t="s">
        <v>295</v>
      </c>
      <c r="H2112" t="s">
        <v>296</v>
      </c>
      <c r="I2112" t="s">
        <v>71</v>
      </c>
      <c r="J2112" t="s">
        <v>72</v>
      </c>
      <c r="K2112" t="s">
        <v>73</v>
      </c>
      <c r="L2112" t="s">
        <v>74</v>
      </c>
      <c r="M2112" t="s">
        <v>1535</v>
      </c>
      <c r="N2112" t="s">
        <v>111</v>
      </c>
      <c r="O2112" t="s">
        <v>1536</v>
      </c>
      <c r="P2112" t="s">
        <v>1537</v>
      </c>
      <c r="Q2112" t="s">
        <v>66</v>
      </c>
      <c r="R2112" s="1">
        <v>46231</v>
      </c>
      <c r="S2112" t="s">
        <v>1539</v>
      </c>
      <c r="T2112" t="s">
        <v>1000</v>
      </c>
      <c r="U2112" t="s">
        <v>1001</v>
      </c>
      <c r="V2112" t="s">
        <v>66</v>
      </c>
      <c r="W2112" t="s">
        <v>66</v>
      </c>
      <c r="X2112">
        <v>200365.14</v>
      </c>
      <c r="Y2112">
        <v>22040.17</v>
      </c>
      <c r="Z2112">
        <v>200365.14</v>
      </c>
      <c r="AA2112">
        <v>22040.17</v>
      </c>
      <c r="AB2112">
        <v>222405.31</v>
      </c>
      <c r="AC2112">
        <v>1</v>
      </c>
      <c r="AD2112" t="s">
        <v>134</v>
      </c>
      <c r="AE2112">
        <v>12</v>
      </c>
      <c r="AF2112" t="s">
        <v>359</v>
      </c>
      <c r="AG2112">
        <f>IFERROR(VLOOKUP(AF2112,[1]STOK!J:O,6,0),"")</f>
        <v>12</v>
      </c>
      <c r="AH2112" s="2">
        <f t="shared" si="64"/>
        <v>1</v>
      </c>
      <c r="AI2112" t="s">
        <v>359</v>
      </c>
      <c r="AJ2112" t="s">
        <v>360</v>
      </c>
      <c r="AK2112" t="s">
        <v>361</v>
      </c>
      <c r="AL2112" t="s">
        <v>86</v>
      </c>
      <c r="AM2112">
        <v>230436</v>
      </c>
      <c r="AN2112">
        <f t="shared" si="65"/>
        <v>222405.31</v>
      </c>
      <c r="AO2112" t="s">
        <v>66</v>
      </c>
      <c r="AP2112">
        <v>3</v>
      </c>
      <c r="AQ2112" t="s">
        <v>66</v>
      </c>
      <c r="AR2112">
        <v>0</v>
      </c>
      <c r="AS2112" t="s">
        <v>66</v>
      </c>
      <c r="AT2112">
        <v>0</v>
      </c>
      <c r="AU2112" t="s">
        <v>66</v>
      </c>
      <c r="AV2112">
        <v>0.5</v>
      </c>
      <c r="AW2112" t="s">
        <v>66</v>
      </c>
      <c r="AX2112">
        <v>0</v>
      </c>
      <c r="AY2112" t="s">
        <v>66</v>
      </c>
      <c r="AZ2112">
        <v>0</v>
      </c>
      <c r="BA2112" t="s">
        <v>66</v>
      </c>
      <c r="BB2112">
        <v>0</v>
      </c>
      <c r="BC2112">
        <v>0</v>
      </c>
      <c r="BD2112">
        <v>222405.31</v>
      </c>
      <c r="BE2112">
        <v>15617.48</v>
      </c>
      <c r="BF2112">
        <v>0</v>
      </c>
      <c r="BG2112" t="s">
        <v>87</v>
      </c>
      <c r="BH2112" t="s">
        <v>66</v>
      </c>
      <c r="BI2112">
        <v>0</v>
      </c>
      <c r="BJ2112" t="s">
        <v>66</v>
      </c>
      <c r="BK2112" t="s">
        <v>88</v>
      </c>
      <c r="BL2112" t="s">
        <v>66</v>
      </c>
      <c r="BM2112" t="s">
        <v>159</v>
      </c>
    </row>
    <row r="2113" spans="1:65" x14ac:dyDescent="0.25">
      <c r="A2113">
        <v>2111</v>
      </c>
      <c r="B2113" t="s">
        <v>2026</v>
      </c>
      <c r="C2113" t="s">
        <v>2027</v>
      </c>
      <c r="D2113" s="1">
        <v>46231</v>
      </c>
      <c r="E2113" t="s">
        <v>2028</v>
      </c>
      <c r="F2113" t="s">
        <v>2029</v>
      </c>
      <c r="G2113" t="s">
        <v>69</v>
      </c>
      <c r="H2113" t="s">
        <v>70</v>
      </c>
      <c r="I2113" t="s">
        <v>71</v>
      </c>
      <c r="J2113" t="s">
        <v>72</v>
      </c>
      <c r="K2113" t="s">
        <v>73</v>
      </c>
      <c r="L2113" t="s">
        <v>74</v>
      </c>
      <c r="M2113" t="s">
        <v>1449</v>
      </c>
      <c r="N2113" t="s">
        <v>696</v>
      </c>
      <c r="O2113" t="s">
        <v>1450</v>
      </c>
      <c r="P2113" t="s">
        <v>1451</v>
      </c>
      <c r="Q2113" t="s">
        <v>2030</v>
      </c>
      <c r="R2113" s="1">
        <v>46233</v>
      </c>
      <c r="S2113" t="s">
        <v>1453</v>
      </c>
      <c r="T2113" t="s">
        <v>1454</v>
      </c>
      <c r="U2113" t="s">
        <v>1455</v>
      </c>
      <c r="V2113" t="s">
        <v>66</v>
      </c>
      <c r="W2113" t="s">
        <v>66</v>
      </c>
      <c r="X2113">
        <v>1960920</v>
      </c>
      <c r="Y2113">
        <v>215701.2</v>
      </c>
      <c r="Z2113">
        <v>226980</v>
      </c>
      <c r="AA2113">
        <v>24967.8</v>
      </c>
      <c r="AB2113">
        <v>2176621.2000000002</v>
      </c>
      <c r="AC2113">
        <v>1</v>
      </c>
      <c r="AD2113" t="s">
        <v>134</v>
      </c>
      <c r="AE2113">
        <v>12</v>
      </c>
      <c r="AF2113" t="s">
        <v>284</v>
      </c>
      <c r="AG2113">
        <f>IFERROR(VLOOKUP(AF2113,[1]STOK!J:O,6,0),"")</f>
        <v>12</v>
      </c>
      <c r="AH2113" s="2">
        <f t="shared" si="64"/>
        <v>1</v>
      </c>
      <c r="AI2113" t="s">
        <v>284</v>
      </c>
      <c r="AJ2113" t="s">
        <v>285</v>
      </c>
      <c r="AK2113" t="s">
        <v>286</v>
      </c>
      <c r="AL2113" t="s">
        <v>86</v>
      </c>
      <c r="AM2113">
        <v>258408</v>
      </c>
      <c r="AN2113">
        <f t="shared" si="65"/>
        <v>251947.8</v>
      </c>
      <c r="AO2113" t="s">
        <v>66</v>
      </c>
      <c r="AP2113">
        <v>2.5</v>
      </c>
      <c r="AQ2113" t="s">
        <v>66</v>
      </c>
      <c r="AR2113">
        <v>0</v>
      </c>
      <c r="AS2113" t="s">
        <v>66</v>
      </c>
      <c r="AT2113">
        <v>0</v>
      </c>
      <c r="AU2113" t="s">
        <v>66</v>
      </c>
      <c r="AV2113">
        <v>0</v>
      </c>
      <c r="AW2113" t="s">
        <v>66</v>
      </c>
      <c r="AX2113">
        <v>0</v>
      </c>
      <c r="AY2113" t="s">
        <v>66</v>
      </c>
      <c r="AZ2113">
        <v>0</v>
      </c>
      <c r="BA2113" t="s">
        <v>66</v>
      </c>
      <c r="BB2113">
        <v>0</v>
      </c>
      <c r="BC2113">
        <v>0</v>
      </c>
      <c r="BD2113">
        <v>251947.8</v>
      </c>
      <c r="BE2113">
        <v>17311.39</v>
      </c>
      <c r="BF2113">
        <v>0</v>
      </c>
      <c r="BG2113" t="s">
        <v>87</v>
      </c>
      <c r="BH2113" t="s">
        <v>66</v>
      </c>
      <c r="BI2113">
        <v>0</v>
      </c>
      <c r="BJ2113" t="s">
        <v>66</v>
      </c>
      <c r="BK2113" t="s">
        <v>88</v>
      </c>
      <c r="BL2113" t="s">
        <v>1459</v>
      </c>
      <c r="BM2113" t="s">
        <v>159</v>
      </c>
    </row>
    <row r="2114" spans="1:65" x14ac:dyDescent="0.25">
      <c r="A2114">
        <v>2112</v>
      </c>
      <c r="B2114" t="s">
        <v>2026</v>
      </c>
      <c r="C2114" t="s">
        <v>2027</v>
      </c>
      <c r="D2114" s="1">
        <v>46231</v>
      </c>
      <c r="E2114" t="s">
        <v>2028</v>
      </c>
      <c r="F2114" t="s">
        <v>2029</v>
      </c>
      <c r="G2114" t="s">
        <v>69</v>
      </c>
      <c r="H2114" t="s">
        <v>70</v>
      </c>
      <c r="I2114" t="s">
        <v>71</v>
      </c>
      <c r="J2114" t="s">
        <v>72</v>
      </c>
      <c r="K2114" t="s">
        <v>73</v>
      </c>
      <c r="L2114" t="s">
        <v>74</v>
      </c>
      <c r="M2114" t="s">
        <v>1449</v>
      </c>
      <c r="N2114" t="s">
        <v>696</v>
      </c>
      <c r="O2114" t="s">
        <v>1450</v>
      </c>
      <c r="P2114" t="s">
        <v>1451</v>
      </c>
      <c r="Q2114" t="s">
        <v>2030</v>
      </c>
      <c r="R2114" s="1">
        <v>46233</v>
      </c>
      <c r="S2114" t="s">
        <v>1453</v>
      </c>
      <c r="T2114" t="s">
        <v>1454</v>
      </c>
      <c r="U2114" t="s">
        <v>1455</v>
      </c>
      <c r="V2114" t="s">
        <v>66</v>
      </c>
      <c r="W2114" t="s">
        <v>66</v>
      </c>
      <c r="X2114">
        <v>1960920</v>
      </c>
      <c r="Y2114">
        <v>215701.2</v>
      </c>
      <c r="Z2114">
        <v>226980</v>
      </c>
      <c r="AA2114">
        <v>24967.8</v>
      </c>
      <c r="AB2114">
        <v>2176621.2000000002</v>
      </c>
      <c r="AC2114">
        <v>1</v>
      </c>
      <c r="AD2114" t="s">
        <v>134</v>
      </c>
      <c r="AE2114">
        <v>12</v>
      </c>
      <c r="AF2114" t="s">
        <v>287</v>
      </c>
      <c r="AG2114">
        <f>IFERROR(VLOOKUP(AF2114,[1]STOK!J:O,6,0),"")</f>
        <v>12</v>
      </c>
      <c r="AH2114" s="2">
        <f t="shared" si="64"/>
        <v>1</v>
      </c>
      <c r="AI2114" t="s">
        <v>287</v>
      </c>
      <c r="AJ2114" t="s">
        <v>288</v>
      </c>
      <c r="AK2114" t="s">
        <v>289</v>
      </c>
      <c r="AL2114" t="s">
        <v>86</v>
      </c>
      <c r="AM2114">
        <v>258408</v>
      </c>
      <c r="AN2114">
        <f t="shared" si="65"/>
        <v>251947.8</v>
      </c>
      <c r="AO2114" t="s">
        <v>66</v>
      </c>
      <c r="AP2114">
        <v>2.5</v>
      </c>
      <c r="AQ2114" t="s">
        <v>66</v>
      </c>
      <c r="AR2114">
        <v>0</v>
      </c>
      <c r="AS2114" t="s">
        <v>66</v>
      </c>
      <c r="AT2114">
        <v>0</v>
      </c>
      <c r="AU2114" t="s">
        <v>66</v>
      </c>
      <c r="AV2114">
        <v>0</v>
      </c>
      <c r="AW2114" t="s">
        <v>66</v>
      </c>
      <c r="AX2114">
        <v>0</v>
      </c>
      <c r="AY2114" t="s">
        <v>66</v>
      </c>
      <c r="AZ2114">
        <v>0</v>
      </c>
      <c r="BA2114" t="s">
        <v>66</v>
      </c>
      <c r="BB2114">
        <v>0</v>
      </c>
      <c r="BC2114">
        <v>0</v>
      </c>
      <c r="BD2114">
        <v>251947.8</v>
      </c>
      <c r="BE2114">
        <v>17377.759999999998</v>
      </c>
      <c r="BF2114">
        <v>0</v>
      </c>
      <c r="BG2114" t="s">
        <v>87</v>
      </c>
      <c r="BH2114" t="s">
        <v>66</v>
      </c>
      <c r="BI2114">
        <v>0</v>
      </c>
      <c r="BJ2114" t="s">
        <v>66</v>
      </c>
      <c r="BK2114" t="s">
        <v>88</v>
      </c>
      <c r="BL2114" t="s">
        <v>1459</v>
      </c>
      <c r="BM2114" t="s">
        <v>159</v>
      </c>
    </row>
    <row r="2115" spans="1:65" x14ac:dyDescent="0.25">
      <c r="A2115">
        <v>2113</v>
      </c>
      <c r="B2115" t="s">
        <v>2026</v>
      </c>
      <c r="C2115" t="s">
        <v>2027</v>
      </c>
      <c r="D2115" s="1">
        <v>46231</v>
      </c>
      <c r="E2115" t="s">
        <v>2028</v>
      </c>
      <c r="F2115" t="s">
        <v>2029</v>
      </c>
      <c r="G2115" t="s">
        <v>69</v>
      </c>
      <c r="H2115" t="s">
        <v>70</v>
      </c>
      <c r="I2115" t="s">
        <v>71</v>
      </c>
      <c r="J2115" t="s">
        <v>72</v>
      </c>
      <c r="K2115" t="s">
        <v>73</v>
      </c>
      <c r="L2115" t="s">
        <v>74</v>
      </c>
      <c r="M2115" t="s">
        <v>1449</v>
      </c>
      <c r="N2115" t="s">
        <v>696</v>
      </c>
      <c r="O2115" t="s">
        <v>1450</v>
      </c>
      <c r="P2115" t="s">
        <v>1451</v>
      </c>
      <c r="Q2115" t="s">
        <v>2030</v>
      </c>
      <c r="R2115" s="1">
        <v>46233</v>
      </c>
      <c r="S2115" t="s">
        <v>1453</v>
      </c>
      <c r="T2115" t="s">
        <v>1454</v>
      </c>
      <c r="U2115" t="s">
        <v>1455</v>
      </c>
      <c r="V2115" t="s">
        <v>66</v>
      </c>
      <c r="W2115" t="s">
        <v>66</v>
      </c>
      <c r="X2115">
        <v>1960920</v>
      </c>
      <c r="Y2115">
        <v>215701.2</v>
      </c>
      <c r="Z2115">
        <v>171990</v>
      </c>
      <c r="AA2115">
        <v>18918.900000000001</v>
      </c>
      <c r="AB2115">
        <v>2176621.2000000002</v>
      </c>
      <c r="AC2115">
        <v>1</v>
      </c>
      <c r="AD2115" t="s">
        <v>134</v>
      </c>
      <c r="AE2115">
        <v>12</v>
      </c>
      <c r="AF2115" t="s">
        <v>473</v>
      </c>
      <c r="AG2115">
        <f>IFERROR(VLOOKUP(AF2115,[1]STOK!J:O,6,0),"")</f>
        <v>12</v>
      </c>
      <c r="AH2115" s="2">
        <f t="shared" si="64"/>
        <v>1</v>
      </c>
      <c r="AI2115" t="s">
        <v>473</v>
      </c>
      <c r="AJ2115" t="s">
        <v>474</v>
      </c>
      <c r="AK2115" t="s">
        <v>475</v>
      </c>
      <c r="AL2115" t="s">
        <v>86</v>
      </c>
      <c r="AM2115">
        <v>195804</v>
      </c>
      <c r="AN2115">
        <f t="shared" si="65"/>
        <v>190908.9</v>
      </c>
      <c r="AO2115" t="s">
        <v>66</v>
      </c>
      <c r="AP2115">
        <v>2.5</v>
      </c>
      <c r="AQ2115" t="s">
        <v>66</v>
      </c>
      <c r="AR2115">
        <v>0</v>
      </c>
      <c r="AS2115" t="s">
        <v>66</v>
      </c>
      <c r="AT2115">
        <v>0</v>
      </c>
      <c r="AU2115" t="s">
        <v>66</v>
      </c>
      <c r="AV2115">
        <v>0</v>
      </c>
      <c r="AW2115" t="s">
        <v>66</v>
      </c>
      <c r="AX2115">
        <v>0</v>
      </c>
      <c r="AY2115" t="s">
        <v>66</v>
      </c>
      <c r="AZ2115">
        <v>0</v>
      </c>
      <c r="BA2115" t="s">
        <v>66</v>
      </c>
      <c r="BB2115">
        <v>0</v>
      </c>
      <c r="BC2115">
        <v>0</v>
      </c>
      <c r="BD2115">
        <v>190908.9</v>
      </c>
      <c r="BE2115">
        <v>13001.8</v>
      </c>
      <c r="BF2115">
        <v>0</v>
      </c>
      <c r="BG2115" t="s">
        <v>87</v>
      </c>
      <c r="BH2115" t="s">
        <v>66</v>
      </c>
      <c r="BI2115">
        <v>0</v>
      </c>
      <c r="BJ2115" t="s">
        <v>66</v>
      </c>
      <c r="BK2115" t="s">
        <v>88</v>
      </c>
      <c r="BL2115" t="s">
        <v>1459</v>
      </c>
      <c r="BM2115" t="s">
        <v>159</v>
      </c>
    </row>
    <row r="2116" spans="1:65" x14ac:dyDescent="0.25">
      <c r="A2116">
        <v>2114</v>
      </c>
      <c r="B2116" t="s">
        <v>2026</v>
      </c>
      <c r="C2116" t="s">
        <v>2027</v>
      </c>
      <c r="D2116" s="1">
        <v>46231</v>
      </c>
      <c r="E2116" t="s">
        <v>2028</v>
      </c>
      <c r="F2116" t="s">
        <v>2029</v>
      </c>
      <c r="G2116" t="s">
        <v>69</v>
      </c>
      <c r="H2116" t="s">
        <v>70</v>
      </c>
      <c r="I2116" t="s">
        <v>71</v>
      </c>
      <c r="J2116" t="s">
        <v>72</v>
      </c>
      <c r="K2116" t="s">
        <v>73</v>
      </c>
      <c r="L2116" t="s">
        <v>74</v>
      </c>
      <c r="M2116" t="s">
        <v>1449</v>
      </c>
      <c r="N2116" t="s">
        <v>696</v>
      </c>
      <c r="O2116" t="s">
        <v>1450</v>
      </c>
      <c r="P2116" t="s">
        <v>1451</v>
      </c>
      <c r="Q2116" t="s">
        <v>2030</v>
      </c>
      <c r="R2116" s="1">
        <v>46233</v>
      </c>
      <c r="S2116" t="s">
        <v>1453</v>
      </c>
      <c r="T2116" t="s">
        <v>1454</v>
      </c>
      <c r="U2116" t="s">
        <v>1455</v>
      </c>
      <c r="V2116" t="s">
        <v>66</v>
      </c>
      <c r="W2116" t="s">
        <v>66</v>
      </c>
      <c r="X2116">
        <v>1960920</v>
      </c>
      <c r="Y2116">
        <v>215701.2</v>
      </c>
      <c r="Z2116">
        <v>318240</v>
      </c>
      <c r="AA2116">
        <v>35006.400000000001</v>
      </c>
      <c r="AB2116">
        <v>2176621.2000000002</v>
      </c>
      <c r="AC2116">
        <v>1</v>
      </c>
      <c r="AD2116" t="s">
        <v>134</v>
      </c>
      <c r="AE2116">
        <v>12</v>
      </c>
      <c r="AF2116" t="s">
        <v>774</v>
      </c>
      <c r="AG2116">
        <f>IFERROR(VLOOKUP(AF2116,[1]STOK!J:O,6,0),"")</f>
        <v>12</v>
      </c>
      <c r="AH2116" s="2">
        <f t="shared" ref="AH2116:AH2179" si="66">AE2116/AG2116</f>
        <v>1</v>
      </c>
      <c r="AI2116" t="s">
        <v>774</v>
      </c>
      <c r="AJ2116" t="s">
        <v>775</v>
      </c>
      <c r="AK2116" t="s">
        <v>776</v>
      </c>
      <c r="AL2116" t="s">
        <v>86</v>
      </c>
      <c r="AM2116">
        <v>362304</v>
      </c>
      <c r="AN2116">
        <f t="shared" ref="AN2116:AN2179" si="67">BD2116/AC2116</f>
        <v>353246.4</v>
      </c>
      <c r="AO2116" t="s">
        <v>66</v>
      </c>
      <c r="AP2116">
        <v>2.5</v>
      </c>
      <c r="AQ2116" t="s">
        <v>66</v>
      </c>
      <c r="AR2116">
        <v>0</v>
      </c>
      <c r="AS2116" t="s">
        <v>66</v>
      </c>
      <c r="AT2116">
        <v>0</v>
      </c>
      <c r="AU2116" t="s">
        <v>66</v>
      </c>
      <c r="AV2116">
        <v>0</v>
      </c>
      <c r="AW2116" t="s">
        <v>66</v>
      </c>
      <c r="AX2116">
        <v>0</v>
      </c>
      <c r="AY2116" t="s">
        <v>66</v>
      </c>
      <c r="AZ2116">
        <v>0</v>
      </c>
      <c r="BA2116" t="s">
        <v>66</v>
      </c>
      <c r="BB2116">
        <v>0</v>
      </c>
      <c r="BC2116">
        <v>0</v>
      </c>
      <c r="BD2116">
        <v>353246.4</v>
      </c>
      <c r="BE2116">
        <v>23742.19</v>
      </c>
      <c r="BF2116">
        <v>0</v>
      </c>
      <c r="BG2116" t="s">
        <v>87</v>
      </c>
      <c r="BH2116" t="s">
        <v>66</v>
      </c>
      <c r="BI2116">
        <v>0</v>
      </c>
      <c r="BJ2116" t="s">
        <v>66</v>
      </c>
      <c r="BK2116" t="s">
        <v>88</v>
      </c>
      <c r="BL2116" t="s">
        <v>1459</v>
      </c>
      <c r="BM2116" t="s">
        <v>159</v>
      </c>
    </row>
    <row r="2117" spans="1:65" x14ac:dyDescent="0.25">
      <c r="A2117">
        <v>2115</v>
      </c>
      <c r="B2117" t="s">
        <v>2026</v>
      </c>
      <c r="C2117" t="s">
        <v>2027</v>
      </c>
      <c r="D2117" s="1">
        <v>46231</v>
      </c>
      <c r="E2117" t="s">
        <v>2028</v>
      </c>
      <c r="F2117" t="s">
        <v>2029</v>
      </c>
      <c r="G2117" t="s">
        <v>69</v>
      </c>
      <c r="H2117" t="s">
        <v>70</v>
      </c>
      <c r="I2117" t="s">
        <v>71</v>
      </c>
      <c r="J2117" t="s">
        <v>72</v>
      </c>
      <c r="K2117" t="s">
        <v>73</v>
      </c>
      <c r="L2117" t="s">
        <v>74</v>
      </c>
      <c r="M2117" t="s">
        <v>1449</v>
      </c>
      <c r="N2117" t="s">
        <v>696</v>
      </c>
      <c r="O2117" t="s">
        <v>1450</v>
      </c>
      <c r="P2117" t="s">
        <v>1451</v>
      </c>
      <c r="Q2117" t="s">
        <v>2030</v>
      </c>
      <c r="R2117" s="1">
        <v>46233</v>
      </c>
      <c r="S2117" t="s">
        <v>1453</v>
      </c>
      <c r="T2117" t="s">
        <v>1454</v>
      </c>
      <c r="U2117" t="s">
        <v>1455</v>
      </c>
      <c r="V2117" t="s">
        <v>66</v>
      </c>
      <c r="W2117" t="s">
        <v>66</v>
      </c>
      <c r="X2117">
        <v>1960920</v>
      </c>
      <c r="Y2117">
        <v>215701.2</v>
      </c>
      <c r="Z2117">
        <v>314730</v>
      </c>
      <c r="AA2117">
        <v>34620.300000000003</v>
      </c>
      <c r="AB2117">
        <v>2176621.2000000002</v>
      </c>
      <c r="AC2117">
        <v>1</v>
      </c>
      <c r="AD2117" t="s">
        <v>134</v>
      </c>
      <c r="AE2117">
        <v>6</v>
      </c>
      <c r="AF2117" t="s">
        <v>528</v>
      </c>
      <c r="AG2117">
        <f>IFERROR(VLOOKUP(AF2117,[1]STOK!J:O,6,0),"")</f>
        <v>6</v>
      </c>
      <c r="AH2117" s="2">
        <f t="shared" si="66"/>
        <v>1</v>
      </c>
      <c r="AI2117" t="s">
        <v>528</v>
      </c>
      <c r="AJ2117" t="s">
        <v>529</v>
      </c>
      <c r="AK2117" t="s">
        <v>530</v>
      </c>
      <c r="AL2117" t="s">
        <v>86</v>
      </c>
      <c r="AM2117">
        <v>358308</v>
      </c>
      <c r="AN2117">
        <f t="shared" si="67"/>
        <v>349350.3</v>
      </c>
      <c r="AO2117" t="s">
        <v>66</v>
      </c>
      <c r="AP2117">
        <v>2.5</v>
      </c>
      <c r="AQ2117" t="s">
        <v>66</v>
      </c>
      <c r="AR2117">
        <v>0</v>
      </c>
      <c r="AS2117" t="s">
        <v>66</v>
      </c>
      <c r="AT2117">
        <v>0</v>
      </c>
      <c r="AU2117" t="s">
        <v>66</v>
      </c>
      <c r="AV2117">
        <v>0</v>
      </c>
      <c r="AW2117" t="s">
        <v>66</v>
      </c>
      <c r="AX2117">
        <v>0</v>
      </c>
      <c r="AY2117" t="s">
        <v>66</v>
      </c>
      <c r="AZ2117">
        <v>0</v>
      </c>
      <c r="BA2117" t="s">
        <v>66</v>
      </c>
      <c r="BB2117">
        <v>0</v>
      </c>
      <c r="BC2117">
        <v>0</v>
      </c>
      <c r="BD2117">
        <v>349350.3</v>
      </c>
      <c r="BE2117">
        <v>48433.83</v>
      </c>
      <c r="BF2117">
        <v>0</v>
      </c>
      <c r="BG2117" t="s">
        <v>87</v>
      </c>
      <c r="BH2117" t="s">
        <v>66</v>
      </c>
      <c r="BI2117">
        <v>0</v>
      </c>
      <c r="BJ2117" t="s">
        <v>66</v>
      </c>
      <c r="BK2117" t="s">
        <v>88</v>
      </c>
      <c r="BL2117" t="s">
        <v>1459</v>
      </c>
      <c r="BM2117" t="s">
        <v>159</v>
      </c>
    </row>
    <row r="2118" spans="1:65" x14ac:dyDescent="0.25">
      <c r="A2118">
        <v>2116</v>
      </c>
      <c r="B2118" t="s">
        <v>2026</v>
      </c>
      <c r="C2118" t="s">
        <v>2027</v>
      </c>
      <c r="D2118" s="1">
        <v>46231</v>
      </c>
      <c r="E2118" t="s">
        <v>2028</v>
      </c>
      <c r="F2118" t="s">
        <v>2029</v>
      </c>
      <c r="G2118" t="s">
        <v>69</v>
      </c>
      <c r="H2118" t="s">
        <v>70</v>
      </c>
      <c r="I2118" t="s">
        <v>71</v>
      </c>
      <c r="J2118" t="s">
        <v>72</v>
      </c>
      <c r="K2118" t="s">
        <v>73</v>
      </c>
      <c r="L2118" t="s">
        <v>74</v>
      </c>
      <c r="M2118" t="s">
        <v>1449</v>
      </c>
      <c r="N2118" t="s">
        <v>696</v>
      </c>
      <c r="O2118" t="s">
        <v>1450</v>
      </c>
      <c r="P2118" t="s">
        <v>1451</v>
      </c>
      <c r="Q2118" t="s">
        <v>2030</v>
      </c>
      <c r="R2118" s="1">
        <v>46233</v>
      </c>
      <c r="S2118" t="s">
        <v>1453</v>
      </c>
      <c r="T2118" t="s">
        <v>1454</v>
      </c>
      <c r="U2118" t="s">
        <v>1455</v>
      </c>
      <c r="V2118" t="s">
        <v>66</v>
      </c>
      <c r="W2118" t="s">
        <v>66</v>
      </c>
      <c r="X2118">
        <v>1960920</v>
      </c>
      <c r="Y2118">
        <v>215701.2</v>
      </c>
      <c r="Z2118">
        <v>234000</v>
      </c>
      <c r="AA2118">
        <v>25740</v>
      </c>
      <c r="AB2118">
        <v>2176621.2000000002</v>
      </c>
      <c r="AC2118">
        <v>1</v>
      </c>
      <c r="AD2118" t="s">
        <v>134</v>
      </c>
      <c r="AE2118">
        <v>12</v>
      </c>
      <c r="AF2118" t="s">
        <v>290</v>
      </c>
      <c r="AG2118">
        <f>IFERROR(VLOOKUP(AF2118,[1]STOK!J:O,6,0),"")</f>
        <v>12</v>
      </c>
      <c r="AH2118" s="2">
        <f t="shared" si="66"/>
        <v>1</v>
      </c>
      <c r="AI2118" t="s">
        <v>290</v>
      </c>
      <c r="AJ2118" t="s">
        <v>291</v>
      </c>
      <c r="AK2118" t="s">
        <v>292</v>
      </c>
      <c r="AL2118" t="s">
        <v>86</v>
      </c>
      <c r="AM2118">
        <v>266400</v>
      </c>
      <c r="AN2118">
        <f t="shared" si="67"/>
        <v>259740</v>
      </c>
      <c r="AO2118" t="s">
        <v>66</v>
      </c>
      <c r="AP2118">
        <v>2.5</v>
      </c>
      <c r="AQ2118" t="s">
        <v>66</v>
      </c>
      <c r="AR2118">
        <v>0</v>
      </c>
      <c r="AS2118" t="s">
        <v>66</v>
      </c>
      <c r="AT2118">
        <v>0</v>
      </c>
      <c r="AU2118" t="s">
        <v>66</v>
      </c>
      <c r="AV2118">
        <v>0</v>
      </c>
      <c r="AW2118" t="s">
        <v>66</v>
      </c>
      <c r="AX2118">
        <v>0</v>
      </c>
      <c r="AY2118" t="s">
        <v>66</v>
      </c>
      <c r="AZ2118">
        <v>0</v>
      </c>
      <c r="BA2118" t="s">
        <v>66</v>
      </c>
      <c r="BB2118">
        <v>0</v>
      </c>
      <c r="BC2118">
        <v>0</v>
      </c>
      <c r="BD2118">
        <v>259740</v>
      </c>
      <c r="BE2118">
        <v>18113.71</v>
      </c>
      <c r="BF2118">
        <v>0</v>
      </c>
      <c r="BG2118" t="s">
        <v>87</v>
      </c>
      <c r="BH2118" t="s">
        <v>66</v>
      </c>
      <c r="BI2118">
        <v>0</v>
      </c>
      <c r="BJ2118" t="s">
        <v>66</v>
      </c>
      <c r="BK2118" t="s">
        <v>88</v>
      </c>
      <c r="BL2118" t="s">
        <v>1459</v>
      </c>
      <c r="BM2118" t="s">
        <v>159</v>
      </c>
    </row>
    <row r="2119" spans="1:65" x14ac:dyDescent="0.25">
      <c r="A2119">
        <v>2117</v>
      </c>
      <c r="B2119" t="s">
        <v>2026</v>
      </c>
      <c r="C2119" t="s">
        <v>2027</v>
      </c>
      <c r="D2119" s="1">
        <v>46231</v>
      </c>
      <c r="E2119" t="s">
        <v>2028</v>
      </c>
      <c r="F2119" t="s">
        <v>2029</v>
      </c>
      <c r="G2119" t="s">
        <v>69</v>
      </c>
      <c r="H2119" t="s">
        <v>70</v>
      </c>
      <c r="I2119" t="s">
        <v>71</v>
      </c>
      <c r="J2119" t="s">
        <v>72</v>
      </c>
      <c r="K2119" t="s">
        <v>73</v>
      </c>
      <c r="L2119" t="s">
        <v>74</v>
      </c>
      <c r="M2119" t="s">
        <v>1449</v>
      </c>
      <c r="N2119" t="s">
        <v>696</v>
      </c>
      <c r="O2119" t="s">
        <v>1450</v>
      </c>
      <c r="P2119" t="s">
        <v>1451</v>
      </c>
      <c r="Q2119" t="s">
        <v>2030</v>
      </c>
      <c r="R2119" s="1">
        <v>46233</v>
      </c>
      <c r="S2119" t="s">
        <v>1453</v>
      </c>
      <c r="T2119" t="s">
        <v>1454</v>
      </c>
      <c r="U2119" t="s">
        <v>1455</v>
      </c>
      <c r="V2119" t="s">
        <v>66</v>
      </c>
      <c r="W2119" t="s">
        <v>66</v>
      </c>
      <c r="X2119">
        <v>1960920</v>
      </c>
      <c r="Y2119">
        <v>215701.2</v>
      </c>
      <c r="Z2119">
        <v>468000</v>
      </c>
      <c r="AA2119">
        <v>51480</v>
      </c>
      <c r="AB2119">
        <v>2176621.2000000002</v>
      </c>
      <c r="AC2119">
        <v>2</v>
      </c>
      <c r="AD2119" t="s">
        <v>134</v>
      </c>
      <c r="AE2119">
        <v>24</v>
      </c>
      <c r="AF2119" t="s">
        <v>102</v>
      </c>
      <c r="AG2119">
        <f>IFERROR(VLOOKUP(AF2119,[1]STOK!J:O,6,0),"")</f>
        <v>12</v>
      </c>
      <c r="AH2119" s="2">
        <f t="shared" si="66"/>
        <v>2</v>
      </c>
      <c r="AI2119" t="s">
        <v>102</v>
      </c>
      <c r="AJ2119" t="s">
        <v>103</v>
      </c>
      <c r="AK2119" t="s">
        <v>104</v>
      </c>
      <c r="AL2119" t="s">
        <v>86</v>
      </c>
      <c r="AM2119">
        <v>266400</v>
      </c>
      <c r="AN2119">
        <f t="shared" si="67"/>
        <v>259740</v>
      </c>
      <c r="AO2119" t="s">
        <v>66</v>
      </c>
      <c r="AP2119">
        <v>2.5</v>
      </c>
      <c r="AQ2119" t="s">
        <v>66</v>
      </c>
      <c r="AR2119">
        <v>0</v>
      </c>
      <c r="AS2119" t="s">
        <v>66</v>
      </c>
      <c r="AT2119">
        <v>0</v>
      </c>
      <c r="AU2119" t="s">
        <v>66</v>
      </c>
      <c r="AV2119">
        <v>0</v>
      </c>
      <c r="AW2119" t="s">
        <v>66</v>
      </c>
      <c r="AX2119">
        <v>0</v>
      </c>
      <c r="AY2119" t="s">
        <v>66</v>
      </c>
      <c r="AZ2119">
        <v>0</v>
      </c>
      <c r="BA2119" t="s">
        <v>66</v>
      </c>
      <c r="BB2119">
        <v>0</v>
      </c>
      <c r="BC2119">
        <v>0</v>
      </c>
      <c r="BD2119">
        <v>519480</v>
      </c>
      <c r="BE2119">
        <v>18005.03</v>
      </c>
      <c r="BF2119">
        <v>0</v>
      </c>
      <c r="BG2119" t="s">
        <v>87</v>
      </c>
      <c r="BH2119" t="s">
        <v>66</v>
      </c>
      <c r="BI2119">
        <v>0</v>
      </c>
      <c r="BJ2119" t="s">
        <v>66</v>
      </c>
      <c r="BK2119" t="s">
        <v>88</v>
      </c>
      <c r="BL2119" t="s">
        <v>1459</v>
      </c>
      <c r="BM2119" t="s">
        <v>159</v>
      </c>
    </row>
    <row r="2120" spans="1:65" x14ac:dyDescent="0.25">
      <c r="A2120">
        <v>2118</v>
      </c>
      <c r="B2120" t="s">
        <v>2031</v>
      </c>
      <c r="C2120" t="s">
        <v>1873</v>
      </c>
      <c r="D2120" s="1">
        <v>46231</v>
      </c>
      <c r="E2120" t="s">
        <v>2032</v>
      </c>
      <c r="F2120" t="s">
        <v>1875</v>
      </c>
      <c r="G2120" t="s">
        <v>222</v>
      </c>
      <c r="H2120" t="s">
        <v>223</v>
      </c>
      <c r="I2120" t="s">
        <v>71</v>
      </c>
      <c r="J2120" t="s">
        <v>72</v>
      </c>
      <c r="K2120" t="s">
        <v>73</v>
      </c>
      <c r="L2120" t="s">
        <v>74</v>
      </c>
      <c r="M2120" t="s">
        <v>2033</v>
      </c>
      <c r="N2120" t="s">
        <v>111</v>
      </c>
      <c r="O2120" t="s">
        <v>2034</v>
      </c>
      <c r="P2120" t="s">
        <v>2035</v>
      </c>
      <c r="Q2120" t="s">
        <v>66</v>
      </c>
      <c r="R2120" s="1">
        <v>46231</v>
      </c>
      <c r="S2120" t="s">
        <v>2036</v>
      </c>
      <c r="T2120" t="s">
        <v>2037</v>
      </c>
      <c r="U2120" t="s">
        <v>66</v>
      </c>
      <c r="V2120" t="s">
        <v>2038</v>
      </c>
      <c r="W2120" t="s">
        <v>66</v>
      </c>
      <c r="X2120">
        <v>22432790</v>
      </c>
      <c r="Y2120">
        <v>2467606.9</v>
      </c>
      <c r="Z2120">
        <v>3030300</v>
      </c>
      <c r="AA2120">
        <v>333333</v>
      </c>
      <c r="AB2120">
        <v>24900396.899999999</v>
      </c>
      <c r="AC2120">
        <v>10</v>
      </c>
      <c r="AD2120" t="s">
        <v>134</v>
      </c>
      <c r="AE2120">
        <v>120</v>
      </c>
      <c r="AF2120" t="s">
        <v>593</v>
      </c>
      <c r="AG2120">
        <f>IFERROR(VLOOKUP(AF2120,[1]STOK!J:O,6,0),"")</f>
        <v>12</v>
      </c>
      <c r="AH2120" s="2">
        <f t="shared" si="66"/>
        <v>10</v>
      </c>
      <c r="AI2120" t="s">
        <v>593</v>
      </c>
      <c r="AJ2120" t="s">
        <v>594</v>
      </c>
      <c r="AK2120" t="s">
        <v>595</v>
      </c>
      <c r="AL2120" t="s">
        <v>86</v>
      </c>
      <c r="AM2120">
        <v>336363.3</v>
      </c>
      <c r="AN2120">
        <f t="shared" si="67"/>
        <v>336363.3</v>
      </c>
      <c r="AO2120" t="s">
        <v>66</v>
      </c>
      <c r="AP2120">
        <v>0</v>
      </c>
      <c r="AQ2120" t="s">
        <v>66</v>
      </c>
      <c r="AR2120">
        <v>0</v>
      </c>
      <c r="AS2120" t="s">
        <v>66</v>
      </c>
      <c r="AT2120">
        <v>0</v>
      </c>
      <c r="AU2120" t="s">
        <v>66</v>
      </c>
      <c r="AV2120">
        <v>0</v>
      </c>
      <c r="AW2120" t="s">
        <v>66</v>
      </c>
      <c r="AX2120">
        <v>0</v>
      </c>
      <c r="AY2120" t="s">
        <v>66</v>
      </c>
      <c r="AZ2120">
        <v>0</v>
      </c>
      <c r="BA2120" t="s">
        <v>66</v>
      </c>
      <c r="BB2120">
        <v>0</v>
      </c>
      <c r="BC2120">
        <v>0</v>
      </c>
      <c r="BD2120">
        <v>3363633</v>
      </c>
      <c r="BE2120">
        <v>24583.23</v>
      </c>
      <c r="BF2120">
        <v>0</v>
      </c>
      <c r="BG2120" t="s">
        <v>237</v>
      </c>
      <c r="BH2120" t="s">
        <v>66</v>
      </c>
      <c r="BI2120">
        <v>0</v>
      </c>
      <c r="BJ2120" t="s">
        <v>66</v>
      </c>
      <c r="BK2120" t="s">
        <v>88</v>
      </c>
      <c r="BL2120" t="s">
        <v>66</v>
      </c>
      <c r="BM2120" t="s">
        <v>2039</v>
      </c>
    </row>
    <row r="2121" spans="1:65" x14ac:dyDescent="0.25">
      <c r="A2121">
        <v>2119</v>
      </c>
      <c r="B2121" t="s">
        <v>2031</v>
      </c>
      <c r="C2121" t="s">
        <v>1873</v>
      </c>
      <c r="D2121" s="1">
        <v>46231</v>
      </c>
      <c r="E2121" t="s">
        <v>2032</v>
      </c>
      <c r="F2121" t="s">
        <v>1875</v>
      </c>
      <c r="G2121" t="s">
        <v>222</v>
      </c>
      <c r="H2121" t="s">
        <v>223</v>
      </c>
      <c r="I2121" t="s">
        <v>71</v>
      </c>
      <c r="J2121" t="s">
        <v>72</v>
      </c>
      <c r="K2121" t="s">
        <v>73</v>
      </c>
      <c r="L2121" t="s">
        <v>74</v>
      </c>
      <c r="M2121" t="s">
        <v>2033</v>
      </c>
      <c r="N2121" t="s">
        <v>111</v>
      </c>
      <c r="O2121" t="s">
        <v>2034</v>
      </c>
      <c r="P2121" t="s">
        <v>2035</v>
      </c>
      <c r="Q2121" t="s">
        <v>66</v>
      </c>
      <c r="R2121" s="1">
        <v>46231</v>
      </c>
      <c r="S2121" t="s">
        <v>2036</v>
      </c>
      <c r="T2121" t="s">
        <v>2037</v>
      </c>
      <c r="U2121" t="s">
        <v>66</v>
      </c>
      <c r="V2121" t="s">
        <v>2038</v>
      </c>
      <c r="W2121" t="s">
        <v>66</v>
      </c>
      <c r="X2121">
        <v>22432790</v>
      </c>
      <c r="Y2121">
        <v>2467606.9</v>
      </c>
      <c r="Z2121">
        <v>1515150</v>
      </c>
      <c r="AA2121">
        <v>166666.5</v>
      </c>
      <c r="AB2121">
        <v>24900396.899999999</v>
      </c>
      <c r="AC2121">
        <v>5</v>
      </c>
      <c r="AD2121" t="s">
        <v>134</v>
      </c>
      <c r="AE2121">
        <v>60</v>
      </c>
      <c r="AF2121" t="s">
        <v>303</v>
      </c>
      <c r="AG2121">
        <f>IFERROR(VLOOKUP(AF2121,[1]STOK!J:O,6,0),"")</f>
        <v>12</v>
      </c>
      <c r="AH2121" s="2">
        <f t="shared" si="66"/>
        <v>5</v>
      </c>
      <c r="AI2121" t="s">
        <v>303</v>
      </c>
      <c r="AJ2121" t="s">
        <v>304</v>
      </c>
      <c r="AK2121" t="s">
        <v>305</v>
      </c>
      <c r="AL2121" t="s">
        <v>86</v>
      </c>
      <c r="AM2121">
        <v>336363.3</v>
      </c>
      <c r="AN2121">
        <f t="shared" si="67"/>
        <v>336363.3</v>
      </c>
      <c r="AO2121" t="s">
        <v>66</v>
      </c>
      <c r="AP2121">
        <v>0</v>
      </c>
      <c r="AQ2121" t="s">
        <v>66</v>
      </c>
      <c r="AR2121">
        <v>0</v>
      </c>
      <c r="AS2121" t="s">
        <v>66</v>
      </c>
      <c r="AT2121">
        <v>0</v>
      </c>
      <c r="AU2121" t="s">
        <v>66</v>
      </c>
      <c r="AV2121">
        <v>0</v>
      </c>
      <c r="AW2121" t="s">
        <v>66</v>
      </c>
      <c r="AX2121">
        <v>0</v>
      </c>
      <c r="AY2121" t="s">
        <v>66</v>
      </c>
      <c r="AZ2121">
        <v>0</v>
      </c>
      <c r="BA2121" t="s">
        <v>66</v>
      </c>
      <c r="BB2121">
        <v>0</v>
      </c>
      <c r="BC2121">
        <v>0</v>
      </c>
      <c r="BD2121">
        <v>1681816.5</v>
      </c>
      <c r="BE2121">
        <v>24618.880000000001</v>
      </c>
      <c r="BF2121">
        <v>0</v>
      </c>
      <c r="BG2121" t="s">
        <v>237</v>
      </c>
      <c r="BH2121" t="s">
        <v>66</v>
      </c>
      <c r="BI2121">
        <v>0</v>
      </c>
      <c r="BJ2121" t="s">
        <v>66</v>
      </c>
      <c r="BK2121" t="s">
        <v>88</v>
      </c>
      <c r="BL2121" t="s">
        <v>66</v>
      </c>
      <c r="BM2121" t="s">
        <v>2039</v>
      </c>
    </row>
    <row r="2122" spans="1:65" x14ac:dyDescent="0.25">
      <c r="A2122">
        <v>2120</v>
      </c>
      <c r="B2122" t="s">
        <v>2031</v>
      </c>
      <c r="C2122" t="s">
        <v>1873</v>
      </c>
      <c r="D2122" s="1">
        <v>46231</v>
      </c>
      <c r="E2122" t="s">
        <v>2032</v>
      </c>
      <c r="F2122" t="s">
        <v>1875</v>
      </c>
      <c r="G2122" t="s">
        <v>222</v>
      </c>
      <c r="H2122" t="s">
        <v>223</v>
      </c>
      <c r="I2122" t="s">
        <v>71</v>
      </c>
      <c r="J2122" t="s">
        <v>72</v>
      </c>
      <c r="K2122" t="s">
        <v>73</v>
      </c>
      <c r="L2122" t="s">
        <v>74</v>
      </c>
      <c r="M2122" t="s">
        <v>2033</v>
      </c>
      <c r="N2122" t="s">
        <v>111</v>
      </c>
      <c r="O2122" t="s">
        <v>2034</v>
      </c>
      <c r="P2122" t="s">
        <v>2035</v>
      </c>
      <c r="Q2122" t="s">
        <v>66</v>
      </c>
      <c r="R2122" s="1">
        <v>46231</v>
      </c>
      <c r="S2122" t="s">
        <v>2036</v>
      </c>
      <c r="T2122" t="s">
        <v>2037</v>
      </c>
      <c r="U2122" t="s">
        <v>66</v>
      </c>
      <c r="V2122" t="s">
        <v>2038</v>
      </c>
      <c r="W2122" t="s">
        <v>66</v>
      </c>
      <c r="X2122">
        <v>22432790</v>
      </c>
      <c r="Y2122">
        <v>2467606.9</v>
      </c>
      <c r="Z2122">
        <v>1818180</v>
      </c>
      <c r="AA2122">
        <v>199999.8</v>
      </c>
      <c r="AB2122">
        <v>24900396.899999999</v>
      </c>
      <c r="AC2122">
        <v>6</v>
      </c>
      <c r="AD2122" t="s">
        <v>134</v>
      </c>
      <c r="AE2122">
        <v>72</v>
      </c>
      <c r="AF2122" t="s">
        <v>309</v>
      </c>
      <c r="AG2122">
        <f>IFERROR(VLOOKUP(AF2122,[1]STOK!J:O,6,0),"")</f>
        <v>12</v>
      </c>
      <c r="AH2122" s="2">
        <f t="shared" si="66"/>
        <v>6</v>
      </c>
      <c r="AI2122" t="s">
        <v>309</v>
      </c>
      <c r="AJ2122" t="s">
        <v>310</v>
      </c>
      <c r="AK2122" t="s">
        <v>311</v>
      </c>
      <c r="AL2122" t="s">
        <v>86</v>
      </c>
      <c r="AM2122">
        <v>336363.3</v>
      </c>
      <c r="AN2122">
        <f t="shared" si="67"/>
        <v>336363.3</v>
      </c>
      <c r="AO2122" t="s">
        <v>66</v>
      </c>
      <c r="AP2122">
        <v>0</v>
      </c>
      <c r="AQ2122" t="s">
        <v>66</v>
      </c>
      <c r="AR2122">
        <v>0</v>
      </c>
      <c r="AS2122" t="s">
        <v>66</v>
      </c>
      <c r="AT2122">
        <v>0</v>
      </c>
      <c r="AU2122" t="s">
        <v>66</v>
      </c>
      <c r="AV2122">
        <v>0</v>
      </c>
      <c r="AW2122" t="s">
        <v>66</v>
      </c>
      <c r="AX2122">
        <v>0</v>
      </c>
      <c r="AY2122" t="s">
        <v>66</v>
      </c>
      <c r="AZ2122">
        <v>0</v>
      </c>
      <c r="BA2122" t="s">
        <v>66</v>
      </c>
      <c r="BB2122">
        <v>0</v>
      </c>
      <c r="BC2122">
        <v>0</v>
      </c>
      <c r="BD2122">
        <v>2018179.8</v>
      </c>
      <c r="BE2122">
        <v>24620.85</v>
      </c>
      <c r="BF2122">
        <v>0</v>
      </c>
      <c r="BG2122" t="s">
        <v>237</v>
      </c>
      <c r="BH2122" t="s">
        <v>66</v>
      </c>
      <c r="BI2122">
        <v>0</v>
      </c>
      <c r="BJ2122" t="s">
        <v>66</v>
      </c>
      <c r="BK2122" t="s">
        <v>88</v>
      </c>
      <c r="BL2122" t="s">
        <v>66</v>
      </c>
      <c r="BM2122" t="s">
        <v>2039</v>
      </c>
    </row>
    <row r="2123" spans="1:65" x14ac:dyDescent="0.25">
      <c r="A2123">
        <v>2121</v>
      </c>
      <c r="B2123" t="s">
        <v>2031</v>
      </c>
      <c r="C2123" t="s">
        <v>1873</v>
      </c>
      <c r="D2123" s="1">
        <v>46231</v>
      </c>
      <c r="E2123" t="s">
        <v>2032</v>
      </c>
      <c r="F2123" t="s">
        <v>1875</v>
      </c>
      <c r="G2123" t="s">
        <v>222</v>
      </c>
      <c r="H2123" t="s">
        <v>223</v>
      </c>
      <c r="I2123" t="s">
        <v>71</v>
      </c>
      <c r="J2123" t="s">
        <v>72</v>
      </c>
      <c r="K2123" t="s">
        <v>73</v>
      </c>
      <c r="L2123" t="s">
        <v>74</v>
      </c>
      <c r="M2123" t="s">
        <v>2033</v>
      </c>
      <c r="N2123" t="s">
        <v>111</v>
      </c>
      <c r="O2123" t="s">
        <v>2034</v>
      </c>
      <c r="P2123" t="s">
        <v>2035</v>
      </c>
      <c r="Q2123" t="s">
        <v>66</v>
      </c>
      <c r="R2123" s="1">
        <v>46231</v>
      </c>
      <c r="S2123" t="s">
        <v>2036</v>
      </c>
      <c r="T2123" t="s">
        <v>2037</v>
      </c>
      <c r="U2123" t="s">
        <v>66</v>
      </c>
      <c r="V2123" t="s">
        <v>2038</v>
      </c>
      <c r="W2123" t="s">
        <v>66</v>
      </c>
      <c r="X2123">
        <v>22432790</v>
      </c>
      <c r="Y2123">
        <v>2467606.9</v>
      </c>
      <c r="Z2123">
        <v>2316260</v>
      </c>
      <c r="AA2123">
        <v>254788.6</v>
      </c>
      <c r="AB2123">
        <v>24900396.899999999</v>
      </c>
      <c r="AC2123">
        <v>5</v>
      </c>
      <c r="AD2123" t="s">
        <v>134</v>
      </c>
      <c r="AE2123">
        <v>20</v>
      </c>
      <c r="AF2123" t="s">
        <v>1064</v>
      </c>
      <c r="AG2123">
        <f>IFERROR(VLOOKUP(AF2123,[1]STOK!J:O,6,0),"")</f>
        <v>4</v>
      </c>
      <c r="AH2123" s="2">
        <f t="shared" si="66"/>
        <v>5</v>
      </c>
      <c r="AI2123" t="s">
        <v>1064</v>
      </c>
      <c r="AJ2123" t="s">
        <v>1065</v>
      </c>
      <c r="AK2123" t="s">
        <v>1066</v>
      </c>
      <c r="AL2123" t="s">
        <v>86</v>
      </c>
      <c r="AM2123">
        <v>514209.72</v>
      </c>
      <c r="AN2123">
        <f t="shared" si="67"/>
        <v>514209.72000000003</v>
      </c>
      <c r="AO2123" t="s">
        <v>66</v>
      </c>
      <c r="AP2123">
        <v>0</v>
      </c>
      <c r="AQ2123" t="s">
        <v>66</v>
      </c>
      <c r="AR2123">
        <v>0</v>
      </c>
      <c r="AS2123" t="s">
        <v>66</v>
      </c>
      <c r="AT2123">
        <v>0</v>
      </c>
      <c r="AU2123" t="s">
        <v>66</v>
      </c>
      <c r="AV2123">
        <v>0</v>
      </c>
      <c r="AW2123" t="s">
        <v>66</v>
      </c>
      <c r="AX2123">
        <v>0</v>
      </c>
      <c r="AY2123" t="s">
        <v>66</v>
      </c>
      <c r="AZ2123">
        <v>0</v>
      </c>
      <c r="BA2123" t="s">
        <v>66</v>
      </c>
      <c r="BB2123">
        <v>0</v>
      </c>
      <c r="BC2123">
        <v>0</v>
      </c>
      <c r="BD2123">
        <v>2571048.6</v>
      </c>
      <c r="BE2123">
        <v>111907.72</v>
      </c>
      <c r="BF2123">
        <v>0</v>
      </c>
      <c r="BG2123" t="s">
        <v>237</v>
      </c>
      <c r="BH2123" t="s">
        <v>66</v>
      </c>
      <c r="BI2123">
        <v>0</v>
      </c>
      <c r="BJ2123" t="s">
        <v>66</v>
      </c>
      <c r="BK2123" t="s">
        <v>88</v>
      </c>
      <c r="BL2123" t="s">
        <v>66</v>
      </c>
      <c r="BM2123" t="s">
        <v>2039</v>
      </c>
    </row>
    <row r="2124" spans="1:65" x14ac:dyDescent="0.25">
      <c r="A2124">
        <v>2122</v>
      </c>
      <c r="B2124" t="s">
        <v>2031</v>
      </c>
      <c r="C2124" t="s">
        <v>1873</v>
      </c>
      <c r="D2124" s="1">
        <v>46231</v>
      </c>
      <c r="E2124" t="s">
        <v>2032</v>
      </c>
      <c r="F2124" t="s">
        <v>1875</v>
      </c>
      <c r="G2124" t="s">
        <v>222</v>
      </c>
      <c r="H2124" t="s">
        <v>223</v>
      </c>
      <c r="I2124" t="s">
        <v>71</v>
      </c>
      <c r="J2124" t="s">
        <v>72</v>
      </c>
      <c r="K2124" t="s">
        <v>73</v>
      </c>
      <c r="L2124" t="s">
        <v>74</v>
      </c>
      <c r="M2124" t="s">
        <v>2033</v>
      </c>
      <c r="N2124" t="s">
        <v>111</v>
      </c>
      <c r="O2124" t="s">
        <v>2034</v>
      </c>
      <c r="P2124" t="s">
        <v>2035</v>
      </c>
      <c r="Q2124" t="s">
        <v>66</v>
      </c>
      <c r="R2124" s="1">
        <v>46231</v>
      </c>
      <c r="S2124" t="s">
        <v>2036</v>
      </c>
      <c r="T2124" t="s">
        <v>2037</v>
      </c>
      <c r="U2124" t="s">
        <v>66</v>
      </c>
      <c r="V2124" t="s">
        <v>2038</v>
      </c>
      <c r="W2124" t="s">
        <v>66</v>
      </c>
      <c r="X2124">
        <v>22432790</v>
      </c>
      <c r="Y2124">
        <v>2467606.9</v>
      </c>
      <c r="Z2124">
        <v>4306800</v>
      </c>
      <c r="AA2124">
        <v>473748</v>
      </c>
      <c r="AB2124">
        <v>24900396.899999999</v>
      </c>
      <c r="AC2124">
        <v>10</v>
      </c>
      <c r="AD2124" t="s">
        <v>134</v>
      </c>
      <c r="AE2124">
        <v>240</v>
      </c>
      <c r="AF2124" t="s">
        <v>281</v>
      </c>
      <c r="AG2124">
        <f>IFERROR(VLOOKUP(AF2124,[1]STOK!J:O,6,0),"")</f>
        <v>24</v>
      </c>
      <c r="AH2124" s="2">
        <f t="shared" si="66"/>
        <v>10</v>
      </c>
      <c r="AI2124" t="s">
        <v>281</v>
      </c>
      <c r="AJ2124" t="s">
        <v>282</v>
      </c>
      <c r="AK2124" t="s">
        <v>283</v>
      </c>
      <c r="AL2124" t="s">
        <v>86</v>
      </c>
      <c r="AM2124">
        <v>478054.8</v>
      </c>
      <c r="AN2124">
        <f t="shared" si="67"/>
        <v>478054.8</v>
      </c>
      <c r="AO2124" t="s">
        <v>66</v>
      </c>
      <c r="AP2124">
        <v>0</v>
      </c>
      <c r="AQ2124" t="s">
        <v>66</v>
      </c>
      <c r="AR2124">
        <v>0</v>
      </c>
      <c r="AS2124" t="s">
        <v>66</v>
      </c>
      <c r="AT2124">
        <v>0</v>
      </c>
      <c r="AU2124" t="s">
        <v>66</v>
      </c>
      <c r="AV2124">
        <v>0</v>
      </c>
      <c r="AW2124" t="s">
        <v>66</v>
      </c>
      <c r="AX2124">
        <v>0</v>
      </c>
      <c r="AY2124" t="s">
        <v>66</v>
      </c>
      <c r="AZ2124">
        <v>0</v>
      </c>
      <c r="BA2124" t="s">
        <v>66</v>
      </c>
      <c r="BB2124">
        <v>0</v>
      </c>
      <c r="BC2124">
        <v>0</v>
      </c>
      <c r="BD2124">
        <v>4780548</v>
      </c>
      <c r="BE2124">
        <v>17182.330000000002</v>
      </c>
      <c r="BF2124">
        <v>0</v>
      </c>
      <c r="BG2124" t="s">
        <v>237</v>
      </c>
      <c r="BH2124" t="s">
        <v>66</v>
      </c>
      <c r="BI2124">
        <v>0</v>
      </c>
      <c r="BJ2124" t="s">
        <v>66</v>
      </c>
      <c r="BK2124" t="s">
        <v>88</v>
      </c>
      <c r="BL2124" t="s">
        <v>66</v>
      </c>
      <c r="BM2124" t="s">
        <v>2039</v>
      </c>
    </row>
    <row r="2125" spans="1:65" x14ac:dyDescent="0.25">
      <c r="A2125">
        <v>2123</v>
      </c>
      <c r="B2125" t="s">
        <v>2031</v>
      </c>
      <c r="C2125" t="s">
        <v>1873</v>
      </c>
      <c r="D2125" s="1">
        <v>46231</v>
      </c>
      <c r="E2125" t="s">
        <v>2032</v>
      </c>
      <c r="F2125" t="s">
        <v>1875</v>
      </c>
      <c r="G2125" t="s">
        <v>222</v>
      </c>
      <c r="H2125" t="s">
        <v>223</v>
      </c>
      <c r="I2125" t="s">
        <v>71</v>
      </c>
      <c r="J2125" t="s">
        <v>72</v>
      </c>
      <c r="K2125" t="s">
        <v>73</v>
      </c>
      <c r="L2125" t="s">
        <v>74</v>
      </c>
      <c r="M2125" t="s">
        <v>2033</v>
      </c>
      <c r="N2125" t="s">
        <v>111</v>
      </c>
      <c r="O2125" t="s">
        <v>2034</v>
      </c>
      <c r="P2125" t="s">
        <v>2035</v>
      </c>
      <c r="Q2125" t="s">
        <v>66</v>
      </c>
      <c r="R2125" s="1">
        <v>46231</v>
      </c>
      <c r="S2125" t="s">
        <v>2036</v>
      </c>
      <c r="T2125" t="s">
        <v>2037</v>
      </c>
      <c r="U2125" t="s">
        <v>66</v>
      </c>
      <c r="V2125" t="s">
        <v>2038</v>
      </c>
      <c r="W2125" t="s">
        <v>66</v>
      </c>
      <c r="X2125">
        <v>22432790</v>
      </c>
      <c r="Y2125">
        <v>2467606.9</v>
      </c>
      <c r="Z2125">
        <v>6460200</v>
      </c>
      <c r="AA2125">
        <v>710622</v>
      </c>
      <c r="AB2125">
        <v>24900396.899999999</v>
      </c>
      <c r="AC2125">
        <v>15</v>
      </c>
      <c r="AD2125" t="s">
        <v>134</v>
      </c>
      <c r="AE2125">
        <v>360</v>
      </c>
      <c r="AF2125" t="s">
        <v>470</v>
      </c>
      <c r="AG2125">
        <f>IFERROR(VLOOKUP(AF2125,[1]STOK!J:O,6,0),"")</f>
        <v>24</v>
      </c>
      <c r="AH2125" s="2">
        <f t="shared" si="66"/>
        <v>15</v>
      </c>
      <c r="AI2125" t="s">
        <v>470</v>
      </c>
      <c r="AJ2125" t="s">
        <v>471</v>
      </c>
      <c r="AK2125" t="s">
        <v>472</v>
      </c>
      <c r="AL2125" t="s">
        <v>86</v>
      </c>
      <c r="AM2125">
        <v>478054.8</v>
      </c>
      <c r="AN2125">
        <f t="shared" si="67"/>
        <v>478054.8</v>
      </c>
      <c r="AO2125" t="s">
        <v>66</v>
      </c>
      <c r="AP2125">
        <v>0</v>
      </c>
      <c r="AQ2125" t="s">
        <v>66</v>
      </c>
      <c r="AR2125">
        <v>0</v>
      </c>
      <c r="AS2125" t="s">
        <v>66</v>
      </c>
      <c r="AT2125">
        <v>0</v>
      </c>
      <c r="AU2125" t="s">
        <v>66</v>
      </c>
      <c r="AV2125">
        <v>0</v>
      </c>
      <c r="AW2125" t="s">
        <v>66</v>
      </c>
      <c r="AX2125">
        <v>0</v>
      </c>
      <c r="AY2125" t="s">
        <v>66</v>
      </c>
      <c r="AZ2125">
        <v>0</v>
      </c>
      <c r="BA2125" t="s">
        <v>66</v>
      </c>
      <c r="BB2125">
        <v>0</v>
      </c>
      <c r="BC2125">
        <v>0</v>
      </c>
      <c r="BD2125">
        <v>7170822</v>
      </c>
      <c r="BE2125">
        <v>17322.240000000002</v>
      </c>
      <c r="BF2125">
        <v>0</v>
      </c>
      <c r="BG2125" t="s">
        <v>237</v>
      </c>
      <c r="BH2125" t="s">
        <v>66</v>
      </c>
      <c r="BI2125">
        <v>0</v>
      </c>
      <c r="BJ2125" t="s">
        <v>66</v>
      </c>
      <c r="BK2125" t="s">
        <v>88</v>
      </c>
      <c r="BL2125" t="s">
        <v>66</v>
      </c>
      <c r="BM2125" t="s">
        <v>2039</v>
      </c>
    </row>
    <row r="2126" spans="1:65" x14ac:dyDescent="0.25">
      <c r="A2126">
        <v>2124</v>
      </c>
      <c r="B2126" t="s">
        <v>2031</v>
      </c>
      <c r="C2126" t="s">
        <v>1873</v>
      </c>
      <c r="D2126" s="1">
        <v>46231</v>
      </c>
      <c r="E2126" t="s">
        <v>2032</v>
      </c>
      <c r="F2126" t="s">
        <v>1875</v>
      </c>
      <c r="G2126" t="s">
        <v>222</v>
      </c>
      <c r="H2126" t="s">
        <v>223</v>
      </c>
      <c r="I2126" t="s">
        <v>71</v>
      </c>
      <c r="J2126" t="s">
        <v>72</v>
      </c>
      <c r="K2126" t="s">
        <v>73</v>
      </c>
      <c r="L2126" t="s">
        <v>74</v>
      </c>
      <c r="M2126" t="s">
        <v>2033</v>
      </c>
      <c r="N2126" t="s">
        <v>111</v>
      </c>
      <c r="O2126" t="s">
        <v>2034</v>
      </c>
      <c r="P2126" t="s">
        <v>2035</v>
      </c>
      <c r="Q2126" t="s">
        <v>66</v>
      </c>
      <c r="R2126" s="1">
        <v>46231</v>
      </c>
      <c r="S2126" t="s">
        <v>2036</v>
      </c>
      <c r="T2126" t="s">
        <v>2037</v>
      </c>
      <c r="U2126" t="s">
        <v>66</v>
      </c>
      <c r="V2126" t="s">
        <v>2038</v>
      </c>
      <c r="W2126" t="s">
        <v>66</v>
      </c>
      <c r="X2126">
        <v>22432790</v>
      </c>
      <c r="Y2126">
        <v>2467606.9</v>
      </c>
      <c r="Z2126">
        <v>1492950</v>
      </c>
      <c r="AA2126">
        <v>164224.5</v>
      </c>
      <c r="AB2126">
        <v>24900396.899999999</v>
      </c>
      <c r="AC2126">
        <v>5</v>
      </c>
      <c r="AD2126" t="s">
        <v>134</v>
      </c>
      <c r="AE2126">
        <v>30</v>
      </c>
      <c r="AF2126" t="s">
        <v>528</v>
      </c>
      <c r="AG2126">
        <f>IFERROR(VLOOKUP(AF2126,[1]STOK!J:O,6,0),"")</f>
        <v>6</v>
      </c>
      <c r="AH2126" s="2">
        <f t="shared" si="66"/>
        <v>5</v>
      </c>
      <c r="AI2126" t="s">
        <v>528</v>
      </c>
      <c r="AJ2126" t="s">
        <v>529</v>
      </c>
      <c r="AK2126" t="s">
        <v>530</v>
      </c>
      <c r="AL2126" t="s">
        <v>86</v>
      </c>
      <c r="AM2126">
        <v>331434.90000000002</v>
      </c>
      <c r="AN2126">
        <f t="shared" si="67"/>
        <v>331434.90000000002</v>
      </c>
      <c r="AO2126" t="s">
        <v>66</v>
      </c>
      <c r="AP2126">
        <v>0</v>
      </c>
      <c r="AQ2126" t="s">
        <v>66</v>
      </c>
      <c r="AR2126">
        <v>0</v>
      </c>
      <c r="AS2126" t="s">
        <v>66</v>
      </c>
      <c r="AT2126">
        <v>0</v>
      </c>
      <c r="AU2126" t="s">
        <v>66</v>
      </c>
      <c r="AV2126">
        <v>0</v>
      </c>
      <c r="AW2126" t="s">
        <v>66</v>
      </c>
      <c r="AX2126">
        <v>0</v>
      </c>
      <c r="AY2126" t="s">
        <v>66</v>
      </c>
      <c r="AZ2126">
        <v>0</v>
      </c>
      <c r="BA2126" t="s">
        <v>66</v>
      </c>
      <c r="BB2126">
        <v>0</v>
      </c>
      <c r="BC2126">
        <v>0</v>
      </c>
      <c r="BD2126">
        <v>1657174.5</v>
      </c>
      <c r="BE2126">
        <v>48433.83</v>
      </c>
      <c r="BF2126">
        <v>0</v>
      </c>
      <c r="BG2126" t="s">
        <v>237</v>
      </c>
      <c r="BH2126" t="s">
        <v>66</v>
      </c>
      <c r="BI2126">
        <v>0</v>
      </c>
      <c r="BJ2126" t="s">
        <v>66</v>
      </c>
      <c r="BK2126" t="s">
        <v>88</v>
      </c>
      <c r="BL2126" t="s">
        <v>66</v>
      </c>
      <c r="BM2126" t="s">
        <v>2039</v>
      </c>
    </row>
    <row r="2127" spans="1:65" x14ac:dyDescent="0.25">
      <c r="A2127">
        <v>2125</v>
      </c>
      <c r="B2127" t="s">
        <v>2031</v>
      </c>
      <c r="C2127" t="s">
        <v>1873</v>
      </c>
      <c r="D2127" s="1">
        <v>46231</v>
      </c>
      <c r="E2127" t="s">
        <v>2032</v>
      </c>
      <c r="F2127" t="s">
        <v>1875</v>
      </c>
      <c r="G2127" t="s">
        <v>222</v>
      </c>
      <c r="H2127" t="s">
        <v>223</v>
      </c>
      <c r="I2127" t="s">
        <v>71</v>
      </c>
      <c r="J2127" t="s">
        <v>72</v>
      </c>
      <c r="K2127" t="s">
        <v>73</v>
      </c>
      <c r="L2127" t="s">
        <v>74</v>
      </c>
      <c r="M2127" t="s">
        <v>2033</v>
      </c>
      <c r="N2127" t="s">
        <v>111</v>
      </c>
      <c r="O2127" t="s">
        <v>2034</v>
      </c>
      <c r="P2127" t="s">
        <v>2035</v>
      </c>
      <c r="Q2127" t="s">
        <v>66</v>
      </c>
      <c r="R2127" s="1">
        <v>46231</v>
      </c>
      <c r="S2127" t="s">
        <v>2036</v>
      </c>
      <c r="T2127" t="s">
        <v>2037</v>
      </c>
      <c r="U2127" t="s">
        <v>66</v>
      </c>
      <c r="V2127" t="s">
        <v>2038</v>
      </c>
      <c r="W2127" t="s">
        <v>66</v>
      </c>
      <c r="X2127">
        <v>22432790</v>
      </c>
      <c r="Y2127">
        <v>2467606.9</v>
      </c>
      <c r="Z2127">
        <v>1492950</v>
      </c>
      <c r="AA2127">
        <v>164224.5</v>
      </c>
      <c r="AB2127">
        <v>24900396.899999999</v>
      </c>
      <c r="AC2127">
        <v>5</v>
      </c>
      <c r="AD2127" t="s">
        <v>134</v>
      </c>
      <c r="AE2127">
        <v>30</v>
      </c>
      <c r="AF2127" t="s">
        <v>878</v>
      </c>
      <c r="AG2127">
        <f>IFERROR(VLOOKUP(AF2127,[1]STOK!J:O,6,0),"")</f>
        <v>6</v>
      </c>
      <c r="AH2127" s="2">
        <f t="shared" si="66"/>
        <v>5</v>
      </c>
      <c r="AI2127" t="s">
        <v>878</v>
      </c>
      <c r="AJ2127" t="s">
        <v>879</v>
      </c>
      <c r="AK2127" t="s">
        <v>880</v>
      </c>
      <c r="AL2127" t="s">
        <v>86</v>
      </c>
      <c r="AM2127">
        <v>331434.90000000002</v>
      </c>
      <c r="AN2127">
        <f t="shared" si="67"/>
        <v>331434.90000000002</v>
      </c>
      <c r="AO2127" t="s">
        <v>66</v>
      </c>
      <c r="AP2127">
        <v>0</v>
      </c>
      <c r="AQ2127" t="s">
        <v>66</v>
      </c>
      <c r="AR2127">
        <v>0</v>
      </c>
      <c r="AS2127" t="s">
        <v>66</v>
      </c>
      <c r="AT2127">
        <v>0</v>
      </c>
      <c r="AU2127" t="s">
        <v>66</v>
      </c>
      <c r="AV2127">
        <v>0</v>
      </c>
      <c r="AW2127" t="s">
        <v>66</v>
      </c>
      <c r="AX2127">
        <v>0</v>
      </c>
      <c r="AY2127" t="s">
        <v>66</v>
      </c>
      <c r="AZ2127">
        <v>0</v>
      </c>
      <c r="BA2127" t="s">
        <v>66</v>
      </c>
      <c r="BB2127">
        <v>0</v>
      </c>
      <c r="BC2127">
        <v>0</v>
      </c>
      <c r="BD2127">
        <v>1657174.5</v>
      </c>
      <c r="BE2127">
        <v>45308.94</v>
      </c>
      <c r="BF2127">
        <v>0</v>
      </c>
      <c r="BG2127" t="s">
        <v>237</v>
      </c>
      <c r="BH2127" t="s">
        <v>66</v>
      </c>
      <c r="BI2127">
        <v>0</v>
      </c>
      <c r="BJ2127" t="s">
        <v>66</v>
      </c>
      <c r="BK2127" t="s">
        <v>88</v>
      </c>
      <c r="BL2127" t="s">
        <v>66</v>
      </c>
      <c r="BM2127" t="s">
        <v>2039</v>
      </c>
    </row>
    <row r="2128" spans="1:65" x14ac:dyDescent="0.25">
      <c r="A2128">
        <v>2126</v>
      </c>
      <c r="B2128" t="s">
        <v>2040</v>
      </c>
      <c r="C2128" t="s">
        <v>2041</v>
      </c>
      <c r="D2128" s="1">
        <v>46231</v>
      </c>
      <c r="E2128" t="s">
        <v>2042</v>
      </c>
      <c r="F2128" t="s">
        <v>2043</v>
      </c>
      <c r="G2128" t="s">
        <v>295</v>
      </c>
      <c r="H2128" t="s">
        <v>296</v>
      </c>
      <c r="I2128" t="s">
        <v>71</v>
      </c>
      <c r="J2128" t="s">
        <v>72</v>
      </c>
      <c r="K2128" t="s">
        <v>73</v>
      </c>
      <c r="L2128" t="s">
        <v>74</v>
      </c>
      <c r="M2128" t="s">
        <v>1111</v>
      </c>
      <c r="N2128" t="s">
        <v>696</v>
      </c>
      <c r="O2128" t="s">
        <v>1112</v>
      </c>
      <c r="P2128" t="s">
        <v>1113</v>
      </c>
      <c r="Q2128" t="s">
        <v>66</v>
      </c>
      <c r="R2128" s="1">
        <v>46231</v>
      </c>
      <c r="S2128" t="s">
        <v>1115</v>
      </c>
      <c r="T2128" t="s">
        <v>1116</v>
      </c>
      <c r="U2128" t="s">
        <v>1117</v>
      </c>
      <c r="V2128" t="s">
        <v>66</v>
      </c>
      <c r="W2128" t="s">
        <v>66</v>
      </c>
      <c r="X2128">
        <v>201372</v>
      </c>
      <c r="Y2128">
        <v>22150.92</v>
      </c>
      <c r="Z2128">
        <v>201372</v>
      </c>
      <c r="AA2128">
        <v>22150.92</v>
      </c>
      <c r="AB2128">
        <v>223522.92</v>
      </c>
      <c r="AC2128">
        <v>1</v>
      </c>
      <c r="AD2128" t="s">
        <v>134</v>
      </c>
      <c r="AE2128">
        <v>12</v>
      </c>
      <c r="AF2128" t="s">
        <v>359</v>
      </c>
      <c r="AG2128">
        <f>IFERROR(VLOOKUP(AF2128,[1]STOK!J:O,6,0),"")</f>
        <v>12</v>
      </c>
      <c r="AH2128" s="2">
        <f t="shared" si="66"/>
        <v>1</v>
      </c>
      <c r="AI2128" t="s">
        <v>359</v>
      </c>
      <c r="AJ2128" t="s">
        <v>360</v>
      </c>
      <c r="AK2128" t="s">
        <v>361</v>
      </c>
      <c r="AL2128" t="s">
        <v>86</v>
      </c>
      <c r="AM2128">
        <v>230436</v>
      </c>
      <c r="AN2128">
        <f t="shared" si="67"/>
        <v>223522.92</v>
      </c>
      <c r="AO2128" t="s">
        <v>66</v>
      </c>
      <c r="AP2128">
        <v>3</v>
      </c>
      <c r="AQ2128" t="s">
        <v>66</v>
      </c>
      <c r="AR2128">
        <v>0</v>
      </c>
      <c r="AS2128" t="s">
        <v>66</v>
      </c>
      <c r="AT2128">
        <v>0</v>
      </c>
      <c r="AU2128" t="s">
        <v>66</v>
      </c>
      <c r="AV2128">
        <v>0</v>
      </c>
      <c r="AW2128" t="s">
        <v>66</v>
      </c>
      <c r="AX2128">
        <v>0</v>
      </c>
      <c r="AY2128" t="s">
        <v>66</v>
      </c>
      <c r="AZ2128">
        <v>0</v>
      </c>
      <c r="BA2128" t="s">
        <v>66</v>
      </c>
      <c r="BB2128">
        <v>0</v>
      </c>
      <c r="BC2128">
        <v>0</v>
      </c>
      <c r="BD2128">
        <v>223522.92</v>
      </c>
      <c r="BE2128">
        <v>15617.48</v>
      </c>
      <c r="BF2128">
        <v>0</v>
      </c>
      <c r="BG2128" t="s">
        <v>87</v>
      </c>
      <c r="BH2128" t="s">
        <v>66</v>
      </c>
      <c r="BI2128">
        <v>0</v>
      </c>
      <c r="BJ2128" t="s">
        <v>66</v>
      </c>
      <c r="BK2128" t="s">
        <v>88</v>
      </c>
      <c r="BL2128" t="s">
        <v>66</v>
      </c>
      <c r="BM2128" t="s">
        <v>159</v>
      </c>
    </row>
    <row r="2129" spans="1:65" x14ac:dyDescent="0.25">
      <c r="A2129">
        <v>2127</v>
      </c>
      <c r="B2129" t="s">
        <v>2044</v>
      </c>
      <c r="C2129" t="s">
        <v>2045</v>
      </c>
      <c r="D2129" s="1">
        <v>46231</v>
      </c>
      <c r="E2129" t="s">
        <v>2046</v>
      </c>
      <c r="F2129" t="s">
        <v>2047</v>
      </c>
      <c r="G2129" t="s">
        <v>295</v>
      </c>
      <c r="H2129" t="s">
        <v>296</v>
      </c>
      <c r="I2129" t="s">
        <v>71</v>
      </c>
      <c r="J2129" t="s">
        <v>72</v>
      </c>
      <c r="K2129" t="s">
        <v>73</v>
      </c>
      <c r="L2129" t="s">
        <v>74</v>
      </c>
      <c r="M2129" t="s">
        <v>1111</v>
      </c>
      <c r="N2129" t="s">
        <v>696</v>
      </c>
      <c r="O2129" t="s">
        <v>1112</v>
      </c>
      <c r="P2129" t="s">
        <v>1113</v>
      </c>
      <c r="Q2129" t="s">
        <v>66</v>
      </c>
      <c r="R2129" s="1">
        <v>46231</v>
      </c>
      <c r="S2129" t="s">
        <v>1115</v>
      </c>
      <c r="T2129" t="s">
        <v>1116</v>
      </c>
      <c r="U2129" t="s">
        <v>1117</v>
      </c>
      <c r="V2129" t="s">
        <v>66</v>
      </c>
      <c r="W2129" t="s">
        <v>66</v>
      </c>
      <c r="X2129">
        <v>1920600</v>
      </c>
      <c r="Y2129">
        <v>211266</v>
      </c>
      <c r="Z2129">
        <v>1920600</v>
      </c>
      <c r="AA2129">
        <v>211266</v>
      </c>
      <c r="AB2129">
        <v>2131866</v>
      </c>
      <c r="AC2129">
        <v>5</v>
      </c>
      <c r="AD2129" t="s">
        <v>134</v>
      </c>
      <c r="AE2129">
        <v>120</v>
      </c>
      <c r="AF2129" t="s">
        <v>96</v>
      </c>
      <c r="AG2129">
        <f>IFERROR(VLOOKUP(AF2129,[1]STOK!J:O,6,0),"")</f>
        <v>24</v>
      </c>
      <c r="AH2129" s="2">
        <f t="shared" si="66"/>
        <v>5</v>
      </c>
      <c r="AI2129" t="s">
        <v>96</v>
      </c>
      <c r="AJ2129" t="s">
        <v>97</v>
      </c>
      <c r="AK2129" t="s">
        <v>98</v>
      </c>
      <c r="AL2129" t="s">
        <v>86</v>
      </c>
      <c r="AM2129">
        <v>439560</v>
      </c>
      <c r="AN2129">
        <f t="shared" si="67"/>
        <v>426373.2</v>
      </c>
      <c r="AO2129" t="s">
        <v>66</v>
      </c>
      <c r="AP2129">
        <v>3</v>
      </c>
      <c r="AQ2129" t="s">
        <v>66</v>
      </c>
      <c r="AR2129">
        <v>0</v>
      </c>
      <c r="AS2129" t="s">
        <v>66</v>
      </c>
      <c r="AT2129">
        <v>0</v>
      </c>
      <c r="AU2129" t="s">
        <v>66</v>
      </c>
      <c r="AV2129">
        <v>0</v>
      </c>
      <c r="AW2129" t="s">
        <v>66</v>
      </c>
      <c r="AX2129">
        <v>0</v>
      </c>
      <c r="AY2129" t="s">
        <v>66</v>
      </c>
      <c r="AZ2129">
        <v>0</v>
      </c>
      <c r="BA2129" t="s">
        <v>66</v>
      </c>
      <c r="BB2129">
        <v>0</v>
      </c>
      <c r="BC2129">
        <v>0</v>
      </c>
      <c r="BD2129">
        <v>2131866</v>
      </c>
      <c r="BE2129">
        <v>14924.54</v>
      </c>
      <c r="BF2129">
        <v>0</v>
      </c>
      <c r="BG2129" t="s">
        <v>87</v>
      </c>
      <c r="BH2129" t="s">
        <v>66</v>
      </c>
      <c r="BI2129">
        <v>0</v>
      </c>
      <c r="BJ2129" t="s">
        <v>66</v>
      </c>
      <c r="BK2129" t="s">
        <v>88</v>
      </c>
      <c r="BL2129" t="s">
        <v>66</v>
      </c>
      <c r="BM2129" t="s">
        <v>159</v>
      </c>
    </row>
    <row r="2130" spans="1:65" x14ac:dyDescent="0.25">
      <c r="A2130">
        <v>2128</v>
      </c>
      <c r="B2130" t="s">
        <v>2048</v>
      </c>
      <c r="C2130" t="s">
        <v>68</v>
      </c>
      <c r="D2130" s="1">
        <v>46232</v>
      </c>
      <c r="E2130" t="s">
        <v>2049</v>
      </c>
      <c r="F2130" t="s">
        <v>68</v>
      </c>
      <c r="G2130" t="s">
        <v>295</v>
      </c>
      <c r="H2130" t="s">
        <v>296</v>
      </c>
      <c r="I2130" t="s">
        <v>71</v>
      </c>
      <c r="J2130" t="s">
        <v>72</v>
      </c>
      <c r="K2130" t="s">
        <v>73</v>
      </c>
      <c r="L2130" t="s">
        <v>74</v>
      </c>
      <c r="M2130" t="s">
        <v>540</v>
      </c>
      <c r="N2130" t="s">
        <v>111</v>
      </c>
      <c r="O2130" t="s">
        <v>541</v>
      </c>
      <c r="P2130" t="s">
        <v>542</v>
      </c>
      <c r="Q2130" t="s">
        <v>66</v>
      </c>
      <c r="R2130" s="1">
        <v>46232</v>
      </c>
      <c r="S2130" t="s">
        <v>544</v>
      </c>
      <c r="T2130" t="s">
        <v>545</v>
      </c>
      <c r="U2130" t="s">
        <v>546</v>
      </c>
      <c r="V2130" t="s">
        <v>66</v>
      </c>
      <c r="W2130" t="s">
        <v>66</v>
      </c>
      <c r="X2130">
        <v>451500</v>
      </c>
      <c r="Y2130">
        <v>49665</v>
      </c>
      <c r="Z2130">
        <v>15000</v>
      </c>
      <c r="AA2130">
        <v>1650</v>
      </c>
      <c r="AB2130">
        <v>501165</v>
      </c>
      <c r="AC2130">
        <v>6</v>
      </c>
      <c r="AD2130" t="s">
        <v>82</v>
      </c>
      <c r="AE2130">
        <v>6</v>
      </c>
      <c r="AF2130" t="s">
        <v>163</v>
      </c>
      <c r="AG2130">
        <f>IFERROR(VLOOKUP(AF2130,[1]STOK!J:O,6,0),"")</f>
        <v>72</v>
      </c>
      <c r="AH2130" s="2">
        <f t="shared" si="66"/>
        <v>8.3333333333333329E-2</v>
      </c>
      <c r="AI2130" t="s">
        <v>163</v>
      </c>
      <c r="AJ2130" t="s">
        <v>164</v>
      </c>
      <c r="AK2130" t="s">
        <v>165</v>
      </c>
      <c r="AL2130" t="s">
        <v>86</v>
      </c>
      <c r="AM2130">
        <v>2775</v>
      </c>
      <c r="AN2130">
        <f t="shared" si="67"/>
        <v>2775</v>
      </c>
      <c r="AO2130" t="s">
        <v>66</v>
      </c>
      <c r="AP2130">
        <v>0</v>
      </c>
      <c r="AQ2130" t="s">
        <v>66</v>
      </c>
      <c r="AR2130">
        <v>0</v>
      </c>
      <c r="AS2130" t="s">
        <v>66</v>
      </c>
      <c r="AT2130">
        <v>0</v>
      </c>
      <c r="AU2130" t="s">
        <v>66</v>
      </c>
      <c r="AV2130">
        <v>0</v>
      </c>
      <c r="AW2130" t="s">
        <v>66</v>
      </c>
      <c r="AX2130">
        <v>0</v>
      </c>
      <c r="AY2130" t="s">
        <v>66</v>
      </c>
      <c r="AZ2130">
        <v>0</v>
      </c>
      <c r="BA2130" t="s">
        <v>66</v>
      </c>
      <c r="BB2130">
        <v>0</v>
      </c>
      <c r="BC2130">
        <v>0</v>
      </c>
      <c r="BD2130">
        <v>16650</v>
      </c>
      <c r="BE2130">
        <v>2190.6999999999998</v>
      </c>
      <c r="BF2130">
        <v>0</v>
      </c>
      <c r="BG2130" t="s">
        <v>87</v>
      </c>
      <c r="BH2130" t="s">
        <v>66</v>
      </c>
      <c r="BI2130">
        <v>0</v>
      </c>
      <c r="BJ2130" t="s">
        <v>66</v>
      </c>
      <c r="BK2130" t="s">
        <v>88</v>
      </c>
      <c r="BL2130" t="s">
        <v>547</v>
      </c>
      <c r="BM2130" t="s">
        <v>159</v>
      </c>
    </row>
    <row r="2131" spans="1:65" x14ac:dyDescent="0.25">
      <c r="A2131">
        <v>2129</v>
      </c>
      <c r="B2131" t="s">
        <v>2048</v>
      </c>
      <c r="C2131" t="s">
        <v>68</v>
      </c>
      <c r="D2131" s="1">
        <v>46232</v>
      </c>
      <c r="E2131" t="s">
        <v>2049</v>
      </c>
      <c r="F2131" t="s">
        <v>68</v>
      </c>
      <c r="G2131" t="s">
        <v>295</v>
      </c>
      <c r="H2131" t="s">
        <v>296</v>
      </c>
      <c r="I2131" t="s">
        <v>71</v>
      </c>
      <c r="J2131" t="s">
        <v>72</v>
      </c>
      <c r="K2131" t="s">
        <v>73</v>
      </c>
      <c r="L2131" t="s">
        <v>74</v>
      </c>
      <c r="M2131" t="s">
        <v>540</v>
      </c>
      <c r="N2131" t="s">
        <v>111</v>
      </c>
      <c r="O2131" t="s">
        <v>541</v>
      </c>
      <c r="P2131" t="s">
        <v>542</v>
      </c>
      <c r="Q2131" t="s">
        <v>66</v>
      </c>
      <c r="R2131" s="1">
        <v>46232</v>
      </c>
      <c r="S2131" t="s">
        <v>544</v>
      </c>
      <c r="T2131" t="s">
        <v>545</v>
      </c>
      <c r="U2131" t="s">
        <v>546</v>
      </c>
      <c r="V2131" t="s">
        <v>66</v>
      </c>
      <c r="W2131" t="s">
        <v>66</v>
      </c>
      <c r="X2131">
        <v>451500</v>
      </c>
      <c r="Y2131">
        <v>49665</v>
      </c>
      <c r="Z2131">
        <v>15000</v>
      </c>
      <c r="AA2131">
        <v>1650</v>
      </c>
      <c r="AB2131">
        <v>501165</v>
      </c>
      <c r="AC2131">
        <v>6</v>
      </c>
      <c r="AD2131" t="s">
        <v>82</v>
      </c>
      <c r="AE2131">
        <v>6</v>
      </c>
      <c r="AF2131" t="s">
        <v>185</v>
      </c>
      <c r="AG2131">
        <f>IFERROR(VLOOKUP(AF2131,[1]STOK!J:O,6,0),"")</f>
        <v>72</v>
      </c>
      <c r="AH2131" s="2">
        <f t="shared" si="66"/>
        <v>8.3333333333333329E-2</v>
      </c>
      <c r="AI2131" t="s">
        <v>185</v>
      </c>
      <c r="AJ2131" t="s">
        <v>186</v>
      </c>
      <c r="AK2131" t="s">
        <v>187</v>
      </c>
      <c r="AL2131" t="s">
        <v>86</v>
      </c>
      <c r="AM2131">
        <v>2775</v>
      </c>
      <c r="AN2131">
        <f t="shared" si="67"/>
        <v>2775</v>
      </c>
      <c r="AO2131" t="s">
        <v>66</v>
      </c>
      <c r="AP2131">
        <v>0</v>
      </c>
      <c r="AQ2131" t="s">
        <v>66</v>
      </c>
      <c r="AR2131">
        <v>0</v>
      </c>
      <c r="AS2131" t="s">
        <v>66</v>
      </c>
      <c r="AT2131">
        <v>0</v>
      </c>
      <c r="AU2131" t="s">
        <v>66</v>
      </c>
      <c r="AV2131">
        <v>0</v>
      </c>
      <c r="AW2131" t="s">
        <v>66</v>
      </c>
      <c r="AX2131">
        <v>0</v>
      </c>
      <c r="AY2131" t="s">
        <v>66</v>
      </c>
      <c r="AZ2131">
        <v>0</v>
      </c>
      <c r="BA2131" t="s">
        <v>66</v>
      </c>
      <c r="BB2131">
        <v>0</v>
      </c>
      <c r="BC2131">
        <v>0</v>
      </c>
      <c r="BD2131">
        <v>16650</v>
      </c>
      <c r="BE2131">
        <v>2241.11</v>
      </c>
      <c r="BF2131">
        <v>0</v>
      </c>
      <c r="BG2131" t="s">
        <v>87</v>
      </c>
      <c r="BH2131" t="s">
        <v>66</v>
      </c>
      <c r="BI2131">
        <v>0</v>
      </c>
      <c r="BJ2131" t="s">
        <v>66</v>
      </c>
      <c r="BK2131" t="s">
        <v>88</v>
      </c>
      <c r="BL2131" t="s">
        <v>547</v>
      </c>
      <c r="BM2131" t="s">
        <v>159</v>
      </c>
    </row>
    <row r="2132" spans="1:65" x14ac:dyDescent="0.25">
      <c r="A2132">
        <v>2130</v>
      </c>
      <c r="B2132" t="s">
        <v>2048</v>
      </c>
      <c r="C2132" t="s">
        <v>68</v>
      </c>
      <c r="D2132" s="1">
        <v>46232</v>
      </c>
      <c r="E2132" t="s">
        <v>2049</v>
      </c>
      <c r="F2132" t="s">
        <v>68</v>
      </c>
      <c r="G2132" t="s">
        <v>295</v>
      </c>
      <c r="H2132" t="s">
        <v>296</v>
      </c>
      <c r="I2132" t="s">
        <v>71</v>
      </c>
      <c r="J2132" t="s">
        <v>72</v>
      </c>
      <c r="K2132" t="s">
        <v>73</v>
      </c>
      <c r="L2132" t="s">
        <v>74</v>
      </c>
      <c r="M2132" t="s">
        <v>540</v>
      </c>
      <c r="N2132" t="s">
        <v>111</v>
      </c>
      <c r="O2132" t="s">
        <v>541</v>
      </c>
      <c r="P2132" t="s">
        <v>542</v>
      </c>
      <c r="Q2132" t="s">
        <v>66</v>
      </c>
      <c r="R2132" s="1">
        <v>46232</v>
      </c>
      <c r="S2132" t="s">
        <v>544</v>
      </c>
      <c r="T2132" t="s">
        <v>545</v>
      </c>
      <c r="U2132" t="s">
        <v>546</v>
      </c>
      <c r="V2132" t="s">
        <v>66</v>
      </c>
      <c r="W2132" t="s">
        <v>66</v>
      </c>
      <c r="X2132">
        <v>451500</v>
      </c>
      <c r="Y2132">
        <v>49665</v>
      </c>
      <c r="Z2132">
        <v>34200</v>
      </c>
      <c r="AA2132">
        <v>3762</v>
      </c>
      <c r="AB2132">
        <v>501165</v>
      </c>
      <c r="AC2132">
        <v>6</v>
      </c>
      <c r="AD2132" t="s">
        <v>82</v>
      </c>
      <c r="AE2132">
        <v>6</v>
      </c>
      <c r="AF2132" t="s">
        <v>350</v>
      </c>
      <c r="AG2132">
        <f>IFERROR(VLOOKUP(AF2132,[1]STOK!J:O,6,0),"")</f>
        <v>48</v>
      </c>
      <c r="AH2132" s="2">
        <f t="shared" si="66"/>
        <v>0.125</v>
      </c>
      <c r="AI2132" t="s">
        <v>350</v>
      </c>
      <c r="AJ2132" t="s">
        <v>351</v>
      </c>
      <c r="AK2132" t="s">
        <v>352</v>
      </c>
      <c r="AL2132" t="s">
        <v>86</v>
      </c>
      <c r="AM2132">
        <v>6327</v>
      </c>
      <c r="AN2132">
        <f t="shared" si="67"/>
        <v>6327</v>
      </c>
      <c r="AO2132" t="s">
        <v>66</v>
      </c>
      <c r="AP2132">
        <v>0</v>
      </c>
      <c r="AQ2132" t="s">
        <v>66</v>
      </c>
      <c r="AR2132">
        <v>0</v>
      </c>
      <c r="AS2132" t="s">
        <v>66</v>
      </c>
      <c r="AT2132">
        <v>0</v>
      </c>
      <c r="AU2132" t="s">
        <v>66</v>
      </c>
      <c r="AV2132">
        <v>0</v>
      </c>
      <c r="AW2132" t="s">
        <v>66</v>
      </c>
      <c r="AX2132">
        <v>0</v>
      </c>
      <c r="AY2132" t="s">
        <v>66</v>
      </c>
      <c r="AZ2132">
        <v>0</v>
      </c>
      <c r="BA2132" t="s">
        <v>66</v>
      </c>
      <c r="BB2132">
        <v>0</v>
      </c>
      <c r="BC2132">
        <v>0</v>
      </c>
      <c r="BD2132">
        <v>37962</v>
      </c>
      <c r="BE2132">
        <v>5068.84</v>
      </c>
      <c r="BF2132">
        <v>0</v>
      </c>
      <c r="BG2132" t="s">
        <v>87</v>
      </c>
      <c r="BH2132" t="s">
        <v>66</v>
      </c>
      <c r="BI2132">
        <v>0</v>
      </c>
      <c r="BJ2132" t="s">
        <v>66</v>
      </c>
      <c r="BK2132" t="s">
        <v>88</v>
      </c>
      <c r="BL2132" t="s">
        <v>547</v>
      </c>
      <c r="BM2132" t="s">
        <v>159</v>
      </c>
    </row>
    <row r="2133" spans="1:65" x14ac:dyDescent="0.25">
      <c r="A2133">
        <v>2131</v>
      </c>
      <c r="B2133" t="s">
        <v>2048</v>
      </c>
      <c r="C2133" t="s">
        <v>68</v>
      </c>
      <c r="D2133" s="1">
        <v>46232</v>
      </c>
      <c r="E2133" t="s">
        <v>2049</v>
      </c>
      <c r="F2133" t="s">
        <v>68</v>
      </c>
      <c r="G2133" t="s">
        <v>295</v>
      </c>
      <c r="H2133" t="s">
        <v>296</v>
      </c>
      <c r="I2133" t="s">
        <v>71</v>
      </c>
      <c r="J2133" t="s">
        <v>72</v>
      </c>
      <c r="K2133" t="s">
        <v>73</v>
      </c>
      <c r="L2133" t="s">
        <v>74</v>
      </c>
      <c r="M2133" t="s">
        <v>540</v>
      </c>
      <c r="N2133" t="s">
        <v>111</v>
      </c>
      <c r="O2133" t="s">
        <v>541</v>
      </c>
      <c r="P2133" t="s">
        <v>542</v>
      </c>
      <c r="Q2133" t="s">
        <v>66</v>
      </c>
      <c r="R2133" s="1">
        <v>46232</v>
      </c>
      <c r="S2133" t="s">
        <v>544</v>
      </c>
      <c r="T2133" t="s">
        <v>545</v>
      </c>
      <c r="U2133" t="s">
        <v>546</v>
      </c>
      <c r="V2133" t="s">
        <v>66</v>
      </c>
      <c r="W2133" t="s">
        <v>66</v>
      </c>
      <c r="X2133">
        <v>451500</v>
      </c>
      <c r="Y2133">
        <v>49665</v>
      </c>
      <c r="Z2133">
        <v>49500</v>
      </c>
      <c r="AA2133">
        <v>5445</v>
      </c>
      <c r="AB2133">
        <v>501165</v>
      </c>
      <c r="AC2133">
        <v>3</v>
      </c>
      <c r="AD2133" t="s">
        <v>82</v>
      </c>
      <c r="AE2133">
        <v>3</v>
      </c>
      <c r="AF2133" t="s">
        <v>128</v>
      </c>
      <c r="AG2133">
        <f>IFERROR(VLOOKUP(AF2133,[1]STOK!J:O,6,0),"")</f>
        <v>24</v>
      </c>
      <c r="AH2133" s="2">
        <f t="shared" si="66"/>
        <v>0.125</v>
      </c>
      <c r="AI2133" t="s">
        <v>128</v>
      </c>
      <c r="AJ2133" t="s">
        <v>129</v>
      </c>
      <c r="AK2133" t="s">
        <v>130</v>
      </c>
      <c r="AL2133" t="s">
        <v>86</v>
      </c>
      <c r="AM2133">
        <v>18315</v>
      </c>
      <c r="AN2133">
        <f t="shared" si="67"/>
        <v>18315</v>
      </c>
      <c r="AO2133" t="s">
        <v>66</v>
      </c>
      <c r="AP2133">
        <v>0</v>
      </c>
      <c r="AQ2133" t="s">
        <v>66</v>
      </c>
      <c r="AR2133">
        <v>0</v>
      </c>
      <c r="AS2133" t="s">
        <v>66</v>
      </c>
      <c r="AT2133">
        <v>0</v>
      </c>
      <c r="AU2133" t="s">
        <v>66</v>
      </c>
      <c r="AV2133">
        <v>0</v>
      </c>
      <c r="AW2133" t="s">
        <v>66</v>
      </c>
      <c r="AX2133">
        <v>0</v>
      </c>
      <c r="AY2133" t="s">
        <v>66</v>
      </c>
      <c r="AZ2133">
        <v>0</v>
      </c>
      <c r="BA2133" t="s">
        <v>66</v>
      </c>
      <c r="BB2133">
        <v>0</v>
      </c>
      <c r="BC2133">
        <v>0</v>
      </c>
      <c r="BD2133">
        <v>54945</v>
      </c>
      <c r="BE2133">
        <v>14887.43</v>
      </c>
      <c r="BF2133">
        <v>0</v>
      </c>
      <c r="BG2133" t="s">
        <v>87</v>
      </c>
      <c r="BH2133" t="s">
        <v>66</v>
      </c>
      <c r="BI2133">
        <v>0</v>
      </c>
      <c r="BJ2133" t="s">
        <v>66</v>
      </c>
      <c r="BK2133" t="s">
        <v>88</v>
      </c>
      <c r="BL2133" t="s">
        <v>547</v>
      </c>
      <c r="BM2133" t="s">
        <v>159</v>
      </c>
    </row>
    <row r="2134" spans="1:65" x14ac:dyDescent="0.25">
      <c r="A2134">
        <v>2132</v>
      </c>
      <c r="B2134" t="s">
        <v>2048</v>
      </c>
      <c r="C2134" t="s">
        <v>68</v>
      </c>
      <c r="D2134" s="1">
        <v>46232</v>
      </c>
      <c r="E2134" t="s">
        <v>2049</v>
      </c>
      <c r="F2134" t="s">
        <v>68</v>
      </c>
      <c r="G2134" t="s">
        <v>295</v>
      </c>
      <c r="H2134" t="s">
        <v>296</v>
      </c>
      <c r="I2134" t="s">
        <v>71</v>
      </c>
      <c r="J2134" t="s">
        <v>72</v>
      </c>
      <c r="K2134" t="s">
        <v>73</v>
      </c>
      <c r="L2134" t="s">
        <v>74</v>
      </c>
      <c r="M2134" t="s">
        <v>540</v>
      </c>
      <c r="N2134" t="s">
        <v>111</v>
      </c>
      <c r="O2134" t="s">
        <v>541</v>
      </c>
      <c r="P2134" t="s">
        <v>542</v>
      </c>
      <c r="Q2134" t="s">
        <v>66</v>
      </c>
      <c r="R2134" s="1">
        <v>46232</v>
      </c>
      <c r="S2134" t="s">
        <v>544</v>
      </c>
      <c r="T2134" t="s">
        <v>545</v>
      </c>
      <c r="U2134" t="s">
        <v>546</v>
      </c>
      <c r="V2134" t="s">
        <v>66</v>
      </c>
      <c r="W2134" t="s">
        <v>66</v>
      </c>
      <c r="X2134">
        <v>451500</v>
      </c>
      <c r="Y2134">
        <v>49665</v>
      </c>
      <c r="Z2134">
        <v>49500</v>
      </c>
      <c r="AA2134">
        <v>5445</v>
      </c>
      <c r="AB2134">
        <v>501165</v>
      </c>
      <c r="AC2134">
        <v>3</v>
      </c>
      <c r="AD2134" t="s">
        <v>82</v>
      </c>
      <c r="AE2134">
        <v>3</v>
      </c>
      <c r="AF2134" t="s">
        <v>96</v>
      </c>
      <c r="AG2134">
        <f>IFERROR(VLOOKUP(AF2134,[1]STOK!J:O,6,0),"")</f>
        <v>24</v>
      </c>
      <c r="AH2134" s="2">
        <f t="shared" si="66"/>
        <v>0.125</v>
      </c>
      <c r="AI2134" t="s">
        <v>96</v>
      </c>
      <c r="AJ2134" t="s">
        <v>97</v>
      </c>
      <c r="AK2134" t="s">
        <v>98</v>
      </c>
      <c r="AL2134" t="s">
        <v>86</v>
      </c>
      <c r="AM2134">
        <v>18315</v>
      </c>
      <c r="AN2134">
        <f t="shared" si="67"/>
        <v>18315</v>
      </c>
      <c r="AO2134" t="s">
        <v>66</v>
      </c>
      <c r="AP2134">
        <v>0</v>
      </c>
      <c r="AQ2134" t="s">
        <v>66</v>
      </c>
      <c r="AR2134">
        <v>0</v>
      </c>
      <c r="AS2134" t="s">
        <v>66</v>
      </c>
      <c r="AT2134">
        <v>0</v>
      </c>
      <c r="AU2134" t="s">
        <v>66</v>
      </c>
      <c r="AV2134">
        <v>0</v>
      </c>
      <c r="AW2134" t="s">
        <v>66</v>
      </c>
      <c r="AX2134">
        <v>0</v>
      </c>
      <c r="AY2134" t="s">
        <v>66</v>
      </c>
      <c r="AZ2134">
        <v>0</v>
      </c>
      <c r="BA2134" t="s">
        <v>66</v>
      </c>
      <c r="BB2134">
        <v>0</v>
      </c>
      <c r="BC2134">
        <v>0</v>
      </c>
      <c r="BD2134">
        <v>54945</v>
      </c>
      <c r="BE2134">
        <v>14924.54</v>
      </c>
      <c r="BF2134">
        <v>0</v>
      </c>
      <c r="BG2134" t="s">
        <v>87</v>
      </c>
      <c r="BH2134" t="s">
        <v>66</v>
      </c>
      <c r="BI2134">
        <v>0</v>
      </c>
      <c r="BJ2134" t="s">
        <v>66</v>
      </c>
      <c r="BK2134" t="s">
        <v>88</v>
      </c>
      <c r="BL2134" t="s">
        <v>547</v>
      </c>
      <c r="BM2134" t="s">
        <v>159</v>
      </c>
    </row>
    <row r="2135" spans="1:65" x14ac:dyDescent="0.25">
      <c r="A2135">
        <v>2133</v>
      </c>
      <c r="B2135" t="s">
        <v>2048</v>
      </c>
      <c r="C2135" t="s">
        <v>68</v>
      </c>
      <c r="D2135" s="1">
        <v>46232</v>
      </c>
      <c r="E2135" t="s">
        <v>2049</v>
      </c>
      <c r="F2135" t="s">
        <v>68</v>
      </c>
      <c r="G2135" t="s">
        <v>295</v>
      </c>
      <c r="H2135" t="s">
        <v>296</v>
      </c>
      <c r="I2135" t="s">
        <v>71</v>
      </c>
      <c r="J2135" t="s">
        <v>72</v>
      </c>
      <c r="K2135" t="s">
        <v>73</v>
      </c>
      <c r="L2135" t="s">
        <v>74</v>
      </c>
      <c r="M2135" t="s">
        <v>540</v>
      </c>
      <c r="N2135" t="s">
        <v>111</v>
      </c>
      <c r="O2135" t="s">
        <v>541</v>
      </c>
      <c r="P2135" t="s">
        <v>542</v>
      </c>
      <c r="Q2135" t="s">
        <v>66</v>
      </c>
      <c r="R2135" s="1">
        <v>46232</v>
      </c>
      <c r="S2135" t="s">
        <v>544</v>
      </c>
      <c r="T2135" t="s">
        <v>545</v>
      </c>
      <c r="U2135" t="s">
        <v>546</v>
      </c>
      <c r="V2135" t="s">
        <v>66</v>
      </c>
      <c r="W2135" t="s">
        <v>66</v>
      </c>
      <c r="X2135">
        <v>451500</v>
      </c>
      <c r="Y2135">
        <v>49665</v>
      </c>
      <c r="Z2135">
        <v>81900</v>
      </c>
      <c r="AA2135">
        <v>9009</v>
      </c>
      <c r="AB2135">
        <v>501165</v>
      </c>
      <c r="AC2135">
        <v>3</v>
      </c>
      <c r="AD2135" t="s">
        <v>82</v>
      </c>
      <c r="AE2135">
        <v>3</v>
      </c>
      <c r="AF2135" t="s">
        <v>563</v>
      </c>
      <c r="AG2135">
        <f>IFERROR(VLOOKUP(AF2135,[1]STOK!J:O,6,0),"")</f>
        <v>12</v>
      </c>
      <c r="AH2135" s="2">
        <f t="shared" si="66"/>
        <v>0.25</v>
      </c>
      <c r="AI2135" t="s">
        <v>563</v>
      </c>
      <c r="AJ2135" t="s">
        <v>564</v>
      </c>
      <c r="AK2135" t="s">
        <v>565</v>
      </c>
      <c r="AL2135" t="s">
        <v>86</v>
      </c>
      <c r="AM2135">
        <v>30303</v>
      </c>
      <c r="AN2135">
        <f t="shared" si="67"/>
        <v>30303</v>
      </c>
      <c r="AO2135" t="s">
        <v>66</v>
      </c>
      <c r="AP2135">
        <v>0</v>
      </c>
      <c r="AQ2135" t="s">
        <v>66</v>
      </c>
      <c r="AR2135">
        <v>0</v>
      </c>
      <c r="AS2135" t="s">
        <v>66</v>
      </c>
      <c r="AT2135">
        <v>0</v>
      </c>
      <c r="AU2135" t="s">
        <v>66</v>
      </c>
      <c r="AV2135">
        <v>0</v>
      </c>
      <c r="AW2135" t="s">
        <v>66</v>
      </c>
      <c r="AX2135">
        <v>0</v>
      </c>
      <c r="AY2135" t="s">
        <v>66</v>
      </c>
      <c r="AZ2135">
        <v>0</v>
      </c>
      <c r="BA2135" t="s">
        <v>66</v>
      </c>
      <c r="BB2135">
        <v>0</v>
      </c>
      <c r="BC2135">
        <v>0</v>
      </c>
      <c r="BD2135">
        <v>90909</v>
      </c>
      <c r="BE2135">
        <v>24643.38</v>
      </c>
      <c r="BF2135">
        <v>0</v>
      </c>
      <c r="BG2135" t="s">
        <v>87</v>
      </c>
      <c r="BH2135" t="s">
        <v>66</v>
      </c>
      <c r="BI2135">
        <v>0</v>
      </c>
      <c r="BJ2135" t="s">
        <v>66</v>
      </c>
      <c r="BK2135" t="s">
        <v>88</v>
      </c>
      <c r="BL2135" t="s">
        <v>547</v>
      </c>
      <c r="BM2135" t="s">
        <v>159</v>
      </c>
    </row>
    <row r="2136" spans="1:65" x14ac:dyDescent="0.25">
      <c r="A2136">
        <v>2134</v>
      </c>
      <c r="B2136" t="s">
        <v>2048</v>
      </c>
      <c r="C2136" t="s">
        <v>68</v>
      </c>
      <c r="D2136" s="1">
        <v>46232</v>
      </c>
      <c r="E2136" t="s">
        <v>2049</v>
      </c>
      <c r="F2136" t="s">
        <v>68</v>
      </c>
      <c r="G2136" t="s">
        <v>295</v>
      </c>
      <c r="H2136" t="s">
        <v>296</v>
      </c>
      <c r="I2136" t="s">
        <v>71</v>
      </c>
      <c r="J2136" t="s">
        <v>72</v>
      </c>
      <c r="K2136" t="s">
        <v>73</v>
      </c>
      <c r="L2136" t="s">
        <v>74</v>
      </c>
      <c r="M2136" t="s">
        <v>540</v>
      </c>
      <c r="N2136" t="s">
        <v>111</v>
      </c>
      <c r="O2136" t="s">
        <v>541</v>
      </c>
      <c r="P2136" t="s">
        <v>542</v>
      </c>
      <c r="Q2136" t="s">
        <v>66</v>
      </c>
      <c r="R2136" s="1">
        <v>46232</v>
      </c>
      <c r="S2136" t="s">
        <v>544</v>
      </c>
      <c r="T2136" t="s">
        <v>545</v>
      </c>
      <c r="U2136" t="s">
        <v>546</v>
      </c>
      <c r="V2136" t="s">
        <v>66</v>
      </c>
      <c r="W2136" t="s">
        <v>66</v>
      </c>
      <c r="X2136">
        <v>451500</v>
      </c>
      <c r="Y2136">
        <v>49665</v>
      </c>
      <c r="Z2136">
        <v>120000</v>
      </c>
      <c r="AA2136">
        <v>13200</v>
      </c>
      <c r="AB2136">
        <v>501165</v>
      </c>
      <c r="AC2136">
        <v>6</v>
      </c>
      <c r="AD2136" t="s">
        <v>82</v>
      </c>
      <c r="AE2136">
        <v>6</v>
      </c>
      <c r="AF2136" t="s">
        <v>290</v>
      </c>
      <c r="AG2136">
        <f>IFERROR(VLOOKUP(AF2136,[1]STOK!J:O,6,0),"")</f>
        <v>12</v>
      </c>
      <c r="AH2136" s="2">
        <f t="shared" si="66"/>
        <v>0.5</v>
      </c>
      <c r="AI2136" t="s">
        <v>290</v>
      </c>
      <c r="AJ2136" t="s">
        <v>291</v>
      </c>
      <c r="AK2136" t="s">
        <v>292</v>
      </c>
      <c r="AL2136" t="s">
        <v>86</v>
      </c>
      <c r="AM2136">
        <v>22200</v>
      </c>
      <c r="AN2136">
        <f t="shared" si="67"/>
        <v>22200</v>
      </c>
      <c r="AO2136" t="s">
        <v>66</v>
      </c>
      <c r="AP2136">
        <v>0</v>
      </c>
      <c r="AQ2136" t="s">
        <v>66</v>
      </c>
      <c r="AR2136">
        <v>0</v>
      </c>
      <c r="AS2136" t="s">
        <v>66</v>
      </c>
      <c r="AT2136">
        <v>0</v>
      </c>
      <c r="AU2136" t="s">
        <v>66</v>
      </c>
      <c r="AV2136">
        <v>0</v>
      </c>
      <c r="AW2136" t="s">
        <v>66</v>
      </c>
      <c r="AX2136">
        <v>0</v>
      </c>
      <c r="AY2136" t="s">
        <v>66</v>
      </c>
      <c r="AZ2136">
        <v>0</v>
      </c>
      <c r="BA2136" t="s">
        <v>66</v>
      </c>
      <c r="BB2136">
        <v>0</v>
      </c>
      <c r="BC2136">
        <v>0</v>
      </c>
      <c r="BD2136">
        <v>133200</v>
      </c>
      <c r="BE2136">
        <v>18113.71</v>
      </c>
      <c r="BF2136">
        <v>0</v>
      </c>
      <c r="BG2136" t="s">
        <v>87</v>
      </c>
      <c r="BH2136" t="s">
        <v>66</v>
      </c>
      <c r="BI2136">
        <v>0</v>
      </c>
      <c r="BJ2136" t="s">
        <v>66</v>
      </c>
      <c r="BK2136" t="s">
        <v>88</v>
      </c>
      <c r="BL2136" t="s">
        <v>547</v>
      </c>
      <c r="BM2136" t="s">
        <v>159</v>
      </c>
    </row>
    <row r="2137" spans="1:65" x14ac:dyDescent="0.25">
      <c r="A2137">
        <v>2135</v>
      </c>
      <c r="B2137" t="s">
        <v>2048</v>
      </c>
      <c r="C2137" t="s">
        <v>68</v>
      </c>
      <c r="D2137" s="1">
        <v>46232</v>
      </c>
      <c r="E2137" t="s">
        <v>2049</v>
      </c>
      <c r="F2137" t="s">
        <v>68</v>
      </c>
      <c r="G2137" t="s">
        <v>295</v>
      </c>
      <c r="H2137" t="s">
        <v>296</v>
      </c>
      <c r="I2137" t="s">
        <v>71</v>
      </c>
      <c r="J2137" t="s">
        <v>72</v>
      </c>
      <c r="K2137" t="s">
        <v>73</v>
      </c>
      <c r="L2137" t="s">
        <v>74</v>
      </c>
      <c r="M2137" t="s">
        <v>540</v>
      </c>
      <c r="N2137" t="s">
        <v>111</v>
      </c>
      <c r="O2137" t="s">
        <v>541</v>
      </c>
      <c r="P2137" t="s">
        <v>542</v>
      </c>
      <c r="Q2137" t="s">
        <v>66</v>
      </c>
      <c r="R2137" s="1">
        <v>46232</v>
      </c>
      <c r="S2137" t="s">
        <v>544</v>
      </c>
      <c r="T2137" t="s">
        <v>545</v>
      </c>
      <c r="U2137" t="s">
        <v>546</v>
      </c>
      <c r="V2137" t="s">
        <v>66</v>
      </c>
      <c r="W2137" t="s">
        <v>66</v>
      </c>
      <c r="X2137">
        <v>451500</v>
      </c>
      <c r="Y2137">
        <v>49665</v>
      </c>
      <c r="Z2137">
        <v>43200</v>
      </c>
      <c r="AA2137">
        <v>4752</v>
      </c>
      <c r="AB2137">
        <v>501165</v>
      </c>
      <c r="AC2137">
        <v>3</v>
      </c>
      <c r="AD2137" t="s">
        <v>82</v>
      </c>
      <c r="AE2137">
        <v>3</v>
      </c>
      <c r="AF2137" t="s">
        <v>141</v>
      </c>
      <c r="AG2137">
        <f>IFERROR(VLOOKUP(AF2137,[1]STOK!J:O,6,0),"")</f>
        <v>12</v>
      </c>
      <c r="AH2137" s="2">
        <f t="shared" si="66"/>
        <v>0.25</v>
      </c>
      <c r="AI2137" t="s">
        <v>141</v>
      </c>
      <c r="AJ2137" t="s">
        <v>142</v>
      </c>
      <c r="AK2137" t="s">
        <v>143</v>
      </c>
      <c r="AL2137" t="s">
        <v>86</v>
      </c>
      <c r="AM2137">
        <v>15984</v>
      </c>
      <c r="AN2137">
        <f t="shared" si="67"/>
        <v>15984</v>
      </c>
      <c r="AO2137" t="s">
        <v>66</v>
      </c>
      <c r="AP2137">
        <v>0</v>
      </c>
      <c r="AQ2137" t="s">
        <v>66</v>
      </c>
      <c r="AR2137">
        <v>0</v>
      </c>
      <c r="AS2137" t="s">
        <v>66</v>
      </c>
      <c r="AT2137">
        <v>0</v>
      </c>
      <c r="AU2137" t="s">
        <v>66</v>
      </c>
      <c r="AV2137">
        <v>0</v>
      </c>
      <c r="AW2137" t="s">
        <v>66</v>
      </c>
      <c r="AX2137">
        <v>0</v>
      </c>
      <c r="AY2137" t="s">
        <v>66</v>
      </c>
      <c r="AZ2137">
        <v>0</v>
      </c>
      <c r="BA2137" t="s">
        <v>66</v>
      </c>
      <c r="BB2137">
        <v>0</v>
      </c>
      <c r="BC2137">
        <v>0</v>
      </c>
      <c r="BD2137">
        <v>47952</v>
      </c>
      <c r="BE2137">
        <v>13029.29</v>
      </c>
      <c r="BF2137">
        <v>0</v>
      </c>
      <c r="BG2137" t="s">
        <v>87</v>
      </c>
      <c r="BH2137" t="s">
        <v>66</v>
      </c>
      <c r="BI2137">
        <v>0</v>
      </c>
      <c r="BJ2137" t="s">
        <v>66</v>
      </c>
      <c r="BK2137" t="s">
        <v>88</v>
      </c>
      <c r="BL2137" t="s">
        <v>547</v>
      </c>
      <c r="BM2137" t="s">
        <v>159</v>
      </c>
    </row>
    <row r="2138" spans="1:65" x14ac:dyDescent="0.25">
      <c r="A2138">
        <v>2136</v>
      </c>
      <c r="B2138" t="s">
        <v>2048</v>
      </c>
      <c r="C2138" t="s">
        <v>68</v>
      </c>
      <c r="D2138" s="1">
        <v>46232</v>
      </c>
      <c r="E2138" t="s">
        <v>2049</v>
      </c>
      <c r="F2138" t="s">
        <v>68</v>
      </c>
      <c r="G2138" t="s">
        <v>295</v>
      </c>
      <c r="H2138" t="s">
        <v>296</v>
      </c>
      <c r="I2138" t="s">
        <v>71</v>
      </c>
      <c r="J2138" t="s">
        <v>72</v>
      </c>
      <c r="K2138" t="s">
        <v>73</v>
      </c>
      <c r="L2138" t="s">
        <v>74</v>
      </c>
      <c r="M2138" t="s">
        <v>540</v>
      </c>
      <c r="N2138" t="s">
        <v>111</v>
      </c>
      <c r="O2138" t="s">
        <v>541</v>
      </c>
      <c r="P2138" t="s">
        <v>542</v>
      </c>
      <c r="Q2138" t="s">
        <v>66</v>
      </c>
      <c r="R2138" s="1">
        <v>46232</v>
      </c>
      <c r="S2138" t="s">
        <v>544</v>
      </c>
      <c r="T2138" t="s">
        <v>545</v>
      </c>
      <c r="U2138" t="s">
        <v>546</v>
      </c>
      <c r="V2138" t="s">
        <v>66</v>
      </c>
      <c r="W2138" t="s">
        <v>66</v>
      </c>
      <c r="X2138">
        <v>451500</v>
      </c>
      <c r="Y2138">
        <v>49665</v>
      </c>
      <c r="Z2138">
        <v>43200</v>
      </c>
      <c r="AA2138">
        <v>4752</v>
      </c>
      <c r="AB2138">
        <v>501165</v>
      </c>
      <c r="AC2138">
        <v>3</v>
      </c>
      <c r="AD2138" t="s">
        <v>82</v>
      </c>
      <c r="AE2138">
        <v>3</v>
      </c>
      <c r="AF2138" t="s">
        <v>213</v>
      </c>
      <c r="AG2138">
        <f>IFERROR(VLOOKUP(AF2138,[1]STOK!J:O,6,0),"")</f>
        <v>12</v>
      </c>
      <c r="AH2138" s="2">
        <f t="shared" si="66"/>
        <v>0.25</v>
      </c>
      <c r="AI2138" t="s">
        <v>213</v>
      </c>
      <c r="AJ2138" t="s">
        <v>214</v>
      </c>
      <c r="AK2138" t="s">
        <v>215</v>
      </c>
      <c r="AL2138" t="s">
        <v>86</v>
      </c>
      <c r="AM2138">
        <v>15984</v>
      </c>
      <c r="AN2138">
        <f t="shared" si="67"/>
        <v>15984</v>
      </c>
      <c r="AO2138" t="s">
        <v>66</v>
      </c>
      <c r="AP2138">
        <v>0</v>
      </c>
      <c r="AQ2138" t="s">
        <v>66</v>
      </c>
      <c r="AR2138">
        <v>0</v>
      </c>
      <c r="AS2138" t="s">
        <v>66</v>
      </c>
      <c r="AT2138">
        <v>0</v>
      </c>
      <c r="AU2138" t="s">
        <v>66</v>
      </c>
      <c r="AV2138">
        <v>0</v>
      </c>
      <c r="AW2138" t="s">
        <v>66</v>
      </c>
      <c r="AX2138">
        <v>0</v>
      </c>
      <c r="AY2138" t="s">
        <v>66</v>
      </c>
      <c r="AZ2138">
        <v>0</v>
      </c>
      <c r="BA2138" t="s">
        <v>66</v>
      </c>
      <c r="BB2138">
        <v>0</v>
      </c>
      <c r="BC2138">
        <v>0</v>
      </c>
      <c r="BD2138">
        <v>47952</v>
      </c>
      <c r="BE2138">
        <v>12925.49</v>
      </c>
      <c r="BF2138">
        <v>0</v>
      </c>
      <c r="BG2138" t="s">
        <v>87</v>
      </c>
      <c r="BH2138" t="s">
        <v>66</v>
      </c>
      <c r="BI2138">
        <v>0</v>
      </c>
      <c r="BJ2138" t="s">
        <v>66</v>
      </c>
      <c r="BK2138" t="s">
        <v>88</v>
      </c>
      <c r="BL2138" t="s">
        <v>547</v>
      </c>
      <c r="BM2138" t="s">
        <v>159</v>
      </c>
    </row>
    <row r="2139" spans="1:65" x14ac:dyDescent="0.25">
      <c r="A2139">
        <v>2137</v>
      </c>
      <c r="B2139" t="s">
        <v>2050</v>
      </c>
      <c r="C2139" t="s">
        <v>68</v>
      </c>
      <c r="D2139" s="1">
        <v>46232</v>
      </c>
      <c r="E2139" t="s">
        <v>2051</v>
      </c>
      <c r="F2139" t="s">
        <v>68</v>
      </c>
      <c r="G2139" t="s">
        <v>295</v>
      </c>
      <c r="H2139" t="s">
        <v>296</v>
      </c>
      <c r="I2139" t="s">
        <v>71</v>
      </c>
      <c r="J2139" t="s">
        <v>72</v>
      </c>
      <c r="K2139" t="s">
        <v>73</v>
      </c>
      <c r="L2139" t="s">
        <v>74</v>
      </c>
      <c r="M2139" t="s">
        <v>1205</v>
      </c>
      <c r="N2139" t="s">
        <v>274</v>
      </c>
      <c r="O2139" t="s">
        <v>1206</v>
      </c>
      <c r="P2139" t="s">
        <v>1207</v>
      </c>
      <c r="Q2139" t="s">
        <v>66</v>
      </c>
      <c r="R2139" s="1">
        <v>46232</v>
      </c>
      <c r="S2139" t="s">
        <v>1209</v>
      </c>
      <c r="T2139" t="s">
        <v>1210</v>
      </c>
      <c r="U2139" t="s">
        <v>1211</v>
      </c>
      <c r="V2139" t="s">
        <v>66</v>
      </c>
      <c r="W2139" t="s">
        <v>66</v>
      </c>
      <c r="X2139">
        <v>3850308</v>
      </c>
      <c r="Y2139">
        <v>423533.88</v>
      </c>
      <c r="Z2139">
        <v>691416</v>
      </c>
      <c r="AA2139">
        <v>76055.759999999995</v>
      </c>
      <c r="AB2139">
        <v>4273841.88</v>
      </c>
      <c r="AC2139">
        <v>36</v>
      </c>
      <c r="AD2139" t="s">
        <v>82</v>
      </c>
      <c r="AE2139">
        <v>36</v>
      </c>
      <c r="AF2139" t="s">
        <v>284</v>
      </c>
      <c r="AG2139">
        <f>IFERROR(VLOOKUP(AF2139,[1]STOK!J:O,6,0),"")</f>
        <v>12</v>
      </c>
      <c r="AH2139" s="2">
        <f t="shared" si="66"/>
        <v>3</v>
      </c>
      <c r="AI2139" t="s">
        <v>284</v>
      </c>
      <c r="AJ2139" t="s">
        <v>285</v>
      </c>
      <c r="AK2139" t="s">
        <v>286</v>
      </c>
      <c r="AL2139" t="s">
        <v>86</v>
      </c>
      <c r="AM2139">
        <v>21534</v>
      </c>
      <c r="AN2139">
        <f t="shared" si="67"/>
        <v>21318.66</v>
      </c>
      <c r="AO2139" t="s">
        <v>66</v>
      </c>
      <c r="AP2139">
        <v>1</v>
      </c>
      <c r="AQ2139" t="s">
        <v>66</v>
      </c>
      <c r="AR2139">
        <v>0</v>
      </c>
      <c r="AS2139" t="s">
        <v>66</v>
      </c>
      <c r="AT2139">
        <v>0</v>
      </c>
      <c r="AU2139" t="s">
        <v>66</v>
      </c>
      <c r="AV2139">
        <v>0</v>
      </c>
      <c r="AW2139" t="s">
        <v>66</v>
      </c>
      <c r="AX2139">
        <v>0</v>
      </c>
      <c r="AY2139" t="s">
        <v>66</v>
      </c>
      <c r="AZ2139">
        <v>0</v>
      </c>
      <c r="BA2139" t="s">
        <v>66</v>
      </c>
      <c r="BB2139">
        <v>0</v>
      </c>
      <c r="BC2139">
        <v>0</v>
      </c>
      <c r="BD2139">
        <v>767471.76</v>
      </c>
      <c r="BE2139">
        <v>17311.39</v>
      </c>
      <c r="BF2139">
        <v>0</v>
      </c>
      <c r="BG2139" t="s">
        <v>87</v>
      </c>
      <c r="BH2139" t="s">
        <v>66</v>
      </c>
      <c r="BI2139">
        <v>0</v>
      </c>
      <c r="BJ2139" t="s">
        <v>66</v>
      </c>
      <c r="BK2139" t="s">
        <v>88</v>
      </c>
      <c r="BL2139" t="s">
        <v>66</v>
      </c>
      <c r="BM2139" t="s">
        <v>159</v>
      </c>
    </row>
    <row r="2140" spans="1:65" x14ac:dyDescent="0.25">
      <c r="A2140">
        <v>2138</v>
      </c>
      <c r="B2140" t="s">
        <v>2050</v>
      </c>
      <c r="C2140" t="s">
        <v>68</v>
      </c>
      <c r="D2140" s="1">
        <v>46232</v>
      </c>
      <c r="E2140" t="s">
        <v>2051</v>
      </c>
      <c r="F2140" t="s">
        <v>68</v>
      </c>
      <c r="G2140" t="s">
        <v>295</v>
      </c>
      <c r="H2140" t="s">
        <v>296</v>
      </c>
      <c r="I2140" t="s">
        <v>71</v>
      </c>
      <c r="J2140" t="s">
        <v>72</v>
      </c>
      <c r="K2140" t="s">
        <v>73</v>
      </c>
      <c r="L2140" t="s">
        <v>74</v>
      </c>
      <c r="M2140" t="s">
        <v>1205</v>
      </c>
      <c r="N2140" t="s">
        <v>274</v>
      </c>
      <c r="O2140" t="s">
        <v>1206</v>
      </c>
      <c r="P2140" t="s">
        <v>1207</v>
      </c>
      <c r="Q2140" t="s">
        <v>66</v>
      </c>
      <c r="R2140" s="1">
        <v>46232</v>
      </c>
      <c r="S2140" t="s">
        <v>1209</v>
      </c>
      <c r="T2140" t="s">
        <v>1210</v>
      </c>
      <c r="U2140" t="s">
        <v>1211</v>
      </c>
      <c r="V2140" t="s">
        <v>66</v>
      </c>
      <c r="W2140" t="s">
        <v>66</v>
      </c>
      <c r="X2140">
        <v>3850308</v>
      </c>
      <c r="Y2140">
        <v>423533.88</v>
      </c>
      <c r="Z2140">
        <v>411048</v>
      </c>
      <c r="AA2140">
        <v>45215.28</v>
      </c>
      <c r="AB2140">
        <v>4273841.88</v>
      </c>
      <c r="AC2140">
        <v>24</v>
      </c>
      <c r="AD2140" t="s">
        <v>82</v>
      </c>
      <c r="AE2140">
        <v>24</v>
      </c>
      <c r="AF2140" t="s">
        <v>359</v>
      </c>
      <c r="AG2140">
        <f>IFERROR(VLOOKUP(AF2140,[1]STOK!J:O,6,0),"")</f>
        <v>12</v>
      </c>
      <c r="AH2140" s="2">
        <f t="shared" si="66"/>
        <v>2</v>
      </c>
      <c r="AI2140" t="s">
        <v>359</v>
      </c>
      <c r="AJ2140" t="s">
        <v>360</v>
      </c>
      <c r="AK2140" t="s">
        <v>361</v>
      </c>
      <c r="AL2140" t="s">
        <v>86</v>
      </c>
      <c r="AM2140">
        <v>19203</v>
      </c>
      <c r="AN2140">
        <f t="shared" si="67"/>
        <v>19010.97</v>
      </c>
      <c r="AO2140" t="s">
        <v>66</v>
      </c>
      <c r="AP2140">
        <v>1</v>
      </c>
      <c r="AQ2140" t="s">
        <v>66</v>
      </c>
      <c r="AR2140">
        <v>0</v>
      </c>
      <c r="AS2140" t="s">
        <v>66</v>
      </c>
      <c r="AT2140">
        <v>0</v>
      </c>
      <c r="AU2140" t="s">
        <v>66</v>
      </c>
      <c r="AV2140">
        <v>0</v>
      </c>
      <c r="AW2140" t="s">
        <v>66</v>
      </c>
      <c r="AX2140">
        <v>0</v>
      </c>
      <c r="AY2140" t="s">
        <v>66</v>
      </c>
      <c r="AZ2140">
        <v>0</v>
      </c>
      <c r="BA2140" t="s">
        <v>66</v>
      </c>
      <c r="BB2140">
        <v>0</v>
      </c>
      <c r="BC2140">
        <v>0</v>
      </c>
      <c r="BD2140">
        <v>456263.28</v>
      </c>
      <c r="BE2140">
        <v>15617.48</v>
      </c>
      <c r="BF2140">
        <v>0</v>
      </c>
      <c r="BG2140" t="s">
        <v>87</v>
      </c>
      <c r="BH2140" t="s">
        <v>66</v>
      </c>
      <c r="BI2140">
        <v>0</v>
      </c>
      <c r="BJ2140" t="s">
        <v>66</v>
      </c>
      <c r="BK2140" t="s">
        <v>88</v>
      </c>
      <c r="BL2140" t="s">
        <v>66</v>
      </c>
      <c r="BM2140" t="s">
        <v>159</v>
      </c>
    </row>
    <row r="2141" spans="1:65" x14ac:dyDescent="0.25">
      <c r="A2141">
        <v>2139</v>
      </c>
      <c r="B2141" t="s">
        <v>2050</v>
      </c>
      <c r="C2141" t="s">
        <v>68</v>
      </c>
      <c r="D2141" s="1">
        <v>46232</v>
      </c>
      <c r="E2141" t="s">
        <v>2051</v>
      </c>
      <c r="F2141" t="s">
        <v>68</v>
      </c>
      <c r="G2141" t="s">
        <v>295</v>
      </c>
      <c r="H2141" t="s">
        <v>296</v>
      </c>
      <c r="I2141" t="s">
        <v>71</v>
      </c>
      <c r="J2141" t="s">
        <v>72</v>
      </c>
      <c r="K2141" t="s">
        <v>73</v>
      </c>
      <c r="L2141" t="s">
        <v>74</v>
      </c>
      <c r="M2141" t="s">
        <v>1205</v>
      </c>
      <c r="N2141" t="s">
        <v>274</v>
      </c>
      <c r="O2141" t="s">
        <v>1206</v>
      </c>
      <c r="P2141" t="s">
        <v>1207</v>
      </c>
      <c r="Q2141" t="s">
        <v>66</v>
      </c>
      <c r="R2141" s="1">
        <v>46232</v>
      </c>
      <c r="S2141" t="s">
        <v>1209</v>
      </c>
      <c r="T2141" t="s">
        <v>1210</v>
      </c>
      <c r="U2141" t="s">
        <v>1211</v>
      </c>
      <c r="V2141" t="s">
        <v>66</v>
      </c>
      <c r="W2141" t="s">
        <v>66</v>
      </c>
      <c r="X2141">
        <v>3850308</v>
      </c>
      <c r="Y2141">
        <v>423533.88</v>
      </c>
      <c r="Z2141">
        <v>2405700</v>
      </c>
      <c r="AA2141">
        <v>264627</v>
      </c>
      <c r="AB2141">
        <v>4273841.88</v>
      </c>
      <c r="AC2141">
        <v>36</v>
      </c>
      <c r="AD2141" t="s">
        <v>82</v>
      </c>
      <c r="AE2141">
        <v>36</v>
      </c>
      <c r="AF2141" t="s">
        <v>312</v>
      </c>
      <c r="AG2141">
        <f>IFERROR(VLOOKUP(AF2141,[1]STOK!J:O,6,0),"")</f>
        <v>4</v>
      </c>
      <c r="AH2141" s="2">
        <f t="shared" si="66"/>
        <v>9</v>
      </c>
      <c r="AI2141" t="s">
        <v>312</v>
      </c>
      <c r="AJ2141" t="s">
        <v>313</v>
      </c>
      <c r="AK2141" t="s">
        <v>314</v>
      </c>
      <c r="AL2141" t="s">
        <v>86</v>
      </c>
      <c r="AM2141">
        <v>74925</v>
      </c>
      <c r="AN2141">
        <f t="shared" si="67"/>
        <v>74175.75</v>
      </c>
      <c r="AO2141" t="s">
        <v>66</v>
      </c>
      <c r="AP2141">
        <v>1</v>
      </c>
      <c r="AQ2141" t="s">
        <v>66</v>
      </c>
      <c r="AR2141">
        <v>0</v>
      </c>
      <c r="AS2141" t="s">
        <v>66</v>
      </c>
      <c r="AT2141">
        <v>0</v>
      </c>
      <c r="AU2141" t="s">
        <v>66</v>
      </c>
      <c r="AV2141">
        <v>0</v>
      </c>
      <c r="AW2141" t="s">
        <v>66</v>
      </c>
      <c r="AX2141">
        <v>0</v>
      </c>
      <c r="AY2141" t="s">
        <v>66</v>
      </c>
      <c r="AZ2141">
        <v>0</v>
      </c>
      <c r="BA2141" t="s">
        <v>66</v>
      </c>
      <c r="BB2141">
        <v>0</v>
      </c>
      <c r="BC2141">
        <v>0</v>
      </c>
      <c r="BD2141">
        <v>2670327</v>
      </c>
      <c r="BE2141">
        <v>60344.4</v>
      </c>
      <c r="BF2141">
        <v>0</v>
      </c>
      <c r="BG2141" t="s">
        <v>87</v>
      </c>
      <c r="BH2141" t="s">
        <v>66</v>
      </c>
      <c r="BI2141">
        <v>0</v>
      </c>
      <c r="BJ2141" t="s">
        <v>66</v>
      </c>
      <c r="BK2141" t="s">
        <v>88</v>
      </c>
      <c r="BL2141" t="s">
        <v>66</v>
      </c>
      <c r="BM2141" t="s">
        <v>159</v>
      </c>
    </row>
    <row r="2142" spans="1:65" x14ac:dyDescent="0.25">
      <c r="A2142">
        <v>2140</v>
      </c>
      <c r="B2142" t="s">
        <v>2050</v>
      </c>
      <c r="C2142" t="s">
        <v>68</v>
      </c>
      <c r="D2142" s="1">
        <v>46232</v>
      </c>
      <c r="E2142" t="s">
        <v>2051</v>
      </c>
      <c r="F2142" t="s">
        <v>68</v>
      </c>
      <c r="G2142" t="s">
        <v>295</v>
      </c>
      <c r="H2142" t="s">
        <v>296</v>
      </c>
      <c r="I2142" t="s">
        <v>71</v>
      </c>
      <c r="J2142" t="s">
        <v>72</v>
      </c>
      <c r="K2142" t="s">
        <v>73</v>
      </c>
      <c r="L2142" t="s">
        <v>74</v>
      </c>
      <c r="M2142" t="s">
        <v>1205</v>
      </c>
      <c r="N2142" t="s">
        <v>274</v>
      </c>
      <c r="O2142" t="s">
        <v>1206</v>
      </c>
      <c r="P2142" t="s">
        <v>1207</v>
      </c>
      <c r="Q2142" t="s">
        <v>66</v>
      </c>
      <c r="R2142" s="1">
        <v>46232</v>
      </c>
      <c r="S2142" t="s">
        <v>1209</v>
      </c>
      <c r="T2142" t="s">
        <v>1210</v>
      </c>
      <c r="U2142" t="s">
        <v>1211</v>
      </c>
      <c r="V2142" t="s">
        <v>66</v>
      </c>
      <c r="W2142" t="s">
        <v>66</v>
      </c>
      <c r="X2142">
        <v>3850308</v>
      </c>
      <c r="Y2142">
        <v>423533.88</v>
      </c>
      <c r="Z2142">
        <v>342144</v>
      </c>
      <c r="AA2142">
        <v>37635.839999999997</v>
      </c>
      <c r="AB2142">
        <v>4273841.88</v>
      </c>
      <c r="AC2142">
        <v>24</v>
      </c>
      <c r="AD2142" t="s">
        <v>82</v>
      </c>
      <c r="AE2142">
        <v>24</v>
      </c>
      <c r="AF2142" t="s">
        <v>213</v>
      </c>
      <c r="AG2142">
        <f>IFERROR(VLOOKUP(AF2142,[1]STOK!J:O,6,0),"")</f>
        <v>12</v>
      </c>
      <c r="AH2142" s="2">
        <f t="shared" si="66"/>
        <v>2</v>
      </c>
      <c r="AI2142" t="s">
        <v>213</v>
      </c>
      <c r="AJ2142" t="s">
        <v>214</v>
      </c>
      <c r="AK2142" t="s">
        <v>215</v>
      </c>
      <c r="AL2142" t="s">
        <v>86</v>
      </c>
      <c r="AM2142">
        <v>15984</v>
      </c>
      <c r="AN2142">
        <f t="shared" si="67"/>
        <v>15824.160000000002</v>
      </c>
      <c r="AO2142" t="s">
        <v>66</v>
      </c>
      <c r="AP2142">
        <v>1</v>
      </c>
      <c r="AQ2142" t="s">
        <v>66</v>
      </c>
      <c r="AR2142">
        <v>0</v>
      </c>
      <c r="AS2142" t="s">
        <v>66</v>
      </c>
      <c r="AT2142">
        <v>0</v>
      </c>
      <c r="AU2142" t="s">
        <v>66</v>
      </c>
      <c r="AV2142">
        <v>0</v>
      </c>
      <c r="AW2142" t="s">
        <v>66</v>
      </c>
      <c r="AX2142">
        <v>0</v>
      </c>
      <c r="AY2142" t="s">
        <v>66</v>
      </c>
      <c r="AZ2142">
        <v>0</v>
      </c>
      <c r="BA2142" t="s">
        <v>66</v>
      </c>
      <c r="BB2142">
        <v>0</v>
      </c>
      <c r="BC2142">
        <v>0</v>
      </c>
      <c r="BD2142">
        <v>379779.84000000003</v>
      </c>
      <c r="BE2142">
        <v>12925.49</v>
      </c>
      <c r="BF2142">
        <v>0</v>
      </c>
      <c r="BG2142" t="s">
        <v>87</v>
      </c>
      <c r="BH2142" t="s">
        <v>66</v>
      </c>
      <c r="BI2142">
        <v>0</v>
      </c>
      <c r="BJ2142" t="s">
        <v>66</v>
      </c>
      <c r="BK2142" t="s">
        <v>88</v>
      </c>
      <c r="BL2142" t="s">
        <v>66</v>
      </c>
      <c r="BM2142" t="s">
        <v>159</v>
      </c>
    </row>
    <row r="2143" spans="1:65" x14ac:dyDescent="0.25">
      <c r="A2143">
        <v>2141</v>
      </c>
      <c r="B2143" t="s">
        <v>2052</v>
      </c>
      <c r="C2143" t="s">
        <v>68</v>
      </c>
      <c r="D2143" s="1">
        <v>46232</v>
      </c>
      <c r="E2143" t="s">
        <v>2053</v>
      </c>
      <c r="F2143" t="s">
        <v>68</v>
      </c>
      <c r="G2143" t="s">
        <v>295</v>
      </c>
      <c r="H2143" t="s">
        <v>296</v>
      </c>
      <c r="I2143" t="s">
        <v>71</v>
      </c>
      <c r="J2143" t="s">
        <v>72</v>
      </c>
      <c r="K2143" t="s">
        <v>73</v>
      </c>
      <c r="L2143" t="s">
        <v>74</v>
      </c>
      <c r="M2143" t="s">
        <v>503</v>
      </c>
      <c r="N2143" t="s">
        <v>111</v>
      </c>
      <c r="O2143" t="s">
        <v>504</v>
      </c>
      <c r="P2143" t="s">
        <v>505</v>
      </c>
      <c r="Q2143" t="s">
        <v>66</v>
      </c>
      <c r="R2143" s="1">
        <v>46232</v>
      </c>
      <c r="S2143" t="s">
        <v>507</v>
      </c>
      <c r="T2143" t="s">
        <v>508</v>
      </c>
      <c r="U2143" t="s">
        <v>509</v>
      </c>
      <c r="V2143" t="s">
        <v>66</v>
      </c>
      <c r="W2143" t="s">
        <v>66</v>
      </c>
      <c r="X2143">
        <v>2372040</v>
      </c>
      <c r="Y2143">
        <v>260924.4</v>
      </c>
      <c r="Z2143">
        <v>392040</v>
      </c>
      <c r="AA2143">
        <v>43124.4</v>
      </c>
      <c r="AB2143">
        <v>2632964.4</v>
      </c>
      <c r="AC2143">
        <v>1</v>
      </c>
      <c r="AD2143" t="s">
        <v>134</v>
      </c>
      <c r="AE2143">
        <v>24</v>
      </c>
      <c r="AF2143" t="s">
        <v>128</v>
      </c>
      <c r="AG2143">
        <f>IFERROR(VLOOKUP(AF2143,[1]STOK!J:O,6,0),"")</f>
        <v>24</v>
      </c>
      <c r="AH2143" s="2">
        <f t="shared" si="66"/>
        <v>1</v>
      </c>
      <c r="AI2143" t="s">
        <v>128</v>
      </c>
      <c r="AJ2143" t="s">
        <v>129</v>
      </c>
      <c r="AK2143" t="s">
        <v>130</v>
      </c>
      <c r="AL2143" t="s">
        <v>86</v>
      </c>
      <c r="AM2143">
        <v>439560</v>
      </c>
      <c r="AN2143">
        <f t="shared" si="67"/>
        <v>435164.4</v>
      </c>
      <c r="AO2143" t="s">
        <v>66</v>
      </c>
      <c r="AP2143">
        <v>1</v>
      </c>
      <c r="AQ2143" t="s">
        <v>66</v>
      </c>
      <c r="AR2143">
        <v>0</v>
      </c>
      <c r="AS2143" t="s">
        <v>66</v>
      </c>
      <c r="AT2143">
        <v>0</v>
      </c>
      <c r="AU2143" t="s">
        <v>66</v>
      </c>
      <c r="AV2143">
        <v>0</v>
      </c>
      <c r="AW2143" t="s">
        <v>66</v>
      </c>
      <c r="AX2143">
        <v>0</v>
      </c>
      <c r="AY2143" t="s">
        <v>66</v>
      </c>
      <c r="AZ2143">
        <v>0</v>
      </c>
      <c r="BA2143" t="s">
        <v>66</v>
      </c>
      <c r="BB2143">
        <v>0</v>
      </c>
      <c r="BC2143">
        <v>0</v>
      </c>
      <c r="BD2143">
        <v>435164.4</v>
      </c>
      <c r="BE2143">
        <v>14887.43</v>
      </c>
      <c r="BF2143">
        <v>0</v>
      </c>
      <c r="BG2143" t="s">
        <v>87</v>
      </c>
      <c r="BH2143" t="s">
        <v>66</v>
      </c>
      <c r="BI2143">
        <v>0</v>
      </c>
      <c r="BJ2143" t="s">
        <v>66</v>
      </c>
      <c r="BK2143" t="s">
        <v>88</v>
      </c>
      <c r="BL2143" t="s">
        <v>66</v>
      </c>
      <c r="BM2143" t="s">
        <v>159</v>
      </c>
    </row>
    <row r="2144" spans="1:65" x14ac:dyDescent="0.25">
      <c r="A2144">
        <v>2142</v>
      </c>
      <c r="B2144" t="s">
        <v>2052</v>
      </c>
      <c r="C2144" t="s">
        <v>68</v>
      </c>
      <c r="D2144" s="1">
        <v>46232</v>
      </c>
      <c r="E2144" t="s">
        <v>2053</v>
      </c>
      <c r="F2144" t="s">
        <v>68</v>
      </c>
      <c r="G2144" t="s">
        <v>295</v>
      </c>
      <c r="H2144" t="s">
        <v>296</v>
      </c>
      <c r="I2144" t="s">
        <v>71</v>
      </c>
      <c r="J2144" t="s">
        <v>72</v>
      </c>
      <c r="K2144" t="s">
        <v>73</v>
      </c>
      <c r="L2144" t="s">
        <v>74</v>
      </c>
      <c r="M2144" t="s">
        <v>503</v>
      </c>
      <c r="N2144" t="s">
        <v>111</v>
      </c>
      <c r="O2144" t="s">
        <v>504</v>
      </c>
      <c r="P2144" t="s">
        <v>505</v>
      </c>
      <c r="Q2144" t="s">
        <v>66</v>
      </c>
      <c r="R2144" s="1">
        <v>46232</v>
      </c>
      <c r="S2144" t="s">
        <v>507</v>
      </c>
      <c r="T2144" t="s">
        <v>508</v>
      </c>
      <c r="U2144" t="s">
        <v>509</v>
      </c>
      <c r="V2144" t="s">
        <v>66</v>
      </c>
      <c r="W2144" t="s">
        <v>66</v>
      </c>
      <c r="X2144">
        <v>2372040</v>
      </c>
      <c r="Y2144">
        <v>260924.4</v>
      </c>
      <c r="Z2144">
        <v>392040</v>
      </c>
      <c r="AA2144">
        <v>43124.4</v>
      </c>
      <c r="AB2144">
        <v>2632964.4</v>
      </c>
      <c r="AC2144">
        <v>1</v>
      </c>
      <c r="AD2144" t="s">
        <v>134</v>
      </c>
      <c r="AE2144">
        <v>24</v>
      </c>
      <c r="AF2144" t="s">
        <v>205</v>
      </c>
      <c r="AG2144">
        <f>IFERROR(VLOOKUP(AF2144,[1]STOK!J:O,6,0),"")</f>
        <v>24</v>
      </c>
      <c r="AH2144" s="2">
        <f t="shared" si="66"/>
        <v>1</v>
      </c>
      <c r="AI2144" t="s">
        <v>205</v>
      </c>
      <c r="AJ2144" t="s">
        <v>206</v>
      </c>
      <c r="AK2144" t="s">
        <v>207</v>
      </c>
      <c r="AL2144" t="s">
        <v>86</v>
      </c>
      <c r="AM2144">
        <v>439560</v>
      </c>
      <c r="AN2144">
        <f t="shared" si="67"/>
        <v>435164.4</v>
      </c>
      <c r="AO2144" t="s">
        <v>66</v>
      </c>
      <c r="AP2144">
        <v>1</v>
      </c>
      <c r="AQ2144" t="s">
        <v>66</v>
      </c>
      <c r="AR2144">
        <v>0</v>
      </c>
      <c r="AS2144" t="s">
        <v>66</v>
      </c>
      <c r="AT2144">
        <v>0</v>
      </c>
      <c r="AU2144" t="s">
        <v>66</v>
      </c>
      <c r="AV2144">
        <v>0</v>
      </c>
      <c r="AW2144" t="s">
        <v>66</v>
      </c>
      <c r="AX2144">
        <v>0</v>
      </c>
      <c r="AY2144" t="s">
        <v>66</v>
      </c>
      <c r="AZ2144">
        <v>0</v>
      </c>
      <c r="BA2144" t="s">
        <v>66</v>
      </c>
      <c r="BB2144">
        <v>0</v>
      </c>
      <c r="BC2144">
        <v>0</v>
      </c>
      <c r="BD2144">
        <v>435164.4</v>
      </c>
      <c r="BE2144">
        <v>14893.33</v>
      </c>
      <c r="BF2144">
        <v>0</v>
      </c>
      <c r="BG2144" t="s">
        <v>87</v>
      </c>
      <c r="BH2144" t="s">
        <v>66</v>
      </c>
      <c r="BI2144">
        <v>0</v>
      </c>
      <c r="BJ2144" t="s">
        <v>66</v>
      </c>
      <c r="BK2144" t="s">
        <v>88</v>
      </c>
      <c r="BL2144" t="s">
        <v>66</v>
      </c>
      <c r="BM2144" t="s">
        <v>159</v>
      </c>
    </row>
    <row r="2145" spans="1:65" x14ac:dyDescent="0.25">
      <c r="A2145">
        <v>2143</v>
      </c>
      <c r="B2145" t="s">
        <v>2052</v>
      </c>
      <c r="C2145" t="s">
        <v>68</v>
      </c>
      <c r="D2145" s="1">
        <v>46232</v>
      </c>
      <c r="E2145" t="s">
        <v>2053</v>
      </c>
      <c r="F2145" t="s">
        <v>68</v>
      </c>
      <c r="G2145" t="s">
        <v>295</v>
      </c>
      <c r="H2145" t="s">
        <v>296</v>
      </c>
      <c r="I2145" t="s">
        <v>71</v>
      </c>
      <c r="J2145" t="s">
        <v>72</v>
      </c>
      <c r="K2145" t="s">
        <v>73</v>
      </c>
      <c r="L2145" t="s">
        <v>74</v>
      </c>
      <c r="M2145" t="s">
        <v>503</v>
      </c>
      <c r="N2145" t="s">
        <v>111</v>
      </c>
      <c r="O2145" t="s">
        <v>504</v>
      </c>
      <c r="P2145" t="s">
        <v>505</v>
      </c>
      <c r="Q2145" t="s">
        <v>66</v>
      </c>
      <c r="R2145" s="1">
        <v>46232</v>
      </c>
      <c r="S2145" t="s">
        <v>507</v>
      </c>
      <c r="T2145" t="s">
        <v>508</v>
      </c>
      <c r="U2145" t="s">
        <v>509</v>
      </c>
      <c r="V2145" t="s">
        <v>66</v>
      </c>
      <c r="W2145" t="s">
        <v>66</v>
      </c>
      <c r="X2145">
        <v>2372040</v>
      </c>
      <c r="Y2145">
        <v>260924.4</v>
      </c>
      <c r="Z2145">
        <v>392040</v>
      </c>
      <c r="AA2145">
        <v>43124.4</v>
      </c>
      <c r="AB2145">
        <v>2632964.4</v>
      </c>
      <c r="AC2145">
        <v>1</v>
      </c>
      <c r="AD2145" t="s">
        <v>134</v>
      </c>
      <c r="AE2145">
        <v>24</v>
      </c>
      <c r="AF2145" t="s">
        <v>99</v>
      </c>
      <c r="AG2145">
        <f>IFERROR(VLOOKUP(AF2145,[1]STOK!J:O,6,0),"")</f>
        <v>24</v>
      </c>
      <c r="AH2145" s="2">
        <f t="shared" si="66"/>
        <v>1</v>
      </c>
      <c r="AI2145" t="s">
        <v>99</v>
      </c>
      <c r="AJ2145" t="s">
        <v>100</v>
      </c>
      <c r="AK2145" t="s">
        <v>101</v>
      </c>
      <c r="AL2145" t="s">
        <v>86</v>
      </c>
      <c r="AM2145">
        <v>439560</v>
      </c>
      <c r="AN2145">
        <f t="shared" si="67"/>
        <v>435164.4</v>
      </c>
      <c r="AO2145" t="s">
        <v>66</v>
      </c>
      <c r="AP2145">
        <v>1</v>
      </c>
      <c r="AQ2145" t="s">
        <v>66</v>
      </c>
      <c r="AR2145">
        <v>0</v>
      </c>
      <c r="AS2145" t="s">
        <v>66</v>
      </c>
      <c r="AT2145">
        <v>0</v>
      </c>
      <c r="AU2145" t="s">
        <v>66</v>
      </c>
      <c r="AV2145">
        <v>0</v>
      </c>
      <c r="AW2145" t="s">
        <v>66</v>
      </c>
      <c r="AX2145">
        <v>0</v>
      </c>
      <c r="AY2145" t="s">
        <v>66</v>
      </c>
      <c r="AZ2145">
        <v>0</v>
      </c>
      <c r="BA2145" t="s">
        <v>66</v>
      </c>
      <c r="BB2145">
        <v>0</v>
      </c>
      <c r="BC2145">
        <v>0</v>
      </c>
      <c r="BD2145">
        <v>435164.4</v>
      </c>
      <c r="BE2145">
        <v>14925.98</v>
      </c>
      <c r="BF2145">
        <v>0</v>
      </c>
      <c r="BG2145" t="s">
        <v>87</v>
      </c>
      <c r="BH2145" t="s">
        <v>66</v>
      </c>
      <c r="BI2145">
        <v>0</v>
      </c>
      <c r="BJ2145" t="s">
        <v>66</v>
      </c>
      <c r="BK2145" t="s">
        <v>88</v>
      </c>
      <c r="BL2145" t="s">
        <v>66</v>
      </c>
      <c r="BM2145" t="s">
        <v>159</v>
      </c>
    </row>
    <row r="2146" spans="1:65" x14ac:dyDescent="0.25">
      <c r="A2146">
        <v>2144</v>
      </c>
      <c r="B2146" t="s">
        <v>2052</v>
      </c>
      <c r="C2146" t="s">
        <v>68</v>
      </c>
      <c r="D2146" s="1">
        <v>46232</v>
      </c>
      <c r="E2146" t="s">
        <v>2053</v>
      </c>
      <c r="F2146" t="s">
        <v>68</v>
      </c>
      <c r="G2146" t="s">
        <v>295</v>
      </c>
      <c r="H2146" t="s">
        <v>296</v>
      </c>
      <c r="I2146" t="s">
        <v>71</v>
      </c>
      <c r="J2146" t="s">
        <v>72</v>
      </c>
      <c r="K2146" t="s">
        <v>73</v>
      </c>
      <c r="L2146" t="s">
        <v>74</v>
      </c>
      <c r="M2146" t="s">
        <v>503</v>
      </c>
      <c r="N2146" t="s">
        <v>111</v>
      </c>
      <c r="O2146" t="s">
        <v>504</v>
      </c>
      <c r="P2146" t="s">
        <v>505</v>
      </c>
      <c r="Q2146" t="s">
        <v>66</v>
      </c>
      <c r="R2146" s="1">
        <v>46232</v>
      </c>
      <c r="S2146" t="s">
        <v>507</v>
      </c>
      <c r="T2146" t="s">
        <v>508</v>
      </c>
      <c r="U2146" t="s">
        <v>509</v>
      </c>
      <c r="V2146" t="s">
        <v>66</v>
      </c>
      <c r="W2146" t="s">
        <v>66</v>
      </c>
      <c r="X2146">
        <v>2372040</v>
      </c>
      <c r="Y2146">
        <v>260924.4</v>
      </c>
      <c r="Z2146">
        <v>512424</v>
      </c>
      <c r="AA2146">
        <v>56366.64</v>
      </c>
      <c r="AB2146">
        <v>2632964.4</v>
      </c>
      <c r="AC2146">
        <v>1</v>
      </c>
      <c r="AD2146" t="s">
        <v>134</v>
      </c>
      <c r="AE2146">
        <v>4</v>
      </c>
      <c r="AF2146" t="s">
        <v>651</v>
      </c>
      <c r="AG2146">
        <f>IFERROR(VLOOKUP(AF2146,[1]STOK!J:O,6,0),"")</f>
        <v>4</v>
      </c>
      <c r="AH2146" s="2">
        <f t="shared" si="66"/>
        <v>1</v>
      </c>
      <c r="AI2146" t="s">
        <v>651</v>
      </c>
      <c r="AJ2146" t="s">
        <v>652</v>
      </c>
      <c r="AK2146" t="s">
        <v>653</v>
      </c>
      <c r="AL2146" t="s">
        <v>86</v>
      </c>
      <c r="AM2146">
        <v>574536</v>
      </c>
      <c r="AN2146">
        <f t="shared" si="67"/>
        <v>568790.64</v>
      </c>
      <c r="AO2146" t="s">
        <v>66</v>
      </c>
      <c r="AP2146">
        <v>1</v>
      </c>
      <c r="AQ2146" t="s">
        <v>66</v>
      </c>
      <c r="AR2146">
        <v>0</v>
      </c>
      <c r="AS2146" t="s">
        <v>66</v>
      </c>
      <c r="AT2146">
        <v>0</v>
      </c>
      <c r="AU2146" t="s">
        <v>66</v>
      </c>
      <c r="AV2146">
        <v>0</v>
      </c>
      <c r="AW2146" t="s">
        <v>66</v>
      </c>
      <c r="AX2146">
        <v>0</v>
      </c>
      <c r="AY2146" t="s">
        <v>66</v>
      </c>
      <c r="AZ2146">
        <v>0</v>
      </c>
      <c r="BA2146" t="s">
        <v>66</v>
      </c>
      <c r="BB2146">
        <v>0</v>
      </c>
      <c r="BC2146">
        <v>0</v>
      </c>
      <c r="BD2146">
        <v>568790.64</v>
      </c>
      <c r="BE2146">
        <v>115524.23</v>
      </c>
      <c r="BF2146">
        <v>0</v>
      </c>
      <c r="BG2146" t="s">
        <v>87</v>
      </c>
      <c r="BH2146" t="s">
        <v>66</v>
      </c>
      <c r="BI2146">
        <v>0</v>
      </c>
      <c r="BJ2146" t="s">
        <v>66</v>
      </c>
      <c r="BK2146" t="s">
        <v>88</v>
      </c>
      <c r="BL2146" t="s">
        <v>66</v>
      </c>
      <c r="BM2146" t="s">
        <v>159</v>
      </c>
    </row>
    <row r="2147" spans="1:65" x14ac:dyDescent="0.25">
      <c r="A2147">
        <v>2145</v>
      </c>
      <c r="B2147" t="s">
        <v>2052</v>
      </c>
      <c r="C2147" t="s">
        <v>68</v>
      </c>
      <c r="D2147" s="1">
        <v>46232</v>
      </c>
      <c r="E2147" t="s">
        <v>2053</v>
      </c>
      <c r="F2147" t="s">
        <v>68</v>
      </c>
      <c r="G2147" t="s">
        <v>295</v>
      </c>
      <c r="H2147" t="s">
        <v>296</v>
      </c>
      <c r="I2147" t="s">
        <v>71</v>
      </c>
      <c r="J2147" t="s">
        <v>72</v>
      </c>
      <c r="K2147" t="s">
        <v>73</v>
      </c>
      <c r="L2147" t="s">
        <v>74</v>
      </c>
      <c r="M2147" t="s">
        <v>503</v>
      </c>
      <c r="N2147" t="s">
        <v>111</v>
      </c>
      <c r="O2147" t="s">
        <v>504</v>
      </c>
      <c r="P2147" t="s">
        <v>505</v>
      </c>
      <c r="Q2147" t="s">
        <v>66</v>
      </c>
      <c r="R2147" s="1">
        <v>46232</v>
      </c>
      <c r="S2147" t="s">
        <v>507</v>
      </c>
      <c r="T2147" t="s">
        <v>508</v>
      </c>
      <c r="U2147" t="s">
        <v>509</v>
      </c>
      <c r="V2147" t="s">
        <v>66</v>
      </c>
      <c r="W2147" t="s">
        <v>66</v>
      </c>
      <c r="X2147">
        <v>2372040</v>
      </c>
      <c r="Y2147">
        <v>260924.4</v>
      </c>
      <c r="Z2147">
        <v>512424</v>
      </c>
      <c r="AA2147">
        <v>56366.64</v>
      </c>
      <c r="AB2147">
        <v>2632964.4</v>
      </c>
      <c r="AC2147">
        <v>1</v>
      </c>
      <c r="AD2147" t="s">
        <v>134</v>
      </c>
      <c r="AE2147">
        <v>4</v>
      </c>
      <c r="AF2147" t="s">
        <v>522</v>
      </c>
      <c r="AG2147">
        <f>IFERROR(VLOOKUP(AF2147,[1]STOK!J:O,6,0),"")</f>
        <v>4</v>
      </c>
      <c r="AH2147" s="2">
        <f t="shared" si="66"/>
        <v>1</v>
      </c>
      <c r="AI2147" t="s">
        <v>522</v>
      </c>
      <c r="AJ2147" t="s">
        <v>523</v>
      </c>
      <c r="AK2147" t="s">
        <v>524</v>
      </c>
      <c r="AL2147" t="s">
        <v>86</v>
      </c>
      <c r="AM2147">
        <v>574536</v>
      </c>
      <c r="AN2147">
        <f t="shared" si="67"/>
        <v>568790.64</v>
      </c>
      <c r="AO2147" t="s">
        <v>66</v>
      </c>
      <c r="AP2147">
        <v>1</v>
      </c>
      <c r="AQ2147" t="s">
        <v>66</v>
      </c>
      <c r="AR2147">
        <v>0</v>
      </c>
      <c r="AS2147" t="s">
        <v>66</v>
      </c>
      <c r="AT2147">
        <v>0</v>
      </c>
      <c r="AU2147" t="s">
        <v>66</v>
      </c>
      <c r="AV2147">
        <v>0</v>
      </c>
      <c r="AW2147" t="s">
        <v>66</v>
      </c>
      <c r="AX2147">
        <v>0</v>
      </c>
      <c r="AY2147" t="s">
        <v>66</v>
      </c>
      <c r="AZ2147">
        <v>0</v>
      </c>
      <c r="BA2147" t="s">
        <v>66</v>
      </c>
      <c r="BB2147">
        <v>0</v>
      </c>
      <c r="BC2147">
        <v>0</v>
      </c>
      <c r="BD2147">
        <v>568790.64</v>
      </c>
      <c r="BE2147">
        <v>112721.19</v>
      </c>
      <c r="BF2147">
        <v>0</v>
      </c>
      <c r="BG2147" t="s">
        <v>87</v>
      </c>
      <c r="BH2147" t="s">
        <v>66</v>
      </c>
      <c r="BI2147">
        <v>0</v>
      </c>
      <c r="BJ2147" t="s">
        <v>66</v>
      </c>
      <c r="BK2147" t="s">
        <v>88</v>
      </c>
      <c r="BL2147" t="s">
        <v>66</v>
      </c>
      <c r="BM2147" t="s">
        <v>159</v>
      </c>
    </row>
    <row r="2148" spans="1:65" x14ac:dyDescent="0.25">
      <c r="A2148">
        <v>2146</v>
      </c>
      <c r="B2148" t="s">
        <v>2052</v>
      </c>
      <c r="C2148" t="s">
        <v>68</v>
      </c>
      <c r="D2148" s="1">
        <v>46232</v>
      </c>
      <c r="E2148" t="s">
        <v>2053</v>
      </c>
      <c r="F2148" t="s">
        <v>68</v>
      </c>
      <c r="G2148" t="s">
        <v>295</v>
      </c>
      <c r="H2148" t="s">
        <v>296</v>
      </c>
      <c r="I2148" t="s">
        <v>71</v>
      </c>
      <c r="J2148" t="s">
        <v>72</v>
      </c>
      <c r="K2148" t="s">
        <v>73</v>
      </c>
      <c r="L2148" t="s">
        <v>74</v>
      </c>
      <c r="M2148" t="s">
        <v>503</v>
      </c>
      <c r="N2148" t="s">
        <v>111</v>
      </c>
      <c r="O2148" t="s">
        <v>504</v>
      </c>
      <c r="P2148" t="s">
        <v>505</v>
      </c>
      <c r="Q2148" t="s">
        <v>66</v>
      </c>
      <c r="R2148" s="1">
        <v>46232</v>
      </c>
      <c r="S2148" t="s">
        <v>507</v>
      </c>
      <c r="T2148" t="s">
        <v>508</v>
      </c>
      <c r="U2148" t="s">
        <v>509</v>
      </c>
      <c r="V2148" t="s">
        <v>66</v>
      </c>
      <c r="W2148" t="s">
        <v>66</v>
      </c>
      <c r="X2148">
        <v>2372040</v>
      </c>
      <c r="Y2148">
        <v>260924.4</v>
      </c>
      <c r="Z2148">
        <v>171072</v>
      </c>
      <c r="AA2148">
        <v>18817.919999999998</v>
      </c>
      <c r="AB2148">
        <v>2632964.4</v>
      </c>
      <c r="AC2148">
        <v>1</v>
      </c>
      <c r="AD2148" t="s">
        <v>134</v>
      </c>
      <c r="AE2148">
        <v>12</v>
      </c>
      <c r="AF2148" t="s">
        <v>448</v>
      </c>
      <c r="AG2148">
        <f>IFERROR(VLOOKUP(AF2148,[1]STOK!J:O,6,0),"")</f>
        <v>12</v>
      </c>
      <c r="AH2148" s="2">
        <f t="shared" si="66"/>
        <v>1</v>
      </c>
      <c r="AI2148" t="s">
        <v>448</v>
      </c>
      <c r="AJ2148" t="s">
        <v>449</v>
      </c>
      <c r="AK2148" t="s">
        <v>450</v>
      </c>
      <c r="AL2148" t="s">
        <v>86</v>
      </c>
      <c r="AM2148">
        <v>191808</v>
      </c>
      <c r="AN2148">
        <f t="shared" si="67"/>
        <v>189889.92000000001</v>
      </c>
      <c r="AO2148" t="s">
        <v>66</v>
      </c>
      <c r="AP2148">
        <v>1</v>
      </c>
      <c r="AQ2148" t="s">
        <v>66</v>
      </c>
      <c r="AR2148">
        <v>0</v>
      </c>
      <c r="AS2148" t="s">
        <v>66</v>
      </c>
      <c r="AT2148">
        <v>0</v>
      </c>
      <c r="AU2148" t="s">
        <v>66</v>
      </c>
      <c r="AV2148">
        <v>0</v>
      </c>
      <c r="AW2148" t="s">
        <v>66</v>
      </c>
      <c r="AX2148">
        <v>0</v>
      </c>
      <c r="AY2148" t="s">
        <v>66</v>
      </c>
      <c r="AZ2148">
        <v>0</v>
      </c>
      <c r="BA2148" t="s">
        <v>66</v>
      </c>
      <c r="BB2148">
        <v>0</v>
      </c>
      <c r="BC2148">
        <v>0</v>
      </c>
      <c r="BD2148">
        <v>189889.92000000001</v>
      </c>
      <c r="BE2148">
        <v>12851.1</v>
      </c>
      <c r="BF2148">
        <v>0</v>
      </c>
      <c r="BG2148" t="s">
        <v>87</v>
      </c>
      <c r="BH2148" t="s">
        <v>66</v>
      </c>
      <c r="BI2148">
        <v>0</v>
      </c>
      <c r="BJ2148" t="s">
        <v>66</v>
      </c>
      <c r="BK2148" t="s">
        <v>88</v>
      </c>
      <c r="BL2148" t="s">
        <v>66</v>
      </c>
      <c r="BM2148" t="s">
        <v>159</v>
      </c>
    </row>
    <row r="2149" spans="1:65" x14ac:dyDescent="0.25">
      <c r="A2149">
        <v>2147</v>
      </c>
      <c r="B2149" t="s">
        <v>2054</v>
      </c>
      <c r="C2149" t="s">
        <v>68</v>
      </c>
      <c r="D2149" s="1">
        <v>46232</v>
      </c>
      <c r="E2149" t="s">
        <v>2055</v>
      </c>
      <c r="F2149" t="s">
        <v>68</v>
      </c>
      <c r="G2149" t="s">
        <v>295</v>
      </c>
      <c r="H2149" t="s">
        <v>296</v>
      </c>
      <c r="I2149" t="s">
        <v>71</v>
      </c>
      <c r="J2149" t="s">
        <v>72</v>
      </c>
      <c r="K2149" t="s">
        <v>73</v>
      </c>
      <c r="L2149" t="s">
        <v>74</v>
      </c>
      <c r="M2149" t="s">
        <v>503</v>
      </c>
      <c r="N2149" t="s">
        <v>111</v>
      </c>
      <c r="O2149" t="s">
        <v>504</v>
      </c>
      <c r="P2149" t="s">
        <v>505</v>
      </c>
      <c r="Q2149" t="s">
        <v>66</v>
      </c>
      <c r="R2149" s="1">
        <v>46232</v>
      </c>
      <c r="S2149" t="s">
        <v>507</v>
      </c>
      <c r="T2149" t="s">
        <v>508</v>
      </c>
      <c r="U2149" t="s">
        <v>509</v>
      </c>
      <c r="V2149" t="s">
        <v>66</v>
      </c>
      <c r="W2149" t="s">
        <v>66</v>
      </c>
      <c r="X2149">
        <v>3445200</v>
      </c>
      <c r="Y2149">
        <v>378972</v>
      </c>
      <c r="Z2149">
        <v>163944</v>
      </c>
      <c r="AA2149">
        <v>18033.84</v>
      </c>
      <c r="AB2149">
        <v>3824172</v>
      </c>
      <c r="AC2149">
        <v>1</v>
      </c>
      <c r="AD2149" t="s">
        <v>134</v>
      </c>
      <c r="AE2149">
        <v>24</v>
      </c>
      <c r="AF2149" t="s">
        <v>1141</v>
      </c>
      <c r="AG2149">
        <f>IFERROR(VLOOKUP(AF2149,[1]STOK!J:O,6,0),"")</f>
        <v>24</v>
      </c>
      <c r="AH2149" s="2">
        <f t="shared" si="66"/>
        <v>1</v>
      </c>
      <c r="AI2149" t="s">
        <v>1141</v>
      </c>
      <c r="AJ2149" t="s">
        <v>1142</v>
      </c>
      <c r="AK2149" t="s">
        <v>1143</v>
      </c>
      <c r="AL2149" t="s">
        <v>86</v>
      </c>
      <c r="AM2149">
        <v>183816</v>
      </c>
      <c r="AN2149">
        <f t="shared" si="67"/>
        <v>181977.84</v>
      </c>
      <c r="AO2149" t="s">
        <v>66</v>
      </c>
      <c r="AP2149">
        <v>1</v>
      </c>
      <c r="AQ2149" t="s">
        <v>66</v>
      </c>
      <c r="AR2149">
        <v>0</v>
      </c>
      <c r="AS2149" t="s">
        <v>66</v>
      </c>
      <c r="AT2149">
        <v>0</v>
      </c>
      <c r="AU2149" t="s">
        <v>66</v>
      </c>
      <c r="AV2149">
        <v>0</v>
      </c>
      <c r="AW2149" t="s">
        <v>66</v>
      </c>
      <c r="AX2149">
        <v>0</v>
      </c>
      <c r="AY2149" t="s">
        <v>66</v>
      </c>
      <c r="AZ2149">
        <v>0</v>
      </c>
      <c r="BA2149" t="s">
        <v>66</v>
      </c>
      <c r="BB2149">
        <v>0</v>
      </c>
      <c r="BC2149">
        <v>0</v>
      </c>
      <c r="BD2149">
        <v>181977.84</v>
      </c>
      <c r="BE2149">
        <v>6158.06</v>
      </c>
      <c r="BF2149">
        <v>0</v>
      </c>
      <c r="BG2149" t="s">
        <v>87</v>
      </c>
      <c r="BH2149" t="s">
        <v>66</v>
      </c>
      <c r="BI2149">
        <v>0</v>
      </c>
      <c r="BJ2149" t="s">
        <v>66</v>
      </c>
      <c r="BK2149" t="s">
        <v>88</v>
      </c>
      <c r="BL2149" t="s">
        <v>66</v>
      </c>
      <c r="BM2149" t="s">
        <v>159</v>
      </c>
    </row>
    <row r="2150" spans="1:65" x14ac:dyDescent="0.25">
      <c r="A2150">
        <v>2148</v>
      </c>
      <c r="B2150" t="s">
        <v>2054</v>
      </c>
      <c r="C2150" t="s">
        <v>68</v>
      </c>
      <c r="D2150" s="1">
        <v>46232</v>
      </c>
      <c r="E2150" t="s">
        <v>2055</v>
      </c>
      <c r="F2150" t="s">
        <v>68</v>
      </c>
      <c r="G2150" t="s">
        <v>295</v>
      </c>
      <c r="H2150" t="s">
        <v>296</v>
      </c>
      <c r="I2150" t="s">
        <v>71</v>
      </c>
      <c r="J2150" t="s">
        <v>72</v>
      </c>
      <c r="K2150" t="s">
        <v>73</v>
      </c>
      <c r="L2150" t="s">
        <v>74</v>
      </c>
      <c r="M2150" t="s">
        <v>503</v>
      </c>
      <c r="N2150" t="s">
        <v>111</v>
      </c>
      <c r="O2150" t="s">
        <v>504</v>
      </c>
      <c r="P2150" t="s">
        <v>505</v>
      </c>
      <c r="Q2150" t="s">
        <v>66</v>
      </c>
      <c r="R2150" s="1">
        <v>46232</v>
      </c>
      <c r="S2150" t="s">
        <v>507</v>
      </c>
      <c r="T2150" t="s">
        <v>508</v>
      </c>
      <c r="U2150" t="s">
        <v>509</v>
      </c>
      <c r="V2150" t="s">
        <v>66</v>
      </c>
      <c r="W2150" t="s">
        <v>66</v>
      </c>
      <c r="X2150">
        <v>3445200</v>
      </c>
      <c r="Y2150">
        <v>378972</v>
      </c>
      <c r="Z2150">
        <v>230472</v>
      </c>
      <c r="AA2150">
        <v>25351.919999999998</v>
      </c>
      <c r="AB2150">
        <v>3824172</v>
      </c>
      <c r="AC2150">
        <v>1</v>
      </c>
      <c r="AD2150" t="s">
        <v>134</v>
      </c>
      <c r="AE2150">
        <v>12</v>
      </c>
      <c r="AF2150" t="s">
        <v>287</v>
      </c>
      <c r="AG2150">
        <f>IFERROR(VLOOKUP(AF2150,[1]STOK!J:O,6,0),"")</f>
        <v>12</v>
      </c>
      <c r="AH2150" s="2">
        <f t="shared" si="66"/>
        <v>1</v>
      </c>
      <c r="AI2150" t="s">
        <v>287</v>
      </c>
      <c r="AJ2150" t="s">
        <v>288</v>
      </c>
      <c r="AK2150" t="s">
        <v>289</v>
      </c>
      <c r="AL2150" t="s">
        <v>86</v>
      </c>
      <c r="AM2150">
        <v>258408</v>
      </c>
      <c r="AN2150">
        <f t="shared" si="67"/>
        <v>255823.92</v>
      </c>
      <c r="AO2150" t="s">
        <v>66</v>
      </c>
      <c r="AP2150">
        <v>1</v>
      </c>
      <c r="AQ2150" t="s">
        <v>66</v>
      </c>
      <c r="AR2150">
        <v>0</v>
      </c>
      <c r="AS2150" t="s">
        <v>66</v>
      </c>
      <c r="AT2150">
        <v>0</v>
      </c>
      <c r="AU2150" t="s">
        <v>66</v>
      </c>
      <c r="AV2150">
        <v>0</v>
      </c>
      <c r="AW2150" t="s">
        <v>66</v>
      </c>
      <c r="AX2150">
        <v>0</v>
      </c>
      <c r="AY2150" t="s">
        <v>66</v>
      </c>
      <c r="AZ2150">
        <v>0</v>
      </c>
      <c r="BA2150" t="s">
        <v>66</v>
      </c>
      <c r="BB2150">
        <v>0</v>
      </c>
      <c r="BC2150">
        <v>0</v>
      </c>
      <c r="BD2150">
        <v>255823.92</v>
      </c>
      <c r="BE2150">
        <v>17377.759999999998</v>
      </c>
      <c r="BF2150">
        <v>0</v>
      </c>
      <c r="BG2150" t="s">
        <v>87</v>
      </c>
      <c r="BH2150" t="s">
        <v>66</v>
      </c>
      <c r="BI2150">
        <v>0</v>
      </c>
      <c r="BJ2150" t="s">
        <v>66</v>
      </c>
      <c r="BK2150" t="s">
        <v>88</v>
      </c>
      <c r="BL2150" t="s">
        <v>66</v>
      </c>
      <c r="BM2150" t="s">
        <v>159</v>
      </c>
    </row>
    <row r="2151" spans="1:65" x14ac:dyDescent="0.25">
      <c r="A2151">
        <v>2149</v>
      </c>
      <c r="B2151" t="s">
        <v>2054</v>
      </c>
      <c r="C2151" t="s">
        <v>68</v>
      </c>
      <c r="D2151" s="1">
        <v>46232</v>
      </c>
      <c r="E2151" t="s">
        <v>2055</v>
      </c>
      <c r="F2151" t="s">
        <v>68</v>
      </c>
      <c r="G2151" t="s">
        <v>295</v>
      </c>
      <c r="H2151" t="s">
        <v>296</v>
      </c>
      <c r="I2151" t="s">
        <v>71</v>
      </c>
      <c r="J2151" t="s">
        <v>72</v>
      </c>
      <c r="K2151" t="s">
        <v>73</v>
      </c>
      <c r="L2151" t="s">
        <v>74</v>
      </c>
      <c r="M2151" t="s">
        <v>503</v>
      </c>
      <c r="N2151" t="s">
        <v>111</v>
      </c>
      <c r="O2151" t="s">
        <v>504</v>
      </c>
      <c r="P2151" t="s">
        <v>505</v>
      </c>
      <c r="Q2151" t="s">
        <v>66</v>
      </c>
      <c r="R2151" s="1">
        <v>46232</v>
      </c>
      <c r="S2151" t="s">
        <v>507</v>
      </c>
      <c r="T2151" t="s">
        <v>508</v>
      </c>
      <c r="U2151" t="s">
        <v>509</v>
      </c>
      <c r="V2151" t="s">
        <v>66</v>
      </c>
      <c r="W2151" t="s">
        <v>66</v>
      </c>
      <c r="X2151">
        <v>3445200</v>
      </c>
      <c r="Y2151">
        <v>378972</v>
      </c>
      <c r="Z2151">
        <v>1278288</v>
      </c>
      <c r="AA2151">
        <v>140611.68</v>
      </c>
      <c r="AB2151">
        <v>3824172</v>
      </c>
      <c r="AC2151">
        <v>4</v>
      </c>
      <c r="AD2151" t="s">
        <v>134</v>
      </c>
      <c r="AE2151">
        <v>24</v>
      </c>
      <c r="AF2151" t="s">
        <v>525</v>
      </c>
      <c r="AG2151">
        <f>IFERROR(VLOOKUP(AF2151,[1]STOK!J:O,6,0),"")</f>
        <v>6</v>
      </c>
      <c r="AH2151" s="2">
        <f t="shared" si="66"/>
        <v>4</v>
      </c>
      <c r="AI2151" t="s">
        <v>525</v>
      </c>
      <c r="AJ2151" t="s">
        <v>526</v>
      </c>
      <c r="AK2151" t="s">
        <v>527</v>
      </c>
      <c r="AL2151" t="s">
        <v>86</v>
      </c>
      <c r="AM2151">
        <v>358308</v>
      </c>
      <c r="AN2151">
        <f t="shared" si="67"/>
        <v>354724.92</v>
      </c>
      <c r="AO2151" t="s">
        <v>66</v>
      </c>
      <c r="AP2151">
        <v>1</v>
      </c>
      <c r="AQ2151" t="s">
        <v>66</v>
      </c>
      <c r="AR2151">
        <v>0</v>
      </c>
      <c r="AS2151" t="s">
        <v>66</v>
      </c>
      <c r="AT2151">
        <v>0</v>
      </c>
      <c r="AU2151" t="s">
        <v>66</v>
      </c>
      <c r="AV2151">
        <v>0</v>
      </c>
      <c r="AW2151" t="s">
        <v>66</v>
      </c>
      <c r="AX2151">
        <v>0</v>
      </c>
      <c r="AY2151" t="s">
        <v>66</v>
      </c>
      <c r="AZ2151">
        <v>0</v>
      </c>
      <c r="BA2151" t="s">
        <v>66</v>
      </c>
      <c r="BB2151">
        <v>0</v>
      </c>
      <c r="BC2151">
        <v>0</v>
      </c>
      <c r="BD2151">
        <v>1418899.68</v>
      </c>
      <c r="BE2151">
        <v>46997.73</v>
      </c>
      <c r="BF2151">
        <v>0</v>
      </c>
      <c r="BG2151" t="s">
        <v>87</v>
      </c>
      <c r="BH2151" t="s">
        <v>66</v>
      </c>
      <c r="BI2151">
        <v>0</v>
      </c>
      <c r="BJ2151" t="s">
        <v>66</v>
      </c>
      <c r="BK2151" t="s">
        <v>88</v>
      </c>
      <c r="BL2151" t="s">
        <v>66</v>
      </c>
      <c r="BM2151" t="s">
        <v>159</v>
      </c>
    </row>
    <row r="2152" spans="1:65" x14ac:dyDescent="0.25">
      <c r="A2152">
        <v>2150</v>
      </c>
      <c r="B2152" t="s">
        <v>2054</v>
      </c>
      <c r="C2152" t="s">
        <v>68</v>
      </c>
      <c r="D2152" s="1">
        <v>46232</v>
      </c>
      <c r="E2152" t="s">
        <v>2055</v>
      </c>
      <c r="F2152" t="s">
        <v>68</v>
      </c>
      <c r="G2152" t="s">
        <v>295</v>
      </c>
      <c r="H2152" t="s">
        <v>296</v>
      </c>
      <c r="I2152" t="s">
        <v>71</v>
      </c>
      <c r="J2152" t="s">
        <v>72</v>
      </c>
      <c r="K2152" t="s">
        <v>73</v>
      </c>
      <c r="L2152" t="s">
        <v>74</v>
      </c>
      <c r="M2152" t="s">
        <v>503</v>
      </c>
      <c r="N2152" t="s">
        <v>111</v>
      </c>
      <c r="O2152" t="s">
        <v>504</v>
      </c>
      <c r="P2152" t="s">
        <v>505</v>
      </c>
      <c r="Q2152" t="s">
        <v>66</v>
      </c>
      <c r="R2152" s="1">
        <v>46232</v>
      </c>
      <c r="S2152" t="s">
        <v>507</v>
      </c>
      <c r="T2152" t="s">
        <v>508</v>
      </c>
      <c r="U2152" t="s">
        <v>509</v>
      </c>
      <c r="V2152" t="s">
        <v>66</v>
      </c>
      <c r="W2152" t="s">
        <v>66</v>
      </c>
      <c r="X2152">
        <v>3445200</v>
      </c>
      <c r="Y2152">
        <v>378972</v>
      </c>
      <c r="Z2152">
        <v>639144</v>
      </c>
      <c r="AA2152">
        <v>70305.84</v>
      </c>
      <c r="AB2152">
        <v>3824172</v>
      </c>
      <c r="AC2152">
        <v>2</v>
      </c>
      <c r="AD2152" t="s">
        <v>134</v>
      </c>
      <c r="AE2152">
        <v>12</v>
      </c>
      <c r="AF2152" t="s">
        <v>528</v>
      </c>
      <c r="AG2152">
        <f>IFERROR(VLOOKUP(AF2152,[1]STOK!J:O,6,0),"")</f>
        <v>6</v>
      </c>
      <c r="AH2152" s="2">
        <f t="shared" si="66"/>
        <v>2</v>
      </c>
      <c r="AI2152" t="s">
        <v>528</v>
      </c>
      <c r="AJ2152" t="s">
        <v>529</v>
      </c>
      <c r="AK2152" t="s">
        <v>530</v>
      </c>
      <c r="AL2152" t="s">
        <v>86</v>
      </c>
      <c r="AM2152">
        <v>358308</v>
      </c>
      <c r="AN2152">
        <f t="shared" si="67"/>
        <v>354724.92</v>
      </c>
      <c r="AO2152" t="s">
        <v>66</v>
      </c>
      <c r="AP2152">
        <v>1</v>
      </c>
      <c r="AQ2152" t="s">
        <v>66</v>
      </c>
      <c r="AR2152">
        <v>0</v>
      </c>
      <c r="AS2152" t="s">
        <v>66</v>
      </c>
      <c r="AT2152">
        <v>0</v>
      </c>
      <c r="AU2152" t="s">
        <v>66</v>
      </c>
      <c r="AV2152">
        <v>0</v>
      </c>
      <c r="AW2152" t="s">
        <v>66</v>
      </c>
      <c r="AX2152">
        <v>0</v>
      </c>
      <c r="AY2152" t="s">
        <v>66</v>
      </c>
      <c r="AZ2152">
        <v>0</v>
      </c>
      <c r="BA2152" t="s">
        <v>66</v>
      </c>
      <c r="BB2152">
        <v>0</v>
      </c>
      <c r="BC2152">
        <v>0</v>
      </c>
      <c r="BD2152">
        <v>709449.84</v>
      </c>
      <c r="BE2152">
        <v>48433.83</v>
      </c>
      <c r="BF2152">
        <v>0</v>
      </c>
      <c r="BG2152" t="s">
        <v>87</v>
      </c>
      <c r="BH2152" t="s">
        <v>66</v>
      </c>
      <c r="BI2152">
        <v>0</v>
      </c>
      <c r="BJ2152" t="s">
        <v>66</v>
      </c>
      <c r="BK2152" t="s">
        <v>88</v>
      </c>
      <c r="BL2152" t="s">
        <v>66</v>
      </c>
      <c r="BM2152" t="s">
        <v>159</v>
      </c>
    </row>
    <row r="2153" spans="1:65" x14ac:dyDescent="0.25">
      <c r="A2153">
        <v>2151</v>
      </c>
      <c r="B2153" t="s">
        <v>2054</v>
      </c>
      <c r="C2153" t="s">
        <v>68</v>
      </c>
      <c r="D2153" s="1">
        <v>46232</v>
      </c>
      <c r="E2153" t="s">
        <v>2055</v>
      </c>
      <c r="F2153" t="s">
        <v>68</v>
      </c>
      <c r="G2153" t="s">
        <v>295</v>
      </c>
      <c r="H2153" t="s">
        <v>296</v>
      </c>
      <c r="I2153" t="s">
        <v>71</v>
      </c>
      <c r="J2153" t="s">
        <v>72</v>
      </c>
      <c r="K2153" t="s">
        <v>73</v>
      </c>
      <c r="L2153" t="s">
        <v>74</v>
      </c>
      <c r="M2153" t="s">
        <v>503</v>
      </c>
      <c r="N2153" t="s">
        <v>111</v>
      </c>
      <c r="O2153" t="s">
        <v>504</v>
      </c>
      <c r="P2153" t="s">
        <v>505</v>
      </c>
      <c r="Q2153" t="s">
        <v>66</v>
      </c>
      <c r="R2153" s="1">
        <v>46232</v>
      </c>
      <c r="S2153" t="s">
        <v>507</v>
      </c>
      <c r="T2153" t="s">
        <v>508</v>
      </c>
      <c r="U2153" t="s">
        <v>509</v>
      </c>
      <c r="V2153" t="s">
        <v>66</v>
      </c>
      <c r="W2153" t="s">
        <v>66</v>
      </c>
      <c r="X2153">
        <v>3445200</v>
      </c>
      <c r="Y2153">
        <v>378972</v>
      </c>
      <c r="Z2153">
        <v>97416</v>
      </c>
      <c r="AA2153">
        <v>10715.76</v>
      </c>
      <c r="AB2153">
        <v>3824172</v>
      </c>
      <c r="AC2153">
        <v>1</v>
      </c>
      <c r="AD2153" t="s">
        <v>134</v>
      </c>
      <c r="AE2153">
        <v>12</v>
      </c>
      <c r="AF2153" t="s">
        <v>1588</v>
      </c>
      <c r="AG2153">
        <f>IFERROR(VLOOKUP(AF2153,[1]STOK!J:O,6,0),"")</f>
        <v>12</v>
      </c>
      <c r="AH2153" s="2">
        <f t="shared" si="66"/>
        <v>1</v>
      </c>
      <c r="AI2153" t="s">
        <v>1588</v>
      </c>
      <c r="AJ2153" t="s">
        <v>1589</v>
      </c>
      <c r="AK2153" t="s">
        <v>1590</v>
      </c>
      <c r="AL2153" t="s">
        <v>86</v>
      </c>
      <c r="AM2153">
        <v>109224</v>
      </c>
      <c r="AN2153">
        <f t="shared" si="67"/>
        <v>108131.76</v>
      </c>
      <c r="AO2153" t="s">
        <v>66</v>
      </c>
      <c r="AP2153">
        <v>1</v>
      </c>
      <c r="AQ2153" t="s">
        <v>66</v>
      </c>
      <c r="AR2153">
        <v>0</v>
      </c>
      <c r="AS2153" t="s">
        <v>66</v>
      </c>
      <c r="AT2153">
        <v>0</v>
      </c>
      <c r="AU2153" t="s">
        <v>66</v>
      </c>
      <c r="AV2153">
        <v>0</v>
      </c>
      <c r="AW2153" t="s">
        <v>66</v>
      </c>
      <c r="AX2153">
        <v>0</v>
      </c>
      <c r="AY2153" t="s">
        <v>66</v>
      </c>
      <c r="AZ2153">
        <v>0</v>
      </c>
      <c r="BA2153" t="s">
        <v>66</v>
      </c>
      <c r="BB2153">
        <v>0</v>
      </c>
      <c r="BC2153">
        <v>0</v>
      </c>
      <c r="BD2153">
        <v>108131.76</v>
      </c>
      <c r="BE2153">
        <v>7209.74</v>
      </c>
      <c r="BF2153">
        <v>0</v>
      </c>
      <c r="BG2153" t="s">
        <v>87</v>
      </c>
      <c r="BH2153" t="s">
        <v>66</v>
      </c>
      <c r="BI2153">
        <v>0</v>
      </c>
      <c r="BJ2153" t="s">
        <v>66</v>
      </c>
      <c r="BK2153" t="s">
        <v>88</v>
      </c>
      <c r="BL2153" t="s">
        <v>66</v>
      </c>
      <c r="BM2153" t="s">
        <v>159</v>
      </c>
    </row>
    <row r="2154" spans="1:65" x14ac:dyDescent="0.25">
      <c r="A2154">
        <v>2152</v>
      </c>
      <c r="B2154" t="s">
        <v>2054</v>
      </c>
      <c r="C2154" t="s">
        <v>68</v>
      </c>
      <c r="D2154" s="1">
        <v>46232</v>
      </c>
      <c r="E2154" t="s">
        <v>2055</v>
      </c>
      <c r="F2154" t="s">
        <v>68</v>
      </c>
      <c r="G2154" t="s">
        <v>295</v>
      </c>
      <c r="H2154" t="s">
        <v>296</v>
      </c>
      <c r="I2154" t="s">
        <v>71</v>
      </c>
      <c r="J2154" t="s">
        <v>72</v>
      </c>
      <c r="K2154" t="s">
        <v>73</v>
      </c>
      <c r="L2154" t="s">
        <v>74</v>
      </c>
      <c r="M2154" t="s">
        <v>503</v>
      </c>
      <c r="N2154" t="s">
        <v>111</v>
      </c>
      <c r="O2154" t="s">
        <v>504</v>
      </c>
      <c r="P2154" t="s">
        <v>505</v>
      </c>
      <c r="Q2154" t="s">
        <v>66</v>
      </c>
      <c r="R2154" s="1">
        <v>46232</v>
      </c>
      <c r="S2154" t="s">
        <v>507</v>
      </c>
      <c r="T2154" t="s">
        <v>508</v>
      </c>
      <c r="U2154" t="s">
        <v>509</v>
      </c>
      <c r="V2154" t="s">
        <v>66</v>
      </c>
      <c r="W2154" t="s">
        <v>66</v>
      </c>
      <c r="X2154">
        <v>3445200</v>
      </c>
      <c r="Y2154">
        <v>378972</v>
      </c>
      <c r="Z2154">
        <v>122364</v>
      </c>
      <c r="AA2154">
        <v>13460.04</v>
      </c>
      <c r="AB2154">
        <v>3824172</v>
      </c>
      <c r="AC2154">
        <v>1</v>
      </c>
      <c r="AD2154" t="s">
        <v>134</v>
      </c>
      <c r="AE2154">
        <v>12</v>
      </c>
      <c r="AF2154" t="s">
        <v>513</v>
      </c>
      <c r="AG2154">
        <f>IFERROR(VLOOKUP(AF2154,[1]STOK!J:O,6,0),"")</f>
        <v>12</v>
      </c>
      <c r="AH2154" s="2">
        <f t="shared" si="66"/>
        <v>1</v>
      </c>
      <c r="AI2154" t="s">
        <v>513</v>
      </c>
      <c r="AJ2154" t="s">
        <v>514</v>
      </c>
      <c r="AK2154" t="s">
        <v>515</v>
      </c>
      <c r="AL2154" t="s">
        <v>86</v>
      </c>
      <c r="AM2154">
        <v>137196</v>
      </c>
      <c r="AN2154">
        <f t="shared" si="67"/>
        <v>135824.04</v>
      </c>
      <c r="AO2154" t="s">
        <v>66</v>
      </c>
      <c r="AP2154">
        <v>1</v>
      </c>
      <c r="AQ2154" t="s">
        <v>66</v>
      </c>
      <c r="AR2154">
        <v>0</v>
      </c>
      <c r="AS2154" t="s">
        <v>66</v>
      </c>
      <c r="AT2154">
        <v>0</v>
      </c>
      <c r="AU2154" t="s">
        <v>66</v>
      </c>
      <c r="AV2154">
        <v>0</v>
      </c>
      <c r="AW2154" t="s">
        <v>66</v>
      </c>
      <c r="AX2154">
        <v>0</v>
      </c>
      <c r="AY2154" t="s">
        <v>66</v>
      </c>
      <c r="AZ2154">
        <v>0</v>
      </c>
      <c r="BA2154" t="s">
        <v>66</v>
      </c>
      <c r="BB2154">
        <v>0</v>
      </c>
      <c r="BC2154">
        <v>0</v>
      </c>
      <c r="BD2154">
        <v>135824.04</v>
      </c>
      <c r="BE2154">
        <v>8503.24</v>
      </c>
      <c r="BF2154">
        <v>0</v>
      </c>
      <c r="BG2154" t="s">
        <v>87</v>
      </c>
      <c r="BH2154" t="s">
        <v>66</v>
      </c>
      <c r="BI2154">
        <v>0</v>
      </c>
      <c r="BJ2154" t="s">
        <v>66</v>
      </c>
      <c r="BK2154" t="s">
        <v>88</v>
      </c>
      <c r="BL2154" t="s">
        <v>66</v>
      </c>
      <c r="BM2154" t="s">
        <v>159</v>
      </c>
    </row>
    <row r="2155" spans="1:65" x14ac:dyDescent="0.25">
      <c r="A2155">
        <v>2153</v>
      </c>
      <c r="B2155" t="s">
        <v>2054</v>
      </c>
      <c r="C2155" t="s">
        <v>68</v>
      </c>
      <c r="D2155" s="1">
        <v>46232</v>
      </c>
      <c r="E2155" t="s">
        <v>2055</v>
      </c>
      <c r="F2155" t="s">
        <v>68</v>
      </c>
      <c r="G2155" t="s">
        <v>295</v>
      </c>
      <c r="H2155" t="s">
        <v>296</v>
      </c>
      <c r="I2155" t="s">
        <v>71</v>
      </c>
      <c r="J2155" t="s">
        <v>72</v>
      </c>
      <c r="K2155" t="s">
        <v>73</v>
      </c>
      <c r="L2155" t="s">
        <v>74</v>
      </c>
      <c r="M2155" t="s">
        <v>503</v>
      </c>
      <c r="N2155" t="s">
        <v>111</v>
      </c>
      <c r="O2155" t="s">
        <v>504</v>
      </c>
      <c r="P2155" t="s">
        <v>505</v>
      </c>
      <c r="Q2155" t="s">
        <v>66</v>
      </c>
      <c r="R2155" s="1">
        <v>46232</v>
      </c>
      <c r="S2155" t="s">
        <v>507</v>
      </c>
      <c r="T2155" t="s">
        <v>508</v>
      </c>
      <c r="U2155" t="s">
        <v>509</v>
      </c>
      <c r="V2155" t="s">
        <v>66</v>
      </c>
      <c r="W2155" t="s">
        <v>66</v>
      </c>
      <c r="X2155">
        <v>3445200</v>
      </c>
      <c r="Y2155">
        <v>378972</v>
      </c>
      <c r="Z2155">
        <v>237600</v>
      </c>
      <c r="AA2155">
        <v>26136</v>
      </c>
      <c r="AB2155">
        <v>3824172</v>
      </c>
      <c r="AC2155">
        <v>1</v>
      </c>
      <c r="AD2155" t="s">
        <v>134</v>
      </c>
      <c r="AE2155">
        <v>12</v>
      </c>
      <c r="AF2155" t="s">
        <v>290</v>
      </c>
      <c r="AG2155">
        <f>IFERROR(VLOOKUP(AF2155,[1]STOK!J:O,6,0),"")</f>
        <v>12</v>
      </c>
      <c r="AH2155" s="2">
        <f t="shared" si="66"/>
        <v>1</v>
      </c>
      <c r="AI2155" t="s">
        <v>290</v>
      </c>
      <c r="AJ2155" t="s">
        <v>291</v>
      </c>
      <c r="AK2155" t="s">
        <v>292</v>
      </c>
      <c r="AL2155" t="s">
        <v>86</v>
      </c>
      <c r="AM2155">
        <v>266400</v>
      </c>
      <c r="AN2155">
        <f t="shared" si="67"/>
        <v>263736</v>
      </c>
      <c r="AO2155" t="s">
        <v>66</v>
      </c>
      <c r="AP2155">
        <v>1</v>
      </c>
      <c r="AQ2155" t="s">
        <v>66</v>
      </c>
      <c r="AR2155">
        <v>0</v>
      </c>
      <c r="AS2155" t="s">
        <v>66</v>
      </c>
      <c r="AT2155">
        <v>0</v>
      </c>
      <c r="AU2155" t="s">
        <v>66</v>
      </c>
      <c r="AV2155">
        <v>0</v>
      </c>
      <c r="AW2155" t="s">
        <v>66</v>
      </c>
      <c r="AX2155">
        <v>0</v>
      </c>
      <c r="AY2155" t="s">
        <v>66</v>
      </c>
      <c r="AZ2155">
        <v>0</v>
      </c>
      <c r="BA2155" t="s">
        <v>66</v>
      </c>
      <c r="BB2155">
        <v>0</v>
      </c>
      <c r="BC2155">
        <v>0</v>
      </c>
      <c r="BD2155">
        <v>263736</v>
      </c>
      <c r="BE2155">
        <v>18113.71</v>
      </c>
      <c r="BF2155">
        <v>0</v>
      </c>
      <c r="BG2155" t="s">
        <v>87</v>
      </c>
      <c r="BH2155" t="s">
        <v>66</v>
      </c>
      <c r="BI2155">
        <v>0</v>
      </c>
      <c r="BJ2155" t="s">
        <v>66</v>
      </c>
      <c r="BK2155" t="s">
        <v>88</v>
      </c>
      <c r="BL2155" t="s">
        <v>66</v>
      </c>
      <c r="BM2155" t="s">
        <v>159</v>
      </c>
    </row>
    <row r="2156" spans="1:65" x14ac:dyDescent="0.25">
      <c r="A2156">
        <v>2154</v>
      </c>
      <c r="B2156" t="s">
        <v>2054</v>
      </c>
      <c r="C2156" t="s">
        <v>68</v>
      </c>
      <c r="D2156" s="1">
        <v>46232</v>
      </c>
      <c r="E2156" t="s">
        <v>2055</v>
      </c>
      <c r="F2156" t="s">
        <v>68</v>
      </c>
      <c r="G2156" t="s">
        <v>295</v>
      </c>
      <c r="H2156" t="s">
        <v>296</v>
      </c>
      <c r="I2156" t="s">
        <v>71</v>
      </c>
      <c r="J2156" t="s">
        <v>72</v>
      </c>
      <c r="K2156" t="s">
        <v>73</v>
      </c>
      <c r="L2156" t="s">
        <v>74</v>
      </c>
      <c r="M2156" t="s">
        <v>503</v>
      </c>
      <c r="N2156" t="s">
        <v>111</v>
      </c>
      <c r="O2156" t="s">
        <v>504</v>
      </c>
      <c r="P2156" t="s">
        <v>505</v>
      </c>
      <c r="Q2156" t="s">
        <v>66</v>
      </c>
      <c r="R2156" s="1">
        <v>46232</v>
      </c>
      <c r="S2156" t="s">
        <v>507</v>
      </c>
      <c r="T2156" t="s">
        <v>508</v>
      </c>
      <c r="U2156" t="s">
        <v>509</v>
      </c>
      <c r="V2156" t="s">
        <v>66</v>
      </c>
      <c r="W2156" t="s">
        <v>66</v>
      </c>
      <c r="X2156">
        <v>3445200</v>
      </c>
      <c r="Y2156">
        <v>378972</v>
      </c>
      <c r="Z2156">
        <v>237600</v>
      </c>
      <c r="AA2156">
        <v>26136</v>
      </c>
      <c r="AB2156">
        <v>3824172</v>
      </c>
      <c r="AC2156">
        <v>1</v>
      </c>
      <c r="AD2156" t="s">
        <v>134</v>
      </c>
      <c r="AE2156">
        <v>12</v>
      </c>
      <c r="AF2156" t="s">
        <v>102</v>
      </c>
      <c r="AG2156">
        <f>IFERROR(VLOOKUP(AF2156,[1]STOK!J:O,6,0),"")</f>
        <v>12</v>
      </c>
      <c r="AH2156" s="2">
        <f t="shared" si="66"/>
        <v>1</v>
      </c>
      <c r="AI2156" t="s">
        <v>102</v>
      </c>
      <c r="AJ2156" t="s">
        <v>103</v>
      </c>
      <c r="AK2156" t="s">
        <v>104</v>
      </c>
      <c r="AL2156" t="s">
        <v>86</v>
      </c>
      <c r="AM2156">
        <v>266400</v>
      </c>
      <c r="AN2156">
        <f t="shared" si="67"/>
        <v>263736</v>
      </c>
      <c r="AO2156" t="s">
        <v>66</v>
      </c>
      <c r="AP2156">
        <v>1</v>
      </c>
      <c r="AQ2156" t="s">
        <v>66</v>
      </c>
      <c r="AR2156">
        <v>0</v>
      </c>
      <c r="AS2156" t="s">
        <v>66</v>
      </c>
      <c r="AT2156">
        <v>0</v>
      </c>
      <c r="AU2156" t="s">
        <v>66</v>
      </c>
      <c r="AV2156">
        <v>0</v>
      </c>
      <c r="AW2156" t="s">
        <v>66</v>
      </c>
      <c r="AX2156">
        <v>0</v>
      </c>
      <c r="AY2156" t="s">
        <v>66</v>
      </c>
      <c r="AZ2156">
        <v>0</v>
      </c>
      <c r="BA2156" t="s">
        <v>66</v>
      </c>
      <c r="BB2156">
        <v>0</v>
      </c>
      <c r="BC2156">
        <v>0</v>
      </c>
      <c r="BD2156">
        <v>263736</v>
      </c>
      <c r="BE2156">
        <v>18005.03</v>
      </c>
      <c r="BF2156">
        <v>0</v>
      </c>
      <c r="BG2156" t="s">
        <v>87</v>
      </c>
      <c r="BH2156" t="s">
        <v>66</v>
      </c>
      <c r="BI2156">
        <v>0</v>
      </c>
      <c r="BJ2156" t="s">
        <v>66</v>
      </c>
      <c r="BK2156" t="s">
        <v>88</v>
      </c>
      <c r="BL2156" t="s">
        <v>66</v>
      </c>
      <c r="BM2156" t="s">
        <v>159</v>
      </c>
    </row>
    <row r="2157" spans="1:65" x14ac:dyDescent="0.25">
      <c r="A2157">
        <v>2155</v>
      </c>
      <c r="B2157" t="s">
        <v>2054</v>
      </c>
      <c r="C2157" t="s">
        <v>68</v>
      </c>
      <c r="D2157" s="1">
        <v>46232</v>
      </c>
      <c r="E2157" t="s">
        <v>2055</v>
      </c>
      <c r="F2157" t="s">
        <v>68</v>
      </c>
      <c r="G2157" t="s">
        <v>295</v>
      </c>
      <c r="H2157" t="s">
        <v>296</v>
      </c>
      <c r="I2157" t="s">
        <v>71</v>
      </c>
      <c r="J2157" t="s">
        <v>72</v>
      </c>
      <c r="K2157" t="s">
        <v>73</v>
      </c>
      <c r="L2157" t="s">
        <v>74</v>
      </c>
      <c r="M2157" t="s">
        <v>503</v>
      </c>
      <c r="N2157" t="s">
        <v>111</v>
      </c>
      <c r="O2157" t="s">
        <v>504</v>
      </c>
      <c r="P2157" t="s">
        <v>505</v>
      </c>
      <c r="Q2157" t="s">
        <v>66</v>
      </c>
      <c r="R2157" s="1">
        <v>46232</v>
      </c>
      <c r="S2157" t="s">
        <v>507</v>
      </c>
      <c r="T2157" t="s">
        <v>508</v>
      </c>
      <c r="U2157" t="s">
        <v>509</v>
      </c>
      <c r="V2157" t="s">
        <v>66</v>
      </c>
      <c r="W2157" t="s">
        <v>66</v>
      </c>
      <c r="X2157">
        <v>3445200</v>
      </c>
      <c r="Y2157">
        <v>378972</v>
      </c>
      <c r="Z2157">
        <v>267300</v>
      </c>
      <c r="AA2157">
        <v>29403</v>
      </c>
      <c r="AB2157">
        <v>3824172</v>
      </c>
      <c r="AC2157">
        <v>1</v>
      </c>
      <c r="AD2157" t="s">
        <v>134</v>
      </c>
      <c r="AE2157">
        <v>4</v>
      </c>
      <c r="AF2157" t="s">
        <v>312</v>
      </c>
      <c r="AG2157">
        <f>IFERROR(VLOOKUP(AF2157,[1]STOK!J:O,6,0),"")</f>
        <v>4</v>
      </c>
      <c r="AH2157" s="2">
        <f t="shared" si="66"/>
        <v>1</v>
      </c>
      <c r="AI2157" t="s">
        <v>312</v>
      </c>
      <c r="AJ2157" t="s">
        <v>313</v>
      </c>
      <c r="AK2157" t="s">
        <v>314</v>
      </c>
      <c r="AL2157" t="s">
        <v>86</v>
      </c>
      <c r="AM2157">
        <v>299700</v>
      </c>
      <c r="AN2157">
        <f t="shared" si="67"/>
        <v>296703</v>
      </c>
      <c r="AO2157" t="s">
        <v>66</v>
      </c>
      <c r="AP2157">
        <v>1</v>
      </c>
      <c r="AQ2157" t="s">
        <v>66</v>
      </c>
      <c r="AR2157">
        <v>0</v>
      </c>
      <c r="AS2157" t="s">
        <v>66</v>
      </c>
      <c r="AT2157">
        <v>0</v>
      </c>
      <c r="AU2157" t="s">
        <v>66</v>
      </c>
      <c r="AV2157">
        <v>0</v>
      </c>
      <c r="AW2157" t="s">
        <v>66</v>
      </c>
      <c r="AX2157">
        <v>0</v>
      </c>
      <c r="AY2157" t="s">
        <v>66</v>
      </c>
      <c r="AZ2157">
        <v>0</v>
      </c>
      <c r="BA2157" t="s">
        <v>66</v>
      </c>
      <c r="BB2157">
        <v>0</v>
      </c>
      <c r="BC2157">
        <v>0</v>
      </c>
      <c r="BD2157">
        <v>296703</v>
      </c>
      <c r="BE2157">
        <v>60344.4</v>
      </c>
      <c r="BF2157">
        <v>0</v>
      </c>
      <c r="BG2157" t="s">
        <v>87</v>
      </c>
      <c r="BH2157" t="s">
        <v>66</v>
      </c>
      <c r="BI2157">
        <v>0</v>
      </c>
      <c r="BJ2157" t="s">
        <v>66</v>
      </c>
      <c r="BK2157" t="s">
        <v>88</v>
      </c>
      <c r="BL2157" t="s">
        <v>66</v>
      </c>
      <c r="BM2157" t="s">
        <v>159</v>
      </c>
    </row>
    <row r="2158" spans="1:65" x14ac:dyDescent="0.25">
      <c r="A2158">
        <v>2156</v>
      </c>
      <c r="B2158" t="s">
        <v>2054</v>
      </c>
      <c r="C2158" t="s">
        <v>68</v>
      </c>
      <c r="D2158" s="1">
        <v>46232</v>
      </c>
      <c r="E2158" t="s">
        <v>2055</v>
      </c>
      <c r="F2158" t="s">
        <v>68</v>
      </c>
      <c r="G2158" t="s">
        <v>295</v>
      </c>
      <c r="H2158" t="s">
        <v>296</v>
      </c>
      <c r="I2158" t="s">
        <v>71</v>
      </c>
      <c r="J2158" t="s">
        <v>72</v>
      </c>
      <c r="K2158" t="s">
        <v>73</v>
      </c>
      <c r="L2158" t="s">
        <v>74</v>
      </c>
      <c r="M2158" t="s">
        <v>503</v>
      </c>
      <c r="N2158" t="s">
        <v>111</v>
      </c>
      <c r="O2158" t="s">
        <v>504</v>
      </c>
      <c r="P2158" t="s">
        <v>505</v>
      </c>
      <c r="Q2158" t="s">
        <v>66</v>
      </c>
      <c r="R2158" s="1">
        <v>46232</v>
      </c>
      <c r="S2158" t="s">
        <v>507</v>
      </c>
      <c r="T2158" t="s">
        <v>508</v>
      </c>
      <c r="U2158" t="s">
        <v>509</v>
      </c>
      <c r="V2158" t="s">
        <v>66</v>
      </c>
      <c r="W2158" t="s">
        <v>66</v>
      </c>
      <c r="X2158">
        <v>3445200</v>
      </c>
      <c r="Y2158">
        <v>378972</v>
      </c>
      <c r="Z2158">
        <v>171072</v>
      </c>
      <c r="AA2158">
        <v>18817.919999999998</v>
      </c>
      <c r="AB2158">
        <v>3824172</v>
      </c>
      <c r="AC2158">
        <v>1</v>
      </c>
      <c r="AD2158" t="s">
        <v>134</v>
      </c>
      <c r="AE2158">
        <v>12</v>
      </c>
      <c r="AF2158" t="s">
        <v>141</v>
      </c>
      <c r="AG2158">
        <f>IFERROR(VLOOKUP(AF2158,[1]STOK!J:O,6,0),"")</f>
        <v>12</v>
      </c>
      <c r="AH2158" s="2">
        <f t="shared" si="66"/>
        <v>1</v>
      </c>
      <c r="AI2158" t="s">
        <v>141</v>
      </c>
      <c r="AJ2158" t="s">
        <v>142</v>
      </c>
      <c r="AK2158" t="s">
        <v>143</v>
      </c>
      <c r="AL2158" t="s">
        <v>86</v>
      </c>
      <c r="AM2158">
        <v>191808</v>
      </c>
      <c r="AN2158">
        <f t="shared" si="67"/>
        <v>189889.92000000001</v>
      </c>
      <c r="AO2158" t="s">
        <v>66</v>
      </c>
      <c r="AP2158">
        <v>1</v>
      </c>
      <c r="AQ2158" t="s">
        <v>66</v>
      </c>
      <c r="AR2158">
        <v>0</v>
      </c>
      <c r="AS2158" t="s">
        <v>66</v>
      </c>
      <c r="AT2158">
        <v>0</v>
      </c>
      <c r="AU2158" t="s">
        <v>66</v>
      </c>
      <c r="AV2158">
        <v>0</v>
      </c>
      <c r="AW2158" t="s">
        <v>66</v>
      </c>
      <c r="AX2158">
        <v>0</v>
      </c>
      <c r="AY2158" t="s">
        <v>66</v>
      </c>
      <c r="AZ2158">
        <v>0</v>
      </c>
      <c r="BA2158" t="s">
        <v>66</v>
      </c>
      <c r="BB2158">
        <v>0</v>
      </c>
      <c r="BC2158">
        <v>0</v>
      </c>
      <c r="BD2158">
        <v>189889.92000000001</v>
      </c>
      <c r="BE2158">
        <v>13029.29</v>
      </c>
      <c r="BF2158">
        <v>0</v>
      </c>
      <c r="BG2158" t="s">
        <v>87</v>
      </c>
      <c r="BH2158" t="s">
        <v>66</v>
      </c>
      <c r="BI2158">
        <v>0</v>
      </c>
      <c r="BJ2158" t="s">
        <v>66</v>
      </c>
      <c r="BK2158" t="s">
        <v>88</v>
      </c>
      <c r="BL2158" t="s">
        <v>66</v>
      </c>
      <c r="BM2158" t="s">
        <v>159</v>
      </c>
    </row>
    <row r="2159" spans="1:65" x14ac:dyDescent="0.25">
      <c r="A2159">
        <v>2157</v>
      </c>
      <c r="B2159" t="s">
        <v>2056</v>
      </c>
      <c r="C2159" t="s">
        <v>68</v>
      </c>
      <c r="D2159" s="1">
        <v>46232</v>
      </c>
      <c r="E2159" t="s">
        <v>2057</v>
      </c>
      <c r="F2159" t="s">
        <v>1593</v>
      </c>
      <c r="G2159" t="s">
        <v>295</v>
      </c>
      <c r="H2159" t="s">
        <v>296</v>
      </c>
      <c r="I2159" t="s">
        <v>71</v>
      </c>
      <c r="J2159" t="s">
        <v>72</v>
      </c>
      <c r="K2159" t="s">
        <v>73</v>
      </c>
      <c r="L2159" t="s">
        <v>74</v>
      </c>
      <c r="M2159" t="s">
        <v>1648</v>
      </c>
      <c r="N2159" t="s">
        <v>696</v>
      </c>
      <c r="O2159" t="s">
        <v>1649</v>
      </c>
      <c r="P2159" t="s">
        <v>1650</v>
      </c>
      <c r="Q2159" t="s">
        <v>66</v>
      </c>
      <c r="R2159" s="1">
        <v>46232</v>
      </c>
      <c r="S2159" t="s">
        <v>1651</v>
      </c>
      <c r="T2159" t="s">
        <v>1652</v>
      </c>
      <c r="U2159" t="s">
        <v>1653</v>
      </c>
      <c r="V2159" t="s">
        <v>66</v>
      </c>
      <c r="W2159" t="s">
        <v>66</v>
      </c>
      <c r="X2159">
        <v>63828000</v>
      </c>
      <c r="Y2159">
        <v>7021080</v>
      </c>
      <c r="Z2159">
        <v>63828000</v>
      </c>
      <c r="AA2159">
        <v>7021080</v>
      </c>
      <c r="AB2159">
        <v>70849080</v>
      </c>
      <c r="AC2159">
        <v>300</v>
      </c>
      <c r="AD2159" t="s">
        <v>134</v>
      </c>
      <c r="AE2159">
        <v>3600</v>
      </c>
      <c r="AF2159" t="s">
        <v>290</v>
      </c>
      <c r="AG2159">
        <f>IFERROR(VLOOKUP(AF2159,[1]STOK!J:O,6,0),"")</f>
        <v>12</v>
      </c>
      <c r="AH2159" s="2">
        <f t="shared" si="66"/>
        <v>300</v>
      </c>
      <c r="AI2159" t="s">
        <v>290</v>
      </c>
      <c r="AJ2159" t="s">
        <v>291</v>
      </c>
      <c r="AK2159" t="s">
        <v>292</v>
      </c>
      <c r="AL2159" t="s">
        <v>86</v>
      </c>
      <c r="AM2159">
        <v>266400</v>
      </c>
      <c r="AN2159">
        <f t="shared" si="67"/>
        <v>236163.6</v>
      </c>
      <c r="AO2159" t="s">
        <v>66</v>
      </c>
      <c r="AP2159">
        <v>1.5</v>
      </c>
      <c r="AQ2159" t="s">
        <v>66</v>
      </c>
      <c r="AR2159">
        <v>0</v>
      </c>
      <c r="AS2159" t="s">
        <v>66</v>
      </c>
      <c r="AT2159">
        <v>0</v>
      </c>
      <c r="AU2159" t="s">
        <v>66</v>
      </c>
      <c r="AV2159">
        <v>10</v>
      </c>
      <c r="AW2159" t="s">
        <v>66</v>
      </c>
      <c r="AX2159">
        <v>0</v>
      </c>
      <c r="AY2159" t="s">
        <v>66</v>
      </c>
      <c r="AZ2159">
        <v>0</v>
      </c>
      <c r="BA2159" t="s">
        <v>66</v>
      </c>
      <c r="BB2159">
        <v>0</v>
      </c>
      <c r="BC2159">
        <v>0</v>
      </c>
      <c r="BD2159">
        <v>70849080</v>
      </c>
      <c r="BE2159">
        <v>18113.71</v>
      </c>
      <c r="BF2159">
        <v>0</v>
      </c>
      <c r="BG2159" t="s">
        <v>87</v>
      </c>
      <c r="BH2159" t="s">
        <v>66</v>
      </c>
      <c r="BI2159">
        <v>0</v>
      </c>
      <c r="BJ2159" t="s">
        <v>66</v>
      </c>
      <c r="BK2159" t="s">
        <v>88</v>
      </c>
      <c r="BL2159" t="s">
        <v>66</v>
      </c>
      <c r="BM2159" t="s">
        <v>159</v>
      </c>
    </row>
    <row r="2160" spans="1:65" x14ac:dyDescent="0.25">
      <c r="A2160">
        <v>2158</v>
      </c>
      <c r="B2160" t="s">
        <v>2058</v>
      </c>
      <c r="C2160" t="s">
        <v>2059</v>
      </c>
      <c r="D2160" s="1">
        <v>46232</v>
      </c>
      <c r="E2160" t="s">
        <v>2060</v>
      </c>
      <c r="F2160" t="s">
        <v>2061</v>
      </c>
      <c r="G2160" t="s">
        <v>69</v>
      </c>
      <c r="H2160" t="s">
        <v>70</v>
      </c>
      <c r="I2160" t="s">
        <v>71</v>
      </c>
      <c r="J2160" t="s">
        <v>72</v>
      </c>
      <c r="K2160" t="s">
        <v>73</v>
      </c>
      <c r="L2160" t="s">
        <v>74</v>
      </c>
      <c r="M2160" t="s">
        <v>867</v>
      </c>
      <c r="N2160" t="s">
        <v>696</v>
      </c>
      <c r="O2160" t="s">
        <v>868</v>
      </c>
      <c r="P2160" t="s">
        <v>869</v>
      </c>
      <c r="Q2160" t="s">
        <v>66</v>
      </c>
      <c r="R2160" s="1">
        <v>46232</v>
      </c>
      <c r="S2160" t="s">
        <v>871</v>
      </c>
      <c r="T2160" t="s">
        <v>872</v>
      </c>
      <c r="U2160" t="s">
        <v>873</v>
      </c>
      <c r="V2160" t="s">
        <v>66</v>
      </c>
      <c r="W2160" t="s">
        <v>66</v>
      </c>
      <c r="X2160">
        <v>62402730</v>
      </c>
      <c r="Y2160">
        <v>6864300.2999999998</v>
      </c>
      <c r="Z2160">
        <v>733320</v>
      </c>
      <c r="AA2160">
        <v>80665.2</v>
      </c>
      <c r="AB2160">
        <v>69267030.299999997</v>
      </c>
      <c r="AC2160">
        <v>3</v>
      </c>
      <c r="AD2160" t="s">
        <v>134</v>
      </c>
      <c r="AE2160">
        <v>72</v>
      </c>
      <c r="AF2160" t="s">
        <v>874</v>
      </c>
      <c r="AG2160">
        <f>IFERROR(VLOOKUP(AF2160,[1]STOK!J:O,6,0),"")</f>
        <v>24</v>
      </c>
      <c r="AH2160" s="2">
        <f t="shared" si="66"/>
        <v>3</v>
      </c>
      <c r="AI2160" t="s">
        <v>874</v>
      </c>
      <c r="AJ2160" t="s">
        <v>875</v>
      </c>
      <c r="AK2160" t="s">
        <v>876</v>
      </c>
      <c r="AL2160" t="s">
        <v>86</v>
      </c>
      <c r="AM2160">
        <v>279720</v>
      </c>
      <c r="AN2160">
        <f t="shared" si="67"/>
        <v>271328.39999999997</v>
      </c>
      <c r="AO2160" t="s">
        <v>66</v>
      </c>
      <c r="AP2160">
        <v>3</v>
      </c>
      <c r="AQ2160" t="s">
        <v>66</v>
      </c>
      <c r="AR2160">
        <v>0</v>
      </c>
      <c r="AS2160" t="s">
        <v>66</v>
      </c>
      <c r="AT2160">
        <v>0</v>
      </c>
      <c r="AU2160" t="s">
        <v>66</v>
      </c>
      <c r="AV2160">
        <v>0</v>
      </c>
      <c r="AW2160" t="s">
        <v>66</v>
      </c>
      <c r="AX2160">
        <v>0</v>
      </c>
      <c r="AY2160" t="s">
        <v>66</v>
      </c>
      <c r="AZ2160">
        <v>0</v>
      </c>
      <c r="BA2160" t="s">
        <v>66</v>
      </c>
      <c r="BB2160">
        <v>0</v>
      </c>
      <c r="BC2160">
        <v>0</v>
      </c>
      <c r="BD2160">
        <v>813985.2</v>
      </c>
      <c r="BE2160">
        <v>9449.7999999999993</v>
      </c>
      <c r="BF2160">
        <v>0</v>
      </c>
      <c r="BG2160" t="s">
        <v>87</v>
      </c>
      <c r="BH2160" t="s">
        <v>66</v>
      </c>
      <c r="BI2160">
        <v>0</v>
      </c>
      <c r="BJ2160" t="s">
        <v>66</v>
      </c>
      <c r="BK2160" t="s">
        <v>88</v>
      </c>
      <c r="BL2160" t="s">
        <v>877</v>
      </c>
      <c r="BM2160" t="s">
        <v>159</v>
      </c>
    </row>
    <row r="2161" spans="1:65" x14ac:dyDescent="0.25">
      <c r="A2161">
        <v>2159</v>
      </c>
      <c r="B2161" t="s">
        <v>2058</v>
      </c>
      <c r="C2161" t="s">
        <v>2059</v>
      </c>
      <c r="D2161" s="1">
        <v>46232</v>
      </c>
      <c r="E2161" t="s">
        <v>2060</v>
      </c>
      <c r="F2161" t="s">
        <v>2061</v>
      </c>
      <c r="G2161" t="s">
        <v>69</v>
      </c>
      <c r="H2161" t="s">
        <v>70</v>
      </c>
      <c r="I2161" t="s">
        <v>71</v>
      </c>
      <c r="J2161" t="s">
        <v>72</v>
      </c>
      <c r="K2161" t="s">
        <v>73</v>
      </c>
      <c r="L2161" t="s">
        <v>74</v>
      </c>
      <c r="M2161" t="s">
        <v>867</v>
      </c>
      <c r="N2161" t="s">
        <v>696</v>
      </c>
      <c r="O2161" t="s">
        <v>868</v>
      </c>
      <c r="P2161" t="s">
        <v>869</v>
      </c>
      <c r="Q2161" t="s">
        <v>66</v>
      </c>
      <c r="R2161" s="1">
        <v>46232</v>
      </c>
      <c r="S2161" t="s">
        <v>871</v>
      </c>
      <c r="T2161" t="s">
        <v>872</v>
      </c>
      <c r="U2161" t="s">
        <v>873</v>
      </c>
      <c r="V2161" t="s">
        <v>66</v>
      </c>
      <c r="W2161" t="s">
        <v>66</v>
      </c>
      <c r="X2161">
        <v>62402730</v>
      </c>
      <c r="Y2161">
        <v>6864300.2999999998</v>
      </c>
      <c r="Z2161">
        <v>1920600</v>
      </c>
      <c r="AA2161">
        <v>211266</v>
      </c>
      <c r="AB2161">
        <v>69267030.299999997</v>
      </c>
      <c r="AC2161">
        <v>5</v>
      </c>
      <c r="AD2161" t="s">
        <v>134</v>
      </c>
      <c r="AE2161">
        <v>120</v>
      </c>
      <c r="AF2161" t="s">
        <v>128</v>
      </c>
      <c r="AG2161">
        <f>IFERROR(VLOOKUP(AF2161,[1]STOK!J:O,6,0),"")</f>
        <v>24</v>
      </c>
      <c r="AH2161" s="2">
        <f t="shared" si="66"/>
        <v>5</v>
      </c>
      <c r="AI2161" t="s">
        <v>128</v>
      </c>
      <c r="AJ2161" t="s">
        <v>129</v>
      </c>
      <c r="AK2161" t="s">
        <v>130</v>
      </c>
      <c r="AL2161" t="s">
        <v>86</v>
      </c>
      <c r="AM2161">
        <v>439560</v>
      </c>
      <c r="AN2161">
        <f t="shared" si="67"/>
        <v>426373.2</v>
      </c>
      <c r="AO2161" t="s">
        <v>66</v>
      </c>
      <c r="AP2161">
        <v>3</v>
      </c>
      <c r="AQ2161" t="s">
        <v>66</v>
      </c>
      <c r="AR2161">
        <v>0</v>
      </c>
      <c r="AS2161" t="s">
        <v>66</v>
      </c>
      <c r="AT2161">
        <v>0</v>
      </c>
      <c r="AU2161" t="s">
        <v>66</v>
      </c>
      <c r="AV2161">
        <v>0</v>
      </c>
      <c r="AW2161" t="s">
        <v>66</v>
      </c>
      <c r="AX2161">
        <v>0</v>
      </c>
      <c r="AY2161" t="s">
        <v>66</v>
      </c>
      <c r="AZ2161">
        <v>0</v>
      </c>
      <c r="BA2161" t="s">
        <v>66</v>
      </c>
      <c r="BB2161">
        <v>0</v>
      </c>
      <c r="BC2161">
        <v>0</v>
      </c>
      <c r="BD2161">
        <v>2131866</v>
      </c>
      <c r="BE2161">
        <v>14887.43</v>
      </c>
      <c r="BF2161">
        <v>0</v>
      </c>
      <c r="BG2161" t="s">
        <v>87</v>
      </c>
      <c r="BH2161" t="s">
        <v>66</v>
      </c>
      <c r="BI2161">
        <v>0</v>
      </c>
      <c r="BJ2161" t="s">
        <v>66</v>
      </c>
      <c r="BK2161" t="s">
        <v>88</v>
      </c>
      <c r="BL2161" t="s">
        <v>877</v>
      </c>
      <c r="BM2161" t="s">
        <v>159</v>
      </c>
    </row>
    <row r="2162" spans="1:65" x14ac:dyDescent="0.25">
      <c r="A2162">
        <v>2160</v>
      </c>
      <c r="B2162" t="s">
        <v>2058</v>
      </c>
      <c r="C2162" t="s">
        <v>2059</v>
      </c>
      <c r="D2162" s="1">
        <v>46232</v>
      </c>
      <c r="E2162" t="s">
        <v>2060</v>
      </c>
      <c r="F2162" t="s">
        <v>2061</v>
      </c>
      <c r="G2162" t="s">
        <v>69</v>
      </c>
      <c r="H2162" t="s">
        <v>70</v>
      </c>
      <c r="I2162" t="s">
        <v>71</v>
      </c>
      <c r="J2162" t="s">
        <v>72</v>
      </c>
      <c r="K2162" t="s">
        <v>73</v>
      </c>
      <c r="L2162" t="s">
        <v>74</v>
      </c>
      <c r="M2162" t="s">
        <v>867</v>
      </c>
      <c r="N2162" t="s">
        <v>696</v>
      </c>
      <c r="O2162" t="s">
        <v>868</v>
      </c>
      <c r="P2162" t="s">
        <v>869</v>
      </c>
      <c r="Q2162" t="s">
        <v>66</v>
      </c>
      <c r="R2162" s="1">
        <v>46232</v>
      </c>
      <c r="S2162" t="s">
        <v>871</v>
      </c>
      <c r="T2162" t="s">
        <v>872</v>
      </c>
      <c r="U2162" t="s">
        <v>873</v>
      </c>
      <c r="V2162" t="s">
        <v>66</v>
      </c>
      <c r="W2162" t="s">
        <v>66</v>
      </c>
      <c r="X2162">
        <v>62402730</v>
      </c>
      <c r="Y2162">
        <v>6864300.2999999998</v>
      </c>
      <c r="Z2162">
        <v>1980000</v>
      </c>
      <c r="AA2162">
        <v>217800</v>
      </c>
      <c r="AB2162">
        <v>69267030.299999997</v>
      </c>
      <c r="AC2162">
        <v>5</v>
      </c>
      <c r="AD2162" t="s">
        <v>134</v>
      </c>
      <c r="AE2162">
        <v>120</v>
      </c>
      <c r="AF2162" t="s">
        <v>93</v>
      </c>
      <c r="AG2162">
        <f>IFERROR(VLOOKUP(AF2162,[1]STOK!J:O,6,0),"")</f>
        <v>24</v>
      </c>
      <c r="AH2162" s="2">
        <f t="shared" si="66"/>
        <v>5</v>
      </c>
      <c r="AI2162" t="s">
        <v>93</v>
      </c>
      <c r="AJ2162" t="s">
        <v>94</v>
      </c>
      <c r="AK2162" t="s">
        <v>95</v>
      </c>
      <c r="AL2162" t="s">
        <v>86</v>
      </c>
      <c r="AM2162">
        <v>439560</v>
      </c>
      <c r="AN2162">
        <f t="shared" si="67"/>
        <v>439560</v>
      </c>
      <c r="AO2162" t="s">
        <v>66</v>
      </c>
      <c r="AP2162">
        <v>0</v>
      </c>
      <c r="AQ2162" t="s">
        <v>66</v>
      </c>
      <c r="AR2162">
        <v>0</v>
      </c>
      <c r="AS2162" t="s">
        <v>66</v>
      </c>
      <c r="AT2162">
        <v>0</v>
      </c>
      <c r="AU2162" t="s">
        <v>66</v>
      </c>
      <c r="AV2162">
        <v>0</v>
      </c>
      <c r="AW2162" t="s">
        <v>66</v>
      </c>
      <c r="AX2162">
        <v>0</v>
      </c>
      <c r="AY2162" t="s">
        <v>66</v>
      </c>
      <c r="AZ2162">
        <v>0</v>
      </c>
      <c r="BA2162" t="s">
        <v>66</v>
      </c>
      <c r="BB2162">
        <v>0</v>
      </c>
      <c r="BC2162">
        <v>0</v>
      </c>
      <c r="BD2162">
        <v>2197800</v>
      </c>
      <c r="BE2162">
        <v>14923.68</v>
      </c>
      <c r="BF2162">
        <v>0</v>
      </c>
      <c r="BG2162" t="s">
        <v>87</v>
      </c>
      <c r="BH2162" t="s">
        <v>66</v>
      </c>
      <c r="BI2162">
        <v>0</v>
      </c>
      <c r="BJ2162" t="s">
        <v>66</v>
      </c>
      <c r="BK2162" t="s">
        <v>88</v>
      </c>
      <c r="BL2162" t="s">
        <v>877</v>
      </c>
      <c r="BM2162" t="s">
        <v>159</v>
      </c>
    </row>
    <row r="2163" spans="1:65" x14ac:dyDescent="0.25">
      <c r="A2163">
        <v>2161</v>
      </c>
      <c r="B2163" t="s">
        <v>2058</v>
      </c>
      <c r="C2163" t="s">
        <v>2059</v>
      </c>
      <c r="D2163" s="1">
        <v>46232</v>
      </c>
      <c r="E2163" t="s">
        <v>2060</v>
      </c>
      <c r="F2163" t="s">
        <v>2061</v>
      </c>
      <c r="G2163" t="s">
        <v>69</v>
      </c>
      <c r="H2163" t="s">
        <v>70</v>
      </c>
      <c r="I2163" t="s">
        <v>71</v>
      </c>
      <c r="J2163" t="s">
        <v>72</v>
      </c>
      <c r="K2163" t="s">
        <v>73</v>
      </c>
      <c r="L2163" t="s">
        <v>74</v>
      </c>
      <c r="M2163" t="s">
        <v>867</v>
      </c>
      <c r="N2163" t="s">
        <v>696</v>
      </c>
      <c r="O2163" t="s">
        <v>868</v>
      </c>
      <c r="P2163" t="s">
        <v>869</v>
      </c>
      <c r="Q2163" t="s">
        <v>66</v>
      </c>
      <c r="R2163" s="1">
        <v>46232</v>
      </c>
      <c r="S2163" t="s">
        <v>871</v>
      </c>
      <c r="T2163" t="s">
        <v>872</v>
      </c>
      <c r="U2163" t="s">
        <v>873</v>
      </c>
      <c r="V2163" t="s">
        <v>66</v>
      </c>
      <c r="W2163" t="s">
        <v>66</v>
      </c>
      <c r="X2163">
        <v>62402730</v>
      </c>
      <c r="Y2163">
        <v>6864300.2999999998</v>
      </c>
      <c r="Z2163">
        <v>4225320</v>
      </c>
      <c r="AA2163">
        <v>464785.2</v>
      </c>
      <c r="AB2163">
        <v>69267030.299999997</v>
      </c>
      <c r="AC2163">
        <v>11</v>
      </c>
      <c r="AD2163" t="s">
        <v>134</v>
      </c>
      <c r="AE2163">
        <v>264</v>
      </c>
      <c r="AF2163" t="s">
        <v>205</v>
      </c>
      <c r="AG2163">
        <f>IFERROR(VLOOKUP(AF2163,[1]STOK!J:O,6,0),"")</f>
        <v>24</v>
      </c>
      <c r="AH2163" s="2">
        <f t="shared" si="66"/>
        <v>11</v>
      </c>
      <c r="AI2163" t="s">
        <v>205</v>
      </c>
      <c r="AJ2163" t="s">
        <v>206</v>
      </c>
      <c r="AK2163" t="s">
        <v>207</v>
      </c>
      <c r="AL2163" t="s">
        <v>86</v>
      </c>
      <c r="AM2163">
        <v>439560</v>
      </c>
      <c r="AN2163">
        <f t="shared" si="67"/>
        <v>426373.2</v>
      </c>
      <c r="AO2163" t="s">
        <v>66</v>
      </c>
      <c r="AP2163">
        <v>3</v>
      </c>
      <c r="AQ2163" t="s">
        <v>66</v>
      </c>
      <c r="AR2163">
        <v>0</v>
      </c>
      <c r="AS2163" t="s">
        <v>66</v>
      </c>
      <c r="AT2163">
        <v>0</v>
      </c>
      <c r="AU2163" t="s">
        <v>66</v>
      </c>
      <c r="AV2163">
        <v>0</v>
      </c>
      <c r="AW2163" t="s">
        <v>66</v>
      </c>
      <c r="AX2163">
        <v>0</v>
      </c>
      <c r="AY2163" t="s">
        <v>66</v>
      </c>
      <c r="AZ2163">
        <v>0</v>
      </c>
      <c r="BA2163" t="s">
        <v>66</v>
      </c>
      <c r="BB2163">
        <v>0</v>
      </c>
      <c r="BC2163">
        <v>0</v>
      </c>
      <c r="BD2163">
        <v>4690105.2</v>
      </c>
      <c r="BE2163">
        <v>14893.33</v>
      </c>
      <c r="BF2163">
        <v>0</v>
      </c>
      <c r="BG2163" t="s">
        <v>87</v>
      </c>
      <c r="BH2163" t="s">
        <v>66</v>
      </c>
      <c r="BI2163">
        <v>0</v>
      </c>
      <c r="BJ2163" t="s">
        <v>66</v>
      </c>
      <c r="BK2163" t="s">
        <v>88</v>
      </c>
      <c r="BL2163" t="s">
        <v>877</v>
      </c>
      <c r="BM2163" t="s">
        <v>159</v>
      </c>
    </row>
    <row r="2164" spans="1:65" x14ac:dyDescent="0.25">
      <c r="A2164">
        <v>2162</v>
      </c>
      <c r="B2164" t="s">
        <v>2058</v>
      </c>
      <c r="C2164" t="s">
        <v>2059</v>
      </c>
      <c r="D2164" s="1">
        <v>46232</v>
      </c>
      <c r="E2164" t="s">
        <v>2060</v>
      </c>
      <c r="F2164" t="s">
        <v>2061</v>
      </c>
      <c r="G2164" t="s">
        <v>69</v>
      </c>
      <c r="H2164" t="s">
        <v>70</v>
      </c>
      <c r="I2164" t="s">
        <v>71</v>
      </c>
      <c r="J2164" t="s">
        <v>72</v>
      </c>
      <c r="K2164" t="s">
        <v>73</v>
      </c>
      <c r="L2164" t="s">
        <v>74</v>
      </c>
      <c r="M2164" t="s">
        <v>867</v>
      </c>
      <c r="N2164" t="s">
        <v>696</v>
      </c>
      <c r="O2164" t="s">
        <v>868</v>
      </c>
      <c r="P2164" t="s">
        <v>869</v>
      </c>
      <c r="Q2164" t="s">
        <v>66</v>
      </c>
      <c r="R2164" s="1">
        <v>46232</v>
      </c>
      <c r="S2164" t="s">
        <v>871</v>
      </c>
      <c r="T2164" t="s">
        <v>872</v>
      </c>
      <c r="U2164" t="s">
        <v>873</v>
      </c>
      <c r="V2164" t="s">
        <v>66</v>
      </c>
      <c r="W2164" t="s">
        <v>66</v>
      </c>
      <c r="X2164">
        <v>62402730</v>
      </c>
      <c r="Y2164">
        <v>6864300.2999999998</v>
      </c>
      <c r="Z2164">
        <v>3960000</v>
      </c>
      <c r="AA2164">
        <v>435600</v>
      </c>
      <c r="AB2164">
        <v>69267030.299999997</v>
      </c>
      <c r="AC2164">
        <v>10</v>
      </c>
      <c r="AD2164" t="s">
        <v>134</v>
      </c>
      <c r="AE2164">
        <v>240</v>
      </c>
      <c r="AF2164" t="s">
        <v>99</v>
      </c>
      <c r="AG2164">
        <f>IFERROR(VLOOKUP(AF2164,[1]STOK!J:O,6,0),"")</f>
        <v>24</v>
      </c>
      <c r="AH2164" s="2">
        <f t="shared" si="66"/>
        <v>10</v>
      </c>
      <c r="AI2164" t="s">
        <v>99</v>
      </c>
      <c r="AJ2164" t="s">
        <v>100</v>
      </c>
      <c r="AK2164" t="s">
        <v>101</v>
      </c>
      <c r="AL2164" t="s">
        <v>86</v>
      </c>
      <c r="AM2164">
        <v>439560</v>
      </c>
      <c r="AN2164">
        <f t="shared" si="67"/>
        <v>439560</v>
      </c>
      <c r="AO2164" t="s">
        <v>66</v>
      </c>
      <c r="AP2164">
        <v>0</v>
      </c>
      <c r="AQ2164" t="s">
        <v>66</v>
      </c>
      <c r="AR2164">
        <v>0</v>
      </c>
      <c r="AS2164" t="s">
        <v>66</v>
      </c>
      <c r="AT2164">
        <v>0</v>
      </c>
      <c r="AU2164" t="s">
        <v>66</v>
      </c>
      <c r="AV2164">
        <v>0</v>
      </c>
      <c r="AW2164" t="s">
        <v>66</v>
      </c>
      <c r="AX2164">
        <v>0</v>
      </c>
      <c r="AY2164" t="s">
        <v>66</v>
      </c>
      <c r="AZ2164">
        <v>0</v>
      </c>
      <c r="BA2164" t="s">
        <v>66</v>
      </c>
      <c r="BB2164">
        <v>0</v>
      </c>
      <c r="BC2164">
        <v>0</v>
      </c>
      <c r="BD2164">
        <v>4395600</v>
      </c>
      <c r="BE2164">
        <v>14925.98</v>
      </c>
      <c r="BF2164">
        <v>0</v>
      </c>
      <c r="BG2164" t="s">
        <v>87</v>
      </c>
      <c r="BH2164" t="s">
        <v>66</v>
      </c>
      <c r="BI2164">
        <v>0</v>
      </c>
      <c r="BJ2164" t="s">
        <v>66</v>
      </c>
      <c r="BK2164" t="s">
        <v>88</v>
      </c>
      <c r="BL2164" t="s">
        <v>877</v>
      </c>
      <c r="BM2164" t="s">
        <v>159</v>
      </c>
    </row>
    <row r="2165" spans="1:65" x14ac:dyDescent="0.25">
      <c r="A2165">
        <v>2163</v>
      </c>
      <c r="B2165" t="s">
        <v>2058</v>
      </c>
      <c r="C2165" t="s">
        <v>2059</v>
      </c>
      <c r="D2165" s="1">
        <v>46232</v>
      </c>
      <c r="E2165" t="s">
        <v>2060</v>
      </c>
      <c r="F2165" t="s">
        <v>2061</v>
      </c>
      <c r="G2165" t="s">
        <v>69</v>
      </c>
      <c r="H2165" t="s">
        <v>70</v>
      </c>
      <c r="I2165" t="s">
        <v>71</v>
      </c>
      <c r="J2165" t="s">
        <v>72</v>
      </c>
      <c r="K2165" t="s">
        <v>73</v>
      </c>
      <c r="L2165" t="s">
        <v>74</v>
      </c>
      <c r="M2165" t="s">
        <v>867</v>
      </c>
      <c r="N2165" t="s">
        <v>696</v>
      </c>
      <c r="O2165" t="s">
        <v>868</v>
      </c>
      <c r="P2165" t="s">
        <v>869</v>
      </c>
      <c r="Q2165" t="s">
        <v>66</v>
      </c>
      <c r="R2165" s="1">
        <v>46232</v>
      </c>
      <c r="S2165" t="s">
        <v>871</v>
      </c>
      <c r="T2165" t="s">
        <v>872</v>
      </c>
      <c r="U2165" t="s">
        <v>873</v>
      </c>
      <c r="V2165" t="s">
        <v>66</v>
      </c>
      <c r="W2165" t="s">
        <v>66</v>
      </c>
      <c r="X2165">
        <v>62402730</v>
      </c>
      <c r="Y2165">
        <v>6864300.2999999998</v>
      </c>
      <c r="Z2165">
        <v>12194064</v>
      </c>
      <c r="AA2165">
        <v>1341347.04</v>
      </c>
      <c r="AB2165">
        <v>69267030.299999997</v>
      </c>
      <c r="AC2165">
        <v>27</v>
      </c>
      <c r="AD2165" t="s">
        <v>134</v>
      </c>
      <c r="AE2165">
        <v>648</v>
      </c>
      <c r="AF2165" t="s">
        <v>467</v>
      </c>
      <c r="AG2165">
        <f>IFERROR(VLOOKUP(AF2165,[1]STOK!J:O,6,0),"")</f>
        <v>24</v>
      </c>
      <c r="AH2165" s="2">
        <f t="shared" si="66"/>
        <v>27</v>
      </c>
      <c r="AI2165" t="s">
        <v>467</v>
      </c>
      <c r="AJ2165" t="s">
        <v>468</v>
      </c>
      <c r="AK2165" t="s">
        <v>469</v>
      </c>
      <c r="AL2165" t="s">
        <v>86</v>
      </c>
      <c r="AM2165">
        <v>516816</v>
      </c>
      <c r="AN2165">
        <f t="shared" si="67"/>
        <v>501311.51999999996</v>
      </c>
      <c r="AO2165" t="s">
        <v>66</v>
      </c>
      <c r="AP2165">
        <v>3</v>
      </c>
      <c r="AQ2165" t="s">
        <v>66</v>
      </c>
      <c r="AR2165">
        <v>0</v>
      </c>
      <c r="AS2165" t="s">
        <v>66</v>
      </c>
      <c r="AT2165">
        <v>0</v>
      </c>
      <c r="AU2165" t="s">
        <v>66</v>
      </c>
      <c r="AV2165">
        <v>0</v>
      </c>
      <c r="AW2165" t="s">
        <v>66</v>
      </c>
      <c r="AX2165">
        <v>0</v>
      </c>
      <c r="AY2165" t="s">
        <v>66</v>
      </c>
      <c r="AZ2165">
        <v>0</v>
      </c>
      <c r="BA2165" t="s">
        <v>66</v>
      </c>
      <c r="BB2165">
        <v>0</v>
      </c>
      <c r="BC2165">
        <v>0</v>
      </c>
      <c r="BD2165">
        <v>13535411.039999999</v>
      </c>
      <c r="BE2165">
        <v>17169.53</v>
      </c>
      <c r="BF2165">
        <v>0</v>
      </c>
      <c r="BG2165" t="s">
        <v>87</v>
      </c>
      <c r="BH2165" t="s">
        <v>66</v>
      </c>
      <c r="BI2165">
        <v>0</v>
      </c>
      <c r="BJ2165" t="s">
        <v>66</v>
      </c>
      <c r="BK2165" t="s">
        <v>88</v>
      </c>
      <c r="BL2165" t="s">
        <v>877</v>
      </c>
      <c r="BM2165" t="s">
        <v>159</v>
      </c>
    </row>
    <row r="2166" spans="1:65" x14ac:dyDescent="0.25">
      <c r="A2166">
        <v>2164</v>
      </c>
      <c r="B2166" t="s">
        <v>2058</v>
      </c>
      <c r="C2166" t="s">
        <v>2059</v>
      </c>
      <c r="D2166" s="1">
        <v>46232</v>
      </c>
      <c r="E2166" t="s">
        <v>2060</v>
      </c>
      <c r="F2166" t="s">
        <v>2061</v>
      </c>
      <c r="G2166" t="s">
        <v>69</v>
      </c>
      <c r="H2166" t="s">
        <v>70</v>
      </c>
      <c r="I2166" t="s">
        <v>71</v>
      </c>
      <c r="J2166" t="s">
        <v>72</v>
      </c>
      <c r="K2166" t="s">
        <v>73</v>
      </c>
      <c r="L2166" t="s">
        <v>74</v>
      </c>
      <c r="M2166" t="s">
        <v>867</v>
      </c>
      <c r="N2166" t="s">
        <v>696</v>
      </c>
      <c r="O2166" t="s">
        <v>868</v>
      </c>
      <c r="P2166" t="s">
        <v>869</v>
      </c>
      <c r="Q2166" t="s">
        <v>66</v>
      </c>
      <c r="R2166" s="1">
        <v>46232</v>
      </c>
      <c r="S2166" t="s">
        <v>871</v>
      </c>
      <c r="T2166" t="s">
        <v>872</v>
      </c>
      <c r="U2166" t="s">
        <v>873</v>
      </c>
      <c r="V2166" t="s">
        <v>66</v>
      </c>
      <c r="W2166" t="s">
        <v>66</v>
      </c>
      <c r="X2166">
        <v>62402730</v>
      </c>
      <c r="Y2166">
        <v>6864300.2999999998</v>
      </c>
      <c r="Z2166">
        <v>9935904</v>
      </c>
      <c r="AA2166">
        <v>1092949.44</v>
      </c>
      <c r="AB2166">
        <v>69267030.299999997</v>
      </c>
      <c r="AC2166">
        <v>22</v>
      </c>
      <c r="AD2166" t="s">
        <v>134</v>
      </c>
      <c r="AE2166">
        <v>528</v>
      </c>
      <c r="AF2166" t="s">
        <v>470</v>
      </c>
      <c r="AG2166">
        <f>IFERROR(VLOOKUP(AF2166,[1]STOK!J:O,6,0),"")</f>
        <v>24</v>
      </c>
      <c r="AH2166" s="2">
        <f t="shared" si="66"/>
        <v>22</v>
      </c>
      <c r="AI2166" t="s">
        <v>470</v>
      </c>
      <c r="AJ2166" t="s">
        <v>471</v>
      </c>
      <c r="AK2166" t="s">
        <v>472</v>
      </c>
      <c r="AL2166" t="s">
        <v>86</v>
      </c>
      <c r="AM2166">
        <v>516816</v>
      </c>
      <c r="AN2166">
        <f t="shared" si="67"/>
        <v>501311.51999999996</v>
      </c>
      <c r="AO2166" t="s">
        <v>66</v>
      </c>
      <c r="AP2166">
        <v>3</v>
      </c>
      <c r="AQ2166" t="s">
        <v>66</v>
      </c>
      <c r="AR2166">
        <v>0</v>
      </c>
      <c r="AS2166" t="s">
        <v>66</v>
      </c>
      <c r="AT2166">
        <v>0</v>
      </c>
      <c r="AU2166" t="s">
        <v>66</v>
      </c>
      <c r="AV2166">
        <v>0</v>
      </c>
      <c r="AW2166" t="s">
        <v>66</v>
      </c>
      <c r="AX2166">
        <v>0</v>
      </c>
      <c r="AY2166" t="s">
        <v>66</v>
      </c>
      <c r="AZ2166">
        <v>0</v>
      </c>
      <c r="BA2166" t="s">
        <v>66</v>
      </c>
      <c r="BB2166">
        <v>0</v>
      </c>
      <c r="BC2166">
        <v>0</v>
      </c>
      <c r="BD2166">
        <v>11028853.439999999</v>
      </c>
      <c r="BE2166">
        <v>17322.240000000002</v>
      </c>
      <c r="BF2166">
        <v>0</v>
      </c>
      <c r="BG2166" t="s">
        <v>87</v>
      </c>
      <c r="BH2166" t="s">
        <v>66</v>
      </c>
      <c r="BI2166">
        <v>0</v>
      </c>
      <c r="BJ2166" t="s">
        <v>66</v>
      </c>
      <c r="BK2166" t="s">
        <v>88</v>
      </c>
      <c r="BL2166" t="s">
        <v>877</v>
      </c>
      <c r="BM2166" t="s">
        <v>159</v>
      </c>
    </row>
    <row r="2167" spans="1:65" x14ac:dyDescent="0.25">
      <c r="A2167">
        <v>2165</v>
      </c>
      <c r="B2167" t="s">
        <v>2058</v>
      </c>
      <c r="C2167" t="s">
        <v>2059</v>
      </c>
      <c r="D2167" s="1">
        <v>46232</v>
      </c>
      <c r="E2167" t="s">
        <v>2060</v>
      </c>
      <c r="F2167" t="s">
        <v>2061</v>
      </c>
      <c r="G2167" t="s">
        <v>69</v>
      </c>
      <c r="H2167" t="s">
        <v>70</v>
      </c>
      <c r="I2167" t="s">
        <v>71</v>
      </c>
      <c r="J2167" t="s">
        <v>72</v>
      </c>
      <c r="K2167" t="s">
        <v>73</v>
      </c>
      <c r="L2167" t="s">
        <v>74</v>
      </c>
      <c r="M2167" t="s">
        <v>867</v>
      </c>
      <c r="N2167" t="s">
        <v>696</v>
      </c>
      <c r="O2167" t="s">
        <v>868</v>
      </c>
      <c r="P2167" t="s">
        <v>869</v>
      </c>
      <c r="Q2167" t="s">
        <v>66</v>
      </c>
      <c r="R2167" s="1">
        <v>46232</v>
      </c>
      <c r="S2167" t="s">
        <v>871</v>
      </c>
      <c r="T2167" t="s">
        <v>872</v>
      </c>
      <c r="U2167" t="s">
        <v>873</v>
      </c>
      <c r="V2167" t="s">
        <v>66</v>
      </c>
      <c r="W2167" t="s">
        <v>66</v>
      </c>
      <c r="X2167">
        <v>62402730</v>
      </c>
      <c r="Y2167">
        <v>6864300.2999999998</v>
      </c>
      <c r="Z2167">
        <v>10387536</v>
      </c>
      <c r="AA2167">
        <v>1142628.96</v>
      </c>
      <c r="AB2167">
        <v>69267030.299999997</v>
      </c>
      <c r="AC2167">
        <v>23</v>
      </c>
      <c r="AD2167" t="s">
        <v>134</v>
      </c>
      <c r="AE2167">
        <v>552</v>
      </c>
      <c r="AF2167" t="s">
        <v>281</v>
      </c>
      <c r="AG2167">
        <f>IFERROR(VLOOKUP(AF2167,[1]STOK!J:O,6,0),"")</f>
        <v>24</v>
      </c>
      <c r="AH2167" s="2">
        <f t="shared" si="66"/>
        <v>23</v>
      </c>
      <c r="AI2167" t="s">
        <v>281</v>
      </c>
      <c r="AJ2167" t="s">
        <v>282</v>
      </c>
      <c r="AK2167" t="s">
        <v>283</v>
      </c>
      <c r="AL2167" t="s">
        <v>86</v>
      </c>
      <c r="AM2167">
        <v>516816</v>
      </c>
      <c r="AN2167">
        <f t="shared" si="67"/>
        <v>501311.52</v>
      </c>
      <c r="AO2167" t="s">
        <v>66</v>
      </c>
      <c r="AP2167">
        <v>3</v>
      </c>
      <c r="AQ2167" t="s">
        <v>66</v>
      </c>
      <c r="AR2167">
        <v>0</v>
      </c>
      <c r="AS2167" t="s">
        <v>66</v>
      </c>
      <c r="AT2167">
        <v>0</v>
      </c>
      <c r="AU2167" t="s">
        <v>66</v>
      </c>
      <c r="AV2167">
        <v>0</v>
      </c>
      <c r="AW2167" t="s">
        <v>66</v>
      </c>
      <c r="AX2167">
        <v>0</v>
      </c>
      <c r="AY2167" t="s">
        <v>66</v>
      </c>
      <c r="AZ2167">
        <v>0</v>
      </c>
      <c r="BA2167" t="s">
        <v>66</v>
      </c>
      <c r="BB2167">
        <v>0</v>
      </c>
      <c r="BC2167">
        <v>0</v>
      </c>
      <c r="BD2167">
        <v>11530164.960000001</v>
      </c>
      <c r="BE2167">
        <v>17182.330000000002</v>
      </c>
      <c r="BF2167">
        <v>0</v>
      </c>
      <c r="BG2167" t="s">
        <v>87</v>
      </c>
      <c r="BH2167" t="s">
        <v>66</v>
      </c>
      <c r="BI2167">
        <v>0</v>
      </c>
      <c r="BJ2167" t="s">
        <v>66</v>
      </c>
      <c r="BK2167" t="s">
        <v>88</v>
      </c>
      <c r="BL2167" t="s">
        <v>877</v>
      </c>
      <c r="BM2167" t="s">
        <v>159</v>
      </c>
    </row>
    <row r="2168" spans="1:65" x14ac:dyDescent="0.25">
      <c r="A2168">
        <v>2166</v>
      </c>
      <c r="B2168" t="s">
        <v>2058</v>
      </c>
      <c r="C2168" t="s">
        <v>2059</v>
      </c>
      <c r="D2168" s="1">
        <v>46232</v>
      </c>
      <c r="E2168" t="s">
        <v>2060</v>
      </c>
      <c r="F2168" t="s">
        <v>2061</v>
      </c>
      <c r="G2168" t="s">
        <v>69</v>
      </c>
      <c r="H2168" t="s">
        <v>70</v>
      </c>
      <c r="I2168" t="s">
        <v>71</v>
      </c>
      <c r="J2168" t="s">
        <v>72</v>
      </c>
      <c r="K2168" t="s">
        <v>73</v>
      </c>
      <c r="L2168" t="s">
        <v>74</v>
      </c>
      <c r="M2168" t="s">
        <v>867</v>
      </c>
      <c r="N2168" t="s">
        <v>696</v>
      </c>
      <c r="O2168" t="s">
        <v>868</v>
      </c>
      <c r="P2168" t="s">
        <v>869</v>
      </c>
      <c r="Q2168" t="s">
        <v>66</v>
      </c>
      <c r="R2168" s="1">
        <v>46232</v>
      </c>
      <c r="S2168" t="s">
        <v>871</v>
      </c>
      <c r="T2168" t="s">
        <v>872</v>
      </c>
      <c r="U2168" t="s">
        <v>873</v>
      </c>
      <c r="V2168" t="s">
        <v>66</v>
      </c>
      <c r="W2168" t="s">
        <v>66</v>
      </c>
      <c r="X2168">
        <v>62402730</v>
      </c>
      <c r="Y2168">
        <v>6864300.2999999998</v>
      </c>
      <c r="Z2168">
        <v>2322180</v>
      </c>
      <c r="AA2168">
        <v>255439.8</v>
      </c>
      <c r="AB2168">
        <v>69267030.299999997</v>
      </c>
      <c r="AC2168">
        <v>15</v>
      </c>
      <c r="AD2168" t="s">
        <v>134</v>
      </c>
      <c r="AE2168">
        <v>180</v>
      </c>
      <c r="AF2168" t="s">
        <v>135</v>
      </c>
      <c r="AG2168">
        <f>IFERROR(VLOOKUP(AF2168,[1]STOK!J:O,6,0),"")</f>
        <v>12</v>
      </c>
      <c r="AH2168" s="2">
        <f t="shared" si="66"/>
        <v>15</v>
      </c>
      <c r="AI2168" t="s">
        <v>135</v>
      </c>
      <c r="AJ2168" t="s">
        <v>136</v>
      </c>
      <c r="AK2168" t="s">
        <v>137</v>
      </c>
      <c r="AL2168" t="s">
        <v>86</v>
      </c>
      <c r="AM2168">
        <v>177156</v>
      </c>
      <c r="AN2168">
        <f t="shared" si="67"/>
        <v>171841.31999999998</v>
      </c>
      <c r="AO2168" t="s">
        <v>66</v>
      </c>
      <c r="AP2168">
        <v>3</v>
      </c>
      <c r="AQ2168" t="s">
        <v>66</v>
      </c>
      <c r="AR2168">
        <v>0</v>
      </c>
      <c r="AS2168" t="s">
        <v>66</v>
      </c>
      <c r="AT2168">
        <v>0</v>
      </c>
      <c r="AU2168" t="s">
        <v>66</v>
      </c>
      <c r="AV2168">
        <v>0</v>
      </c>
      <c r="AW2168" t="s">
        <v>66</v>
      </c>
      <c r="AX2168">
        <v>0</v>
      </c>
      <c r="AY2168" t="s">
        <v>66</v>
      </c>
      <c r="AZ2168">
        <v>0</v>
      </c>
      <c r="BA2168" t="s">
        <v>66</v>
      </c>
      <c r="BB2168">
        <v>0</v>
      </c>
      <c r="BC2168">
        <v>0</v>
      </c>
      <c r="BD2168">
        <v>2577619.7999999998</v>
      </c>
      <c r="BE2168">
        <v>12034.95</v>
      </c>
      <c r="BF2168">
        <v>0</v>
      </c>
      <c r="BG2168" t="s">
        <v>87</v>
      </c>
      <c r="BH2168" t="s">
        <v>66</v>
      </c>
      <c r="BI2168">
        <v>0</v>
      </c>
      <c r="BJ2168" t="s">
        <v>66</v>
      </c>
      <c r="BK2168" t="s">
        <v>88</v>
      </c>
      <c r="BL2168" t="s">
        <v>877</v>
      </c>
      <c r="BM2168" t="s">
        <v>159</v>
      </c>
    </row>
    <row r="2169" spans="1:65" x14ac:dyDescent="0.25">
      <c r="A2169">
        <v>2167</v>
      </c>
      <c r="B2169" t="s">
        <v>2058</v>
      </c>
      <c r="C2169" t="s">
        <v>2059</v>
      </c>
      <c r="D2169" s="1">
        <v>46232</v>
      </c>
      <c r="E2169" t="s">
        <v>2060</v>
      </c>
      <c r="F2169" t="s">
        <v>2061</v>
      </c>
      <c r="G2169" t="s">
        <v>69</v>
      </c>
      <c r="H2169" t="s">
        <v>70</v>
      </c>
      <c r="I2169" t="s">
        <v>71</v>
      </c>
      <c r="J2169" t="s">
        <v>72</v>
      </c>
      <c r="K2169" t="s">
        <v>73</v>
      </c>
      <c r="L2169" t="s">
        <v>74</v>
      </c>
      <c r="M2169" t="s">
        <v>867</v>
      </c>
      <c r="N2169" t="s">
        <v>696</v>
      </c>
      <c r="O2169" t="s">
        <v>868</v>
      </c>
      <c r="P2169" t="s">
        <v>869</v>
      </c>
      <c r="Q2169" t="s">
        <v>66</v>
      </c>
      <c r="R2169" s="1">
        <v>46232</v>
      </c>
      <c r="S2169" t="s">
        <v>871</v>
      </c>
      <c r="T2169" t="s">
        <v>872</v>
      </c>
      <c r="U2169" t="s">
        <v>873</v>
      </c>
      <c r="V2169" t="s">
        <v>66</v>
      </c>
      <c r="W2169" t="s">
        <v>66</v>
      </c>
      <c r="X2169">
        <v>62402730</v>
      </c>
      <c r="Y2169">
        <v>6864300.2999999998</v>
      </c>
      <c r="Z2169">
        <v>928872</v>
      </c>
      <c r="AA2169">
        <v>102175.92</v>
      </c>
      <c r="AB2169">
        <v>69267030.299999997</v>
      </c>
      <c r="AC2169">
        <v>6</v>
      </c>
      <c r="AD2169" t="s">
        <v>134</v>
      </c>
      <c r="AE2169">
        <v>72</v>
      </c>
      <c r="AF2169" t="s">
        <v>210</v>
      </c>
      <c r="AG2169">
        <f>IFERROR(VLOOKUP(AF2169,[1]STOK!J:O,6,0),"")</f>
        <v>12</v>
      </c>
      <c r="AH2169" s="2">
        <f t="shared" si="66"/>
        <v>6</v>
      </c>
      <c r="AI2169" t="s">
        <v>210</v>
      </c>
      <c r="AJ2169" t="s">
        <v>211</v>
      </c>
      <c r="AK2169" t="s">
        <v>212</v>
      </c>
      <c r="AL2169" t="s">
        <v>86</v>
      </c>
      <c r="AM2169">
        <v>177156</v>
      </c>
      <c r="AN2169">
        <f t="shared" si="67"/>
        <v>171841.32</v>
      </c>
      <c r="AO2169" t="s">
        <v>66</v>
      </c>
      <c r="AP2169">
        <v>3</v>
      </c>
      <c r="AQ2169" t="s">
        <v>66</v>
      </c>
      <c r="AR2169">
        <v>0</v>
      </c>
      <c r="AS2169" t="s">
        <v>66</v>
      </c>
      <c r="AT2169">
        <v>0</v>
      </c>
      <c r="AU2169" t="s">
        <v>66</v>
      </c>
      <c r="AV2169">
        <v>0</v>
      </c>
      <c r="AW2169" t="s">
        <v>66</v>
      </c>
      <c r="AX2169">
        <v>0</v>
      </c>
      <c r="AY2169" t="s">
        <v>66</v>
      </c>
      <c r="AZ2169">
        <v>0</v>
      </c>
      <c r="BA2169" t="s">
        <v>66</v>
      </c>
      <c r="BB2169">
        <v>0</v>
      </c>
      <c r="BC2169">
        <v>0</v>
      </c>
      <c r="BD2169">
        <v>1031047.92</v>
      </c>
      <c r="BE2169">
        <v>11976.03</v>
      </c>
      <c r="BF2169">
        <v>0</v>
      </c>
      <c r="BG2169" t="s">
        <v>87</v>
      </c>
      <c r="BH2169" t="s">
        <v>66</v>
      </c>
      <c r="BI2169">
        <v>0</v>
      </c>
      <c r="BJ2169" t="s">
        <v>66</v>
      </c>
      <c r="BK2169" t="s">
        <v>88</v>
      </c>
      <c r="BL2169" t="s">
        <v>877</v>
      </c>
      <c r="BM2169" t="s">
        <v>159</v>
      </c>
    </row>
    <row r="2170" spans="1:65" x14ac:dyDescent="0.25">
      <c r="A2170">
        <v>2168</v>
      </c>
      <c r="B2170" t="s">
        <v>2058</v>
      </c>
      <c r="C2170" t="s">
        <v>2059</v>
      </c>
      <c r="D2170" s="1">
        <v>46232</v>
      </c>
      <c r="E2170" t="s">
        <v>2060</v>
      </c>
      <c r="F2170" t="s">
        <v>2061</v>
      </c>
      <c r="G2170" t="s">
        <v>69</v>
      </c>
      <c r="H2170" t="s">
        <v>70</v>
      </c>
      <c r="I2170" t="s">
        <v>71</v>
      </c>
      <c r="J2170" t="s">
        <v>72</v>
      </c>
      <c r="K2170" t="s">
        <v>73</v>
      </c>
      <c r="L2170" t="s">
        <v>74</v>
      </c>
      <c r="M2170" t="s">
        <v>867</v>
      </c>
      <c r="N2170" t="s">
        <v>696</v>
      </c>
      <c r="O2170" t="s">
        <v>868</v>
      </c>
      <c r="P2170" t="s">
        <v>869</v>
      </c>
      <c r="Q2170" t="s">
        <v>66</v>
      </c>
      <c r="R2170" s="1">
        <v>46232</v>
      </c>
      <c r="S2170" t="s">
        <v>871</v>
      </c>
      <c r="T2170" t="s">
        <v>872</v>
      </c>
      <c r="U2170" t="s">
        <v>873</v>
      </c>
      <c r="V2170" t="s">
        <v>66</v>
      </c>
      <c r="W2170" t="s">
        <v>66</v>
      </c>
      <c r="X2170">
        <v>62402730</v>
      </c>
      <c r="Y2170">
        <v>6864300.2999999998</v>
      </c>
      <c r="Z2170">
        <v>3492000</v>
      </c>
      <c r="AA2170">
        <v>384120</v>
      </c>
      <c r="AB2170">
        <v>69267030.299999997</v>
      </c>
      <c r="AC2170">
        <v>15</v>
      </c>
      <c r="AD2170" t="s">
        <v>134</v>
      </c>
      <c r="AE2170">
        <v>180</v>
      </c>
      <c r="AF2170" t="s">
        <v>290</v>
      </c>
      <c r="AG2170">
        <f>IFERROR(VLOOKUP(AF2170,[1]STOK!J:O,6,0),"")</f>
        <v>12</v>
      </c>
      <c r="AH2170" s="2">
        <f t="shared" si="66"/>
        <v>15</v>
      </c>
      <c r="AI2170" t="s">
        <v>290</v>
      </c>
      <c r="AJ2170" t="s">
        <v>291</v>
      </c>
      <c r="AK2170" t="s">
        <v>292</v>
      </c>
      <c r="AL2170" t="s">
        <v>86</v>
      </c>
      <c r="AM2170">
        <v>266400</v>
      </c>
      <c r="AN2170">
        <f t="shared" si="67"/>
        <v>258408</v>
      </c>
      <c r="AO2170" t="s">
        <v>66</v>
      </c>
      <c r="AP2170">
        <v>3</v>
      </c>
      <c r="AQ2170" t="s">
        <v>66</v>
      </c>
      <c r="AR2170">
        <v>0</v>
      </c>
      <c r="AS2170" t="s">
        <v>66</v>
      </c>
      <c r="AT2170">
        <v>0</v>
      </c>
      <c r="AU2170" t="s">
        <v>66</v>
      </c>
      <c r="AV2170">
        <v>0</v>
      </c>
      <c r="AW2170" t="s">
        <v>66</v>
      </c>
      <c r="AX2170">
        <v>0</v>
      </c>
      <c r="AY2170" t="s">
        <v>66</v>
      </c>
      <c r="AZ2170">
        <v>0</v>
      </c>
      <c r="BA2170" t="s">
        <v>66</v>
      </c>
      <c r="BB2170">
        <v>0</v>
      </c>
      <c r="BC2170">
        <v>0</v>
      </c>
      <c r="BD2170">
        <v>3876120</v>
      </c>
      <c r="BE2170">
        <v>18113.71</v>
      </c>
      <c r="BF2170">
        <v>0</v>
      </c>
      <c r="BG2170" t="s">
        <v>87</v>
      </c>
      <c r="BH2170" t="s">
        <v>66</v>
      </c>
      <c r="BI2170">
        <v>0</v>
      </c>
      <c r="BJ2170" t="s">
        <v>66</v>
      </c>
      <c r="BK2170" t="s">
        <v>88</v>
      </c>
      <c r="BL2170" t="s">
        <v>877</v>
      </c>
      <c r="BM2170" t="s">
        <v>159</v>
      </c>
    </row>
    <row r="2171" spans="1:65" x14ac:dyDescent="0.25">
      <c r="A2171">
        <v>2169</v>
      </c>
      <c r="B2171" t="s">
        <v>2058</v>
      </c>
      <c r="C2171" t="s">
        <v>2059</v>
      </c>
      <c r="D2171" s="1">
        <v>46232</v>
      </c>
      <c r="E2171" t="s">
        <v>2060</v>
      </c>
      <c r="F2171" t="s">
        <v>2061</v>
      </c>
      <c r="G2171" t="s">
        <v>69</v>
      </c>
      <c r="H2171" t="s">
        <v>70</v>
      </c>
      <c r="I2171" t="s">
        <v>71</v>
      </c>
      <c r="J2171" t="s">
        <v>72</v>
      </c>
      <c r="K2171" t="s">
        <v>73</v>
      </c>
      <c r="L2171" t="s">
        <v>74</v>
      </c>
      <c r="M2171" t="s">
        <v>867</v>
      </c>
      <c r="N2171" t="s">
        <v>696</v>
      </c>
      <c r="O2171" t="s">
        <v>868</v>
      </c>
      <c r="P2171" t="s">
        <v>869</v>
      </c>
      <c r="Q2171" t="s">
        <v>66</v>
      </c>
      <c r="R2171" s="1">
        <v>46232</v>
      </c>
      <c r="S2171" t="s">
        <v>871</v>
      </c>
      <c r="T2171" t="s">
        <v>872</v>
      </c>
      <c r="U2171" t="s">
        <v>873</v>
      </c>
      <c r="V2171" t="s">
        <v>66</v>
      </c>
      <c r="W2171" t="s">
        <v>66</v>
      </c>
      <c r="X2171">
        <v>62402730</v>
      </c>
      <c r="Y2171">
        <v>6864300.2999999998</v>
      </c>
      <c r="Z2171">
        <v>1629600</v>
      </c>
      <c r="AA2171">
        <v>179256</v>
      </c>
      <c r="AB2171">
        <v>69267030.299999997</v>
      </c>
      <c r="AC2171">
        <v>7</v>
      </c>
      <c r="AD2171" t="s">
        <v>134</v>
      </c>
      <c r="AE2171">
        <v>84</v>
      </c>
      <c r="AF2171" t="s">
        <v>102</v>
      </c>
      <c r="AG2171">
        <f>IFERROR(VLOOKUP(AF2171,[1]STOK!J:O,6,0),"")</f>
        <v>12</v>
      </c>
      <c r="AH2171" s="2">
        <f t="shared" si="66"/>
        <v>7</v>
      </c>
      <c r="AI2171" t="s">
        <v>102</v>
      </c>
      <c r="AJ2171" t="s">
        <v>103</v>
      </c>
      <c r="AK2171" t="s">
        <v>104</v>
      </c>
      <c r="AL2171" t="s">
        <v>86</v>
      </c>
      <c r="AM2171">
        <v>266400</v>
      </c>
      <c r="AN2171">
        <f t="shared" si="67"/>
        <v>258408</v>
      </c>
      <c r="AO2171" t="s">
        <v>66</v>
      </c>
      <c r="AP2171">
        <v>3</v>
      </c>
      <c r="AQ2171" t="s">
        <v>66</v>
      </c>
      <c r="AR2171">
        <v>0</v>
      </c>
      <c r="AS2171" t="s">
        <v>66</v>
      </c>
      <c r="AT2171">
        <v>0</v>
      </c>
      <c r="AU2171" t="s">
        <v>66</v>
      </c>
      <c r="AV2171">
        <v>0</v>
      </c>
      <c r="AW2171" t="s">
        <v>66</v>
      </c>
      <c r="AX2171">
        <v>0</v>
      </c>
      <c r="AY2171" t="s">
        <v>66</v>
      </c>
      <c r="AZ2171">
        <v>0</v>
      </c>
      <c r="BA2171" t="s">
        <v>66</v>
      </c>
      <c r="BB2171">
        <v>0</v>
      </c>
      <c r="BC2171">
        <v>0</v>
      </c>
      <c r="BD2171">
        <v>1808856</v>
      </c>
      <c r="BE2171">
        <v>18005.03</v>
      </c>
      <c r="BF2171">
        <v>0</v>
      </c>
      <c r="BG2171" t="s">
        <v>87</v>
      </c>
      <c r="BH2171" t="s">
        <v>66</v>
      </c>
      <c r="BI2171">
        <v>0</v>
      </c>
      <c r="BJ2171" t="s">
        <v>66</v>
      </c>
      <c r="BK2171" t="s">
        <v>88</v>
      </c>
      <c r="BL2171" t="s">
        <v>877</v>
      </c>
      <c r="BM2171" t="s">
        <v>159</v>
      </c>
    </row>
    <row r="2172" spans="1:65" x14ac:dyDescent="0.25">
      <c r="A2172">
        <v>2170</v>
      </c>
      <c r="B2172" t="s">
        <v>2058</v>
      </c>
      <c r="C2172" t="s">
        <v>2059</v>
      </c>
      <c r="D2172" s="1">
        <v>46232</v>
      </c>
      <c r="E2172" t="s">
        <v>2060</v>
      </c>
      <c r="F2172" t="s">
        <v>2061</v>
      </c>
      <c r="G2172" t="s">
        <v>69</v>
      </c>
      <c r="H2172" t="s">
        <v>70</v>
      </c>
      <c r="I2172" t="s">
        <v>71</v>
      </c>
      <c r="J2172" t="s">
        <v>72</v>
      </c>
      <c r="K2172" t="s">
        <v>73</v>
      </c>
      <c r="L2172" t="s">
        <v>74</v>
      </c>
      <c r="M2172" t="s">
        <v>867</v>
      </c>
      <c r="N2172" t="s">
        <v>696</v>
      </c>
      <c r="O2172" t="s">
        <v>868</v>
      </c>
      <c r="P2172" t="s">
        <v>869</v>
      </c>
      <c r="Q2172" t="s">
        <v>66</v>
      </c>
      <c r="R2172" s="1">
        <v>46232</v>
      </c>
      <c r="S2172" t="s">
        <v>871</v>
      </c>
      <c r="T2172" t="s">
        <v>872</v>
      </c>
      <c r="U2172" t="s">
        <v>873</v>
      </c>
      <c r="V2172" t="s">
        <v>66</v>
      </c>
      <c r="W2172" t="s">
        <v>66</v>
      </c>
      <c r="X2172">
        <v>62402730</v>
      </c>
      <c r="Y2172">
        <v>6864300.2999999998</v>
      </c>
      <c r="Z2172">
        <v>3343590</v>
      </c>
      <c r="AA2172">
        <v>367794.9</v>
      </c>
      <c r="AB2172">
        <v>69267030.299999997</v>
      </c>
      <c r="AC2172">
        <v>15</v>
      </c>
      <c r="AD2172" t="s">
        <v>134</v>
      </c>
      <c r="AE2172">
        <v>90</v>
      </c>
      <c r="AF2172" t="s">
        <v>138</v>
      </c>
      <c r="AG2172">
        <f>IFERROR(VLOOKUP(AF2172,[1]STOK!J:O,6,0),"")</f>
        <v>6</v>
      </c>
      <c r="AH2172" s="2">
        <f t="shared" si="66"/>
        <v>15</v>
      </c>
      <c r="AI2172" t="s">
        <v>138</v>
      </c>
      <c r="AJ2172" t="s">
        <v>139</v>
      </c>
      <c r="AK2172" t="s">
        <v>140</v>
      </c>
      <c r="AL2172" t="s">
        <v>86</v>
      </c>
      <c r="AM2172">
        <v>255078</v>
      </c>
      <c r="AN2172">
        <f t="shared" si="67"/>
        <v>247425.66</v>
      </c>
      <c r="AO2172" t="s">
        <v>66</v>
      </c>
      <c r="AP2172">
        <v>3</v>
      </c>
      <c r="AQ2172" t="s">
        <v>66</v>
      </c>
      <c r="AR2172">
        <v>0</v>
      </c>
      <c r="AS2172" t="s">
        <v>66</v>
      </c>
      <c r="AT2172">
        <v>0</v>
      </c>
      <c r="AU2172" t="s">
        <v>66</v>
      </c>
      <c r="AV2172">
        <v>0</v>
      </c>
      <c r="AW2172" t="s">
        <v>66</v>
      </c>
      <c r="AX2172">
        <v>0</v>
      </c>
      <c r="AY2172" t="s">
        <v>66</v>
      </c>
      <c r="AZ2172">
        <v>0</v>
      </c>
      <c r="BA2172" t="s">
        <v>66</v>
      </c>
      <c r="BB2172">
        <v>0</v>
      </c>
      <c r="BC2172">
        <v>0</v>
      </c>
      <c r="BD2172">
        <v>3711384.9</v>
      </c>
      <c r="BE2172">
        <v>34652.559999999998</v>
      </c>
      <c r="BF2172">
        <v>0</v>
      </c>
      <c r="BG2172" t="s">
        <v>87</v>
      </c>
      <c r="BH2172" t="s">
        <v>66</v>
      </c>
      <c r="BI2172">
        <v>0</v>
      </c>
      <c r="BJ2172" t="s">
        <v>66</v>
      </c>
      <c r="BK2172" t="s">
        <v>88</v>
      </c>
      <c r="BL2172" t="s">
        <v>877</v>
      </c>
      <c r="BM2172" t="s">
        <v>159</v>
      </c>
    </row>
    <row r="2173" spans="1:65" x14ac:dyDescent="0.25">
      <c r="A2173">
        <v>2171</v>
      </c>
      <c r="B2173" t="s">
        <v>2058</v>
      </c>
      <c r="C2173" t="s">
        <v>2059</v>
      </c>
      <c r="D2173" s="1">
        <v>46232</v>
      </c>
      <c r="E2173" t="s">
        <v>2060</v>
      </c>
      <c r="F2173" t="s">
        <v>2061</v>
      </c>
      <c r="G2173" t="s">
        <v>69</v>
      </c>
      <c r="H2173" t="s">
        <v>70</v>
      </c>
      <c r="I2173" t="s">
        <v>71</v>
      </c>
      <c r="J2173" t="s">
        <v>72</v>
      </c>
      <c r="K2173" t="s">
        <v>73</v>
      </c>
      <c r="L2173" t="s">
        <v>74</v>
      </c>
      <c r="M2173" t="s">
        <v>867</v>
      </c>
      <c r="N2173" t="s">
        <v>696</v>
      </c>
      <c r="O2173" t="s">
        <v>868</v>
      </c>
      <c r="P2173" t="s">
        <v>869</v>
      </c>
      <c r="Q2173" t="s">
        <v>66</v>
      </c>
      <c r="R2173" s="1">
        <v>46232</v>
      </c>
      <c r="S2173" t="s">
        <v>871</v>
      </c>
      <c r="T2173" t="s">
        <v>872</v>
      </c>
      <c r="U2173" t="s">
        <v>873</v>
      </c>
      <c r="V2173" t="s">
        <v>66</v>
      </c>
      <c r="W2173" t="s">
        <v>66</v>
      </c>
      <c r="X2173">
        <v>62402730</v>
      </c>
      <c r="Y2173">
        <v>6864300.2999999998</v>
      </c>
      <c r="Z2173">
        <v>5349744</v>
      </c>
      <c r="AA2173">
        <v>588471.84</v>
      </c>
      <c r="AB2173">
        <v>69267030.299999997</v>
      </c>
      <c r="AC2173">
        <v>24</v>
      </c>
      <c r="AD2173" t="s">
        <v>134</v>
      </c>
      <c r="AE2173">
        <v>144</v>
      </c>
      <c r="AF2173" t="s">
        <v>323</v>
      </c>
      <c r="AG2173">
        <f>IFERROR(VLOOKUP(AF2173,[1]STOK!J:O,6,0),"")</f>
        <v>6</v>
      </c>
      <c r="AH2173" s="2">
        <f t="shared" si="66"/>
        <v>24</v>
      </c>
      <c r="AI2173" t="s">
        <v>323</v>
      </c>
      <c r="AJ2173" t="s">
        <v>324</v>
      </c>
      <c r="AK2173" t="s">
        <v>325</v>
      </c>
      <c r="AL2173" t="s">
        <v>86</v>
      </c>
      <c r="AM2173">
        <v>255078</v>
      </c>
      <c r="AN2173">
        <f t="shared" si="67"/>
        <v>247425.66</v>
      </c>
      <c r="AO2173" t="s">
        <v>66</v>
      </c>
      <c r="AP2173">
        <v>3</v>
      </c>
      <c r="AQ2173" t="s">
        <v>66</v>
      </c>
      <c r="AR2173">
        <v>0</v>
      </c>
      <c r="AS2173" t="s">
        <v>66</v>
      </c>
      <c r="AT2173">
        <v>0</v>
      </c>
      <c r="AU2173" t="s">
        <v>66</v>
      </c>
      <c r="AV2173">
        <v>0</v>
      </c>
      <c r="AW2173" t="s">
        <v>66</v>
      </c>
      <c r="AX2173">
        <v>0</v>
      </c>
      <c r="AY2173" t="s">
        <v>66</v>
      </c>
      <c r="AZ2173">
        <v>0</v>
      </c>
      <c r="BA2173" t="s">
        <v>66</v>
      </c>
      <c r="BB2173">
        <v>0</v>
      </c>
      <c r="BC2173">
        <v>0</v>
      </c>
      <c r="BD2173">
        <v>5938215.8399999999</v>
      </c>
      <c r="BE2173">
        <v>34360.79</v>
      </c>
      <c r="BF2173">
        <v>0</v>
      </c>
      <c r="BG2173" t="s">
        <v>87</v>
      </c>
      <c r="BH2173" t="s">
        <v>66</v>
      </c>
      <c r="BI2173">
        <v>0</v>
      </c>
      <c r="BJ2173" t="s">
        <v>66</v>
      </c>
      <c r="BK2173" t="s">
        <v>88</v>
      </c>
      <c r="BL2173" t="s">
        <v>877</v>
      </c>
      <c r="BM2173" t="s">
        <v>159</v>
      </c>
    </row>
    <row r="2174" spans="1:65" x14ac:dyDescent="0.25">
      <c r="A2174">
        <v>2172</v>
      </c>
      <c r="B2174" t="s">
        <v>2062</v>
      </c>
      <c r="C2174" t="s">
        <v>2063</v>
      </c>
      <c r="D2174" s="1">
        <v>46232</v>
      </c>
      <c r="E2174" t="s">
        <v>2064</v>
      </c>
      <c r="F2174" t="s">
        <v>2065</v>
      </c>
      <c r="G2174" t="s">
        <v>69</v>
      </c>
      <c r="H2174" t="s">
        <v>70</v>
      </c>
      <c r="I2174" t="s">
        <v>71</v>
      </c>
      <c r="J2174" t="s">
        <v>72</v>
      </c>
      <c r="K2174" t="s">
        <v>73</v>
      </c>
      <c r="L2174" t="s">
        <v>74</v>
      </c>
      <c r="M2174" t="s">
        <v>867</v>
      </c>
      <c r="N2174" t="s">
        <v>696</v>
      </c>
      <c r="O2174" t="s">
        <v>868</v>
      </c>
      <c r="P2174" t="s">
        <v>869</v>
      </c>
      <c r="Q2174" t="s">
        <v>66</v>
      </c>
      <c r="R2174" s="1">
        <v>46232</v>
      </c>
      <c r="S2174" t="s">
        <v>871</v>
      </c>
      <c r="T2174" t="s">
        <v>872</v>
      </c>
      <c r="U2174" t="s">
        <v>873</v>
      </c>
      <c r="V2174" t="s">
        <v>66</v>
      </c>
      <c r="W2174" t="s">
        <v>66</v>
      </c>
      <c r="X2174">
        <v>6381188</v>
      </c>
      <c r="Y2174">
        <v>701930.68</v>
      </c>
      <c r="Z2174">
        <v>642528</v>
      </c>
      <c r="AA2174">
        <v>70678.080000000002</v>
      </c>
      <c r="AB2174">
        <v>7083118.6799999997</v>
      </c>
      <c r="AC2174">
        <v>3</v>
      </c>
      <c r="AD2174" t="s">
        <v>134</v>
      </c>
      <c r="AE2174">
        <v>36</v>
      </c>
      <c r="AF2174" t="s">
        <v>116</v>
      </c>
      <c r="AG2174">
        <f>IFERROR(VLOOKUP(AF2174,[1]STOK!J:O,6,0),"")</f>
        <v>12</v>
      </c>
      <c r="AH2174" s="2">
        <f t="shared" si="66"/>
        <v>3</v>
      </c>
      <c r="AI2174" t="s">
        <v>116</v>
      </c>
      <c r="AJ2174" t="s">
        <v>117</v>
      </c>
      <c r="AK2174" t="s">
        <v>118</v>
      </c>
      <c r="AL2174" t="s">
        <v>86</v>
      </c>
      <c r="AM2174">
        <v>245088</v>
      </c>
      <c r="AN2174">
        <f t="shared" si="67"/>
        <v>237735.36</v>
      </c>
      <c r="AO2174" t="s">
        <v>66</v>
      </c>
      <c r="AP2174">
        <v>3</v>
      </c>
      <c r="AQ2174" t="s">
        <v>66</v>
      </c>
      <c r="AR2174">
        <v>0</v>
      </c>
      <c r="AS2174" t="s">
        <v>66</v>
      </c>
      <c r="AT2174">
        <v>0</v>
      </c>
      <c r="AU2174" t="s">
        <v>66</v>
      </c>
      <c r="AV2174">
        <v>0</v>
      </c>
      <c r="AW2174" t="s">
        <v>66</v>
      </c>
      <c r="AX2174">
        <v>0</v>
      </c>
      <c r="AY2174" t="s">
        <v>66</v>
      </c>
      <c r="AZ2174">
        <v>0</v>
      </c>
      <c r="BA2174" t="s">
        <v>66</v>
      </c>
      <c r="BB2174">
        <v>0</v>
      </c>
      <c r="BC2174">
        <v>0</v>
      </c>
      <c r="BD2174">
        <v>713206.08</v>
      </c>
      <c r="BE2174">
        <v>16618.900000000001</v>
      </c>
      <c r="BF2174">
        <v>0</v>
      </c>
      <c r="BG2174" t="s">
        <v>87</v>
      </c>
      <c r="BH2174" t="s">
        <v>66</v>
      </c>
      <c r="BI2174">
        <v>0</v>
      </c>
      <c r="BJ2174" t="s">
        <v>66</v>
      </c>
      <c r="BK2174" t="s">
        <v>88</v>
      </c>
      <c r="BL2174" t="s">
        <v>877</v>
      </c>
      <c r="BM2174" t="s">
        <v>159</v>
      </c>
    </row>
    <row r="2175" spans="1:65" x14ac:dyDescent="0.25">
      <c r="A2175">
        <v>2173</v>
      </c>
      <c r="B2175" t="s">
        <v>2062</v>
      </c>
      <c r="C2175" t="s">
        <v>2063</v>
      </c>
      <c r="D2175" s="1">
        <v>46232</v>
      </c>
      <c r="E2175" t="s">
        <v>2064</v>
      </c>
      <c r="F2175" t="s">
        <v>2065</v>
      </c>
      <c r="G2175" t="s">
        <v>69</v>
      </c>
      <c r="H2175" t="s">
        <v>70</v>
      </c>
      <c r="I2175" t="s">
        <v>71</v>
      </c>
      <c r="J2175" t="s">
        <v>72</v>
      </c>
      <c r="K2175" t="s">
        <v>73</v>
      </c>
      <c r="L2175" t="s">
        <v>74</v>
      </c>
      <c r="M2175" t="s">
        <v>867</v>
      </c>
      <c r="N2175" t="s">
        <v>696</v>
      </c>
      <c r="O2175" t="s">
        <v>868</v>
      </c>
      <c r="P2175" t="s">
        <v>869</v>
      </c>
      <c r="Q2175" t="s">
        <v>66</v>
      </c>
      <c r="R2175" s="1">
        <v>46232</v>
      </c>
      <c r="S2175" t="s">
        <v>871</v>
      </c>
      <c r="T2175" t="s">
        <v>872</v>
      </c>
      <c r="U2175" t="s">
        <v>873</v>
      </c>
      <c r="V2175" t="s">
        <v>66</v>
      </c>
      <c r="W2175" t="s">
        <v>66</v>
      </c>
      <c r="X2175">
        <v>6381188</v>
      </c>
      <c r="Y2175">
        <v>701930.68</v>
      </c>
      <c r="Z2175">
        <v>634380</v>
      </c>
      <c r="AA2175">
        <v>69781.8</v>
      </c>
      <c r="AB2175">
        <v>7083118.6799999997</v>
      </c>
      <c r="AC2175">
        <v>2</v>
      </c>
      <c r="AD2175" t="s">
        <v>134</v>
      </c>
      <c r="AE2175">
        <v>12</v>
      </c>
      <c r="AF2175" t="s">
        <v>251</v>
      </c>
      <c r="AG2175">
        <f>IFERROR(VLOOKUP(AF2175,[1]STOK!J:O,6,0),"")</f>
        <v>6</v>
      </c>
      <c r="AH2175" s="2">
        <f t="shared" si="66"/>
        <v>2</v>
      </c>
      <c r="AI2175" t="s">
        <v>251</v>
      </c>
      <c r="AJ2175" t="s">
        <v>252</v>
      </c>
      <c r="AK2175" t="s">
        <v>253</v>
      </c>
      <c r="AL2175" t="s">
        <v>86</v>
      </c>
      <c r="AM2175">
        <v>362970</v>
      </c>
      <c r="AN2175">
        <f t="shared" si="67"/>
        <v>352080.9</v>
      </c>
      <c r="AO2175" t="s">
        <v>66</v>
      </c>
      <c r="AP2175">
        <v>3</v>
      </c>
      <c r="AQ2175" t="s">
        <v>66</v>
      </c>
      <c r="AR2175">
        <v>0</v>
      </c>
      <c r="AS2175" t="s">
        <v>66</v>
      </c>
      <c r="AT2175">
        <v>0</v>
      </c>
      <c r="AU2175" t="s">
        <v>66</v>
      </c>
      <c r="AV2175">
        <v>0</v>
      </c>
      <c r="AW2175" t="s">
        <v>66</v>
      </c>
      <c r="AX2175">
        <v>0</v>
      </c>
      <c r="AY2175" t="s">
        <v>66</v>
      </c>
      <c r="AZ2175">
        <v>0</v>
      </c>
      <c r="BA2175" t="s">
        <v>66</v>
      </c>
      <c r="BB2175">
        <v>0</v>
      </c>
      <c r="BC2175">
        <v>0</v>
      </c>
      <c r="BD2175">
        <v>704161.8</v>
      </c>
      <c r="BE2175">
        <v>46264.75</v>
      </c>
      <c r="BF2175">
        <v>0</v>
      </c>
      <c r="BG2175" t="s">
        <v>87</v>
      </c>
      <c r="BH2175" t="s">
        <v>66</v>
      </c>
      <c r="BI2175">
        <v>0</v>
      </c>
      <c r="BJ2175" t="s">
        <v>66</v>
      </c>
      <c r="BK2175" t="s">
        <v>88</v>
      </c>
      <c r="BL2175" t="s">
        <v>877</v>
      </c>
      <c r="BM2175" t="s">
        <v>159</v>
      </c>
    </row>
    <row r="2176" spans="1:65" x14ac:dyDescent="0.25">
      <c r="A2176">
        <v>2174</v>
      </c>
      <c r="B2176" t="s">
        <v>2062</v>
      </c>
      <c r="C2176" t="s">
        <v>2063</v>
      </c>
      <c r="D2176" s="1">
        <v>46232</v>
      </c>
      <c r="E2176" t="s">
        <v>2064</v>
      </c>
      <c r="F2176" t="s">
        <v>2065</v>
      </c>
      <c r="G2176" t="s">
        <v>69</v>
      </c>
      <c r="H2176" t="s">
        <v>70</v>
      </c>
      <c r="I2176" t="s">
        <v>71</v>
      </c>
      <c r="J2176" t="s">
        <v>72</v>
      </c>
      <c r="K2176" t="s">
        <v>73</v>
      </c>
      <c r="L2176" t="s">
        <v>74</v>
      </c>
      <c r="M2176" t="s">
        <v>867</v>
      </c>
      <c r="N2176" t="s">
        <v>696</v>
      </c>
      <c r="O2176" t="s">
        <v>868</v>
      </c>
      <c r="P2176" t="s">
        <v>869</v>
      </c>
      <c r="Q2176" t="s">
        <v>66</v>
      </c>
      <c r="R2176" s="1">
        <v>46232</v>
      </c>
      <c r="S2176" t="s">
        <v>871</v>
      </c>
      <c r="T2176" t="s">
        <v>872</v>
      </c>
      <c r="U2176" t="s">
        <v>873</v>
      </c>
      <c r="V2176" t="s">
        <v>66</v>
      </c>
      <c r="W2176" t="s">
        <v>66</v>
      </c>
      <c r="X2176">
        <v>6381188</v>
      </c>
      <c r="Y2176">
        <v>701930.68</v>
      </c>
      <c r="Z2176">
        <v>405600</v>
      </c>
      <c r="AA2176">
        <v>44616</v>
      </c>
      <c r="AB2176">
        <v>7083118.6799999997</v>
      </c>
      <c r="AC2176">
        <v>1</v>
      </c>
      <c r="AD2176" t="s">
        <v>134</v>
      </c>
      <c r="AE2176">
        <v>12</v>
      </c>
      <c r="AF2176" t="s">
        <v>1356</v>
      </c>
      <c r="AG2176">
        <f>IFERROR(VLOOKUP(AF2176,[1]STOK!J:O,6,0),"")</f>
        <v>12</v>
      </c>
      <c r="AH2176" s="2">
        <f t="shared" si="66"/>
        <v>1</v>
      </c>
      <c r="AI2176" t="s">
        <v>1356</v>
      </c>
      <c r="AJ2176" t="s">
        <v>1357</v>
      </c>
      <c r="AK2176" t="s">
        <v>1358</v>
      </c>
      <c r="AL2176" t="s">
        <v>86</v>
      </c>
      <c r="AM2176">
        <v>450216</v>
      </c>
      <c r="AN2176">
        <f t="shared" si="67"/>
        <v>450216</v>
      </c>
      <c r="AO2176" t="s">
        <v>66</v>
      </c>
      <c r="AP2176">
        <v>0</v>
      </c>
      <c r="AQ2176" t="s">
        <v>66</v>
      </c>
      <c r="AR2176">
        <v>0</v>
      </c>
      <c r="AS2176" t="s">
        <v>66</v>
      </c>
      <c r="AT2176">
        <v>0</v>
      </c>
      <c r="AU2176" t="s">
        <v>66</v>
      </c>
      <c r="AV2176">
        <v>0</v>
      </c>
      <c r="AW2176" t="s">
        <v>66</v>
      </c>
      <c r="AX2176">
        <v>0</v>
      </c>
      <c r="AY2176" t="s">
        <v>66</v>
      </c>
      <c r="AZ2176">
        <v>0</v>
      </c>
      <c r="BA2176" t="s">
        <v>66</v>
      </c>
      <c r="BB2176">
        <v>0</v>
      </c>
      <c r="BC2176">
        <v>0</v>
      </c>
      <c r="BD2176">
        <v>450216</v>
      </c>
      <c r="BE2176">
        <v>30400.39</v>
      </c>
      <c r="BF2176">
        <v>0</v>
      </c>
      <c r="BG2176" t="s">
        <v>87</v>
      </c>
      <c r="BH2176" t="s">
        <v>66</v>
      </c>
      <c r="BI2176">
        <v>0</v>
      </c>
      <c r="BJ2176" t="s">
        <v>66</v>
      </c>
      <c r="BK2176" t="s">
        <v>88</v>
      </c>
      <c r="BL2176" t="s">
        <v>877</v>
      </c>
      <c r="BM2176" t="s">
        <v>159</v>
      </c>
    </row>
    <row r="2177" spans="1:65" x14ac:dyDescent="0.25">
      <c r="A2177">
        <v>2175</v>
      </c>
      <c r="B2177" t="s">
        <v>2062</v>
      </c>
      <c r="C2177" t="s">
        <v>2063</v>
      </c>
      <c r="D2177" s="1">
        <v>46232</v>
      </c>
      <c r="E2177" t="s">
        <v>2064</v>
      </c>
      <c r="F2177" t="s">
        <v>2065</v>
      </c>
      <c r="G2177" t="s">
        <v>69</v>
      </c>
      <c r="H2177" t="s">
        <v>70</v>
      </c>
      <c r="I2177" t="s">
        <v>71</v>
      </c>
      <c r="J2177" t="s">
        <v>72</v>
      </c>
      <c r="K2177" t="s">
        <v>73</v>
      </c>
      <c r="L2177" t="s">
        <v>74</v>
      </c>
      <c r="M2177" t="s">
        <v>867</v>
      </c>
      <c r="N2177" t="s">
        <v>696</v>
      </c>
      <c r="O2177" t="s">
        <v>868</v>
      </c>
      <c r="P2177" t="s">
        <v>869</v>
      </c>
      <c r="Q2177" t="s">
        <v>66</v>
      </c>
      <c r="R2177" s="1">
        <v>46232</v>
      </c>
      <c r="S2177" t="s">
        <v>871</v>
      </c>
      <c r="T2177" t="s">
        <v>872</v>
      </c>
      <c r="U2177" t="s">
        <v>873</v>
      </c>
      <c r="V2177" t="s">
        <v>66</v>
      </c>
      <c r="W2177" t="s">
        <v>66</v>
      </c>
      <c r="X2177">
        <v>6381188</v>
      </c>
      <c r="Y2177">
        <v>701930.68</v>
      </c>
      <c r="Z2177">
        <v>2326060</v>
      </c>
      <c r="AA2177">
        <v>255866.6</v>
      </c>
      <c r="AB2177">
        <v>7083118.6799999997</v>
      </c>
      <c r="AC2177">
        <v>5</v>
      </c>
      <c r="AD2177" t="s">
        <v>134</v>
      </c>
      <c r="AE2177">
        <v>20</v>
      </c>
      <c r="AF2177" t="s">
        <v>1030</v>
      </c>
      <c r="AG2177">
        <f>IFERROR(VLOOKUP(AF2177,[1]STOK!J:O,6,0),"")</f>
        <v>4</v>
      </c>
      <c r="AH2177" s="2">
        <f t="shared" si="66"/>
        <v>5</v>
      </c>
      <c r="AI2177" t="s">
        <v>1030</v>
      </c>
      <c r="AJ2177" t="s">
        <v>1031</v>
      </c>
      <c r="AK2177" t="s">
        <v>1032</v>
      </c>
      <c r="AL2177" t="s">
        <v>86</v>
      </c>
      <c r="AM2177">
        <v>532356</v>
      </c>
      <c r="AN2177">
        <f t="shared" si="67"/>
        <v>516385.32</v>
      </c>
      <c r="AO2177" t="s">
        <v>66</v>
      </c>
      <c r="AP2177">
        <v>3</v>
      </c>
      <c r="AQ2177" t="s">
        <v>66</v>
      </c>
      <c r="AR2177">
        <v>0</v>
      </c>
      <c r="AS2177" t="s">
        <v>66</v>
      </c>
      <c r="AT2177">
        <v>0</v>
      </c>
      <c r="AU2177" t="s">
        <v>66</v>
      </c>
      <c r="AV2177">
        <v>0</v>
      </c>
      <c r="AW2177" t="s">
        <v>66</v>
      </c>
      <c r="AX2177">
        <v>0</v>
      </c>
      <c r="AY2177" t="s">
        <v>66</v>
      </c>
      <c r="AZ2177">
        <v>0</v>
      </c>
      <c r="BA2177" t="s">
        <v>66</v>
      </c>
      <c r="BB2177">
        <v>0</v>
      </c>
      <c r="BC2177">
        <v>0</v>
      </c>
      <c r="BD2177">
        <v>2581926.6</v>
      </c>
      <c r="BE2177">
        <v>99335.89</v>
      </c>
      <c r="BF2177">
        <v>0</v>
      </c>
      <c r="BG2177" t="s">
        <v>87</v>
      </c>
      <c r="BH2177" t="s">
        <v>66</v>
      </c>
      <c r="BI2177">
        <v>0</v>
      </c>
      <c r="BJ2177" t="s">
        <v>66</v>
      </c>
      <c r="BK2177" t="s">
        <v>88</v>
      </c>
      <c r="BL2177" t="s">
        <v>877</v>
      </c>
      <c r="BM2177" t="s">
        <v>159</v>
      </c>
    </row>
    <row r="2178" spans="1:65" x14ac:dyDescent="0.25">
      <c r="A2178">
        <v>2176</v>
      </c>
      <c r="B2178" t="s">
        <v>2062</v>
      </c>
      <c r="C2178" t="s">
        <v>2063</v>
      </c>
      <c r="D2178" s="1">
        <v>46232</v>
      </c>
      <c r="E2178" t="s">
        <v>2064</v>
      </c>
      <c r="F2178" t="s">
        <v>2065</v>
      </c>
      <c r="G2178" t="s">
        <v>69</v>
      </c>
      <c r="H2178" t="s">
        <v>70</v>
      </c>
      <c r="I2178" t="s">
        <v>71</v>
      </c>
      <c r="J2178" t="s">
        <v>72</v>
      </c>
      <c r="K2178" t="s">
        <v>73</v>
      </c>
      <c r="L2178" t="s">
        <v>74</v>
      </c>
      <c r="M2178" t="s">
        <v>867</v>
      </c>
      <c r="N2178" t="s">
        <v>696</v>
      </c>
      <c r="O2178" t="s">
        <v>868</v>
      </c>
      <c r="P2178" t="s">
        <v>869</v>
      </c>
      <c r="Q2178" t="s">
        <v>66</v>
      </c>
      <c r="R2178" s="1">
        <v>46232</v>
      </c>
      <c r="S2178" t="s">
        <v>871</v>
      </c>
      <c r="T2178" t="s">
        <v>872</v>
      </c>
      <c r="U2178" t="s">
        <v>873</v>
      </c>
      <c r="V2178" t="s">
        <v>66</v>
      </c>
      <c r="W2178" t="s">
        <v>66</v>
      </c>
      <c r="X2178">
        <v>6381188</v>
      </c>
      <c r="Y2178">
        <v>701930.68</v>
      </c>
      <c r="Z2178">
        <v>520696</v>
      </c>
      <c r="AA2178">
        <v>57276.56</v>
      </c>
      <c r="AB2178">
        <v>7083118.6799999997</v>
      </c>
      <c r="AC2178">
        <v>2</v>
      </c>
      <c r="AD2178" t="s">
        <v>134</v>
      </c>
      <c r="AE2178">
        <v>8</v>
      </c>
      <c r="AF2178" t="s">
        <v>1579</v>
      </c>
      <c r="AG2178">
        <f>IFERROR(VLOOKUP(AF2178,[1]STOK!J:O,6,0),"")</f>
        <v>4</v>
      </c>
      <c r="AH2178" s="2">
        <f t="shared" si="66"/>
        <v>2</v>
      </c>
      <c r="AI2178" t="s">
        <v>1579</v>
      </c>
      <c r="AJ2178" t="s">
        <v>1580</v>
      </c>
      <c r="AK2178" t="s">
        <v>1581</v>
      </c>
      <c r="AL2178" t="s">
        <v>86</v>
      </c>
      <c r="AM2178">
        <v>297924</v>
      </c>
      <c r="AN2178">
        <f t="shared" si="67"/>
        <v>288986.28000000003</v>
      </c>
      <c r="AO2178" t="s">
        <v>66</v>
      </c>
      <c r="AP2178">
        <v>3</v>
      </c>
      <c r="AQ2178" t="s">
        <v>66</v>
      </c>
      <c r="AR2178">
        <v>0</v>
      </c>
      <c r="AS2178" t="s">
        <v>66</v>
      </c>
      <c r="AT2178">
        <v>0</v>
      </c>
      <c r="AU2178" t="s">
        <v>66</v>
      </c>
      <c r="AV2178">
        <v>0</v>
      </c>
      <c r="AW2178" t="s">
        <v>66</v>
      </c>
      <c r="AX2178">
        <v>0</v>
      </c>
      <c r="AY2178" t="s">
        <v>66</v>
      </c>
      <c r="AZ2178">
        <v>0</v>
      </c>
      <c r="BA2178" t="s">
        <v>66</v>
      </c>
      <c r="BB2178">
        <v>0</v>
      </c>
      <c r="BC2178">
        <v>0</v>
      </c>
      <c r="BD2178">
        <v>577972.56000000006</v>
      </c>
      <c r="BE2178">
        <v>55577.89</v>
      </c>
      <c r="BF2178">
        <v>0</v>
      </c>
      <c r="BG2178" t="s">
        <v>87</v>
      </c>
      <c r="BH2178" t="s">
        <v>66</v>
      </c>
      <c r="BI2178">
        <v>0</v>
      </c>
      <c r="BJ2178" t="s">
        <v>66</v>
      </c>
      <c r="BK2178" t="s">
        <v>88</v>
      </c>
      <c r="BL2178" t="s">
        <v>877</v>
      </c>
      <c r="BM2178" t="s">
        <v>159</v>
      </c>
    </row>
    <row r="2179" spans="1:65" x14ac:dyDescent="0.25">
      <c r="A2179">
        <v>2177</v>
      </c>
      <c r="B2179" t="s">
        <v>2062</v>
      </c>
      <c r="C2179" t="s">
        <v>2063</v>
      </c>
      <c r="D2179" s="1">
        <v>46232</v>
      </c>
      <c r="E2179" t="s">
        <v>2064</v>
      </c>
      <c r="F2179" t="s">
        <v>2065</v>
      </c>
      <c r="G2179" t="s">
        <v>69</v>
      </c>
      <c r="H2179" t="s">
        <v>70</v>
      </c>
      <c r="I2179" t="s">
        <v>71</v>
      </c>
      <c r="J2179" t="s">
        <v>72</v>
      </c>
      <c r="K2179" t="s">
        <v>73</v>
      </c>
      <c r="L2179" t="s">
        <v>74</v>
      </c>
      <c r="M2179" t="s">
        <v>867</v>
      </c>
      <c r="N2179" t="s">
        <v>696</v>
      </c>
      <c r="O2179" t="s">
        <v>868</v>
      </c>
      <c r="P2179" t="s">
        <v>869</v>
      </c>
      <c r="Q2179" t="s">
        <v>66</v>
      </c>
      <c r="R2179" s="1">
        <v>46232</v>
      </c>
      <c r="S2179" t="s">
        <v>871</v>
      </c>
      <c r="T2179" t="s">
        <v>872</v>
      </c>
      <c r="U2179" t="s">
        <v>873</v>
      </c>
      <c r="V2179" t="s">
        <v>66</v>
      </c>
      <c r="W2179" t="s">
        <v>66</v>
      </c>
      <c r="X2179">
        <v>6381188</v>
      </c>
      <c r="Y2179">
        <v>701930.68</v>
      </c>
      <c r="Z2179">
        <v>1565580</v>
      </c>
      <c r="AA2179">
        <v>172213.8</v>
      </c>
      <c r="AB2179">
        <v>7083118.6799999997</v>
      </c>
      <c r="AC2179">
        <v>5</v>
      </c>
      <c r="AD2179" t="s">
        <v>134</v>
      </c>
      <c r="AE2179">
        <v>30</v>
      </c>
      <c r="AF2179" t="s">
        <v>525</v>
      </c>
      <c r="AG2179">
        <f>IFERROR(VLOOKUP(AF2179,[1]STOK!J:O,6,0),"")</f>
        <v>6</v>
      </c>
      <c r="AH2179" s="2">
        <f t="shared" si="66"/>
        <v>5</v>
      </c>
      <c r="AI2179" t="s">
        <v>525</v>
      </c>
      <c r="AJ2179" t="s">
        <v>526</v>
      </c>
      <c r="AK2179" t="s">
        <v>527</v>
      </c>
      <c r="AL2179" t="s">
        <v>86</v>
      </c>
      <c r="AM2179">
        <v>358308</v>
      </c>
      <c r="AN2179">
        <f t="shared" si="67"/>
        <v>347558.76</v>
      </c>
      <c r="AO2179" t="s">
        <v>66</v>
      </c>
      <c r="AP2179">
        <v>3</v>
      </c>
      <c r="AQ2179" t="s">
        <v>66</v>
      </c>
      <c r="AR2179">
        <v>0</v>
      </c>
      <c r="AS2179" t="s">
        <v>66</v>
      </c>
      <c r="AT2179">
        <v>0</v>
      </c>
      <c r="AU2179" t="s">
        <v>66</v>
      </c>
      <c r="AV2179">
        <v>0</v>
      </c>
      <c r="AW2179" t="s">
        <v>66</v>
      </c>
      <c r="AX2179">
        <v>0</v>
      </c>
      <c r="AY2179" t="s">
        <v>66</v>
      </c>
      <c r="AZ2179">
        <v>0</v>
      </c>
      <c r="BA2179" t="s">
        <v>66</v>
      </c>
      <c r="BB2179">
        <v>0</v>
      </c>
      <c r="BC2179">
        <v>0</v>
      </c>
      <c r="BD2179">
        <v>1737793.8</v>
      </c>
      <c r="BE2179">
        <v>46997.73</v>
      </c>
      <c r="BF2179">
        <v>0</v>
      </c>
      <c r="BG2179" t="s">
        <v>87</v>
      </c>
      <c r="BH2179" t="s">
        <v>66</v>
      </c>
      <c r="BI2179">
        <v>0</v>
      </c>
      <c r="BJ2179" t="s">
        <v>66</v>
      </c>
      <c r="BK2179" t="s">
        <v>88</v>
      </c>
      <c r="BL2179" t="s">
        <v>877</v>
      </c>
      <c r="BM2179" t="s">
        <v>159</v>
      </c>
    </row>
    <row r="2180" spans="1:65" x14ac:dyDescent="0.25">
      <c r="A2180">
        <v>2178</v>
      </c>
      <c r="B2180" t="s">
        <v>2062</v>
      </c>
      <c r="C2180" t="s">
        <v>2063</v>
      </c>
      <c r="D2180" s="1">
        <v>46232</v>
      </c>
      <c r="E2180" t="s">
        <v>2064</v>
      </c>
      <c r="F2180" t="s">
        <v>2065</v>
      </c>
      <c r="G2180" t="s">
        <v>69</v>
      </c>
      <c r="H2180" t="s">
        <v>70</v>
      </c>
      <c r="I2180" t="s">
        <v>71</v>
      </c>
      <c r="J2180" t="s">
        <v>72</v>
      </c>
      <c r="K2180" t="s">
        <v>73</v>
      </c>
      <c r="L2180" t="s">
        <v>74</v>
      </c>
      <c r="M2180" t="s">
        <v>867</v>
      </c>
      <c r="N2180" t="s">
        <v>696</v>
      </c>
      <c r="O2180" t="s">
        <v>868</v>
      </c>
      <c r="P2180" t="s">
        <v>869</v>
      </c>
      <c r="Q2180" t="s">
        <v>66</v>
      </c>
      <c r="R2180" s="1">
        <v>46232</v>
      </c>
      <c r="S2180" t="s">
        <v>871</v>
      </c>
      <c r="T2180" t="s">
        <v>872</v>
      </c>
      <c r="U2180" t="s">
        <v>873</v>
      </c>
      <c r="V2180" t="s">
        <v>66</v>
      </c>
      <c r="W2180" t="s">
        <v>66</v>
      </c>
      <c r="X2180">
        <v>6381188</v>
      </c>
      <c r="Y2180">
        <v>701930.68</v>
      </c>
      <c r="Z2180">
        <v>286344</v>
      </c>
      <c r="AA2180">
        <v>31497.84</v>
      </c>
      <c r="AB2180">
        <v>7083118.6799999997</v>
      </c>
      <c r="AC2180">
        <v>3</v>
      </c>
      <c r="AD2180" t="s">
        <v>134</v>
      </c>
      <c r="AE2180">
        <v>36</v>
      </c>
      <c r="AF2180" t="s">
        <v>1588</v>
      </c>
      <c r="AG2180">
        <f>IFERROR(VLOOKUP(AF2180,[1]STOK!J:O,6,0),"")</f>
        <v>12</v>
      </c>
      <c r="AH2180" s="2">
        <f t="shared" ref="AH2180:AH2243" si="68">AE2180/AG2180</f>
        <v>3</v>
      </c>
      <c r="AI2180" t="s">
        <v>1588</v>
      </c>
      <c r="AJ2180" t="s">
        <v>1589</v>
      </c>
      <c r="AK2180" t="s">
        <v>1590</v>
      </c>
      <c r="AL2180" t="s">
        <v>86</v>
      </c>
      <c r="AM2180">
        <v>109224</v>
      </c>
      <c r="AN2180">
        <f t="shared" ref="AN2180:AN2243" si="69">BD2180/AC2180</f>
        <v>105947.28000000001</v>
      </c>
      <c r="AO2180" t="s">
        <v>66</v>
      </c>
      <c r="AP2180">
        <v>3</v>
      </c>
      <c r="AQ2180" t="s">
        <v>66</v>
      </c>
      <c r="AR2180">
        <v>0</v>
      </c>
      <c r="AS2180" t="s">
        <v>66</v>
      </c>
      <c r="AT2180">
        <v>0</v>
      </c>
      <c r="AU2180" t="s">
        <v>66</v>
      </c>
      <c r="AV2180">
        <v>0</v>
      </c>
      <c r="AW2180" t="s">
        <v>66</v>
      </c>
      <c r="AX2180">
        <v>0</v>
      </c>
      <c r="AY2180" t="s">
        <v>66</v>
      </c>
      <c r="AZ2180">
        <v>0</v>
      </c>
      <c r="BA2180" t="s">
        <v>66</v>
      </c>
      <c r="BB2180">
        <v>0</v>
      </c>
      <c r="BC2180">
        <v>0</v>
      </c>
      <c r="BD2180">
        <v>317841.84000000003</v>
      </c>
      <c r="BE2180">
        <v>7209.74</v>
      </c>
      <c r="BF2180">
        <v>0</v>
      </c>
      <c r="BG2180" t="s">
        <v>87</v>
      </c>
      <c r="BH2180" t="s">
        <v>66</v>
      </c>
      <c r="BI2180">
        <v>0</v>
      </c>
      <c r="BJ2180" t="s">
        <v>66</v>
      </c>
      <c r="BK2180" t="s">
        <v>88</v>
      </c>
      <c r="BL2180" t="s">
        <v>877</v>
      </c>
      <c r="BM2180" t="s">
        <v>159</v>
      </c>
    </row>
    <row r="2181" spans="1:65" x14ac:dyDescent="0.25">
      <c r="A2181">
        <v>2179</v>
      </c>
      <c r="B2181" t="s">
        <v>2066</v>
      </c>
      <c r="C2181" t="s">
        <v>2067</v>
      </c>
      <c r="D2181" s="1">
        <v>46232</v>
      </c>
      <c r="E2181" t="s">
        <v>2068</v>
      </c>
      <c r="F2181" t="s">
        <v>2069</v>
      </c>
      <c r="G2181" t="s">
        <v>69</v>
      </c>
      <c r="H2181" t="s">
        <v>70</v>
      </c>
      <c r="I2181" t="s">
        <v>71</v>
      </c>
      <c r="J2181" t="s">
        <v>72</v>
      </c>
      <c r="K2181" t="s">
        <v>73</v>
      </c>
      <c r="L2181" t="s">
        <v>74</v>
      </c>
      <c r="M2181" t="s">
        <v>867</v>
      </c>
      <c r="N2181" t="s">
        <v>696</v>
      </c>
      <c r="O2181" t="s">
        <v>868</v>
      </c>
      <c r="P2181" t="s">
        <v>869</v>
      </c>
      <c r="Q2181" t="s">
        <v>66</v>
      </c>
      <c r="R2181" s="1">
        <v>46232</v>
      </c>
      <c r="S2181" t="s">
        <v>871</v>
      </c>
      <c r="T2181" t="s">
        <v>872</v>
      </c>
      <c r="U2181" t="s">
        <v>873</v>
      </c>
      <c r="V2181" t="s">
        <v>66</v>
      </c>
      <c r="W2181" t="s">
        <v>66</v>
      </c>
      <c r="X2181">
        <v>27894096</v>
      </c>
      <c r="Y2181">
        <v>3068350.56</v>
      </c>
      <c r="Z2181">
        <v>1354896</v>
      </c>
      <c r="AA2181">
        <v>149038.56</v>
      </c>
      <c r="AB2181">
        <v>30962446.559999999</v>
      </c>
      <c r="AC2181">
        <v>6</v>
      </c>
      <c r="AD2181" t="s">
        <v>134</v>
      </c>
      <c r="AE2181">
        <v>72</v>
      </c>
      <c r="AF2181" t="s">
        <v>287</v>
      </c>
      <c r="AG2181">
        <f>IFERROR(VLOOKUP(AF2181,[1]STOK!J:O,6,0),"")</f>
        <v>12</v>
      </c>
      <c r="AH2181" s="2">
        <f t="shared" si="68"/>
        <v>6</v>
      </c>
      <c r="AI2181" t="s">
        <v>287</v>
      </c>
      <c r="AJ2181" t="s">
        <v>288</v>
      </c>
      <c r="AK2181" t="s">
        <v>289</v>
      </c>
      <c r="AL2181" t="s">
        <v>86</v>
      </c>
      <c r="AM2181">
        <v>258408</v>
      </c>
      <c r="AN2181">
        <f t="shared" si="69"/>
        <v>250655.76</v>
      </c>
      <c r="AO2181" t="s">
        <v>66</v>
      </c>
      <c r="AP2181">
        <v>3</v>
      </c>
      <c r="AQ2181" t="s">
        <v>66</v>
      </c>
      <c r="AR2181">
        <v>0</v>
      </c>
      <c r="AS2181" t="s">
        <v>66</v>
      </c>
      <c r="AT2181">
        <v>0</v>
      </c>
      <c r="AU2181" t="s">
        <v>66</v>
      </c>
      <c r="AV2181">
        <v>0</v>
      </c>
      <c r="AW2181" t="s">
        <v>66</v>
      </c>
      <c r="AX2181">
        <v>0</v>
      </c>
      <c r="AY2181" t="s">
        <v>66</v>
      </c>
      <c r="AZ2181">
        <v>0</v>
      </c>
      <c r="BA2181" t="s">
        <v>66</v>
      </c>
      <c r="BB2181">
        <v>0</v>
      </c>
      <c r="BC2181">
        <v>0</v>
      </c>
      <c r="BD2181">
        <v>1503934.56</v>
      </c>
      <c r="BE2181">
        <v>17377.759999999998</v>
      </c>
      <c r="BF2181">
        <v>0</v>
      </c>
      <c r="BG2181" t="s">
        <v>87</v>
      </c>
      <c r="BH2181" t="s">
        <v>66</v>
      </c>
      <c r="BI2181">
        <v>0</v>
      </c>
      <c r="BJ2181" t="s">
        <v>66</v>
      </c>
      <c r="BK2181" t="s">
        <v>88</v>
      </c>
      <c r="BL2181" t="s">
        <v>877</v>
      </c>
      <c r="BM2181" t="s">
        <v>159</v>
      </c>
    </row>
    <row r="2182" spans="1:65" x14ac:dyDescent="0.25">
      <c r="A2182">
        <v>2180</v>
      </c>
      <c r="B2182" t="s">
        <v>2066</v>
      </c>
      <c r="C2182" t="s">
        <v>2067</v>
      </c>
      <c r="D2182" s="1">
        <v>46232</v>
      </c>
      <c r="E2182" t="s">
        <v>2068</v>
      </c>
      <c r="F2182" t="s">
        <v>2069</v>
      </c>
      <c r="G2182" t="s">
        <v>69</v>
      </c>
      <c r="H2182" t="s">
        <v>70</v>
      </c>
      <c r="I2182" t="s">
        <v>71</v>
      </c>
      <c r="J2182" t="s">
        <v>72</v>
      </c>
      <c r="K2182" t="s">
        <v>73</v>
      </c>
      <c r="L2182" t="s">
        <v>74</v>
      </c>
      <c r="M2182" t="s">
        <v>867</v>
      </c>
      <c r="N2182" t="s">
        <v>696</v>
      </c>
      <c r="O2182" t="s">
        <v>868</v>
      </c>
      <c r="P2182" t="s">
        <v>869</v>
      </c>
      <c r="Q2182" t="s">
        <v>66</v>
      </c>
      <c r="R2182" s="1">
        <v>46232</v>
      </c>
      <c r="S2182" t="s">
        <v>871</v>
      </c>
      <c r="T2182" t="s">
        <v>872</v>
      </c>
      <c r="U2182" t="s">
        <v>873</v>
      </c>
      <c r="V2182" t="s">
        <v>66</v>
      </c>
      <c r="W2182" t="s">
        <v>66</v>
      </c>
      <c r="X2182">
        <v>27894096</v>
      </c>
      <c r="Y2182">
        <v>3068350.56</v>
      </c>
      <c r="Z2182">
        <v>21184800</v>
      </c>
      <c r="AA2182">
        <v>2330328</v>
      </c>
      <c r="AB2182">
        <v>30962446.559999999</v>
      </c>
      <c r="AC2182">
        <v>91</v>
      </c>
      <c r="AD2182" t="s">
        <v>134</v>
      </c>
      <c r="AE2182">
        <v>1092</v>
      </c>
      <c r="AF2182" t="s">
        <v>290</v>
      </c>
      <c r="AG2182">
        <f>IFERROR(VLOOKUP(AF2182,[1]STOK!J:O,6,0),"")</f>
        <v>12</v>
      </c>
      <c r="AH2182" s="2">
        <f t="shared" si="68"/>
        <v>91</v>
      </c>
      <c r="AI2182" t="s">
        <v>290</v>
      </c>
      <c r="AJ2182" t="s">
        <v>291</v>
      </c>
      <c r="AK2182" t="s">
        <v>292</v>
      </c>
      <c r="AL2182" t="s">
        <v>86</v>
      </c>
      <c r="AM2182">
        <v>266400</v>
      </c>
      <c r="AN2182">
        <f t="shared" si="69"/>
        <v>258408</v>
      </c>
      <c r="AO2182" t="s">
        <v>66</v>
      </c>
      <c r="AP2182">
        <v>3</v>
      </c>
      <c r="AQ2182" t="s">
        <v>66</v>
      </c>
      <c r="AR2182">
        <v>0</v>
      </c>
      <c r="AS2182" t="s">
        <v>66</v>
      </c>
      <c r="AT2182">
        <v>0</v>
      </c>
      <c r="AU2182" t="s">
        <v>66</v>
      </c>
      <c r="AV2182">
        <v>0</v>
      </c>
      <c r="AW2182" t="s">
        <v>66</v>
      </c>
      <c r="AX2182">
        <v>0</v>
      </c>
      <c r="AY2182" t="s">
        <v>66</v>
      </c>
      <c r="AZ2182">
        <v>0</v>
      </c>
      <c r="BA2182" t="s">
        <v>66</v>
      </c>
      <c r="BB2182">
        <v>0</v>
      </c>
      <c r="BC2182">
        <v>0</v>
      </c>
      <c r="BD2182">
        <v>23515128</v>
      </c>
      <c r="BE2182">
        <v>18113.71</v>
      </c>
      <c r="BF2182">
        <v>0</v>
      </c>
      <c r="BG2182" t="s">
        <v>87</v>
      </c>
      <c r="BH2182" t="s">
        <v>66</v>
      </c>
      <c r="BI2182">
        <v>0</v>
      </c>
      <c r="BJ2182" t="s">
        <v>66</v>
      </c>
      <c r="BK2182" t="s">
        <v>88</v>
      </c>
      <c r="BL2182" t="s">
        <v>877</v>
      </c>
      <c r="BM2182" t="s">
        <v>159</v>
      </c>
    </row>
    <row r="2183" spans="1:65" x14ac:dyDescent="0.25">
      <c r="A2183">
        <v>2181</v>
      </c>
      <c r="B2183" t="s">
        <v>2066</v>
      </c>
      <c r="C2183" t="s">
        <v>2067</v>
      </c>
      <c r="D2183" s="1">
        <v>46232</v>
      </c>
      <c r="E2183" t="s">
        <v>2068</v>
      </c>
      <c r="F2183" t="s">
        <v>2069</v>
      </c>
      <c r="G2183" t="s">
        <v>69</v>
      </c>
      <c r="H2183" t="s">
        <v>70</v>
      </c>
      <c r="I2183" t="s">
        <v>71</v>
      </c>
      <c r="J2183" t="s">
        <v>72</v>
      </c>
      <c r="K2183" t="s">
        <v>73</v>
      </c>
      <c r="L2183" t="s">
        <v>74</v>
      </c>
      <c r="M2183" t="s">
        <v>867</v>
      </c>
      <c r="N2183" t="s">
        <v>696</v>
      </c>
      <c r="O2183" t="s">
        <v>868</v>
      </c>
      <c r="P2183" t="s">
        <v>869</v>
      </c>
      <c r="Q2183" t="s">
        <v>66</v>
      </c>
      <c r="R2183" s="1">
        <v>46232</v>
      </c>
      <c r="S2183" t="s">
        <v>871</v>
      </c>
      <c r="T2183" t="s">
        <v>872</v>
      </c>
      <c r="U2183" t="s">
        <v>873</v>
      </c>
      <c r="V2183" t="s">
        <v>66</v>
      </c>
      <c r="W2183" t="s">
        <v>66</v>
      </c>
      <c r="X2183">
        <v>27894096</v>
      </c>
      <c r="Y2183">
        <v>3068350.56</v>
      </c>
      <c r="Z2183">
        <v>5354400</v>
      </c>
      <c r="AA2183">
        <v>588984</v>
      </c>
      <c r="AB2183">
        <v>30962446.559999999</v>
      </c>
      <c r="AC2183">
        <v>23</v>
      </c>
      <c r="AD2183" t="s">
        <v>134</v>
      </c>
      <c r="AE2183">
        <v>276</v>
      </c>
      <c r="AF2183" t="s">
        <v>102</v>
      </c>
      <c r="AG2183">
        <f>IFERROR(VLOOKUP(AF2183,[1]STOK!J:O,6,0),"")</f>
        <v>12</v>
      </c>
      <c r="AH2183" s="2">
        <f t="shared" si="68"/>
        <v>23</v>
      </c>
      <c r="AI2183" t="s">
        <v>102</v>
      </c>
      <c r="AJ2183" t="s">
        <v>103</v>
      </c>
      <c r="AK2183" t="s">
        <v>104</v>
      </c>
      <c r="AL2183" t="s">
        <v>86</v>
      </c>
      <c r="AM2183">
        <v>266400</v>
      </c>
      <c r="AN2183">
        <f t="shared" si="69"/>
        <v>258408</v>
      </c>
      <c r="AO2183" t="s">
        <v>66</v>
      </c>
      <c r="AP2183">
        <v>3</v>
      </c>
      <c r="AQ2183" t="s">
        <v>66</v>
      </c>
      <c r="AR2183">
        <v>0</v>
      </c>
      <c r="AS2183" t="s">
        <v>66</v>
      </c>
      <c r="AT2183">
        <v>0</v>
      </c>
      <c r="AU2183" t="s">
        <v>66</v>
      </c>
      <c r="AV2183">
        <v>0</v>
      </c>
      <c r="AW2183" t="s">
        <v>66</v>
      </c>
      <c r="AX2183">
        <v>0</v>
      </c>
      <c r="AY2183" t="s">
        <v>66</v>
      </c>
      <c r="AZ2183">
        <v>0</v>
      </c>
      <c r="BA2183" t="s">
        <v>66</v>
      </c>
      <c r="BB2183">
        <v>0</v>
      </c>
      <c r="BC2183">
        <v>0</v>
      </c>
      <c r="BD2183">
        <v>5943384</v>
      </c>
      <c r="BE2183">
        <v>18005.03</v>
      </c>
      <c r="BF2183">
        <v>0</v>
      </c>
      <c r="BG2183" t="s">
        <v>87</v>
      </c>
      <c r="BH2183" t="s">
        <v>66</v>
      </c>
      <c r="BI2183">
        <v>0</v>
      </c>
      <c r="BJ2183" t="s">
        <v>66</v>
      </c>
      <c r="BK2183" t="s">
        <v>88</v>
      </c>
      <c r="BL2183" t="s">
        <v>877</v>
      </c>
      <c r="BM2183" t="s">
        <v>159</v>
      </c>
    </row>
    <row r="2184" spans="1:65" x14ac:dyDescent="0.25">
      <c r="A2184">
        <v>2182</v>
      </c>
      <c r="B2184" t="s">
        <v>2070</v>
      </c>
      <c r="C2184" t="s">
        <v>2071</v>
      </c>
      <c r="D2184" s="1">
        <v>46232</v>
      </c>
      <c r="E2184" t="s">
        <v>2072</v>
      </c>
      <c r="F2184" t="s">
        <v>2073</v>
      </c>
      <c r="G2184" t="s">
        <v>69</v>
      </c>
      <c r="H2184" t="s">
        <v>70</v>
      </c>
      <c r="I2184" t="s">
        <v>71</v>
      </c>
      <c r="J2184" t="s">
        <v>72</v>
      </c>
      <c r="K2184" t="s">
        <v>73</v>
      </c>
      <c r="L2184" t="s">
        <v>74</v>
      </c>
      <c r="M2184" t="s">
        <v>867</v>
      </c>
      <c r="N2184" t="s">
        <v>696</v>
      </c>
      <c r="O2184" t="s">
        <v>868</v>
      </c>
      <c r="P2184" t="s">
        <v>869</v>
      </c>
      <c r="Q2184" t="s">
        <v>66</v>
      </c>
      <c r="R2184" s="1">
        <v>46232</v>
      </c>
      <c r="S2184" t="s">
        <v>871</v>
      </c>
      <c r="T2184" t="s">
        <v>872</v>
      </c>
      <c r="U2184" t="s">
        <v>873</v>
      </c>
      <c r="V2184" t="s">
        <v>66</v>
      </c>
      <c r="W2184" t="s">
        <v>66</v>
      </c>
      <c r="X2184">
        <v>18306228</v>
      </c>
      <c r="Y2184">
        <v>2013685.08</v>
      </c>
      <c r="Z2184">
        <v>2483976</v>
      </c>
      <c r="AA2184">
        <v>273237.36</v>
      </c>
      <c r="AB2184">
        <v>20319913.079999998</v>
      </c>
      <c r="AC2184">
        <v>11</v>
      </c>
      <c r="AD2184" t="s">
        <v>134</v>
      </c>
      <c r="AE2184">
        <v>132</v>
      </c>
      <c r="AF2184" t="s">
        <v>284</v>
      </c>
      <c r="AG2184">
        <f>IFERROR(VLOOKUP(AF2184,[1]STOK!J:O,6,0),"")</f>
        <v>12</v>
      </c>
      <c r="AH2184" s="2">
        <f t="shared" si="68"/>
        <v>11</v>
      </c>
      <c r="AI2184" t="s">
        <v>284</v>
      </c>
      <c r="AJ2184" t="s">
        <v>285</v>
      </c>
      <c r="AK2184" t="s">
        <v>286</v>
      </c>
      <c r="AL2184" t="s">
        <v>86</v>
      </c>
      <c r="AM2184">
        <v>258408</v>
      </c>
      <c r="AN2184">
        <f t="shared" si="69"/>
        <v>250655.75999999998</v>
      </c>
      <c r="AO2184" t="s">
        <v>66</v>
      </c>
      <c r="AP2184">
        <v>3</v>
      </c>
      <c r="AQ2184" t="s">
        <v>66</v>
      </c>
      <c r="AR2184">
        <v>0</v>
      </c>
      <c r="AS2184" t="s">
        <v>66</v>
      </c>
      <c r="AT2184">
        <v>0</v>
      </c>
      <c r="AU2184" t="s">
        <v>66</v>
      </c>
      <c r="AV2184">
        <v>0</v>
      </c>
      <c r="AW2184" t="s">
        <v>66</v>
      </c>
      <c r="AX2184">
        <v>0</v>
      </c>
      <c r="AY2184" t="s">
        <v>66</v>
      </c>
      <c r="AZ2184">
        <v>0</v>
      </c>
      <c r="BA2184" t="s">
        <v>66</v>
      </c>
      <c r="BB2184">
        <v>0</v>
      </c>
      <c r="BC2184">
        <v>0</v>
      </c>
      <c r="BD2184">
        <v>2757213.36</v>
      </c>
      <c r="BE2184">
        <v>17311.39</v>
      </c>
      <c r="BF2184">
        <v>0</v>
      </c>
      <c r="BG2184" t="s">
        <v>87</v>
      </c>
      <c r="BH2184" t="s">
        <v>66</v>
      </c>
      <c r="BI2184">
        <v>0</v>
      </c>
      <c r="BJ2184" t="s">
        <v>66</v>
      </c>
      <c r="BK2184" t="s">
        <v>88</v>
      </c>
      <c r="BL2184" t="s">
        <v>877</v>
      </c>
      <c r="BM2184" t="s">
        <v>159</v>
      </c>
    </row>
    <row r="2185" spans="1:65" x14ac:dyDescent="0.25">
      <c r="A2185">
        <v>2183</v>
      </c>
      <c r="B2185" t="s">
        <v>2070</v>
      </c>
      <c r="C2185" t="s">
        <v>2071</v>
      </c>
      <c r="D2185" s="1">
        <v>46232</v>
      </c>
      <c r="E2185" t="s">
        <v>2072</v>
      </c>
      <c r="F2185" t="s">
        <v>2073</v>
      </c>
      <c r="G2185" t="s">
        <v>69</v>
      </c>
      <c r="H2185" t="s">
        <v>70</v>
      </c>
      <c r="I2185" t="s">
        <v>71</v>
      </c>
      <c r="J2185" t="s">
        <v>72</v>
      </c>
      <c r="K2185" t="s">
        <v>73</v>
      </c>
      <c r="L2185" t="s">
        <v>74</v>
      </c>
      <c r="M2185" t="s">
        <v>867</v>
      </c>
      <c r="N2185" t="s">
        <v>696</v>
      </c>
      <c r="O2185" t="s">
        <v>868</v>
      </c>
      <c r="P2185" t="s">
        <v>869</v>
      </c>
      <c r="Q2185" t="s">
        <v>66</v>
      </c>
      <c r="R2185" s="1">
        <v>46232</v>
      </c>
      <c r="S2185" t="s">
        <v>871</v>
      </c>
      <c r="T2185" t="s">
        <v>872</v>
      </c>
      <c r="U2185" t="s">
        <v>873</v>
      </c>
      <c r="V2185" t="s">
        <v>66</v>
      </c>
      <c r="W2185" t="s">
        <v>66</v>
      </c>
      <c r="X2185">
        <v>18306228</v>
      </c>
      <c r="Y2185">
        <v>2013685.08</v>
      </c>
      <c r="Z2185">
        <v>3838872</v>
      </c>
      <c r="AA2185">
        <v>422275.92</v>
      </c>
      <c r="AB2185">
        <v>20319913.079999998</v>
      </c>
      <c r="AC2185">
        <v>17</v>
      </c>
      <c r="AD2185" t="s">
        <v>134</v>
      </c>
      <c r="AE2185">
        <v>204</v>
      </c>
      <c r="AF2185" t="s">
        <v>287</v>
      </c>
      <c r="AG2185">
        <f>IFERROR(VLOOKUP(AF2185,[1]STOK!J:O,6,0),"")</f>
        <v>12</v>
      </c>
      <c r="AH2185" s="2">
        <f t="shared" si="68"/>
        <v>17</v>
      </c>
      <c r="AI2185" t="s">
        <v>287</v>
      </c>
      <c r="AJ2185" t="s">
        <v>288</v>
      </c>
      <c r="AK2185" t="s">
        <v>289</v>
      </c>
      <c r="AL2185" t="s">
        <v>86</v>
      </c>
      <c r="AM2185">
        <v>258408</v>
      </c>
      <c r="AN2185">
        <f t="shared" si="69"/>
        <v>250655.76</v>
      </c>
      <c r="AO2185" t="s">
        <v>66</v>
      </c>
      <c r="AP2185">
        <v>3</v>
      </c>
      <c r="AQ2185" t="s">
        <v>66</v>
      </c>
      <c r="AR2185">
        <v>0</v>
      </c>
      <c r="AS2185" t="s">
        <v>66</v>
      </c>
      <c r="AT2185">
        <v>0</v>
      </c>
      <c r="AU2185" t="s">
        <v>66</v>
      </c>
      <c r="AV2185">
        <v>0</v>
      </c>
      <c r="AW2185" t="s">
        <v>66</v>
      </c>
      <c r="AX2185">
        <v>0</v>
      </c>
      <c r="AY2185" t="s">
        <v>66</v>
      </c>
      <c r="AZ2185">
        <v>0</v>
      </c>
      <c r="BA2185" t="s">
        <v>66</v>
      </c>
      <c r="BB2185">
        <v>0</v>
      </c>
      <c r="BC2185">
        <v>0</v>
      </c>
      <c r="BD2185">
        <v>4261147.92</v>
      </c>
      <c r="BE2185">
        <v>17377.759999999998</v>
      </c>
      <c r="BF2185">
        <v>0</v>
      </c>
      <c r="BG2185" t="s">
        <v>87</v>
      </c>
      <c r="BH2185" t="s">
        <v>66</v>
      </c>
      <c r="BI2185">
        <v>0</v>
      </c>
      <c r="BJ2185" t="s">
        <v>66</v>
      </c>
      <c r="BK2185" t="s">
        <v>88</v>
      </c>
      <c r="BL2185" t="s">
        <v>877</v>
      </c>
      <c r="BM2185" t="s">
        <v>159</v>
      </c>
    </row>
    <row r="2186" spans="1:65" x14ac:dyDescent="0.25">
      <c r="A2186">
        <v>2184</v>
      </c>
      <c r="B2186" t="s">
        <v>2070</v>
      </c>
      <c r="C2186" t="s">
        <v>2071</v>
      </c>
      <c r="D2186" s="1">
        <v>46232</v>
      </c>
      <c r="E2186" t="s">
        <v>2072</v>
      </c>
      <c r="F2186" t="s">
        <v>2073</v>
      </c>
      <c r="G2186" t="s">
        <v>69</v>
      </c>
      <c r="H2186" t="s">
        <v>70</v>
      </c>
      <c r="I2186" t="s">
        <v>71</v>
      </c>
      <c r="J2186" t="s">
        <v>72</v>
      </c>
      <c r="K2186" t="s">
        <v>73</v>
      </c>
      <c r="L2186" t="s">
        <v>74</v>
      </c>
      <c r="M2186" t="s">
        <v>867</v>
      </c>
      <c r="N2186" t="s">
        <v>696</v>
      </c>
      <c r="O2186" t="s">
        <v>868</v>
      </c>
      <c r="P2186" t="s">
        <v>869</v>
      </c>
      <c r="Q2186" t="s">
        <v>66</v>
      </c>
      <c r="R2186" s="1">
        <v>46232</v>
      </c>
      <c r="S2186" t="s">
        <v>871</v>
      </c>
      <c r="T2186" t="s">
        <v>872</v>
      </c>
      <c r="U2186" t="s">
        <v>873</v>
      </c>
      <c r="V2186" t="s">
        <v>66</v>
      </c>
      <c r="W2186" t="s">
        <v>66</v>
      </c>
      <c r="X2186">
        <v>18306228</v>
      </c>
      <c r="Y2186">
        <v>2013685.08</v>
      </c>
      <c r="Z2186">
        <v>3764376</v>
      </c>
      <c r="AA2186">
        <v>414081.36</v>
      </c>
      <c r="AB2186">
        <v>20319913.079999998</v>
      </c>
      <c r="AC2186">
        <v>22</v>
      </c>
      <c r="AD2186" t="s">
        <v>134</v>
      </c>
      <c r="AE2186">
        <v>264</v>
      </c>
      <c r="AF2186" t="s">
        <v>1263</v>
      </c>
      <c r="AG2186">
        <f>IFERROR(VLOOKUP(AF2186,[1]STOK!J:O,6,0),"")</f>
        <v>12</v>
      </c>
      <c r="AH2186" s="2">
        <f t="shared" si="68"/>
        <v>22</v>
      </c>
      <c r="AI2186" t="s">
        <v>1263</v>
      </c>
      <c r="AJ2186" t="s">
        <v>1264</v>
      </c>
      <c r="AK2186" t="s">
        <v>1265</v>
      </c>
      <c r="AL2186" t="s">
        <v>86</v>
      </c>
      <c r="AM2186">
        <v>195804</v>
      </c>
      <c r="AN2186">
        <f t="shared" si="69"/>
        <v>189929.88</v>
      </c>
      <c r="AO2186" t="s">
        <v>66</v>
      </c>
      <c r="AP2186">
        <v>3</v>
      </c>
      <c r="AQ2186" t="s">
        <v>66</v>
      </c>
      <c r="AR2186">
        <v>0</v>
      </c>
      <c r="AS2186" t="s">
        <v>66</v>
      </c>
      <c r="AT2186">
        <v>0</v>
      </c>
      <c r="AU2186" t="s">
        <v>66</v>
      </c>
      <c r="AV2186">
        <v>0</v>
      </c>
      <c r="AW2186" t="s">
        <v>66</v>
      </c>
      <c r="AX2186">
        <v>0</v>
      </c>
      <c r="AY2186" t="s">
        <v>66</v>
      </c>
      <c r="AZ2186">
        <v>0</v>
      </c>
      <c r="BA2186" t="s">
        <v>66</v>
      </c>
      <c r="BB2186">
        <v>0</v>
      </c>
      <c r="BC2186">
        <v>0</v>
      </c>
      <c r="BD2186">
        <v>4178457.36</v>
      </c>
      <c r="BE2186">
        <v>12968.32</v>
      </c>
      <c r="BF2186">
        <v>0</v>
      </c>
      <c r="BG2186" t="s">
        <v>87</v>
      </c>
      <c r="BH2186" t="s">
        <v>66</v>
      </c>
      <c r="BI2186">
        <v>0</v>
      </c>
      <c r="BJ2186" t="s">
        <v>66</v>
      </c>
      <c r="BK2186" t="s">
        <v>88</v>
      </c>
      <c r="BL2186" t="s">
        <v>877</v>
      </c>
      <c r="BM2186" t="s">
        <v>159</v>
      </c>
    </row>
    <row r="2187" spans="1:65" x14ac:dyDescent="0.25">
      <c r="A2187">
        <v>2185</v>
      </c>
      <c r="B2187" t="s">
        <v>2070</v>
      </c>
      <c r="C2187" t="s">
        <v>2071</v>
      </c>
      <c r="D2187" s="1">
        <v>46232</v>
      </c>
      <c r="E2187" t="s">
        <v>2072</v>
      </c>
      <c r="F2187" t="s">
        <v>2073</v>
      </c>
      <c r="G2187" t="s">
        <v>69</v>
      </c>
      <c r="H2187" t="s">
        <v>70</v>
      </c>
      <c r="I2187" t="s">
        <v>71</v>
      </c>
      <c r="J2187" t="s">
        <v>72</v>
      </c>
      <c r="K2187" t="s">
        <v>73</v>
      </c>
      <c r="L2187" t="s">
        <v>74</v>
      </c>
      <c r="M2187" t="s">
        <v>867</v>
      </c>
      <c r="N2187" t="s">
        <v>696</v>
      </c>
      <c r="O2187" t="s">
        <v>868</v>
      </c>
      <c r="P2187" t="s">
        <v>869</v>
      </c>
      <c r="Q2187" t="s">
        <v>66</v>
      </c>
      <c r="R2187" s="1">
        <v>46232</v>
      </c>
      <c r="S2187" t="s">
        <v>871</v>
      </c>
      <c r="T2187" t="s">
        <v>872</v>
      </c>
      <c r="U2187" t="s">
        <v>873</v>
      </c>
      <c r="V2187" t="s">
        <v>66</v>
      </c>
      <c r="W2187" t="s">
        <v>66</v>
      </c>
      <c r="X2187">
        <v>18306228</v>
      </c>
      <c r="Y2187">
        <v>2013685.08</v>
      </c>
      <c r="Z2187">
        <v>5034300</v>
      </c>
      <c r="AA2187">
        <v>553773</v>
      </c>
      <c r="AB2187">
        <v>20319913.079999998</v>
      </c>
      <c r="AC2187">
        <v>25</v>
      </c>
      <c r="AD2187" t="s">
        <v>134</v>
      </c>
      <c r="AE2187">
        <v>300</v>
      </c>
      <c r="AF2187" t="s">
        <v>359</v>
      </c>
      <c r="AG2187">
        <f>IFERROR(VLOOKUP(AF2187,[1]STOK!J:O,6,0),"")</f>
        <v>12</v>
      </c>
      <c r="AH2187" s="2">
        <f t="shared" si="68"/>
        <v>25</v>
      </c>
      <c r="AI2187" t="s">
        <v>359</v>
      </c>
      <c r="AJ2187" t="s">
        <v>360</v>
      </c>
      <c r="AK2187" t="s">
        <v>361</v>
      </c>
      <c r="AL2187" t="s">
        <v>86</v>
      </c>
      <c r="AM2187">
        <v>230436</v>
      </c>
      <c r="AN2187">
        <f t="shared" si="69"/>
        <v>223522.92</v>
      </c>
      <c r="AO2187" t="s">
        <v>66</v>
      </c>
      <c r="AP2187">
        <v>3</v>
      </c>
      <c r="AQ2187" t="s">
        <v>66</v>
      </c>
      <c r="AR2187">
        <v>0</v>
      </c>
      <c r="AS2187" t="s">
        <v>66</v>
      </c>
      <c r="AT2187">
        <v>0</v>
      </c>
      <c r="AU2187" t="s">
        <v>66</v>
      </c>
      <c r="AV2187">
        <v>0</v>
      </c>
      <c r="AW2187" t="s">
        <v>66</v>
      </c>
      <c r="AX2187">
        <v>0</v>
      </c>
      <c r="AY2187" t="s">
        <v>66</v>
      </c>
      <c r="AZ2187">
        <v>0</v>
      </c>
      <c r="BA2187" t="s">
        <v>66</v>
      </c>
      <c r="BB2187">
        <v>0</v>
      </c>
      <c r="BC2187">
        <v>0</v>
      </c>
      <c r="BD2187">
        <v>5588073</v>
      </c>
      <c r="BE2187">
        <v>15617.48</v>
      </c>
      <c r="BF2187">
        <v>0</v>
      </c>
      <c r="BG2187" t="s">
        <v>87</v>
      </c>
      <c r="BH2187" t="s">
        <v>66</v>
      </c>
      <c r="BI2187">
        <v>0</v>
      </c>
      <c r="BJ2187" t="s">
        <v>66</v>
      </c>
      <c r="BK2187" t="s">
        <v>88</v>
      </c>
      <c r="BL2187" t="s">
        <v>877</v>
      </c>
      <c r="BM2187" t="s">
        <v>159</v>
      </c>
    </row>
    <row r="2188" spans="1:65" x14ac:dyDescent="0.25">
      <c r="A2188">
        <v>2186</v>
      </c>
      <c r="B2188" t="s">
        <v>2070</v>
      </c>
      <c r="C2188" t="s">
        <v>2071</v>
      </c>
      <c r="D2188" s="1">
        <v>46232</v>
      </c>
      <c r="E2188" t="s">
        <v>2072</v>
      </c>
      <c r="F2188" t="s">
        <v>2073</v>
      </c>
      <c r="G2188" t="s">
        <v>69</v>
      </c>
      <c r="H2188" t="s">
        <v>70</v>
      </c>
      <c r="I2188" t="s">
        <v>71</v>
      </c>
      <c r="J2188" t="s">
        <v>72</v>
      </c>
      <c r="K2188" t="s">
        <v>73</v>
      </c>
      <c r="L2188" t="s">
        <v>74</v>
      </c>
      <c r="M2188" t="s">
        <v>867</v>
      </c>
      <c r="N2188" t="s">
        <v>696</v>
      </c>
      <c r="O2188" t="s">
        <v>868</v>
      </c>
      <c r="P2188" t="s">
        <v>869</v>
      </c>
      <c r="Q2188" t="s">
        <v>66</v>
      </c>
      <c r="R2188" s="1">
        <v>46232</v>
      </c>
      <c r="S2188" t="s">
        <v>871</v>
      </c>
      <c r="T2188" t="s">
        <v>872</v>
      </c>
      <c r="U2188" t="s">
        <v>873</v>
      </c>
      <c r="V2188" t="s">
        <v>66</v>
      </c>
      <c r="W2188" t="s">
        <v>66</v>
      </c>
      <c r="X2188">
        <v>18306228</v>
      </c>
      <c r="Y2188">
        <v>2013685.08</v>
      </c>
      <c r="Z2188">
        <v>1005696</v>
      </c>
      <c r="AA2188">
        <v>110626.56</v>
      </c>
      <c r="AB2188">
        <v>20319913.079999998</v>
      </c>
      <c r="AC2188">
        <v>6</v>
      </c>
      <c r="AD2188" t="s">
        <v>134</v>
      </c>
      <c r="AE2188">
        <v>72</v>
      </c>
      <c r="AF2188" t="s">
        <v>141</v>
      </c>
      <c r="AG2188">
        <f>IFERROR(VLOOKUP(AF2188,[1]STOK!J:O,6,0),"")</f>
        <v>12</v>
      </c>
      <c r="AH2188" s="2">
        <f t="shared" si="68"/>
        <v>6</v>
      </c>
      <c r="AI2188" t="s">
        <v>141</v>
      </c>
      <c r="AJ2188" t="s">
        <v>142</v>
      </c>
      <c r="AK2188" t="s">
        <v>143</v>
      </c>
      <c r="AL2188" t="s">
        <v>86</v>
      </c>
      <c r="AM2188">
        <v>191808</v>
      </c>
      <c r="AN2188">
        <f t="shared" si="69"/>
        <v>186053.76000000001</v>
      </c>
      <c r="AO2188" t="s">
        <v>66</v>
      </c>
      <c r="AP2188">
        <v>3</v>
      </c>
      <c r="AQ2188" t="s">
        <v>66</v>
      </c>
      <c r="AR2188">
        <v>0</v>
      </c>
      <c r="AS2188" t="s">
        <v>66</v>
      </c>
      <c r="AT2188">
        <v>0</v>
      </c>
      <c r="AU2188" t="s">
        <v>66</v>
      </c>
      <c r="AV2188">
        <v>0</v>
      </c>
      <c r="AW2188" t="s">
        <v>66</v>
      </c>
      <c r="AX2188">
        <v>0</v>
      </c>
      <c r="AY2188" t="s">
        <v>66</v>
      </c>
      <c r="AZ2188">
        <v>0</v>
      </c>
      <c r="BA2188" t="s">
        <v>66</v>
      </c>
      <c r="BB2188">
        <v>0</v>
      </c>
      <c r="BC2188">
        <v>0</v>
      </c>
      <c r="BD2188">
        <v>1116322.56</v>
      </c>
      <c r="BE2188">
        <v>13029.29</v>
      </c>
      <c r="BF2188">
        <v>0</v>
      </c>
      <c r="BG2188" t="s">
        <v>87</v>
      </c>
      <c r="BH2188" t="s">
        <v>66</v>
      </c>
      <c r="BI2188">
        <v>0</v>
      </c>
      <c r="BJ2188" t="s">
        <v>66</v>
      </c>
      <c r="BK2188" t="s">
        <v>88</v>
      </c>
      <c r="BL2188" t="s">
        <v>877</v>
      </c>
      <c r="BM2188" t="s">
        <v>159</v>
      </c>
    </row>
    <row r="2189" spans="1:65" x14ac:dyDescent="0.25">
      <c r="A2189">
        <v>2187</v>
      </c>
      <c r="B2189" t="s">
        <v>2070</v>
      </c>
      <c r="C2189" t="s">
        <v>2071</v>
      </c>
      <c r="D2189" s="1">
        <v>46232</v>
      </c>
      <c r="E2189" t="s">
        <v>2072</v>
      </c>
      <c r="F2189" t="s">
        <v>2073</v>
      </c>
      <c r="G2189" t="s">
        <v>69</v>
      </c>
      <c r="H2189" t="s">
        <v>70</v>
      </c>
      <c r="I2189" t="s">
        <v>71</v>
      </c>
      <c r="J2189" t="s">
        <v>72</v>
      </c>
      <c r="K2189" t="s">
        <v>73</v>
      </c>
      <c r="L2189" t="s">
        <v>74</v>
      </c>
      <c r="M2189" t="s">
        <v>867</v>
      </c>
      <c r="N2189" t="s">
        <v>696</v>
      </c>
      <c r="O2189" t="s">
        <v>868</v>
      </c>
      <c r="P2189" t="s">
        <v>869</v>
      </c>
      <c r="Q2189" t="s">
        <v>66</v>
      </c>
      <c r="R2189" s="1">
        <v>46232</v>
      </c>
      <c r="S2189" t="s">
        <v>871</v>
      </c>
      <c r="T2189" t="s">
        <v>872</v>
      </c>
      <c r="U2189" t="s">
        <v>873</v>
      </c>
      <c r="V2189" t="s">
        <v>66</v>
      </c>
      <c r="W2189" t="s">
        <v>66</v>
      </c>
      <c r="X2189">
        <v>18306228</v>
      </c>
      <c r="Y2189">
        <v>2013685.08</v>
      </c>
      <c r="Z2189">
        <v>2179008</v>
      </c>
      <c r="AA2189">
        <v>239690.88</v>
      </c>
      <c r="AB2189">
        <v>20319913.079999998</v>
      </c>
      <c r="AC2189">
        <v>13</v>
      </c>
      <c r="AD2189" t="s">
        <v>134</v>
      </c>
      <c r="AE2189">
        <v>156</v>
      </c>
      <c r="AF2189" t="s">
        <v>213</v>
      </c>
      <c r="AG2189">
        <f>IFERROR(VLOOKUP(AF2189,[1]STOK!J:O,6,0),"")</f>
        <v>12</v>
      </c>
      <c r="AH2189" s="2">
        <f t="shared" si="68"/>
        <v>13</v>
      </c>
      <c r="AI2189" t="s">
        <v>213</v>
      </c>
      <c r="AJ2189" t="s">
        <v>214</v>
      </c>
      <c r="AK2189" t="s">
        <v>215</v>
      </c>
      <c r="AL2189" t="s">
        <v>86</v>
      </c>
      <c r="AM2189">
        <v>191808</v>
      </c>
      <c r="AN2189">
        <f t="shared" si="69"/>
        <v>186053.75999999998</v>
      </c>
      <c r="AO2189" t="s">
        <v>66</v>
      </c>
      <c r="AP2189">
        <v>3</v>
      </c>
      <c r="AQ2189" t="s">
        <v>66</v>
      </c>
      <c r="AR2189">
        <v>0</v>
      </c>
      <c r="AS2189" t="s">
        <v>66</v>
      </c>
      <c r="AT2189">
        <v>0</v>
      </c>
      <c r="AU2189" t="s">
        <v>66</v>
      </c>
      <c r="AV2189">
        <v>0</v>
      </c>
      <c r="AW2189" t="s">
        <v>66</v>
      </c>
      <c r="AX2189">
        <v>0</v>
      </c>
      <c r="AY2189" t="s">
        <v>66</v>
      </c>
      <c r="AZ2189">
        <v>0</v>
      </c>
      <c r="BA2189" t="s">
        <v>66</v>
      </c>
      <c r="BB2189">
        <v>0</v>
      </c>
      <c r="BC2189">
        <v>0</v>
      </c>
      <c r="BD2189">
        <v>2418698.88</v>
      </c>
      <c r="BE2189">
        <v>12925.49</v>
      </c>
      <c r="BF2189">
        <v>0</v>
      </c>
      <c r="BG2189" t="s">
        <v>87</v>
      </c>
      <c r="BH2189" t="s">
        <v>66</v>
      </c>
      <c r="BI2189">
        <v>0</v>
      </c>
      <c r="BJ2189" t="s">
        <v>66</v>
      </c>
      <c r="BK2189" t="s">
        <v>88</v>
      </c>
      <c r="BL2189" t="s">
        <v>877</v>
      </c>
      <c r="BM2189" t="s">
        <v>159</v>
      </c>
    </row>
    <row r="2190" spans="1:65" x14ac:dyDescent="0.25">
      <c r="A2190">
        <v>2188</v>
      </c>
      <c r="B2190" t="s">
        <v>2074</v>
      </c>
      <c r="C2190" t="s">
        <v>66</v>
      </c>
      <c r="D2190" s="1">
        <v>46232</v>
      </c>
      <c r="E2190" t="s">
        <v>2075</v>
      </c>
      <c r="F2190" t="s">
        <v>68</v>
      </c>
      <c r="G2190" t="s">
        <v>69</v>
      </c>
      <c r="H2190" t="s">
        <v>70</v>
      </c>
      <c r="I2190" t="s">
        <v>71</v>
      </c>
      <c r="J2190" t="s">
        <v>72</v>
      </c>
      <c r="K2190" t="s">
        <v>73</v>
      </c>
      <c r="L2190" t="s">
        <v>74</v>
      </c>
      <c r="M2190" t="s">
        <v>627</v>
      </c>
      <c r="N2190" t="s">
        <v>111</v>
      </c>
      <c r="O2190" t="s">
        <v>628</v>
      </c>
      <c r="P2190" t="s">
        <v>629</v>
      </c>
      <c r="Q2190" t="s">
        <v>66</v>
      </c>
      <c r="R2190" s="1">
        <v>46232</v>
      </c>
      <c r="S2190" t="s">
        <v>628</v>
      </c>
      <c r="T2190" t="s">
        <v>631</v>
      </c>
      <c r="U2190" t="s">
        <v>632</v>
      </c>
      <c r="V2190" t="s">
        <v>66</v>
      </c>
      <c r="W2190" t="s">
        <v>66</v>
      </c>
      <c r="X2190">
        <v>2008908</v>
      </c>
      <c r="Y2190">
        <v>220979.88</v>
      </c>
      <c r="Z2190">
        <v>455004</v>
      </c>
      <c r="AA2190">
        <v>50050.44</v>
      </c>
      <c r="AB2190">
        <v>2229887.88</v>
      </c>
      <c r="AC2190">
        <v>2</v>
      </c>
      <c r="AD2190" t="s">
        <v>134</v>
      </c>
      <c r="AE2190">
        <v>12</v>
      </c>
      <c r="AF2190" t="s">
        <v>138</v>
      </c>
      <c r="AG2190">
        <f>IFERROR(VLOOKUP(AF2190,[1]STOK!J:O,6,0),"")</f>
        <v>6</v>
      </c>
      <c r="AH2190" s="2">
        <f t="shared" si="68"/>
        <v>2</v>
      </c>
      <c r="AI2190" t="s">
        <v>138</v>
      </c>
      <c r="AJ2190" t="s">
        <v>139</v>
      </c>
      <c r="AK2190" t="s">
        <v>140</v>
      </c>
      <c r="AL2190" t="s">
        <v>86</v>
      </c>
      <c r="AM2190">
        <v>255078</v>
      </c>
      <c r="AN2190">
        <f t="shared" si="69"/>
        <v>252527.22</v>
      </c>
      <c r="AO2190" t="s">
        <v>66</v>
      </c>
      <c r="AP2190">
        <v>1</v>
      </c>
      <c r="AQ2190" t="s">
        <v>66</v>
      </c>
      <c r="AR2190">
        <v>0</v>
      </c>
      <c r="AS2190" t="s">
        <v>66</v>
      </c>
      <c r="AT2190">
        <v>0</v>
      </c>
      <c r="AU2190" t="s">
        <v>66</v>
      </c>
      <c r="AV2190">
        <v>0</v>
      </c>
      <c r="AW2190" t="s">
        <v>66</v>
      </c>
      <c r="AX2190">
        <v>0</v>
      </c>
      <c r="AY2190" t="s">
        <v>66</v>
      </c>
      <c r="AZ2190">
        <v>0</v>
      </c>
      <c r="BA2190" t="s">
        <v>66</v>
      </c>
      <c r="BB2190">
        <v>0</v>
      </c>
      <c r="BC2190">
        <v>0</v>
      </c>
      <c r="BD2190">
        <v>505054.44</v>
      </c>
      <c r="BE2190">
        <v>34652.559999999998</v>
      </c>
      <c r="BF2190">
        <v>0</v>
      </c>
      <c r="BG2190" t="s">
        <v>87</v>
      </c>
      <c r="BH2190" t="s">
        <v>66</v>
      </c>
      <c r="BI2190">
        <v>0</v>
      </c>
      <c r="BJ2190" t="s">
        <v>66</v>
      </c>
      <c r="BK2190" t="s">
        <v>88</v>
      </c>
      <c r="BL2190" t="s">
        <v>66</v>
      </c>
      <c r="BM2190" t="s">
        <v>159</v>
      </c>
    </row>
    <row r="2191" spans="1:65" x14ac:dyDescent="0.25">
      <c r="A2191">
        <v>2189</v>
      </c>
      <c r="B2191" t="s">
        <v>2074</v>
      </c>
      <c r="C2191" t="s">
        <v>66</v>
      </c>
      <c r="D2191" s="1">
        <v>46232</v>
      </c>
      <c r="E2191" t="s">
        <v>2075</v>
      </c>
      <c r="F2191" t="s">
        <v>68</v>
      </c>
      <c r="G2191" t="s">
        <v>69</v>
      </c>
      <c r="H2191" t="s">
        <v>70</v>
      </c>
      <c r="I2191" t="s">
        <v>71</v>
      </c>
      <c r="J2191" t="s">
        <v>72</v>
      </c>
      <c r="K2191" t="s">
        <v>73</v>
      </c>
      <c r="L2191" t="s">
        <v>74</v>
      </c>
      <c r="M2191" t="s">
        <v>627</v>
      </c>
      <c r="N2191" t="s">
        <v>111</v>
      </c>
      <c r="O2191" t="s">
        <v>628</v>
      </c>
      <c r="P2191" t="s">
        <v>629</v>
      </c>
      <c r="Q2191" t="s">
        <v>66</v>
      </c>
      <c r="R2191" s="1">
        <v>46232</v>
      </c>
      <c r="S2191" t="s">
        <v>628</v>
      </c>
      <c r="T2191" t="s">
        <v>631</v>
      </c>
      <c r="U2191" t="s">
        <v>632</v>
      </c>
      <c r="V2191" t="s">
        <v>66</v>
      </c>
      <c r="W2191" t="s">
        <v>66</v>
      </c>
      <c r="X2191">
        <v>2008908</v>
      </c>
      <c r="Y2191">
        <v>220979.88</v>
      </c>
      <c r="Z2191">
        <v>342144</v>
      </c>
      <c r="AA2191">
        <v>37635.839999999997</v>
      </c>
      <c r="AB2191">
        <v>2229887.88</v>
      </c>
      <c r="AC2191">
        <v>24</v>
      </c>
      <c r="AD2191" t="s">
        <v>82</v>
      </c>
      <c r="AE2191">
        <v>24</v>
      </c>
      <c r="AF2191" t="s">
        <v>141</v>
      </c>
      <c r="AG2191">
        <f>IFERROR(VLOOKUP(AF2191,[1]STOK!J:O,6,0),"")</f>
        <v>12</v>
      </c>
      <c r="AH2191" s="2">
        <f t="shared" si="68"/>
        <v>2</v>
      </c>
      <c r="AI2191" t="s">
        <v>141</v>
      </c>
      <c r="AJ2191" t="s">
        <v>142</v>
      </c>
      <c r="AK2191" t="s">
        <v>143</v>
      </c>
      <c r="AL2191" t="s">
        <v>86</v>
      </c>
      <c r="AM2191">
        <v>15984</v>
      </c>
      <c r="AN2191">
        <f t="shared" si="69"/>
        <v>15824.160000000002</v>
      </c>
      <c r="AO2191" t="s">
        <v>66</v>
      </c>
      <c r="AP2191">
        <v>1</v>
      </c>
      <c r="AQ2191" t="s">
        <v>66</v>
      </c>
      <c r="AR2191">
        <v>0</v>
      </c>
      <c r="AS2191" t="s">
        <v>66</v>
      </c>
      <c r="AT2191">
        <v>0</v>
      </c>
      <c r="AU2191" t="s">
        <v>66</v>
      </c>
      <c r="AV2191">
        <v>0</v>
      </c>
      <c r="AW2191" t="s">
        <v>66</v>
      </c>
      <c r="AX2191">
        <v>0</v>
      </c>
      <c r="AY2191" t="s">
        <v>66</v>
      </c>
      <c r="AZ2191">
        <v>0</v>
      </c>
      <c r="BA2191" t="s">
        <v>66</v>
      </c>
      <c r="BB2191">
        <v>0</v>
      </c>
      <c r="BC2191">
        <v>0</v>
      </c>
      <c r="BD2191">
        <v>379779.84000000003</v>
      </c>
      <c r="BE2191">
        <v>13029.29</v>
      </c>
      <c r="BF2191">
        <v>0</v>
      </c>
      <c r="BG2191" t="s">
        <v>87</v>
      </c>
      <c r="BH2191" t="s">
        <v>66</v>
      </c>
      <c r="BI2191">
        <v>0</v>
      </c>
      <c r="BJ2191" t="s">
        <v>66</v>
      </c>
      <c r="BK2191" t="s">
        <v>88</v>
      </c>
      <c r="BL2191" t="s">
        <v>66</v>
      </c>
      <c r="BM2191" t="s">
        <v>159</v>
      </c>
    </row>
    <row r="2192" spans="1:65" x14ac:dyDescent="0.25">
      <c r="A2192">
        <v>2190</v>
      </c>
      <c r="B2192" t="s">
        <v>2074</v>
      </c>
      <c r="C2192" t="s">
        <v>66</v>
      </c>
      <c r="D2192" s="1">
        <v>46232</v>
      </c>
      <c r="E2192" t="s">
        <v>2075</v>
      </c>
      <c r="F2192" t="s">
        <v>68</v>
      </c>
      <c r="G2192" t="s">
        <v>69</v>
      </c>
      <c r="H2192" t="s">
        <v>70</v>
      </c>
      <c r="I2192" t="s">
        <v>71</v>
      </c>
      <c r="J2192" t="s">
        <v>72</v>
      </c>
      <c r="K2192" t="s">
        <v>73</v>
      </c>
      <c r="L2192" t="s">
        <v>74</v>
      </c>
      <c r="M2192" t="s">
        <v>627</v>
      </c>
      <c r="N2192" t="s">
        <v>111</v>
      </c>
      <c r="O2192" t="s">
        <v>628</v>
      </c>
      <c r="P2192" t="s">
        <v>629</v>
      </c>
      <c r="Q2192" t="s">
        <v>66</v>
      </c>
      <c r="R2192" s="1">
        <v>46232</v>
      </c>
      <c r="S2192" t="s">
        <v>628</v>
      </c>
      <c r="T2192" t="s">
        <v>631</v>
      </c>
      <c r="U2192" t="s">
        <v>632</v>
      </c>
      <c r="V2192" t="s">
        <v>66</v>
      </c>
      <c r="W2192" t="s">
        <v>66</v>
      </c>
      <c r="X2192">
        <v>2008908</v>
      </c>
      <c r="Y2192">
        <v>220979.88</v>
      </c>
      <c r="Z2192">
        <v>342144</v>
      </c>
      <c r="AA2192">
        <v>37635.839999999997</v>
      </c>
      <c r="AB2192">
        <v>2229887.88</v>
      </c>
      <c r="AC2192">
        <v>24</v>
      </c>
      <c r="AD2192" t="s">
        <v>82</v>
      </c>
      <c r="AE2192">
        <v>24</v>
      </c>
      <c r="AF2192" t="s">
        <v>213</v>
      </c>
      <c r="AG2192">
        <f>IFERROR(VLOOKUP(AF2192,[1]STOK!J:O,6,0),"")</f>
        <v>12</v>
      </c>
      <c r="AH2192" s="2">
        <f t="shared" si="68"/>
        <v>2</v>
      </c>
      <c r="AI2192" t="s">
        <v>213</v>
      </c>
      <c r="AJ2192" t="s">
        <v>214</v>
      </c>
      <c r="AK2192" t="s">
        <v>215</v>
      </c>
      <c r="AL2192" t="s">
        <v>86</v>
      </c>
      <c r="AM2192">
        <v>15984</v>
      </c>
      <c r="AN2192">
        <f t="shared" si="69"/>
        <v>15824.160000000002</v>
      </c>
      <c r="AO2192" t="s">
        <v>66</v>
      </c>
      <c r="AP2192">
        <v>1</v>
      </c>
      <c r="AQ2192" t="s">
        <v>66</v>
      </c>
      <c r="AR2192">
        <v>0</v>
      </c>
      <c r="AS2192" t="s">
        <v>66</v>
      </c>
      <c r="AT2192">
        <v>0</v>
      </c>
      <c r="AU2192" t="s">
        <v>66</v>
      </c>
      <c r="AV2192">
        <v>0</v>
      </c>
      <c r="AW2192" t="s">
        <v>66</v>
      </c>
      <c r="AX2192">
        <v>0</v>
      </c>
      <c r="AY2192" t="s">
        <v>66</v>
      </c>
      <c r="AZ2192">
        <v>0</v>
      </c>
      <c r="BA2192" t="s">
        <v>66</v>
      </c>
      <c r="BB2192">
        <v>0</v>
      </c>
      <c r="BC2192">
        <v>0</v>
      </c>
      <c r="BD2192">
        <v>379779.84000000003</v>
      </c>
      <c r="BE2192">
        <v>12925.49</v>
      </c>
      <c r="BF2192">
        <v>0</v>
      </c>
      <c r="BG2192" t="s">
        <v>87</v>
      </c>
      <c r="BH2192" t="s">
        <v>66</v>
      </c>
      <c r="BI2192">
        <v>0</v>
      </c>
      <c r="BJ2192" t="s">
        <v>66</v>
      </c>
      <c r="BK2192" t="s">
        <v>88</v>
      </c>
      <c r="BL2192" t="s">
        <v>66</v>
      </c>
      <c r="BM2192" t="s">
        <v>159</v>
      </c>
    </row>
    <row r="2193" spans="1:65" x14ac:dyDescent="0.25">
      <c r="A2193">
        <v>2191</v>
      </c>
      <c r="B2193" t="s">
        <v>2074</v>
      </c>
      <c r="C2193" t="s">
        <v>66</v>
      </c>
      <c r="D2193" s="1">
        <v>46232</v>
      </c>
      <c r="E2193" t="s">
        <v>2075</v>
      </c>
      <c r="F2193" t="s">
        <v>68</v>
      </c>
      <c r="G2193" t="s">
        <v>69</v>
      </c>
      <c r="H2193" t="s">
        <v>70</v>
      </c>
      <c r="I2193" t="s">
        <v>71</v>
      </c>
      <c r="J2193" t="s">
        <v>72</v>
      </c>
      <c r="K2193" t="s">
        <v>73</v>
      </c>
      <c r="L2193" t="s">
        <v>74</v>
      </c>
      <c r="M2193" t="s">
        <v>627</v>
      </c>
      <c r="N2193" t="s">
        <v>111</v>
      </c>
      <c r="O2193" t="s">
        <v>628</v>
      </c>
      <c r="P2193" t="s">
        <v>629</v>
      </c>
      <c r="Q2193" t="s">
        <v>66</v>
      </c>
      <c r="R2193" s="1">
        <v>46232</v>
      </c>
      <c r="S2193" t="s">
        <v>628</v>
      </c>
      <c r="T2193" t="s">
        <v>631</v>
      </c>
      <c r="U2193" t="s">
        <v>632</v>
      </c>
      <c r="V2193" t="s">
        <v>66</v>
      </c>
      <c r="W2193" t="s">
        <v>66</v>
      </c>
      <c r="X2193">
        <v>2008908</v>
      </c>
      <c r="Y2193">
        <v>220979.88</v>
      </c>
      <c r="Z2193">
        <v>541728</v>
      </c>
      <c r="AA2193">
        <v>59590.080000000002</v>
      </c>
      <c r="AB2193">
        <v>2229887.88</v>
      </c>
      <c r="AC2193">
        <v>2</v>
      </c>
      <c r="AD2193" t="s">
        <v>134</v>
      </c>
      <c r="AE2193">
        <v>24</v>
      </c>
      <c r="AF2193" t="s">
        <v>2076</v>
      </c>
      <c r="AG2193">
        <f>IFERROR(VLOOKUP(AF2193,[1]STOK!J:O,6,0),"")</f>
        <v>12</v>
      </c>
      <c r="AH2193" s="2">
        <f t="shared" si="68"/>
        <v>2</v>
      </c>
      <c r="AI2193" t="s">
        <v>2076</v>
      </c>
      <c r="AJ2193" t="s">
        <v>2077</v>
      </c>
      <c r="AK2193" t="s">
        <v>2078</v>
      </c>
      <c r="AL2193" t="s">
        <v>86</v>
      </c>
      <c r="AM2193">
        <v>303696</v>
      </c>
      <c r="AN2193">
        <f t="shared" si="69"/>
        <v>300659.03999999998</v>
      </c>
      <c r="AO2193" t="s">
        <v>66</v>
      </c>
      <c r="AP2193">
        <v>1</v>
      </c>
      <c r="AQ2193" t="s">
        <v>66</v>
      </c>
      <c r="AR2193">
        <v>0</v>
      </c>
      <c r="AS2193" t="s">
        <v>66</v>
      </c>
      <c r="AT2193">
        <v>0</v>
      </c>
      <c r="AU2193" t="s">
        <v>66</v>
      </c>
      <c r="AV2193">
        <v>0</v>
      </c>
      <c r="AW2193" t="s">
        <v>66</v>
      </c>
      <c r="AX2193">
        <v>0</v>
      </c>
      <c r="AY2193" t="s">
        <v>66</v>
      </c>
      <c r="AZ2193">
        <v>0</v>
      </c>
      <c r="BA2193" t="s">
        <v>66</v>
      </c>
      <c r="BB2193">
        <v>0</v>
      </c>
      <c r="BC2193">
        <v>0</v>
      </c>
      <c r="BD2193">
        <v>601318.07999999996</v>
      </c>
      <c r="BE2193">
        <v>20537.150000000001</v>
      </c>
      <c r="BF2193">
        <v>0</v>
      </c>
      <c r="BG2193" t="s">
        <v>87</v>
      </c>
      <c r="BH2193" t="s">
        <v>66</v>
      </c>
      <c r="BI2193">
        <v>0</v>
      </c>
      <c r="BJ2193" t="s">
        <v>66</v>
      </c>
      <c r="BK2193" t="s">
        <v>88</v>
      </c>
      <c r="BL2193" t="s">
        <v>66</v>
      </c>
      <c r="BM2193" t="s">
        <v>159</v>
      </c>
    </row>
    <row r="2194" spans="1:65" x14ac:dyDescent="0.25">
      <c r="A2194">
        <v>2192</v>
      </c>
      <c r="B2194" t="s">
        <v>2074</v>
      </c>
      <c r="C2194" t="s">
        <v>66</v>
      </c>
      <c r="D2194" s="1">
        <v>46232</v>
      </c>
      <c r="E2194" t="s">
        <v>2075</v>
      </c>
      <c r="F2194" t="s">
        <v>68</v>
      </c>
      <c r="G2194" t="s">
        <v>69</v>
      </c>
      <c r="H2194" t="s">
        <v>70</v>
      </c>
      <c r="I2194" t="s">
        <v>71</v>
      </c>
      <c r="J2194" t="s">
        <v>72</v>
      </c>
      <c r="K2194" t="s">
        <v>73</v>
      </c>
      <c r="L2194" t="s">
        <v>74</v>
      </c>
      <c r="M2194" t="s">
        <v>627</v>
      </c>
      <c r="N2194" t="s">
        <v>111</v>
      </c>
      <c r="O2194" t="s">
        <v>628</v>
      </c>
      <c r="P2194" t="s">
        <v>629</v>
      </c>
      <c r="Q2194" t="s">
        <v>66</v>
      </c>
      <c r="R2194" s="1">
        <v>46232</v>
      </c>
      <c r="S2194" t="s">
        <v>628</v>
      </c>
      <c r="T2194" t="s">
        <v>631</v>
      </c>
      <c r="U2194" t="s">
        <v>632</v>
      </c>
      <c r="V2194" t="s">
        <v>66</v>
      </c>
      <c r="W2194" t="s">
        <v>66</v>
      </c>
      <c r="X2194">
        <v>2008908</v>
      </c>
      <c r="Y2194">
        <v>220979.88</v>
      </c>
      <c r="Z2194">
        <v>327888</v>
      </c>
      <c r="AA2194">
        <v>36067.68</v>
      </c>
      <c r="AB2194">
        <v>2229887.88</v>
      </c>
      <c r="AC2194">
        <v>2</v>
      </c>
      <c r="AD2194" t="s">
        <v>134</v>
      </c>
      <c r="AE2194">
        <v>24</v>
      </c>
      <c r="AF2194" t="s">
        <v>105</v>
      </c>
      <c r="AG2194">
        <f>IFERROR(VLOOKUP(AF2194,[1]STOK!J:O,6,0),"")</f>
        <v>12</v>
      </c>
      <c r="AH2194" s="2">
        <f t="shared" si="68"/>
        <v>2</v>
      </c>
      <c r="AI2194" t="s">
        <v>105</v>
      </c>
      <c r="AJ2194" t="s">
        <v>106</v>
      </c>
      <c r="AK2194" t="s">
        <v>107</v>
      </c>
      <c r="AL2194" t="s">
        <v>86</v>
      </c>
      <c r="AM2194">
        <v>183816</v>
      </c>
      <c r="AN2194">
        <f t="shared" si="69"/>
        <v>181977.84</v>
      </c>
      <c r="AO2194" t="s">
        <v>66</v>
      </c>
      <c r="AP2194">
        <v>1</v>
      </c>
      <c r="AQ2194" t="s">
        <v>66</v>
      </c>
      <c r="AR2194">
        <v>0</v>
      </c>
      <c r="AS2194" t="s">
        <v>66</v>
      </c>
      <c r="AT2194">
        <v>0</v>
      </c>
      <c r="AU2194" t="s">
        <v>66</v>
      </c>
      <c r="AV2194">
        <v>0</v>
      </c>
      <c r="AW2194" t="s">
        <v>66</v>
      </c>
      <c r="AX2194">
        <v>0</v>
      </c>
      <c r="AY2194" t="s">
        <v>66</v>
      </c>
      <c r="AZ2194">
        <v>0</v>
      </c>
      <c r="BA2194" t="s">
        <v>66</v>
      </c>
      <c r="BB2194">
        <v>0</v>
      </c>
      <c r="BC2194">
        <v>0</v>
      </c>
      <c r="BD2194">
        <v>363955.68</v>
      </c>
      <c r="BE2194">
        <v>12470.34</v>
      </c>
      <c r="BF2194">
        <v>0</v>
      </c>
      <c r="BG2194" t="s">
        <v>87</v>
      </c>
      <c r="BH2194" t="s">
        <v>66</v>
      </c>
      <c r="BI2194">
        <v>0</v>
      </c>
      <c r="BJ2194" t="s">
        <v>66</v>
      </c>
      <c r="BK2194" t="s">
        <v>88</v>
      </c>
      <c r="BL2194" t="s">
        <v>66</v>
      </c>
      <c r="BM2194" t="s">
        <v>159</v>
      </c>
    </row>
    <row r="2195" spans="1:65" x14ac:dyDescent="0.25">
      <c r="A2195">
        <v>2193</v>
      </c>
      <c r="B2195" t="s">
        <v>2079</v>
      </c>
      <c r="C2195" t="s">
        <v>66</v>
      </c>
      <c r="D2195" s="1">
        <v>46232</v>
      </c>
      <c r="E2195" t="s">
        <v>2080</v>
      </c>
      <c r="F2195" t="s">
        <v>68</v>
      </c>
      <c r="G2195" t="s">
        <v>69</v>
      </c>
      <c r="H2195" t="s">
        <v>70</v>
      </c>
      <c r="I2195" t="s">
        <v>71</v>
      </c>
      <c r="J2195" t="s">
        <v>72</v>
      </c>
      <c r="K2195" t="s">
        <v>73</v>
      </c>
      <c r="L2195" t="s">
        <v>74</v>
      </c>
      <c r="M2195" t="s">
        <v>627</v>
      </c>
      <c r="N2195" t="s">
        <v>111</v>
      </c>
      <c r="O2195" t="s">
        <v>628</v>
      </c>
      <c r="P2195" t="s">
        <v>629</v>
      </c>
      <c r="Q2195" t="s">
        <v>66</v>
      </c>
      <c r="R2195" s="1">
        <v>46232</v>
      </c>
      <c r="S2195" t="s">
        <v>628</v>
      </c>
      <c r="T2195" t="s">
        <v>631</v>
      </c>
      <c r="U2195" t="s">
        <v>632</v>
      </c>
      <c r="V2195" t="s">
        <v>66</v>
      </c>
      <c r="W2195" t="s">
        <v>66</v>
      </c>
      <c r="X2195">
        <v>237900</v>
      </c>
      <c r="Y2195">
        <v>26169</v>
      </c>
      <c r="Z2195">
        <v>31500</v>
      </c>
      <c r="AA2195">
        <v>3465</v>
      </c>
      <c r="AB2195">
        <v>264069</v>
      </c>
      <c r="AC2195">
        <v>3</v>
      </c>
      <c r="AD2195" t="s">
        <v>82</v>
      </c>
      <c r="AE2195">
        <v>3</v>
      </c>
      <c r="AF2195" t="s">
        <v>1549</v>
      </c>
      <c r="AG2195">
        <f>IFERROR(VLOOKUP(AF2195,[1]STOK!J:O,6,0),"")</f>
        <v>24</v>
      </c>
      <c r="AH2195" s="2">
        <f t="shared" si="68"/>
        <v>0.125</v>
      </c>
      <c r="AI2195" t="s">
        <v>1549</v>
      </c>
      <c r="AJ2195" t="s">
        <v>1550</v>
      </c>
      <c r="AK2195" t="s">
        <v>1551</v>
      </c>
      <c r="AL2195" t="s">
        <v>86</v>
      </c>
      <c r="AM2195">
        <v>11655</v>
      </c>
      <c r="AN2195">
        <f t="shared" si="69"/>
        <v>11655</v>
      </c>
      <c r="AO2195" t="s">
        <v>66</v>
      </c>
      <c r="AP2195">
        <v>0</v>
      </c>
      <c r="AQ2195" t="s">
        <v>66</v>
      </c>
      <c r="AR2195">
        <v>0</v>
      </c>
      <c r="AS2195" t="s">
        <v>66</v>
      </c>
      <c r="AT2195">
        <v>0</v>
      </c>
      <c r="AU2195" t="s">
        <v>66</v>
      </c>
      <c r="AV2195">
        <v>0</v>
      </c>
      <c r="AW2195" t="s">
        <v>66</v>
      </c>
      <c r="AX2195">
        <v>0</v>
      </c>
      <c r="AY2195" t="s">
        <v>66</v>
      </c>
      <c r="AZ2195">
        <v>0</v>
      </c>
      <c r="BA2195" t="s">
        <v>66</v>
      </c>
      <c r="BB2195">
        <v>0</v>
      </c>
      <c r="BC2195">
        <v>0</v>
      </c>
      <c r="BD2195">
        <v>34965</v>
      </c>
      <c r="BE2195">
        <v>9487.51</v>
      </c>
      <c r="BF2195">
        <v>0</v>
      </c>
      <c r="BG2195" t="s">
        <v>87</v>
      </c>
      <c r="BH2195" t="s">
        <v>66</v>
      </c>
      <c r="BI2195">
        <v>0</v>
      </c>
      <c r="BJ2195" t="s">
        <v>66</v>
      </c>
      <c r="BK2195" t="s">
        <v>88</v>
      </c>
      <c r="BL2195" t="s">
        <v>66</v>
      </c>
      <c r="BM2195" t="s">
        <v>159</v>
      </c>
    </row>
    <row r="2196" spans="1:65" x14ac:dyDescent="0.25">
      <c r="A2196">
        <v>2194</v>
      </c>
      <c r="B2196" t="s">
        <v>2079</v>
      </c>
      <c r="C2196" t="s">
        <v>66</v>
      </c>
      <c r="D2196" s="1">
        <v>46232</v>
      </c>
      <c r="E2196" t="s">
        <v>2080</v>
      </c>
      <c r="F2196" t="s">
        <v>68</v>
      </c>
      <c r="G2196" t="s">
        <v>69</v>
      </c>
      <c r="H2196" t="s">
        <v>70</v>
      </c>
      <c r="I2196" t="s">
        <v>71</v>
      </c>
      <c r="J2196" t="s">
        <v>72</v>
      </c>
      <c r="K2196" t="s">
        <v>73</v>
      </c>
      <c r="L2196" t="s">
        <v>74</v>
      </c>
      <c r="M2196" t="s">
        <v>627</v>
      </c>
      <c r="N2196" t="s">
        <v>111</v>
      </c>
      <c r="O2196" t="s">
        <v>628</v>
      </c>
      <c r="P2196" t="s">
        <v>629</v>
      </c>
      <c r="Q2196" t="s">
        <v>66</v>
      </c>
      <c r="R2196" s="1">
        <v>46232</v>
      </c>
      <c r="S2196" t="s">
        <v>628</v>
      </c>
      <c r="T2196" t="s">
        <v>631</v>
      </c>
      <c r="U2196" t="s">
        <v>632</v>
      </c>
      <c r="V2196" t="s">
        <v>66</v>
      </c>
      <c r="W2196" t="s">
        <v>66</v>
      </c>
      <c r="X2196">
        <v>237900</v>
      </c>
      <c r="Y2196">
        <v>26169</v>
      </c>
      <c r="Z2196">
        <v>55200</v>
      </c>
      <c r="AA2196">
        <v>6072</v>
      </c>
      <c r="AB2196">
        <v>264069</v>
      </c>
      <c r="AC2196">
        <v>3</v>
      </c>
      <c r="AD2196" t="s">
        <v>82</v>
      </c>
      <c r="AE2196">
        <v>3</v>
      </c>
      <c r="AF2196" t="s">
        <v>160</v>
      </c>
      <c r="AG2196">
        <f>IFERROR(VLOOKUP(AF2196,[1]STOK!J:O,6,0),"")</f>
        <v>12</v>
      </c>
      <c r="AH2196" s="2">
        <f t="shared" si="68"/>
        <v>0.25</v>
      </c>
      <c r="AI2196" t="s">
        <v>160</v>
      </c>
      <c r="AJ2196" t="s">
        <v>161</v>
      </c>
      <c r="AK2196" t="s">
        <v>162</v>
      </c>
      <c r="AL2196" t="s">
        <v>86</v>
      </c>
      <c r="AM2196">
        <v>20424</v>
      </c>
      <c r="AN2196">
        <f t="shared" si="69"/>
        <v>20424</v>
      </c>
      <c r="AO2196" t="s">
        <v>66</v>
      </c>
      <c r="AP2196">
        <v>0</v>
      </c>
      <c r="AQ2196" t="s">
        <v>66</v>
      </c>
      <c r="AR2196">
        <v>0</v>
      </c>
      <c r="AS2196" t="s">
        <v>66</v>
      </c>
      <c r="AT2196">
        <v>0</v>
      </c>
      <c r="AU2196" t="s">
        <v>66</v>
      </c>
      <c r="AV2196">
        <v>0</v>
      </c>
      <c r="AW2196" t="s">
        <v>66</v>
      </c>
      <c r="AX2196">
        <v>0</v>
      </c>
      <c r="AY2196" t="s">
        <v>66</v>
      </c>
      <c r="AZ2196">
        <v>0</v>
      </c>
      <c r="BA2196" t="s">
        <v>66</v>
      </c>
      <c r="BB2196">
        <v>0</v>
      </c>
      <c r="BC2196">
        <v>0</v>
      </c>
      <c r="BD2196">
        <v>61272</v>
      </c>
      <c r="BE2196">
        <v>16599.93</v>
      </c>
      <c r="BF2196">
        <v>0</v>
      </c>
      <c r="BG2196" t="s">
        <v>87</v>
      </c>
      <c r="BH2196" t="s">
        <v>66</v>
      </c>
      <c r="BI2196">
        <v>0</v>
      </c>
      <c r="BJ2196" t="s">
        <v>66</v>
      </c>
      <c r="BK2196" t="s">
        <v>88</v>
      </c>
      <c r="BL2196" t="s">
        <v>66</v>
      </c>
      <c r="BM2196" t="s">
        <v>159</v>
      </c>
    </row>
    <row r="2197" spans="1:65" x14ac:dyDescent="0.25">
      <c r="A2197">
        <v>2195</v>
      </c>
      <c r="B2197" t="s">
        <v>2079</v>
      </c>
      <c r="C2197" t="s">
        <v>66</v>
      </c>
      <c r="D2197" s="1">
        <v>46232</v>
      </c>
      <c r="E2197" t="s">
        <v>2080</v>
      </c>
      <c r="F2197" t="s">
        <v>68</v>
      </c>
      <c r="G2197" t="s">
        <v>69</v>
      </c>
      <c r="H2197" t="s">
        <v>70</v>
      </c>
      <c r="I2197" t="s">
        <v>71</v>
      </c>
      <c r="J2197" t="s">
        <v>72</v>
      </c>
      <c r="K2197" t="s">
        <v>73</v>
      </c>
      <c r="L2197" t="s">
        <v>74</v>
      </c>
      <c r="M2197" t="s">
        <v>627</v>
      </c>
      <c r="N2197" t="s">
        <v>111</v>
      </c>
      <c r="O2197" t="s">
        <v>628</v>
      </c>
      <c r="P2197" t="s">
        <v>629</v>
      </c>
      <c r="Q2197" t="s">
        <v>66</v>
      </c>
      <c r="R2197" s="1">
        <v>46232</v>
      </c>
      <c r="S2197" t="s">
        <v>628</v>
      </c>
      <c r="T2197" t="s">
        <v>631</v>
      </c>
      <c r="U2197" t="s">
        <v>632</v>
      </c>
      <c r="V2197" t="s">
        <v>66</v>
      </c>
      <c r="W2197" t="s">
        <v>66</v>
      </c>
      <c r="X2197">
        <v>237900</v>
      </c>
      <c r="Y2197">
        <v>26169</v>
      </c>
      <c r="Z2197">
        <v>23700</v>
      </c>
      <c r="AA2197">
        <v>2607</v>
      </c>
      <c r="AB2197">
        <v>264069</v>
      </c>
      <c r="AC2197">
        <v>3</v>
      </c>
      <c r="AD2197" t="s">
        <v>82</v>
      </c>
      <c r="AE2197">
        <v>3</v>
      </c>
      <c r="AF2197" t="s">
        <v>199</v>
      </c>
      <c r="AG2197">
        <f>IFERROR(VLOOKUP(AF2197,[1]STOK!J:O,6,0),"")</f>
        <v>24</v>
      </c>
      <c r="AH2197" s="2">
        <f t="shared" si="68"/>
        <v>0.125</v>
      </c>
      <c r="AI2197" t="s">
        <v>199</v>
      </c>
      <c r="AJ2197" t="s">
        <v>200</v>
      </c>
      <c r="AK2197" t="s">
        <v>201</v>
      </c>
      <c r="AL2197" t="s">
        <v>86</v>
      </c>
      <c r="AM2197">
        <v>8769</v>
      </c>
      <c r="AN2197">
        <f t="shared" si="69"/>
        <v>8769</v>
      </c>
      <c r="AO2197" t="s">
        <v>66</v>
      </c>
      <c r="AP2197">
        <v>0</v>
      </c>
      <c r="AQ2197" t="s">
        <v>66</v>
      </c>
      <c r="AR2197">
        <v>0</v>
      </c>
      <c r="AS2197" t="s">
        <v>66</v>
      </c>
      <c r="AT2197">
        <v>0</v>
      </c>
      <c r="AU2197" t="s">
        <v>66</v>
      </c>
      <c r="AV2197">
        <v>0</v>
      </c>
      <c r="AW2197" t="s">
        <v>66</v>
      </c>
      <c r="AX2197">
        <v>0</v>
      </c>
      <c r="AY2197" t="s">
        <v>66</v>
      </c>
      <c r="AZ2197">
        <v>0</v>
      </c>
      <c r="BA2197" t="s">
        <v>66</v>
      </c>
      <c r="BB2197">
        <v>0</v>
      </c>
      <c r="BC2197">
        <v>0</v>
      </c>
      <c r="BD2197">
        <v>26307</v>
      </c>
      <c r="BE2197">
        <v>7134.31</v>
      </c>
      <c r="BF2197">
        <v>0</v>
      </c>
      <c r="BG2197" t="s">
        <v>87</v>
      </c>
      <c r="BH2197" t="s">
        <v>66</v>
      </c>
      <c r="BI2197">
        <v>0</v>
      </c>
      <c r="BJ2197" t="s">
        <v>66</v>
      </c>
      <c r="BK2197" t="s">
        <v>88</v>
      </c>
      <c r="BL2197" t="s">
        <v>66</v>
      </c>
      <c r="BM2197" t="s">
        <v>159</v>
      </c>
    </row>
    <row r="2198" spans="1:65" x14ac:dyDescent="0.25">
      <c r="A2198">
        <v>2196</v>
      </c>
      <c r="B2198" t="s">
        <v>2079</v>
      </c>
      <c r="C2198" t="s">
        <v>66</v>
      </c>
      <c r="D2198" s="1">
        <v>46232</v>
      </c>
      <c r="E2198" t="s">
        <v>2080</v>
      </c>
      <c r="F2198" t="s">
        <v>68</v>
      </c>
      <c r="G2198" t="s">
        <v>69</v>
      </c>
      <c r="H2198" t="s">
        <v>70</v>
      </c>
      <c r="I2198" t="s">
        <v>71</v>
      </c>
      <c r="J2198" t="s">
        <v>72</v>
      </c>
      <c r="K2198" t="s">
        <v>73</v>
      </c>
      <c r="L2198" t="s">
        <v>74</v>
      </c>
      <c r="M2198" t="s">
        <v>627</v>
      </c>
      <c r="N2198" t="s">
        <v>111</v>
      </c>
      <c r="O2198" t="s">
        <v>628</v>
      </c>
      <c r="P2198" t="s">
        <v>629</v>
      </c>
      <c r="Q2198" t="s">
        <v>66</v>
      </c>
      <c r="R2198" s="1">
        <v>46232</v>
      </c>
      <c r="S2198" t="s">
        <v>628</v>
      </c>
      <c r="T2198" t="s">
        <v>631</v>
      </c>
      <c r="U2198" t="s">
        <v>632</v>
      </c>
      <c r="V2198" t="s">
        <v>66</v>
      </c>
      <c r="W2198" t="s">
        <v>66</v>
      </c>
      <c r="X2198">
        <v>237900</v>
      </c>
      <c r="Y2198">
        <v>26169</v>
      </c>
      <c r="Z2198">
        <v>30600</v>
      </c>
      <c r="AA2198">
        <v>3366</v>
      </c>
      <c r="AB2198">
        <v>264069</v>
      </c>
      <c r="AC2198">
        <v>3</v>
      </c>
      <c r="AD2198" t="s">
        <v>82</v>
      </c>
      <c r="AE2198">
        <v>3</v>
      </c>
      <c r="AF2198" t="s">
        <v>726</v>
      </c>
      <c r="AG2198">
        <f>IFERROR(VLOOKUP(AF2198,[1]STOK!J:O,6,0),"")</f>
        <v>24</v>
      </c>
      <c r="AH2198" s="2">
        <f t="shared" si="68"/>
        <v>0.125</v>
      </c>
      <c r="AI2198" t="s">
        <v>726</v>
      </c>
      <c r="AJ2198" t="s">
        <v>727</v>
      </c>
      <c r="AK2198" t="s">
        <v>728</v>
      </c>
      <c r="AL2198" t="s">
        <v>86</v>
      </c>
      <c r="AM2198">
        <v>11322</v>
      </c>
      <c r="AN2198">
        <f t="shared" si="69"/>
        <v>11322</v>
      </c>
      <c r="AO2198" t="s">
        <v>66</v>
      </c>
      <c r="AP2198">
        <v>0</v>
      </c>
      <c r="AQ2198" t="s">
        <v>66</v>
      </c>
      <c r="AR2198">
        <v>0</v>
      </c>
      <c r="AS2198" t="s">
        <v>66</v>
      </c>
      <c r="AT2198">
        <v>0</v>
      </c>
      <c r="AU2198" t="s">
        <v>66</v>
      </c>
      <c r="AV2198">
        <v>0</v>
      </c>
      <c r="AW2198" t="s">
        <v>66</v>
      </c>
      <c r="AX2198">
        <v>0</v>
      </c>
      <c r="AY2198" t="s">
        <v>66</v>
      </c>
      <c r="AZ2198">
        <v>0</v>
      </c>
      <c r="BA2198" t="s">
        <v>66</v>
      </c>
      <c r="BB2198">
        <v>0</v>
      </c>
      <c r="BC2198">
        <v>0</v>
      </c>
      <c r="BD2198">
        <v>33966</v>
      </c>
      <c r="BE2198">
        <v>8853.69</v>
      </c>
      <c r="BF2198">
        <v>0</v>
      </c>
      <c r="BG2198" t="s">
        <v>87</v>
      </c>
      <c r="BH2198" t="s">
        <v>66</v>
      </c>
      <c r="BI2198">
        <v>0</v>
      </c>
      <c r="BJ2198" t="s">
        <v>66</v>
      </c>
      <c r="BK2198" t="s">
        <v>88</v>
      </c>
      <c r="BL2198" t="s">
        <v>66</v>
      </c>
      <c r="BM2198" t="s">
        <v>159</v>
      </c>
    </row>
    <row r="2199" spans="1:65" x14ac:dyDescent="0.25">
      <c r="A2199">
        <v>2197</v>
      </c>
      <c r="B2199" t="s">
        <v>2079</v>
      </c>
      <c r="C2199" t="s">
        <v>66</v>
      </c>
      <c r="D2199" s="1">
        <v>46232</v>
      </c>
      <c r="E2199" t="s">
        <v>2080</v>
      </c>
      <c r="F2199" t="s">
        <v>68</v>
      </c>
      <c r="G2199" t="s">
        <v>69</v>
      </c>
      <c r="H2199" t="s">
        <v>70</v>
      </c>
      <c r="I2199" t="s">
        <v>71</v>
      </c>
      <c r="J2199" t="s">
        <v>72</v>
      </c>
      <c r="K2199" t="s">
        <v>73</v>
      </c>
      <c r="L2199" t="s">
        <v>74</v>
      </c>
      <c r="M2199" t="s">
        <v>627</v>
      </c>
      <c r="N2199" t="s">
        <v>111</v>
      </c>
      <c r="O2199" t="s">
        <v>628</v>
      </c>
      <c r="P2199" t="s">
        <v>629</v>
      </c>
      <c r="Q2199" t="s">
        <v>66</v>
      </c>
      <c r="R2199" s="1">
        <v>46232</v>
      </c>
      <c r="S2199" t="s">
        <v>628</v>
      </c>
      <c r="T2199" t="s">
        <v>631</v>
      </c>
      <c r="U2199" t="s">
        <v>632</v>
      </c>
      <c r="V2199" t="s">
        <v>66</v>
      </c>
      <c r="W2199" t="s">
        <v>66</v>
      </c>
      <c r="X2199">
        <v>237900</v>
      </c>
      <c r="Y2199">
        <v>26169</v>
      </c>
      <c r="Z2199">
        <v>68400</v>
      </c>
      <c r="AA2199">
        <v>7524</v>
      </c>
      <c r="AB2199">
        <v>264069</v>
      </c>
      <c r="AC2199">
        <v>12</v>
      </c>
      <c r="AD2199" t="s">
        <v>82</v>
      </c>
      <c r="AE2199">
        <v>12</v>
      </c>
      <c r="AF2199" t="s">
        <v>90</v>
      </c>
      <c r="AG2199">
        <f>IFERROR(VLOOKUP(AF2199,[1]STOK!J:O,6,0),"")</f>
        <v>48</v>
      </c>
      <c r="AH2199" s="2">
        <f t="shared" si="68"/>
        <v>0.25</v>
      </c>
      <c r="AI2199" t="s">
        <v>90</v>
      </c>
      <c r="AJ2199" t="s">
        <v>91</v>
      </c>
      <c r="AK2199" t="s">
        <v>92</v>
      </c>
      <c r="AL2199" t="s">
        <v>86</v>
      </c>
      <c r="AM2199">
        <v>6327</v>
      </c>
      <c r="AN2199">
        <f t="shared" si="69"/>
        <v>6327</v>
      </c>
      <c r="AO2199" t="s">
        <v>66</v>
      </c>
      <c r="AP2199">
        <v>0</v>
      </c>
      <c r="AQ2199" t="s">
        <v>66</v>
      </c>
      <c r="AR2199">
        <v>0</v>
      </c>
      <c r="AS2199" t="s">
        <v>66</v>
      </c>
      <c r="AT2199">
        <v>0</v>
      </c>
      <c r="AU2199" t="s">
        <v>66</v>
      </c>
      <c r="AV2199">
        <v>0</v>
      </c>
      <c r="AW2199" t="s">
        <v>66</v>
      </c>
      <c r="AX2199">
        <v>0</v>
      </c>
      <c r="AY2199" t="s">
        <v>66</v>
      </c>
      <c r="AZ2199">
        <v>0</v>
      </c>
      <c r="BA2199" t="s">
        <v>66</v>
      </c>
      <c r="BB2199">
        <v>0</v>
      </c>
      <c r="BC2199">
        <v>0</v>
      </c>
      <c r="BD2199">
        <v>75924</v>
      </c>
      <c r="BE2199">
        <v>4964.97</v>
      </c>
      <c r="BF2199">
        <v>0</v>
      </c>
      <c r="BG2199" t="s">
        <v>87</v>
      </c>
      <c r="BH2199" t="s">
        <v>66</v>
      </c>
      <c r="BI2199">
        <v>0</v>
      </c>
      <c r="BJ2199" t="s">
        <v>66</v>
      </c>
      <c r="BK2199" t="s">
        <v>88</v>
      </c>
      <c r="BL2199" t="s">
        <v>66</v>
      </c>
      <c r="BM2199" t="s">
        <v>159</v>
      </c>
    </row>
    <row r="2200" spans="1:65" x14ac:dyDescent="0.25">
      <c r="A2200">
        <v>2198</v>
      </c>
      <c r="B2200" t="s">
        <v>2079</v>
      </c>
      <c r="C2200" t="s">
        <v>66</v>
      </c>
      <c r="D2200" s="1">
        <v>46232</v>
      </c>
      <c r="E2200" t="s">
        <v>2080</v>
      </c>
      <c r="F2200" t="s">
        <v>68</v>
      </c>
      <c r="G2200" t="s">
        <v>69</v>
      </c>
      <c r="H2200" t="s">
        <v>70</v>
      </c>
      <c r="I2200" t="s">
        <v>71</v>
      </c>
      <c r="J2200" t="s">
        <v>72</v>
      </c>
      <c r="K2200" t="s">
        <v>73</v>
      </c>
      <c r="L2200" t="s">
        <v>74</v>
      </c>
      <c r="M2200" t="s">
        <v>627</v>
      </c>
      <c r="N2200" t="s">
        <v>111</v>
      </c>
      <c r="O2200" t="s">
        <v>628</v>
      </c>
      <c r="P2200" t="s">
        <v>629</v>
      </c>
      <c r="Q2200" t="s">
        <v>66</v>
      </c>
      <c r="R2200" s="1">
        <v>46232</v>
      </c>
      <c r="S2200" t="s">
        <v>628</v>
      </c>
      <c r="T2200" t="s">
        <v>631</v>
      </c>
      <c r="U2200" t="s">
        <v>632</v>
      </c>
      <c r="V2200" t="s">
        <v>66</v>
      </c>
      <c r="W2200" t="s">
        <v>66</v>
      </c>
      <c r="X2200">
        <v>237900</v>
      </c>
      <c r="Y2200">
        <v>26169</v>
      </c>
      <c r="Z2200">
        <v>28500</v>
      </c>
      <c r="AA2200">
        <v>3135</v>
      </c>
      <c r="AB2200">
        <v>264069</v>
      </c>
      <c r="AC2200">
        <v>3</v>
      </c>
      <c r="AD2200" t="s">
        <v>82</v>
      </c>
      <c r="AE2200">
        <v>3</v>
      </c>
      <c r="AF2200" t="s">
        <v>1144</v>
      </c>
      <c r="AG2200">
        <f>IFERROR(VLOOKUP(AF2200,[1]STOK!J:O,6,0),"")</f>
        <v>24</v>
      </c>
      <c r="AH2200" s="2">
        <f t="shared" si="68"/>
        <v>0.125</v>
      </c>
      <c r="AI2200" t="s">
        <v>1144</v>
      </c>
      <c r="AJ2200" t="s">
        <v>1145</v>
      </c>
      <c r="AK2200" t="s">
        <v>1146</v>
      </c>
      <c r="AL2200" t="s">
        <v>86</v>
      </c>
      <c r="AM2200">
        <v>10545</v>
      </c>
      <c r="AN2200">
        <f t="shared" si="69"/>
        <v>10545</v>
      </c>
      <c r="AO2200" t="s">
        <v>66</v>
      </c>
      <c r="AP2200">
        <v>0</v>
      </c>
      <c r="AQ2200" t="s">
        <v>66</v>
      </c>
      <c r="AR2200">
        <v>0</v>
      </c>
      <c r="AS2200" t="s">
        <v>66</v>
      </c>
      <c r="AT2200">
        <v>0</v>
      </c>
      <c r="AU2200" t="s">
        <v>66</v>
      </c>
      <c r="AV2200">
        <v>0</v>
      </c>
      <c r="AW2200" t="s">
        <v>66</v>
      </c>
      <c r="AX2200">
        <v>0</v>
      </c>
      <c r="AY2200" t="s">
        <v>66</v>
      </c>
      <c r="AZ2200">
        <v>0</v>
      </c>
      <c r="BA2200" t="s">
        <v>66</v>
      </c>
      <c r="BB2200">
        <v>0</v>
      </c>
      <c r="BC2200">
        <v>0</v>
      </c>
      <c r="BD2200">
        <v>31635</v>
      </c>
      <c r="BE2200">
        <v>8173.32</v>
      </c>
      <c r="BF2200">
        <v>0</v>
      </c>
      <c r="BG2200" t="s">
        <v>87</v>
      </c>
      <c r="BH2200" t="s">
        <v>66</v>
      </c>
      <c r="BI2200">
        <v>0</v>
      </c>
      <c r="BJ2200" t="s">
        <v>66</v>
      </c>
      <c r="BK2200" t="s">
        <v>88</v>
      </c>
      <c r="BL2200" t="s">
        <v>66</v>
      </c>
      <c r="BM2200" t="s">
        <v>159</v>
      </c>
    </row>
    <row r="2201" spans="1:65" x14ac:dyDescent="0.25">
      <c r="A2201">
        <v>2199</v>
      </c>
      <c r="B2201" t="s">
        <v>2081</v>
      </c>
      <c r="C2201" t="s">
        <v>66</v>
      </c>
      <c r="D2201" s="1">
        <v>46232</v>
      </c>
      <c r="E2201" t="s">
        <v>2082</v>
      </c>
      <c r="F2201" t="s">
        <v>68</v>
      </c>
      <c r="G2201" t="s">
        <v>69</v>
      </c>
      <c r="H2201" t="s">
        <v>70</v>
      </c>
      <c r="I2201" t="s">
        <v>71</v>
      </c>
      <c r="J2201" t="s">
        <v>72</v>
      </c>
      <c r="K2201" t="s">
        <v>73</v>
      </c>
      <c r="L2201" t="s">
        <v>74</v>
      </c>
      <c r="M2201" t="s">
        <v>810</v>
      </c>
      <c r="N2201" t="s">
        <v>76</v>
      </c>
      <c r="O2201" t="s">
        <v>811</v>
      </c>
      <c r="P2201" t="s">
        <v>812</v>
      </c>
      <c r="Q2201" t="s">
        <v>66</v>
      </c>
      <c r="R2201" s="1">
        <v>46232</v>
      </c>
      <c r="S2201" t="s">
        <v>814</v>
      </c>
      <c r="T2201" t="s">
        <v>815</v>
      </c>
      <c r="U2201" t="s">
        <v>816</v>
      </c>
      <c r="V2201" t="s">
        <v>817</v>
      </c>
      <c r="W2201" t="s">
        <v>66</v>
      </c>
      <c r="X2201">
        <v>1570536</v>
      </c>
      <c r="Y2201">
        <v>172758.96</v>
      </c>
      <c r="Z2201">
        <v>648648</v>
      </c>
      <c r="AA2201">
        <v>71351.28</v>
      </c>
      <c r="AB2201">
        <v>1743294.96</v>
      </c>
      <c r="AC2201">
        <v>24</v>
      </c>
      <c r="AD2201" t="s">
        <v>82</v>
      </c>
      <c r="AE2201">
        <v>24</v>
      </c>
      <c r="AF2201" t="s">
        <v>309</v>
      </c>
      <c r="AG2201">
        <f>IFERROR(VLOOKUP(AF2201,[1]STOK!J:O,6,0),"")</f>
        <v>12</v>
      </c>
      <c r="AH2201" s="2">
        <f t="shared" si="68"/>
        <v>2</v>
      </c>
      <c r="AI2201" t="s">
        <v>309</v>
      </c>
      <c r="AJ2201" t="s">
        <v>310</v>
      </c>
      <c r="AK2201" t="s">
        <v>311</v>
      </c>
      <c r="AL2201" t="s">
        <v>86</v>
      </c>
      <c r="AM2201">
        <v>30303</v>
      </c>
      <c r="AN2201">
        <f t="shared" si="69"/>
        <v>29999.97</v>
      </c>
      <c r="AO2201" t="s">
        <v>66</v>
      </c>
      <c r="AP2201">
        <v>1</v>
      </c>
      <c r="AQ2201" t="s">
        <v>66</v>
      </c>
      <c r="AR2201">
        <v>0</v>
      </c>
      <c r="AS2201" t="s">
        <v>66</v>
      </c>
      <c r="AT2201">
        <v>0</v>
      </c>
      <c r="AU2201" t="s">
        <v>66</v>
      </c>
      <c r="AV2201">
        <v>0</v>
      </c>
      <c r="AW2201" t="s">
        <v>66</v>
      </c>
      <c r="AX2201">
        <v>0</v>
      </c>
      <c r="AY2201" t="s">
        <v>66</v>
      </c>
      <c r="AZ2201">
        <v>0</v>
      </c>
      <c r="BA2201" t="s">
        <v>66</v>
      </c>
      <c r="BB2201">
        <v>0</v>
      </c>
      <c r="BC2201">
        <v>0</v>
      </c>
      <c r="BD2201">
        <v>719999.28</v>
      </c>
      <c r="BE2201">
        <v>24620.85</v>
      </c>
      <c r="BF2201">
        <v>0</v>
      </c>
      <c r="BG2201" t="s">
        <v>87</v>
      </c>
      <c r="BH2201" t="s">
        <v>66</v>
      </c>
      <c r="BI2201">
        <v>0</v>
      </c>
      <c r="BJ2201" t="s">
        <v>66</v>
      </c>
      <c r="BK2201" t="s">
        <v>88</v>
      </c>
      <c r="BL2201" t="s">
        <v>66</v>
      </c>
      <c r="BM2201" t="s">
        <v>89</v>
      </c>
    </row>
    <row r="2202" spans="1:65" x14ac:dyDescent="0.25">
      <c r="A2202">
        <v>2200</v>
      </c>
      <c r="B2202" t="s">
        <v>2081</v>
      </c>
      <c r="C2202" t="s">
        <v>66</v>
      </c>
      <c r="D2202" s="1">
        <v>46232</v>
      </c>
      <c r="E2202" t="s">
        <v>2082</v>
      </c>
      <c r="F2202" t="s">
        <v>68</v>
      </c>
      <c r="G2202" t="s">
        <v>69</v>
      </c>
      <c r="H2202" t="s">
        <v>70</v>
      </c>
      <c r="I2202" t="s">
        <v>71</v>
      </c>
      <c r="J2202" t="s">
        <v>72</v>
      </c>
      <c r="K2202" t="s">
        <v>73</v>
      </c>
      <c r="L2202" t="s">
        <v>74</v>
      </c>
      <c r="M2202" t="s">
        <v>810</v>
      </c>
      <c r="N2202" t="s">
        <v>76</v>
      </c>
      <c r="O2202" t="s">
        <v>811</v>
      </c>
      <c r="P2202" t="s">
        <v>812</v>
      </c>
      <c r="Q2202" t="s">
        <v>66</v>
      </c>
      <c r="R2202" s="1">
        <v>46232</v>
      </c>
      <c r="S2202" t="s">
        <v>814</v>
      </c>
      <c r="T2202" t="s">
        <v>815</v>
      </c>
      <c r="U2202" t="s">
        <v>816</v>
      </c>
      <c r="V2202" t="s">
        <v>817</v>
      </c>
      <c r="W2202" t="s">
        <v>66</v>
      </c>
      <c r="X2202">
        <v>1570536</v>
      </c>
      <c r="Y2202">
        <v>172758.96</v>
      </c>
      <c r="Z2202">
        <v>921888</v>
      </c>
      <c r="AA2202">
        <v>101407.67999999999</v>
      </c>
      <c r="AB2202">
        <v>1743294.96</v>
      </c>
      <c r="AC2202">
        <v>48</v>
      </c>
      <c r="AD2202" t="s">
        <v>82</v>
      </c>
      <c r="AE2202">
        <v>48</v>
      </c>
      <c r="AF2202" t="s">
        <v>284</v>
      </c>
      <c r="AG2202">
        <f>IFERROR(VLOOKUP(AF2202,[1]STOK!J:O,6,0),"")</f>
        <v>12</v>
      </c>
      <c r="AH2202" s="2">
        <f t="shared" si="68"/>
        <v>4</v>
      </c>
      <c r="AI2202" t="s">
        <v>284</v>
      </c>
      <c r="AJ2202" t="s">
        <v>285</v>
      </c>
      <c r="AK2202" t="s">
        <v>286</v>
      </c>
      <c r="AL2202" t="s">
        <v>86</v>
      </c>
      <c r="AM2202">
        <v>21534</v>
      </c>
      <c r="AN2202">
        <f t="shared" si="69"/>
        <v>21318.66</v>
      </c>
      <c r="AO2202" t="s">
        <v>66</v>
      </c>
      <c r="AP2202">
        <v>1</v>
      </c>
      <c r="AQ2202" t="s">
        <v>66</v>
      </c>
      <c r="AR2202">
        <v>0</v>
      </c>
      <c r="AS2202" t="s">
        <v>66</v>
      </c>
      <c r="AT2202">
        <v>0</v>
      </c>
      <c r="AU2202" t="s">
        <v>66</v>
      </c>
      <c r="AV2202">
        <v>0</v>
      </c>
      <c r="AW2202" t="s">
        <v>66</v>
      </c>
      <c r="AX2202">
        <v>0</v>
      </c>
      <c r="AY2202" t="s">
        <v>66</v>
      </c>
      <c r="AZ2202">
        <v>0</v>
      </c>
      <c r="BA2202" t="s">
        <v>66</v>
      </c>
      <c r="BB2202">
        <v>0</v>
      </c>
      <c r="BC2202">
        <v>0</v>
      </c>
      <c r="BD2202">
        <v>1023295.68</v>
      </c>
      <c r="BE2202">
        <v>17311.39</v>
      </c>
      <c r="BF2202">
        <v>0</v>
      </c>
      <c r="BG2202" t="s">
        <v>87</v>
      </c>
      <c r="BH2202" t="s">
        <v>66</v>
      </c>
      <c r="BI2202">
        <v>0</v>
      </c>
      <c r="BJ2202" t="s">
        <v>66</v>
      </c>
      <c r="BK2202" t="s">
        <v>88</v>
      </c>
      <c r="BL2202" t="s">
        <v>66</v>
      </c>
      <c r="BM2202" t="s">
        <v>89</v>
      </c>
    </row>
    <row r="2203" spans="1:65" x14ac:dyDescent="0.25">
      <c r="A2203">
        <v>2201</v>
      </c>
      <c r="B2203" t="s">
        <v>2083</v>
      </c>
      <c r="C2203" t="s">
        <v>68</v>
      </c>
      <c r="D2203" s="1">
        <v>46233</v>
      </c>
      <c r="E2203" t="s">
        <v>2084</v>
      </c>
      <c r="F2203" t="s">
        <v>68</v>
      </c>
      <c r="G2203" t="s">
        <v>295</v>
      </c>
      <c r="H2203" t="s">
        <v>296</v>
      </c>
      <c r="I2203" t="s">
        <v>71</v>
      </c>
      <c r="J2203" t="s">
        <v>72</v>
      </c>
      <c r="K2203" t="s">
        <v>73</v>
      </c>
      <c r="L2203" t="s">
        <v>74</v>
      </c>
      <c r="M2203" t="s">
        <v>657</v>
      </c>
      <c r="N2203" t="s">
        <v>111</v>
      </c>
      <c r="O2203" t="s">
        <v>658</v>
      </c>
      <c r="P2203" t="s">
        <v>659</v>
      </c>
      <c r="Q2203" t="s">
        <v>66</v>
      </c>
      <c r="R2203" s="1">
        <v>46233</v>
      </c>
      <c r="S2203" t="s">
        <v>661</v>
      </c>
      <c r="T2203" t="s">
        <v>662</v>
      </c>
      <c r="U2203" t="s">
        <v>663</v>
      </c>
      <c r="V2203" t="s">
        <v>66</v>
      </c>
      <c r="W2203" t="s">
        <v>66</v>
      </c>
      <c r="X2203">
        <v>496200</v>
      </c>
      <c r="Y2203">
        <v>54582</v>
      </c>
      <c r="Z2203">
        <v>15000</v>
      </c>
      <c r="AA2203">
        <v>1650</v>
      </c>
      <c r="AB2203">
        <v>550782</v>
      </c>
      <c r="AC2203">
        <v>6</v>
      </c>
      <c r="AD2203" t="s">
        <v>82</v>
      </c>
      <c r="AE2203">
        <v>6</v>
      </c>
      <c r="AF2203" t="s">
        <v>341</v>
      </c>
      <c r="AG2203">
        <f>IFERROR(VLOOKUP(AF2203,[1]STOK!J:O,6,0),"")</f>
        <v>72</v>
      </c>
      <c r="AH2203" s="2">
        <f t="shared" si="68"/>
        <v>8.3333333333333329E-2</v>
      </c>
      <c r="AI2203" t="s">
        <v>341</v>
      </c>
      <c r="AJ2203" t="s">
        <v>342</v>
      </c>
      <c r="AK2203" t="s">
        <v>343</v>
      </c>
      <c r="AL2203" t="s">
        <v>86</v>
      </c>
      <c r="AM2203">
        <v>2775</v>
      </c>
      <c r="AN2203">
        <f t="shared" si="69"/>
        <v>2775</v>
      </c>
      <c r="AO2203" t="s">
        <v>66</v>
      </c>
      <c r="AP2203">
        <v>0</v>
      </c>
      <c r="AQ2203" t="s">
        <v>66</v>
      </c>
      <c r="AR2203">
        <v>0</v>
      </c>
      <c r="AS2203" t="s">
        <v>66</v>
      </c>
      <c r="AT2203">
        <v>0</v>
      </c>
      <c r="AU2203" t="s">
        <v>66</v>
      </c>
      <c r="AV2203">
        <v>0</v>
      </c>
      <c r="AW2203" t="s">
        <v>66</v>
      </c>
      <c r="AX2203">
        <v>0</v>
      </c>
      <c r="AY2203" t="s">
        <v>66</v>
      </c>
      <c r="AZ2203">
        <v>0</v>
      </c>
      <c r="BA2203" t="s">
        <v>66</v>
      </c>
      <c r="BB2203">
        <v>0</v>
      </c>
      <c r="BC2203">
        <v>0</v>
      </c>
      <c r="BD2203">
        <v>16650</v>
      </c>
      <c r="BE2203">
        <v>2228.91</v>
      </c>
      <c r="BF2203">
        <v>0</v>
      </c>
      <c r="BG2203" t="s">
        <v>87</v>
      </c>
      <c r="BH2203" t="s">
        <v>66</v>
      </c>
      <c r="BI2203">
        <v>0</v>
      </c>
      <c r="BJ2203" t="s">
        <v>66</v>
      </c>
      <c r="BK2203" t="s">
        <v>88</v>
      </c>
      <c r="BL2203" t="s">
        <v>66</v>
      </c>
      <c r="BM2203" t="s">
        <v>159</v>
      </c>
    </row>
    <row r="2204" spans="1:65" x14ac:dyDescent="0.25">
      <c r="A2204">
        <v>2202</v>
      </c>
      <c r="B2204" t="s">
        <v>2083</v>
      </c>
      <c r="C2204" t="s">
        <v>68</v>
      </c>
      <c r="D2204" s="1">
        <v>46233</v>
      </c>
      <c r="E2204" t="s">
        <v>2084</v>
      </c>
      <c r="F2204" t="s">
        <v>68</v>
      </c>
      <c r="G2204" t="s">
        <v>295</v>
      </c>
      <c r="H2204" t="s">
        <v>296</v>
      </c>
      <c r="I2204" t="s">
        <v>71</v>
      </c>
      <c r="J2204" t="s">
        <v>72</v>
      </c>
      <c r="K2204" t="s">
        <v>73</v>
      </c>
      <c r="L2204" t="s">
        <v>74</v>
      </c>
      <c r="M2204" t="s">
        <v>657</v>
      </c>
      <c r="N2204" t="s">
        <v>111</v>
      </c>
      <c r="O2204" t="s">
        <v>658</v>
      </c>
      <c r="P2204" t="s">
        <v>659</v>
      </c>
      <c r="Q2204" t="s">
        <v>66</v>
      </c>
      <c r="R2204" s="1">
        <v>46233</v>
      </c>
      <c r="S2204" t="s">
        <v>661</v>
      </c>
      <c r="T2204" t="s">
        <v>662</v>
      </c>
      <c r="U2204" t="s">
        <v>663</v>
      </c>
      <c r="V2204" t="s">
        <v>66</v>
      </c>
      <c r="W2204" t="s">
        <v>66</v>
      </c>
      <c r="X2204">
        <v>496200</v>
      </c>
      <c r="Y2204">
        <v>54582</v>
      </c>
      <c r="Z2204">
        <v>47400</v>
      </c>
      <c r="AA2204">
        <v>5214</v>
      </c>
      <c r="AB2204">
        <v>550782</v>
      </c>
      <c r="AC2204">
        <v>6</v>
      </c>
      <c r="AD2204" t="s">
        <v>82</v>
      </c>
      <c r="AE2204">
        <v>6</v>
      </c>
      <c r="AF2204" t="s">
        <v>199</v>
      </c>
      <c r="AG2204">
        <f>IFERROR(VLOOKUP(AF2204,[1]STOK!J:O,6,0),"")</f>
        <v>24</v>
      </c>
      <c r="AH2204" s="2">
        <f t="shared" si="68"/>
        <v>0.25</v>
      </c>
      <c r="AI2204" t="s">
        <v>199</v>
      </c>
      <c r="AJ2204" t="s">
        <v>200</v>
      </c>
      <c r="AK2204" t="s">
        <v>201</v>
      </c>
      <c r="AL2204" t="s">
        <v>86</v>
      </c>
      <c r="AM2204">
        <v>8769</v>
      </c>
      <c r="AN2204">
        <f t="shared" si="69"/>
        <v>8769</v>
      </c>
      <c r="AO2204" t="s">
        <v>66</v>
      </c>
      <c r="AP2204">
        <v>0</v>
      </c>
      <c r="AQ2204" t="s">
        <v>66</v>
      </c>
      <c r="AR2204">
        <v>0</v>
      </c>
      <c r="AS2204" t="s">
        <v>66</v>
      </c>
      <c r="AT2204">
        <v>0</v>
      </c>
      <c r="AU2204" t="s">
        <v>66</v>
      </c>
      <c r="AV2204">
        <v>0</v>
      </c>
      <c r="AW2204" t="s">
        <v>66</v>
      </c>
      <c r="AX2204">
        <v>0</v>
      </c>
      <c r="AY2204" t="s">
        <v>66</v>
      </c>
      <c r="AZ2204">
        <v>0</v>
      </c>
      <c r="BA2204" t="s">
        <v>66</v>
      </c>
      <c r="BB2204">
        <v>0</v>
      </c>
      <c r="BC2204">
        <v>0</v>
      </c>
      <c r="BD2204">
        <v>52614</v>
      </c>
      <c r="BE2204">
        <v>7134.31</v>
      </c>
      <c r="BF2204">
        <v>0</v>
      </c>
      <c r="BG2204" t="s">
        <v>87</v>
      </c>
      <c r="BH2204" t="s">
        <v>66</v>
      </c>
      <c r="BI2204">
        <v>0</v>
      </c>
      <c r="BJ2204" t="s">
        <v>66</v>
      </c>
      <c r="BK2204" t="s">
        <v>88</v>
      </c>
      <c r="BL2204" t="s">
        <v>66</v>
      </c>
      <c r="BM2204" t="s">
        <v>159</v>
      </c>
    </row>
    <row r="2205" spans="1:65" x14ac:dyDescent="0.25">
      <c r="A2205">
        <v>2203</v>
      </c>
      <c r="B2205" t="s">
        <v>2083</v>
      </c>
      <c r="C2205" t="s">
        <v>68</v>
      </c>
      <c r="D2205" s="1">
        <v>46233</v>
      </c>
      <c r="E2205" t="s">
        <v>2084</v>
      </c>
      <c r="F2205" t="s">
        <v>68</v>
      </c>
      <c r="G2205" t="s">
        <v>295</v>
      </c>
      <c r="H2205" t="s">
        <v>296</v>
      </c>
      <c r="I2205" t="s">
        <v>71</v>
      </c>
      <c r="J2205" t="s">
        <v>72</v>
      </c>
      <c r="K2205" t="s">
        <v>73</v>
      </c>
      <c r="L2205" t="s">
        <v>74</v>
      </c>
      <c r="M2205" t="s">
        <v>657</v>
      </c>
      <c r="N2205" t="s">
        <v>111</v>
      </c>
      <c r="O2205" t="s">
        <v>658</v>
      </c>
      <c r="P2205" t="s">
        <v>659</v>
      </c>
      <c r="Q2205" t="s">
        <v>66</v>
      </c>
      <c r="R2205" s="1">
        <v>46233</v>
      </c>
      <c r="S2205" t="s">
        <v>661</v>
      </c>
      <c r="T2205" t="s">
        <v>662</v>
      </c>
      <c r="U2205" t="s">
        <v>663</v>
      </c>
      <c r="V2205" t="s">
        <v>66</v>
      </c>
      <c r="W2205" t="s">
        <v>66</v>
      </c>
      <c r="X2205">
        <v>496200</v>
      </c>
      <c r="Y2205">
        <v>54582</v>
      </c>
      <c r="Z2205">
        <v>30600</v>
      </c>
      <c r="AA2205">
        <v>3366</v>
      </c>
      <c r="AB2205">
        <v>550782</v>
      </c>
      <c r="AC2205">
        <v>3</v>
      </c>
      <c r="AD2205" t="s">
        <v>82</v>
      </c>
      <c r="AE2205">
        <v>3</v>
      </c>
      <c r="AF2205" t="s">
        <v>860</v>
      </c>
      <c r="AG2205">
        <f>IFERROR(VLOOKUP(AF2205,[1]STOK!J:O,6,0),"")</f>
        <v>24</v>
      </c>
      <c r="AH2205" s="2">
        <f t="shared" si="68"/>
        <v>0.125</v>
      </c>
      <c r="AI2205" t="s">
        <v>860</v>
      </c>
      <c r="AJ2205" t="s">
        <v>861</v>
      </c>
      <c r="AK2205" t="s">
        <v>862</v>
      </c>
      <c r="AL2205" t="s">
        <v>86</v>
      </c>
      <c r="AM2205">
        <v>11322</v>
      </c>
      <c r="AN2205">
        <f t="shared" si="69"/>
        <v>11322</v>
      </c>
      <c r="AO2205" t="s">
        <v>66</v>
      </c>
      <c r="AP2205">
        <v>0</v>
      </c>
      <c r="AQ2205" t="s">
        <v>66</v>
      </c>
      <c r="AR2205">
        <v>0</v>
      </c>
      <c r="AS2205" t="s">
        <v>66</v>
      </c>
      <c r="AT2205">
        <v>0</v>
      </c>
      <c r="AU2205" t="s">
        <v>66</v>
      </c>
      <c r="AV2205">
        <v>0</v>
      </c>
      <c r="AW2205" t="s">
        <v>66</v>
      </c>
      <c r="AX2205">
        <v>0</v>
      </c>
      <c r="AY2205" t="s">
        <v>66</v>
      </c>
      <c r="AZ2205">
        <v>0</v>
      </c>
      <c r="BA2205" t="s">
        <v>66</v>
      </c>
      <c r="BB2205">
        <v>0</v>
      </c>
      <c r="BC2205">
        <v>0</v>
      </c>
      <c r="BD2205">
        <v>33966</v>
      </c>
      <c r="BE2205">
        <v>9116.64</v>
      </c>
      <c r="BF2205">
        <v>0</v>
      </c>
      <c r="BG2205" t="s">
        <v>87</v>
      </c>
      <c r="BH2205" t="s">
        <v>66</v>
      </c>
      <c r="BI2205">
        <v>0</v>
      </c>
      <c r="BJ2205" t="s">
        <v>66</v>
      </c>
      <c r="BK2205" t="s">
        <v>88</v>
      </c>
      <c r="BL2205" t="s">
        <v>66</v>
      </c>
      <c r="BM2205" t="s">
        <v>159</v>
      </c>
    </row>
    <row r="2206" spans="1:65" x14ac:dyDescent="0.25">
      <c r="A2206">
        <v>2204</v>
      </c>
      <c r="B2206" t="s">
        <v>2083</v>
      </c>
      <c r="C2206" t="s">
        <v>68</v>
      </c>
      <c r="D2206" s="1">
        <v>46233</v>
      </c>
      <c r="E2206" t="s">
        <v>2084</v>
      </c>
      <c r="F2206" t="s">
        <v>68</v>
      </c>
      <c r="G2206" t="s">
        <v>295</v>
      </c>
      <c r="H2206" t="s">
        <v>296</v>
      </c>
      <c r="I2206" t="s">
        <v>71</v>
      </c>
      <c r="J2206" t="s">
        <v>72</v>
      </c>
      <c r="K2206" t="s">
        <v>73</v>
      </c>
      <c r="L2206" t="s">
        <v>74</v>
      </c>
      <c r="M2206" t="s">
        <v>657</v>
      </c>
      <c r="N2206" t="s">
        <v>111</v>
      </c>
      <c r="O2206" t="s">
        <v>658</v>
      </c>
      <c r="P2206" t="s">
        <v>659</v>
      </c>
      <c r="Q2206" t="s">
        <v>66</v>
      </c>
      <c r="R2206" s="1">
        <v>46233</v>
      </c>
      <c r="S2206" t="s">
        <v>661</v>
      </c>
      <c r="T2206" t="s">
        <v>662</v>
      </c>
      <c r="U2206" t="s">
        <v>663</v>
      </c>
      <c r="V2206" t="s">
        <v>66</v>
      </c>
      <c r="W2206" t="s">
        <v>66</v>
      </c>
      <c r="X2206">
        <v>496200</v>
      </c>
      <c r="Y2206">
        <v>54582</v>
      </c>
      <c r="Z2206">
        <v>34200</v>
      </c>
      <c r="AA2206">
        <v>3762</v>
      </c>
      <c r="AB2206">
        <v>550782</v>
      </c>
      <c r="AC2206">
        <v>6</v>
      </c>
      <c r="AD2206" t="s">
        <v>82</v>
      </c>
      <c r="AE2206">
        <v>6</v>
      </c>
      <c r="AF2206" t="s">
        <v>350</v>
      </c>
      <c r="AG2206">
        <f>IFERROR(VLOOKUP(AF2206,[1]STOK!J:O,6,0),"")</f>
        <v>48</v>
      </c>
      <c r="AH2206" s="2">
        <f t="shared" si="68"/>
        <v>0.125</v>
      </c>
      <c r="AI2206" t="s">
        <v>350</v>
      </c>
      <c r="AJ2206" t="s">
        <v>351</v>
      </c>
      <c r="AK2206" t="s">
        <v>352</v>
      </c>
      <c r="AL2206" t="s">
        <v>86</v>
      </c>
      <c r="AM2206">
        <v>6327</v>
      </c>
      <c r="AN2206">
        <f t="shared" si="69"/>
        <v>6327</v>
      </c>
      <c r="AO2206" t="s">
        <v>66</v>
      </c>
      <c r="AP2206">
        <v>0</v>
      </c>
      <c r="AQ2206" t="s">
        <v>66</v>
      </c>
      <c r="AR2206">
        <v>0</v>
      </c>
      <c r="AS2206" t="s">
        <v>66</v>
      </c>
      <c r="AT2206">
        <v>0</v>
      </c>
      <c r="AU2206" t="s">
        <v>66</v>
      </c>
      <c r="AV2206">
        <v>0</v>
      </c>
      <c r="AW2206" t="s">
        <v>66</v>
      </c>
      <c r="AX2206">
        <v>0</v>
      </c>
      <c r="AY2206" t="s">
        <v>66</v>
      </c>
      <c r="AZ2206">
        <v>0</v>
      </c>
      <c r="BA2206" t="s">
        <v>66</v>
      </c>
      <c r="BB2206">
        <v>0</v>
      </c>
      <c r="BC2206">
        <v>0</v>
      </c>
      <c r="BD2206">
        <v>37962</v>
      </c>
      <c r="BE2206">
        <v>5068.84</v>
      </c>
      <c r="BF2206">
        <v>0</v>
      </c>
      <c r="BG2206" t="s">
        <v>87</v>
      </c>
      <c r="BH2206" t="s">
        <v>66</v>
      </c>
      <c r="BI2206">
        <v>0</v>
      </c>
      <c r="BJ2206" t="s">
        <v>66</v>
      </c>
      <c r="BK2206" t="s">
        <v>88</v>
      </c>
      <c r="BL2206" t="s">
        <v>66</v>
      </c>
      <c r="BM2206" t="s">
        <v>159</v>
      </c>
    </row>
    <row r="2207" spans="1:65" x14ac:dyDescent="0.25">
      <c r="A2207">
        <v>2205</v>
      </c>
      <c r="B2207" t="s">
        <v>2083</v>
      </c>
      <c r="C2207" t="s">
        <v>68</v>
      </c>
      <c r="D2207" s="1">
        <v>46233</v>
      </c>
      <c r="E2207" t="s">
        <v>2084</v>
      </c>
      <c r="F2207" t="s">
        <v>68</v>
      </c>
      <c r="G2207" t="s">
        <v>295</v>
      </c>
      <c r="H2207" t="s">
        <v>296</v>
      </c>
      <c r="I2207" t="s">
        <v>71</v>
      </c>
      <c r="J2207" t="s">
        <v>72</v>
      </c>
      <c r="K2207" t="s">
        <v>73</v>
      </c>
      <c r="L2207" t="s">
        <v>74</v>
      </c>
      <c r="M2207" t="s">
        <v>657</v>
      </c>
      <c r="N2207" t="s">
        <v>111</v>
      </c>
      <c r="O2207" t="s">
        <v>658</v>
      </c>
      <c r="P2207" t="s">
        <v>659</v>
      </c>
      <c r="Q2207" t="s">
        <v>66</v>
      </c>
      <c r="R2207" s="1">
        <v>46233</v>
      </c>
      <c r="S2207" t="s">
        <v>661</v>
      </c>
      <c r="T2207" t="s">
        <v>662</v>
      </c>
      <c r="U2207" t="s">
        <v>663</v>
      </c>
      <c r="V2207" t="s">
        <v>66</v>
      </c>
      <c r="W2207" t="s">
        <v>66</v>
      </c>
      <c r="X2207">
        <v>496200</v>
      </c>
      <c r="Y2207">
        <v>54582</v>
      </c>
      <c r="Z2207">
        <v>99000</v>
      </c>
      <c r="AA2207">
        <v>10890</v>
      </c>
      <c r="AB2207">
        <v>550782</v>
      </c>
      <c r="AC2207">
        <v>6</v>
      </c>
      <c r="AD2207" t="s">
        <v>82</v>
      </c>
      <c r="AE2207">
        <v>6</v>
      </c>
      <c r="AF2207" t="s">
        <v>205</v>
      </c>
      <c r="AG2207">
        <f>IFERROR(VLOOKUP(AF2207,[1]STOK!J:O,6,0),"")</f>
        <v>24</v>
      </c>
      <c r="AH2207" s="2">
        <f t="shared" si="68"/>
        <v>0.25</v>
      </c>
      <c r="AI2207" t="s">
        <v>205</v>
      </c>
      <c r="AJ2207" t="s">
        <v>206</v>
      </c>
      <c r="AK2207" t="s">
        <v>207</v>
      </c>
      <c r="AL2207" t="s">
        <v>86</v>
      </c>
      <c r="AM2207">
        <v>18315</v>
      </c>
      <c r="AN2207">
        <f t="shared" si="69"/>
        <v>18315</v>
      </c>
      <c r="AO2207" t="s">
        <v>66</v>
      </c>
      <c r="AP2207">
        <v>0</v>
      </c>
      <c r="AQ2207" t="s">
        <v>66</v>
      </c>
      <c r="AR2207">
        <v>0</v>
      </c>
      <c r="AS2207" t="s">
        <v>66</v>
      </c>
      <c r="AT2207">
        <v>0</v>
      </c>
      <c r="AU2207" t="s">
        <v>66</v>
      </c>
      <c r="AV2207">
        <v>0</v>
      </c>
      <c r="AW2207" t="s">
        <v>66</v>
      </c>
      <c r="AX2207">
        <v>0</v>
      </c>
      <c r="AY2207" t="s">
        <v>66</v>
      </c>
      <c r="AZ2207">
        <v>0</v>
      </c>
      <c r="BA2207" t="s">
        <v>66</v>
      </c>
      <c r="BB2207">
        <v>0</v>
      </c>
      <c r="BC2207">
        <v>0</v>
      </c>
      <c r="BD2207">
        <v>109890</v>
      </c>
      <c r="BE2207">
        <v>14893.33</v>
      </c>
      <c r="BF2207">
        <v>0</v>
      </c>
      <c r="BG2207" t="s">
        <v>87</v>
      </c>
      <c r="BH2207" t="s">
        <v>66</v>
      </c>
      <c r="BI2207">
        <v>0</v>
      </c>
      <c r="BJ2207" t="s">
        <v>66</v>
      </c>
      <c r="BK2207" t="s">
        <v>88</v>
      </c>
      <c r="BL2207" t="s">
        <v>66</v>
      </c>
      <c r="BM2207" t="s">
        <v>159</v>
      </c>
    </row>
    <row r="2208" spans="1:65" x14ac:dyDescent="0.25">
      <c r="A2208">
        <v>2206</v>
      </c>
      <c r="B2208" t="s">
        <v>2083</v>
      </c>
      <c r="C2208" t="s">
        <v>68</v>
      </c>
      <c r="D2208" s="1">
        <v>46233</v>
      </c>
      <c r="E2208" t="s">
        <v>2084</v>
      </c>
      <c r="F2208" t="s">
        <v>68</v>
      </c>
      <c r="G2208" t="s">
        <v>295</v>
      </c>
      <c r="H2208" t="s">
        <v>296</v>
      </c>
      <c r="I2208" t="s">
        <v>71</v>
      </c>
      <c r="J2208" t="s">
        <v>72</v>
      </c>
      <c r="K2208" t="s">
        <v>73</v>
      </c>
      <c r="L2208" t="s">
        <v>74</v>
      </c>
      <c r="M2208" t="s">
        <v>657</v>
      </c>
      <c r="N2208" t="s">
        <v>111</v>
      </c>
      <c r="O2208" t="s">
        <v>658</v>
      </c>
      <c r="P2208" t="s">
        <v>659</v>
      </c>
      <c r="Q2208" t="s">
        <v>66</v>
      </c>
      <c r="R2208" s="1">
        <v>46233</v>
      </c>
      <c r="S2208" t="s">
        <v>661</v>
      </c>
      <c r="T2208" t="s">
        <v>662</v>
      </c>
      <c r="U2208" t="s">
        <v>663</v>
      </c>
      <c r="V2208" t="s">
        <v>66</v>
      </c>
      <c r="W2208" t="s">
        <v>66</v>
      </c>
      <c r="X2208">
        <v>496200</v>
      </c>
      <c r="Y2208">
        <v>54582</v>
      </c>
      <c r="Z2208">
        <v>270000</v>
      </c>
      <c r="AA2208">
        <v>29700</v>
      </c>
      <c r="AB2208">
        <v>550782</v>
      </c>
      <c r="AC2208">
        <v>1</v>
      </c>
      <c r="AD2208" t="s">
        <v>134</v>
      </c>
      <c r="AE2208">
        <v>4</v>
      </c>
      <c r="AF2208" t="s">
        <v>312</v>
      </c>
      <c r="AG2208">
        <f>IFERROR(VLOOKUP(AF2208,[1]STOK!J:O,6,0),"")</f>
        <v>4</v>
      </c>
      <c r="AH2208" s="2">
        <f t="shared" si="68"/>
        <v>1</v>
      </c>
      <c r="AI2208" t="s">
        <v>312</v>
      </c>
      <c r="AJ2208" t="s">
        <v>313</v>
      </c>
      <c r="AK2208" t="s">
        <v>314</v>
      </c>
      <c r="AL2208" t="s">
        <v>86</v>
      </c>
      <c r="AM2208">
        <v>299700</v>
      </c>
      <c r="AN2208">
        <f t="shared" si="69"/>
        <v>299700</v>
      </c>
      <c r="AO2208" t="s">
        <v>66</v>
      </c>
      <c r="AP2208">
        <v>0</v>
      </c>
      <c r="AQ2208" t="s">
        <v>66</v>
      </c>
      <c r="AR2208">
        <v>0</v>
      </c>
      <c r="AS2208" t="s">
        <v>66</v>
      </c>
      <c r="AT2208">
        <v>0</v>
      </c>
      <c r="AU2208" t="s">
        <v>66</v>
      </c>
      <c r="AV2208">
        <v>0</v>
      </c>
      <c r="AW2208" t="s">
        <v>66</v>
      </c>
      <c r="AX2208">
        <v>0</v>
      </c>
      <c r="AY2208" t="s">
        <v>66</v>
      </c>
      <c r="AZ2208">
        <v>0</v>
      </c>
      <c r="BA2208" t="s">
        <v>66</v>
      </c>
      <c r="BB2208">
        <v>0</v>
      </c>
      <c r="BC2208">
        <v>0</v>
      </c>
      <c r="BD2208">
        <v>299700</v>
      </c>
      <c r="BE2208">
        <v>60344.4</v>
      </c>
      <c r="BF2208">
        <v>0</v>
      </c>
      <c r="BG2208" t="s">
        <v>87</v>
      </c>
      <c r="BH2208" t="s">
        <v>66</v>
      </c>
      <c r="BI2208">
        <v>0</v>
      </c>
      <c r="BJ2208" t="s">
        <v>66</v>
      </c>
      <c r="BK2208" t="s">
        <v>88</v>
      </c>
      <c r="BL2208" t="s">
        <v>66</v>
      </c>
      <c r="BM2208" t="s">
        <v>159</v>
      </c>
    </row>
    <row r="2209" spans="1:65" x14ac:dyDescent="0.25">
      <c r="A2209">
        <v>2207</v>
      </c>
      <c r="B2209" t="s">
        <v>2085</v>
      </c>
      <c r="C2209" t="s">
        <v>68</v>
      </c>
      <c r="D2209" s="1">
        <v>46233</v>
      </c>
      <c r="E2209" t="s">
        <v>2086</v>
      </c>
      <c r="F2209" t="s">
        <v>68</v>
      </c>
      <c r="G2209" t="s">
        <v>295</v>
      </c>
      <c r="H2209" t="s">
        <v>296</v>
      </c>
      <c r="I2209" t="s">
        <v>71</v>
      </c>
      <c r="J2209" t="s">
        <v>72</v>
      </c>
      <c r="K2209" t="s">
        <v>73</v>
      </c>
      <c r="L2209" t="s">
        <v>74</v>
      </c>
      <c r="M2209" t="s">
        <v>684</v>
      </c>
      <c r="N2209" t="s">
        <v>274</v>
      </c>
      <c r="O2209" t="s">
        <v>685</v>
      </c>
      <c r="P2209" t="s">
        <v>686</v>
      </c>
      <c r="Q2209" t="s">
        <v>66</v>
      </c>
      <c r="R2209" s="1">
        <v>46233</v>
      </c>
      <c r="S2209" t="s">
        <v>688</v>
      </c>
      <c r="T2209" t="s">
        <v>689</v>
      </c>
      <c r="U2209" t="s">
        <v>690</v>
      </c>
      <c r="V2209" t="s">
        <v>66</v>
      </c>
      <c r="W2209" t="s">
        <v>66</v>
      </c>
      <c r="X2209">
        <v>473400</v>
      </c>
      <c r="Y2209">
        <v>52074</v>
      </c>
      <c r="Z2209">
        <v>99000</v>
      </c>
      <c r="AA2209">
        <v>10890</v>
      </c>
      <c r="AB2209">
        <v>525474</v>
      </c>
      <c r="AC2209">
        <v>6</v>
      </c>
      <c r="AD2209" t="s">
        <v>82</v>
      </c>
      <c r="AE2209">
        <v>6</v>
      </c>
      <c r="AF2209" t="s">
        <v>205</v>
      </c>
      <c r="AG2209">
        <f>IFERROR(VLOOKUP(AF2209,[1]STOK!J:O,6,0),"")</f>
        <v>24</v>
      </c>
      <c r="AH2209" s="2">
        <f t="shared" si="68"/>
        <v>0.25</v>
      </c>
      <c r="AI2209" t="s">
        <v>205</v>
      </c>
      <c r="AJ2209" t="s">
        <v>206</v>
      </c>
      <c r="AK2209" t="s">
        <v>207</v>
      </c>
      <c r="AL2209" t="s">
        <v>86</v>
      </c>
      <c r="AM2209">
        <v>18315</v>
      </c>
      <c r="AN2209">
        <f t="shared" si="69"/>
        <v>18315</v>
      </c>
      <c r="AO2209" t="s">
        <v>66</v>
      </c>
      <c r="AP2209">
        <v>0</v>
      </c>
      <c r="AQ2209" t="s">
        <v>66</v>
      </c>
      <c r="AR2209">
        <v>0</v>
      </c>
      <c r="AS2209" t="s">
        <v>66</v>
      </c>
      <c r="AT2209">
        <v>0</v>
      </c>
      <c r="AU2209" t="s">
        <v>66</v>
      </c>
      <c r="AV2209">
        <v>0</v>
      </c>
      <c r="AW2209" t="s">
        <v>66</v>
      </c>
      <c r="AX2209">
        <v>0</v>
      </c>
      <c r="AY2209" t="s">
        <v>66</v>
      </c>
      <c r="AZ2209">
        <v>0</v>
      </c>
      <c r="BA2209" t="s">
        <v>66</v>
      </c>
      <c r="BB2209">
        <v>0</v>
      </c>
      <c r="BC2209">
        <v>0</v>
      </c>
      <c r="BD2209">
        <v>109890</v>
      </c>
      <c r="BE2209">
        <v>14893.33</v>
      </c>
      <c r="BF2209">
        <v>0</v>
      </c>
      <c r="BG2209" t="s">
        <v>87</v>
      </c>
      <c r="BH2209" t="s">
        <v>66</v>
      </c>
      <c r="BI2209">
        <v>0</v>
      </c>
      <c r="BJ2209" t="s">
        <v>66</v>
      </c>
      <c r="BK2209" t="s">
        <v>88</v>
      </c>
      <c r="BL2209" t="s">
        <v>66</v>
      </c>
      <c r="BM2209" t="s">
        <v>159</v>
      </c>
    </row>
    <row r="2210" spans="1:65" x14ac:dyDescent="0.25">
      <c r="A2210">
        <v>2208</v>
      </c>
      <c r="B2210" t="s">
        <v>2085</v>
      </c>
      <c r="C2210" t="s">
        <v>68</v>
      </c>
      <c r="D2210" s="1">
        <v>46233</v>
      </c>
      <c r="E2210" t="s">
        <v>2086</v>
      </c>
      <c r="F2210" t="s">
        <v>68</v>
      </c>
      <c r="G2210" t="s">
        <v>295</v>
      </c>
      <c r="H2210" t="s">
        <v>296</v>
      </c>
      <c r="I2210" t="s">
        <v>71</v>
      </c>
      <c r="J2210" t="s">
        <v>72</v>
      </c>
      <c r="K2210" t="s">
        <v>73</v>
      </c>
      <c r="L2210" t="s">
        <v>74</v>
      </c>
      <c r="M2210" t="s">
        <v>684</v>
      </c>
      <c r="N2210" t="s">
        <v>274</v>
      </c>
      <c r="O2210" t="s">
        <v>685</v>
      </c>
      <c r="P2210" t="s">
        <v>686</v>
      </c>
      <c r="Q2210" t="s">
        <v>66</v>
      </c>
      <c r="R2210" s="1">
        <v>46233</v>
      </c>
      <c r="S2210" t="s">
        <v>688</v>
      </c>
      <c r="T2210" t="s">
        <v>689</v>
      </c>
      <c r="U2210" t="s">
        <v>690</v>
      </c>
      <c r="V2210" t="s">
        <v>66</v>
      </c>
      <c r="W2210" t="s">
        <v>66</v>
      </c>
      <c r="X2210">
        <v>473400</v>
      </c>
      <c r="Y2210">
        <v>52074</v>
      </c>
      <c r="Z2210">
        <v>41400</v>
      </c>
      <c r="AA2210">
        <v>4554</v>
      </c>
      <c r="AB2210">
        <v>525474</v>
      </c>
      <c r="AC2210">
        <v>6</v>
      </c>
      <c r="AD2210" t="s">
        <v>82</v>
      </c>
      <c r="AE2210">
        <v>6</v>
      </c>
      <c r="AF2210" t="s">
        <v>495</v>
      </c>
      <c r="AG2210">
        <f>IFERROR(VLOOKUP(AF2210,[1]STOK!J:O,6,0),"")</f>
        <v>24</v>
      </c>
      <c r="AH2210" s="2">
        <f t="shared" si="68"/>
        <v>0.25</v>
      </c>
      <c r="AI2210" t="s">
        <v>495</v>
      </c>
      <c r="AJ2210" t="s">
        <v>496</v>
      </c>
      <c r="AK2210" t="s">
        <v>497</v>
      </c>
      <c r="AL2210" t="s">
        <v>86</v>
      </c>
      <c r="AM2210">
        <v>7659</v>
      </c>
      <c r="AN2210">
        <f t="shared" si="69"/>
        <v>7659</v>
      </c>
      <c r="AO2210" t="s">
        <v>66</v>
      </c>
      <c r="AP2210">
        <v>0</v>
      </c>
      <c r="AQ2210" t="s">
        <v>66</v>
      </c>
      <c r="AR2210">
        <v>0</v>
      </c>
      <c r="AS2210" t="s">
        <v>66</v>
      </c>
      <c r="AT2210">
        <v>0</v>
      </c>
      <c r="AU2210" t="s">
        <v>66</v>
      </c>
      <c r="AV2210">
        <v>0</v>
      </c>
      <c r="AW2210" t="s">
        <v>66</v>
      </c>
      <c r="AX2210">
        <v>0</v>
      </c>
      <c r="AY2210" t="s">
        <v>66</v>
      </c>
      <c r="AZ2210">
        <v>0</v>
      </c>
      <c r="BA2210" t="s">
        <v>66</v>
      </c>
      <c r="BB2210">
        <v>0</v>
      </c>
      <c r="BC2210">
        <v>0</v>
      </c>
      <c r="BD2210">
        <v>45954</v>
      </c>
      <c r="BE2210">
        <v>6234.51</v>
      </c>
      <c r="BF2210">
        <v>0</v>
      </c>
      <c r="BG2210" t="s">
        <v>87</v>
      </c>
      <c r="BH2210" t="s">
        <v>66</v>
      </c>
      <c r="BI2210">
        <v>0</v>
      </c>
      <c r="BJ2210" t="s">
        <v>66</v>
      </c>
      <c r="BK2210" t="s">
        <v>88</v>
      </c>
      <c r="BL2210" t="s">
        <v>66</v>
      </c>
      <c r="BM2210" t="s">
        <v>159</v>
      </c>
    </row>
    <row r="2211" spans="1:65" x14ac:dyDescent="0.25">
      <c r="A2211">
        <v>2209</v>
      </c>
      <c r="B2211" t="s">
        <v>2085</v>
      </c>
      <c r="C2211" t="s">
        <v>68</v>
      </c>
      <c r="D2211" s="1">
        <v>46233</v>
      </c>
      <c r="E2211" t="s">
        <v>2086</v>
      </c>
      <c r="F2211" t="s">
        <v>68</v>
      </c>
      <c r="G2211" t="s">
        <v>295</v>
      </c>
      <c r="H2211" t="s">
        <v>296</v>
      </c>
      <c r="I2211" t="s">
        <v>71</v>
      </c>
      <c r="J2211" t="s">
        <v>72</v>
      </c>
      <c r="K2211" t="s">
        <v>73</v>
      </c>
      <c r="L2211" t="s">
        <v>74</v>
      </c>
      <c r="M2211" t="s">
        <v>684</v>
      </c>
      <c r="N2211" t="s">
        <v>274</v>
      </c>
      <c r="O2211" t="s">
        <v>685</v>
      </c>
      <c r="P2211" t="s">
        <v>686</v>
      </c>
      <c r="Q2211" t="s">
        <v>66</v>
      </c>
      <c r="R2211" s="1">
        <v>46233</v>
      </c>
      <c r="S2211" t="s">
        <v>688</v>
      </c>
      <c r="T2211" t="s">
        <v>689</v>
      </c>
      <c r="U2211" t="s">
        <v>690</v>
      </c>
      <c r="V2211" t="s">
        <v>66</v>
      </c>
      <c r="W2211" t="s">
        <v>66</v>
      </c>
      <c r="X2211">
        <v>473400</v>
      </c>
      <c r="Y2211">
        <v>52074</v>
      </c>
      <c r="Z2211">
        <v>25200</v>
      </c>
      <c r="AA2211">
        <v>2772</v>
      </c>
      <c r="AB2211">
        <v>525474</v>
      </c>
      <c r="AC2211">
        <v>6</v>
      </c>
      <c r="AD2211" t="s">
        <v>82</v>
      </c>
      <c r="AE2211">
        <v>6</v>
      </c>
      <c r="AF2211" t="s">
        <v>1926</v>
      </c>
      <c r="AG2211">
        <f>IFERROR(VLOOKUP(AF2211,[1]STOK!J:O,6,0),"")</f>
        <v>24</v>
      </c>
      <c r="AH2211" s="2">
        <f t="shared" si="68"/>
        <v>0.25</v>
      </c>
      <c r="AI2211" t="s">
        <v>1926</v>
      </c>
      <c r="AJ2211" t="s">
        <v>1927</v>
      </c>
      <c r="AK2211" t="s">
        <v>1928</v>
      </c>
      <c r="AL2211" t="s">
        <v>86</v>
      </c>
      <c r="AM2211">
        <v>4662</v>
      </c>
      <c r="AN2211">
        <f t="shared" si="69"/>
        <v>4662</v>
      </c>
      <c r="AO2211" t="s">
        <v>66</v>
      </c>
      <c r="AP2211">
        <v>0</v>
      </c>
      <c r="AQ2211" t="s">
        <v>66</v>
      </c>
      <c r="AR2211">
        <v>0</v>
      </c>
      <c r="AS2211" t="s">
        <v>66</v>
      </c>
      <c r="AT2211">
        <v>0</v>
      </c>
      <c r="AU2211" t="s">
        <v>66</v>
      </c>
      <c r="AV2211">
        <v>0</v>
      </c>
      <c r="AW2211" t="s">
        <v>66</v>
      </c>
      <c r="AX2211">
        <v>0</v>
      </c>
      <c r="AY2211" t="s">
        <v>66</v>
      </c>
      <c r="AZ2211">
        <v>0</v>
      </c>
      <c r="BA2211" t="s">
        <v>66</v>
      </c>
      <c r="BB2211">
        <v>0</v>
      </c>
      <c r="BC2211">
        <v>0</v>
      </c>
      <c r="BD2211">
        <v>27972</v>
      </c>
      <c r="BE2211">
        <v>3770.53</v>
      </c>
      <c r="BF2211">
        <v>0</v>
      </c>
      <c r="BG2211" t="s">
        <v>87</v>
      </c>
      <c r="BH2211" t="s">
        <v>66</v>
      </c>
      <c r="BI2211">
        <v>0</v>
      </c>
      <c r="BJ2211" t="s">
        <v>66</v>
      </c>
      <c r="BK2211" t="s">
        <v>88</v>
      </c>
      <c r="BL2211" t="s">
        <v>66</v>
      </c>
      <c r="BM2211" t="s">
        <v>159</v>
      </c>
    </row>
    <row r="2212" spans="1:65" x14ac:dyDescent="0.25">
      <c r="A2212">
        <v>2210</v>
      </c>
      <c r="B2212" t="s">
        <v>2085</v>
      </c>
      <c r="C2212" t="s">
        <v>68</v>
      </c>
      <c r="D2212" s="1">
        <v>46233</v>
      </c>
      <c r="E2212" t="s">
        <v>2086</v>
      </c>
      <c r="F2212" t="s">
        <v>68</v>
      </c>
      <c r="G2212" t="s">
        <v>295</v>
      </c>
      <c r="H2212" t="s">
        <v>296</v>
      </c>
      <c r="I2212" t="s">
        <v>71</v>
      </c>
      <c r="J2212" t="s">
        <v>72</v>
      </c>
      <c r="K2212" t="s">
        <v>73</v>
      </c>
      <c r="L2212" t="s">
        <v>74</v>
      </c>
      <c r="M2212" t="s">
        <v>684</v>
      </c>
      <c r="N2212" t="s">
        <v>274</v>
      </c>
      <c r="O2212" t="s">
        <v>685</v>
      </c>
      <c r="P2212" t="s">
        <v>686</v>
      </c>
      <c r="Q2212" t="s">
        <v>66</v>
      </c>
      <c r="R2212" s="1">
        <v>46233</v>
      </c>
      <c r="S2212" t="s">
        <v>688</v>
      </c>
      <c r="T2212" t="s">
        <v>689</v>
      </c>
      <c r="U2212" t="s">
        <v>690</v>
      </c>
      <c r="V2212" t="s">
        <v>66</v>
      </c>
      <c r="W2212" t="s">
        <v>66</v>
      </c>
      <c r="X2212">
        <v>473400</v>
      </c>
      <c r="Y2212">
        <v>52074</v>
      </c>
      <c r="Z2212">
        <v>135000</v>
      </c>
      <c r="AA2212">
        <v>14850</v>
      </c>
      <c r="AB2212">
        <v>525474</v>
      </c>
      <c r="AC2212">
        <v>2</v>
      </c>
      <c r="AD2212" t="s">
        <v>82</v>
      </c>
      <c r="AE2212">
        <v>2</v>
      </c>
      <c r="AF2212" t="s">
        <v>312</v>
      </c>
      <c r="AG2212">
        <f>IFERROR(VLOOKUP(AF2212,[1]STOK!J:O,6,0),"")</f>
        <v>4</v>
      </c>
      <c r="AH2212" s="2">
        <f t="shared" si="68"/>
        <v>0.5</v>
      </c>
      <c r="AI2212" t="s">
        <v>312</v>
      </c>
      <c r="AJ2212" t="s">
        <v>313</v>
      </c>
      <c r="AK2212" t="s">
        <v>314</v>
      </c>
      <c r="AL2212" t="s">
        <v>86</v>
      </c>
      <c r="AM2212">
        <v>74925</v>
      </c>
      <c r="AN2212">
        <f t="shared" si="69"/>
        <v>74925</v>
      </c>
      <c r="AO2212" t="s">
        <v>66</v>
      </c>
      <c r="AP2212">
        <v>0</v>
      </c>
      <c r="AQ2212" t="s">
        <v>66</v>
      </c>
      <c r="AR2212">
        <v>0</v>
      </c>
      <c r="AS2212" t="s">
        <v>66</v>
      </c>
      <c r="AT2212">
        <v>0</v>
      </c>
      <c r="AU2212" t="s">
        <v>66</v>
      </c>
      <c r="AV2212">
        <v>0</v>
      </c>
      <c r="AW2212" t="s">
        <v>66</v>
      </c>
      <c r="AX2212">
        <v>0</v>
      </c>
      <c r="AY2212" t="s">
        <v>66</v>
      </c>
      <c r="AZ2212">
        <v>0</v>
      </c>
      <c r="BA2212" t="s">
        <v>66</v>
      </c>
      <c r="BB2212">
        <v>0</v>
      </c>
      <c r="BC2212">
        <v>0</v>
      </c>
      <c r="BD2212">
        <v>149850</v>
      </c>
      <c r="BE2212">
        <v>60344.4</v>
      </c>
      <c r="BF2212">
        <v>0</v>
      </c>
      <c r="BG2212" t="s">
        <v>87</v>
      </c>
      <c r="BH2212" t="s">
        <v>66</v>
      </c>
      <c r="BI2212">
        <v>0</v>
      </c>
      <c r="BJ2212" t="s">
        <v>66</v>
      </c>
      <c r="BK2212" t="s">
        <v>88</v>
      </c>
      <c r="BL2212" t="s">
        <v>66</v>
      </c>
      <c r="BM2212" t="s">
        <v>159</v>
      </c>
    </row>
    <row r="2213" spans="1:65" x14ac:dyDescent="0.25">
      <c r="A2213">
        <v>2211</v>
      </c>
      <c r="B2213" t="s">
        <v>2085</v>
      </c>
      <c r="C2213" t="s">
        <v>68</v>
      </c>
      <c r="D2213" s="1">
        <v>46233</v>
      </c>
      <c r="E2213" t="s">
        <v>2086</v>
      </c>
      <c r="F2213" t="s">
        <v>68</v>
      </c>
      <c r="G2213" t="s">
        <v>295</v>
      </c>
      <c r="H2213" t="s">
        <v>296</v>
      </c>
      <c r="I2213" t="s">
        <v>71</v>
      </c>
      <c r="J2213" t="s">
        <v>72</v>
      </c>
      <c r="K2213" t="s">
        <v>73</v>
      </c>
      <c r="L2213" t="s">
        <v>74</v>
      </c>
      <c r="M2213" t="s">
        <v>684</v>
      </c>
      <c r="N2213" t="s">
        <v>274</v>
      </c>
      <c r="O2213" t="s">
        <v>685</v>
      </c>
      <c r="P2213" t="s">
        <v>686</v>
      </c>
      <c r="Q2213" t="s">
        <v>66</v>
      </c>
      <c r="R2213" s="1">
        <v>46233</v>
      </c>
      <c r="S2213" t="s">
        <v>688</v>
      </c>
      <c r="T2213" t="s">
        <v>689</v>
      </c>
      <c r="U2213" t="s">
        <v>690</v>
      </c>
      <c r="V2213" t="s">
        <v>66</v>
      </c>
      <c r="W2213" t="s">
        <v>66</v>
      </c>
      <c r="X2213">
        <v>473400</v>
      </c>
      <c r="Y2213">
        <v>52074</v>
      </c>
      <c r="Z2213">
        <v>172800</v>
      </c>
      <c r="AA2213">
        <v>19008</v>
      </c>
      <c r="AB2213">
        <v>525474</v>
      </c>
      <c r="AC2213">
        <v>12</v>
      </c>
      <c r="AD2213" t="s">
        <v>82</v>
      </c>
      <c r="AE2213">
        <v>12</v>
      </c>
      <c r="AF2213" t="s">
        <v>141</v>
      </c>
      <c r="AG2213">
        <f>IFERROR(VLOOKUP(AF2213,[1]STOK!J:O,6,0),"")</f>
        <v>12</v>
      </c>
      <c r="AH2213" s="2">
        <f t="shared" si="68"/>
        <v>1</v>
      </c>
      <c r="AI2213" t="s">
        <v>141</v>
      </c>
      <c r="AJ2213" t="s">
        <v>142</v>
      </c>
      <c r="AK2213" t="s">
        <v>143</v>
      </c>
      <c r="AL2213" t="s">
        <v>86</v>
      </c>
      <c r="AM2213">
        <v>15984</v>
      </c>
      <c r="AN2213">
        <f t="shared" si="69"/>
        <v>15984</v>
      </c>
      <c r="AO2213" t="s">
        <v>66</v>
      </c>
      <c r="AP2213">
        <v>0</v>
      </c>
      <c r="AQ2213" t="s">
        <v>66</v>
      </c>
      <c r="AR2213">
        <v>0</v>
      </c>
      <c r="AS2213" t="s">
        <v>66</v>
      </c>
      <c r="AT2213">
        <v>0</v>
      </c>
      <c r="AU2213" t="s">
        <v>66</v>
      </c>
      <c r="AV2213">
        <v>0</v>
      </c>
      <c r="AW2213" t="s">
        <v>66</v>
      </c>
      <c r="AX2213">
        <v>0</v>
      </c>
      <c r="AY2213" t="s">
        <v>66</v>
      </c>
      <c r="AZ2213">
        <v>0</v>
      </c>
      <c r="BA2213" t="s">
        <v>66</v>
      </c>
      <c r="BB2213">
        <v>0</v>
      </c>
      <c r="BC2213">
        <v>0</v>
      </c>
      <c r="BD2213">
        <v>191808</v>
      </c>
      <c r="BE2213">
        <v>13029.29</v>
      </c>
      <c r="BF2213">
        <v>0</v>
      </c>
      <c r="BG2213" t="s">
        <v>87</v>
      </c>
      <c r="BH2213" t="s">
        <v>66</v>
      </c>
      <c r="BI2213">
        <v>0</v>
      </c>
      <c r="BJ2213" t="s">
        <v>66</v>
      </c>
      <c r="BK2213" t="s">
        <v>88</v>
      </c>
      <c r="BL2213" t="s">
        <v>66</v>
      </c>
      <c r="BM2213" t="s">
        <v>159</v>
      </c>
    </row>
    <row r="2214" spans="1:65" x14ac:dyDescent="0.25">
      <c r="A2214">
        <v>2212</v>
      </c>
      <c r="B2214" t="s">
        <v>2087</v>
      </c>
      <c r="C2214" t="s">
        <v>68</v>
      </c>
      <c r="D2214" s="1">
        <v>46233</v>
      </c>
      <c r="E2214" t="s">
        <v>2088</v>
      </c>
      <c r="F2214" t="s">
        <v>68</v>
      </c>
      <c r="G2214" t="s">
        <v>69</v>
      </c>
      <c r="H2214" t="s">
        <v>70</v>
      </c>
      <c r="I2214" t="s">
        <v>71</v>
      </c>
      <c r="J2214" t="s">
        <v>72</v>
      </c>
      <c r="K2214" t="s">
        <v>73</v>
      </c>
      <c r="L2214" t="s">
        <v>74</v>
      </c>
      <c r="M2214" t="s">
        <v>638</v>
      </c>
      <c r="N2214" t="s">
        <v>111</v>
      </c>
      <c r="O2214" t="s">
        <v>639</v>
      </c>
      <c r="P2214" t="s">
        <v>640</v>
      </c>
      <c r="Q2214" t="s">
        <v>66</v>
      </c>
      <c r="R2214" s="1">
        <v>46233</v>
      </c>
      <c r="S2214" t="s">
        <v>642</v>
      </c>
      <c r="T2214" t="s">
        <v>643</v>
      </c>
      <c r="U2214" t="s">
        <v>644</v>
      </c>
      <c r="V2214" t="s">
        <v>66</v>
      </c>
      <c r="W2214" t="s">
        <v>66</v>
      </c>
      <c r="X2214">
        <v>1332504</v>
      </c>
      <c r="Y2214">
        <v>146575.44</v>
      </c>
      <c r="Z2214">
        <v>44476.5</v>
      </c>
      <c r="AA2214">
        <v>4892.42</v>
      </c>
      <c r="AB2214">
        <v>1479079.44</v>
      </c>
      <c r="AC2214">
        <v>3</v>
      </c>
      <c r="AD2214" t="s">
        <v>82</v>
      </c>
      <c r="AE2214">
        <v>3</v>
      </c>
      <c r="AF2214" t="s">
        <v>944</v>
      </c>
      <c r="AG2214">
        <f>IFERROR(VLOOKUP(AF2214,[1]STOK!J:O,6,0),"")</f>
        <v>24</v>
      </c>
      <c r="AH2214" s="2">
        <f t="shared" si="68"/>
        <v>0.125</v>
      </c>
      <c r="AI2214" t="s">
        <v>944</v>
      </c>
      <c r="AJ2214" t="s">
        <v>945</v>
      </c>
      <c r="AK2214" t="s">
        <v>946</v>
      </c>
      <c r="AL2214" t="s">
        <v>86</v>
      </c>
      <c r="AM2214">
        <v>16539</v>
      </c>
      <c r="AN2214">
        <f t="shared" si="69"/>
        <v>16456.306666666667</v>
      </c>
      <c r="AO2214" t="s">
        <v>66</v>
      </c>
      <c r="AP2214">
        <v>0.5</v>
      </c>
      <c r="AQ2214" t="s">
        <v>66</v>
      </c>
      <c r="AR2214">
        <v>0</v>
      </c>
      <c r="AS2214" t="s">
        <v>66</v>
      </c>
      <c r="AT2214">
        <v>0</v>
      </c>
      <c r="AU2214" t="s">
        <v>66</v>
      </c>
      <c r="AV2214">
        <v>0</v>
      </c>
      <c r="AW2214" t="s">
        <v>66</v>
      </c>
      <c r="AX2214">
        <v>0</v>
      </c>
      <c r="AY2214" t="s">
        <v>66</v>
      </c>
      <c r="AZ2214">
        <v>0</v>
      </c>
      <c r="BA2214" t="s">
        <v>66</v>
      </c>
      <c r="BB2214">
        <v>0</v>
      </c>
      <c r="BC2214">
        <v>0</v>
      </c>
      <c r="BD2214">
        <v>49368.92</v>
      </c>
      <c r="BE2214">
        <v>12571.74</v>
      </c>
      <c r="BF2214">
        <v>0</v>
      </c>
      <c r="BG2214" t="s">
        <v>87</v>
      </c>
      <c r="BH2214" t="s">
        <v>66</v>
      </c>
      <c r="BI2214">
        <v>0</v>
      </c>
      <c r="BJ2214" t="s">
        <v>66</v>
      </c>
      <c r="BK2214" t="s">
        <v>88</v>
      </c>
      <c r="BL2214" t="s">
        <v>66</v>
      </c>
      <c r="BM2214" t="s">
        <v>159</v>
      </c>
    </row>
    <row r="2215" spans="1:65" x14ac:dyDescent="0.25">
      <c r="A2215">
        <v>2213</v>
      </c>
      <c r="B2215" t="s">
        <v>2087</v>
      </c>
      <c r="C2215" t="s">
        <v>68</v>
      </c>
      <c r="D2215" s="1">
        <v>46233</v>
      </c>
      <c r="E2215" t="s">
        <v>2088</v>
      </c>
      <c r="F2215" t="s">
        <v>68</v>
      </c>
      <c r="G2215" t="s">
        <v>69</v>
      </c>
      <c r="H2215" t="s">
        <v>70</v>
      </c>
      <c r="I2215" t="s">
        <v>71</v>
      </c>
      <c r="J2215" t="s">
        <v>72</v>
      </c>
      <c r="K2215" t="s">
        <v>73</v>
      </c>
      <c r="L2215" t="s">
        <v>74</v>
      </c>
      <c r="M2215" t="s">
        <v>638</v>
      </c>
      <c r="N2215" t="s">
        <v>111</v>
      </c>
      <c r="O2215" t="s">
        <v>639</v>
      </c>
      <c r="P2215" t="s">
        <v>640</v>
      </c>
      <c r="Q2215" t="s">
        <v>66</v>
      </c>
      <c r="R2215" s="1">
        <v>46233</v>
      </c>
      <c r="S2215" t="s">
        <v>642</v>
      </c>
      <c r="T2215" t="s">
        <v>643</v>
      </c>
      <c r="U2215" t="s">
        <v>644</v>
      </c>
      <c r="V2215" t="s">
        <v>66</v>
      </c>
      <c r="W2215" t="s">
        <v>66</v>
      </c>
      <c r="X2215">
        <v>1332504</v>
      </c>
      <c r="Y2215">
        <v>146575.44</v>
      </c>
      <c r="Z2215">
        <v>44178</v>
      </c>
      <c r="AA2215">
        <v>4859.58</v>
      </c>
      <c r="AB2215">
        <v>1479079.44</v>
      </c>
      <c r="AC2215">
        <v>6</v>
      </c>
      <c r="AD2215" t="s">
        <v>82</v>
      </c>
      <c r="AE2215">
        <v>6</v>
      </c>
      <c r="AF2215" t="s">
        <v>83</v>
      </c>
      <c r="AG2215">
        <f>IFERROR(VLOOKUP(AF2215,[1]STOK!J:O,6,0),"")</f>
        <v>24</v>
      </c>
      <c r="AH2215" s="2">
        <f t="shared" si="68"/>
        <v>0.25</v>
      </c>
      <c r="AI2215" t="s">
        <v>83</v>
      </c>
      <c r="AJ2215" t="s">
        <v>84</v>
      </c>
      <c r="AK2215" t="s">
        <v>85</v>
      </c>
      <c r="AL2215" t="s">
        <v>86</v>
      </c>
      <c r="AM2215">
        <v>8214</v>
      </c>
      <c r="AN2215">
        <f t="shared" si="69"/>
        <v>8172.93</v>
      </c>
      <c r="AO2215" t="s">
        <v>66</v>
      </c>
      <c r="AP2215">
        <v>0.5</v>
      </c>
      <c r="AQ2215" t="s">
        <v>66</v>
      </c>
      <c r="AR2215">
        <v>0</v>
      </c>
      <c r="AS2215" t="s">
        <v>66</v>
      </c>
      <c r="AT2215">
        <v>0</v>
      </c>
      <c r="AU2215" t="s">
        <v>66</v>
      </c>
      <c r="AV2215">
        <v>0</v>
      </c>
      <c r="AW2215" t="s">
        <v>66</v>
      </c>
      <c r="AX2215">
        <v>0</v>
      </c>
      <c r="AY2215" t="s">
        <v>66</v>
      </c>
      <c r="AZ2215">
        <v>0</v>
      </c>
      <c r="BA2215" t="s">
        <v>66</v>
      </c>
      <c r="BB2215">
        <v>0</v>
      </c>
      <c r="BC2215">
        <v>0</v>
      </c>
      <c r="BD2215">
        <v>49037.58</v>
      </c>
      <c r="BE2215">
        <v>6682.78</v>
      </c>
      <c r="BF2215">
        <v>0</v>
      </c>
      <c r="BG2215" t="s">
        <v>87</v>
      </c>
      <c r="BH2215" t="s">
        <v>66</v>
      </c>
      <c r="BI2215">
        <v>0</v>
      </c>
      <c r="BJ2215" t="s">
        <v>66</v>
      </c>
      <c r="BK2215" t="s">
        <v>88</v>
      </c>
      <c r="BL2215" t="s">
        <v>66</v>
      </c>
      <c r="BM2215" t="s">
        <v>159</v>
      </c>
    </row>
    <row r="2216" spans="1:65" x14ac:dyDescent="0.25">
      <c r="A2216">
        <v>2214</v>
      </c>
      <c r="B2216" t="s">
        <v>2087</v>
      </c>
      <c r="C2216" t="s">
        <v>68</v>
      </c>
      <c r="D2216" s="1">
        <v>46233</v>
      </c>
      <c r="E2216" t="s">
        <v>2088</v>
      </c>
      <c r="F2216" t="s">
        <v>68</v>
      </c>
      <c r="G2216" t="s">
        <v>69</v>
      </c>
      <c r="H2216" t="s">
        <v>70</v>
      </c>
      <c r="I2216" t="s">
        <v>71</v>
      </c>
      <c r="J2216" t="s">
        <v>72</v>
      </c>
      <c r="K2216" t="s">
        <v>73</v>
      </c>
      <c r="L2216" t="s">
        <v>74</v>
      </c>
      <c r="M2216" t="s">
        <v>638</v>
      </c>
      <c r="N2216" t="s">
        <v>111</v>
      </c>
      <c r="O2216" t="s">
        <v>639</v>
      </c>
      <c r="P2216" t="s">
        <v>640</v>
      </c>
      <c r="Q2216" t="s">
        <v>66</v>
      </c>
      <c r="R2216" s="1">
        <v>46233</v>
      </c>
      <c r="S2216" t="s">
        <v>642</v>
      </c>
      <c r="T2216" t="s">
        <v>643</v>
      </c>
      <c r="U2216" t="s">
        <v>644</v>
      </c>
      <c r="V2216" t="s">
        <v>66</v>
      </c>
      <c r="W2216" t="s">
        <v>66</v>
      </c>
      <c r="X2216">
        <v>1332504</v>
      </c>
      <c r="Y2216">
        <v>146575.44</v>
      </c>
      <c r="Z2216">
        <v>60297</v>
      </c>
      <c r="AA2216">
        <v>6632.67</v>
      </c>
      <c r="AB2216">
        <v>1479079.44</v>
      </c>
      <c r="AC2216">
        <v>6</v>
      </c>
      <c r="AD2216" t="s">
        <v>82</v>
      </c>
      <c r="AE2216">
        <v>6</v>
      </c>
      <c r="AF2216" t="s">
        <v>848</v>
      </c>
      <c r="AG2216">
        <f>IFERROR(VLOOKUP(AF2216,[1]STOK!J:O,6,0),"")</f>
        <v>24</v>
      </c>
      <c r="AH2216" s="2">
        <f t="shared" si="68"/>
        <v>0.25</v>
      </c>
      <c r="AI2216" t="s">
        <v>848</v>
      </c>
      <c r="AJ2216" t="s">
        <v>849</v>
      </c>
      <c r="AK2216" t="s">
        <v>850</v>
      </c>
      <c r="AL2216" t="s">
        <v>86</v>
      </c>
      <c r="AM2216">
        <v>11211</v>
      </c>
      <c r="AN2216">
        <f t="shared" si="69"/>
        <v>11154.945</v>
      </c>
      <c r="AO2216" t="s">
        <v>66</v>
      </c>
      <c r="AP2216">
        <v>0.5</v>
      </c>
      <c r="AQ2216" t="s">
        <v>66</v>
      </c>
      <c r="AR2216">
        <v>0</v>
      </c>
      <c r="AS2216" t="s">
        <v>66</v>
      </c>
      <c r="AT2216">
        <v>0</v>
      </c>
      <c r="AU2216" t="s">
        <v>66</v>
      </c>
      <c r="AV2216">
        <v>0</v>
      </c>
      <c r="AW2216" t="s">
        <v>66</v>
      </c>
      <c r="AX2216">
        <v>0</v>
      </c>
      <c r="AY2216" t="s">
        <v>66</v>
      </c>
      <c r="AZ2216">
        <v>0</v>
      </c>
      <c r="BA2216" t="s">
        <v>66</v>
      </c>
      <c r="BB2216">
        <v>0</v>
      </c>
      <c r="BC2216">
        <v>0</v>
      </c>
      <c r="BD2216">
        <v>66929.67</v>
      </c>
      <c r="BE2216">
        <v>9090.16</v>
      </c>
      <c r="BF2216">
        <v>0</v>
      </c>
      <c r="BG2216" t="s">
        <v>87</v>
      </c>
      <c r="BH2216" t="s">
        <v>66</v>
      </c>
      <c r="BI2216">
        <v>0</v>
      </c>
      <c r="BJ2216" t="s">
        <v>66</v>
      </c>
      <c r="BK2216" t="s">
        <v>88</v>
      </c>
      <c r="BL2216" t="s">
        <v>66</v>
      </c>
      <c r="BM2216" t="s">
        <v>159</v>
      </c>
    </row>
    <row r="2217" spans="1:65" x14ac:dyDescent="0.25">
      <c r="A2217">
        <v>2215</v>
      </c>
      <c r="B2217" t="s">
        <v>2087</v>
      </c>
      <c r="C2217" t="s">
        <v>68</v>
      </c>
      <c r="D2217" s="1">
        <v>46233</v>
      </c>
      <c r="E2217" t="s">
        <v>2088</v>
      </c>
      <c r="F2217" t="s">
        <v>68</v>
      </c>
      <c r="G2217" t="s">
        <v>69</v>
      </c>
      <c r="H2217" t="s">
        <v>70</v>
      </c>
      <c r="I2217" t="s">
        <v>71</v>
      </c>
      <c r="J2217" t="s">
        <v>72</v>
      </c>
      <c r="K2217" t="s">
        <v>73</v>
      </c>
      <c r="L2217" t="s">
        <v>74</v>
      </c>
      <c r="M2217" t="s">
        <v>638</v>
      </c>
      <c r="N2217" t="s">
        <v>111</v>
      </c>
      <c r="O2217" t="s">
        <v>639</v>
      </c>
      <c r="P2217" t="s">
        <v>640</v>
      </c>
      <c r="Q2217" t="s">
        <v>66</v>
      </c>
      <c r="R2217" s="1">
        <v>46233</v>
      </c>
      <c r="S2217" t="s">
        <v>642</v>
      </c>
      <c r="T2217" t="s">
        <v>643</v>
      </c>
      <c r="U2217" t="s">
        <v>644</v>
      </c>
      <c r="V2217" t="s">
        <v>66</v>
      </c>
      <c r="W2217" t="s">
        <v>66</v>
      </c>
      <c r="X2217">
        <v>1332504</v>
      </c>
      <c r="Y2217">
        <v>146575.44</v>
      </c>
      <c r="Z2217">
        <v>49252.5</v>
      </c>
      <c r="AA2217">
        <v>5417.78</v>
      </c>
      <c r="AB2217">
        <v>1479079.44</v>
      </c>
      <c r="AC2217">
        <v>3</v>
      </c>
      <c r="AD2217" t="s">
        <v>82</v>
      </c>
      <c r="AE2217">
        <v>3</v>
      </c>
      <c r="AF2217" t="s">
        <v>99</v>
      </c>
      <c r="AG2217">
        <f>IFERROR(VLOOKUP(AF2217,[1]STOK!J:O,6,0),"")</f>
        <v>24</v>
      </c>
      <c r="AH2217" s="2">
        <f t="shared" si="68"/>
        <v>0.125</v>
      </c>
      <c r="AI2217" t="s">
        <v>99</v>
      </c>
      <c r="AJ2217" t="s">
        <v>100</v>
      </c>
      <c r="AK2217" t="s">
        <v>101</v>
      </c>
      <c r="AL2217" t="s">
        <v>86</v>
      </c>
      <c r="AM2217">
        <v>18315</v>
      </c>
      <c r="AN2217">
        <f t="shared" si="69"/>
        <v>18223.426666666666</v>
      </c>
      <c r="AO2217" t="s">
        <v>66</v>
      </c>
      <c r="AP2217">
        <v>0.5</v>
      </c>
      <c r="AQ2217" t="s">
        <v>66</v>
      </c>
      <c r="AR2217">
        <v>0</v>
      </c>
      <c r="AS2217" t="s">
        <v>66</v>
      </c>
      <c r="AT2217">
        <v>0</v>
      </c>
      <c r="AU2217" t="s">
        <v>66</v>
      </c>
      <c r="AV2217">
        <v>0</v>
      </c>
      <c r="AW2217" t="s">
        <v>66</v>
      </c>
      <c r="AX2217">
        <v>0</v>
      </c>
      <c r="AY2217" t="s">
        <v>66</v>
      </c>
      <c r="AZ2217">
        <v>0</v>
      </c>
      <c r="BA2217" t="s">
        <v>66</v>
      </c>
      <c r="BB2217">
        <v>0</v>
      </c>
      <c r="BC2217">
        <v>0</v>
      </c>
      <c r="BD2217">
        <v>54670.28</v>
      </c>
      <c r="BE2217">
        <v>14925.98</v>
      </c>
      <c r="BF2217">
        <v>0</v>
      </c>
      <c r="BG2217" t="s">
        <v>87</v>
      </c>
      <c r="BH2217" t="s">
        <v>66</v>
      </c>
      <c r="BI2217">
        <v>0</v>
      </c>
      <c r="BJ2217" t="s">
        <v>66</v>
      </c>
      <c r="BK2217" t="s">
        <v>88</v>
      </c>
      <c r="BL2217" t="s">
        <v>66</v>
      </c>
      <c r="BM2217" t="s">
        <v>159</v>
      </c>
    </row>
    <row r="2218" spans="1:65" x14ac:dyDescent="0.25">
      <c r="A2218">
        <v>2216</v>
      </c>
      <c r="B2218" t="s">
        <v>2087</v>
      </c>
      <c r="C2218" t="s">
        <v>68</v>
      </c>
      <c r="D2218" s="1">
        <v>46233</v>
      </c>
      <c r="E2218" t="s">
        <v>2088</v>
      </c>
      <c r="F2218" t="s">
        <v>68</v>
      </c>
      <c r="G2218" t="s">
        <v>69</v>
      </c>
      <c r="H2218" t="s">
        <v>70</v>
      </c>
      <c r="I2218" t="s">
        <v>71</v>
      </c>
      <c r="J2218" t="s">
        <v>72</v>
      </c>
      <c r="K2218" t="s">
        <v>73</v>
      </c>
      <c r="L2218" t="s">
        <v>74</v>
      </c>
      <c r="M2218" t="s">
        <v>638</v>
      </c>
      <c r="N2218" t="s">
        <v>111</v>
      </c>
      <c r="O2218" t="s">
        <v>639</v>
      </c>
      <c r="P2218" t="s">
        <v>640</v>
      </c>
      <c r="Q2218" t="s">
        <v>66</v>
      </c>
      <c r="R2218" s="1">
        <v>46233</v>
      </c>
      <c r="S2218" t="s">
        <v>642</v>
      </c>
      <c r="T2218" t="s">
        <v>643</v>
      </c>
      <c r="U2218" t="s">
        <v>644</v>
      </c>
      <c r="V2218" t="s">
        <v>66</v>
      </c>
      <c r="W2218" t="s">
        <v>66</v>
      </c>
      <c r="X2218">
        <v>1332504</v>
      </c>
      <c r="Y2218">
        <v>146575.44</v>
      </c>
      <c r="Z2218">
        <v>680580</v>
      </c>
      <c r="AA2218">
        <v>74863.8</v>
      </c>
      <c r="AB2218">
        <v>1479079.44</v>
      </c>
      <c r="AC2218">
        <v>3</v>
      </c>
      <c r="AD2218" t="s">
        <v>134</v>
      </c>
      <c r="AE2218">
        <v>36</v>
      </c>
      <c r="AF2218" t="s">
        <v>290</v>
      </c>
      <c r="AG2218">
        <f>IFERROR(VLOOKUP(AF2218,[1]STOK!J:O,6,0),"")</f>
        <v>12</v>
      </c>
      <c r="AH2218" s="2">
        <f t="shared" si="68"/>
        <v>3</v>
      </c>
      <c r="AI2218" t="s">
        <v>290</v>
      </c>
      <c r="AJ2218" t="s">
        <v>291</v>
      </c>
      <c r="AK2218" t="s">
        <v>292</v>
      </c>
      <c r="AL2218" t="s">
        <v>86</v>
      </c>
      <c r="AM2218">
        <v>266400</v>
      </c>
      <c r="AN2218">
        <f t="shared" si="69"/>
        <v>251814.6</v>
      </c>
      <c r="AO2218" t="s">
        <v>66</v>
      </c>
      <c r="AP2218">
        <v>0.5</v>
      </c>
      <c r="AQ2218" t="s">
        <v>66</v>
      </c>
      <c r="AR2218">
        <v>0</v>
      </c>
      <c r="AS2218" t="s">
        <v>66</v>
      </c>
      <c r="AT2218">
        <v>0</v>
      </c>
      <c r="AU2218" t="s">
        <v>66</v>
      </c>
      <c r="AV2218">
        <v>5</v>
      </c>
      <c r="AW2218" t="s">
        <v>66</v>
      </c>
      <c r="AX2218">
        <v>0</v>
      </c>
      <c r="AY2218" t="s">
        <v>66</v>
      </c>
      <c r="AZ2218">
        <v>0</v>
      </c>
      <c r="BA2218" t="s">
        <v>66</v>
      </c>
      <c r="BB2218">
        <v>0</v>
      </c>
      <c r="BC2218">
        <v>0</v>
      </c>
      <c r="BD2218">
        <v>755443.8</v>
      </c>
      <c r="BE2218">
        <v>18113.71</v>
      </c>
      <c r="BF2218">
        <v>0</v>
      </c>
      <c r="BG2218" t="s">
        <v>87</v>
      </c>
      <c r="BH2218" t="s">
        <v>66</v>
      </c>
      <c r="BI2218">
        <v>0</v>
      </c>
      <c r="BJ2218" t="s">
        <v>66</v>
      </c>
      <c r="BK2218" t="s">
        <v>88</v>
      </c>
      <c r="BL2218" t="s">
        <v>66</v>
      </c>
      <c r="BM2218" t="s">
        <v>159</v>
      </c>
    </row>
    <row r="2219" spans="1:65" x14ac:dyDescent="0.25">
      <c r="A2219">
        <v>2217</v>
      </c>
      <c r="B2219" t="s">
        <v>2087</v>
      </c>
      <c r="C2219" t="s">
        <v>68</v>
      </c>
      <c r="D2219" s="1">
        <v>46233</v>
      </c>
      <c r="E2219" t="s">
        <v>2088</v>
      </c>
      <c r="F2219" t="s">
        <v>68</v>
      </c>
      <c r="G2219" t="s">
        <v>69</v>
      </c>
      <c r="H2219" t="s">
        <v>70</v>
      </c>
      <c r="I2219" t="s">
        <v>71</v>
      </c>
      <c r="J2219" t="s">
        <v>72</v>
      </c>
      <c r="K2219" t="s">
        <v>73</v>
      </c>
      <c r="L2219" t="s">
        <v>74</v>
      </c>
      <c r="M2219" t="s">
        <v>638</v>
      </c>
      <c r="N2219" t="s">
        <v>111</v>
      </c>
      <c r="O2219" t="s">
        <v>639</v>
      </c>
      <c r="P2219" t="s">
        <v>640</v>
      </c>
      <c r="Q2219" t="s">
        <v>66</v>
      </c>
      <c r="R2219" s="1">
        <v>46233</v>
      </c>
      <c r="S2219" t="s">
        <v>642</v>
      </c>
      <c r="T2219" t="s">
        <v>643</v>
      </c>
      <c r="U2219" t="s">
        <v>644</v>
      </c>
      <c r="V2219" t="s">
        <v>66</v>
      </c>
      <c r="W2219" t="s">
        <v>66</v>
      </c>
      <c r="X2219">
        <v>1332504</v>
      </c>
      <c r="Y2219">
        <v>146575.44</v>
      </c>
      <c r="Z2219">
        <v>453720</v>
      </c>
      <c r="AA2219">
        <v>49909.2</v>
      </c>
      <c r="AB2219">
        <v>1479079.44</v>
      </c>
      <c r="AC2219">
        <v>2</v>
      </c>
      <c r="AD2219" t="s">
        <v>134</v>
      </c>
      <c r="AE2219">
        <v>24</v>
      </c>
      <c r="AF2219" t="s">
        <v>102</v>
      </c>
      <c r="AG2219">
        <f>IFERROR(VLOOKUP(AF2219,[1]STOK!J:O,6,0),"")</f>
        <v>12</v>
      </c>
      <c r="AH2219" s="2">
        <f t="shared" si="68"/>
        <v>2</v>
      </c>
      <c r="AI2219" t="s">
        <v>102</v>
      </c>
      <c r="AJ2219" t="s">
        <v>103</v>
      </c>
      <c r="AK2219" t="s">
        <v>104</v>
      </c>
      <c r="AL2219" t="s">
        <v>86</v>
      </c>
      <c r="AM2219">
        <v>266400</v>
      </c>
      <c r="AN2219">
        <f t="shared" si="69"/>
        <v>251814.6</v>
      </c>
      <c r="AO2219" t="s">
        <v>66</v>
      </c>
      <c r="AP2219">
        <v>0.5</v>
      </c>
      <c r="AQ2219" t="s">
        <v>66</v>
      </c>
      <c r="AR2219">
        <v>0</v>
      </c>
      <c r="AS2219" t="s">
        <v>66</v>
      </c>
      <c r="AT2219">
        <v>0</v>
      </c>
      <c r="AU2219" t="s">
        <v>66</v>
      </c>
      <c r="AV2219">
        <v>5</v>
      </c>
      <c r="AW2219" t="s">
        <v>66</v>
      </c>
      <c r="AX2219">
        <v>0</v>
      </c>
      <c r="AY2219" t="s">
        <v>66</v>
      </c>
      <c r="AZ2219">
        <v>0</v>
      </c>
      <c r="BA2219" t="s">
        <v>66</v>
      </c>
      <c r="BB2219">
        <v>0</v>
      </c>
      <c r="BC2219">
        <v>0</v>
      </c>
      <c r="BD2219">
        <v>503629.2</v>
      </c>
      <c r="BE2219">
        <v>18005.03</v>
      </c>
      <c r="BF2219">
        <v>0</v>
      </c>
      <c r="BG2219" t="s">
        <v>87</v>
      </c>
      <c r="BH2219" t="s">
        <v>66</v>
      </c>
      <c r="BI2219">
        <v>0</v>
      </c>
      <c r="BJ2219" t="s">
        <v>66</v>
      </c>
      <c r="BK2219" t="s">
        <v>88</v>
      </c>
      <c r="BL2219" t="s">
        <v>66</v>
      </c>
      <c r="BM2219" t="s">
        <v>159</v>
      </c>
    </row>
    <row r="2220" spans="1:65" x14ac:dyDescent="0.25">
      <c r="A2220">
        <v>2218</v>
      </c>
      <c r="B2220" t="s">
        <v>2089</v>
      </c>
      <c r="C2220" t="s">
        <v>68</v>
      </c>
      <c r="D2220" s="1">
        <v>46234</v>
      </c>
      <c r="E2220" t="s">
        <v>2090</v>
      </c>
      <c r="F2220" t="s">
        <v>68</v>
      </c>
      <c r="G2220" t="s">
        <v>295</v>
      </c>
      <c r="H2220" t="s">
        <v>296</v>
      </c>
      <c r="I2220" t="s">
        <v>71</v>
      </c>
      <c r="J2220" t="s">
        <v>72</v>
      </c>
      <c r="K2220" t="s">
        <v>73</v>
      </c>
      <c r="L2220" t="s">
        <v>74</v>
      </c>
      <c r="M2220" t="s">
        <v>792</v>
      </c>
      <c r="N2220" t="s">
        <v>274</v>
      </c>
      <c r="O2220" t="s">
        <v>793</v>
      </c>
      <c r="P2220" t="s">
        <v>794</v>
      </c>
      <c r="Q2220" t="s">
        <v>66</v>
      </c>
      <c r="R2220" s="1">
        <v>46234</v>
      </c>
      <c r="S2220" t="s">
        <v>796</v>
      </c>
      <c r="T2220" t="s">
        <v>797</v>
      </c>
      <c r="U2220" t="s">
        <v>798</v>
      </c>
      <c r="V2220" t="s">
        <v>66</v>
      </c>
      <c r="W2220" t="s">
        <v>66</v>
      </c>
      <c r="X2220">
        <v>1558800</v>
      </c>
      <c r="Y2220">
        <v>171468</v>
      </c>
      <c r="Z2220">
        <v>120000</v>
      </c>
      <c r="AA2220">
        <v>13200</v>
      </c>
      <c r="AB2220">
        <v>1730268</v>
      </c>
      <c r="AC2220">
        <v>48</v>
      </c>
      <c r="AD2220" t="s">
        <v>82</v>
      </c>
      <c r="AE2220">
        <v>48</v>
      </c>
      <c r="AF2220" t="s">
        <v>163</v>
      </c>
      <c r="AG2220">
        <f>IFERROR(VLOOKUP(AF2220,[1]STOK!J:O,6,0),"")</f>
        <v>72</v>
      </c>
      <c r="AH2220" s="2">
        <f t="shared" si="68"/>
        <v>0.66666666666666663</v>
      </c>
      <c r="AI2220" t="s">
        <v>163</v>
      </c>
      <c r="AJ2220" t="s">
        <v>164</v>
      </c>
      <c r="AK2220" t="s">
        <v>165</v>
      </c>
      <c r="AL2220" t="s">
        <v>86</v>
      </c>
      <c r="AM2220">
        <v>2775</v>
      </c>
      <c r="AN2220">
        <f t="shared" si="69"/>
        <v>2775</v>
      </c>
      <c r="AO2220" t="s">
        <v>66</v>
      </c>
      <c r="AP2220">
        <v>0</v>
      </c>
      <c r="AQ2220" t="s">
        <v>66</v>
      </c>
      <c r="AR2220">
        <v>0</v>
      </c>
      <c r="AS2220" t="s">
        <v>66</v>
      </c>
      <c r="AT2220">
        <v>0</v>
      </c>
      <c r="AU2220" t="s">
        <v>66</v>
      </c>
      <c r="AV2220">
        <v>0</v>
      </c>
      <c r="AW2220" t="s">
        <v>66</v>
      </c>
      <c r="AX2220">
        <v>0</v>
      </c>
      <c r="AY2220" t="s">
        <v>66</v>
      </c>
      <c r="AZ2220">
        <v>0</v>
      </c>
      <c r="BA2220" t="s">
        <v>66</v>
      </c>
      <c r="BB2220">
        <v>0</v>
      </c>
      <c r="BC2220">
        <v>0</v>
      </c>
      <c r="BD2220">
        <v>133200</v>
      </c>
      <c r="BE2220">
        <v>2190.6999999999998</v>
      </c>
      <c r="BF2220">
        <v>0</v>
      </c>
      <c r="BG2220" t="s">
        <v>87</v>
      </c>
      <c r="BH2220" t="s">
        <v>66</v>
      </c>
      <c r="BI2220">
        <v>0</v>
      </c>
      <c r="BJ2220" t="s">
        <v>66</v>
      </c>
      <c r="BK2220" t="s">
        <v>88</v>
      </c>
      <c r="BL2220" t="s">
        <v>66</v>
      </c>
      <c r="BM2220" t="s">
        <v>159</v>
      </c>
    </row>
    <row r="2221" spans="1:65" x14ac:dyDescent="0.25">
      <c r="A2221">
        <v>2219</v>
      </c>
      <c r="B2221" t="s">
        <v>2089</v>
      </c>
      <c r="C2221" t="s">
        <v>68</v>
      </c>
      <c r="D2221" s="1">
        <v>46234</v>
      </c>
      <c r="E2221" t="s">
        <v>2090</v>
      </c>
      <c r="F2221" t="s">
        <v>68</v>
      </c>
      <c r="G2221" t="s">
        <v>295</v>
      </c>
      <c r="H2221" t="s">
        <v>296</v>
      </c>
      <c r="I2221" t="s">
        <v>71</v>
      </c>
      <c r="J2221" t="s">
        <v>72</v>
      </c>
      <c r="K2221" t="s">
        <v>73</v>
      </c>
      <c r="L2221" t="s">
        <v>74</v>
      </c>
      <c r="M2221" t="s">
        <v>792</v>
      </c>
      <c r="N2221" t="s">
        <v>274</v>
      </c>
      <c r="O2221" t="s">
        <v>793</v>
      </c>
      <c r="P2221" t="s">
        <v>794</v>
      </c>
      <c r="Q2221" t="s">
        <v>66</v>
      </c>
      <c r="R2221" s="1">
        <v>46234</v>
      </c>
      <c r="S2221" t="s">
        <v>796</v>
      </c>
      <c r="T2221" t="s">
        <v>797</v>
      </c>
      <c r="U2221" t="s">
        <v>798</v>
      </c>
      <c r="V2221" t="s">
        <v>66</v>
      </c>
      <c r="W2221" t="s">
        <v>66</v>
      </c>
      <c r="X2221">
        <v>1558800</v>
      </c>
      <c r="Y2221">
        <v>171468</v>
      </c>
      <c r="Z2221">
        <v>120000</v>
      </c>
      <c r="AA2221">
        <v>13200</v>
      </c>
      <c r="AB2221">
        <v>1730268</v>
      </c>
      <c r="AC2221">
        <v>48</v>
      </c>
      <c r="AD2221" t="s">
        <v>82</v>
      </c>
      <c r="AE2221">
        <v>48</v>
      </c>
      <c r="AF2221" t="s">
        <v>392</v>
      </c>
      <c r="AG2221">
        <f>IFERROR(VLOOKUP(AF2221,[1]STOK!J:O,6,0),"")</f>
        <v>72</v>
      </c>
      <c r="AH2221" s="2">
        <f t="shared" si="68"/>
        <v>0.66666666666666663</v>
      </c>
      <c r="AI2221" t="s">
        <v>392</v>
      </c>
      <c r="AJ2221" t="s">
        <v>393</v>
      </c>
      <c r="AK2221" t="s">
        <v>394</v>
      </c>
      <c r="AL2221" t="s">
        <v>86</v>
      </c>
      <c r="AM2221">
        <v>2775</v>
      </c>
      <c r="AN2221">
        <f t="shared" si="69"/>
        <v>2775</v>
      </c>
      <c r="AO2221" t="s">
        <v>66</v>
      </c>
      <c r="AP2221">
        <v>0</v>
      </c>
      <c r="AQ2221" t="s">
        <v>66</v>
      </c>
      <c r="AR2221">
        <v>0</v>
      </c>
      <c r="AS2221" t="s">
        <v>66</v>
      </c>
      <c r="AT2221">
        <v>0</v>
      </c>
      <c r="AU2221" t="s">
        <v>66</v>
      </c>
      <c r="AV2221">
        <v>0</v>
      </c>
      <c r="AW2221" t="s">
        <v>66</v>
      </c>
      <c r="AX2221">
        <v>0</v>
      </c>
      <c r="AY2221" t="s">
        <v>66</v>
      </c>
      <c r="AZ2221">
        <v>0</v>
      </c>
      <c r="BA2221" t="s">
        <v>66</v>
      </c>
      <c r="BB2221">
        <v>0</v>
      </c>
      <c r="BC2221">
        <v>0</v>
      </c>
      <c r="BD2221">
        <v>133200</v>
      </c>
      <c r="BE2221">
        <v>2214.85</v>
      </c>
      <c r="BF2221">
        <v>0</v>
      </c>
      <c r="BG2221" t="s">
        <v>87</v>
      </c>
      <c r="BH2221" t="s">
        <v>66</v>
      </c>
      <c r="BI2221">
        <v>0</v>
      </c>
      <c r="BJ2221" t="s">
        <v>66</v>
      </c>
      <c r="BK2221" t="s">
        <v>88</v>
      </c>
      <c r="BL2221" t="s">
        <v>66</v>
      </c>
      <c r="BM2221" t="s">
        <v>159</v>
      </c>
    </row>
    <row r="2222" spans="1:65" x14ac:dyDescent="0.25">
      <c r="A2222">
        <v>2220</v>
      </c>
      <c r="B2222" t="s">
        <v>2089</v>
      </c>
      <c r="C2222" t="s">
        <v>68</v>
      </c>
      <c r="D2222" s="1">
        <v>46234</v>
      </c>
      <c r="E2222" t="s">
        <v>2090</v>
      </c>
      <c r="F2222" t="s">
        <v>68</v>
      </c>
      <c r="G2222" t="s">
        <v>295</v>
      </c>
      <c r="H2222" t="s">
        <v>296</v>
      </c>
      <c r="I2222" t="s">
        <v>71</v>
      </c>
      <c r="J2222" t="s">
        <v>72</v>
      </c>
      <c r="K2222" t="s">
        <v>73</v>
      </c>
      <c r="L2222" t="s">
        <v>74</v>
      </c>
      <c r="M2222" t="s">
        <v>792</v>
      </c>
      <c r="N2222" t="s">
        <v>274</v>
      </c>
      <c r="O2222" t="s">
        <v>793</v>
      </c>
      <c r="P2222" t="s">
        <v>794</v>
      </c>
      <c r="Q2222" t="s">
        <v>66</v>
      </c>
      <c r="R2222" s="1">
        <v>46234</v>
      </c>
      <c r="S2222" t="s">
        <v>796</v>
      </c>
      <c r="T2222" t="s">
        <v>797</v>
      </c>
      <c r="U2222" t="s">
        <v>798</v>
      </c>
      <c r="V2222" t="s">
        <v>66</v>
      </c>
      <c r="W2222" t="s">
        <v>66</v>
      </c>
      <c r="X2222">
        <v>1558800</v>
      </c>
      <c r="Y2222">
        <v>171468</v>
      </c>
      <c r="Z2222">
        <v>120000</v>
      </c>
      <c r="AA2222">
        <v>13200</v>
      </c>
      <c r="AB2222">
        <v>1730268</v>
      </c>
      <c r="AC2222">
        <v>48</v>
      </c>
      <c r="AD2222" t="s">
        <v>82</v>
      </c>
      <c r="AE2222">
        <v>48</v>
      </c>
      <c r="AF2222" t="s">
        <v>341</v>
      </c>
      <c r="AG2222">
        <f>IFERROR(VLOOKUP(AF2222,[1]STOK!J:O,6,0),"")</f>
        <v>72</v>
      </c>
      <c r="AH2222" s="2">
        <f t="shared" si="68"/>
        <v>0.66666666666666663</v>
      </c>
      <c r="AI2222" t="s">
        <v>341</v>
      </c>
      <c r="AJ2222" t="s">
        <v>342</v>
      </c>
      <c r="AK2222" t="s">
        <v>343</v>
      </c>
      <c r="AL2222" t="s">
        <v>86</v>
      </c>
      <c r="AM2222">
        <v>2775</v>
      </c>
      <c r="AN2222">
        <f t="shared" si="69"/>
        <v>2775</v>
      </c>
      <c r="AO2222" t="s">
        <v>66</v>
      </c>
      <c r="AP2222">
        <v>0</v>
      </c>
      <c r="AQ2222" t="s">
        <v>66</v>
      </c>
      <c r="AR2222">
        <v>0</v>
      </c>
      <c r="AS2222" t="s">
        <v>66</v>
      </c>
      <c r="AT2222">
        <v>0</v>
      </c>
      <c r="AU2222" t="s">
        <v>66</v>
      </c>
      <c r="AV2222">
        <v>0</v>
      </c>
      <c r="AW2222" t="s">
        <v>66</v>
      </c>
      <c r="AX2222">
        <v>0</v>
      </c>
      <c r="AY2222" t="s">
        <v>66</v>
      </c>
      <c r="AZ2222">
        <v>0</v>
      </c>
      <c r="BA2222" t="s">
        <v>66</v>
      </c>
      <c r="BB2222">
        <v>0</v>
      </c>
      <c r="BC2222">
        <v>0</v>
      </c>
      <c r="BD2222">
        <v>133200</v>
      </c>
      <c r="BE2222">
        <v>2228.91</v>
      </c>
      <c r="BF2222">
        <v>0</v>
      </c>
      <c r="BG2222" t="s">
        <v>87</v>
      </c>
      <c r="BH2222" t="s">
        <v>66</v>
      </c>
      <c r="BI2222">
        <v>0</v>
      </c>
      <c r="BJ2222" t="s">
        <v>66</v>
      </c>
      <c r="BK2222" t="s">
        <v>88</v>
      </c>
      <c r="BL2222" t="s">
        <v>66</v>
      </c>
      <c r="BM2222" t="s">
        <v>159</v>
      </c>
    </row>
    <row r="2223" spans="1:65" x14ac:dyDescent="0.25">
      <c r="A2223">
        <v>2221</v>
      </c>
      <c r="B2223" t="s">
        <v>2089</v>
      </c>
      <c r="C2223" t="s">
        <v>68</v>
      </c>
      <c r="D2223" s="1">
        <v>46234</v>
      </c>
      <c r="E2223" t="s">
        <v>2090</v>
      </c>
      <c r="F2223" t="s">
        <v>68</v>
      </c>
      <c r="G2223" t="s">
        <v>295</v>
      </c>
      <c r="H2223" t="s">
        <v>296</v>
      </c>
      <c r="I2223" t="s">
        <v>71</v>
      </c>
      <c r="J2223" t="s">
        <v>72</v>
      </c>
      <c r="K2223" t="s">
        <v>73</v>
      </c>
      <c r="L2223" t="s">
        <v>74</v>
      </c>
      <c r="M2223" t="s">
        <v>792</v>
      </c>
      <c r="N2223" t="s">
        <v>274</v>
      </c>
      <c r="O2223" t="s">
        <v>793</v>
      </c>
      <c r="P2223" t="s">
        <v>794</v>
      </c>
      <c r="Q2223" t="s">
        <v>66</v>
      </c>
      <c r="R2223" s="1">
        <v>46234</v>
      </c>
      <c r="S2223" t="s">
        <v>796</v>
      </c>
      <c r="T2223" t="s">
        <v>797</v>
      </c>
      <c r="U2223" t="s">
        <v>798</v>
      </c>
      <c r="V2223" t="s">
        <v>66</v>
      </c>
      <c r="W2223" t="s">
        <v>66</v>
      </c>
      <c r="X2223">
        <v>1558800</v>
      </c>
      <c r="Y2223">
        <v>171468</v>
      </c>
      <c r="Z2223">
        <v>319200</v>
      </c>
      <c r="AA2223">
        <v>35112</v>
      </c>
      <c r="AB2223">
        <v>1730268</v>
      </c>
      <c r="AC2223">
        <v>24</v>
      </c>
      <c r="AD2223" t="s">
        <v>82</v>
      </c>
      <c r="AE2223">
        <v>24</v>
      </c>
      <c r="AF2223" t="s">
        <v>135</v>
      </c>
      <c r="AG2223">
        <f>IFERROR(VLOOKUP(AF2223,[1]STOK!J:O,6,0),"")</f>
        <v>12</v>
      </c>
      <c r="AH2223" s="2">
        <f t="shared" si="68"/>
        <v>2</v>
      </c>
      <c r="AI2223" t="s">
        <v>135</v>
      </c>
      <c r="AJ2223" t="s">
        <v>136</v>
      </c>
      <c r="AK2223" t="s">
        <v>137</v>
      </c>
      <c r="AL2223" t="s">
        <v>86</v>
      </c>
      <c r="AM2223">
        <v>14763</v>
      </c>
      <c r="AN2223">
        <f t="shared" si="69"/>
        <v>14763</v>
      </c>
      <c r="AO2223" t="s">
        <v>66</v>
      </c>
      <c r="AP2223">
        <v>0</v>
      </c>
      <c r="AQ2223" t="s">
        <v>66</v>
      </c>
      <c r="AR2223">
        <v>0</v>
      </c>
      <c r="AS2223" t="s">
        <v>66</v>
      </c>
      <c r="AT2223">
        <v>0</v>
      </c>
      <c r="AU2223" t="s">
        <v>66</v>
      </c>
      <c r="AV2223">
        <v>0</v>
      </c>
      <c r="AW2223" t="s">
        <v>66</v>
      </c>
      <c r="AX2223">
        <v>0</v>
      </c>
      <c r="AY2223" t="s">
        <v>66</v>
      </c>
      <c r="AZ2223">
        <v>0</v>
      </c>
      <c r="BA2223" t="s">
        <v>66</v>
      </c>
      <c r="BB2223">
        <v>0</v>
      </c>
      <c r="BC2223">
        <v>0</v>
      </c>
      <c r="BD2223">
        <v>354312</v>
      </c>
      <c r="BE2223">
        <v>12034.95</v>
      </c>
      <c r="BF2223">
        <v>0</v>
      </c>
      <c r="BG2223" t="s">
        <v>87</v>
      </c>
      <c r="BH2223" t="s">
        <v>66</v>
      </c>
      <c r="BI2223">
        <v>0</v>
      </c>
      <c r="BJ2223" t="s">
        <v>66</v>
      </c>
      <c r="BK2223" t="s">
        <v>88</v>
      </c>
      <c r="BL2223" t="s">
        <v>66</v>
      </c>
      <c r="BM2223" t="s">
        <v>159</v>
      </c>
    </row>
    <row r="2224" spans="1:65" x14ac:dyDescent="0.25">
      <c r="A2224">
        <v>2222</v>
      </c>
      <c r="B2224" t="s">
        <v>2089</v>
      </c>
      <c r="C2224" t="s">
        <v>68</v>
      </c>
      <c r="D2224" s="1">
        <v>46234</v>
      </c>
      <c r="E2224" t="s">
        <v>2090</v>
      </c>
      <c r="F2224" t="s">
        <v>68</v>
      </c>
      <c r="G2224" t="s">
        <v>295</v>
      </c>
      <c r="H2224" t="s">
        <v>296</v>
      </c>
      <c r="I2224" t="s">
        <v>71</v>
      </c>
      <c r="J2224" t="s">
        <v>72</v>
      </c>
      <c r="K2224" t="s">
        <v>73</v>
      </c>
      <c r="L2224" t="s">
        <v>74</v>
      </c>
      <c r="M2224" t="s">
        <v>792</v>
      </c>
      <c r="N2224" t="s">
        <v>274</v>
      </c>
      <c r="O2224" t="s">
        <v>793</v>
      </c>
      <c r="P2224" t="s">
        <v>794</v>
      </c>
      <c r="Q2224" t="s">
        <v>66</v>
      </c>
      <c r="R2224" s="1">
        <v>46234</v>
      </c>
      <c r="S2224" t="s">
        <v>796</v>
      </c>
      <c r="T2224" t="s">
        <v>797</v>
      </c>
      <c r="U2224" t="s">
        <v>798</v>
      </c>
      <c r="V2224" t="s">
        <v>66</v>
      </c>
      <c r="W2224" t="s">
        <v>66</v>
      </c>
      <c r="X2224">
        <v>1558800</v>
      </c>
      <c r="Y2224">
        <v>171468</v>
      </c>
      <c r="Z2224">
        <v>159600</v>
      </c>
      <c r="AA2224">
        <v>17556</v>
      </c>
      <c r="AB2224">
        <v>1730268</v>
      </c>
      <c r="AC2224">
        <v>12</v>
      </c>
      <c r="AD2224" t="s">
        <v>82</v>
      </c>
      <c r="AE2224">
        <v>12</v>
      </c>
      <c r="AF2224" t="s">
        <v>210</v>
      </c>
      <c r="AG2224">
        <f>IFERROR(VLOOKUP(AF2224,[1]STOK!J:O,6,0),"")</f>
        <v>12</v>
      </c>
      <c r="AH2224" s="2">
        <f t="shared" si="68"/>
        <v>1</v>
      </c>
      <c r="AI2224" t="s">
        <v>210</v>
      </c>
      <c r="AJ2224" t="s">
        <v>211</v>
      </c>
      <c r="AK2224" t="s">
        <v>212</v>
      </c>
      <c r="AL2224" t="s">
        <v>86</v>
      </c>
      <c r="AM2224">
        <v>14763</v>
      </c>
      <c r="AN2224">
        <f t="shared" si="69"/>
        <v>14763</v>
      </c>
      <c r="AO2224" t="s">
        <v>66</v>
      </c>
      <c r="AP2224">
        <v>0</v>
      </c>
      <c r="AQ2224" t="s">
        <v>66</v>
      </c>
      <c r="AR2224">
        <v>0</v>
      </c>
      <c r="AS2224" t="s">
        <v>66</v>
      </c>
      <c r="AT2224">
        <v>0</v>
      </c>
      <c r="AU2224" t="s">
        <v>66</v>
      </c>
      <c r="AV2224">
        <v>0</v>
      </c>
      <c r="AW2224" t="s">
        <v>66</v>
      </c>
      <c r="AX2224">
        <v>0</v>
      </c>
      <c r="AY2224" t="s">
        <v>66</v>
      </c>
      <c r="AZ2224">
        <v>0</v>
      </c>
      <c r="BA2224" t="s">
        <v>66</v>
      </c>
      <c r="BB2224">
        <v>0</v>
      </c>
      <c r="BC2224">
        <v>0</v>
      </c>
      <c r="BD2224">
        <v>177156</v>
      </c>
      <c r="BE2224">
        <v>11976.03</v>
      </c>
      <c r="BF2224">
        <v>0</v>
      </c>
      <c r="BG2224" t="s">
        <v>87</v>
      </c>
      <c r="BH2224" t="s">
        <v>66</v>
      </c>
      <c r="BI2224">
        <v>0</v>
      </c>
      <c r="BJ2224" t="s">
        <v>66</v>
      </c>
      <c r="BK2224" t="s">
        <v>88</v>
      </c>
      <c r="BL2224" t="s">
        <v>66</v>
      </c>
      <c r="BM2224" t="s">
        <v>159</v>
      </c>
    </row>
    <row r="2225" spans="1:65" x14ac:dyDescent="0.25">
      <c r="A2225">
        <v>2223</v>
      </c>
      <c r="B2225" t="s">
        <v>2089</v>
      </c>
      <c r="C2225" t="s">
        <v>68</v>
      </c>
      <c r="D2225" s="1">
        <v>46234</v>
      </c>
      <c r="E2225" t="s">
        <v>2090</v>
      </c>
      <c r="F2225" t="s">
        <v>68</v>
      </c>
      <c r="G2225" t="s">
        <v>295</v>
      </c>
      <c r="H2225" t="s">
        <v>296</v>
      </c>
      <c r="I2225" t="s">
        <v>71</v>
      </c>
      <c r="J2225" t="s">
        <v>72</v>
      </c>
      <c r="K2225" t="s">
        <v>73</v>
      </c>
      <c r="L2225" t="s">
        <v>74</v>
      </c>
      <c r="M2225" t="s">
        <v>792</v>
      </c>
      <c r="N2225" t="s">
        <v>274</v>
      </c>
      <c r="O2225" t="s">
        <v>793</v>
      </c>
      <c r="P2225" t="s">
        <v>794</v>
      </c>
      <c r="Q2225" t="s">
        <v>66</v>
      </c>
      <c r="R2225" s="1">
        <v>46234</v>
      </c>
      <c r="S2225" t="s">
        <v>796</v>
      </c>
      <c r="T2225" t="s">
        <v>797</v>
      </c>
      <c r="U2225" t="s">
        <v>798</v>
      </c>
      <c r="V2225" t="s">
        <v>66</v>
      </c>
      <c r="W2225" t="s">
        <v>66</v>
      </c>
      <c r="X2225">
        <v>1558800</v>
      </c>
      <c r="Y2225">
        <v>171468</v>
      </c>
      <c r="Z2225">
        <v>480000</v>
      </c>
      <c r="AA2225">
        <v>52800</v>
      </c>
      <c r="AB2225">
        <v>1730268</v>
      </c>
      <c r="AC2225">
        <v>24</v>
      </c>
      <c r="AD2225" t="s">
        <v>82</v>
      </c>
      <c r="AE2225">
        <v>24</v>
      </c>
      <c r="AF2225" t="s">
        <v>290</v>
      </c>
      <c r="AG2225">
        <f>IFERROR(VLOOKUP(AF2225,[1]STOK!J:O,6,0),"")</f>
        <v>12</v>
      </c>
      <c r="AH2225" s="2">
        <f t="shared" si="68"/>
        <v>2</v>
      </c>
      <c r="AI2225" t="s">
        <v>290</v>
      </c>
      <c r="AJ2225" t="s">
        <v>291</v>
      </c>
      <c r="AK2225" t="s">
        <v>292</v>
      </c>
      <c r="AL2225" t="s">
        <v>86</v>
      </c>
      <c r="AM2225">
        <v>22200</v>
      </c>
      <c r="AN2225">
        <f t="shared" si="69"/>
        <v>22200</v>
      </c>
      <c r="AO2225" t="s">
        <v>66</v>
      </c>
      <c r="AP2225">
        <v>0</v>
      </c>
      <c r="AQ2225" t="s">
        <v>66</v>
      </c>
      <c r="AR2225">
        <v>0</v>
      </c>
      <c r="AS2225" t="s">
        <v>66</v>
      </c>
      <c r="AT2225">
        <v>0</v>
      </c>
      <c r="AU2225" t="s">
        <v>66</v>
      </c>
      <c r="AV2225">
        <v>0</v>
      </c>
      <c r="AW2225" t="s">
        <v>66</v>
      </c>
      <c r="AX2225">
        <v>0</v>
      </c>
      <c r="AY2225" t="s">
        <v>66</v>
      </c>
      <c r="AZ2225">
        <v>0</v>
      </c>
      <c r="BA2225" t="s">
        <v>66</v>
      </c>
      <c r="BB2225">
        <v>0</v>
      </c>
      <c r="BC2225">
        <v>0</v>
      </c>
      <c r="BD2225">
        <v>532800</v>
      </c>
      <c r="BE2225">
        <v>18113.71</v>
      </c>
      <c r="BF2225">
        <v>0</v>
      </c>
      <c r="BG2225" t="s">
        <v>87</v>
      </c>
      <c r="BH2225" t="s">
        <v>66</v>
      </c>
      <c r="BI2225">
        <v>0</v>
      </c>
      <c r="BJ2225" t="s">
        <v>66</v>
      </c>
      <c r="BK2225" t="s">
        <v>88</v>
      </c>
      <c r="BL2225" t="s">
        <v>66</v>
      </c>
      <c r="BM2225" t="s">
        <v>159</v>
      </c>
    </row>
    <row r="2226" spans="1:65" x14ac:dyDescent="0.25">
      <c r="A2226">
        <v>2224</v>
      </c>
      <c r="B2226" t="s">
        <v>2089</v>
      </c>
      <c r="C2226" t="s">
        <v>68</v>
      </c>
      <c r="D2226" s="1">
        <v>46234</v>
      </c>
      <c r="E2226" t="s">
        <v>2090</v>
      </c>
      <c r="F2226" t="s">
        <v>68</v>
      </c>
      <c r="G2226" t="s">
        <v>295</v>
      </c>
      <c r="H2226" t="s">
        <v>296</v>
      </c>
      <c r="I2226" t="s">
        <v>71</v>
      </c>
      <c r="J2226" t="s">
        <v>72</v>
      </c>
      <c r="K2226" t="s">
        <v>73</v>
      </c>
      <c r="L2226" t="s">
        <v>74</v>
      </c>
      <c r="M2226" t="s">
        <v>792</v>
      </c>
      <c r="N2226" t="s">
        <v>274</v>
      </c>
      <c r="O2226" t="s">
        <v>793</v>
      </c>
      <c r="P2226" t="s">
        <v>794</v>
      </c>
      <c r="Q2226" t="s">
        <v>66</v>
      </c>
      <c r="R2226" s="1">
        <v>46234</v>
      </c>
      <c r="S2226" t="s">
        <v>796</v>
      </c>
      <c r="T2226" t="s">
        <v>797</v>
      </c>
      <c r="U2226" t="s">
        <v>798</v>
      </c>
      <c r="V2226" t="s">
        <v>66</v>
      </c>
      <c r="W2226" t="s">
        <v>66</v>
      </c>
      <c r="X2226">
        <v>1558800</v>
      </c>
      <c r="Y2226">
        <v>171468</v>
      </c>
      <c r="Z2226">
        <v>240000</v>
      </c>
      <c r="AA2226">
        <v>26400</v>
      </c>
      <c r="AB2226">
        <v>1730268</v>
      </c>
      <c r="AC2226">
        <v>12</v>
      </c>
      <c r="AD2226" t="s">
        <v>82</v>
      </c>
      <c r="AE2226">
        <v>12</v>
      </c>
      <c r="AF2226" t="s">
        <v>102</v>
      </c>
      <c r="AG2226">
        <f>IFERROR(VLOOKUP(AF2226,[1]STOK!J:O,6,0),"")</f>
        <v>12</v>
      </c>
      <c r="AH2226" s="2">
        <f t="shared" si="68"/>
        <v>1</v>
      </c>
      <c r="AI2226" t="s">
        <v>102</v>
      </c>
      <c r="AJ2226" t="s">
        <v>103</v>
      </c>
      <c r="AK2226" t="s">
        <v>104</v>
      </c>
      <c r="AL2226" t="s">
        <v>86</v>
      </c>
      <c r="AM2226">
        <v>22200</v>
      </c>
      <c r="AN2226">
        <f t="shared" si="69"/>
        <v>22200</v>
      </c>
      <c r="AO2226" t="s">
        <v>66</v>
      </c>
      <c r="AP2226">
        <v>0</v>
      </c>
      <c r="AQ2226" t="s">
        <v>66</v>
      </c>
      <c r="AR2226">
        <v>0</v>
      </c>
      <c r="AS2226" t="s">
        <v>66</v>
      </c>
      <c r="AT2226">
        <v>0</v>
      </c>
      <c r="AU2226" t="s">
        <v>66</v>
      </c>
      <c r="AV2226">
        <v>0</v>
      </c>
      <c r="AW2226" t="s">
        <v>66</v>
      </c>
      <c r="AX2226">
        <v>0</v>
      </c>
      <c r="AY2226" t="s">
        <v>66</v>
      </c>
      <c r="AZ2226">
        <v>0</v>
      </c>
      <c r="BA2226" t="s">
        <v>66</v>
      </c>
      <c r="BB2226">
        <v>0</v>
      </c>
      <c r="BC2226">
        <v>0</v>
      </c>
      <c r="BD2226">
        <v>266400</v>
      </c>
      <c r="BE2226">
        <v>18005.03</v>
      </c>
      <c r="BF2226">
        <v>0</v>
      </c>
      <c r="BG2226" t="s">
        <v>87</v>
      </c>
      <c r="BH2226" t="s">
        <v>66</v>
      </c>
      <c r="BI2226">
        <v>0</v>
      </c>
      <c r="BJ2226" t="s">
        <v>66</v>
      </c>
      <c r="BK2226" t="s">
        <v>88</v>
      </c>
      <c r="BL2226" t="s">
        <v>66</v>
      </c>
      <c r="BM2226" t="s">
        <v>159</v>
      </c>
    </row>
    <row r="2227" spans="1:65" x14ac:dyDescent="0.25">
      <c r="A2227">
        <v>2225</v>
      </c>
      <c r="B2227" t="s">
        <v>2091</v>
      </c>
      <c r="C2227" t="s">
        <v>68</v>
      </c>
      <c r="D2227" s="1">
        <v>46234</v>
      </c>
      <c r="E2227" t="s">
        <v>2092</v>
      </c>
      <c r="F2227" t="s">
        <v>68</v>
      </c>
      <c r="G2227" t="s">
        <v>295</v>
      </c>
      <c r="H2227" t="s">
        <v>296</v>
      </c>
      <c r="I2227" t="s">
        <v>71</v>
      </c>
      <c r="J2227" t="s">
        <v>72</v>
      </c>
      <c r="K2227" t="s">
        <v>73</v>
      </c>
      <c r="L2227" t="s">
        <v>74</v>
      </c>
      <c r="M2227" t="s">
        <v>792</v>
      </c>
      <c r="N2227" t="s">
        <v>274</v>
      </c>
      <c r="O2227" t="s">
        <v>793</v>
      </c>
      <c r="P2227" t="s">
        <v>794</v>
      </c>
      <c r="Q2227" t="s">
        <v>66</v>
      </c>
      <c r="R2227" s="1">
        <v>46234</v>
      </c>
      <c r="S2227" t="s">
        <v>796</v>
      </c>
      <c r="T2227" t="s">
        <v>797</v>
      </c>
      <c r="U2227" t="s">
        <v>798</v>
      </c>
      <c r="V2227" t="s">
        <v>66</v>
      </c>
      <c r="W2227" t="s">
        <v>66</v>
      </c>
      <c r="X2227">
        <v>357600</v>
      </c>
      <c r="Y2227">
        <v>39336</v>
      </c>
      <c r="Z2227">
        <v>198000</v>
      </c>
      <c r="AA2227">
        <v>21780</v>
      </c>
      <c r="AB2227">
        <v>396936</v>
      </c>
      <c r="AC2227">
        <v>12</v>
      </c>
      <c r="AD2227" t="s">
        <v>82</v>
      </c>
      <c r="AE2227">
        <v>12</v>
      </c>
      <c r="AF2227" t="s">
        <v>128</v>
      </c>
      <c r="AG2227">
        <f>IFERROR(VLOOKUP(AF2227,[1]STOK!J:O,6,0),"")</f>
        <v>24</v>
      </c>
      <c r="AH2227" s="2">
        <f t="shared" si="68"/>
        <v>0.5</v>
      </c>
      <c r="AI2227" t="s">
        <v>128</v>
      </c>
      <c r="AJ2227" t="s">
        <v>129</v>
      </c>
      <c r="AK2227" t="s">
        <v>130</v>
      </c>
      <c r="AL2227" t="s">
        <v>86</v>
      </c>
      <c r="AM2227">
        <v>18315</v>
      </c>
      <c r="AN2227">
        <f t="shared" si="69"/>
        <v>18315</v>
      </c>
      <c r="AO2227" t="s">
        <v>66</v>
      </c>
      <c r="AP2227">
        <v>0</v>
      </c>
      <c r="AQ2227" t="s">
        <v>66</v>
      </c>
      <c r="AR2227">
        <v>0</v>
      </c>
      <c r="AS2227" t="s">
        <v>66</v>
      </c>
      <c r="AT2227">
        <v>0</v>
      </c>
      <c r="AU2227" t="s">
        <v>66</v>
      </c>
      <c r="AV2227">
        <v>0</v>
      </c>
      <c r="AW2227" t="s">
        <v>66</v>
      </c>
      <c r="AX2227">
        <v>0</v>
      </c>
      <c r="AY2227" t="s">
        <v>66</v>
      </c>
      <c r="AZ2227">
        <v>0</v>
      </c>
      <c r="BA2227" t="s">
        <v>66</v>
      </c>
      <c r="BB2227">
        <v>0</v>
      </c>
      <c r="BC2227">
        <v>0</v>
      </c>
      <c r="BD2227">
        <v>219780</v>
      </c>
      <c r="BE2227">
        <v>14887.43</v>
      </c>
      <c r="BF2227">
        <v>0</v>
      </c>
      <c r="BG2227" t="s">
        <v>87</v>
      </c>
      <c r="BH2227" t="s">
        <v>66</v>
      </c>
      <c r="BI2227">
        <v>0</v>
      </c>
      <c r="BJ2227" t="s">
        <v>66</v>
      </c>
      <c r="BK2227" t="s">
        <v>88</v>
      </c>
      <c r="BL2227" t="s">
        <v>66</v>
      </c>
      <c r="BM2227" t="s">
        <v>159</v>
      </c>
    </row>
    <row r="2228" spans="1:65" x14ac:dyDescent="0.25">
      <c r="A2228">
        <v>2226</v>
      </c>
      <c r="B2228" t="s">
        <v>2091</v>
      </c>
      <c r="C2228" t="s">
        <v>68</v>
      </c>
      <c r="D2228" s="1">
        <v>46234</v>
      </c>
      <c r="E2228" t="s">
        <v>2092</v>
      </c>
      <c r="F2228" t="s">
        <v>68</v>
      </c>
      <c r="G2228" t="s">
        <v>295</v>
      </c>
      <c r="H2228" t="s">
        <v>296</v>
      </c>
      <c r="I2228" t="s">
        <v>71</v>
      </c>
      <c r="J2228" t="s">
        <v>72</v>
      </c>
      <c r="K2228" t="s">
        <v>73</v>
      </c>
      <c r="L2228" t="s">
        <v>74</v>
      </c>
      <c r="M2228" t="s">
        <v>792</v>
      </c>
      <c r="N2228" t="s">
        <v>274</v>
      </c>
      <c r="O2228" t="s">
        <v>793</v>
      </c>
      <c r="P2228" t="s">
        <v>794</v>
      </c>
      <c r="Q2228" t="s">
        <v>66</v>
      </c>
      <c r="R2228" s="1">
        <v>46234</v>
      </c>
      <c r="S2228" t="s">
        <v>796</v>
      </c>
      <c r="T2228" t="s">
        <v>797</v>
      </c>
      <c r="U2228" t="s">
        <v>798</v>
      </c>
      <c r="V2228" t="s">
        <v>66</v>
      </c>
      <c r="W2228" t="s">
        <v>66</v>
      </c>
      <c r="X2228">
        <v>357600</v>
      </c>
      <c r="Y2228">
        <v>39336</v>
      </c>
      <c r="Z2228">
        <v>159600</v>
      </c>
      <c r="AA2228">
        <v>17556</v>
      </c>
      <c r="AB2228">
        <v>396936</v>
      </c>
      <c r="AC2228">
        <v>12</v>
      </c>
      <c r="AD2228" t="s">
        <v>82</v>
      </c>
      <c r="AE2228">
        <v>12</v>
      </c>
      <c r="AF2228" t="s">
        <v>210</v>
      </c>
      <c r="AG2228">
        <f>IFERROR(VLOOKUP(AF2228,[1]STOK!J:O,6,0),"")</f>
        <v>12</v>
      </c>
      <c r="AH2228" s="2">
        <f t="shared" si="68"/>
        <v>1</v>
      </c>
      <c r="AI2228" t="s">
        <v>210</v>
      </c>
      <c r="AJ2228" t="s">
        <v>211</v>
      </c>
      <c r="AK2228" t="s">
        <v>212</v>
      </c>
      <c r="AL2228" t="s">
        <v>86</v>
      </c>
      <c r="AM2228">
        <v>14763</v>
      </c>
      <c r="AN2228">
        <f t="shared" si="69"/>
        <v>14763</v>
      </c>
      <c r="AO2228" t="s">
        <v>66</v>
      </c>
      <c r="AP2228">
        <v>0</v>
      </c>
      <c r="AQ2228" t="s">
        <v>66</v>
      </c>
      <c r="AR2228">
        <v>0</v>
      </c>
      <c r="AS2228" t="s">
        <v>66</v>
      </c>
      <c r="AT2228">
        <v>0</v>
      </c>
      <c r="AU2228" t="s">
        <v>66</v>
      </c>
      <c r="AV2228">
        <v>0</v>
      </c>
      <c r="AW2228" t="s">
        <v>66</v>
      </c>
      <c r="AX2228">
        <v>0</v>
      </c>
      <c r="AY2228" t="s">
        <v>66</v>
      </c>
      <c r="AZ2228">
        <v>0</v>
      </c>
      <c r="BA2228" t="s">
        <v>66</v>
      </c>
      <c r="BB2228">
        <v>0</v>
      </c>
      <c r="BC2228">
        <v>0</v>
      </c>
      <c r="BD2228">
        <v>177156</v>
      </c>
      <c r="BE2228">
        <v>11976.03</v>
      </c>
      <c r="BF2228">
        <v>0</v>
      </c>
      <c r="BG2228" t="s">
        <v>87</v>
      </c>
      <c r="BH2228" t="s">
        <v>66</v>
      </c>
      <c r="BI2228">
        <v>0</v>
      </c>
      <c r="BJ2228" t="s">
        <v>66</v>
      </c>
      <c r="BK2228" t="s">
        <v>88</v>
      </c>
      <c r="BL2228" t="s">
        <v>66</v>
      </c>
      <c r="BM2228" t="s">
        <v>159</v>
      </c>
    </row>
    <row r="2229" spans="1:65" x14ac:dyDescent="0.25">
      <c r="A2229">
        <v>2227</v>
      </c>
      <c r="B2229" t="s">
        <v>2093</v>
      </c>
      <c r="C2229" t="s">
        <v>68</v>
      </c>
      <c r="D2229" s="1">
        <v>46234</v>
      </c>
      <c r="E2229" t="s">
        <v>2094</v>
      </c>
      <c r="F2229" t="s">
        <v>68</v>
      </c>
      <c r="G2229" t="s">
        <v>69</v>
      </c>
      <c r="H2229" t="s">
        <v>70</v>
      </c>
      <c r="I2229" t="s">
        <v>71</v>
      </c>
      <c r="J2229" t="s">
        <v>72</v>
      </c>
      <c r="K2229" t="s">
        <v>73</v>
      </c>
      <c r="L2229" t="s">
        <v>74</v>
      </c>
      <c r="M2229" t="s">
        <v>933</v>
      </c>
      <c r="N2229" t="s">
        <v>111</v>
      </c>
      <c r="O2229" t="s">
        <v>934</v>
      </c>
      <c r="P2229" t="s">
        <v>935</v>
      </c>
      <c r="Q2229" t="s">
        <v>66</v>
      </c>
      <c r="R2229" s="1">
        <v>46234</v>
      </c>
      <c r="S2229" t="s">
        <v>934</v>
      </c>
      <c r="T2229" t="s">
        <v>935</v>
      </c>
      <c r="U2229" t="s">
        <v>937</v>
      </c>
      <c r="V2229" t="s">
        <v>66</v>
      </c>
      <c r="W2229" t="s">
        <v>66</v>
      </c>
      <c r="X2229">
        <v>1905255</v>
      </c>
      <c r="Y2229">
        <v>209578.05</v>
      </c>
      <c r="Z2229">
        <v>23463</v>
      </c>
      <c r="AA2229">
        <v>2580.9299999999998</v>
      </c>
      <c r="AB2229">
        <v>2114833.0499999998</v>
      </c>
      <c r="AC2229">
        <v>3</v>
      </c>
      <c r="AD2229" t="s">
        <v>82</v>
      </c>
      <c r="AE2229">
        <v>3</v>
      </c>
      <c r="AF2229" t="s">
        <v>199</v>
      </c>
      <c r="AG2229">
        <f>IFERROR(VLOOKUP(AF2229,[1]STOK!J:O,6,0),"")</f>
        <v>24</v>
      </c>
      <c r="AH2229" s="2">
        <f t="shared" si="68"/>
        <v>0.125</v>
      </c>
      <c r="AI2229" t="s">
        <v>199</v>
      </c>
      <c r="AJ2229" t="s">
        <v>200</v>
      </c>
      <c r="AK2229" t="s">
        <v>201</v>
      </c>
      <c r="AL2229" t="s">
        <v>86</v>
      </c>
      <c r="AM2229">
        <v>8769</v>
      </c>
      <c r="AN2229">
        <f t="shared" si="69"/>
        <v>8681.31</v>
      </c>
      <c r="AO2229" t="s">
        <v>66</v>
      </c>
      <c r="AP2229">
        <v>1</v>
      </c>
      <c r="AQ2229" t="s">
        <v>66</v>
      </c>
      <c r="AR2229">
        <v>0</v>
      </c>
      <c r="AS2229" t="s">
        <v>66</v>
      </c>
      <c r="AT2229">
        <v>0</v>
      </c>
      <c r="AU2229" t="s">
        <v>66</v>
      </c>
      <c r="AV2229">
        <v>0</v>
      </c>
      <c r="AW2229" t="s">
        <v>66</v>
      </c>
      <c r="AX2229">
        <v>0</v>
      </c>
      <c r="AY2229" t="s">
        <v>66</v>
      </c>
      <c r="AZ2229">
        <v>0</v>
      </c>
      <c r="BA2229" t="s">
        <v>66</v>
      </c>
      <c r="BB2229">
        <v>0</v>
      </c>
      <c r="BC2229">
        <v>0</v>
      </c>
      <c r="BD2229">
        <v>26043.93</v>
      </c>
      <c r="BE2229">
        <v>7134.31</v>
      </c>
      <c r="BF2229">
        <v>0</v>
      </c>
      <c r="BG2229" t="s">
        <v>87</v>
      </c>
      <c r="BH2229" t="s">
        <v>66</v>
      </c>
      <c r="BI2229">
        <v>0</v>
      </c>
      <c r="BJ2229" t="s">
        <v>66</v>
      </c>
      <c r="BK2229" t="s">
        <v>88</v>
      </c>
      <c r="BL2229" t="s">
        <v>66</v>
      </c>
      <c r="BM2229" t="s">
        <v>159</v>
      </c>
    </row>
    <row r="2230" spans="1:65" x14ac:dyDescent="0.25">
      <c r="A2230">
        <v>2228</v>
      </c>
      <c r="B2230" t="s">
        <v>2093</v>
      </c>
      <c r="C2230" t="s">
        <v>68</v>
      </c>
      <c r="D2230" s="1">
        <v>46234</v>
      </c>
      <c r="E2230" t="s">
        <v>2094</v>
      </c>
      <c r="F2230" t="s">
        <v>68</v>
      </c>
      <c r="G2230" t="s">
        <v>69</v>
      </c>
      <c r="H2230" t="s">
        <v>70</v>
      </c>
      <c r="I2230" t="s">
        <v>71</v>
      </c>
      <c r="J2230" t="s">
        <v>72</v>
      </c>
      <c r="K2230" t="s">
        <v>73</v>
      </c>
      <c r="L2230" t="s">
        <v>74</v>
      </c>
      <c r="M2230" t="s">
        <v>933</v>
      </c>
      <c r="N2230" t="s">
        <v>111</v>
      </c>
      <c r="O2230" t="s">
        <v>934</v>
      </c>
      <c r="P2230" t="s">
        <v>935</v>
      </c>
      <c r="Q2230" t="s">
        <v>66</v>
      </c>
      <c r="R2230" s="1">
        <v>46234</v>
      </c>
      <c r="S2230" t="s">
        <v>934</v>
      </c>
      <c r="T2230" t="s">
        <v>935</v>
      </c>
      <c r="U2230" t="s">
        <v>937</v>
      </c>
      <c r="V2230" t="s">
        <v>66</v>
      </c>
      <c r="W2230" t="s">
        <v>66</v>
      </c>
      <c r="X2230">
        <v>1905255</v>
      </c>
      <c r="Y2230">
        <v>209578.05</v>
      </c>
      <c r="Z2230">
        <v>33858</v>
      </c>
      <c r="AA2230">
        <v>3724.38</v>
      </c>
      <c r="AB2230">
        <v>2114833.0499999998</v>
      </c>
      <c r="AC2230">
        <v>6</v>
      </c>
      <c r="AD2230" t="s">
        <v>82</v>
      </c>
      <c r="AE2230">
        <v>6</v>
      </c>
      <c r="AF2230" t="s">
        <v>202</v>
      </c>
      <c r="AG2230">
        <f>IFERROR(VLOOKUP(AF2230,[1]STOK!J:O,6,0),"")</f>
        <v>48</v>
      </c>
      <c r="AH2230" s="2">
        <f t="shared" si="68"/>
        <v>0.125</v>
      </c>
      <c r="AI2230" t="s">
        <v>202</v>
      </c>
      <c r="AJ2230" t="s">
        <v>203</v>
      </c>
      <c r="AK2230" t="s">
        <v>204</v>
      </c>
      <c r="AL2230" t="s">
        <v>86</v>
      </c>
      <c r="AM2230">
        <v>6327</v>
      </c>
      <c r="AN2230">
        <f t="shared" si="69"/>
        <v>6263.73</v>
      </c>
      <c r="AO2230" t="s">
        <v>66</v>
      </c>
      <c r="AP2230">
        <v>1</v>
      </c>
      <c r="AQ2230" t="s">
        <v>66</v>
      </c>
      <c r="AR2230">
        <v>0</v>
      </c>
      <c r="AS2230" t="s">
        <v>66</v>
      </c>
      <c r="AT2230">
        <v>0</v>
      </c>
      <c r="AU2230" t="s">
        <v>66</v>
      </c>
      <c r="AV2230">
        <v>0</v>
      </c>
      <c r="AW2230" t="s">
        <v>66</v>
      </c>
      <c r="AX2230">
        <v>0</v>
      </c>
      <c r="AY2230" t="s">
        <v>66</v>
      </c>
      <c r="AZ2230">
        <v>0</v>
      </c>
      <c r="BA2230" t="s">
        <v>66</v>
      </c>
      <c r="BB2230">
        <v>0</v>
      </c>
      <c r="BC2230">
        <v>0</v>
      </c>
      <c r="BD2230">
        <v>37582.379999999997</v>
      </c>
      <c r="BE2230">
        <v>5039.6099999999997</v>
      </c>
      <c r="BF2230">
        <v>0</v>
      </c>
      <c r="BG2230" t="s">
        <v>87</v>
      </c>
      <c r="BH2230" t="s">
        <v>66</v>
      </c>
      <c r="BI2230">
        <v>0</v>
      </c>
      <c r="BJ2230" t="s">
        <v>66</v>
      </c>
      <c r="BK2230" t="s">
        <v>88</v>
      </c>
      <c r="BL2230" t="s">
        <v>66</v>
      </c>
      <c r="BM2230" t="s">
        <v>159</v>
      </c>
    </row>
    <row r="2231" spans="1:65" x14ac:dyDescent="0.25">
      <c r="A2231">
        <v>2229</v>
      </c>
      <c r="B2231" t="s">
        <v>2093</v>
      </c>
      <c r="C2231" t="s">
        <v>68</v>
      </c>
      <c r="D2231" s="1">
        <v>46234</v>
      </c>
      <c r="E2231" t="s">
        <v>2094</v>
      </c>
      <c r="F2231" t="s">
        <v>68</v>
      </c>
      <c r="G2231" t="s">
        <v>69</v>
      </c>
      <c r="H2231" t="s">
        <v>70</v>
      </c>
      <c r="I2231" t="s">
        <v>71</v>
      </c>
      <c r="J2231" t="s">
        <v>72</v>
      </c>
      <c r="K2231" t="s">
        <v>73</v>
      </c>
      <c r="L2231" t="s">
        <v>74</v>
      </c>
      <c r="M2231" t="s">
        <v>933</v>
      </c>
      <c r="N2231" t="s">
        <v>111</v>
      </c>
      <c r="O2231" t="s">
        <v>934</v>
      </c>
      <c r="P2231" t="s">
        <v>935</v>
      </c>
      <c r="Q2231" t="s">
        <v>66</v>
      </c>
      <c r="R2231" s="1">
        <v>46234</v>
      </c>
      <c r="S2231" t="s">
        <v>934</v>
      </c>
      <c r="T2231" t="s">
        <v>935</v>
      </c>
      <c r="U2231" t="s">
        <v>937</v>
      </c>
      <c r="V2231" t="s">
        <v>66</v>
      </c>
      <c r="W2231" t="s">
        <v>66</v>
      </c>
      <c r="X2231">
        <v>1905255</v>
      </c>
      <c r="Y2231">
        <v>209578.05</v>
      </c>
      <c r="Z2231">
        <v>33858</v>
      </c>
      <c r="AA2231">
        <v>3724.38</v>
      </c>
      <c r="AB2231">
        <v>2114833.0499999998</v>
      </c>
      <c r="AC2231">
        <v>6</v>
      </c>
      <c r="AD2231" t="s">
        <v>82</v>
      </c>
      <c r="AE2231">
        <v>6</v>
      </c>
      <c r="AF2231" t="s">
        <v>350</v>
      </c>
      <c r="AG2231">
        <f>IFERROR(VLOOKUP(AF2231,[1]STOK!J:O,6,0),"")</f>
        <v>48</v>
      </c>
      <c r="AH2231" s="2">
        <f t="shared" si="68"/>
        <v>0.125</v>
      </c>
      <c r="AI2231" t="s">
        <v>350</v>
      </c>
      <c r="AJ2231" t="s">
        <v>351</v>
      </c>
      <c r="AK2231" t="s">
        <v>352</v>
      </c>
      <c r="AL2231" t="s">
        <v>86</v>
      </c>
      <c r="AM2231">
        <v>6327</v>
      </c>
      <c r="AN2231">
        <f t="shared" si="69"/>
        <v>6263.73</v>
      </c>
      <c r="AO2231" t="s">
        <v>66</v>
      </c>
      <c r="AP2231">
        <v>1</v>
      </c>
      <c r="AQ2231" t="s">
        <v>66</v>
      </c>
      <c r="AR2231">
        <v>0</v>
      </c>
      <c r="AS2231" t="s">
        <v>66</v>
      </c>
      <c r="AT2231">
        <v>0</v>
      </c>
      <c r="AU2231" t="s">
        <v>66</v>
      </c>
      <c r="AV2231">
        <v>0</v>
      </c>
      <c r="AW2231" t="s">
        <v>66</v>
      </c>
      <c r="AX2231">
        <v>0</v>
      </c>
      <c r="AY2231" t="s">
        <v>66</v>
      </c>
      <c r="AZ2231">
        <v>0</v>
      </c>
      <c r="BA2231" t="s">
        <v>66</v>
      </c>
      <c r="BB2231">
        <v>0</v>
      </c>
      <c r="BC2231">
        <v>0</v>
      </c>
      <c r="BD2231">
        <v>37582.379999999997</v>
      </c>
      <c r="BE2231">
        <v>5068.84</v>
      </c>
      <c r="BF2231">
        <v>0</v>
      </c>
      <c r="BG2231" t="s">
        <v>87</v>
      </c>
      <c r="BH2231" t="s">
        <v>66</v>
      </c>
      <c r="BI2231">
        <v>0</v>
      </c>
      <c r="BJ2231" t="s">
        <v>66</v>
      </c>
      <c r="BK2231" t="s">
        <v>88</v>
      </c>
      <c r="BL2231" t="s">
        <v>66</v>
      </c>
      <c r="BM2231" t="s">
        <v>159</v>
      </c>
    </row>
    <row r="2232" spans="1:65" x14ac:dyDescent="0.25">
      <c r="A2232">
        <v>2230</v>
      </c>
      <c r="B2232" t="s">
        <v>2093</v>
      </c>
      <c r="C2232" t="s">
        <v>68</v>
      </c>
      <c r="D2232" s="1">
        <v>46234</v>
      </c>
      <c r="E2232" t="s">
        <v>2094</v>
      </c>
      <c r="F2232" t="s">
        <v>68</v>
      </c>
      <c r="G2232" t="s">
        <v>69</v>
      </c>
      <c r="H2232" t="s">
        <v>70</v>
      </c>
      <c r="I2232" t="s">
        <v>71</v>
      </c>
      <c r="J2232" t="s">
        <v>72</v>
      </c>
      <c r="K2232" t="s">
        <v>73</v>
      </c>
      <c r="L2232" t="s">
        <v>74</v>
      </c>
      <c r="M2232" t="s">
        <v>933</v>
      </c>
      <c r="N2232" t="s">
        <v>111</v>
      </c>
      <c r="O2232" t="s">
        <v>934</v>
      </c>
      <c r="P2232" t="s">
        <v>935</v>
      </c>
      <c r="Q2232" t="s">
        <v>66</v>
      </c>
      <c r="R2232" s="1">
        <v>46234</v>
      </c>
      <c r="S2232" t="s">
        <v>934</v>
      </c>
      <c r="T2232" t="s">
        <v>935</v>
      </c>
      <c r="U2232" t="s">
        <v>937</v>
      </c>
      <c r="V2232" t="s">
        <v>66</v>
      </c>
      <c r="W2232" t="s">
        <v>66</v>
      </c>
      <c r="X2232">
        <v>1905255</v>
      </c>
      <c r="Y2232">
        <v>209578.05</v>
      </c>
      <c r="Z2232">
        <v>230472</v>
      </c>
      <c r="AA2232">
        <v>25351.919999999998</v>
      </c>
      <c r="AB2232">
        <v>2114833.0499999998</v>
      </c>
      <c r="AC2232">
        <v>1</v>
      </c>
      <c r="AD2232" t="s">
        <v>134</v>
      </c>
      <c r="AE2232">
        <v>12</v>
      </c>
      <c r="AF2232" t="s">
        <v>284</v>
      </c>
      <c r="AG2232">
        <f>IFERROR(VLOOKUP(AF2232,[1]STOK!J:O,6,0),"")</f>
        <v>12</v>
      </c>
      <c r="AH2232" s="2">
        <f t="shared" si="68"/>
        <v>1</v>
      </c>
      <c r="AI2232" t="s">
        <v>284</v>
      </c>
      <c r="AJ2232" t="s">
        <v>285</v>
      </c>
      <c r="AK2232" t="s">
        <v>286</v>
      </c>
      <c r="AL2232" t="s">
        <v>86</v>
      </c>
      <c r="AM2232">
        <v>258408</v>
      </c>
      <c r="AN2232">
        <f t="shared" si="69"/>
        <v>255823.92</v>
      </c>
      <c r="AO2232" t="s">
        <v>66</v>
      </c>
      <c r="AP2232">
        <v>1</v>
      </c>
      <c r="AQ2232" t="s">
        <v>66</v>
      </c>
      <c r="AR2232">
        <v>0</v>
      </c>
      <c r="AS2232" t="s">
        <v>66</v>
      </c>
      <c r="AT2232">
        <v>0</v>
      </c>
      <c r="AU2232" t="s">
        <v>66</v>
      </c>
      <c r="AV2232">
        <v>0</v>
      </c>
      <c r="AW2232" t="s">
        <v>66</v>
      </c>
      <c r="AX2232">
        <v>0</v>
      </c>
      <c r="AY2232" t="s">
        <v>66</v>
      </c>
      <c r="AZ2232">
        <v>0</v>
      </c>
      <c r="BA2232" t="s">
        <v>66</v>
      </c>
      <c r="BB2232">
        <v>0</v>
      </c>
      <c r="BC2232">
        <v>0</v>
      </c>
      <c r="BD2232">
        <v>255823.92</v>
      </c>
      <c r="BE2232">
        <v>17311.39</v>
      </c>
      <c r="BF2232">
        <v>0</v>
      </c>
      <c r="BG2232" t="s">
        <v>87</v>
      </c>
      <c r="BH2232" t="s">
        <v>66</v>
      </c>
      <c r="BI2232">
        <v>0</v>
      </c>
      <c r="BJ2232" t="s">
        <v>66</v>
      </c>
      <c r="BK2232" t="s">
        <v>88</v>
      </c>
      <c r="BL2232" t="s">
        <v>66</v>
      </c>
      <c r="BM2232" t="s">
        <v>159</v>
      </c>
    </row>
    <row r="2233" spans="1:65" x14ac:dyDescent="0.25">
      <c r="A2233">
        <v>2231</v>
      </c>
      <c r="B2233" t="s">
        <v>2093</v>
      </c>
      <c r="C2233" t="s">
        <v>68</v>
      </c>
      <c r="D2233" s="1">
        <v>46234</v>
      </c>
      <c r="E2233" t="s">
        <v>2094</v>
      </c>
      <c r="F2233" t="s">
        <v>68</v>
      </c>
      <c r="G2233" t="s">
        <v>69</v>
      </c>
      <c r="H2233" t="s">
        <v>70</v>
      </c>
      <c r="I2233" t="s">
        <v>71</v>
      </c>
      <c r="J2233" t="s">
        <v>72</v>
      </c>
      <c r="K2233" t="s">
        <v>73</v>
      </c>
      <c r="L2233" t="s">
        <v>74</v>
      </c>
      <c r="M2233" t="s">
        <v>933</v>
      </c>
      <c r="N2233" t="s">
        <v>111</v>
      </c>
      <c r="O2233" t="s">
        <v>934</v>
      </c>
      <c r="P2233" t="s">
        <v>935</v>
      </c>
      <c r="Q2233" t="s">
        <v>66</v>
      </c>
      <c r="R2233" s="1">
        <v>46234</v>
      </c>
      <c r="S2233" t="s">
        <v>934</v>
      </c>
      <c r="T2233" t="s">
        <v>935</v>
      </c>
      <c r="U2233" t="s">
        <v>937</v>
      </c>
      <c r="V2233" t="s">
        <v>66</v>
      </c>
      <c r="W2233" t="s">
        <v>66</v>
      </c>
      <c r="X2233">
        <v>1905255</v>
      </c>
      <c r="Y2233">
        <v>209578.05</v>
      </c>
      <c r="Z2233">
        <v>1128600</v>
      </c>
      <c r="AA2233">
        <v>124146</v>
      </c>
      <c r="AB2233">
        <v>2114833.0499999998</v>
      </c>
      <c r="AC2233">
        <v>5</v>
      </c>
      <c r="AD2233" t="s">
        <v>134</v>
      </c>
      <c r="AE2233">
        <v>60</v>
      </c>
      <c r="AF2233" t="s">
        <v>102</v>
      </c>
      <c r="AG2233">
        <f>IFERROR(VLOOKUP(AF2233,[1]STOK!J:O,6,0),"")</f>
        <v>12</v>
      </c>
      <c r="AH2233" s="2">
        <f t="shared" si="68"/>
        <v>5</v>
      </c>
      <c r="AI2233" t="s">
        <v>102</v>
      </c>
      <c r="AJ2233" t="s">
        <v>103</v>
      </c>
      <c r="AK2233" t="s">
        <v>104</v>
      </c>
      <c r="AL2233" t="s">
        <v>86</v>
      </c>
      <c r="AM2233">
        <v>266400</v>
      </c>
      <c r="AN2233">
        <f t="shared" si="69"/>
        <v>250549.2</v>
      </c>
      <c r="AO2233" t="s">
        <v>66</v>
      </c>
      <c r="AP2233">
        <v>1</v>
      </c>
      <c r="AQ2233" t="s">
        <v>66</v>
      </c>
      <c r="AR2233">
        <v>0</v>
      </c>
      <c r="AS2233" t="s">
        <v>66</v>
      </c>
      <c r="AT2233">
        <v>0</v>
      </c>
      <c r="AU2233" t="s">
        <v>66</v>
      </c>
      <c r="AV2233">
        <v>5</v>
      </c>
      <c r="AW2233" t="s">
        <v>66</v>
      </c>
      <c r="AX2233">
        <v>0</v>
      </c>
      <c r="AY2233" t="s">
        <v>66</v>
      </c>
      <c r="AZ2233">
        <v>0</v>
      </c>
      <c r="BA2233" t="s">
        <v>66</v>
      </c>
      <c r="BB2233">
        <v>0</v>
      </c>
      <c r="BC2233">
        <v>0</v>
      </c>
      <c r="BD2233">
        <v>1252746</v>
      </c>
      <c r="BE2233">
        <v>18005.03</v>
      </c>
      <c r="BF2233">
        <v>0</v>
      </c>
      <c r="BG2233" t="s">
        <v>87</v>
      </c>
      <c r="BH2233" t="s">
        <v>66</v>
      </c>
      <c r="BI2233">
        <v>0</v>
      </c>
      <c r="BJ2233" t="s">
        <v>66</v>
      </c>
      <c r="BK2233" t="s">
        <v>88</v>
      </c>
      <c r="BL2233" t="s">
        <v>66</v>
      </c>
      <c r="BM2233" t="s">
        <v>159</v>
      </c>
    </row>
    <row r="2234" spans="1:65" x14ac:dyDescent="0.25">
      <c r="A2234">
        <v>2232</v>
      </c>
      <c r="B2234" t="s">
        <v>2093</v>
      </c>
      <c r="C2234" t="s">
        <v>68</v>
      </c>
      <c r="D2234" s="1">
        <v>46234</v>
      </c>
      <c r="E2234" t="s">
        <v>2094</v>
      </c>
      <c r="F2234" t="s">
        <v>68</v>
      </c>
      <c r="G2234" t="s">
        <v>69</v>
      </c>
      <c r="H2234" t="s">
        <v>70</v>
      </c>
      <c r="I2234" t="s">
        <v>71</v>
      </c>
      <c r="J2234" t="s">
        <v>72</v>
      </c>
      <c r="K2234" t="s">
        <v>73</v>
      </c>
      <c r="L2234" t="s">
        <v>74</v>
      </c>
      <c r="M2234" t="s">
        <v>933</v>
      </c>
      <c r="N2234" t="s">
        <v>111</v>
      </c>
      <c r="O2234" t="s">
        <v>934</v>
      </c>
      <c r="P2234" t="s">
        <v>935</v>
      </c>
      <c r="Q2234" t="s">
        <v>66</v>
      </c>
      <c r="R2234" s="1">
        <v>46234</v>
      </c>
      <c r="S2234" t="s">
        <v>934</v>
      </c>
      <c r="T2234" t="s">
        <v>935</v>
      </c>
      <c r="U2234" t="s">
        <v>937</v>
      </c>
      <c r="V2234" t="s">
        <v>66</v>
      </c>
      <c r="W2234" t="s">
        <v>66</v>
      </c>
      <c r="X2234">
        <v>1905255</v>
      </c>
      <c r="Y2234">
        <v>209578.05</v>
      </c>
      <c r="Z2234">
        <v>455004</v>
      </c>
      <c r="AA2234">
        <v>50050.44</v>
      </c>
      <c r="AB2234">
        <v>2114833.0499999998</v>
      </c>
      <c r="AC2234">
        <v>2</v>
      </c>
      <c r="AD2234" t="s">
        <v>134</v>
      </c>
      <c r="AE2234">
        <v>12</v>
      </c>
      <c r="AF2234" t="s">
        <v>138</v>
      </c>
      <c r="AG2234">
        <f>IFERROR(VLOOKUP(AF2234,[1]STOK!J:O,6,0),"")</f>
        <v>6</v>
      </c>
      <c r="AH2234" s="2">
        <f t="shared" si="68"/>
        <v>2</v>
      </c>
      <c r="AI2234" t="s">
        <v>138</v>
      </c>
      <c r="AJ2234" t="s">
        <v>139</v>
      </c>
      <c r="AK2234" t="s">
        <v>140</v>
      </c>
      <c r="AL2234" t="s">
        <v>86</v>
      </c>
      <c r="AM2234">
        <v>255078</v>
      </c>
      <c r="AN2234">
        <f t="shared" si="69"/>
        <v>252527.22</v>
      </c>
      <c r="AO2234" t="s">
        <v>66</v>
      </c>
      <c r="AP2234">
        <v>1</v>
      </c>
      <c r="AQ2234" t="s">
        <v>66</v>
      </c>
      <c r="AR2234">
        <v>0</v>
      </c>
      <c r="AS2234" t="s">
        <v>66</v>
      </c>
      <c r="AT2234">
        <v>0</v>
      </c>
      <c r="AU2234" t="s">
        <v>66</v>
      </c>
      <c r="AV2234">
        <v>0</v>
      </c>
      <c r="AW2234" t="s">
        <v>66</v>
      </c>
      <c r="AX2234">
        <v>0</v>
      </c>
      <c r="AY2234" t="s">
        <v>66</v>
      </c>
      <c r="AZ2234">
        <v>0</v>
      </c>
      <c r="BA2234" t="s">
        <v>66</v>
      </c>
      <c r="BB2234">
        <v>0</v>
      </c>
      <c r="BC2234">
        <v>0</v>
      </c>
      <c r="BD2234">
        <v>505054.44</v>
      </c>
      <c r="BE2234">
        <v>34652.559999999998</v>
      </c>
      <c r="BF2234">
        <v>0</v>
      </c>
      <c r="BG2234" t="s">
        <v>87</v>
      </c>
      <c r="BH2234" t="s">
        <v>66</v>
      </c>
      <c r="BI2234">
        <v>0</v>
      </c>
      <c r="BJ2234" t="s">
        <v>66</v>
      </c>
      <c r="BK2234" t="s">
        <v>88</v>
      </c>
      <c r="BL2234" t="s">
        <v>66</v>
      </c>
      <c r="BM2234" t="s">
        <v>159</v>
      </c>
    </row>
    <row r="2235" spans="1:65" x14ac:dyDescent="0.25">
      <c r="A2235">
        <v>2233</v>
      </c>
      <c r="B2235" t="s">
        <v>2095</v>
      </c>
      <c r="C2235" t="s">
        <v>2096</v>
      </c>
      <c r="D2235" s="1">
        <v>46234</v>
      </c>
      <c r="E2235" t="s">
        <v>2097</v>
      </c>
      <c r="F2235" t="s">
        <v>2098</v>
      </c>
      <c r="G2235" t="s">
        <v>295</v>
      </c>
      <c r="H2235" t="s">
        <v>296</v>
      </c>
      <c r="I2235" t="s">
        <v>71</v>
      </c>
      <c r="J2235" t="s">
        <v>72</v>
      </c>
      <c r="K2235" t="s">
        <v>73</v>
      </c>
      <c r="L2235" t="s">
        <v>74</v>
      </c>
      <c r="M2235" t="s">
        <v>1134</v>
      </c>
      <c r="N2235" t="s">
        <v>111</v>
      </c>
      <c r="O2235" t="s">
        <v>1135</v>
      </c>
      <c r="P2235" t="s">
        <v>1136</v>
      </c>
      <c r="Q2235" t="s">
        <v>66</v>
      </c>
      <c r="R2235" s="1">
        <v>46234</v>
      </c>
      <c r="S2235" t="s">
        <v>1138</v>
      </c>
      <c r="T2235" t="s">
        <v>1139</v>
      </c>
      <c r="U2235" t="s">
        <v>1140</v>
      </c>
      <c r="V2235" t="s">
        <v>66</v>
      </c>
      <c r="W2235" t="s">
        <v>66</v>
      </c>
      <c r="X2235">
        <v>7458420</v>
      </c>
      <c r="Y2235">
        <v>820426.2</v>
      </c>
      <c r="Z2235">
        <v>390060</v>
      </c>
      <c r="AA2235">
        <v>42906.6</v>
      </c>
      <c r="AB2235">
        <v>8278846.2000000002</v>
      </c>
      <c r="AC2235">
        <v>24</v>
      </c>
      <c r="AD2235" t="s">
        <v>82</v>
      </c>
      <c r="AE2235">
        <v>24</v>
      </c>
      <c r="AF2235" t="s">
        <v>128</v>
      </c>
      <c r="AG2235">
        <f>IFERROR(VLOOKUP(AF2235,[1]STOK!J:O,6,0),"")</f>
        <v>24</v>
      </c>
      <c r="AH2235" s="2">
        <f t="shared" si="68"/>
        <v>1</v>
      </c>
      <c r="AI2235" t="s">
        <v>128</v>
      </c>
      <c r="AJ2235" t="s">
        <v>129</v>
      </c>
      <c r="AK2235" t="s">
        <v>130</v>
      </c>
      <c r="AL2235" t="s">
        <v>86</v>
      </c>
      <c r="AM2235">
        <v>18315</v>
      </c>
      <c r="AN2235">
        <f t="shared" si="69"/>
        <v>18040.274999999998</v>
      </c>
      <c r="AO2235" t="s">
        <v>66</v>
      </c>
      <c r="AP2235">
        <v>1.5</v>
      </c>
      <c r="AQ2235" t="s">
        <v>66</v>
      </c>
      <c r="AR2235">
        <v>0</v>
      </c>
      <c r="AS2235" t="s">
        <v>66</v>
      </c>
      <c r="AT2235">
        <v>0</v>
      </c>
      <c r="AU2235" t="s">
        <v>66</v>
      </c>
      <c r="AV2235">
        <v>0</v>
      </c>
      <c r="AW2235" t="s">
        <v>66</v>
      </c>
      <c r="AX2235">
        <v>0</v>
      </c>
      <c r="AY2235" t="s">
        <v>66</v>
      </c>
      <c r="AZ2235">
        <v>0</v>
      </c>
      <c r="BA2235" t="s">
        <v>66</v>
      </c>
      <c r="BB2235">
        <v>0</v>
      </c>
      <c r="BC2235">
        <v>0</v>
      </c>
      <c r="BD2235">
        <v>432966.6</v>
      </c>
      <c r="BE2235">
        <v>14887.43</v>
      </c>
      <c r="BF2235">
        <v>0</v>
      </c>
      <c r="BG2235" t="s">
        <v>87</v>
      </c>
      <c r="BH2235" t="s">
        <v>2099</v>
      </c>
      <c r="BI2235">
        <v>24</v>
      </c>
      <c r="BJ2235" t="s">
        <v>158</v>
      </c>
      <c r="BK2235" t="s">
        <v>88</v>
      </c>
      <c r="BL2235" t="s">
        <v>66</v>
      </c>
      <c r="BM2235" t="s">
        <v>159</v>
      </c>
    </row>
    <row r="2236" spans="1:65" x14ac:dyDescent="0.25">
      <c r="A2236">
        <v>2234</v>
      </c>
      <c r="B2236" t="s">
        <v>2095</v>
      </c>
      <c r="C2236" t="s">
        <v>2096</v>
      </c>
      <c r="D2236" s="1">
        <v>46234</v>
      </c>
      <c r="E2236" t="s">
        <v>2097</v>
      </c>
      <c r="F2236" t="s">
        <v>2098</v>
      </c>
      <c r="G2236" t="s">
        <v>295</v>
      </c>
      <c r="H2236" t="s">
        <v>296</v>
      </c>
      <c r="I2236" t="s">
        <v>71</v>
      </c>
      <c r="J2236" t="s">
        <v>72</v>
      </c>
      <c r="K2236" t="s">
        <v>73</v>
      </c>
      <c r="L2236" t="s">
        <v>74</v>
      </c>
      <c r="M2236" t="s">
        <v>1134</v>
      </c>
      <c r="N2236" t="s">
        <v>111</v>
      </c>
      <c r="O2236" t="s">
        <v>1135</v>
      </c>
      <c r="P2236" t="s">
        <v>1136</v>
      </c>
      <c r="Q2236" t="s">
        <v>66</v>
      </c>
      <c r="R2236" s="1">
        <v>46234</v>
      </c>
      <c r="S2236" t="s">
        <v>1138</v>
      </c>
      <c r="T2236" t="s">
        <v>1139</v>
      </c>
      <c r="U2236" t="s">
        <v>1140</v>
      </c>
      <c r="V2236" t="s">
        <v>66</v>
      </c>
      <c r="W2236" t="s">
        <v>66</v>
      </c>
      <c r="X2236">
        <v>7458420</v>
      </c>
      <c r="Y2236">
        <v>820426.2</v>
      </c>
      <c r="Z2236">
        <v>390060</v>
      </c>
      <c r="AA2236">
        <v>42906.6</v>
      </c>
      <c r="AB2236">
        <v>8278846.2000000002</v>
      </c>
      <c r="AC2236">
        <v>24</v>
      </c>
      <c r="AD2236" t="s">
        <v>82</v>
      </c>
      <c r="AE2236">
        <v>24</v>
      </c>
      <c r="AF2236" t="s">
        <v>93</v>
      </c>
      <c r="AG2236">
        <f>IFERROR(VLOOKUP(AF2236,[1]STOK!J:O,6,0),"")</f>
        <v>24</v>
      </c>
      <c r="AH2236" s="2">
        <f t="shared" si="68"/>
        <v>1</v>
      </c>
      <c r="AI2236" t="s">
        <v>93</v>
      </c>
      <c r="AJ2236" t="s">
        <v>94</v>
      </c>
      <c r="AK2236" t="s">
        <v>95</v>
      </c>
      <c r="AL2236" t="s">
        <v>86</v>
      </c>
      <c r="AM2236">
        <v>18315</v>
      </c>
      <c r="AN2236">
        <f t="shared" si="69"/>
        <v>18040.274999999998</v>
      </c>
      <c r="AO2236" t="s">
        <v>66</v>
      </c>
      <c r="AP2236">
        <v>1.5</v>
      </c>
      <c r="AQ2236" t="s">
        <v>66</v>
      </c>
      <c r="AR2236">
        <v>0</v>
      </c>
      <c r="AS2236" t="s">
        <v>66</v>
      </c>
      <c r="AT2236">
        <v>0</v>
      </c>
      <c r="AU2236" t="s">
        <v>66</v>
      </c>
      <c r="AV2236">
        <v>0</v>
      </c>
      <c r="AW2236" t="s">
        <v>66</v>
      </c>
      <c r="AX2236">
        <v>0</v>
      </c>
      <c r="AY2236" t="s">
        <v>66</v>
      </c>
      <c r="AZ2236">
        <v>0</v>
      </c>
      <c r="BA2236" t="s">
        <v>66</v>
      </c>
      <c r="BB2236">
        <v>0</v>
      </c>
      <c r="BC2236">
        <v>0</v>
      </c>
      <c r="BD2236">
        <v>432966.6</v>
      </c>
      <c r="BE2236">
        <v>14923.68</v>
      </c>
      <c r="BF2236">
        <v>0</v>
      </c>
      <c r="BG2236" t="s">
        <v>87</v>
      </c>
      <c r="BH2236" t="s">
        <v>2099</v>
      </c>
      <c r="BI2236">
        <v>24</v>
      </c>
      <c r="BJ2236" t="s">
        <v>158</v>
      </c>
      <c r="BK2236" t="s">
        <v>88</v>
      </c>
      <c r="BL2236" t="s">
        <v>66</v>
      </c>
      <c r="BM2236" t="s">
        <v>159</v>
      </c>
    </row>
    <row r="2237" spans="1:65" x14ac:dyDescent="0.25">
      <c r="A2237">
        <v>2235</v>
      </c>
      <c r="B2237" t="s">
        <v>2095</v>
      </c>
      <c r="C2237" t="s">
        <v>2096</v>
      </c>
      <c r="D2237" s="1">
        <v>46234</v>
      </c>
      <c r="E2237" t="s">
        <v>2097</v>
      </c>
      <c r="F2237" t="s">
        <v>2098</v>
      </c>
      <c r="G2237" t="s">
        <v>295</v>
      </c>
      <c r="H2237" t="s">
        <v>296</v>
      </c>
      <c r="I2237" t="s">
        <v>71</v>
      </c>
      <c r="J2237" t="s">
        <v>72</v>
      </c>
      <c r="K2237" t="s">
        <v>73</v>
      </c>
      <c r="L2237" t="s">
        <v>74</v>
      </c>
      <c r="M2237" t="s">
        <v>1134</v>
      </c>
      <c r="N2237" t="s">
        <v>111</v>
      </c>
      <c r="O2237" t="s">
        <v>1135</v>
      </c>
      <c r="P2237" t="s">
        <v>1136</v>
      </c>
      <c r="Q2237" t="s">
        <v>66</v>
      </c>
      <c r="R2237" s="1">
        <v>46234</v>
      </c>
      <c r="S2237" t="s">
        <v>1138</v>
      </c>
      <c r="T2237" t="s">
        <v>1139</v>
      </c>
      <c r="U2237" t="s">
        <v>1140</v>
      </c>
      <c r="V2237" t="s">
        <v>66</v>
      </c>
      <c r="W2237" t="s">
        <v>66</v>
      </c>
      <c r="X2237">
        <v>7458420</v>
      </c>
      <c r="Y2237">
        <v>820426.2</v>
      </c>
      <c r="Z2237">
        <v>390060</v>
      </c>
      <c r="AA2237">
        <v>42906.6</v>
      </c>
      <c r="AB2237">
        <v>8278846.2000000002</v>
      </c>
      <c r="AC2237">
        <v>24</v>
      </c>
      <c r="AD2237" t="s">
        <v>82</v>
      </c>
      <c r="AE2237">
        <v>24</v>
      </c>
      <c r="AF2237" t="s">
        <v>205</v>
      </c>
      <c r="AG2237">
        <f>IFERROR(VLOOKUP(AF2237,[1]STOK!J:O,6,0),"")</f>
        <v>24</v>
      </c>
      <c r="AH2237" s="2">
        <f t="shared" si="68"/>
        <v>1</v>
      </c>
      <c r="AI2237" t="s">
        <v>205</v>
      </c>
      <c r="AJ2237" t="s">
        <v>206</v>
      </c>
      <c r="AK2237" t="s">
        <v>207</v>
      </c>
      <c r="AL2237" t="s">
        <v>86</v>
      </c>
      <c r="AM2237">
        <v>18315</v>
      </c>
      <c r="AN2237">
        <f t="shared" si="69"/>
        <v>18040.274999999998</v>
      </c>
      <c r="AO2237" t="s">
        <v>66</v>
      </c>
      <c r="AP2237">
        <v>1.5</v>
      </c>
      <c r="AQ2237" t="s">
        <v>66</v>
      </c>
      <c r="AR2237">
        <v>0</v>
      </c>
      <c r="AS2237" t="s">
        <v>66</v>
      </c>
      <c r="AT2237">
        <v>0</v>
      </c>
      <c r="AU2237" t="s">
        <v>66</v>
      </c>
      <c r="AV2237">
        <v>0</v>
      </c>
      <c r="AW2237" t="s">
        <v>66</v>
      </c>
      <c r="AX2237">
        <v>0</v>
      </c>
      <c r="AY2237" t="s">
        <v>66</v>
      </c>
      <c r="AZ2237">
        <v>0</v>
      </c>
      <c r="BA2237" t="s">
        <v>66</v>
      </c>
      <c r="BB2237">
        <v>0</v>
      </c>
      <c r="BC2237">
        <v>0</v>
      </c>
      <c r="BD2237">
        <v>432966.6</v>
      </c>
      <c r="BE2237">
        <v>14893.33</v>
      </c>
      <c r="BF2237">
        <v>0</v>
      </c>
      <c r="BG2237" t="s">
        <v>87</v>
      </c>
      <c r="BH2237" t="s">
        <v>2099</v>
      </c>
      <c r="BI2237">
        <v>24</v>
      </c>
      <c r="BJ2237" t="s">
        <v>158</v>
      </c>
      <c r="BK2237" t="s">
        <v>88</v>
      </c>
      <c r="BL2237" t="s">
        <v>66</v>
      </c>
      <c r="BM2237" t="s">
        <v>159</v>
      </c>
    </row>
    <row r="2238" spans="1:65" x14ac:dyDescent="0.25">
      <c r="A2238">
        <v>2236</v>
      </c>
      <c r="B2238" t="s">
        <v>2095</v>
      </c>
      <c r="C2238" t="s">
        <v>2096</v>
      </c>
      <c r="D2238" s="1">
        <v>46234</v>
      </c>
      <c r="E2238" t="s">
        <v>2097</v>
      </c>
      <c r="F2238" t="s">
        <v>2098</v>
      </c>
      <c r="G2238" t="s">
        <v>295</v>
      </c>
      <c r="H2238" t="s">
        <v>296</v>
      </c>
      <c r="I2238" t="s">
        <v>71</v>
      </c>
      <c r="J2238" t="s">
        <v>72</v>
      </c>
      <c r="K2238" t="s">
        <v>73</v>
      </c>
      <c r="L2238" t="s">
        <v>74</v>
      </c>
      <c r="M2238" t="s">
        <v>1134</v>
      </c>
      <c r="N2238" t="s">
        <v>111</v>
      </c>
      <c r="O2238" t="s">
        <v>1135</v>
      </c>
      <c r="P2238" t="s">
        <v>1136</v>
      </c>
      <c r="Q2238" t="s">
        <v>66</v>
      </c>
      <c r="R2238" s="1">
        <v>46234</v>
      </c>
      <c r="S2238" t="s">
        <v>1138</v>
      </c>
      <c r="T2238" t="s">
        <v>1139</v>
      </c>
      <c r="U2238" t="s">
        <v>1140</v>
      </c>
      <c r="V2238" t="s">
        <v>66</v>
      </c>
      <c r="W2238" t="s">
        <v>66</v>
      </c>
      <c r="X2238">
        <v>7458420</v>
      </c>
      <c r="Y2238">
        <v>820426.2</v>
      </c>
      <c r="Z2238">
        <v>645372</v>
      </c>
      <c r="AA2238">
        <v>70990.92</v>
      </c>
      <c r="AB2238">
        <v>8278846.2000000002</v>
      </c>
      <c r="AC2238">
        <v>24</v>
      </c>
      <c r="AD2238" t="s">
        <v>82</v>
      </c>
      <c r="AE2238">
        <v>24</v>
      </c>
      <c r="AF2238" t="s">
        <v>593</v>
      </c>
      <c r="AG2238">
        <f>IFERROR(VLOOKUP(AF2238,[1]STOK!J:O,6,0),"")</f>
        <v>12</v>
      </c>
      <c r="AH2238" s="2">
        <f t="shared" si="68"/>
        <v>2</v>
      </c>
      <c r="AI2238" t="s">
        <v>593</v>
      </c>
      <c r="AJ2238" t="s">
        <v>594</v>
      </c>
      <c r="AK2238" t="s">
        <v>595</v>
      </c>
      <c r="AL2238" t="s">
        <v>86</v>
      </c>
      <c r="AM2238">
        <v>30303</v>
      </c>
      <c r="AN2238">
        <f t="shared" si="69"/>
        <v>29848.455000000002</v>
      </c>
      <c r="AO2238" t="s">
        <v>66</v>
      </c>
      <c r="AP2238">
        <v>1.5</v>
      </c>
      <c r="AQ2238" t="s">
        <v>66</v>
      </c>
      <c r="AR2238">
        <v>0</v>
      </c>
      <c r="AS2238" t="s">
        <v>66</v>
      </c>
      <c r="AT2238">
        <v>0</v>
      </c>
      <c r="AU2238" t="s">
        <v>66</v>
      </c>
      <c r="AV2238">
        <v>0</v>
      </c>
      <c r="AW2238" t="s">
        <v>66</v>
      </c>
      <c r="AX2238">
        <v>0</v>
      </c>
      <c r="AY2238" t="s">
        <v>66</v>
      </c>
      <c r="AZ2238">
        <v>0</v>
      </c>
      <c r="BA2238" t="s">
        <v>66</v>
      </c>
      <c r="BB2238">
        <v>0</v>
      </c>
      <c r="BC2238">
        <v>0</v>
      </c>
      <c r="BD2238">
        <v>716362.92</v>
      </c>
      <c r="BE2238">
        <v>24583.23</v>
      </c>
      <c r="BF2238">
        <v>0</v>
      </c>
      <c r="BG2238" t="s">
        <v>87</v>
      </c>
      <c r="BH2238" t="s">
        <v>2099</v>
      </c>
      <c r="BI2238">
        <v>24</v>
      </c>
      <c r="BJ2238" t="s">
        <v>158</v>
      </c>
      <c r="BK2238" t="s">
        <v>88</v>
      </c>
      <c r="BL2238" t="s">
        <v>66</v>
      </c>
      <c r="BM2238" t="s">
        <v>159</v>
      </c>
    </row>
    <row r="2239" spans="1:65" x14ac:dyDescent="0.25">
      <c r="A2239">
        <v>2237</v>
      </c>
      <c r="B2239" t="s">
        <v>2095</v>
      </c>
      <c r="C2239" t="s">
        <v>2096</v>
      </c>
      <c r="D2239" s="1">
        <v>46234</v>
      </c>
      <c r="E2239" t="s">
        <v>2097</v>
      </c>
      <c r="F2239" t="s">
        <v>2098</v>
      </c>
      <c r="G2239" t="s">
        <v>295</v>
      </c>
      <c r="H2239" t="s">
        <v>296</v>
      </c>
      <c r="I2239" t="s">
        <v>71</v>
      </c>
      <c r="J2239" t="s">
        <v>72</v>
      </c>
      <c r="K2239" t="s">
        <v>73</v>
      </c>
      <c r="L2239" t="s">
        <v>74</v>
      </c>
      <c r="M2239" t="s">
        <v>1134</v>
      </c>
      <c r="N2239" t="s">
        <v>111</v>
      </c>
      <c r="O2239" t="s">
        <v>1135</v>
      </c>
      <c r="P2239" t="s">
        <v>1136</v>
      </c>
      <c r="Q2239" t="s">
        <v>66</v>
      </c>
      <c r="R2239" s="1">
        <v>46234</v>
      </c>
      <c r="S2239" t="s">
        <v>1138</v>
      </c>
      <c r="T2239" t="s">
        <v>1139</v>
      </c>
      <c r="U2239" t="s">
        <v>1140</v>
      </c>
      <c r="V2239" t="s">
        <v>66</v>
      </c>
      <c r="W2239" t="s">
        <v>66</v>
      </c>
      <c r="X2239">
        <v>7458420</v>
      </c>
      <c r="Y2239">
        <v>820426.2</v>
      </c>
      <c r="Z2239">
        <v>968058</v>
      </c>
      <c r="AA2239">
        <v>106486.38</v>
      </c>
      <c r="AB2239">
        <v>8278846.2000000002</v>
      </c>
      <c r="AC2239">
        <v>36</v>
      </c>
      <c r="AD2239" t="s">
        <v>82</v>
      </c>
      <c r="AE2239">
        <v>36</v>
      </c>
      <c r="AF2239" t="s">
        <v>303</v>
      </c>
      <c r="AG2239">
        <f>IFERROR(VLOOKUP(AF2239,[1]STOK!J:O,6,0),"")</f>
        <v>12</v>
      </c>
      <c r="AH2239" s="2">
        <f t="shared" si="68"/>
        <v>3</v>
      </c>
      <c r="AI2239" t="s">
        <v>303</v>
      </c>
      <c r="AJ2239" t="s">
        <v>304</v>
      </c>
      <c r="AK2239" t="s">
        <v>305</v>
      </c>
      <c r="AL2239" t="s">
        <v>86</v>
      </c>
      <c r="AM2239">
        <v>30303</v>
      </c>
      <c r="AN2239">
        <f t="shared" si="69"/>
        <v>29848.454999999998</v>
      </c>
      <c r="AO2239" t="s">
        <v>66</v>
      </c>
      <c r="AP2239">
        <v>1.5</v>
      </c>
      <c r="AQ2239" t="s">
        <v>66</v>
      </c>
      <c r="AR2239">
        <v>0</v>
      </c>
      <c r="AS2239" t="s">
        <v>66</v>
      </c>
      <c r="AT2239">
        <v>0</v>
      </c>
      <c r="AU2239" t="s">
        <v>66</v>
      </c>
      <c r="AV2239">
        <v>0</v>
      </c>
      <c r="AW2239" t="s">
        <v>66</v>
      </c>
      <c r="AX2239">
        <v>0</v>
      </c>
      <c r="AY2239" t="s">
        <v>66</v>
      </c>
      <c r="AZ2239">
        <v>0</v>
      </c>
      <c r="BA2239" t="s">
        <v>66</v>
      </c>
      <c r="BB2239">
        <v>0</v>
      </c>
      <c r="BC2239">
        <v>0</v>
      </c>
      <c r="BD2239">
        <v>1074544.3799999999</v>
      </c>
      <c r="BE2239">
        <v>24618.880000000001</v>
      </c>
      <c r="BF2239">
        <v>0</v>
      </c>
      <c r="BG2239" t="s">
        <v>87</v>
      </c>
      <c r="BH2239" t="s">
        <v>2099</v>
      </c>
      <c r="BI2239">
        <v>36</v>
      </c>
      <c r="BJ2239" t="s">
        <v>158</v>
      </c>
      <c r="BK2239" t="s">
        <v>88</v>
      </c>
      <c r="BL2239" t="s">
        <v>66</v>
      </c>
      <c r="BM2239" t="s">
        <v>159</v>
      </c>
    </row>
    <row r="2240" spans="1:65" x14ac:dyDescent="0.25">
      <c r="A2240">
        <v>2238</v>
      </c>
      <c r="B2240" t="s">
        <v>2095</v>
      </c>
      <c r="C2240" t="s">
        <v>2096</v>
      </c>
      <c r="D2240" s="1">
        <v>46234</v>
      </c>
      <c r="E2240" t="s">
        <v>2097</v>
      </c>
      <c r="F2240" t="s">
        <v>2098</v>
      </c>
      <c r="G2240" t="s">
        <v>295</v>
      </c>
      <c r="H2240" t="s">
        <v>296</v>
      </c>
      <c r="I2240" t="s">
        <v>71</v>
      </c>
      <c r="J2240" t="s">
        <v>72</v>
      </c>
      <c r="K2240" t="s">
        <v>73</v>
      </c>
      <c r="L2240" t="s">
        <v>74</v>
      </c>
      <c r="M2240" t="s">
        <v>1134</v>
      </c>
      <c r="N2240" t="s">
        <v>111</v>
      </c>
      <c r="O2240" t="s">
        <v>1135</v>
      </c>
      <c r="P2240" t="s">
        <v>1136</v>
      </c>
      <c r="Q2240" t="s">
        <v>66</v>
      </c>
      <c r="R2240" s="1">
        <v>46234</v>
      </c>
      <c r="S2240" t="s">
        <v>1138</v>
      </c>
      <c r="T2240" t="s">
        <v>1139</v>
      </c>
      <c r="U2240" t="s">
        <v>1140</v>
      </c>
      <c r="V2240" t="s">
        <v>66</v>
      </c>
      <c r="W2240" t="s">
        <v>66</v>
      </c>
      <c r="X2240">
        <v>7458420</v>
      </c>
      <c r="Y2240">
        <v>820426.2</v>
      </c>
      <c r="Z2240">
        <v>645372</v>
      </c>
      <c r="AA2240">
        <v>70990.92</v>
      </c>
      <c r="AB2240">
        <v>8278846.2000000002</v>
      </c>
      <c r="AC2240">
        <v>24</v>
      </c>
      <c r="AD2240" t="s">
        <v>82</v>
      </c>
      <c r="AE2240">
        <v>24</v>
      </c>
      <c r="AF2240" t="s">
        <v>306</v>
      </c>
      <c r="AG2240">
        <f>IFERROR(VLOOKUP(AF2240,[1]STOK!J:O,6,0),"")</f>
        <v>12</v>
      </c>
      <c r="AH2240" s="2">
        <f t="shared" si="68"/>
        <v>2</v>
      </c>
      <c r="AI2240" t="s">
        <v>306</v>
      </c>
      <c r="AJ2240" t="s">
        <v>307</v>
      </c>
      <c r="AK2240" t="s">
        <v>308</v>
      </c>
      <c r="AL2240" t="s">
        <v>86</v>
      </c>
      <c r="AM2240">
        <v>30303</v>
      </c>
      <c r="AN2240">
        <f t="shared" si="69"/>
        <v>29848.455000000002</v>
      </c>
      <c r="AO2240" t="s">
        <v>66</v>
      </c>
      <c r="AP2240">
        <v>1.5</v>
      </c>
      <c r="AQ2240" t="s">
        <v>66</v>
      </c>
      <c r="AR2240">
        <v>0</v>
      </c>
      <c r="AS2240" t="s">
        <v>66</v>
      </c>
      <c r="AT2240">
        <v>0</v>
      </c>
      <c r="AU2240" t="s">
        <v>66</v>
      </c>
      <c r="AV2240">
        <v>0</v>
      </c>
      <c r="AW2240" t="s">
        <v>66</v>
      </c>
      <c r="AX2240">
        <v>0</v>
      </c>
      <c r="AY2240" t="s">
        <v>66</v>
      </c>
      <c r="AZ2240">
        <v>0</v>
      </c>
      <c r="BA2240" t="s">
        <v>66</v>
      </c>
      <c r="BB2240">
        <v>0</v>
      </c>
      <c r="BC2240">
        <v>0</v>
      </c>
      <c r="BD2240">
        <v>716362.92</v>
      </c>
      <c r="BE2240">
        <v>24570.18</v>
      </c>
      <c r="BF2240">
        <v>0</v>
      </c>
      <c r="BG2240" t="s">
        <v>87</v>
      </c>
      <c r="BH2240" t="s">
        <v>2099</v>
      </c>
      <c r="BI2240">
        <v>24</v>
      </c>
      <c r="BJ2240" t="s">
        <v>158</v>
      </c>
      <c r="BK2240" t="s">
        <v>88</v>
      </c>
      <c r="BL2240" t="s">
        <v>66</v>
      </c>
      <c r="BM2240" t="s">
        <v>159</v>
      </c>
    </row>
    <row r="2241" spans="1:65" x14ac:dyDescent="0.25">
      <c r="A2241">
        <v>2239</v>
      </c>
      <c r="B2241" t="s">
        <v>2095</v>
      </c>
      <c r="C2241" t="s">
        <v>2096</v>
      </c>
      <c r="D2241" s="1">
        <v>46234</v>
      </c>
      <c r="E2241" t="s">
        <v>2097</v>
      </c>
      <c r="F2241" t="s">
        <v>2098</v>
      </c>
      <c r="G2241" t="s">
        <v>295</v>
      </c>
      <c r="H2241" t="s">
        <v>296</v>
      </c>
      <c r="I2241" t="s">
        <v>71</v>
      </c>
      <c r="J2241" t="s">
        <v>72</v>
      </c>
      <c r="K2241" t="s">
        <v>73</v>
      </c>
      <c r="L2241" t="s">
        <v>74</v>
      </c>
      <c r="M2241" t="s">
        <v>1134</v>
      </c>
      <c r="N2241" t="s">
        <v>111</v>
      </c>
      <c r="O2241" t="s">
        <v>1135</v>
      </c>
      <c r="P2241" t="s">
        <v>1136</v>
      </c>
      <c r="Q2241" t="s">
        <v>66</v>
      </c>
      <c r="R2241" s="1">
        <v>46234</v>
      </c>
      <c r="S2241" t="s">
        <v>1138</v>
      </c>
      <c r="T2241" t="s">
        <v>1139</v>
      </c>
      <c r="U2241" t="s">
        <v>1140</v>
      </c>
      <c r="V2241" t="s">
        <v>66</v>
      </c>
      <c r="W2241" t="s">
        <v>66</v>
      </c>
      <c r="X2241">
        <v>7458420</v>
      </c>
      <c r="Y2241">
        <v>820426.2</v>
      </c>
      <c r="Z2241">
        <v>645372</v>
      </c>
      <c r="AA2241">
        <v>70990.92</v>
      </c>
      <c r="AB2241">
        <v>8278846.2000000002</v>
      </c>
      <c r="AC2241">
        <v>24</v>
      </c>
      <c r="AD2241" t="s">
        <v>82</v>
      </c>
      <c r="AE2241">
        <v>24</v>
      </c>
      <c r="AF2241" t="s">
        <v>309</v>
      </c>
      <c r="AG2241">
        <f>IFERROR(VLOOKUP(AF2241,[1]STOK!J:O,6,0),"")</f>
        <v>12</v>
      </c>
      <c r="AH2241" s="2">
        <f t="shared" si="68"/>
        <v>2</v>
      </c>
      <c r="AI2241" t="s">
        <v>309</v>
      </c>
      <c r="AJ2241" t="s">
        <v>310</v>
      </c>
      <c r="AK2241" t="s">
        <v>311</v>
      </c>
      <c r="AL2241" t="s">
        <v>86</v>
      </c>
      <c r="AM2241">
        <v>30303</v>
      </c>
      <c r="AN2241">
        <f t="shared" si="69"/>
        <v>29848.455000000002</v>
      </c>
      <c r="AO2241" t="s">
        <v>66</v>
      </c>
      <c r="AP2241">
        <v>1.5</v>
      </c>
      <c r="AQ2241" t="s">
        <v>66</v>
      </c>
      <c r="AR2241">
        <v>0</v>
      </c>
      <c r="AS2241" t="s">
        <v>66</v>
      </c>
      <c r="AT2241">
        <v>0</v>
      </c>
      <c r="AU2241" t="s">
        <v>66</v>
      </c>
      <c r="AV2241">
        <v>0</v>
      </c>
      <c r="AW2241" t="s">
        <v>66</v>
      </c>
      <c r="AX2241">
        <v>0</v>
      </c>
      <c r="AY2241" t="s">
        <v>66</v>
      </c>
      <c r="AZ2241">
        <v>0</v>
      </c>
      <c r="BA2241" t="s">
        <v>66</v>
      </c>
      <c r="BB2241">
        <v>0</v>
      </c>
      <c r="BC2241">
        <v>0</v>
      </c>
      <c r="BD2241">
        <v>716362.92</v>
      </c>
      <c r="BE2241">
        <v>24620.85</v>
      </c>
      <c r="BF2241">
        <v>0</v>
      </c>
      <c r="BG2241" t="s">
        <v>87</v>
      </c>
      <c r="BH2241" t="s">
        <v>2099</v>
      </c>
      <c r="BI2241">
        <v>24</v>
      </c>
      <c r="BJ2241" t="s">
        <v>158</v>
      </c>
      <c r="BK2241" t="s">
        <v>88</v>
      </c>
      <c r="BL2241" t="s">
        <v>66</v>
      </c>
      <c r="BM2241" t="s">
        <v>159</v>
      </c>
    </row>
    <row r="2242" spans="1:65" x14ac:dyDescent="0.25">
      <c r="A2242">
        <v>2240</v>
      </c>
      <c r="B2242" t="s">
        <v>2095</v>
      </c>
      <c r="C2242" t="s">
        <v>2096</v>
      </c>
      <c r="D2242" s="1">
        <v>46234</v>
      </c>
      <c r="E2242" t="s">
        <v>2097</v>
      </c>
      <c r="F2242" t="s">
        <v>2098</v>
      </c>
      <c r="G2242" t="s">
        <v>295</v>
      </c>
      <c r="H2242" t="s">
        <v>296</v>
      </c>
      <c r="I2242" t="s">
        <v>71</v>
      </c>
      <c r="J2242" t="s">
        <v>72</v>
      </c>
      <c r="K2242" t="s">
        <v>73</v>
      </c>
      <c r="L2242" t="s">
        <v>74</v>
      </c>
      <c r="M2242" t="s">
        <v>1134</v>
      </c>
      <c r="N2242" t="s">
        <v>111</v>
      </c>
      <c r="O2242" t="s">
        <v>1135</v>
      </c>
      <c r="P2242" t="s">
        <v>1136</v>
      </c>
      <c r="Q2242" t="s">
        <v>66</v>
      </c>
      <c r="R2242" s="1">
        <v>46234</v>
      </c>
      <c r="S2242" t="s">
        <v>1138</v>
      </c>
      <c r="T2242" t="s">
        <v>1139</v>
      </c>
      <c r="U2242" t="s">
        <v>1140</v>
      </c>
      <c r="V2242" t="s">
        <v>66</v>
      </c>
      <c r="W2242" t="s">
        <v>66</v>
      </c>
      <c r="X2242">
        <v>7458420</v>
      </c>
      <c r="Y2242">
        <v>820426.2</v>
      </c>
      <c r="Z2242">
        <v>645372</v>
      </c>
      <c r="AA2242">
        <v>70990.92</v>
      </c>
      <c r="AB2242">
        <v>8278846.2000000002</v>
      </c>
      <c r="AC2242">
        <v>24</v>
      </c>
      <c r="AD2242" t="s">
        <v>82</v>
      </c>
      <c r="AE2242">
        <v>24</v>
      </c>
      <c r="AF2242" t="s">
        <v>563</v>
      </c>
      <c r="AG2242">
        <f>IFERROR(VLOOKUP(AF2242,[1]STOK!J:O,6,0),"")</f>
        <v>12</v>
      </c>
      <c r="AH2242" s="2">
        <f t="shared" si="68"/>
        <v>2</v>
      </c>
      <c r="AI2242" t="s">
        <v>563</v>
      </c>
      <c r="AJ2242" t="s">
        <v>564</v>
      </c>
      <c r="AK2242" t="s">
        <v>565</v>
      </c>
      <c r="AL2242" t="s">
        <v>86</v>
      </c>
      <c r="AM2242">
        <v>30303</v>
      </c>
      <c r="AN2242">
        <f t="shared" si="69"/>
        <v>29848.455000000002</v>
      </c>
      <c r="AO2242" t="s">
        <v>66</v>
      </c>
      <c r="AP2242">
        <v>1.5</v>
      </c>
      <c r="AQ2242" t="s">
        <v>66</v>
      </c>
      <c r="AR2242">
        <v>0</v>
      </c>
      <c r="AS2242" t="s">
        <v>66</v>
      </c>
      <c r="AT2242">
        <v>0</v>
      </c>
      <c r="AU2242" t="s">
        <v>66</v>
      </c>
      <c r="AV2242">
        <v>0</v>
      </c>
      <c r="AW2242" t="s">
        <v>66</v>
      </c>
      <c r="AX2242">
        <v>0</v>
      </c>
      <c r="AY2242" t="s">
        <v>66</v>
      </c>
      <c r="AZ2242">
        <v>0</v>
      </c>
      <c r="BA2242" t="s">
        <v>66</v>
      </c>
      <c r="BB2242">
        <v>0</v>
      </c>
      <c r="BC2242">
        <v>0</v>
      </c>
      <c r="BD2242">
        <v>716362.92</v>
      </c>
      <c r="BE2242">
        <v>24643.38</v>
      </c>
      <c r="BF2242">
        <v>0</v>
      </c>
      <c r="BG2242" t="s">
        <v>87</v>
      </c>
      <c r="BH2242" t="s">
        <v>2099</v>
      </c>
      <c r="BI2242">
        <v>24</v>
      </c>
      <c r="BJ2242" t="s">
        <v>158</v>
      </c>
      <c r="BK2242" t="s">
        <v>88</v>
      </c>
      <c r="BL2242" t="s">
        <v>66</v>
      </c>
      <c r="BM2242" t="s">
        <v>159</v>
      </c>
    </row>
    <row r="2243" spans="1:65" x14ac:dyDescent="0.25">
      <c r="A2243">
        <v>2241</v>
      </c>
      <c r="B2243" t="s">
        <v>2095</v>
      </c>
      <c r="C2243" t="s">
        <v>2096</v>
      </c>
      <c r="D2243" s="1">
        <v>46234</v>
      </c>
      <c r="E2243" t="s">
        <v>2097</v>
      </c>
      <c r="F2243" t="s">
        <v>2098</v>
      </c>
      <c r="G2243" t="s">
        <v>295</v>
      </c>
      <c r="H2243" t="s">
        <v>296</v>
      </c>
      <c r="I2243" t="s">
        <v>71</v>
      </c>
      <c r="J2243" t="s">
        <v>72</v>
      </c>
      <c r="K2243" t="s">
        <v>73</v>
      </c>
      <c r="L2243" t="s">
        <v>74</v>
      </c>
      <c r="M2243" t="s">
        <v>1134</v>
      </c>
      <c r="N2243" t="s">
        <v>111</v>
      </c>
      <c r="O2243" t="s">
        <v>1135</v>
      </c>
      <c r="P2243" t="s">
        <v>1136</v>
      </c>
      <c r="Q2243" t="s">
        <v>66</v>
      </c>
      <c r="R2243" s="1">
        <v>46234</v>
      </c>
      <c r="S2243" t="s">
        <v>1138</v>
      </c>
      <c r="T2243" t="s">
        <v>1139</v>
      </c>
      <c r="U2243" t="s">
        <v>1140</v>
      </c>
      <c r="V2243" t="s">
        <v>66</v>
      </c>
      <c r="W2243" t="s">
        <v>66</v>
      </c>
      <c r="X2243">
        <v>7458420</v>
      </c>
      <c r="Y2243">
        <v>820426.2</v>
      </c>
      <c r="Z2243">
        <v>458616</v>
      </c>
      <c r="AA2243">
        <v>50447.76</v>
      </c>
      <c r="AB2243">
        <v>8278846.2000000002</v>
      </c>
      <c r="AC2243">
        <v>24</v>
      </c>
      <c r="AD2243" t="s">
        <v>82</v>
      </c>
      <c r="AE2243">
        <v>24</v>
      </c>
      <c r="AF2243" t="s">
        <v>470</v>
      </c>
      <c r="AG2243">
        <f>IFERROR(VLOOKUP(AF2243,[1]STOK!J:O,6,0),"")</f>
        <v>24</v>
      </c>
      <c r="AH2243" s="2">
        <f t="shared" si="68"/>
        <v>1</v>
      </c>
      <c r="AI2243" t="s">
        <v>470</v>
      </c>
      <c r="AJ2243" t="s">
        <v>471</v>
      </c>
      <c r="AK2243" t="s">
        <v>472</v>
      </c>
      <c r="AL2243" t="s">
        <v>86</v>
      </c>
      <c r="AM2243">
        <v>21534</v>
      </c>
      <c r="AN2243">
        <f t="shared" si="69"/>
        <v>21210.99</v>
      </c>
      <c r="AO2243" t="s">
        <v>66</v>
      </c>
      <c r="AP2243">
        <v>1.5</v>
      </c>
      <c r="AQ2243" t="s">
        <v>66</v>
      </c>
      <c r="AR2243">
        <v>0</v>
      </c>
      <c r="AS2243" t="s">
        <v>66</v>
      </c>
      <c r="AT2243">
        <v>0</v>
      </c>
      <c r="AU2243" t="s">
        <v>66</v>
      </c>
      <c r="AV2243">
        <v>0</v>
      </c>
      <c r="AW2243" t="s">
        <v>66</v>
      </c>
      <c r="AX2243">
        <v>0</v>
      </c>
      <c r="AY2243" t="s">
        <v>66</v>
      </c>
      <c r="AZ2243">
        <v>0</v>
      </c>
      <c r="BA2243" t="s">
        <v>66</v>
      </c>
      <c r="BB2243">
        <v>0</v>
      </c>
      <c r="BC2243">
        <v>0</v>
      </c>
      <c r="BD2243">
        <v>509063.76</v>
      </c>
      <c r="BE2243">
        <v>17322.240000000002</v>
      </c>
      <c r="BF2243">
        <v>0</v>
      </c>
      <c r="BG2243" t="s">
        <v>87</v>
      </c>
      <c r="BH2243" t="s">
        <v>2099</v>
      </c>
      <c r="BI2243">
        <v>24</v>
      </c>
      <c r="BJ2243" t="s">
        <v>158</v>
      </c>
      <c r="BK2243" t="s">
        <v>88</v>
      </c>
      <c r="BL2243" t="s">
        <v>66</v>
      </c>
      <c r="BM2243" t="s">
        <v>159</v>
      </c>
    </row>
    <row r="2244" spans="1:65" x14ac:dyDescent="0.25">
      <c r="A2244">
        <v>2242</v>
      </c>
      <c r="B2244" t="s">
        <v>2095</v>
      </c>
      <c r="C2244" t="s">
        <v>2096</v>
      </c>
      <c r="D2244" s="1">
        <v>46234</v>
      </c>
      <c r="E2244" t="s">
        <v>2097</v>
      </c>
      <c r="F2244" t="s">
        <v>2098</v>
      </c>
      <c r="G2244" t="s">
        <v>295</v>
      </c>
      <c r="H2244" t="s">
        <v>296</v>
      </c>
      <c r="I2244" t="s">
        <v>71</v>
      </c>
      <c r="J2244" t="s">
        <v>72</v>
      </c>
      <c r="K2244" t="s">
        <v>73</v>
      </c>
      <c r="L2244" t="s">
        <v>74</v>
      </c>
      <c r="M2244" t="s">
        <v>1134</v>
      </c>
      <c r="N2244" t="s">
        <v>111</v>
      </c>
      <c r="O2244" t="s">
        <v>1135</v>
      </c>
      <c r="P2244" t="s">
        <v>1136</v>
      </c>
      <c r="Q2244" t="s">
        <v>66</v>
      </c>
      <c r="R2244" s="1">
        <v>46234</v>
      </c>
      <c r="S2244" t="s">
        <v>1138</v>
      </c>
      <c r="T2244" t="s">
        <v>1139</v>
      </c>
      <c r="U2244" t="s">
        <v>1140</v>
      </c>
      <c r="V2244" t="s">
        <v>66</v>
      </c>
      <c r="W2244" t="s">
        <v>66</v>
      </c>
      <c r="X2244">
        <v>7458420</v>
      </c>
      <c r="Y2244">
        <v>820426.2</v>
      </c>
      <c r="Z2244">
        <v>458616</v>
      </c>
      <c r="AA2244">
        <v>50447.76</v>
      </c>
      <c r="AB2244">
        <v>8278846.2000000002</v>
      </c>
      <c r="AC2244">
        <v>24</v>
      </c>
      <c r="AD2244" t="s">
        <v>82</v>
      </c>
      <c r="AE2244">
        <v>24</v>
      </c>
      <c r="AF2244" t="s">
        <v>287</v>
      </c>
      <c r="AG2244">
        <f>IFERROR(VLOOKUP(AF2244,[1]STOK!J:O,6,0),"")</f>
        <v>12</v>
      </c>
      <c r="AH2244" s="2">
        <f t="shared" ref="AH2244:AH2298" si="70">AE2244/AG2244</f>
        <v>2</v>
      </c>
      <c r="AI2244" t="s">
        <v>287</v>
      </c>
      <c r="AJ2244" t="s">
        <v>288</v>
      </c>
      <c r="AK2244" t="s">
        <v>289</v>
      </c>
      <c r="AL2244" t="s">
        <v>86</v>
      </c>
      <c r="AM2244">
        <v>21534</v>
      </c>
      <c r="AN2244">
        <f t="shared" ref="AN2244:AN2298" si="71">BD2244/AC2244</f>
        <v>21210.99</v>
      </c>
      <c r="AO2244" t="s">
        <v>66</v>
      </c>
      <c r="AP2244">
        <v>1.5</v>
      </c>
      <c r="AQ2244" t="s">
        <v>66</v>
      </c>
      <c r="AR2244">
        <v>0</v>
      </c>
      <c r="AS2244" t="s">
        <v>66</v>
      </c>
      <c r="AT2244">
        <v>0</v>
      </c>
      <c r="AU2244" t="s">
        <v>66</v>
      </c>
      <c r="AV2244">
        <v>0</v>
      </c>
      <c r="AW2244" t="s">
        <v>66</v>
      </c>
      <c r="AX2244">
        <v>0</v>
      </c>
      <c r="AY2244" t="s">
        <v>66</v>
      </c>
      <c r="AZ2244">
        <v>0</v>
      </c>
      <c r="BA2244" t="s">
        <v>66</v>
      </c>
      <c r="BB2244">
        <v>0</v>
      </c>
      <c r="BC2244">
        <v>0</v>
      </c>
      <c r="BD2244">
        <v>509063.76</v>
      </c>
      <c r="BE2244">
        <v>17377.759999999998</v>
      </c>
      <c r="BF2244">
        <v>0</v>
      </c>
      <c r="BG2244" t="s">
        <v>87</v>
      </c>
      <c r="BH2244" t="s">
        <v>2099</v>
      </c>
      <c r="BI2244">
        <v>24</v>
      </c>
      <c r="BJ2244" t="s">
        <v>158</v>
      </c>
      <c r="BK2244" t="s">
        <v>88</v>
      </c>
      <c r="BL2244" t="s">
        <v>66</v>
      </c>
      <c r="BM2244" t="s">
        <v>159</v>
      </c>
    </row>
    <row r="2245" spans="1:65" x14ac:dyDescent="0.25">
      <c r="A2245">
        <v>2243</v>
      </c>
      <c r="B2245" t="s">
        <v>2095</v>
      </c>
      <c r="C2245" t="s">
        <v>2096</v>
      </c>
      <c r="D2245" s="1">
        <v>46234</v>
      </c>
      <c r="E2245" t="s">
        <v>2097</v>
      </c>
      <c r="F2245" t="s">
        <v>2098</v>
      </c>
      <c r="G2245" t="s">
        <v>295</v>
      </c>
      <c r="H2245" t="s">
        <v>296</v>
      </c>
      <c r="I2245" t="s">
        <v>71</v>
      </c>
      <c r="J2245" t="s">
        <v>72</v>
      </c>
      <c r="K2245" t="s">
        <v>73</v>
      </c>
      <c r="L2245" t="s">
        <v>74</v>
      </c>
      <c r="M2245" t="s">
        <v>1134</v>
      </c>
      <c r="N2245" t="s">
        <v>111</v>
      </c>
      <c r="O2245" t="s">
        <v>1135</v>
      </c>
      <c r="P2245" t="s">
        <v>1136</v>
      </c>
      <c r="Q2245" t="s">
        <v>66</v>
      </c>
      <c r="R2245" s="1">
        <v>46234</v>
      </c>
      <c r="S2245" t="s">
        <v>1138</v>
      </c>
      <c r="T2245" t="s">
        <v>1139</v>
      </c>
      <c r="U2245" t="s">
        <v>1140</v>
      </c>
      <c r="V2245" t="s">
        <v>66</v>
      </c>
      <c r="W2245" t="s">
        <v>66</v>
      </c>
      <c r="X2245">
        <v>7458420</v>
      </c>
      <c r="Y2245">
        <v>820426.2</v>
      </c>
      <c r="Z2245">
        <v>99288</v>
      </c>
      <c r="AA2245">
        <v>10921.68</v>
      </c>
      <c r="AB2245">
        <v>8278846.2000000002</v>
      </c>
      <c r="AC2245">
        <v>24</v>
      </c>
      <c r="AD2245" t="s">
        <v>82</v>
      </c>
      <c r="AE2245">
        <v>24</v>
      </c>
      <c r="AF2245" t="s">
        <v>131</v>
      </c>
      <c r="AG2245">
        <f>IFERROR(VLOOKUP(AF2245,[1]STOK!J:O,6,0),"")</f>
        <v>24</v>
      </c>
      <c r="AH2245" s="2">
        <f t="shared" si="70"/>
        <v>1</v>
      </c>
      <c r="AI2245" t="s">
        <v>131</v>
      </c>
      <c r="AJ2245" t="s">
        <v>132</v>
      </c>
      <c r="AK2245" t="s">
        <v>133</v>
      </c>
      <c r="AL2245" t="s">
        <v>86</v>
      </c>
      <c r="AM2245">
        <v>4662</v>
      </c>
      <c r="AN2245">
        <f t="shared" si="71"/>
        <v>4592.07</v>
      </c>
      <c r="AO2245" t="s">
        <v>66</v>
      </c>
      <c r="AP2245">
        <v>1.5</v>
      </c>
      <c r="AQ2245" t="s">
        <v>66</v>
      </c>
      <c r="AR2245">
        <v>0</v>
      </c>
      <c r="AS2245" t="s">
        <v>66</v>
      </c>
      <c r="AT2245">
        <v>0</v>
      </c>
      <c r="AU2245" t="s">
        <v>66</v>
      </c>
      <c r="AV2245">
        <v>0</v>
      </c>
      <c r="AW2245" t="s">
        <v>66</v>
      </c>
      <c r="AX2245">
        <v>0</v>
      </c>
      <c r="AY2245" t="s">
        <v>66</v>
      </c>
      <c r="AZ2245">
        <v>0</v>
      </c>
      <c r="BA2245" t="s">
        <v>66</v>
      </c>
      <c r="BB2245">
        <v>0</v>
      </c>
      <c r="BC2245">
        <v>0</v>
      </c>
      <c r="BD2245">
        <v>110209.68</v>
      </c>
      <c r="BE2245">
        <v>3751.12</v>
      </c>
      <c r="BF2245">
        <v>0</v>
      </c>
      <c r="BG2245" t="s">
        <v>87</v>
      </c>
      <c r="BH2245" t="s">
        <v>2099</v>
      </c>
      <c r="BI2245">
        <v>24</v>
      </c>
      <c r="BJ2245" t="s">
        <v>158</v>
      </c>
      <c r="BK2245" t="s">
        <v>88</v>
      </c>
      <c r="BL2245" t="s">
        <v>66</v>
      </c>
      <c r="BM2245" t="s">
        <v>159</v>
      </c>
    </row>
    <row r="2246" spans="1:65" x14ac:dyDescent="0.25">
      <c r="A2246">
        <v>2244</v>
      </c>
      <c r="B2246" t="s">
        <v>2095</v>
      </c>
      <c r="C2246" t="s">
        <v>2096</v>
      </c>
      <c r="D2246" s="1">
        <v>46234</v>
      </c>
      <c r="E2246" t="s">
        <v>2097</v>
      </c>
      <c r="F2246" t="s">
        <v>2098</v>
      </c>
      <c r="G2246" t="s">
        <v>295</v>
      </c>
      <c r="H2246" t="s">
        <v>296</v>
      </c>
      <c r="I2246" t="s">
        <v>71</v>
      </c>
      <c r="J2246" t="s">
        <v>72</v>
      </c>
      <c r="K2246" t="s">
        <v>73</v>
      </c>
      <c r="L2246" t="s">
        <v>74</v>
      </c>
      <c r="M2246" t="s">
        <v>1134</v>
      </c>
      <c r="N2246" t="s">
        <v>111</v>
      </c>
      <c r="O2246" t="s">
        <v>1135</v>
      </c>
      <c r="P2246" t="s">
        <v>1136</v>
      </c>
      <c r="Q2246" t="s">
        <v>66</v>
      </c>
      <c r="R2246" s="1">
        <v>46234</v>
      </c>
      <c r="S2246" t="s">
        <v>1138</v>
      </c>
      <c r="T2246" t="s">
        <v>1139</v>
      </c>
      <c r="U2246" t="s">
        <v>1140</v>
      </c>
      <c r="V2246" t="s">
        <v>66</v>
      </c>
      <c r="W2246" t="s">
        <v>66</v>
      </c>
      <c r="X2246">
        <v>7458420</v>
      </c>
      <c r="Y2246">
        <v>820426.2</v>
      </c>
      <c r="Z2246">
        <v>317958</v>
      </c>
      <c r="AA2246">
        <v>34975.379999999997</v>
      </c>
      <c r="AB2246">
        <v>8278846.2000000002</v>
      </c>
      <c r="AC2246">
        <v>6</v>
      </c>
      <c r="AD2246" t="s">
        <v>82</v>
      </c>
      <c r="AE2246">
        <v>6</v>
      </c>
      <c r="AF2246" t="s">
        <v>525</v>
      </c>
      <c r="AG2246">
        <f>IFERROR(VLOOKUP(AF2246,[1]STOK!J:O,6,0),"")</f>
        <v>6</v>
      </c>
      <c r="AH2246" s="2">
        <f t="shared" si="70"/>
        <v>1</v>
      </c>
      <c r="AI2246" t="s">
        <v>525</v>
      </c>
      <c r="AJ2246" t="s">
        <v>526</v>
      </c>
      <c r="AK2246" t="s">
        <v>527</v>
      </c>
      <c r="AL2246" t="s">
        <v>86</v>
      </c>
      <c r="AM2246">
        <v>59718</v>
      </c>
      <c r="AN2246">
        <f t="shared" si="71"/>
        <v>58822.23</v>
      </c>
      <c r="AO2246" t="s">
        <v>66</v>
      </c>
      <c r="AP2246">
        <v>1.5</v>
      </c>
      <c r="AQ2246" t="s">
        <v>66</v>
      </c>
      <c r="AR2246">
        <v>0</v>
      </c>
      <c r="AS2246" t="s">
        <v>66</v>
      </c>
      <c r="AT2246">
        <v>0</v>
      </c>
      <c r="AU2246" t="s">
        <v>66</v>
      </c>
      <c r="AV2246">
        <v>0</v>
      </c>
      <c r="AW2246" t="s">
        <v>66</v>
      </c>
      <c r="AX2246">
        <v>0</v>
      </c>
      <c r="AY2246" t="s">
        <v>66</v>
      </c>
      <c r="AZ2246">
        <v>0</v>
      </c>
      <c r="BA2246" t="s">
        <v>66</v>
      </c>
      <c r="BB2246">
        <v>0</v>
      </c>
      <c r="BC2246">
        <v>0</v>
      </c>
      <c r="BD2246">
        <v>352933.38</v>
      </c>
      <c r="BE2246">
        <v>46997.73</v>
      </c>
      <c r="BF2246">
        <v>0</v>
      </c>
      <c r="BG2246" t="s">
        <v>87</v>
      </c>
      <c r="BH2246" t="s">
        <v>2099</v>
      </c>
      <c r="BI2246">
        <v>6</v>
      </c>
      <c r="BJ2246" t="s">
        <v>158</v>
      </c>
      <c r="BK2246" t="s">
        <v>88</v>
      </c>
      <c r="BL2246" t="s">
        <v>66</v>
      </c>
      <c r="BM2246" t="s">
        <v>159</v>
      </c>
    </row>
    <row r="2247" spans="1:65" x14ac:dyDescent="0.25">
      <c r="A2247">
        <v>2245</v>
      </c>
      <c r="B2247" t="s">
        <v>2095</v>
      </c>
      <c r="C2247" t="s">
        <v>2096</v>
      </c>
      <c r="D2247" s="1">
        <v>46234</v>
      </c>
      <c r="E2247" t="s">
        <v>2097</v>
      </c>
      <c r="F2247" t="s">
        <v>2098</v>
      </c>
      <c r="G2247" t="s">
        <v>295</v>
      </c>
      <c r="H2247" t="s">
        <v>296</v>
      </c>
      <c r="I2247" t="s">
        <v>71</v>
      </c>
      <c r="J2247" t="s">
        <v>72</v>
      </c>
      <c r="K2247" t="s">
        <v>73</v>
      </c>
      <c r="L2247" t="s">
        <v>74</v>
      </c>
      <c r="M2247" t="s">
        <v>1134</v>
      </c>
      <c r="N2247" t="s">
        <v>111</v>
      </c>
      <c r="O2247" t="s">
        <v>1135</v>
      </c>
      <c r="P2247" t="s">
        <v>1136</v>
      </c>
      <c r="Q2247" t="s">
        <v>66</v>
      </c>
      <c r="R2247" s="1">
        <v>46234</v>
      </c>
      <c r="S2247" t="s">
        <v>1138</v>
      </c>
      <c r="T2247" t="s">
        <v>1139</v>
      </c>
      <c r="U2247" t="s">
        <v>1140</v>
      </c>
      <c r="V2247" t="s">
        <v>66</v>
      </c>
      <c r="W2247" t="s">
        <v>66</v>
      </c>
      <c r="X2247">
        <v>7458420</v>
      </c>
      <c r="Y2247">
        <v>820426.2</v>
      </c>
      <c r="Z2247">
        <v>1063800</v>
      </c>
      <c r="AA2247">
        <v>117018</v>
      </c>
      <c r="AB2247">
        <v>8278846.2000000002</v>
      </c>
      <c r="AC2247">
        <v>60</v>
      </c>
      <c r="AD2247" t="s">
        <v>82</v>
      </c>
      <c r="AE2247">
        <v>60</v>
      </c>
      <c r="AF2247" t="s">
        <v>290</v>
      </c>
      <c r="AG2247">
        <f>IFERROR(VLOOKUP(AF2247,[1]STOK!J:O,6,0),"")</f>
        <v>12</v>
      </c>
      <c r="AH2247" s="2">
        <f t="shared" si="70"/>
        <v>5</v>
      </c>
      <c r="AI2247" t="s">
        <v>290</v>
      </c>
      <c r="AJ2247" t="s">
        <v>291</v>
      </c>
      <c r="AK2247" t="s">
        <v>292</v>
      </c>
      <c r="AL2247" t="s">
        <v>86</v>
      </c>
      <c r="AM2247">
        <v>22200</v>
      </c>
      <c r="AN2247">
        <f t="shared" si="71"/>
        <v>19680.3</v>
      </c>
      <c r="AO2247" t="s">
        <v>66</v>
      </c>
      <c r="AP2247">
        <v>1.5</v>
      </c>
      <c r="AQ2247" t="s">
        <v>66</v>
      </c>
      <c r="AR2247">
        <v>0</v>
      </c>
      <c r="AS2247" t="s">
        <v>66</v>
      </c>
      <c r="AT2247">
        <v>0</v>
      </c>
      <c r="AU2247" t="s">
        <v>66</v>
      </c>
      <c r="AV2247">
        <v>10</v>
      </c>
      <c r="AW2247" t="s">
        <v>66</v>
      </c>
      <c r="AX2247">
        <v>0</v>
      </c>
      <c r="AY2247" t="s">
        <v>66</v>
      </c>
      <c r="AZ2247">
        <v>0</v>
      </c>
      <c r="BA2247" t="s">
        <v>66</v>
      </c>
      <c r="BB2247">
        <v>0</v>
      </c>
      <c r="BC2247">
        <v>0</v>
      </c>
      <c r="BD2247">
        <v>1180818</v>
      </c>
      <c r="BE2247">
        <v>18113.71</v>
      </c>
      <c r="BF2247">
        <v>0</v>
      </c>
      <c r="BG2247" t="s">
        <v>87</v>
      </c>
      <c r="BH2247" t="s">
        <v>2099</v>
      </c>
      <c r="BI2247">
        <v>60</v>
      </c>
      <c r="BJ2247" t="s">
        <v>158</v>
      </c>
      <c r="BK2247" t="s">
        <v>88</v>
      </c>
      <c r="BL2247" t="s">
        <v>66</v>
      </c>
      <c r="BM2247" t="s">
        <v>159</v>
      </c>
    </row>
    <row r="2248" spans="1:65" x14ac:dyDescent="0.25">
      <c r="A2248">
        <v>2246</v>
      </c>
      <c r="B2248" t="s">
        <v>2095</v>
      </c>
      <c r="C2248" t="s">
        <v>2096</v>
      </c>
      <c r="D2248" s="1">
        <v>46234</v>
      </c>
      <c r="E2248" t="s">
        <v>2097</v>
      </c>
      <c r="F2248" t="s">
        <v>2098</v>
      </c>
      <c r="G2248" t="s">
        <v>295</v>
      </c>
      <c r="H2248" t="s">
        <v>296</v>
      </c>
      <c r="I2248" t="s">
        <v>71</v>
      </c>
      <c r="J2248" t="s">
        <v>72</v>
      </c>
      <c r="K2248" t="s">
        <v>73</v>
      </c>
      <c r="L2248" t="s">
        <v>74</v>
      </c>
      <c r="M2248" t="s">
        <v>1134</v>
      </c>
      <c r="N2248" t="s">
        <v>111</v>
      </c>
      <c r="O2248" t="s">
        <v>1135</v>
      </c>
      <c r="P2248" t="s">
        <v>1136</v>
      </c>
      <c r="Q2248" t="s">
        <v>66</v>
      </c>
      <c r="R2248" s="1">
        <v>46234</v>
      </c>
      <c r="S2248" t="s">
        <v>1138</v>
      </c>
      <c r="T2248" t="s">
        <v>1139</v>
      </c>
      <c r="U2248" t="s">
        <v>1140</v>
      </c>
      <c r="V2248" t="s">
        <v>66</v>
      </c>
      <c r="W2248" t="s">
        <v>66</v>
      </c>
      <c r="X2248">
        <v>7458420</v>
      </c>
      <c r="Y2248">
        <v>820426.2</v>
      </c>
      <c r="Z2248">
        <v>340416</v>
      </c>
      <c r="AA2248">
        <v>37445.760000000002</v>
      </c>
      <c r="AB2248">
        <v>8278846.2000000002</v>
      </c>
      <c r="AC2248">
        <v>24</v>
      </c>
      <c r="AD2248" t="s">
        <v>82</v>
      </c>
      <c r="AE2248">
        <v>24</v>
      </c>
      <c r="AF2248" t="s">
        <v>141</v>
      </c>
      <c r="AG2248">
        <f>IFERROR(VLOOKUP(AF2248,[1]STOK!J:O,6,0),"")</f>
        <v>12</v>
      </c>
      <c r="AH2248" s="2">
        <f t="shared" si="70"/>
        <v>2</v>
      </c>
      <c r="AI2248" t="s">
        <v>141</v>
      </c>
      <c r="AJ2248" t="s">
        <v>142</v>
      </c>
      <c r="AK2248" t="s">
        <v>143</v>
      </c>
      <c r="AL2248" t="s">
        <v>86</v>
      </c>
      <c r="AM2248">
        <v>15984</v>
      </c>
      <c r="AN2248">
        <f t="shared" si="71"/>
        <v>15744.24</v>
      </c>
      <c r="AO2248" t="s">
        <v>66</v>
      </c>
      <c r="AP2248">
        <v>1.5</v>
      </c>
      <c r="AQ2248" t="s">
        <v>66</v>
      </c>
      <c r="AR2248">
        <v>0</v>
      </c>
      <c r="AS2248" t="s">
        <v>66</v>
      </c>
      <c r="AT2248">
        <v>0</v>
      </c>
      <c r="AU2248" t="s">
        <v>66</v>
      </c>
      <c r="AV2248">
        <v>0</v>
      </c>
      <c r="AW2248" t="s">
        <v>66</v>
      </c>
      <c r="AX2248">
        <v>0</v>
      </c>
      <c r="AY2248" t="s">
        <v>66</v>
      </c>
      <c r="AZ2248">
        <v>0</v>
      </c>
      <c r="BA2248" t="s">
        <v>66</v>
      </c>
      <c r="BB2248">
        <v>0</v>
      </c>
      <c r="BC2248">
        <v>0</v>
      </c>
      <c r="BD2248">
        <v>377861.76</v>
      </c>
      <c r="BE2248">
        <v>13029.29</v>
      </c>
      <c r="BF2248">
        <v>0</v>
      </c>
      <c r="BG2248" t="s">
        <v>87</v>
      </c>
      <c r="BH2248" t="s">
        <v>2099</v>
      </c>
      <c r="BI2248">
        <v>24</v>
      </c>
      <c r="BJ2248" t="s">
        <v>158</v>
      </c>
      <c r="BK2248" t="s">
        <v>88</v>
      </c>
      <c r="BL2248" t="s">
        <v>66</v>
      </c>
      <c r="BM2248" t="s">
        <v>159</v>
      </c>
    </row>
    <row r="2249" spans="1:65" x14ac:dyDescent="0.25">
      <c r="A2249">
        <v>2247</v>
      </c>
      <c r="B2249" t="s">
        <v>2100</v>
      </c>
      <c r="C2249" t="s">
        <v>68</v>
      </c>
      <c r="D2249" s="1">
        <v>46234</v>
      </c>
      <c r="E2249" t="s">
        <v>2101</v>
      </c>
      <c r="F2249" t="s">
        <v>68</v>
      </c>
      <c r="G2249" t="s">
        <v>69</v>
      </c>
      <c r="H2249" t="s">
        <v>70</v>
      </c>
      <c r="I2249" t="s">
        <v>71</v>
      </c>
      <c r="J2249" t="s">
        <v>72</v>
      </c>
      <c r="K2249" t="s">
        <v>73</v>
      </c>
      <c r="L2249" t="s">
        <v>74</v>
      </c>
      <c r="M2249" t="s">
        <v>820</v>
      </c>
      <c r="N2249" t="s">
        <v>111</v>
      </c>
      <c r="O2249" t="s">
        <v>821</v>
      </c>
      <c r="P2249" t="s">
        <v>822</v>
      </c>
      <c r="Q2249" t="s">
        <v>66</v>
      </c>
      <c r="R2249" s="1">
        <v>46234</v>
      </c>
      <c r="S2249" t="s">
        <v>824</v>
      </c>
      <c r="T2249" t="s">
        <v>825</v>
      </c>
      <c r="U2249" t="s">
        <v>826</v>
      </c>
      <c r="V2249" t="s">
        <v>66</v>
      </c>
      <c r="W2249" t="s">
        <v>66</v>
      </c>
      <c r="X2249">
        <v>7284863</v>
      </c>
      <c r="Y2249">
        <v>801334.93</v>
      </c>
      <c r="Z2249">
        <v>46689</v>
      </c>
      <c r="AA2249">
        <v>5135.79</v>
      </c>
      <c r="AB2249">
        <v>8086197.9299999997</v>
      </c>
      <c r="AC2249">
        <v>6</v>
      </c>
      <c r="AD2249" t="s">
        <v>82</v>
      </c>
      <c r="AE2249">
        <v>6</v>
      </c>
      <c r="AF2249" t="s">
        <v>248</v>
      </c>
      <c r="AG2249">
        <f>IFERROR(VLOOKUP(AF2249,[1]STOK!J:O,6,0),"")</f>
        <v>24</v>
      </c>
      <c r="AH2249" s="2">
        <f t="shared" si="70"/>
        <v>0.25</v>
      </c>
      <c r="AI2249" t="s">
        <v>248</v>
      </c>
      <c r="AJ2249" t="s">
        <v>249</v>
      </c>
      <c r="AK2249" t="s">
        <v>250</v>
      </c>
      <c r="AL2249" t="s">
        <v>86</v>
      </c>
      <c r="AM2249">
        <v>8769</v>
      </c>
      <c r="AN2249">
        <f t="shared" si="71"/>
        <v>8637.4650000000001</v>
      </c>
      <c r="AO2249" t="s">
        <v>66</v>
      </c>
      <c r="AP2249">
        <v>1.5</v>
      </c>
      <c r="AQ2249" t="s">
        <v>66</v>
      </c>
      <c r="AR2249">
        <v>0</v>
      </c>
      <c r="AS2249" t="s">
        <v>66</v>
      </c>
      <c r="AT2249">
        <v>0</v>
      </c>
      <c r="AU2249" t="s">
        <v>66</v>
      </c>
      <c r="AV2249">
        <v>0</v>
      </c>
      <c r="AW2249" t="s">
        <v>66</v>
      </c>
      <c r="AX2249">
        <v>0</v>
      </c>
      <c r="AY2249" t="s">
        <v>66</v>
      </c>
      <c r="AZ2249">
        <v>0</v>
      </c>
      <c r="BA2249" t="s">
        <v>66</v>
      </c>
      <c r="BB2249">
        <v>0</v>
      </c>
      <c r="BC2249">
        <v>0</v>
      </c>
      <c r="BD2249">
        <v>51824.79</v>
      </c>
      <c r="BE2249">
        <v>7043.22</v>
      </c>
      <c r="BF2249">
        <v>0</v>
      </c>
      <c r="BG2249" t="s">
        <v>87</v>
      </c>
      <c r="BH2249" t="s">
        <v>66</v>
      </c>
      <c r="BI2249">
        <v>0</v>
      </c>
      <c r="BJ2249" t="s">
        <v>66</v>
      </c>
      <c r="BK2249" t="s">
        <v>88</v>
      </c>
      <c r="BL2249" t="s">
        <v>66</v>
      </c>
      <c r="BM2249" t="s">
        <v>159</v>
      </c>
    </row>
    <row r="2250" spans="1:65" x14ac:dyDescent="0.25">
      <c r="A2250">
        <v>2248</v>
      </c>
      <c r="B2250" t="s">
        <v>2100</v>
      </c>
      <c r="C2250" t="s">
        <v>68</v>
      </c>
      <c r="D2250" s="1">
        <v>46234</v>
      </c>
      <c r="E2250" t="s">
        <v>2101</v>
      </c>
      <c r="F2250" t="s">
        <v>68</v>
      </c>
      <c r="G2250" t="s">
        <v>69</v>
      </c>
      <c r="H2250" t="s">
        <v>70</v>
      </c>
      <c r="I2250" t="s">
        <v>71</v>
      </c>
      <c r="J2250" t="s">
        <v>72</v>
      </c>
      <c r="K2250" t="s">
        <v>73</v>
      </c>
      <c r="L2250" t="s">
        <v>74</v>
      </c>
      <c r="M2250" t="s">
        <v>820</v>
      </c>
      <c r="N2250" t="s">
        <v>111</v>
      </c>
      <c r="O2250" t="s">
        <v>821</v>
      </c>
      <c r="P2250" t="s">
        <v>822</v>
      </c>
      <c r="Q2250" t="s">
        <v>66</v>
      </c>
      <c r="R2250" s="1">
        <v>46234</v>
      </c>
      <c r="S2250" t="s">
        <v>824</v>
      </c>
      <c r="T2250" t="s">
        <v>825</v>
      </c>
      <c r="U2250" t="s">
        <v>826</v>
      </c>
      <c r="V2250" t="s">
        <v>66</v>
      </c>
      <c r="W2250" t="s">
        <v>66</v>
      </c>
      <c r="X2250">
        <v>7284863</v>
      </c>
      <c r="Y2250">
        <v>801334.93</v>
      </c>
      <c r="Z2250">
        <v>33687</v>
      </c>
      <c r="AA2250">
        <v>3705.57</v>
      </c>
      <c r="AB2250">
        <v>8086197.9299999997</v>
      </c>
      <c r="AC2250">
        <v>6</v>
      </c>
      <c r="AD2250" t="s">
        <v>82</v>
      </c>
      <c r="AE2250">
        <v>6</v>
      </c>
      <c r="AF2250" t="s">
        <v>202</v>
      </c>
      <c r="AG2250">
        <f>IFERROR(VLOOKUP(AF2250,[1]STOK!J:O,6,0),"")</f>
        <v>48</v>
      </c>
      <c r="AH2250" s="2">
        <f t="shared" si="70"/>
        <v>0.125</v>
      </c>
      <c r="AI2250" t="s">
        <v>202</v>
      </c>
      <c r="AJ2250" t="s">
        <v>203</v>
      </c>
      <c r="AK2250" t="s">
        <v>204</v>
      </c>
      <c r="AL2250" t="s">
        <v>86</v>
      </c>
      <c r="AM2250">
        <v>6327</v>
      </c>
      <c r="AN2250">
        <f t="shared" si="71"/>
        <v>6232.0950000000003</v>
      </c>
      <c r="AO2250" t="s">
        <v>66</v>
      </c>
      <c r="AP2250">
        <v>1.5</v>
      </c>
      <c r="AQ2250" t="s">
        <v>66</v>
      </c>
      <c r="AR2250">
        <v>0</v>
      </c>
      <c r="AS2250" t="s">
        <v>66</v>
      </c>
      <c r="AT2250">
        <v>0</v>
      </c>
      <c r="AU2250" t="s">
        <v>66</v>
      </c>
      <c r="AV2250">
        <v>0</v>
      </c>
      <c r="AW2250" t="s">
        <v>66</v>
      </c>
      <c r="AX2250">
        <v>0</v>
      </c>
      <c r="AY2250" t="s">
        <v>66</v>
      </c>
      <c r="AZ2250">
        <v>0</v>
      </c>
      <c r="BA2250" t="s">
        <v>66</v>
      </c>
      <c r="BB2250">
        <v>0</v>
      </c>
      <c r="BC2250">
        <v>0</v>
      </c>
      <c r="BD2250">
        <v>37392.57</v>
      </c>
      <c r="BE2250">
        <v>5039.6099999999997</v>
      </c>
      <c r="BF2250">
        <v>0</v>
      </c>
      <c r="BG2250" t="s">
        <v>87</v>
      </c>
      <c r="BH2250" t="s">
        <v>66</v>
      </c>
      <c r="BI2250">
        <v>0</v>
      </c>
      <c r="BJ2250" t="s">
        <v>66</v>
      </c>
      <c r="BK2250" t="s">
        <v>88</v>
      </c>
      <c r="BL2250" t="s">
        <v>66</v>
      </c>
      <c r="BM2250" t="s">
        <v>159</v>
      </c>
    </row>
    <row r="2251" spans="1:65" x14ac:dyDescent="0.25">
      <c r="A2251">
        <v>2249</v>
      </c>
      <c r="B2251" t="s">
        <v>2100</v>
      </c>
      <c r="C2251" t="s">
        <v>68</v>
      </c>
      <c r="D2251" s="1">
        <v>46234</v>
      </c>
      <c r="E2251" t="s">
        <v>2101</v>
      </c>
      <c r="F2251" t="s">
        <v>68</v>
      </c>
      <c r="G2251" t="s">
        <v>69</v>
      </c>
      <c r="H2251" t="s">
        <v>70</v>
      </c>
      <c r="I2251" t="s">
        <v>71</v>
      </c>
      <c r="J2251" t="s">
        <v>72</v>
      </c>
      <c r="K2251" t="s">
        <v>73</v>
      </c>
      <c r="L2251" t="s">
        <v>74</v>
      </c>
      <c r="M2251" t="s">
        <v>820</v>
      </c>
      <c r="N2251" t="s">
        <v>111</v>
      </c>
      <c r="O2251" t="s">
        <v>821</v>
      </c>
      <c r="P2251" t="s">
        <v>822</v>
      </c>
      <c r="Q2251" t="s">
        <v>66</v>
      </c>
      <c r="R2251" s="1">
        <v>46234</v>
      </c>
      <c r="S2251" t="s">
        <v>824</v>
      </c>
      <c r="T2251" t="s">
        <v>825</v>
      </c>
      <c r="U2251" t="s">
        <v>826</v>
      </c>
      <c r="V2251" t="s">
        <v>66</v>
      </c>
      <c r="W2251" t="s">
        <v>66</v>
      </c>
      <c r="X2251">
        <v>7284863</v>
      </c>
      <c r="Y2251">
        <v>801334.93</v>
      </c>
      <c r="Z2251">
        <v>390060</v>
      </c>
      <c r="AA2251">
        <v>42906.6</v>
      </c>
      <c r="AB2251">
        <v>8086197.9299999997</v>
      </c>
      <c r="AC2251">
        <v>1</v>
      </c>
      <c r="AD2251" t="s">
        <v>134</v>
      </c>
      <c r="AE2251">
        <v>24</v>
      </c>
      <c r="AF2251" t="s">
        <v>205</v>
      </c>
      <c r="AG2251">
        <f>IFERROR(VLOOKUP(AF2251,[1]STOK!J:O,6,0),"")</f>
        <v>24</v>
      </c>
      <c r="AH2251" s="2">
        <f t="shared" si="70"/>
        <v>1</v>
      </c>
      <c r="AI2251" t="s">
        <v>205</v>
      </c>
      <c r="AJ2251" t="s">
        <v>206</v>
      </c>
      <c r="AK2251" t="s">
        <v>207</v>
      </c>
      <c r="AL2251" t="s">
        <v>86</v>
      </c>
      <c r="AM2251">
        <v>439560</v>
      </c>
      <c r="AN2251">
        <f t="shared" si="71"/>
        <v>432966.6</v>
      </c>
      <c r="AO2251" t="s">
        <v>66</v>
      </c>
      <c r="AP2251">
        <v>1.5</v>
      </c>
      <c r="AQ2251" t="s">
        <v>66</v>
      </c>
      <c r="AR2251">
        <v>0</v>
      </c>
      <c r="AS2251" t="s">
        <v>66</v>
      </c>
      <c r="AT2251">
        <v>0</v>
      </c>
      <c r="AU2251" t="s">
        <v>66</v>
      </c>
      <c r="AV2251">
        <v>0</v>
      </c>
      <c r="AW2251" t="s">
        <v>66</v>
      </c>
      <c r="AX2251">
        <v>0</v>
      </c>
      <c r="AY2251" t="s">
        <v>66</v>
      </c>
      <c r="AZ2251">
        <v>0</v>
      </c>
      <c r="BA2251" t="s">
        <v>66</v>
      </c>
      <c r="BB2251">
        <v>0</v>
      </c>
      <c r="BC2251">
        <v>0</v>
      </c>
      <c r="BD2251">
        <v>432966.6</v>
      </c>
      <c r="BE2251">
        <v>14893.33</v>
      </c>
      <c r="BF2251">
        <v>0</v>
      </c>
      <c r="BG2251" t="s">
        <v>87</v>
      </c>
      <c r="BH2251" t="s">
        <v>66</v>
      </c>
      <c r="BI2251">
        <v>0</v>
      </c>
      <c r="BJ2251" t="s">
        <v>66</v>
      </c>
      <c r="BK2251" t="s">
        <v>88</v>
      </c>
      <c r="BL2251" t="s">
        <v>66</v>
      </c>
      <c r="BM2251" t="s">
        <v>159</v>
      </c>
    </row>
    <row r="2252" spans="1:65" x14ac:dyDescent="0.25">
      <c r="A2252">
        <v>2250</v>
      </c>
      <c r="B2252" t="s">
        <v>2100</v>
      </c>
      <c r="C2252" t="s">
        <v>68</v>
      </c>
      <c r="D2252" s="1">
        <v>46234</v>
      </c>
      <c r="E2252" t="s">
        <v>2101</v>
      </c>
      <c r="F2252" t="s">
        <v>68</v>
      </c>
      <c r="G2252" t="s">
        <v>69</v>
      </c>
      <c r="H2252" t="s">
        <v>70</v>
      </c>
      <c r="I2252" t="s">
        <v>71</v>
      </c>
      <c r="J2252" t="s">
        <v>72</v>
      </c>
      <c r="K2252" t="s">
        <v>73</v>
      </c>
      <c r="L2252" t="s">
        <v>74</v>
      </c>
      <c r="M2252" t="s">
        <v>820</v>
      </c>
      <c r="N2252" t="s">
        <v>111</v>
      </c>
      <c r="O2252" t="s">
        <v>821</v>
      </c>
      <c r="P2252" t="s">
        <v>822</v>
      </c>
      <c r="Q2252" t="s">
        <v>66</v>
      </c>
      <c r="R2252" s="1">
        <v>46234</v>
      </c>
      <c r="S2252" t="s">
        <v>824</v>
      </c>
      <c r="T2252" t="s">
        <v>825</v>
      </c>
      <c r="U2252" t="s">
        <v>826</v>
      </c>
      <c r="V2252" t="s">
        <v>66</v>
      </c>
      <c r="W2252" t="s">
        <v>66</v>
      </c>
      <c r="X2252">
        <v>7284863</v>
      </c>
      <c r="Y2252">
        <v>801334.93</v>
      </c>
      <c r="Z2252">
        <v>161343</v>
      </c>
      <c r="AA2252">
        <v>17747.73</v>
      </c>
      <c r="AB2252">
        <v>8086197.9299999997</v>
      </c>
      <c r="AC2252">
        <v>6</v>
      </c>
      <c r="AD2252" t="s">
        <v>82</v>
      </c>
      <c r="AE2252">
        <v>6</v>
      </c>
      <c r="AF2252" t="s">
        <v>303</v>
      </c>
      <c r="AG2252">
        <f>IFERROR(VLOOKUP(AF2252,[1]STOK!J:O,6,0),"")</f>
        <v>12</v>
      </c>
      <c r="AH2252" s="2">
        <f t="shared" si="70"/>
        <v>0.5</v>
      </c>
      <c r="AI2252" t="s">
        <v>303</v>
      </c>
      <c r="AJ2252" t="s">
        <v>304</v>
      </c>
      <c r="AK2252" t="s">
        <v>305</v>
      </c>
      <c r="AL2252" t="s">
        <v>86</v>
      </c>
      <c r="AM2252">
        <v>30303</v>
      </c>
      <c r="AN2252">
        <f t="shared" si="71"/>
        <v>29848.455000000002</v>
      </c>
      <c r="AO2252" t="s">
        <v>66</v>
      </c>
      <c r="AP2252">
        <v>1.5</v>
      </c>
      <c r="AQ2252" t="s">
        <v>66</v>
      </c>
      <c r="AR2252">
        <v>0</v>
      </c>
      <c r="AS2252" t="s">
        <v>66</v>
      </c>
      <c r="AT2252">
        <v>0</v>
      </c>
      <c r="AU2252" t="s">
        <v>66</v>
      </c>
      <c r="AV2252">
        <v>0</v>
      </c>
      <c r="AW2252" t="s">
        <v>66</v>
      </c>
      <c r="AX2252">
        <v>0</v>
      </c>
      <c r="AY2252" t="s">
        <v>66</v>
      </c>
      <c r="AZ2252">
        <v>0</v>
      </c>
      <c r="BA2252" t="s">
        <v>66</v>
      </c>
      <c r="BB2252">
        <v>0</v>
      </c>
      <c r="BC2252">
        <v>0</v>
      </c>
      <c r="BD2252">
        <v>179090.73</v>
      </c>
      <c r="BE2252">
        <v>24618.880000000001</v>
      </c>
      <c r="BF2252">
        <v>0</v>
      </c>
      <c r="BG2252" t="s">
        <v>87</v>
      </c>
      <c r="BH2252" t="s">
        <v>66</v>
      </c>
      <c r="BI2252">
        <v>0</v>
      </c>
      <c r="BJ2252" t="s">
        <v>66</v>
      </c>
      <c r="BK2252" t="s">
        <v>88</v>
      </c>
      <c r="BL2252" t="s">
        <v>66</v>
      </c>
      <c r="BM2252" t="s">
        <v>159</v>
      </c>
    </row>
    <row r="2253" spans="1:65" x14ac:dyDescent="0.25">
      <c r="A2253">
        <v>2251</v>
      </c>
      <c r="B2253" t="s">
        <v>2100</v>
      </c>
      <c r="C2253" t="s">
        <v>68</v>
      </c>
      <c r="D2253" s="1">
        <v>46234</v>
      </c>
      <c r="E2253" t="s">
        <v>2101</v>
      </c>
      <c r="F2253" t="s">
        <v>68</v>
      </c>
      <c r="G2253" t="s">
        <v>69</v>
      </c>
      <c r="H2253" t="s">
        <v>70</v>
      </c>
      <c r="I2253" t="s">
        <v>71</v>
      </c>
      <c r="J2253" t="s">
        <v>72</v>
      </c>
      <c r="K2253" t="s">
        <v>73</v>
      </c>
      <c r="L2253" t="s">
        <v>74</v>
      </c>
      <c r="M2253" t="s">
        <v>820</v>
      </c>
      <c r="N2253" t="s">
        <v>111</v>
      </c>
      <c r="O2253" t="s">
        <v>821</v>
      </c>
      <c r="P2253" t="s">
        <v>822</v>
      </c>
      <c r="Q2253" t="s">
        <v>66</v>
      </c>
      <c r="R2253" s="1">
        <v>46234</v>
      </c>
      <c r="S2253" t="s">
        <v>824</v>
      </c>
      <c r="T2253" t="s">
        <v>825</v>
      </c>
      <c r="U2253" t="s">
        <v>826</v>
      </c>
      <c r="V2253" t="s">
        <v>66</v>
      </c>
      <c r="W2253" t="s">
        <v>66</v>
      </c>
      <c r="X2253">
        <v>7284863</v>
      </c>
      <c r="Y2253">
        <v>801334.93</v>
      </c>
      <c r="Z2253">
        <v>509836</v>
      </c>
      <c r="AA2253">
        <v>56081.96</v>
      </c>
      <c r="AB2253">
        <v>8086197.9299999997</v>
      </c>
      <c r="AC2253">
        <v>1</v>
      </c>
      <c r="AD2253" t="s">
        <v>134</v>
      </c>
      <c r="AE2253">
        <v>4</v>
      </c>
      <c r="AF2253" t="s">
        <v>519</v>
      </c>
      <c r="AG2253">
        <f>IFERROR(VLOOKUP(AF2253,[1]STOK!J:O,6,0),"")</f>
        <v>4</v>
      </c>
      <c r="AH2253" s="2">
        <f t="shared" si="70"/>
        <v>1</v>
      </c>
      <c r="AI2253" t="s">
        <v>519</v>
      </c>
      <c r="AJ2253" t="s">
        <v>520</v>
      </c>
      <c r="AK2253" t="s">
        <v>521</v>
      </c>
      <c r="AL2253" t="s">
        <v>86</v>
      </c>
      <c r="AM2253">
        <v>574536</v>
      </c>
      <c r="AN2253">
        <f t="shared" si="71"/>
        <v>565917.96</v>
      </c>
      <c r="AO2253" t="s">
        <v>66</v>
      </c>
      <c r="AP2253">
        <v>1.5</v>
      </c>
      <c r="AQ2253" t="s">
        <v>66</v>
      </c>
      <c r="AR2253">
        <v>0</v>
      </c>
      <c r="AS2253" t="s">
        <v>66</v>
      </c>
      <c r="AT2253">
        <v>0</v>
      </c>
      <c r="AU2253" t="s">
        <v>66</v>
      </c>
      <c r="AV2253">
        <v>0</v>
      </c>
      <c r="AW2253" t="s">
        <v>66</v>
      </c>
      <c r="AX2253">
        <v>0</v>
      </c>
      <c r="AY2253" t="s">
        <v>66</v>
      </c>
      <c r="AZ2253">
        <v>0</v>
      </c>
      <c r="BA2253" t="s">
        <v>66</v>
      </c>
      <c r="BB2253">
        <v>0</v>
      </c>
      <c r="BC2253">
        <v>0</v>
      </c>
      <c r="BD2253">
        <v>565917.96</v>
      </c>
      <c r="BE2253">
        <v>113954.83</v>
      </c>
      <c r="BF2253">
        <v>0</v>
      </c>
      <c r="BG2253" t="s">
        <v>87</v>
      </c>
      <c r="BH2253" t="s">
        <v>66</v>
      </c>
      <c r="BI2253">
        <v>0</v>
      </c>
      <c r="BJ2253" t="s">
        <v>66</v>
      </c>
      <c r="BK2253" t="s">
        <v>88</v>
      </c>
      <c r="BL2253" t="s">
        <v>66</v>
      </c>
      <c r="BM2253" t="s">
        <v>159</v>
      </c>
    </row>
    <row r="2254" spans="1:65" x14ac:dyDescent="0.25">
      <c r="A2254">
        <v>2252</v>
      </c>
      <c r="B2254" t="s">
        <v>2100</v>
      </c>
      <c r="C2254" t="s">
        <v>68</v>
      </c>
      <c r="D2254" s="1">
        <v>46234</v>
      </c>
      <c r="E2254" t="s">
        <v>2101</v>
      </c>
      <c r="F2254" t="s">
        <v>68</v>
      </c>
      <c r="G2254" t="s">
        <v>69</v>
      </c>
      <c r="H2254" t="s">
        <v>70</v>
      </c>
      <c r="I2254" t="s">
        <v>71</v>
      </c>
      <c r="J2254" t="s">
        <v>72</v>
      </c>
      <c r="K2254" t="s">
        <v>73</v>
      </c>
      <c r="L2254" t="s">
        <v>74</v>
      </c>
      <c r="M2254" t="s">
        <v>820</v>
      </c>
      <c r="N2254" t="s">
        <v>111</v>
      </c>
      <c r="O2254" t="s">
        <v>821</v>
      </c>
      <c r="P2254" t="s">
        <v>822</v>
      </c>
      <c r="Q2254" t="s">
        <v>66</v>
      </c>
      <c r="R2254" s="1">
        <v>46234</v>
      </c>
      <c r="S2254" t="s">
        <v>824</v>
      </c>
      <c r="T2254" t="s">
        <v>825</v>
      </c>
      <c r="U2254" t="s">
        <v>826</v>
      </c>
      <c r="V2254" t="s">
        <v>66</v>
      </c>
      <c r="W2254" t="s">
        <v>66</v>
      </c>
      <c r="X2254">
        <v>7284863</v>
      </c>
      <c r="Y2254">
        <v>801334.93</v>
      </c>
      <c r="Z2254">
        <v>161343</v>
      </c>
      <c r="AA2254">
        <v>17747.73</v>
      </c>
      <c r="AB2254">
        <v>8086197.9299999997</v>
      </c>
      <c r="AC2254">
        <v>6</v>
      </c>
      <c r="AD2254" t="s">
        <v>82</v>
      </c>
      <c r="AE2254">
        <v>6</v>
      </c>
      <c r="AF2254" t="s">
        <v>563</v>
      </c>
      <c r="AG2254">
        <f>IFERROR(VLOOKUP(AF2254,[1]STOK!J:O,6,0),"")</f>
        <v>12</v>
      </c>
      <c r="AH2254" s="2">
        <f t="shared" si="70"/>
        <v>0.5</v>
      </c>
      <c r="AI2254" t="s">
        <v>563</v>
      </c>
      <c r="AJ2254" t="s">
        <v>564</v>
      </c>
      <c r="AK2254" t="s">
        <v>565</v>
      </c>
      <c r="AL2254" t="s">
        <v>86</v>
      </c>
      <c r="AM2254">
        <v>30303</v>
      </c>
      <c r="AN2254">
        <f t="shared" si="71"/>
        <v>29848.455000000002</v>
      </c>
      <c r="AO2254" t="s">
        <v>66</v>
      </c>
      <c r="AP2254">
        <v>1.5</v>
      </c>
      <c r="AQ2254" t="s">
        <v>66</v>
      </c>
      <c r="AR2254">
        <v>0</v>
      </c>
      <c r="AS2254" t="s">
        <v>66</v>
      </c>
      <c r="AT2254">
        <v>0</v>
      </c>
      <c r="AU2254" t="s">
        <v>66</v>
      </c>
      <c r="AV2254">
        <v>0</v>
      </c>
      <c r="AW2254" t="s">
        <v>66</v>
      </c>
      <c r="AX2254">
        <v>0</v>
      </c>
      <c r="AY2254" t="s">
        <v>66</v>
      </c>
      <c r="AZ2254">
        <v>0</v>
      </c>
      <c r="BA2254" t="s">
        <v>66</v>
      </c>
      <c r="BB2254">
        <v>0</v>
      </c>
      <c r="BC2254">
        <v>0</v>
      </c>
      <c r="BD2254">
        <v>179090.73</v>
      </c>
      <c r="BE2254">
        <v>24643.38</v>
      </c>
      <c r="BF2254">
        <v>0</v>
      </c>
      <c r="BG2254" t="s">
        <v>87</v>
      </c>
      <c r="BH2254" t="s">
        <v>66</v>
      </c>
      <c r="BI2254">
        <v>0</v>
      </c>
      <c r="BJ2254" t="s">
        <v>66</v>
      </c>
      <c r="BK2254" t="s">
        <v>88</v>
      </c>
      <c r="BL2254" t="s">
        <v>66</v>
      </c>
      <c r="BM2254" t="s">
        <v>159</v>
      </c>
    </row>
    <row r="2255" spans="1:65" x14ac:dyDescent="0.25">
      <c r="A2255">
        <v>2253</v>
      </c>
      <c r="B2255" t="s">
        <v>2100</v>
      </c>
      <c r="C2255" t="s">
        <v>68</v>
      </c>
      <c r="D2255" s="1">
        <v>46234</v>
      </c>
      <c r="E2255" t="s">
        <v>2101</v>
      </c>
      <c r="F2255" t="s">
        <v>68</v>
      </c>
      <c r="G2255" t="s">
        <v>69</v>
      </c>
      <c r="H2255" t="s">
        <v>70</v>
      </c>
      <c r="I2255" t="s">
        <v>71</v>
      </c>
      <c r="J2255" t="s">
        <v>72</v>
      </c>
      <c r="K2255" t="s">
        <v>73</v>
      </c>
      <c r="L2255" t="s">
        <v>74</v>
      </c>
      <c r="M2255" t="s">
        <v>820</v>
      </c>
      <c r="N2255" t="s">
        <v>111</v>
      </c>
      <c r="O2255" t="s">
        <v>821</v>
      </c>
      <c r="P2255" t="s">
        <v>822</v>
      </c>
      <c r="Q2255" t="s">
        <v>66</v>
      </c>
      <c r="R2255" s="1">
        <v>46234</v>
      </c>
      <c r="S2255" t="s">
        <v>824</v>
      </c>
      <c r="T2255" t="s">
        <v>825</v>
      </c>
      <c r="U2255" t="s">
        <v>826</v>
      </c>
      <c r="V2255" t="s">
        <v>66</v>
      </c>
      <c r="W2255" t="s">
        <v>66</v>
      </c>
      <c r="X2255">
        <v>7284863</v>
      </c>
      <c r="Y2255">
        <v>801334.93</v>
      </c>
      <c r="Z2255">
        <v>509836</v>
      </c>
      <c r="AA2255">
        <v>56081.96</v>
      </c>
      <c r="AB2255">
        <v>8086197.9299999997</v>
      </c>
      <c r="AC2255">
        <v>1</v>
      </c>
      <c r="AD2255" t="s">
        <v>134</v>
      </c>
      <c r="AE2255">
        <v>4</v>
      </c>
      <c r="AF2255" t="s">
        <v>596</v>
      </c>
      <c r="AG2255">
        <f>IFERROR(VLOOKUP(AF2255,[1]STOK!J:O,6,0),"")</f>
        <v>4</v>
      </c>
      <c r="AH2255" s="2">
        <f t="shared" si="70"/>
        <v>1</v>
      </c>
      <c r="AI2255" t="s">
        <v>596</v>
      </c>
      <c r="AJ2255" t="s">
        <v>597</v>
      </c>
      <c r="AK2255" t="s">
        <v>598</v>
      </c>
      <c r="AL2255" t="s">
        <v>86</v>
      </c>
      <c r="AM2255">
        <v>574536</v>
      </c>
      <c r="AN2255">
        <f t="shared" si="71"/>
        <v>565917.96</v>
      </c>
      <c r="AO2255" t="s">
        <v>66</v>
      </c>
      <c r="AP2255">
        <v>1.5</v>
      </c>
      <c r="AQ2255" t="s">
        <v>66</v>
      </c>
      <c r="AR2255">
        <v>0</v>
      </c>
      <c r="AS2255" t="s">
        <v>66</v>
      </c>
      <c r="AT2255">
        <v>0</v>
      </c>
      <c r="AU2255" t="s">
        <v>66</v>
      </c>
      <c r="AV2255">
        <v>0</v>
      </c>
      <c r="AW2255" t="s">
        <v>66</v>
      </c>
      <c r="AX2255">
        <v>0</v>
      </c>
      <c r="AY2255" t="s">
        <v>66</v>
      </c>
      <c r="AZ2255">
        <v>0</v>
      </c>
      <c r="BA2255" t="s">
        <v>66</v>
      </c>
      <c r="BB2255">
        <v>0</v>
      </c>
      <c r="BC2255">
        <v>0</v>
      </c>
      <c r="BD2255">
        <v>565917.96</v>
      </c>
      <c r="BE2255">
        <v>114264.03</v>
      </c>
      <c r="BF2255">
        <v>0</v>
      </c>
      <c r="BG2255" t="s">
        <v>87</v>
      </c>
      <c r="BH2255" t="s">
        <v>66</v>
      </c>
      <c r="BI2255">
        <v>0</v>
      </c>
      <c r="BJ2255" t="s">
        <v>66</v>
      </c>
      <c r="BK2255" t="s">
        <v>88</v>
      </c>
      <c r="BL2255" t="s">
        <v>66</v>
      </c>
      <c r="BM2255" t="s">
        <v>159</v>
      </c>
    </row>
    <row r="2256" spans="1:65" x14ac:dyDescent="0.25">
      <c r="A2256">
        <v>2254</v>
      </c>
      <c r="B2256" t="s">
        <v>2100</v>
      </c>
      <c r="C2256" t="s">
        <v>68</v>
      </c>
      <c r="D2256" s="1">
        <v>46234</v>
      </c>
      <c r="E2256" t="s">
        <v>2101</v>
      </c>
      <c r="F2256" t="s">
        <v>68</v>
      </c>
      <c r="G2256" t="s">
        <v>69</v>
      </c>
      <c r="H2256" t="s">
        <v>70</v>
      </c>
      <c r="I2256" t="s">
        <v>71</v>
      </c>
      <c r="J2256" t="s">
        <v>72</v>
      </c>
      <c r="K2256" t="s">
        <v>73</v>
      </c>
      <c r="L2256" t="s">
        <v>74</v>
      </c>
      <c r="M2256" t="s">
        <v>820</v>
      </c>
      <c r="N2256" t="s">
        <v>111</v>
      </c>
      <c r="O2256" t="s">
        <v>821</v>
      </c>
      <c r="P2256" t="s">
        <v>822</v>
      </c>
      <c r="Q2256" t="s">
        <v>66</v>
      </c>
      <c r="R2256" s="1">
        <v>46234</v>
      </c>
      <c r="S2256" t="s">
        <v>824</v>
      </c>
      <c r="T2256" t="s">
        <v>825</v>
      </c>
      <c r="U2256" t="s">
        <v>826</v>
      </c>
      <c r="V2256" t="s">
        <v>66</v>
      </c>
      <c r="W2256" t="s">
        <v>66</v>
      </c>
      <c r="X2256">
        <v>7284863</v>
      </c>
      <c r="Y2256">
        <v>801334.93</v>
      </c>
      <c r="Z2256">
        <v>509836</v>
      </c>
      <c r="AA2256">
        <v>56081.96</v>
      </c>
      <c r="AB2256">
        <v>8086197.9299999997</v>
      </c>
      <c r="AC2256">
        <v>1</v>
      </c>
      <c r="AD2256" t="s">
        <v>134</v>
      </c>
      <c r="AE2256">
        <v>4</v>
      </c>
      <c r="AF2256" t="s">
        <v>522</v>
      </c>
      <c r="AG2256">
        <f>IFERROR(VLOOKUP(AF2256,[1]STOK!J:O,6,0),"")</f>
        <v>4</v>
      </c>
      <c r="AH2256" s="2">
        <f t="shared" si="70"/>
        <v>1</v>
      </c>
      <c r="AI2256" t="s">
        <v>522</v>
      </c>
      <c r="AJ2256" t="s">
        <v>523</v>
      </c>
      <c r="AK2256" t="s">
        <v>524</v>
      </c>
      <c r="AL2256" t="s">
        <v>86</v>
      </c>
      <c r="AM2256">
        <v>574536</v>
      </c>
      <c r="AN2256">
        <f t="shared" si="71"/>
        <v>565917.96</v>
      </c>
      <c r="AO2256" t="s">
        <v>66</v>
      </c>
      <c r="AP2256">
        <v>1.5</v>
      </c>
      <c r="AQ2256" t="s">
        <v>66</v>
      </c>
      <c r="AR2256">
        <v>0</v>
      </c>
      <c r="AS2256" t="s">
        <v>66</v>
      </c>
      <c r="AT2256">
        <v>0</v>
      </c>
      <c r="AU2256" t="s">
        <v>66</v>
      </c>
      <c r="AV2256">
        <v>0</v>
      </c>
      <c r="AW2256" t="s">
        <v>66</v>
      </c>
      <c r="AX2256">
        <v>0</v>
      </c>
      <c r="AY2256" t="s">
        <v>66</v>
      </c>
      <c r="AZ2256">
        <v>0</v>
      </c>
      <c r="BA2256" t="s">
        <v>66</v>
      </c>
      <c r="BB2256">
        <v>0</v>
      </c>
      <c r="BC2256">
        <v>0</v>
      </c>
      <c r="BD2256">
        <v>565917.96</v>
      </c>
      <c r="BE2256">
        <v>112721.19</v>
      </c>
      <c r="BF2256">
        <v>0</v>
      </c>
      <c r="BG2256" t="s">
        <v>87</v>
      </c>
      <c r="BH2256" t="s">
        <v>66</v>
      </c>
      <c r="BI2256">
        <v>0</v>
      </c>
      <c r="BJ2256" t="s">
        <v>66</v>
      </c>
      <c r="BK2256" t="s">
        <v>88</v>
      </c>
      <c r="BL2256" t="s">
        <v>66</v>
      </c>
      <c r="BM2256" t="s">
        <v>159</v>
      </c>
    </row>
    <row r="2257" spans="1:65" x14ac:dyDescent="0.25">
      <c r="A2257">
        <v>2255</v>
      </c>
      <c r="B2257" t="s">
        <v>2100</v>
      </c>
      <c r="C2257" t="s">
        <v>68</v>
      </c>
      <c r="D2257" s="1">
        <v>46234</v>
      </c>
      <c r="E2257" t="s">
        <v>2101</v>
      </c>
      <c r="F2257" t="s">
        <v>68</v>
      </c>
      <c r="G2257" t="s">
        <v>69</v>
      </c>
      <c r="H2257" t="s">
        <v>70</v>
      </c>
      <c r="I2257" t="s">
        <v>71</v>
      </c>
      <c r="J2257" t="s">
        <v>72</v>
      </c>
      <c r="K2257" t="s">
        <v>73</v>
      </c>
      <c r="L2257" t="s">
        <v>74</v>
      </c>
      <c r="M2257" t="s">
        <v>820</v>
      </c>
      <c r="N2257" t="s">
        <v>111</v>
      </c>
      <c r="O2257" t="s">
        <v>821</v>
      </c>
      <c r="P2257" t="s">
        <v>822</v>
      </c>
      <c r="Q2257" t="s">
        <v>66</v>
      </c>
      <c r="R2257" s="1">
        <v>46234</v>
      </c>
      <c r="S2257" t="s">
        <v>824</v>
      </c>
      <c r="T2257" t="s">
        <v>825</v>
      </c>
      <c r="U2257" t="s">
        <v>826</v>
      </c>
      <c r="V2257" t="s">
        <v>66</v>
      </c>
      <c r="W2257" t="s">
        <v>66</v>
      </c>
      <c r="X2257">
        <v>7284863</v>
      </c>
      <c r="Y2257">
        <v>801334.93</v>
      </c>
      <c r="Z2257">
        <v>458616</v>
      </c>
      <c r="AA2257">
        <v>50447.76</v>
      </c>
      <c r="AB2257">
        <v>8086197.9299999997</v>
      </c>
      <c r="AC2257">
        <v>1</v>
      </c>
      <c r="AD2257" t="s">
        <v>134</v>
      </c>
      <c r="AE2257">
        <v>24</v>
      </c>
      <c r="AF2257" t="s">
        <v>467</v>
      </c>
      <c r="AG2257">
        <f>IFERROR(VLOOKUP(AF2257,[1]STOK!J:O,6,0),"")</f>
        <v>24</v>
      </c>
      <c r="AH2257" s="2">
        <f t="shared" si="70"/>
        <v>1</v>
      </c>
      <c r="AI2257" t="s">
        <v>467</v>
      </c>
      <c r="AJ2257" t="s">
        <v>468</v>
      </c>
      <c r="AK2257" t="s">
        <v>469</v>
      </c>
      <c r="AL2257" t="s">
        <v>86</v>
      </c>
      <c r="AM2257">
        <v>516816</v>
      </c>
      <c r="AN2257">
        <f t="shared" si="71"/>
        <v>509063.76</v>
      </c>
      <c r="AO2257" t="s">
        <v>66</v>
      </c>
      <c r="AP2257">
        <v>1.5</v>
      </c>
      <c r="AQ2257" t="s">
        <v>66</v>
      </c>
      <c r="AR2257">
        <v>0</v>
      </c>
      <c r="AS2257" t="s">
        <v>66</v>
      </c>
      <c r="AT2257">
        <v>0</v>
      </c>
      <c r="AU2257" t="s">
        <v>66</v>
      </c>
      <c r="AV2257">
        <v>0</v>
      </c>
      <c r="AW2257" t="s">
        <v>66</v>
      </c>
      <c r="AX2257">
        <v>0</v>
      </c>
      <c r="AY2257" t="s">
        <v>66</v>
      </c>
      <c r="AZ2257">
        <v>0</v>
      </c>
      <c r="BA2257" t="s">
        <v>66</v>
      </c>
      <c r="BB2257">
        <v>0</v>
      </c>
      <c r="BC2257">
        <v>0</v>
      </c>
      <c r="BD2257">
        <v>509063.76</v>
      </c>
      <c r="BE2257">
        <v>17169.53</v>
      </c>
      <c r="BF2257">
        <v>0</v>
      </c>
      <c r="BG2257" t="s">
        <v>87</v>
      </c>
      <c r="BH2257" t="s">
        <v>66</v>
      </c>
      <c r="BI2257">
        <v>0</v>
      </c>
      <c r="BJ2257" t="s">
        <v>66</v>
      </c>
      <c r="BK2257" t="s">
        <v>88</v>
      </c>
      <c r="BL2257" t="s">
        <v>66</v>
      </c>
      <c r="BM2257" t="s">
        <v>159</v>
      </c>
    </row>
    <row r="2258" spans="1:65" x14ac:dyDescent="0.25">
      <c r="A2258">
        <v>2256</v>
      </c>
      <c r="B2258" t="s">
        <v>2100</v>
      </c>
      <c r="C2258" t="s">
        <v>68</v>
      </c>
      <c r="D2258" s="1">
        <v>46234</v>
      </c>
      <c r="E2258" t="s">
        <v>2101</v>
      </c>
      <c r="F2258" t="s">
        <v>68</v>
      </c>
      <c r="G2258" t="s">
        <v>69</v>
      </c>
      <c r="H2258" t="s">
        <v>70</v>
      </c>
      <c r="I2258" t="s">
        <v>71</v>
      </c>
      <c r="J2258" t="s">
        <v>72</v>
      </c>
      <c r="K2258" t="s">
        <v>73</v>
      </c>
      <c r="L2258" t="s">
        <v>74</v>
      </c>
      <c r="M2258" t="s">
        <v>820</v>
      </c>
      <c r="N2258" t="s">
        <v>111</v>
      </c>
      <c r="O2258" t="s">
        <v>821</v>
      </c>
      <c r="P2258" t="s">
        <v>822</v>
      </c>
      <c r="Q2258" t="s">
        <v>66</v>
      </c>
      <c r="R2258" s="1">
        <v>46234</v>
      </c>
      <c r="S2258" t="s">
        <v>824</v>
      </c>
      <c r="T2258" t="s">
        <v>825</v>
      </c>
      <c r="U2258" t="s">
        <v>826</v>
      </c>
      <c r="V2258" t="s">
        <v>66</v>
      </c>
      <c r="W2258" t="s">
        <v>66</v>
      </c>
      <c r="X2258">
        <v>7284863</v>
      </c>
      <c r="Y2258">
        <v>801334.93</v>
      </c>
      <c r="Z2258">
        <v>458616</v>
      </c>
      <c r="AA2258">
        <v>50447.76</v>
      </c>
      <c r="AB2258">
        <v>8086197.9299999997</v>
      </c>
      <c r="AC2258">
        <v>1</v>
      </c>
      <c r="AD2258" t="s">
        <v>134</v>
      </c>
      <c r="AE2258">
        <v>24</v>
      </c>
      <c r="AF2258" t="s">
        <v>470</v>
      </c>
      <c r="AG2258">
        <f>IFERROR(VLOOKUP(AF2258,[1]STOK!J:O,6,0),"")</f>
        <v>24</v>
      </c>
      <c r="AH2258" s="2">
        <f t="shared" si="70"/>
        <v>1</v>
      </c>
      <c r="AI2258" t="s">
        <v>470</v>
      </c>
      <c r="AJ2258" t="s">
        <v>471</v>
      </c>
      <c r="AK2258" t="s">
        <v>472</v>
      </c>
      <c r="AL2258" t="s">
        <v>86</v>
      </c>
      <c r="AM2258">
        <v>516816</v>
      </c>
      <c r="AN2258">
        <f t="shared" si="71"/>
        <v>509063.76</v>
      </c>
      <c r="AO2258" t="s">
        <v>66</v>
      </c>
      <c r="AP2258">
        <v>1.5</v>
      </c>
      <c r="AQ2258" t="s">
        <v>66</v>
      </c>
      <c r="AR2258">
        <v>0</v>
      </c>
      <c r="AS2258" t="s">
        <v>66</v>
      </c>
      <c r="AT2258">
        <v>0</v>
      </c>
      <c r="AU2258" t="s">
        <v>66</v>
      </c>
      <c r="AV2258">
        <v>0</v>
      </c>
      <c r="AW2258" t="s">
        <v>66</v>
      </c>
      <c r="AX2258">
        <v>0</v>
      </c>
      <c r="AY2258" t="s">
        <v>66</v>
      </c>
      <c r="AZ2258">
        <v>0</v>
      </c>
      <c r="BA2258" t="s">
        <v>66</v>
      </c>
      <c r="BB2258">
        <v>0</v>
      </c>
      <c r="BC2258">
        <v>0</v>
      </c>
      <c r="BD2258">
        <v>509063.76</v>
      </c>
      <c r="BE2258">
        <v>17322.240000000002</v>
      </c>
      <c r="BF2258">
        <v>0</v>
      </c>
      <c r="BG2258" t="s">
        <v>87</v>
      </c>
      <c r="BH2258" t="s">
        <v>66</v>
      </c>
      <c r="BI2258">
        <v>0</v>
      </c>
      <c r="BJ2258" t="s">
        <v>66</v>
      </c>
      <c r="BK2258" t="s">
        <v>88</v>
      </c>
      <c r="BL2258" t="s">
        <v>66</v>
      </c>
      <c r="BM2258" t="s">
        <v>159</v>
      </c>
    </row>
    <row r="2259" spans="1:65" x14ac:dyDescent="0.25">
      <c r="A2259">
        <v>2257</v>
      </c>
      <c r="B2259" t="s">
        <v>2100</v>
      </c>
      <c r="C2259" t="s">
        <v>68</v>
      </c>
      <c r="D2259" s="1">
        <v>46234</v>
      </c>
      <c r="E2259" t="s">
        <v>2101</v>
      </c>
      <c r="F2259" t="s">
        <v>68</v>
      </c>
      <c r="G2259" t="s">
        <v>69</v>
      </c>
      <c r="H2259" t="s">
        <v>70</v>
      </c>
      <c r="I2259" t="s">
        <v>71</v>
      </c>
      <c r="J2259" t="s">
        <v>72</v>
      </c>
      <c r="K2259" t="s">
        <v>73</v>
      </c>
      <c r="L2259" t="s">
        <v>74</v>
      </c>
      <c r="M2259" t="s">
        <v>820</v>
      </c>
      <c r="N2259" t="s">
        <v>111</v>
      </c>
      <c r="O2259" t="s">
        <v>821</v>
      </c>
      <c r="P2259" t="s">
        <v>822</v>
      </c>
      <c r="Q2259" t="s">
        <v>66</v>
      </c>
      <c r="R2259" s="1">
        <v>46234</v>
      </c>
      <c r="S2259" t="s">
        <v>824</v>
      </c>
      <c r="T2259" t="s">
        <v>825</v>
      </c>
      <c r="U2259" t="s">
        <v>826</v>
      </c>
      <c r="V2259" t="s">
        <v>66</v>
      </c>
      <c r="W2259" t="s">
        <v>66</v>
      </c>
      <c r="X2259">
        <v>7284863</v>
      </c>
      <c r="Y2259">
        <v>801334.93</v>
      </c>
      <c r="Z2259">
        <v>458616</v>
      </c>
      <c r="AA2259">
        <v>50447.76</v>
      </c>
      <c r="AB2259">
        <v>8086197.9299999997</v>
      </c>
      <c r="AC2259">
        <v>2</v>
      </c>
      <c r="AD2259" t="s">
        <v>134</v>
      </c>
      <c r="AE2259">
        <v>24</v>
      </c>
      <c r="AF2259" t="s">
        <v>284</v>
      </c>
      <c r="AG2259">
        <f>IFERROR(VLOOKUP(AF2259,[1]STOK!J:O,6,0),"")</f>
        <v>12</v>
      </c>
      <c r="AH2259" s="2">
        <f t="shared" si="70"/>
        <v>2</v>
      </c>
      <c r="AI2259" t="s">
        <v>284</v>
      </c>
      <c r="AJ2259" t="s">
        <v>285</v>
      </c>
      <c r="AK2259" t="s">
        <v>286</v>
      </c>
      <c r="AL2259" t="s">
        <v>86</v>
      </c>
      <c r="AM2259">
        <v>258408</v>
      </c>
      <c r="AN2259">
        <f t="shared" si="71"/>
        <v>254531.88</v>
      </c>
      <c r="AO2259" t="s">
        <v>66</v>
      </c>
      <c r="AP2259">
        <v>1.5</v>
      </c>
      <c r="AQ2259" t="s">
        <v>66</v>
      </c>
      <c r="AR2259">
        <v>0</v>
      </c>
      <c r="AS2259" t="s">
        <v>66</v>
      </c>
      <c r="AT2259">
        <v>0</v>
      </c>
      <c r="AU2259" t="s">
        <v>66</v>
      </c>
      <c r="AV2259">
        <v>0</v>
      </c>
      <c r="AW2259" t="s">
        <v>66</v>
      </c>
      <c r="AX2259">
        <v>0</v>
      </c>
      <c r="AY2259" t="s">
        <v>66</v>
      </c>
      <c r="AZ2259">
        <v>0</v>
      </c>
      <c r="BA2259" t="s">
        <v>66</v>
      </c>
      <c r="BB2259">
        <v>0</v>
      </c>
      <c r="BC2259">
        <v>0</v>
      </c>
      <c r="BD2259">
        <v>509063.76</v>
      </c>
      <c r="BE2259">
        <v>17311.39</v>
      </c>
      <c r="BF2259">
        <v>0</v>
      </c>
      <c r="BG2259" t="s">
        <v>87</v>
      </c>
      <c r="BH2259" t="s">
        <v>66</v>
      </c>
      <c r="BI2259">
        <v>0</v>
      </c>
      <c r="BJ2259" t="s">
        <v>66</v>
      </c>
      <c r="BK2259" t="s">
        <v>88</v>
      </c>
      <c r="BL2259" t="s">
        <v>66</v>
      </c>
      <c r="BM2259" t="s">
        <v>159</v>
      </c>
    </row>
    <row r="2260" spans="1:65" x14ac:dyDescent="0.25">
      <c r="A2260">
        <v>2258</v>
      </c>
      <c r="B2260" t="s">
        <v>2100</v>
      </c>
      <c r="C2260" t="s">
        <v>68</v>
      </c>
      <c r="D2260" s="1">
        <v>46234</v>
      </c>
      <c r="E2260" t="s">
        <v>2101</v>
      </c>
      <c r="F2260" t="s">
        <v>68</v>
      </c>
      <c r="G2260" t="s">
        <v>69</v>
      </c>
      <c r="H2260" t="s">
        <v>70</v>
      </c>
      <c r="I2260" t="s">
        <v>71</v>
      </c>
      <c r="J2260" t="s">
        <v>72</v>
      </c>
      <c r="K2260" t="s">
        <v>73</v>
      </c>
      <c r="L2260" t="s">
        <v>74</v>
      </c>
      <c r="M2260" t="s">
        <v>820</v>
      </c>
      <c r="N2260" t="s">
        <v>111</v>
      </c>
      <c r="O2260" t="s">
        <v>821</v>
      </c>
      <c r="P2260" t="s">
        <v>822</v>
      </c>
      <c r="Q2260" t="s">
        <v>66</v>
      </c>
      <c r="R2260" s="1">
        <v>46234</v>
      </c>
      <c r="S2260" t="s">
        <v>824</v>
      </c>
      <c r="T2260" t="s">
        <v>825</v>
      </c>
      <c r="U2260" t="s">
        <v>826</v>
      </c>
      <c r="V2260" t="s">
        <v>66</v>
      </c>
      <c r="W2260" t="s">
        <v>66</v>
      </c>
      <c r="X2260">
        <v>7284863</v>
      </c>
      <c r="Y2260">
        <v>801334.93</v>
      </c>
      <c r="Z2260">
        <v>86877</v>
      </c>
      <c r="AA2260">
        <v>9556.4699999999993</v>
      </c>
      <c r="AB2260">
        <v>8086197.9299999997</v>
      </c>
      <c r="AC2260">
        <v>6</v>
      </c>
      <c r="AD2260" t="s">
        <v>82</v>
      </c>
      <c r="AE2260">
        <v>6</v>
      </c>
      <c r="AF2260" t="s">
        <v>1263</v>
      </c>
      <c r="AG2260">
        <f>IFERROR(VLOOKUP(AF2260,[1]STOK!J:O,6,0),"")</f>
        <v>12</v>
      </c>
      <c r="AH2260" s="2">
        <f t="shared" si="70"/>
        <v>0.5</v>
      </c>
      <c r="AI2260" t="s">
        <v>1263</v>
      </c>
      <c r="AJ2260" t="s">
        <v>1264</v>
      </c>
      <c r="AK2260" t="s">
        <v>1265</v>
      </c>
      <c r="AL2260" t="s">
        <v>86</v>
      </c>
      <c r="AM2260">
        <v>16317</v>
      </c>
      <c r="AN2260">
        <f t="shared" si="71"/>
        <v>16072.245000000001</v>
      </c>
      <c r="AO2260" t="s">
        <v>66</v>
      </c>
      <c r="AP2260">
        <v>1.5</v>
      </c>
      <c r="AQ2260" t="s">
        <v>66</v>
      </c>
      <c r="AR2260">
        <v>0</v>
      </c>
      <c r="AS2260" t="s">
        <v>66</v>
      </c>
      <c r="AT2260">
        <v>0</v>
      </c>
      <c r="AU2260" t="s">
        <v>66</v>
      </c>
      <c r="AV2260">
        <v>0</v>
      </c>
      <c r="AW2260" t="s">
        <v>66</v>
      </c>
      <c r="AX2260">
        <v>0</v>
      </c>
      <c r="AY2260" t="s">
        <v>66</v>
      </c>
      <c r="AZ2260">
        <v>0</v>
      </c>
      <c r="BA2260" t="s">
        <v>66</v>
      </c>
      <c r="BB2260">
        <v>0</v>
      </c>
      <c r="BC2260">
        <v>0</v>
      </c>
      <c r="BD2260">
        <v>96433.47</v>
      </c>
      <c r="BE2260">
        <v>12968.32</v>
      </c>
      <c r="BF2260">
        <v>0</v>
      </c>
      <c r="BG2260" t="s">
        <v>87</v>
      </c>
      <c r="BH2260" t="s">
        <v>66</v>
      </c>
      <c r="BI2260">
        <v>0</v>
      </c>
      <c r="BJ2260" t="s">
        <v>66</v>
      </c>
      <c r="BK2260" t="s">
        <v>88</v>
      </c>
      <c r="BL2260" t="s">
        <v>66</v>
      </c>
      <c r="BM2260" t="s">
        <v>159</v>
      </c>
    </row>
    <row r="2261" spans="1:65" x14ac:dyDescent="0.25">
      <c r="A2261">
        <v>2259</v>
      </c>
      <c r="B2261" t="s">
        <v>2100</v>
      </c>
      <c r="C2261" t="s">
        <v>68</v>
      </c>
      <c r="D2261" s="1">
        <v>46234</v>
      </c>
      <c r="E2261" t="s">
        <v>2101</v>
      </c>
      <c r="F2261" t="s">
        <v>68</v>
      </c>
      <c r="G2261" t="s">
        <v>69</v>
      </c>
      <c r="H2261" t="s">
        <v>70</v>
      </c>
      <c r="I2261" t="s">
        <v>71</v>
      </c>
      <c r="J2261" t="s">
        <v>72</v>
      </c>
      <c r="K2261" t="s">
        <v>73</v>
      </c>
      <c r="L2261" t="s">
        <v>74</v>
      </c>
      <c r="M2261" t="s">
        <v>820</v>
      </c>
      <c r="N2261" t="s">
        <v>111</v>
      </c>
      <c r="O2261" t="s">
        <v>821</v>
      </c>
      <c r="P2261" t="s">
        <v>822</v>
      </c>
      <c r="Q2261" t="s">
        <v>66</v>
      </c>
      <c r="R2261" s="1">
        <v>46234</v>
      </c>
      <c r="S2261" t="s">
        <v>824</v>
      </c>
      <c r="T2261" t="s">
        <v>825</v>
      </c>
      <c r="U2261" t="s">
        <v>826</v>
      </c>
      <c r="V2261" t="s">
        <v>66</v>
      </c>
      <c r="W2261" t="s">
        <v>66</v>
      </c>
      <c r="X2261">
        <v>7284863</v>
      </c>
      <c r="Y2261">
        <v>801334.93</v>
      </c>
      <c r="Z2261">
        <v>224580</v>
      </c>
      <c r="AA2261">
        <v>24703.8</v>
      </c>
      <c r="AB2261">
        <v>8086197.9299999997</v>
      </c>
      <c r="AC2261">
        <v>1</v>
      </c>
      <c r="AD2261" t="s">
        <v>134</v>
      </c>
      <c r="AE2261">
        <v>24</v>
      </c>
      <c r="AF2261" t="s">
        <v>1144</v>
      </c>
      <c r="AG2261">
        <f>IFERROR(VLOOKUP(AF2261,[1]STOK!J:O,6,0),"")</f>
        <v>24</v>
      </c>
      <c r="AH2261" s="2">
        <f t="shared" si="70"/>
        <v>1</v>
      </c>
      <c r="AI2261" t="s">
        <v>1144</v>
      </c>
      <c r="AJ2261" t="s">
        <v>1145</v>
      </c>
      <c r="AK2261" t="s">
        <v>1146</v>
      </c>
      <c r="AL2261" t="s">
        <v>86</v>
      </c>
      <c r="AM2261">
        <v>253080</v>
      </c>
      <c r="AN2261">
        <f t="shared" si="71"/>
        <v>249283.8</v>
      </c>
      <c r="AO2261" t="s">
        <v>66</v>
      </c>
      <c r="AP2261">
        <v>1.5</v>
      </c>
      <c r="AQ2261" t="s">
        <v>66</v>
      </c>
      <c r="AR2261">
        <v>0</v>
      </c>
      <c r="AS2261" t="s">
        <v>66</v>
      </c>
      <c r="AT2261">
        <v>0</v>
      </c>
      <c r="AU2261" t="s">
        <v>66</v>
      </c>
      <c r="AV2261">
        <v>0</v>
      </c>
      <c r="AW2261" t="s">
        <v>66</v>
      </c>
      <c r="AX2261">
        <v>0</v>
      </c>
      <c r="AY2261" t="s">
        <v>66</v>
      </c>
      <c r="AZ2261">
        <v>0</v>
      </c>
      <c r="BA2261" t="s">
        <v>66</v>
      </c>
      <c r="BB2261">
        <v>0</v>
      </c>
      <c r="BC2261">
        <v>0</v>
      </c>
      <c r="BD2261">
        <v>249283.8</v>
      </c>
      <c r="BE2261">
        <v>8173.32</v>
      </c>
      <c r="BF2261">
        <v>0</v>
      </c>
      <c r="BG2261" t="s">
        <v>87</v>
      </c>
      <c r="BH2261" t="s">
        <v>66</v>
      </c>
      <c r="BI2261">
        <v>0</v>
      </c>
      <c r="BJ2261" t="s">
        <v>66</v>
      </c>
      <c r="BK2261" t="s">
        <v>88</v>
      </c>
      <c r="BL2261" t="s">
        <v>66</v>
      </c>
      <c r="BM2261" t="s">
        <v>159</v>
      </c>
    </row>
    <row r="2262" spans="1:65" x14ac:dyDescent="0.25">
      <c r="A2262">
        <v>2260</v>
      </c>
      <c r="B2262" t="s">
        <v>2100</v>
      </c>
      <c r="C2262" t="s">
        <v>68</v>
      </c>
      <c r="D2262" s="1">
        <v>46234</v>
      </c>
      <c r="E2262" t="s">
        <v>2101</v>
      </c>
      <c r="F2262" t="s">
        <v>68</v>
      </c>
      <c r="G2262" t="s">
        <v>69</v>
      </c>
      <c r="H2262" t="s">
        <v>70</v>
      </c>
      <c r="I2262" t="s">
        <v>71</v>
      </c>
      <c r="J2262" t="s">
        <v>72</v>
      </c>
      <c r="K2262" t="s">
        <v>73</v>
      </c>
      <c r="L2262" t="s">
        <v>74</v>
      </c>
      <c r="M2262" t="s">
        <v>820</v>
      </c>
      <c r="N2262" t="s">
        <v>111</v>
      </c>
      <c r="O2262" t="s">
        <v>821</v>
      </c>
      <c r="P2262" t="s">
        <v>822</v>
      </c>
      <c r="Q2262" t="s">
        <v>66</v>
      </c>
      <c r="R2262" s="1">
        <v>46234</v>
      </c>
      <c r="S2262" t="s">
        <v>824</v>
      </c>
      <c r="T2262" t="s">
        <v>825</v>
      </c>
      <c r="U2262" t="s">
        <v>826</v>
      </c>
      <c r="V2262" t="s">
        <v>66</v>
      </c>
      <c r="W2262" t="s">
        <v>66</v>
      </c>
      <c r="X2262">
        <v>7284863</v>
      </c>
      <c r="Y2262">
        <v>801334.93</v>
      </c>
      <c r="Z2262">
        <v>99288</v>
      </c>
      <c r="AA2262">
        <v>10921.68</v>
      </c>
      <c r="AB2262">
        <v>8086197.9299999997</v>
      </c>
      <c r="AC2262">
        <v>1</v>
      </c>
      <c r="AD2262" t="s">
        <v>134</v>
      </c>
      <c r="AE2262">
        <v>24</v>
      </c>
      <c r="AF2262" t="s">
        <v>1285</v>
      </c>
      <c r="AG2262">
        <f>IFERROR(VLOOKUP(AF2262,[1]STOK!J:O,6,0),"")</f>
        <v>24</v>
      </c>
      <c r="AH2262" s="2">
        <f t="shared" si="70"/>
        <v>1</v>
      </c>
      <c r="AI2262" t="s">
        <v>1285</v>
      </c>
      <c r="AJ2262" t="s">
        <v>1286</v>
      </c>
      <c r="AK2262" t="s">
        <v>1287</v>
      </c>
      <c r="AL2262" t="s">
        <v>86</v>
      </c>
      <c r="AM2262">
        <v>111888</v>
      </c>
      <c r="AN2262">
        <f t="shared" si="71"/>
        <v>110209.68</v>
      </c>
      <c r="AO2262" t="s">
        <v>66</v>
      </c>
      <c r="AP2262">
        <v>1.5</v>
      </c>
      <c r="AQ2262" t="s">
        <v>66</v>
      </c>
      <c r="AR2262">
        <v>0</v>
      </c>
      <c r="AS2262" t="s">
        <v>66</v>
      </c>
      <c r="AT2262">
        <v>0</v>
      </c>
      <c r="AU2262" t="s">
        <v>66</v>
      </c>
      <c r="AV2262">
        <v>0</v>
      </c>
      <c r="AW2262" t="s">
        <v>66</v>
      </c>
      <c r="AX2262">
        <v>0</v>
      </c>
      <c r="AY2262" t="s">
        <v>66</v>
      </c>
      <c r="AZ2262">
        <v>0</v>
      </c>
      <c r="BA2262" t="s">
        <v>66</v>
      </c>
      <c r="BB2262">
        <v>0</v>
      </c>
      <c r="BC2262">
        <v>0</v>
      </c>
      <c r="BD2262">
        <v>110209.68</v>
      </c>
      <c r="BE2262">
        <v>3734.91</v>
      </c>
      <c r="BF2262">
        <v>0</v>
      </c>
      <c r="BG2262" t="s">
        <v>87</v>
      </c>
      <c r="BH2262" t="s">
        <v>66</v>
      </c>
      <c r="BI2262">
        <v>0</v>
      </c>
      <c r="BJ2262" t="s">
        <v>66</v>
      </c>
      <c r="BK2262" t="s">
        <v>88</v>
      </c>
      <c r="BL2262" t="s">
        <v>66</v>
      </c>
      <c r="BM2262" t="s">
        <v>159</v>
      </c>
    </row>
    <row r="2263" spans="1:65" x14ac:dyDescent="0.25">
      <c r="A2263">
        <v>2261</v>
      </c>
      <c r="B2263" t="s">
        <v>2100</v>
      </c>
      <c r="C2263" t="s">
        <v>68</v>
      </c>
      <c r="D2263" s="1">
        <v>46234</v>
      </c>
      <c r="E2263" t="s">
        <v>2101</v>
      </c>
      <c r="F2263" t="s">
        <v>68</v>
      </c>
      <c r="G2263" t="s">
        <v>69</v>
      </c>
      <c r="H2263" t="s">
        <v>70</v>
      </c>
      <c r="I2263" t="s">
        <v>71</v>
      </c>
      <c r="J2263" t="s">
        <v>72</v>
      </c>
      <c r="K2263" t="s">
        <v>73</v>
      </c>
      <c r="L2263" t="s">
        <v>74</v>
      </c>
      <c r="M2263" t="s">
        <v>820</v>
      </c>
      <c r="N2263" t="s">
        <v>111</v>
      </c>
      <c r="O2263" t="s">
        <v>821</v>
      </c>
      <c r="P2263" t="s">
        <v>822</v>
      </c>
      <c r="Q2263" t="s">
        <v>66</v>
      </c>
      <c r="R2263" s="1">
        <v>46234</v>
      </c>
      <c r="S2263" t="s">
        <v>824</v>
      </c>
      <c r="T2263" t="s">
        <v>825</v>
      </c>
      <c r="U2263" t="s">
        <v>826</v>
      </c>
      <c r="V2263" t="s">
        <v>66</v>
      </c>
      <c r="W2263" t="s">
        <v>66</v>
      </c>
      <c r="X2263">
        <v>7284863</v>
      </c>
      <c r="Y2263">
        <v>801334.93</v>
      </c>
      <c r="Z2263">
        <v>264374</v>
      </c>
      <c r="AA2263">
        <v>29081.14</v>
      </c>
      <c r="AB2263">
        <v>8086197.9299999997</v>
      </c>
      <c r="AC2263">
        <v>1</v>
      </c>
      <c r="AD2263" t="s">
        <v>134</v>
      </c>
      <c r="AE2263">
        <v>4</v>
      </c>
      <c r="AF2263" t="s">
        <v>894</v>
      </c>
      <c r="AG2263">
        <f>IFERROR(VLOOKUP(AF2263,[1]STOK!J:O,6,0),"")</f>
        <v>4</v>
      </c>
      <c r="AH2263" s="2">
        <f t="shared" si="70"/>
        <v>1</v>
      </c>
      <c r="AI2263" t="s">
        <v>894</v>
      </c>
      <c r="AJ2263" t="s">
        <v>895</v>
      </c>
      <c r="AK2263" t="s">
        <v>896</v>
      </c>
      <c r="AL2263" t="s">
        <v>86</v>
      </c>
      <c r="AM2263">
        <v>297924</v>
      </c>
      <c r="AN2263">
        <f t="shared" si="71"/>
        <v>293455.14</v>
      </c>
      <c r="AO2263" t="s">
        <v>66</v>
      </c>
      <c r="AP2263">
        <v>1.5</v>
      </c>
      <c r="AQ2263" t="s">
        <v>66</v>
      </c>
      <c r="AR2263">
        <v>0</v>
      </c>
      <c r="AS2263" t="s">
        <v>66</v>
      </c>
      <c r="AT2263">
        <v>0</v>
      </c>
      <c r="AU2263" t="s">
        <v>66</v>
      </c>
      <c r="AV2263">
        <v>0</v>
      </c>
      <c r="AW2263" t="s">
        <v>66</v>
      </c>
      <c r="AX2263">
        <v>0</v>
      </c>
      <c r="AY2263" t="s">
        <v>66</v>
      </c>
      <c r="AZ2263">
        <v>0</v>
      </c>
      <c r="BA2263" t="s">
        <v>66</v>
      </c>
      <c r="BB2263">
        <v>0</v>
      </c>
      <c r="BC2263">
        <v>0</v>
      </c>
      <c r="BD2263">
        <v>293455.14</v>
      </c>
      <c r="BE2263">
        <v>59967.11</v>
      </c>
      <c r="BF2263">
        <v>0</v>
      </c>
      <c r="BG2263" t="s">
        <v>87</v>
      </c>
      <c r="BH2263" t="s">
        <v>66</v>
      </c>
      <c r="BI2263">
        <v>0</v>
      </c>
      <c r="BJ2263" t="s">
        <v>66</v>
      </c>
      <c r="BK2263" t="s">
        <v>88</v>
      </c>
      <c r="BL2263" t="s">
        <v>66</v>
      </c>
      <c r="BM2263" t="s">
        <v>159</v>
      </c>
    </row>
    <row r="2264" spans="1:65" x14ac:dyDescent="0.25">
      <c r="A2264">
        <v>2262</v>
      </c>
      <c r="B2264" t="s">
        <v>2100</v>
      </c>
      <c r="C2264" t="s">
        <v>68</v>
      </c>
      <c r="D2264" s="1">
        <v>46234</v>
      </c>
      <c r="E2264" t="s">
        <v>2101</v>
      </c>
      <c r="F2264" t="s">
        <v>68</v>
      </c>
      <c r="G2264" t="s">
        <v>69</v>
      </c>
      <c r="H2264" t="s">
        <v>70</v>
      </c>
      <c r="I2264" t="s">
        <v>71</v>
      </c>
      <c r="J2264" t="s">
        <v>72</v>
      </c>
      <c r="K2264" t="s">
        <v>73</v>
      </c>
      <c r="L2264" t="s">
        <v>74</v>
      </c>
      <c r="M2264" t="s">
        <v>820</v>
      </c>
      <c r="N2264" t="s">
        <v>111</v>
      </c>
      <c r="O2264" t="s">
        <v>821</v>
      </c>
      <c r="P2264" t="s">
        <v>822</v>
      </c>
      <c r="Q2264" t="s">
        <v>66</v>
      </c>
      <c r="R2264" s="1">
        <v>46234</v>
      </c>
      <c r="S2264" t="s">
        <v>824</v>
      </c>
      <c r="T2264" t="s">
        <v>825</v>
      </c>
      <c r="U2264" t="s">
        <v>826</v>
      </c>
      <c r="V2264" t="s">
        <v>66</v>
      </c>
      <c r="W2264" t="s">
        <v>66</v>
      </c>
      <c r="X2264">
        <v>7284863</v>
      </c>
      <c r="Y2264">
        <v>801334.93</v>
      </c>
      <c r="Z2264">
        <v>635916</v>
      </c>
      <c r="AA2264">
        <v>69950.759999999995</v>
      </c>
      <c r="AB2264">
        <v>8086197.9299999997</v>
      </c>
      <c r="AC2264">
        <v>2</v>
      </c>
      <c r="AD2264" t="s">
        <v>134</v>
      </c>
      <c r="AE2264">
        <v>12</v>
      </c>
      <c r="AF2264" t="s">
        <v>525</v>
      </c>
      <c r="AG2264">
        <f>IFERROR(VLOOKUP(AF2264,[1]STOK!J:O,6,0),"")</f>
        <v>6</v>
      </c>
      <c r="AH2264" s="2">
        <f t="shared" si="70"/>
        <v>2</v>
      </c>
      <c r="AI2264" t="s">
        <v>525</v>
      </c>
      <c r="AJ2264" t="s">
        <v>526</v>
      </c>
      <c r="AK2264" t="s">
        <v>527</v>
      </c>
      <c r="AL2264" t="s">
        <v>86</v>
      </c>
      <c r="AM2264">
        <v>358308</v>
      </c>
      <c r="AN2264">
        <f t="shared" si="71"/>
        <v>352933.38</v>
      </c>
      <c r="AO2264" t="s">
        <v>66</v>
      </c>
      <c r="AP2264">
        <v>1.5</v>
      </c>
      <c r="AQ2264" t="s">
        <v>66</v>
      </c>
      <c r="AR2264">
        <v>0</v>
      </c>
      <c r="AS2264" t="s">
        <v>66</v>
      </c>
      <c r="AT2264">
        <v>0</v>
      </c>
      <c r="AU2264" t="s">
        <v>66</v>
      </c>
      <c r="AV2264">
        <v>0</v>
      </c>
      <c r="AW2264" t="s">
        <v>66</v>
      </c>
      <c r="AX2264">
        <v>0</v>
      </c>
      <c r="AY2264" t="s">
        <v>66</v>
      </c>
      <c r="AZ2264">
        <v>0</v>
      </c>
      <c r="BA2264" t="s">
        <v>66</v>
      </c>
      <c r="BB2264">
        <v>0</v>
      </c>
      <c r="BC2264">
        <v>0</v>
      </c>
      <c r="BD2264">
        <v>705866.76</v>
      </c>
      <c r="BE2264">
        <v>46997.73</v>
      </c>
      <c r="BF2264">
        <v>0</v>
      </c>
      <c r="BG2264" t="s">
        <v>87</v>
      </c>
      <c r="BH2264" t="s">
        <v>66</v>
      </c>
      <c r="BI2264">
        <v>0</v>
      </c>
      <c r="BJ2264" t="s">
        <v>66</v>
      </c>
      <c r="BK2264" t="s">
        <v>88</v>
      </c>
      <c r="BL2264" t="s">
        <v>66</v>
      </c>
      <c r="BM2264" t="s">
        <v>159</v>
      </c>
    </row>
    <row r="2265" spans="1:65" x14ac:dyDescent="0.25">
      <c r="A2265">
        <v>2263</v>
      </c>
      <c r="B2265" t="s">
        <v>2100</v>
      </c>
      <c r="C2265" t="s">
        <v>68</v>
      </c>
      <c r="D2265" s="1">
        <v>46234</v>
      </c>
      <c r="E2265" t="s">
        <v>2101</v>
      </c>
      <c r="F2265" t="s">
        <v>68</v>
      </c>
      <c r="G2265" t="s">
        <v>69</v>
      </c>
      <c r="H2265" t="s">
        <v>70</v>
      </c>
      <c r="I2265" t="s">
        <v>71</v>
      </c>
      <c r="J2265" t="s">
        <v>72</v>
      </c>
      <c r="K2265" t="s">
        <v>73</v>
      </c>
      <c r="L2265" t="s">
        <v>74</v>
      </c>
      <c r="M2265" t="s">
        <v>820</v>
      </c>
      <c r="N2265" t="s">
        <v>111</v>
      </c>
      <c r="O2265" t="s">
        <v>821</v>
      </c>
      <c r="P2265" t="s">
        <v>822</v>
      </c>
      <c r="Q2265" t="s">
        <v>66</v>
      </c>
      <c r="R2265" s="1">
        <v>46234</v>
      </c>
      <c r="S2265" t="s">
        <v>824</v>
      </c>
      <c r="T2265" t="s">
        <v>825</v>
      </c>
      <c r="U2265" t="s">
        <v>826</v>
      </c>
      <c r="V2265" t="s">
        <v>66</v>
      </c>
      <c r="W2265" t="s">
        <v>66</v>
      </c>
      <c r="X2265">
        <v>7284863</v>
      </c>
      <c r="Y2265">
        <v>801334.93</v>
      </c>
      <c r="Z2265">
        <v>635916</v>
      </c>
      <c r="AA2265">
        <v>69950.759999999995</v>
      </c>
      <c r="AB2265">
        <v>8086197.9299999997</v>
      </c>
      <c r="AC2265">
        <v>2</v>
      </c>
      <c r="AD2265" t="s">
        <v>134</v>
      </c>
      <c r="AE2265">
        <v>12</v>
      </c>
      <c r="AF2265" t="s">
        <v>528</v>
      </c>
      <c r="AG2265">
        <f>IFERROR(VLOOKUP(AF2265,[1]STOK!J:O,6,0),"")</f>
        <v>6</v>
      </c>
      <c r="AH2265" s="2">
        <f t="shared" si="70"/>
        <v>2</v>
      </c>
      <c r="AI2265" t="s">
        <v>528</v>
      </c>
      <c r="AJ2265" t="s">
        <v>529</v>
      </c>
      <c r="AK2265" t="s">
        <v>530</v>
      </c>
      <c r="AL2265" t="s">
        <v>86</v>
      </c>
      <c r="AM2265">
        <v>358308</v>
      </c>
      <c r="AN2265">
        <f t="shared" si="71"/>
        <v>352933.38</v>
      </c>
      <c r="AO2265" t="s">
        <v>66</v>
      </c>
      <c r="AP2265">
        <v>1.5</v>
      </c>
      <c r="AQ2265" t="s">
        <v>66</v>
      </c>
      <c r="AR2265">
        <v>0</v>
      </c>
      <c r="AS2265" t="s">
        <v>66</v>
      </c>
      <c r="AT2265">
        <v>0</v>
      </c>
      <c r="AU2265" t="s">
        <v>66</v>
      </c>
      <c r="AV2265">
        <v>0</v>
      </c>
      <c r="AW2265" t="s">
        <v>66</v>
      </c>
      <c r="AX2265">
        <v>0</v>
      </c>
      <c r="AY2265" t="s">
        <v>66</v>
      </c>
      <c r="AZ2265">
        <v>0</v>
      </c>
      <c r="BA2265" t="s">
        <v>66</v>
      </c>
      <c r="BB2265">
        <v>0</v>
      </c>
      <c r="BC2265">
        <v>0</v>
      </c>
      <c r="BD2265">
        <v>705866.76</v>
      </c>
      <c r="BE2265">
        <v>48433.83</v>
      </c>
      <c r="BF2265">
        <v>0</v>
      </c>
      <c r="BG2265" t="s">
        <v>87</v>
      </c>
      <c r="BH2265" t="s">
        <v>66</v>
      </c>
      <c r="BI2265">
        <v>0</v>
      </c>
      <c r="BJ2265" t="s">
        <v>66</v>
      </c>
      <c r="BK2265" t="s">
        <v>88</v>
      </c>
      <c r="BL2265" t="s">
        <v>66</v>
      </c>
      <c r="BM2265" t="s">
        <v>159</v>
      </c>
    </row>
    <row r="2266" spans="1:65" x14ac:dyDescent="0.25">
      <c r="A2266">
        <v>2264</v>
      </c>
      <c r="B2266" t="s">
        <v>2100</v>
      </c>
      <c r="C2266" t="s">
        <v>68</v>
      </c>
      <c r="D2266" s="1">
        <v>46234</v>
      </c>
      <c r="E2266" t="s">
        <v>2101</v>
      </c>
      <c r="F2266" t="s">
        <v>68</v>
      </c>
      <c r="G2266" t="s">
        <v>69</v>
      </c>
      <c r="H2266" t="s">
        <v>70</v>
      </c>
      <c r="I2266" t="s">
        <v>71</v>
      </c>
      <c r="J2266" t="s">
        <v>72</v>
      </c>
      <c r="K2266" t="s">
        <v>73</v>
      </c>
      <c r="L2266" t="s">
        <v>74</v>
      </c>
      <c r="M2266" t="s">
        <v>820</v>
      </c>
      <c r="N2266" t="s">
        <v>111</v>
      </c>
      <c r="O2266" t="s">
        <v>821</v>
      </c>
      <c r="P2266" t="s">
        <v>822</v>
      </c>
      <c r="Q2266" t="s">
        <v>66</v>
      </c>
      <c r="R2266" s="1">
        <v>46234</v>
      </c>
      <c r="S2266" t="s">
        <v>824</v>
      </c>
      <c r="T2266" t="s">
        <v>825</v>
      </c>
      <c r="U2266" t="s">
        <v>826</v>
      </c>
      <c r="V2266" t="s">
        <v>66</v>
      </c>
      <c r="W2266" t="s">
        <v>66</v>
      </c>
      <c r="X2266">
        <v>7284863</v>
      </c>
      <c r="Y2266">
        <v>801334.93</v>
      </c>
      <c r="Z2266">
        <v>317958</v>
      </c>
      <c r="AA2266">
        <v>34975.379999999997</v>
      </c>
      <c r="AB2266">
        <v>8086197.9299999997</v>
      </c>
      <c r="AC2266">
        <v>1</v>
      </c>
      <c r="AD2266" t="s">
        <v>134</v>
      </c>
      <c r="AE2266">
        <v>6</v>
      </c>
      <c r="AF2266" t="s">
        <v>878</v>
      </c>
      <c r="AG2266">
        <f>IFERROR(VLOOKUP(AF2266,[1]STOK!J:O,6,0),"")</f>
        <v>6</v>
      </c>
      <c r="AH2266" s="2">
        <f t="shared" si="70"/>
        <v>1</v>
      </c>
      <c r="AI2266" t="s">
        <v>878</v>
      </c>
      <c r="AJ2266" t="s">
        <v>879</v>
      </c>
      <c r="AK2266" t="s">
        <v>880</v>
      </c>
      <c r="AL2266" t="s">
        <v>86</v>
      </c>
      <c r="AM2266">
        <v>358308</v>
      </c>
      <c r="AN2266">
        <f t="shared" si="71"/>
        <v>352933.38</v>
      </c>
      <c r="AO2266" t="s">
        <v>66</v>
      </c>
      <c r="AP2266">
        <v>1.5</v>
      </c>
      <c r="AQ2266" t="s">
        <v>66</v>
      </c>
      <c r="AR2266">
        <v>0</v>
      </c>
      <c r="AS2266" t="s">
        <v>66</v>
      </c>
      <c r="AT2266">
        <v>0</v>
      </c>
      <c r="AU2266" t="s">
        <v>66</v>
      </c>
      <c r="AV2266">
        <v>0</v>
      </c>
      <c r="AW2266" t="s">
        <v>66</v>
      </c>
      <c r="AX2266">
        <v>0</v>
      </c>
      <c r="AY2266" t="s">
        <v>66</v>
      </c>
      <c r="AZ2266">
        <v>0</v>
      </c>
      <c r="BA2266" t="s">
        <v>66</v>
      </c>
      <c r="BB2266">
        <v>0</v>
      </c>
      <c r="BC2266">
        <v>0</v>
      </c>
      <c r="BD2266">
        <v>352933.38</v>
      </c>
      <c r="BE2266">
        <v>45308.94</v>
      </c>
      <c r="BF2266">
        <v>0</v>
      </c>
      <c r="BG2266" t="s">
        <v>87</v>
      </c>
      <c r="BH2266" t="s">
        <v>66</v>
      </c>
      <c r="BI2266">
        <v>0</v>
      </c>
      <c r="BJ2266" t="s">
        <v>66</v>
      </c>
      <c r="BK2266" t="s">
        <v>88</v>
      </c>
      <c r="BL2266" t="s">
        <v>66</v>
      </c>
      <c r="BM2266" t="s">
        <v>159</v>
      </c>
    </row>
    <row r="2267" spans="1:65" x14ac:dyDescent="0.25">
      <c r="A2267">
        <v>2265</v>
      </c>
      <c r="B2267" t="s">
        <v>2100</v>
      </c>
      <c r="C2267" t="s">
        <v>68</v>
      </c>
      <c r="D2267" s="1">
        <v>46234</v>
      </c>
      <c r="E2267" t="s">
        <v>2101</v>
      </c>
      <c r="F2267" t="s">
        <v>68</v>
      </c>
      <c r="G2267" t="s">
        <v>69</v>
      </c>
      <c r="H2267" t="s">
        <v>70</v>
      </c>
      <c r="I2267" t="s">
        <v>71</v>
      </c>
      <c r="J2267" t="s">
        <v>72</v>
      </c>
      <c r="K2267" t="s">
        <v>73</v>
      </c>
      <c r="L2267" t="s">
        <v>74</v>
      </c>
      <c r="M2267" t="s">
        <v>820</v>
      </c>
      <c r="N2267" t="s">
        <v>111</v>
      </c>
      <c r="O2267" t="s">
        <v>821</v>
      </c>
      <c r="P2267" t="s">
        <v>822</v>
      </c>
      <c r="Q2267" t="s">
        <v>66</v>
      </c>
      <c r="R2267" s="1">
        <v>46234</v>
      </c>
      <c r="S2267" t="s">
        <v>824</v>
      </c>
      <c r="T2267" t="s">
        <v>825</v>
      </c>
      <c r="U2267" t="s">
        <v>826</v>
      </c>
      <c r="V2267" t="s">
        <v>66</v>
      </c>
      <c r="W2267" t="s">
        <v>66</v>
      </c>
      <c r="X2267">
        <v>7284863</v>
      </c>
      <c r="Y2267">
        <v>801334.93</v>
      </c>
      <c r="Z2267">
        <v>198576</v>
      </c>
      <c r="AA2267">
        <v>21843.360000000001</v>
      </c>
      <c r="AB2267">
        <v>8086197.9299999997</v>
      </c>
      <c r="AC2267">
        <v>1</v>
      </c>
      <c r="AD2267" t="s">
        <v>134</v>
      </c>
      <c r="AE2267">
        <v>4</v>
      </c>
      <c r="AF2267" t="s">
        <v>1058</v>
      </c>
      <c r="AG2267">
        <f>IFERROR(VLOOKUP(AF2267,[1]STOK!J:O,6,0),"")</f>
        <v>4</v>
      </c>
      <c r="AH2267" s="2">
        <f t="shared" si="70"/>
        <v>1</v>
      </c>
      <c r="AI2267" t="s">
        <v>1058</v>
      </c>
      <c r="AJ2267" t="s">
        <v>1059</v>
      </c>
      <c r="AK2267" t="s">
        <v>1060</v>
      </c>
      <c r="AL2267" t="s">
        <v>86</v>
      </c>
      <c r="AM2267">
        <v>223776</v>
      </c>
      <c r="AN2267">
        <f t="shared" si="71"/>
        <v>220419.36</v>
      </c>
      <c r="AO2267" t="s">
        <v>66</v>
      </c>
      <c r="AP2267">
        <v>1.5</v>
      </c>
      <c r="AQ2267" t="s">
        <v>66</v>
      </c>
      <c r="AR2267">
        <v>0</v>
      </c>
      <c r="AS2267" t="s">
        <v>66</v>
      </c>
      <c r="AT2267">
        <v>0</v>
      </c>
      <c r="AU2267" t="s">
        <v>66</v>
      </c>
      <c r="AV2267">
        <v>0</v>
      </c>
      <c r="AW2267" t="s">
        <v>66</v>
      </c>
      <c r="AX2267">
        <v>0</v>
      </c>
      <c r="AY2267" t="s">
        <v>66</v>
      </c>
      <c r="AZ2267">
        <v>0</v>
      </c>
      <c r="BA2267" t="s">
        <v>66</v>
      </c>
      <c r="BB2267">
        <v>0</v>
      </c>
      <c r="BC2267">
        <v>0</v>
      </c>
      <c r="BD2267">
        <v>220419.36</v>
      </c>
      <c r="BE2267">
        <v>45063.519999999997</v>
      </c>
      <c r="BF2267">
        <v>0</v>
      </c>
      <c r="BG2267" t="s">
        <v>87</v>
      </c>
      <c r="BH2267" t="s">
        <v>66</v>
      </c>
      <c r="BI2267">
        <v>0</v>
      </c>
      <c r="BJ2267" t="s">
        <v>66</v>
      </c>
      <c r="BK2267" t="s">
        <v>88</v>
      </c>
      <c r="BL2267" t="s">
        <v>66</v>
      </c>
      <c r="BM2267" t="s">
        <v>159</v>
      </c>
    </row>
    <row r="2268" spans="1:65" x14ac:dyDescent="0.25">
      <c r="A2268">
        <v>2266</v>
      </c>
      <c r="B2268" t="s">
        <v>2100</v>
      </c>
      <c r="C2268" t="s">
        <v>68</v>
      </c>
      <c r="D2268" s="1">
        <v>46234</v>
      </c>
      <c r="E2268" t="s">
        <v>2101</v>
      </c>
      <c r="F2268" t="s">
        <v>68</v>
      </c>
      <c r="G2268" t="s">
        <v>69</v>
      </c>
      <c r="H2268" t="s">
        <v>70</v>
      </c>
      <c r="I2268" t="s">
        <v>71</v>
      </c>
      <c r="J2268" t="s">
        <v>72</v>
      </c>
      <c r="K2268" t="s">
        <v>73</v>
      </c>
      <c r="L2268" t="s">
        <v>74</v>
      </c>
      <c r="M2268" t="s">
        <v>820</v>
      </c>
      <c r="N2268" t="s">
        <v>111</v>
      </c>
      <c r="O2268" t="s">
        <v>821</v>
      </c>
      <c r="P2268" t="s">
        <v>822</v>
      </c>
      <c r="Q2268" t="s">
        <v>66</v>
      </c>
      <c r="R2268" s="1">
        <v>46234</v>
      </c>
      <c r="S2268" t="s">
        <v>824</v>
      </c>
      <c r="T2268" t="s">
        <v>825</v>
      </c>
      <c r="U2268" t="s">
        <v>826</v>
      </c>
      <c r="V2268" t="s">
        <v>66</v>
      </c>
      <c r="W2268" t="s">
        <v>66</v>
      </c>
      <c r="X2268">
        <v>7284863</v>
      </c>
      <c r="Y2268">
        <v>801334.93</v>
      </c>
      <c r="Z2268">
        <v>898320</v>
      </c>
      <c r="AA2268">
        <v>98815.2</v>
      </c>
      <c r="AB2268">
        <v>8086197.9299999997</v>
      </c>
      <c r="AC2268">
        <v>4</v>
      </c>
      <c r="AD2268" t="s">
        <v>134</v>
      </c>
      <c r="AE2268">
        <v>48</v>
      </c>
      <c r="AF2268" t="s">
        <v>290</v>
      </c>
      <c r="AG2268">
        <f>IFERROR(VLOOKUP(AF2268,[1]STOK!J:O,6,0),"")</f>
        <v>12</v>
      </c>
      <c r="AH2268" s="2">
        <f t="shared" si="70"/>
        <v>4</v>
      </c>
      <c r="AI2268" t="s">
        <v>290</v>
      </c>
      <c r="AJ2268" t="s">
        <v>291</v>
      </c>
      <c r="AK2268" t="s">
        <v>292</v>
      </c>
      <c r="AL2268" t="s">
        <v>86</v>
      </c>
      <c r="AM2268">
        <v>266400</v>
      </c>
      <c r="AN2268">
        <f t="shared" si="71"/>
        <v>249283.8</v>
      </c>
      <c r="AO2268" t="s">
        <v>66</v>
      </c>
      <c r="AP2268">
        <v>1.5</v>
      </c>
      <c r="AQ2268" t="s">
        <v>66</v>
      </c>
      <c r="AR2268">
        <v>0</v>
      </c>
      <c r="AS2268" t="s">
        <v>66</v>
      </c>
      <c r="AT2268">
        <v>0</v>
      </c>
      <c r="AU2268" t="s">
        <v>66</v>
      </c>
      <c r="AV2268">
        <v>5</v>
      </c>
      <c r="AW2268" t="s">
        <v>66</v>
      </c>
      <c r="AX2268">
        <v>0</v>
      </c>
      <c r="AY2268" t="s">
        <v>66</v>
      </c>
      <c r="AZ2268">
        <v>0</v>
      </c>
      <c r="BA2268" t="s">
        <v>66</v>
      </c>
      <c r="BB2268">
        <v>0</v>
      </c>
      <c r="BC2268">
        <v>0</v>
      </c>
      <c r="BD2268">
        <v>997135.2</v>
      </c>
      <c r="BE2268">
        <v>18113.71</v>
      </c>
      <c r="BF2268">
        <v>0</v>
      </c>
      <c r="BG2268" t="s">
        <v>87</v>
      </c>
      <c r="BH2268" t="s">
        <v>66</v>
      </c>
      <c r="BI2268">
        <v>0</v>
      </c>
      <c r="BJ2268" t="s">
        <v>66</v>
      </c>
      <c r="BK2268" t="s">
        <v>88</v>
      </c>
      <c r="BL2268" t="s">
        <v>66</v>
      </c>
      <c r="BM2268" t="s">
        <v>159</v>
      </c>
    </row>
    <row r="2269" spans="1:65" x14ac:dyDescent="0.25">
      <c r="A2269">
        <v>2267</v>
      </c>
      <c r="B2269" t="s">
        <v>2100</v>
      </c>
      <c r="C2269" t="s">
        <v>68</v>
      </c>
      <c r="D2269" s="1">
        <v>46234</v>
      </c>
      <c r="E2269" t="s">
        <v>2101</v>
      </c>
      <c r="F2269" t="s">
        <v>68</v>
      </c>
      <c r="G2269" t="s">
        <v>69</v>
      </c>
      <c r="H2269" t="s">
        <v>70</v>
      </c>
      <c r="I2269" t="s">
        <v>71</v>
      </c>
      <c r="J2269" t="s">
        <v>72</v>
      </c>
      <c r="K2269" t="s">
        <v>73</v>
      </c>
      <c r="L2269" t="s">
        <v>74</v>
      </c>
      <c r="M2269" t="s">
        <v>820</v>
      </c>
      <c r="N2269" t="s">
        <v>111</v>
      </c>
      <c r="O2269" t="s">
        <v>821</v>
      </c>
      <c r="P2269" t="s">
        <v>822</v>
      </c>
      <c r="Q2269" t="s">
        <v>66</v>
      </c>
      <c r="R2269" s="1">
        <v>46234</v>
      </c>
      <c r="S2269" t="s">
        <v>824</v>
      </c>
      <c r="T2269" t="s">
        <v>825</v>
      </c>
      <c r="U2269" t="s">
        <v>826</v>
      </c>
      <c r="V2269" t="s">
        <v>66</v>
      </c>
      <c r="W2269" t="s">
        <v>66</v>
      </c>
      <c r="X2269">
        <v>7284863</v>
      </c>
      <c r="Y2269">
        <v>801334.93</v>
      </c>
      <c r="Z2269">
        <v>224580</v>
      </c>
      <c r="AA2269">
        <v>24703.8</v>
      </c>
      <c r="AB2269">
        <v>8086197.9299999997</v>
      </c>
      <c r="AC2269">
        <v>1</v>
      </c>
      <c r="AD2269" t="s">
        <v>134</v>
      </c>
      <c r="AE2269">
        <v>12</v>
      </c>
      <c r="AF2269" t="s">
        <v>102</v>
      </c>
      <c r="AG2269">
        <f>IFERROR(VLOOKUP(AF2269,[1]STOK!J:O,6,0),"")</f>
        <v>12</v>
      </c>
      <c r="AH2269" s="2">
        <f t="shared" si="70"/>
        <v>1</v>
      </c>
      <c r="AI2269" t="s">
        <v>102</v>
      </c>
      <c r="AJ2269" t="s">
        <v>103</v>
      </c>
      <c r="AK2269" t="s">
        <v>104</v>
      </c>
      <c r="AL2269" t="s">
        <v>86</v>
      </c>
      <c r="AM2269">
        <v>266400</v>
      </c>
      <c r="AN2269">
        <f t="shared" si="71"/>
        <v>249283.8</v>
      </c>
      <c r="AO2269" t="s">
        <v>66</v>
      </c>
      <c r="AP2269">
        <v>1.5</v>
      </c>
      <c r="AQ2269" t="s">
        <v>66</v>
      </c>
      <c r="AR2269">
        <v>0</v>
      </c>
      <c r="AS2269" t="s">
        <v>66</v>
      </c>
      <c r="AT2269">
        <v>0</v>
      </c>
      <c r="AU2269" t="s">
        <v>66</v>
      </c>
      <c r="AV2269">
        <v>5</v>
      </c>
      <c r="AW2269" t="s">
        <v>66</v>
      </c>
      <c r="AX2269">
        <v>0</v>
      </c>
      <c r="AY2269" t="s">
        <v>66</v>
      </c>
      <c r="AZ2269">
        <v>0</v>
      </c>
      <c r="BA2269" t="s">
        <v>66</v>
      </c>
      <c r="BB2269">
        <v>0</v>
      </c>
      <c r="BC2269">
        <v>0</v>
      </c>
      <c r="BD2269">
        <v>249283.8</v>
      </c>
      <c r="BE2269">
        <v>18005.03</v>
      </c>
      <c r="BF2269">
        <v>0</v>
      </c>
      <c r="BG2269" t="s">
        <v>87</v>
      </c>
      <c r="BH2269" t="s">
        <v>66</v>
      </c>
      <c r="BI2269">
        <v>0</v>
      </c>
      <c r="BJ2269" t="s">
        <v>66</v>
      </c>
      <c r="BK2269" t="s">
        <v>88</v>
      </c>
      <c r="BL2269" t="s">
        <v>66</v>
      </c>
      <c r="BM2269" t="s">
        <v>159</v>
      </c>
    </row>
    <row r="2270" spans="1:65" x14ac:dyDescent="0.25">
      <c r="A2270">
        <v>2268</v>
      </c>
      <c r="B2270" t="s">
        <v>2102</v>
      </c>
      <c r="C2270" t="s">
        <v>68</v>
      </c>
      <c r="D2270" s="1">
        <v>46234</v>
      </c>
      <c r="E2270" t="s">
        <v>2103</v>
      </c>
      <c r="F2270" t="s">
        <v>68</v>
      </c>
      <c r="G2270" t="s">
        <v>295</v>
      </c>
      <c r="H2270" t="s">
        <v>296</v>
      </c>
      <c r="I2270" t="s">
        <v>71</v>
      </c>
      <c r="J2270" t="s">
        <v>72</v>
      </c>
      <c r="K2270" t="s">
        <v>73</v>
      </c>
      <c r="L2270" t="s">
        <v>74</v>
      </c>
      <c r="M2270" t="s">
        <v>764</v>
      </c>
      <c r="N2270" t="s">
        <v>274</v>
      </c>
      <c r="O2270" t="s">
        <v>765</v>
      </c>
      <c r="P2270" t="s">
        <v>766</v>
      </c>
      <c r="Q2270" t="s">
        <v>66</v>
      </c>
      <c r="R2270" s="1">
        <v>46234</v>
      </c>
      <c r="S2270" t="s">
        <v>768</v>
      </c>
      <c r="T2270" t="s">
        <v>769</v>
      </c>
      <c r="U2270" t="s">
        <v>770</v>
      </c>
      <c r="V2270" t="s">
        <v>66</v>
      </c>
      <c r="W2270" t="s">
        <v>66</v>
      </c>
      <c r="X2270">
        <v>4145427</v>
      </c>
      <c r="Y2270">
        <v>455996.97</v>
      </c>
      <c r="Z2270">
        <v>29997</v>
      </c>
      <c r="AA2270">
        <v>3299.67</v>
      </c>
      <c r="AB2270">
        <v>4601423.97</v>
      </c>
      <c r="AC2270">
        <v>3</v>
      </c>
      <c r="AD2270" t="s">
        <v>82</v>
      </c>
      <c r="AE2270">
        <v>3</v>
      </c>
      <c r="AF2270" t="s">
        <v>746</v>
      </c>
      <c r="AG2270">
        <f>IFERROR(VLOOKUP(AF2270,[1]STOK!J:O,6,0),"")</f>
        <v>24</v>
      </c>
      <c r="AH2270" s="2">
        <f t="shared" si="70"/>
        <v>0.125</v>
      </c>
      <c r="AI2270" t="s">
        <v>746</v>
      </c>
      <c r="AJ2270" t="s">
        <v>747</v>
      </c>
      <c r="AK2270" t="s">
        <v>748</v>
      </c>
      <c r="AL2270" t="s">
        <v>86</v>
      </c>
      <c r="AM2270">
        <v>11211</v>
      </c>
      <c r="AN2270">
        <f t="shared" si="71"/>
        <v>11098.89</v>
      </c>
      <c r="AO2270" t="s">
        <v>66</v>
      </c>
      <c r="AP2270">
        <v>1</v>
      </c>
      <c r="AQ2270" t="s">
        <v>66</v>
      </c>
      <c r="AR2270">
        <v>0</v>
      </c>
      <c r="AS2270" t="s">
        <v>66</v>
      </c>
      <c r="AT2270">
        <v>0</v>
      </c>
      <c r="AU2270" t="s">
        <v>66</v>
      </c>
      <c r="AV2270">
        <v>0</v>
      </c>
      <c r="AW2270" t="s">
        <v>66</v>
      </c>
      <c r="AX2270">
        <v>0</v>
      </c>
      <c r="AY2270" t="s">
        <v>66</v>
      </c>
      <c r="AZ2270">
        <v>0</v>
      </c>
      <c r="BA2270" t="s">
        <v>66</v>
      </c>
      <c r="BB2270">
        <v>0</v>
      </c>
      <c r="BC2270">
        <v>0</v>
      </c>
      <c r="BD2270">
        <v>33296.67</v>
      </c>
      <c r="BE2270">
        <v>8992.76</v>
      </c>
      <c r="BF2270">
        <v>0</v>
      </c>
      <c r="BG2270" t="s">
        <v>87</v>
      </c>
      <c r="BH2270" t="s">
        <v>66</v>
      </c>
      <c r="BI2270">
        <v>0</v>
      </c>
      <c r="BJ2270" t="s">
        <v>66</v>
      </c>
      <c r="BK2270" t="s">
        <v>88</v>
      </c>
      <c r="BL2270" t="s">
        <v>66</v>
      </c>
      <c r="BM2270" t="s">
        <v>159</v>
      </c>
    </row>
    <row r="2271" spans="1:65" x14ac:dyDescent="0.25">
      <c r="A2271">
        <v>2269</v>
      </c>
      <c r="B2271" t="s">
        <v>2102</v>
      </c>
      <c r="C2271" t="s">
        <v>68</v>
      </c>
      <c r="D2271" s="1">
        <v>46234</v>
      </c>
      <c r="E2271" t="s">
        <v>2103</v>
      </c>
      <c r="F2271" t="s">
        <v>68</v>
      </c>
      <c r="G2271" t="s">
        <v>295</v>
      </c>
      <c r="H2271" t="s">
        <v>296</v>
      </c>
      <c r="I2271" t="s">
        <v>71</v>
      </c>
      <c r="J2271" t="s">
        <v>72</v>
      </c>
      <c r="K2271" t="s">
        <v>73</v>
      </c>
      <c r="L2271" t="s">
        <v>74</v>
      </c>
      <c r="M2271" t="s">
        <v>764</v>
      </c>
      <c r="N2271" t="s">
        <v>274</v>
      </c>
      <c r="O2271" t="s">
        <v>765</v>
      </c>
      <c r="P2271" t="s">
        <v>766</v>
      </c>
      <c r="Q2271" t="s">
        <v>66</v>
      </c>
      <c r="R2271" s="1">
        <v>46234</v>
      </c>
      <c r="S2271" t="s">
        <v>768</v>
      </c>
      <c r="T2271" t="s">
        <v>769</v>
      </c>
      <c r="U2271" t="s">
        <v>770</v>
      </c>
      <c r="V2271" t="s">
        <v>66</v>
      </c>
      <c r="W2271" t="s">
        <v>66</v>
      </c>
      <c r="X2271">
        <v>4145427</v>
      </c>
      <c r="Y2271">
        <v>455996.97</v>
      </c>
      <c r="Z2271">
        <v>16929</v>
      </c>
      <c r="AA2271">
        <v>1862.19</v>
      </c>
      <c r="AB2271">
        <v>4601423.97</v>
      </c>
      <c r="AC2271">
        <v>3</v>
      </c>
      <c r="AD2271" t="s">
        <v>82</v>
      </c>
      <c r="AE2271">
        <v>3</v>
      </c>
      <c r="AF2271" t="s">
        <v>90</v>
      </c>
      <c r="AG2271">
        <f>IFERROR(VLOOKUP(AF2271,[1]STOK!J:O,6,0),"")</f>
        <v>48</v>
      </c>
      <c r="AH2271" s="2">
        <f t="shared" si="70"/>
        <v>6.25E-2</v>
      </c>
      <c r="AI2271" t="s">
        <v>90</v>
      </c>
      <c r="AJ2271" t="s">
        <v>91</v>
      </c>
      <c r="AK2271" t="s">
        <v>92</v>
      </c>
      <c r="AL2271" t="s">
        <v>86</v>
      </c>
      <c r="AM2271">
        <v>6327</v>
      </c>
      <c r="AN2271">
        <f t="shared" si="71"/>
        <v>6263.73</v>
      </c>
      <c r="AO2271" t="s">
        <v>66</v>
      </c>
      <c r="AP2271">
        <v>1</v>
      </c>
      <c r="AQ2271" t="s">
        <v>66</v>
      </c>
      <c r="AR2271">
        <v>0</v>
      </c>
      <c r="AS2271" t="s">
        <v>66</v>
      </c>
      <c r="AT2271">
        <v>0</v>
      </c>
      <c r="AU2271" t="s">
        <v>66</v>
      </c>
      <c r="AV2271">
        <v>0</v>
      </c>
      <c r="AW2271" t="s">
        <v>66</v>
      </c>
      <c r="AX2271">
        <v>0</v>
      </c>
      <c r="AY2271" t="s">
        <v>66</v>
      </c>
      <c r="AZ2271">
        <v>0</v>
      </c>
      <c r="BA2271" t="s">
        <v>66</v>
      </c>
      <c r="BB2271">
        <v>0</v>
      </c>
      <c r="BC2271">
        <v>0</v>
      </c>
      <c r="BD2271">
        <v>18791.189999999999</v>
      </c>
      <c r="BE2271">
        <v>4964.97</v>
      </c>
      <c r="BF2271">
        <v>0</v>
      </c>
      <c r="BG2271" t="s">
        <v>87</v>
      </c>
      <c r="BH2271" t="s">
        <v>66</v>
      </c>
      <c r="BI2271">
        <v>0</v>
      </c>
      <c r="BJ2271" t="s">
        <v>66</v>
      </c>
      <c r="BK2271" t="s">
        <v>88</v>
      </c>
      <c r="BL2271" t="s">
        <v>66</v>
      </c>
      <c r="BM2271" t="s">
        <v>159</v>
      </c>
    </row>
    <row r="2272" spans="1:65" x14ac:dyDescent="0.25">
      <c r="A2272">
        <v>2270</v>
      </c>
      <c r="B2272" t="s">
        <v>2102</v>
      </c>
      <c r="C2272" t="s">
        <v>68</v>
      </c>
      <c r="D2272" s="1">
        <v>46234</v>
      </c>
      <c r="E2272" t="s">
        <v>2103</v>
      </c>
      <c r="F2272" t="s">
        <v>68</v>
      </c>
      <c r="G2272" t="s">
        <v>295</v>
      </c>
      <c r="H2272" t="s">
        <v>296</v>
      </c>
      <c r="I2272" t="s">
        <v>71</v>
      </c>
      <c r="J2272" t="s">
        <v>72</v>
      </c>
      <c r="K2272" t="s">
        <v>73</v>
      </c>
      <c r="L2272" t="s">
        <v>74</v>
      </c>
      <c r="M2272" t="s">
        <v>764</v>
      </c>
      <c r="N2272" t="s">
        <v>274</v>
      </c>
      <c r="O2272" t="s">
        <v>765</v>
      </c>
      <c r="P2272" t="s">
        <v>766</v>
      </c>
      <c r="Q2272" t="s">
        <v>66</v>
      </c>
      <c r="R2272" s="1">
        <v>46234</v>
      </c>
      <c r="S2272" t="s">
        <v>768</v>
      </c>
      <c r="T2272" t="s">
        <v>769</v>
      </c>
      <c r="U2272" t="s">
        <v>770</v>
      </c>
      <c r="V2272" t="s">
        <v>66</v>
      </c>
      <c r="W2272" t="s">
        <v>66</v>
      </c>
      <c r="X2272">
        <v>4145427</v>
      </c>
      <c r="Y2272">
        <v>455996.97</v>
      </c>
      <c r="Z2272">
        <v>33858</v>
      </c>
      <c r="AA2272">
        <v>3724.38</v>
      </c>
      <c r="AB2272">
        <v>4601423.97</v>
      </c>
      <c r="AC2272">
        <v>6</v>
      </c>
      <c r="AD2272" t="s">
        <v>82</v>
      </c>
      <c r="AE2272">
        <v>6</v>
      </c>
      <c r="AF2272" t="s">
        <v>202</v>
      </c>
      <c r="AG2272">
        <f>IFERROR(VLOOKUP(AF2272,[1]STOK!J:O,6,0),"")</f>
        <v>48</v>
      </c>
      <c r="AH2272" s="2">
        <f t="shared" si="70"/>
        <v>0.125</v>
      </c>
      <c r="AI2272" t="s">
        <v>202</v>
      </c>
      <c r="AJ2272" t="s">
        <v>203</v>
      </c>
      <c r="AK2272" t="s">
        <v>204</v>
      </c>
      <c r="AL2272" t="s">
        <v>86</v>
      </c>
      <c r="AM2272">
        <v>6327</v>
      </c>
      <c r="AN2272">
        <f t="shared" si="71"/>
        <v>6263.73</v>
      </c>
      <c r="AO2272" t="s">
        <v>66</v>
      </c>
      <c r="AP2272">
        <v>1</v>
      </c>
      <c r="AQ2272" t="s">
        <v>66</v>
      </c>
      <c r="AR2272">
        <v>0</v>
      </c>
      <c r="AS2272" t="s">
        <v>66</v>
      </c>
      <c r="AT2272">
        <v>0</v>
      </c>
      <c r="AU2272" t="s">
        <v>66</v>
      </c>
      <c r="AV2272">
        <v>0</v>
      </c>
      <c r="AW2272" t="s">
        <v>66</v>
      </c>
      <c r="AX2272">
        <v>0</v>
      </c>
      <c r="AY2272" t="s">
        <v>66</v>
      </c>
      <c r="AZ2272">
        <v>0</v>
      </c>
      <c r="BA2272" t="s">
        <v>66</v>
      </c>
      <c r="BB2272">
        <v>0</v>
      </c>
      <c r="BC2272">
        <v>0</v>
      </c>
      <c r="BD2272">
        <v>37582.379999999997</v>
      </c>
      <c r="BE2272">
        <v>5039.6099999999997</v>
      </c>
      <c r="BF2272">
        <v>0</v>
      </c>
      <c r="BG2272" t="s">
        <v>87</v>
      </c>
      <c r="BH2272" t="s">
        <v>66</v>
      </c>
      <c r="BI2272">
        <v>0</v>
      </c>
      <c r="BJ2272" t="s">
        <v>66</v>
      </c>
      <c r="BK2272" t="s">
        <v>88</v>
      </c>
      <c r="BL2272" t="s">
        <v>66</v>
      </c>
      <c r="BM2272" t="s">
        <v>159</v>
      </c>
    </row>
    <row r="2273" spans="1:65" x14ac:dyDescent="0.25">
      <c r="A2273">
        <v>2271</v>
      </c>
      <c r="B2273" t="s">
        <v>2102</v>
      </c>
      <c r="C2273" t="s">
        <v>68</v>
      </c>
      <c r="D2273" s="1">
        <v>46234</v>
      </c>
      <c r="E2273" t="s">
        <v>2103</v>
      </c>
      <c r="F2273" t="s">
        <v>68</v>
      </c>
      <c r="G2273" t="s">
        <v>295</v>
      </c>
      <c r="H2273" t="s">
        <v>296</v>
      </c>
      <c r="I2273" t="s">
        <v>71</v>
      </c>
      <c r="J2273" t="s">
        <v>72</v>
      </c>
      <c r="K2273" t="s">
        <v>73</v>
      </c>
      <c r="L2273" t="s">
        <v>74</v>
      </c>
      <c r="M2273" t="s">
        <v>764</v>
      </c>
      <c r="N2273" t="s">
        <v>274</v>
      </c>
      <c r="O2273" t="s">
        <v>765</v>
      </c>
      <c r="P2273" t="s">
        <v>766</v>
      </c>
      <c r="Q2273" t="s">
        <v>66</v>
      </c>
      <c r="R2273" s="1">
        <v>46234</v>
      </c>
      <c r="S2273" t="s">
        <v>768</v>
      </c>
      <c r="T2273" t="s">
        <v>769</v>
      </c>
      <c r="U2273" t="s">
        <v>770</v>
      </c>
      <c r="V2273" t="s">
        <v>66</v>
      </c>
      <c r="W2273" t="s">
        <v>66</v>
      </c>
      <c r="X2273">
        <v>4145427</v>
      </c>
      <c r="Y2273">
        <v>455996.97</v>
      </c>
      <c r="Z2273">
        <v>16929</v>
      </c>
      <c r="AA2273">
        <v>1862.19</v>
      </c>
      <c r="AB2273">
        <v>4601423.97</v>
      </c>
      <c r="AC2273">
        <v>3</v>
      </c>
      <c r="AD2273" t="s">
        <v>82</v>
      </c>
      <c r="AE2273">
        <v>3</v>
      </c>
      <c r="AF2273" t="s">
        <v>350</v>
      </c>
      <c r="AG2273">
        <f>IFERROR(VLOOKUP(AF2273,[1]STOK!J:O,6,0),"")</f>
        <v>48</v>
      </c>
      <c r="AH2273" s="2">
        <f t="shared" si="70"/>
        <v>6.25E-2</v>
      </c>
      <c r="AI2273" t="s">
        <v>350</v>
      </c>
      <c r="AJ2273" t="s">
        <v>351</v>
      </c>
      <c r="AK2273" t="s">
        <v>352</v>
      </c>
      <c r="AL2273" t="s">
        <v>86</v>
      </c>
      <c r="AM2273">
        <v>6327</v>
      </c>
      <c r="AN2273">
        <f t="shared" si="71"/>
        <v>6263.73</v>
      </c>
      <c r="AO2273" t="s">
        <v>66</v>
      </c>
      <c r="AP2273">
        <v>1</v>
      </c>
      <c r="AQ2273" t="s">
        <v>66</v>
      </c>
      <c r="AR2273">
        <v>0</v>
      </c>
      <c r="AS2273" t="s">
        <v>66</v>
      </c>
      <c r="AT2273">
        <v>0</v>
      </c>
      <c r="AU2273" t="s">
        <v>66</v>
      </c>
      <c r="AV2273">
        <v>0</v>
      </c>
      <c r="AW2273" t="s">
        <v>66</v>
      </c>
      <c r="AX2273">
        <v>0</v>
      </c>
      <c r="AY2273" t="s">
        <v>66</v>
      </c>
      <c r="AZ2273">
        <v>0</v>
      </c>
      <c r="BA2273" t="s">
        <v>66</v>
      </c>
      <c r="BB2273">
        <v>0</v>
      </c>
      <c r="BC2273">
        <v>0</v>
      </c>
      <c r="BD2273">
        <v>18791.189999999999</v>
      </c>
      <c r="BE2273">
        <v>5068.84</v>
      </c>
      <c r="BF2273">
        <v>0</v>
      </c>
      <c r="BG2273" t="s">
        <v>87</v>
      </c>
      <c r="BH2273" t="s">
        <v>66</v>
      </c>
      <c r="BI2273">
        <v>0</v>
      </c>
      <c r="BJ2273" t="s">
        <v>66</v>
      </c>
      <c r="BK2273" t="s">
        <v>88</v>
      </c>
      <c r="BL2273" t="s">
        <v>66</v>
      </c>
      <c r="BM2273" t="s">
        <v>159</v>
      </c>
    </row>
    <row r="2274" spans="1:65" x14ac:dyDescent="0.25">
      <c r="A2274">
        <v>2272</v>
      </c>
      <c r="B2274" t="s">
        <v>2102</v>
      </c>
      <c r="C2274" t="s">
        <v>68</v>
      </c>
      <c r="D2274" s="1">
        <v>46234</v>
      </c>
      <c r="E2274" t="s">
        <v>2103</v>
      </c>
      <c r="F2274" t="s">
        <v>68</v>
      </c>
      <c r="G2274" t="s">
        <v>295</v>
      </c>
      <c r="H2274" t="s">
        <v>296</v>
      </c>
      <c r="I2274" t="s">
        <v>71</v>
      </c>
      <c r="J2274" t="s">
        <v>72</v>
      </c>
      <c r="K2274" t="s">
        <v>73</v>
      </c>
      <c r="L2274" t="s">
        <v>74</v>
      </c>
      <c r="M2274" t="s">
        <v>764</v>
      </c>
      <c r="N2274" t="s">
        <v>274</v>
      </c>
      <c r="O2274" t="s">
        <v>765</v>
      </c>
      <c r="P2274" t="s">
        <v>766</v>
      </c>
      <c r="Q2274" t="s">
        <v>66</v>
      </c>
      <c r="R2274" s="1">
        <v>46234</v>
      </c>
      <c r="S2274" t="s">
        <v>768</v>
      </c>
      <c r="T2274" t="s">
        <v>769</v>
      </c>
      <c r="U2274" t="s">
        <v>770</v>
      </c>
      <c r="V2274" t="s">
        <v>66</v>
      </c>
      <c r="W2274" t="s">
        <v>66</v>
      </c>
      <c r="X2274">
        <v>4145427</v>
      </c>
      <c r="Y2274">
        <v>455996.97</v>
      </c>
      <c r="Z2274">
        <v>81081</v>
      </c>
      <c r="AA2274">
        <v>8918.91</v>
      </c>
      <c r="AB2274">
        <v>4601423.97</v>
      </c>
      <c r="AC2274">
        <v>3</v>
      </c>
      <c r="AD2274" t="s">
        <v>82</v>
      </c>
      <c r="AE2274">
        <v>3</v>
      </c>
      <c r="AF2274" t="s">
        <v>306</v>
      </c>
      <c r="AG2274">
        <f>IFERROR(VLOOKUP(AF2274,[1]STOK!J:O,6,0),"")</f>
        <v>12</v>
      </c>
      <c r="AH2274" s="2">
        <f t="shared" si="70"/>
        <v>0.25</v>
      </c>
      <c r="AI2274" t="s">
        <v>306</v>
      </c>
      <c r="AJ2274" t="s">
        <v>307</v>
      </c>
      <c r="AK2274" t="s">
        <v>308</v>
      </c>
      <c r="AL2274" t="s">
        <v>86</v>
      </c>
      <c r="AM2274">
        <v>30303</v>
      </c>
      <c r="AN2274">
        <f t="shared" si="71"/>
        <v>29999.97</v>
      </c>
      <c r="AO2274" t="s">
        <v>66</v>
      </c>
      <c r="AP2274">
        <v>1</v>
      </c>
      <c r="AQ2274" t="s">
        <v>66</v>
      </c>
      <c r="AR2274">
        <v>0</v>
      </c>
      <c r="AS2274" t="s">
        <v>66</v>
      </c>
      <c r="AT2274">
        <v>0</v>
      </c>
      <c r="AU2274" t="s">
        <v>66</v>
      </c>
      <c r="AV2274">
        <v>0</v>
      </c>
      <c r="AW2274" t="s">
        <v>66</v>
      </c>
      <c r="AX2274">
        <v>0</v>
      </c>
      <c r="AY2274" t="s">
        <v>66</v>
      </c>
      <c r="AZ2274">
        <v>0</v>
      </c>
      <c r="BA2274" t="s">
        <v>66</v>
      </c>
      <c r="BB2274">
        <v>0</v>
      </c>
      <c r="BC2274">
        <v>0</v>
      </c>
      <c r="BD2274">
        <v>89999.91</v>
      </c>
      <c r="BE2274">
        <v>24570.18</v>
      </c>
      <c r="BF2274">
        <v>0</v>
      </c>
      <c r="BG2274" t="s">
        <v>87</v>
      </c>
      <c r="BH2274" t="s">
        <v>66</v>
      </c>
      <c r="BI2274">
        <v>0</v>
      </c>
      <c r="BJ2274" t="s">
        <v>66</v>
      </c>
      <c r="BK2274" t="s">
        <v>88</v>
      </c>
      <c r="BL2274" t="s">
        <v>66</v>
      </c>
      <c r="BM2274" t="s">
        <v>159</v>
      </c>
    </row>
    <row r="2275" spans="1:65" x14ac:dyDescent="0.25">
      <c r="A2275">
        <v>2273</v>
      </c>
      <c r="B2275" t="s">
        <v>2102</v>
      </c>
      <c r="C2275" t="s">
        <v>68</v>
      </c>
      <c r="D2275" s="1">
        <v>46234</v>
      </c>
      <c r="E2275" t="s">
        <v>2103</v>
      </c>
      <c r="F2275" t="s">
        <v>68</v>
      </c>
      <c r="G2275" t="s">
        <v>295</v>
      </c>
      <c r="H2275" t="s">
        <v>296</v>
      </c>
      <c r="I2275" t="s">
        <v>71</v>
      </c>
      <c r="J2275" t="s">
        <v>72</v>
      </c>
      <c r="K2275" t="s">
        <v>73</v>
      </c>
      <c r="L2275" t="s">
        <v>74</v>
      </c>
      <c r="M2275" t="s">
        <v>764</v>
      </c>
      <c r="N2275" t="s">
        <v>274</v>
      </c>
      <c r="O2275" t="s">
        <v>765</v>
      </c>
      <c r="P2275" t="s">
        <v>766</v>
      </c>
      <c r="Q2275" t="s">
        <v>66</v>
      </c>
      <c r="R2275" s="1">
        <v>46234</v>
      </c>
      <c r="S2275" t="s">
        <v>768</v>
      </c>
      <c r="T2275" t="s">
        <v>769</v>
      </c>
      <c r="U2275" t="s">
        <v>770</v>
      </c>
      <c r="V2275" t="s">
        <v>66</v>
      </c>
      <c r="W2275" t="s">
        <v>66</v>
      </c>
      <c r="X2275">
        <v>4145427</v>
      </c>
      <c r="Y2275">
        <v>455996.97</v>
      </c>
      <c r="Z2275">
        <v>81081</v>
      </c>
      <c r="AA2275">
        <v>8918.91</v>
      </c>
      <c r="AB2275">
        <v>4601423.97</v>
      </c>
      <c r="AC2275">
        <v>3</v>
      </c>
      <c r="AD2275" t="s">
        <v>82</v>
      </c>
      <c r="AE2275">
        <v>3</v>
      </c>
      <c r="AF2275" t="s">
        <v>563</v>
      </c>
      <c r="AG2275">
        <f>IFERROR(VLOOKUP(AF2275,[1]STOK!J:O,6,0),"")</f>
        <v>12</v>
      </c>
      <c r="AH2275" s="2">
        <f t="shared" si="70"/>
        <v>0.25</v>
      </c>
      <c r="AI2275" t="s">
        <v>563</v>
      </c>
      <c r="AJ2275" t="s">
        <v>564</v>
      </c>
      <c r="AK2275" t="s">
        <v>565</v>
      </c>
      <c r="AL2275" t="s">
        <v>86</v>
      </c>
      <c r="AM2275">
        <v>30303</v>
      </c>
      <c r="AN2275">
        <f t="shared" si="71"/>
        <v>29999.97</v>
      </c>
      <c r="AO2275" t="s">
        <v>66</v>
      </c>
      <c r="AP2275">
        <v>1</v>
      </c>
      <c r="AQ2275" t="s">
        <v>66</v>
      </c>
      <c r="AR2275">
        <v>0</v>
      </c>
      <c r="AS2275" t="s">
        <v>66</v>
      </c>
      <c r="AT2275">
        <v>0</v>
      </c>
      <c r="AU2275" t="s">
        <v>66</v>
      </c>
      <c r="AV2275">
        <v>0</v>
      </c>
      <c r="AW2275" t="s">
        <v>66</v>
      </c>
      <c r="AX2275">
        <v>0</v>
      </c>
      <c r="AY2275" t="s">
        <v>66</v>
      </c>
      <c r="AZ2275">
        <v>0</v>
      </c>
      <c r="BA2275" t="s">
        <v>66</v>
      </c>
      <c r="BB2275">
        <v>0</v>
      </c>
      <c r="BC2275">
        <v>0</v>
      </c>
      <c r="BD2275">
        <v>89999.91</v>
      </c>
      <c r="BE2275">
        <v>24643.38</v>
      </c>
      <c r="BF2275">
        <v>0</v>
      </c>
      <c r="BG2275" t="s">
        <v>87</v>
      </c>
      <c r="BH2275" t="s">
        <v>66</v>
      </c>
      <c r="BI2275">
        <v>0</v>
      </c>
      <c r="BJ2275" t="s">
        <v>66</v>
      </c>
      <c r="BK2275" t="s">
        <v>88</v>
      </c>
      <c r="BL2275" t="s">
        <v>66</v>
      </c>
      <c r="BM2275" t="s">
        <v>159</v>
      </c>
    </row>
    <row r="2276" spans="1:65" x14ac:dyDescent="0.25">
      <c r="A2276">
        <v>2274</v>
      </c>
      <c r="B2276" t="s">
        <v>2102</v>
      </c>
      <c r="C2276" t="s">
        <v>68</v>
      </c>
      <c r="D2276" s="1">
        <v>46234</v>
      </c>
      <c r="E2276" t="s">
        <v>2103</v>
      </c>
      <c r="F2276" t="s">
        <v>68</v>
      </c>
      <c r="G2276" t="s">
        <v>295</v>
      </c>
      <c r="H2276" t="s">
        <v>296</v>
      </c>
      <c r="I2276" t="s">
        <v>71</v>
      </c>
      <c r="J2276" t="s">
        <v>72</v>
      </c>
      <c r="K2276" t="s">
        <v>73</v>
      </c>
      <c r="L2276" t="s">
        <v>74</v>
      </c>
      <c r="M2276" t="s">
        <v>764</v>
      </c>
      <c r="N2276" t="s">
        <v>274</v>
      </c>
      <c r="O2276" t="s">
        <v>765</v>
      </c>
      <c r="P2276" t="s">
        <v>766</v>
      </c>
      <c r="Q2276" t="s">
        <v>66</v>
      </c>
      <c r="R2276" s="1">
        <v>46234</v>
      </c>
      <c r="S2276" t="s">
        <v>768</v>
      </c>
      <c r="T2276" t="s">
        <v>769</v>
      </c>
      <c r="U2276" t="s">
        <v>770</v>
      </c>
      <c r="V2276" t="s">
        <v>66</v>
      </c>
      <c r="W2276" t="s">
        <v>66</v>
      </c>
      <c r="X2276">
        <v>4145427</v>
      </c>
      <c r="Y2276">
        <v>455996.97</v>
      </c>
      <c r="Z2276">
        <v>460944</v>
      </c>
      <c r="AA2276">
        <v>50703.839999999997</v>
      </c>
      <c r="AB2276">
        <v>4601423.97</v>
      </c>
      <c r="AC2276">
        <v>1</v>
      </c>
      <c r="AD2276" t="s">
        <v>134</v>
      </c>
      <c r="AE2276">
        <v>24</v>
      </c>
      <c r="AF2276" t="s">
        <v>467</v>
      </c>
      <c r="AG2276">
        <f>IFERROR(VLOOKUP(AF2276,[1]STOK!J:O,6,0),"")</f>
        <v>24</v>
      </c>
      <c r="AH2276" s="2">
        <f t="shared" si="70"/>
        <v>1</v>
      </c>
      <c r="AI2276" t="s">
        <v>467</v>
      </c>
      <c r="AJ2276" t="s">
        <v>468</v>
      </c>
      <c r="AK2276" t="s">
        <v>469</v>
      </c>
      <c r="AL2276" t="s">
        <v>86</v>
      </c>
      <c r="AM2276">
        <v>516816</v>
      </c>
      <c r="AN2276">
        <f t="shared" si="71"/>
        <v>511647.84</v>
      </c>
      <c r="AO2276" t="s">
        <v>66</v>
      </c>
      <c r="AP2276">
        <v>1</v>
      </c>
      <c r="AQ2276" t="s">
        <v>66</v>
      </c>
      <c r="AR2276">
        <v>0</v>
      </c>
      <c r="AS2276" t="s">
        <v>66</v>
      </c>
      <c r="AT2276">
        <v>0</v>
      </c>
      <c r="AU2276" t="s">
        <v>66</v>
      </c>
      <c r="AV2276">
        <v>0</v>
      </c>
      <c r="AW2276" t="s">
        <v>66</v>
      </c>
      <c r="AX2276">
        <v>0</v>
      </c>
      <c r="AY2276" t="s">
        <v>66</v>
      </c>
      <c r="AZ2276">
        <v>0</v>
      </c>
      <c r="BA2276" t="s">
        <v>66</v>
      </c>
      <c r="BB2276">
        <v>0</v>
      </c>
      <c r="BC2276">
        <v>0</v>
      </c>
      <c r="BD2276">
        <v>511647.84</v>
      </c>
      <c r="BE2276">
        <v>17169.53</v>
      </c>
      <c r="BF2276">
        <v>0</v>
      </c>
      <c r="BG2276" t="s">
        <v>87</v>
      </c>
      <c r="BH2276" t="s">
        <v>66</v>
      </c>
      <c r="BI2276">
        <v>0</v>
      </c>
      <c r="BJ2276" t="s">
        <v>66</v>
      </c>
      <c r="BK2276" t="s">
        <v>88</v>
      </c>
      <c r="BL2276" t="s">
        <v>66</v>
      </c>
      <c r="BM2276" t="s">
        <v>159</v>
      </c>
    </row>
    <row r="2277" spans="1:65" x14ac:dyDescent="0.25">
      <c r="A2277">
        <v>2275</v>
      </c>
      <c r="B2277" t="s">
        <v>2102</v>
      </c>
      <c r="C2277" t="s">
        <v>68</v>
      </c>
      <c r="D2277" s="1">
        <v>46234</v>
      </c>
      <c r="E2277" t="s">
        <v>2103</v>
      </c>
      <c r="F2277" t="s">
        <v>68</v>
      </c>
      <c r="G2277" t="s">
        <v>295</v>
      </c>
      <c r="H2277" t="s">
        <v>296</v>
      </c>
      <c r="I2277" t="s">
        <v>71</v>
      </c>
      <c r="J2277" t="s">
        <v>72</v>
      </c>
      <c r="K2277" t="s">
        <v>73</v>
      </c>
      <c r="L2277" t="s">
        <v>74</v>
      </c>
      <c r="M2277" t="s">
        <v>764</v>
      </c>
      <c r="N2277" t="s">
        <v>274</v>
      </c>
      <c r="O2277" t="s">
        <v>765</v>
      </c>
      <c r="P2277" t="s">
        <v>766</v>
      </c>
      <c r="Q2277" t="s">
        <v>66</v>
      </c>
      <c r="R2277" s="1">
        <v>46234</v>
      </c>
      <c r="S2277" t="s">
        <v>768</v>
      </c>
      <c r="T2277" t="s">
        <v>769</v>
      </c>
      <c r="U2277" t="s">
        <v>770</v>
      </c>
      <c r="V2277" t="s">
        <v>66</v>
      </c>
      <c r="W2277" t="s">
        <v>66</v>
      </c>
      <c r="X2277">
        <v>4145427</v>
      </c>
      <c r="Y2277">
        <v>455996.97</v>
      </c>
      <c r="Z2277">
        <v>100386</v>
      </c>
      <c r="AA2277">
        <v>11042.46</v>
      </c>
      <c r="AB2277">
        <v>4601423.97</v>
      </c>
      <c r="AC2277">
        <v>3</v>
      </c>
      <c r="AD2277" t="s">
        <v>82</v>
      </c>
      <c r="AE2277">
        <v>3</v>
      </c>
      <c r="AF2277" t="s">
        <v>771</v>
      </c>
      <c r="AG2277">
        <f>IFERROR(VLOOKUP(AF2277,[1]STOK!J:O,6,0),"")</f>
        <v>12</v>
      </c>
      <c r="AH2277" s="2">
        <f t="shared" si="70"/>
        <v>0.25</v>
      </c>
      <c r="AI2277" t="s">
        <v>771</v>
      </c>
      <c r="AJ2277" t="s">
        <v>772</v>
      </c>
      <c r="AK2277" t="s">
        <v>773</v>
      </c>
      <c r="AL2277" t="s">
        <v>86</v>
      </c>
      <c r="AM2277">
        <v>37518</v>
      </c>
      <c r="AN2277">
        <f t="shared" si="71"/>
        <v>37142.82</v>
      </c>
      <c r="AO2277" t="s">
        <v>66</v>
      </c>
      <c r="AP2277">
        <v>1</v>
      </c>
      <c r="AQ2277" t="s">
        <v>66</v>
      </c>
      <c r="AR2277">
        <v>0</v>
      </c>
      <c r="AS2277" t="s">
        <v>66</v>
      </c>
      <c r="AT2277">
        <v>0</v>
      </c>
      <c r="AU2277" t="s">
        <v>66</v>
      </c>
      <c r="AV2277">
        <v>0</v>
      </c>
      <c r="AW2277" t="s">
        <v>66</v>
      </c>
      <c r="AX2277">
        <v>0</v>
      </c>
      <c r="AY2277" t="s">
        <v>66</v>
      </c>
      <c r="AZ2277">
        <v>0</v>
      </c>
      <c r="BA2277" t="s">
        <v>66</v>
      </c>
      <c r="BB2277">
        <v>0</v>
      </c>
      <c r="BC2277">
        <v>0</v>
      </c>
      <c r="BD2277">
        <v>111428.46</v>
      </c>
      <c r="BE2277">
        <v>28313.13</v>
      </c>
      <c r="BF2277">
        <v>0</v>
      </c>
      <c r="BG2277" t="s">
        <v>87</v>
      </c>
      <c r="BH2277" t="s">
        <v>66</v>
      </c>
      <c r="BI2277">
        <v>0</v>
      </c>
      <c r="BJ2277" t="s">
        <v>66</v>
      </c>
      <c r="BK2277" t="s">
        <v>88</v>
      </c>
      <c r="BL2277" t="s">
        <v>66</v>
      </c>
      <c r="BM2277" t="s">
        <v>159</v>
      </c>
    </row>
    <row r="2278" spans="1:65" x14ac:dyDescent="0.25">
      <c r="A2278">
        <v>2276</v>
      </c>
      <c r="B2278" t="s">
        <v>2102</v>
      </c>
      <c r="C2278" t="s">
        <v>68</v>
      </c>
      <c r="D2278" s="1">
        <v>46234</v>
      </c>
      <c r="E2278" t="s">
        <v>2103</v>
      </c>
      <c r="F2278" t="s">
        <v>68</v>
      </c>
      <c r="G2278" t="s">
        <v>295</v>
      </c>
      <c r="H2278" t="s">
        <v>296</v>
      </c>
      <c r="I2278" t="s">
        <v>71</v>
      </c>
      <c r="J2278" t="s">
        <v>72</v>
      </c>
      <c r="K2278" t="s">
        <v>73</v>
      </c>
      <c r="L2278" t="s">
        <v>74</v>
      </c>
      <c r="M2278" t="s">
        <v>764</v>
      </c>
      <c r="N2278" t="s">
        <v>274</v>
      </c>
      <c r="O2278" t="s">
        <v>765</v>
      </c>
      <c r="P2278" t="s">
        <v>766</v>
      </c>
      <c r="Q2278" t="s">
        <v>66</v>
      </c>
      <c r="R2278" s="1">
        <v>46234</v>
      </c>
      <c r="S2278" t="s">
        <v>768</v>
      </c>
      <c r="T2278" t="s">
        <v>769</v>
      </c>
      <c r="U2278" t="s">
        <v>770</v>
      </c>
      <c r="V2278" t="s">
        <v>66</v>
      </c>
      <c r="W2278" t="s">
        <v>66</v>
      </c>
      <c r="X2278">
        <v>4145427</v>
      </c>
      <c r="Y2278">
        <v>455996.97</v>
      </c>
      <c r="Z2278">
        <v>53856</v>
      </c>
      <c r="AA2278">
        <v>5924.16</v>
      </c>
      <c r="AB2278">
        <v>4601423.97</v>
      </c>
      <c r="AC2278">
        <v>2</v>
      </c>
      <c r="AD2278" t="s">
        <v>82</v>
      </c>
      <c r="AE2278">
        <v>2</v>
      </c>
      <c r="AF2278" t="s">
        <v>498</v>
      </c>
      <c r="AG2278">
        <f>IFERROR(VLOOKUP(AF2278,[1]STOK!J:O,6,0),"")</f>
        <v>12</v>
      </c>
      <c r="AH2278" s="2">
        <f t="shared" si="70"/>
        <v>0.16666666666666666</v>
      </c>
      <c r="AI2278" t="s">
        <v>498</v>
      </c>
      <c r="AJ2278" t="s">
        <v>499</v>
      </c>
      <c r="AK2278" t="s">
        <v>500</v>
      </c>
      <c r="AL2278" t="s">
        <v>86</v>
      </c>
      <c r="AM2278">
        <v>30192</v>
      </c>
      <c r="AN2278">
        <f t="shared" si="71"/>
        <v>29890.080000000002</v>
      </c>
      <c r="AO2278" t="s">
        <v>66</v>
      </c>
      <c r="AP2278">
        <v>1</v>
      </c>
      <c r="AQ2278" t="s">
        <v>66</v>
      </c>
      <c r="AR2278">
        <v>0</v>
      </c>
      <c r="AS2278" t="s">
        <v>66</v>
      </c>
      <c r="AT2278">
        <v>0</v>
      </c>
      <c r="AU2278" t="s">
        <v>66</v>
      </c>
      <c r="AV2278">
        <v>0</v>
      </c>
      <c r="AW2278" t="s">
        <v>66</v>
      </c>
      <c r="AX2278">
        <v>0</v>
      </c>
      <c r="AY2278" t="s">
        <v>66</v>
      </c>
      <c r="AZ2278">
        <v>0</v>
      </c>
      <c r="BA2278" t="s">
        <v>66</v>
      </c>
      <c r="BB2278">
        <v>0</v>
      </c>
      <c r="BC2278">
        <v>0</v>
      </c>
      <c r="BD2278">
        <v>59780.160000000003</v>
      </c>
      <c r="BE2278">
        <v>24254.560000000001</v>
      </c>
      <c r="BF2278">
        <v>0</v>
      </c>
      <c r="BG2278" t="s">
        <v>87</v>
      </c>
      <c r="BH2278" t="s">
        <v>66</v>
      </c>
      <c r="BI2278">
        <v>0</v>
      </c>
      <c r="BJ2278" t="s">
        <v>66</v>
      </c>
      <c r="BK2278" t="s">
        <v>88</v>
      </c>
      <c r="BL2278" t="s">
        <v>66</v>
      </c>
      <c r="BM2278" t="s">
        <v>159</v>
      </c>
    </row>
    <row r="2279" spans="1:65" x14ac:dyDescent="0.25">
      <c r="A2279">
        <v>2277</v>
      </c>
      <c r="B2279" t="s">
        <v>2102</v>
      </c>
      <c r="C2279" t="s">
        <v>68</v>
      </c>
      <c r="D2279" s="1">
        <v>46234</v>
      </c>
      <c r="E2279" t="s">
        <v>2103</v>
      </c>
      <c r="F2279" t="s">
        <v>68</v>
      </c>
      <c r="G2279" t="s">
        <v>295</v>
      </c>
      <c r="H2279" t="s">
        <v>296</v>
      </c>
      <c r="I2279" t="s">
        <v>71</v>
      </c>
      <c r="J2279" t="s">
        <v>72</v>
      </c>
      <c r="K2279" t="s">
        <v>73</v>
      </c>
      <c r="L2279" t="s">
        <v>74</v>
      </c>
      <c r="M2279" t="s">
        <v>764</v>
      </c>
      <c r="N2279" t="s">
        <v>274</v>
      </c>
      <c r="O2279" t="s">
        <v>765</v>
      </c>
      <c r="P2279" t="s">
        <v>766</v>
      </c>
      <c r="Q2279" t="s">
        <v>66</v>
      </c>
      <c r="R2279" s="1">
        <v>46234</v>
      </c>
      <c r="S2279" t="s">
        <v>768</v>
      </c>
      <c r="T2279" t="s">
        <v>769</v>
      </c>
      <c r="U2279" t="s">
        <v>770</v>
      </c>
      <c r="V2279" t="s">
        <v>66</v>
      </c>
      <c r="W2279" t="s">
        <v>66</v>
      </c>
      <c r="X2279">
        <v>4145427</v>
      </c>
      <c r="Y2279">
        <v>455996.97</v>
      </c>
      <c r="Z2279">
        <v>53856</v>
      </c>
      <c r="AA2279">
        <v>5924.16</v>
      </c>
      <c r="AB2279">
        <v>4601423.97</v>
      </c>
      <c r="AC2279">
        <v>2</v>
      </c>
      <c r="AD2279" t="s">
        <v>82</v>
      </c>
      <c r="AE2279">
        <v>2</v>
      </c>
      <c r="AF2279" t="s">
        <v>498</v>
      </c>
      <c r="AG2279">
        <f>IFERROR(VLOOKUP(AF2279,[1]STOK!J:O,6,0),"")</f>
        <v>12</v>
      </c>
      <c r="AH2279" s="2">
        <f t="shared" si="70"/>
        <v>0.16666666666666666</v>
      </c>
      <c r="AI2279" t="s">
        <v>498</v>
      </c>
      <c r="AJ2279" t="s">
        <v>499</v>
      </c>
      <c r="AK2279" t="s">
        <v>500</v>
      </c>
      <c r="AL2279" t="s">
        <v>86</v>
      </c>
      <c r="AM2279">
        <v>30192</v>
      </c>
      <c r="AN2279">
        <f t="shared" si="71"/>
        <v>29890.080000000002</v>
      </c>
      <c r="AO2279" t="s">
        <v>66</v>
      </c>
      <c r="AP2279">
        <v>1</v>
      </c>
      <c r="AQ2279" t="s">
        <v>66</v>
      </c>
      <c r="AR2279">
        <v>0</v>
      </c>
      <c r="AS2279" t="s">
        <v>66</v>
      </c>
      <c r="AT2279">
        <v>0</v>
      </c>
      <c r="AU2279" t="s">
        <v>66</v>
      </c>
      <c r="AV2279">
        <v>0</v>
      </c>
      <c r="AW2279" t="s">
        <v>66</v>
      </c>
      <c r="AX2279">
        <v>0</v>
      </c>
      <c r="AY2279" t="s">
        <v>66</v>
      </c>
      <c r="AZ2279">
        <v>0</v>
      </c>
      <c r="BA2279" t="s">
        <v>66</v>
      </c>
      <c r="BB2279">
        <v>0</v>
      </c>
      <c r="BC2279">
        <v>0</v>
      </c>
      <c r="BD2279">
        <v>59780.160000000003</v>
      </c>
      <c r="BE2279">
        <v>24254.560000000001</v>
      </c>
      <c r="BF2279">
        <v>0</v>
      </c>
      <c r="BG2279" t="s">
        <v>87</v>
      </c>
      <c r="BH2279" t="s">
        <v>66</v>
      </c>
      <c r="BI2279">
        <v>0</v>
      </c>
      <c r="BJ2279" t="s">
        <v>66</v>
      </c>
      <c r="BK2279" t="s">
        <v>88</v>
      </c>
      <c r="BL2279" t="s">
        <v>66</v>
      </c>
      <c r="BM2279" t="s">
        <v>159</v>
      </c>
    </row>
    <row r="2280" spans="1:65" x14ac:dyDescent="0.25">
      <c r="A2280">
        <v>2278</v>
      </c>
      <c r="B2280" t="s">
        <v>2102</v>
      </c>
      <c r="C2280" t="s">
        <v>68</v>
      </c>
      <c r="D2280" s="1">
        <v>46234</v>
      </c>
      <c r="E2280" t="s">
        <v>2103</v>
      </c>
      <c r="F2280" t="s">
        <v>68</v>
      </c>
      <c r="G2280" t="s">
        <v>295</v>
      </c>
      <c r="H2280" t="s">
        <v>296</v>
      </c>
      <c r="I2280" t="s">
        <v>71</v>
      </c>
      <c r="J2280" t="s">
        <v>72</v>
      </c>
      <c r="K2280" t="s">
        <v>73</v>
      </c>
      <c r="L2280" t="s">
        <v>74</v>
      </c>
      <c r="M2280" t="s">
        <v>764</v>
      </c>
      <c r="N2280" t="s">
        <v>274</v>
      </c>
      <c r="O2280" t="s">
        <v>765</v>
      </c>
      <c r="P2280" t="s">
        <v>766</v>
      </c>
      <c r="Q2280" t="s">
        <v>66</v>
      </c>
      <c r="R2280" s="1">
        <v>46234</v>
      </c>
      <c r="S2280" t="s">
        <v>768</v>
      </c>
      <c r="T2280" t="s">
        <v>769</v>
      </c>
      <c r="U2280" t="s">
        <v>770</v>
      </c>
      <c r="V2280" t="s">
        <v>66</v>
      </c>
      <c r="W2280" t="s">
        <v>66</v>
      </c>
      <c r="X2280">
        <v>4145427</v>
      </c>
      <c r="Y2280">
        <v>455996.97</v>
      </c>
      <c r="Z2280">
        <v>475200</v>
      </c>
      <c r="AA2280">
        <v>52272</v>
      </c>
      <c r="AB2280">
        <v>4601423.97</v>
      </c>
      <c r="AC2280">
        <v>2</v>
      </c>
      <c r="AD2280" t="s">
        <v>134</v>
      </c>
      <c r="AE2280">
        <v>24</v>
      </c>
      <c r="AF2280" t="s">
        <v>102</v>
      </c>
      <c r="AG2280">
        <f>IFERROR(VLOOKUP(AF2280,[1]STOK!J:O,6,0),"")</f>
        <v>12</v>
      </c>
      <c r="AH2280" s="2">
        <f t="shared" si="70"/>
        <v>2</v>
      </c>
      <c r="AI2280" t="s">
        <v>102</v>
      </c>
      <c r="AJ2280" t="s">
        <v>103</v>
      </c>
      <c r="AK2280" t="s">
        <v>104</v>
      </c>
      <c r="AL2280" t="s">
        <v>86</v>
      </c>
      <c r="AM2280">
        <v>266400</v>
      </c>
      <c r="AN2280">
        <f t="shared" si="71"/>
        <v>263736</v>
      </c>
      <c r="AO2280" t="s">
        <v>66</v>
      </c>
      <c r="AP2280">
        <v>1</v>
      </c>
      <c r="AQ2280" t="s">
        <v>66</v>
      </c>
      <c r="AR2280">
        <v>0</v>
      </c>
      <c r="AS2280" t="s">
        <v>66</v>
      </c>
      <c r="AT2280">
        <v>0</v>
      </c>
      <c r="AU2280" t="s">
        <v>66</v>
      </c>
      <c r="AV2280">
        <v>0</v>
      </c>
      <c r="AW2280" t="s">
        <v>66</v>
      </c>
      <c r="AX2280">
        <v>0</v>
      </c>
      <c r="AY2280" t="s">
        <v>66</v>
      </c>
      <c r="AZ2280">
        <v>0</v>
      </c>
      <c r="BA2280" t="s">
        <v>66</v>
      </c>
      <c r="BB2280">
        <v>0</v>
      </c>
      <c r="BC2280">
        <v>0</v>
      </c>
      <c r="BD2280">
        <v>527472</v>
      </c>
      <c r="BE2280">
        <v>18005.03</v>
      </c>
      <c r="BF2280">
        <v>0</v>
      </c>
      <c r="BG2280" t="s">
        <v>87</v>
      </c>
      <c r="BH2280" t="s">
        <v>66</v>
      </c>
      <c r="BI2280">
        <v>0</v>
      </c>
      <c r="BJ2280" t="s">
        <v>66</v>
      </c>
      <c r="BK2280" t="s">
        <v>88</v>
      </c>
      <c r="BL2280" t="s">
        <v>66</v>
      </c>
      <c r="BM2280" t="s">
        <v>159</v>
      </c>
    </row>
    <row r="2281" spans="1:65" x14ac:dyDescent="0.25">
      <c r="A2281">
        <v>2279</v>
      </c>
      <c r="B2281" t="s">
        <v>2102</v>
      </c>
      <c r="C2281" t="s">
        <v>68</v>
      </c>
      <c r="D2281" s="1">
        <v>46234</v>
      </c>
      <c r="E2281" t="s">
        <v>2103</v>
      </c>
      <c r="F2281" t="s">
        <v>68</v>
      </c>
      <c r="G2281" t="s">
        <v>295</v>
      </c>
      <c r="H2281" t="s">
        <v>296</v>
      </c>
      <c r="I2281" t="s">
        <v>71</v>
      </c>
      <c r="J2281" t="s">
        <v>72</v>
      </c>
      <c r="K2281" t="s">
        <v>73</v>
      </c>
      <c r="L2281" t="s">
        <v>74</v>
      </c>
      <c r="M2281" t="s">
        <v>764</v>
      </c>
      <c r="N2281" t="s">
        <v>274</v>
      </c>
      <c r="O2281" t="s">
        <v>765</v>
      </c>
      <c r="P2281" t="s">
        <v>766</v>
      </c>
      <c r="Q2281" t="s">
        <v>66</v>
      </c>
      <c r="R2281" s="1">
        <v>46234</v>
      </c>
      <c r="S2281" t="s">
        <v>768</v>
      </c>
      <c r="T2281" t="s">
        <v>769</v>
      </c>
      <c r="U2281" t="s">
        <v>770</v>
      </c>
      <c r="V2281" t="s">
        <v>66</v>
      </c>
      <c r="W2281" t="s">
        <v>66</v>
      </c>
      <c r="X2281">
        <v>4145427</v>
      </c>
      <c r="Y2281">
        <v>455996.97</v>
      </c>
      <c r="Z2281">
        <v>682506</v>
      </c>
      <c r="AA2281">
        <v>75075.66</v>
      </c>
      <c r="AB2281">
        <v>4601423.97</v>
      </c>
      <c r="AC2281">
        <v>3</v>
      </c>
      <c r="AD2281" t="s">
        <v>134</v>
      </c>
      <c r="AE2281">
        <v>18</v>
      </c>
      <c r="AF2281" t="s">
        <v>138</v>
      </c>
      <c r="AG2281">
        <f>IFERROR(VLOOKUP(AF2281,[1]STOK!J:O,6,0),"")</f>
        <v>6</v>
      </c>
      <c r="AH2281" s="2">
        <f t="shared" si="70"/>
        <v>3</v>
      </c>
      <c r="AI2281" t="s">
        <v>138</v>
      </c>
      <c r="AJ2281" t="s">
        <v>139</v>
      </c>
      <c r="AK2281" t="s">
        <v>140</v>
      </c>
      <c r="AL2281" t="s">
        <v>86</v>
      </c>
      <c r="AM2281">
        <v>255078</v>
      </c>
      <c r="AN2281">
        <f t="shared" si="71"/>
        <v>252527.22</v>
      </c>
      <c r="AO2281" t="s">
        <v>66</v>
      </c>
      <c r="AP2281">
        <v>1</v>
      </c>
      <c r="AQ2281" t="s">
        <v>66</v>
      </c>
      <c r="AR2281">
        <v>0</v>
      </c>
      <c r="AS2281" t="s">
        <v>66</v>
      </c>
      <c r="AT2281">
        <v>0</v>
      </c>
      <c r="AU2281" t="s">
        <v>66</v>
      </c>
      <c r="AV2281">
        <v>0</v>
      </c>
      <c r="AW2281" t="s">
        <v>66</v>
      </c>
      <c r="AX2281">
        <v>0</v>
      </c>
      <c r="AY2281" t="s">
        <v>66</v>
      </c>
      <c r="AZ2281">
        <v>0</v>
      </c>
      <c r="BA2281" t="s">
        <v>66</v>
      </c>
      <c r="BB2281">
        <v>0</v>
      </c>
      <c r="BC2281">
        <v>0</v>
      </c>
      <c r="BD2281">
        <v>757581.66</v>
      </c>
      <c r="BE2281">
        <v>34652.559999999998</v>
      </c>
      <c r="BF2281">
        <v>0</v>
      </c>
      <c r="BG2281" t="s">
        <v>87</v>
      </c>
      <c r="BH2281" t="s">
        <v>66</v>
      </c>
      <c r="BI2281">
        <v>0</v>
      </c>
      <c r="BJ2281" t="s">
        <v>66</v>
      </c>
      <c r="BK2281" t="s">
        <v>88</v>
      </c>
      <c r="BL2281" t="s">
        <v>66</v>
      </c>
      <c r="BM2281" t="s">
        <v>159</v>
      </c>
    </row>
    <row r="2282" spans="1:65" x14ac:dyDescent="0.25">
      <c r="A2282">
        <v>2280</v>
      </c>
      <c r="B2282" t="s">
        <v>2102</v>
      </c>
      <c r="C2282" t="s">
        <v>68</v>
      </c>
      <c r="D2282" s="1">
        <v>46234</v>
      </c>
      <c r="E2282" t="s">
        <v>2103</v>
      </c>
      <c r="F2282" t="s">
        <v>68</v>
      </c>
      <c r="G2282" t="s">
        <v>295</v>
      </c>
      <c r="H2282" t="s">
        <v>296</v>
      </c>
      <c r="I2282" t="s">
        <v>71</v>
      </c>
      <c r="J2282" t="s">
        <v>72</v>
      </c>
      <c r="K2282" t="s">
        <v>73</v>
      </c>
      <c r="L2282" t="s">
        <v>74</v>
      </c>
      <c r="M2282" t="s">
        <v>764</v>
      </c>
      <c r="N2282" t="s">
        <v>274</v>
      </c>
      <c r="O2282" t="s">
        <v>765</v>
      </c>
      <c r="P2282" t="s">
        <v>766</v>
      </c>
      <c r="Q2282" t="s">
        <v>66</v>
      </c>
      <c r="R2282" s="1">
        <v>46234</v>
      </c>
      <c r="S2282" t="s">
        <v>768</v>
      </c>
      <c r="T2282" t="s">
        <v>769</v>
      </c>
      <c r="U2282" t="s">
        <v>770</v>
      </c>
      <c r="V2282" t="s">
        <v>66</v>
      </c>
      <c r="W2282" t="s">
        <v>66</v>
      </c>
      <c r="X2282">
        <v>4145427</v>
      </c>
      <c r="Y2282">
        <v>455996.97</v>
      </c>
      <c r="Z2282">
        <v>455004</v>
      </c>
      <c r="AA2282">
        <v>50050.44</v>
      </c>
      <c r="AB2282">
        <v>4601423.97</v>
      </c>
      <c r="AC2282">
        <v>2</v>
      </c>
      <c r="AD2282" t="s">
        <v>134</v>
      </c>
      <c r="AE2282">
        <v>12</v>
      </c>
      <c r="AF2282" t="s">
        <v>323</v>
      </c>
      <c r="AG2282">
        <f>IFERROR(VLOOKUP(AF2282,[1]STOK!J:O,6,0),"")</f>
        <v>6</v>
      </c>
      <c r="AH2282" s="2">
        <f t="shared" si="70"/>
        <v>2</v>
      </c>
      <c r="AI2282" t="s">
        <v>323</v>
      </c>
      <c r="AJ2282" t="s">
        <v>324</v>
      </c>
      <c r="AK2282" t="s">
        <v>325</v>
      </c>
      <c r="AL2282" t="s">
        <v>86</v>
      </c>
      <c r="AM2282">
        <v>255078</v>
      </c>
      <c r="AN2282">
        <f t="shared" si="71"/>
        <v>252527.22</v>
      </c>
      <c r="AO2282" t="s">
        <v>66</v>
      </c>
      <c r="AP2282">
        <v>1</v>
      </c>
      <c r="AQ2282" t="s">
        <v>66</v>
      </c>
      <c r="AR2282">
        <v>0</v>
      </c>
      <c r="AS2282" t="s">
        <v>66</v>
      </c>
      <c r="AT2282">
        <v>0</v>
      </c>
      <c r="AU2282" t="s">
        <v>66</v>
      </c>
      <c r="AV2282">
        <v>0</v>
      </c>
      <c r="AW2282" t="s">
        <v>66</v>
      </c>
      <c r="AX2282">
        <v>0</v>
      </c>
      <c r="AY2282" t="s">
        <v>66</v>
      </c>
      <c r="AZ2282">
        <v>0</v>
      </c>
      <c r="BA2282" t="s">
        <v>66</v>
      </c>
      <c r="BB2282">
        <v>0</v>
      </c>
      <c r="BC2282">
        <v>0</v>
      </c>
      <c r="BD2282">
        <v>505054.44</v>
      </c>
      <c r="BE2282">
        <v>34360.79</v>
      </c>
      <c r="BF2282">
        <v>0</v>
      </c>
      <c r="BG2282" t="s">
        <v>87</v>
      </c>
      <c r="BH2282" t="s">
        <v>66</v>
      </c>
      <c r="BI2282">
        <v>0</v>
      </c>
      <c r="BJ2282" t="s">
        <v>66</v>
      </c>
      <c r="BK2282" t="s">
        <v>88</v>
      </c>
      <c r="BL2282" t="s">
        <v>66</v>
      </c>
      <c r="BM2282" t="s">
        <v>159</v>
      </c>
    </row>
    <row r="2283" spans="1:65" x14ac:dyDescent="0.25">
      <c r="A2283">
        <v>2281</v>
      </c>
      <c r="B2283" t="s">
        <v>2102</v>
      </c>
      <c r="C2283" t="s">
        <v>68</v>
      </c>
      <c r="D2283" s="1">
        <v>46234</v>
      </c>
      <c r="E2283" t="s">
        <v>2103</v>
      </c>
      <c r="F2283" t="s">
        <v>68</v>
      </c>
      <c r="G2283" t="s">
        <v>295</v>
      </c>
      <c r="H2283" t="s">
        <v>296</v>
      </c>
      <c r="I2283" t="s">
        <v>71</v>
      </c>
      <c r="J2283" t="s">
        <v>72</v>
      </c>
      <c r="K2283" t="s">
        <v>73</v>
      </c>
      <c r="L2283" t="s">
        <v>74</v>
      </c>
      <c r="M2283" t="s">
        <v>764</v>
      </c>
      <c r="N2283" t="s">
        <v>274</v>
      </c>
      <c r="O2283" t="s">
        <v>765</v>
      </c>
      <c r="P2283" t="s">
        <v>766</v>
      </c>
      <c r="Q2283" t="s">
        <v>66</v>
      </c>
      <c r="R2283" s="1">
        <v>46234</v>
      </c>
      <c r="S2283" t="s">
        <v>768</v>
      </c>
      <c r="T2283" t="s">
        <v>769</v>
      </c>
      <c r="U2283" t="s">
        <v>770</v>
      </c>
      <c r="V2283" t="s">
        <v>66</v>
      </c>
      <c r="W2283" t="s">
        <v>66</v>
      </c>
      <c r="X2283">
        <v>4145427</v>
      </c>
      <c r="Y2283">
        <v>455996.97</v>
      </c>
      <c r="Z2283">
        <v>801900</v>
      </c>
      <c r="AA2283">
        <v>88209</v>
      </c>
      <c r="AB2283">
        <v>4601423.97</v>
      </c>
      <c r="AC2283">
        <v>3</v>
      </c>
      <c r="AD2283" t="s">
        <v>134</v>
      </c>
      <c r="AE2283">
        <v>12</v>
      </c>
      <c r="AF2283" t="s">
        <v>312</v>
      </c>
      <c r="AG2283">
        <f>IFERROR(VLOOKUP(AF2283,[1]STOK!J:O,6,0),"")</f>
        <v>4</v>
      </c>
      <c r="AH2283" s="2">
        <f t="shared" si="70"/>
        <v>3</v>
      </c>
      <c r="AI2283" t="s">
        <v>312</v>
      </c>
      <c r="AJ2283" t="s">
        <v>313</v>
      </c>
      <c r="AK2283" t="s">
        <v>314</v>
      </c>
      <c r="AL2283" t="s">
        <v>86</v>
      </c>
      <c r="AM2283">
        <v>299700</v>
      </c>
      <c r="AN2283">
        <f t="shared" si="71"/>
        <v>296703</v>
      </c>
      <c r="AO2283" t="s">
        <v>66</v>
      </c>
      <c r="AP2283">
        <v>1</v>
      </c>
      <c r="AQ2283" t="s">
        <v>66</v>
      </c>
      <c r="AR2283">
        <v>0</v>
      </c>
      <c r="AS2283" t="s">
        <v>66</v>
      </c>
      <c r="AT2283">
        <v>0</v>
      </c>
      <c r="AU2283" t="s">
        <v>66</v>
      </c>
      <c r="AV2283">
        <v>0</v>
      </c>
      <c r="AW2283" t="s">
        <v>66</v>
      </c>
      <c r="AX2283">
        <v>0</v>
      </c>
      <c r="AY2283" t="s">
        <v>66</v>
      </c>
      <c r="AZ2283">
        <v>0</v>
      </c>
      <c r="BA2283" t="s">
        <v>66</v>
      </c>
      <c r="BB2283">
        <v>0</v>
      </c>
      <c r="BC2283">
        <v>0</v>
      </c>
      <c r="BD2283">
        <v>890109</v>
      </c>
      <c r="BE2283">
        <v>60344.4</v>
      </c>
      <c r="BF2283">
        <v>0</v>
      </c>
      <c r="BG2283" t="s">
        <v>87</v>
      </c>
      <c r="BH2283" t="s">
        <v>66</v>
      </c>
      <c r="BI2283">
        <v>0</v>
      </c>
      <c r="BJ2283" t="s">
        <v>66</v>
      </c>
      <c r="BK2283" t="s">
        <v>88</v>
      </c>
      <c r="BL2283" t="s">
        <v>66</v>
      </c>
      <c r="BM2283" t="s">
        <v>159</v>
      </c>
    </row>
    <row r="2284" spans="1:65" x14ac:dyDescent="0.25">
      <c r="A2284">
        <v>2282</v>
      </c>
      <c r="B2284" t="s">
        <v>2102</v>
      </c>
      <c r="C2284" t="s">
        <v>68</v>
      </c>
      <c r="D2284" s="1">
        <v>46234</v>
      </c>
      <c r="E2284" t="s">
        <v>2103</v>
      </c>
      <c r="F2284" t="s">
        <v>68</v>
      </c>
      <c r="G2284" t="s">
        <v>295</v>
      </c>
      <c r="H2284" t="s">
        <v>296</v>
      </c>
      <c r="I2284" t="s">
        <v>71</v>
      </c>
      <c r="J2284" t="s">
        <v>72</v>
      </c>
      <c r="K2284" t="s">
        <v>73</v>
      </c>
      <c r="L2284" t="s">
        <v>74</v>
      </c>
      <c r="M2284" t="s">
        <v>764</v>
      </c>
      <c r="N2284" t="s">
        <v>274</v>
      </c>
      <c r="O2284" t="s">
        <v>765</v>
      </c>
      <c r="P2284" t="s">
        <v>766</v>
      </c>
      <c r="Q2284" t="s">
        <v>66</v>
      </c>
      <c r="R2284" s="1">
        <v>46234</v>
      </c>
      <c r="S2284" t="s">
        <v>768</v>
      </c>
      <c r="T2284" t="s">
        <v>769</v>
      </c>
      <c r="U2284" t="s">
        <v>770</v>
      </c>
      <c r="V2284" t="s">
        <v>66</v>
      </c>
      <c r="W2284" t="s">
        <v>66</v>
      </c>
      <c r="X2284">
        <v>4145427</v>
      </c>
      <c r="Y2284">
        <v>455996.97</v>
      </c>
      <c r="Z2284">
        <v>801900</v>
      </c>
      <c r="AA2284">
        <v>88209</v>
      </c>
      <c r="AB2284">
        <v>4601423.97</v>
      </c>
      <c r="AC2284">
        <v>3</v>
      </c>
      <c r="AD2284" t="s">
        <v>134</v>
      </c>
      <c r="AE2284">
        <v>12</v>
      </c>
      <c r="AF2284" t="s">
        <v>476</v>
      </c>
      <c r="AG2284">
        <f>IFERROR(VLOOKUP(AF2284,[1]STOK!J:O,6,0),"")</f>
        <v>4</v>
      </c>
      <c r="AH2284" s="2">
        <f t="shared" si="70"/>
        <v>3</v>
      </c>
      <c r="AI2284" t="s">
        <v>476</v>
      </c>
      <c r="AJ2284" t="s">
        <v>477</v>
      </c>
      <c r="AK2284" t="s">
        <v>478</v>
      </c>
      <c r="AL2284" t="s">
        <v>86</v>
      </c>
      <c r="AM2284">
        <v>299700</v>
      </c>
      <c r="AN2284">
        <f t="shared" si="71"/>
        <v>296703</v>
      </c>
      <c r="AO2284" t="s">
        <v>66</v>
      </c>
      <c r="AP2284">
        <v>1</v>
      </c>
      <c r="AQ2284" t="s">
        <v>66</v>
      </c>
      <c r="AR2284">
        <v>0</v>
      </c>
      <c r="AS2284" t="s">
        <v>66</v>
      </c>
      <c r="AT2284">
        <v>0</v>
      </c>
      <c r="AU2284" t="s">
        <v>66</v>
      </c>
      <c r="AV2284">
        <v>0</v>
      </c>
      <c r="AW2284" t="s">
        <v>66</v>
      </c>
      <c r="AX2284">
        <v>0</v>
      </c>
      <c r="AY2284" t="s">
        <v>66</v>
      </c>
      <c r="AZ2284">
        <v>0</v>
      </c>
      <c r="BA2284" t="s">
        <v>66</v>
      </c>
      <c r="BB2284">
        <v>0</v>
      </c>
      <c r="BC2284">
        <v>0</v>
      </c>
      <c r="BD2284">
        <v>890109</v>
      </c>
      <c r="BE2284">
        <v>59954.28</v>
      </c>
      <c r="BF2284">
        <v>0</v>
      </c>
      <c r="BG2284" t="s">
        <v>87</v>
      </c>
      <c r="BH2284" t="s">
        <v>66</v>
      </c>
      <c r="BI2284">
        <v>0</v>
      </c>
      <c r="BJ2284" t="s">
        <v>66</v>
      </c>
      <c r="BK2284" t="s">
        <v>88</v>
      </c>
      <c r="BL2284" t="s">
        <v>66</v>
      </c>
      <c r="BM2284" t="s">
        <v>159</v>
      </c>
    </row>
    <row r="2285" spans="1:65" x14ac:dyDescent="0.25">
      <c r="A2285">
        <v>2283</v>
      </c>
      <c r="B2285" t="s">
        <v>2104</v>
      </c>
      <c r="C2285" t="s">
        <v>2105</v>
      </c>
      <c r="D2285" s="1">
        <v>46234</v>
      </c>
      <c r="E2285" t="s">
        <v>2106</v>
      </c>
      <c r="F2285" t="s">
        <v>2107</v>
      </c>
      <c r="G2285" t="s">
        <v>295</v>
      </c>
      <c r="H2285" t="s">
        <v>296</v>
      </c>
      <c r="I2285" t="s">
        <v>71</v>
      </c>
      <c r="J2285" t="s">
        <v>72</v>
      </c>
      <c r="K2285" t="s">
        <v>73</v>
      </c>
      <c r="L2285" t="s">
        <v>74</v>
      </c>
      <c r="M2285" t="s">
        <v>1134</v>
      </c>
      <c r="N2285" t="s">
        <v>111</v>
      </c>
      <c r="O2285" t="s">
        <v>1135</v>
      </c>
      <c r="P2285" t="s">
        <v>1136</v>
      </c>
      <c r="Q2285" t="s">
        <v>2108</v>
      </c>
      <c r="R2285" s="1">
        <v>46227</v>
      </c>
      <c r="S2285" t="s">
        <v>1138</v>
      </c>
      <c r="T2285" t="s">
        <v>1139</v>
      </c>
      <c r="U2285" t="s">
        <v>1140</v>
      </c>
      <c r="V2285" t="s">
        <v>66</v>
      </c>
      <c r="W2285" t="s">
        <v>66</v>
      </c>
      <c r="X2285">
        <v>7517520</v>
      </c>
      <c r="Y2285">
        <v>826927.2</v>
      </c>
      <c r="Z2285">
        <v>390060</v>
      </c>
      <c r="AA2285">
        <v>42906.6</v>
      </c>
      <c r="AB2285">
        <v>8344447.2000000002</v>
      </c>
      <c r="AC2285">
        <v>24</v>
      </c>
      <c r="AD2285" t="s">
        <v>82</v>
      </c>
      <c r="AE2285">
        <v>24</v>
      </c>
      <c r="AF2285" t="s">
        <v>128</v>
      </c>
      <c r="AG2285">
        <f>IFERROR(VLOOKUP(AF2285,[1]STOK!J:O,6,0),"")</f>
        <v>24</v>
      </c>
      <c r="AH2285" s="2">
        <f t="shared" si="70"/>
        <v>1</v>
      </c>
      <c r="AI2285" t="s">
        <v>128</v>
      </c>
      <c r="AJ2285" t="s">
        <v>129</v>
      </c>
      <c r="AK2285" t="s">
        <v>130</v>
      </c>
      <c r="AL2285" t="s">
        <v>86</v>
      </c>
      <c r="AM2285">
        <v>18315</v>
      </c>
      <c r="AN2285">
        <f t="shared" si="71"/>
        <v>18040.274999999998</v>
      </c>
      <c r="AO2285" t="s">
        <v>66</v>
      </c>
      <c r="AP2285">
        <v>1.5</v>
      </c>
      <c r="AQ2285" t="s">
        <v>66</v>
      </c>
      <c r="AR2285">
        <v>0</v>
      </c>
      <c r="AS2285" t="s">
        <v>66</v>
      </c>
      <c r="AT2285">
        <v>0</v>
      </c>
      <c r="AU2285" t="s">
        <v>66</v>
      </c>
      <c r="AV2285">
        <v>0</v>
      </c>
      <c r="AW2285" t="s">
        <v>66</v>
      </c>
      <c r="AX2285">
        <v>0</v>
      </c>
      <c r="AY2285" t="s">
        <v>66</v>
      </c>
      <c r="AZ2285">
        <v>0</v>
      </c>
      <c r="BA2285" t="s">
        <v>66</v>
      </c>
      <c r="BB2285">
        <v>0</v>
      </c>
      <c r="BC2285">
        <v>0</v>
      </c>
      <c r="BD2285">
        <v>432966.6</v>
      </c>
      <c r="BE2285">
        <v>14887.43</v>
      </c>
      <c r="BF2285">
        <v>0</v>
      </c>
      <c r="BG2285" t="s">
        <v>87</v>
      </c>
      <c r="BH2285" t="s">
        <v>66</v>
      </c>
      <c r="BI2285">
        <v>0</v>
      </c>
      <c r="BJ2285" t="s">
        <v>66</v>
      </c>
      <c r="BK2285" t="s">
        <v>88</v>
      </c>
      <c r="BL2285" t="s">
        <v>66</v>
      </c>
      <c r="BM2285" t="s">
        <v>159</v>
      </c>
    </row>
    <row r="2286" spans="1:65" x14ac:dyDescent="0.25">
      <c r="A2286">
        <v>2284</v>
      </c>
      <c r="B2286" t="s">
        <v>2104</v>
      </c>
      <c r="C2286" t="s">
        <v>2105</v>
      </c>
      <c r="D2286" s="1">
        <v>46234</v>
      </c>
      <c r="E2286" t="s">
        <v>2106</v>
      </c>
      <c r="F2286" t="s">
        <v>2107</v>
      </c>
      <c r="G2286" t="s">
        <v>295</v>
      </c>
      <c r="H2286" t="s">
        <v>296</v>
      </c>
      <c r="I2286" t="s">
        <v>71</v>
      </c>
      <c r="J2286" t="s">
        <v>72</v>
      </c>
      <c r="K2286" t="s">
        <v>73</v>
      </c>
      <c r="L2286" t="s">
        <v>74</v>
      </c>
      <c r="M2286" t="s">
        <v>1134</v>
      </c>
      <c r="N2286" t="s">
        <v>111</v>
      </c>
      <c r="O2286" t="s">
        <v>1135</v>
      </c>
      <c r="P2286" t="s">
        <v>1136</v>
      </c>
      <c r="Q2286" t="s">
        <v>2108</v>
      </c>
      <c r="R2286" s="1">
        <v>46227</v>
      </c>
      <c r="S2286" t="s">
        <v>1138</v>
      </c>
      <c r="T2286" t="s">
        <v>1139</v>
      </c>
      <c r="U2286" t="s">
        <v>1140</v>
      </c>
      <c r="V2286" t="s">
        <v>66</v>
      </c>
      <c r="W2286" t="s">
        <v>66</v>
      </c>
      <c r="X2286">
        <v>7517520</v>
      </c>
      <c r="Y2286">
        <v>826927.2</v>
      </c>
      <c r="Z2286">
        <v>390060</v>
      </c>
      <c r="AA2286">
        <v>42906.6</v>
      </c>
      <c r="AB2286">
        <v>8344447.2000000002</v>
      </c>
      <c r="AC2286">
        <v>24</v>
      </c>
      <c r="AD2286" t="s">
        <v>82</v>
      </c>
      <c r="AE2286">
        <v>24</v>
      </c>
      <c r="AF2286" t="s">
        <v>93</v>
      </c>
      <c r="AG2286">
        <f>IFERROR(VLOOKUP(AF2286,[1]STOK!J:O,6,0),"")</f>
        <v>24</v>
      </c>
      <c r="AH2286" s="2">
        <f t="shared" si="70"/>
        <v>1</v>
      </c>
      <c r="AI2286" t="s">
        <v>93</v>
      </c>
      <c r="AJ2286" t="s">
        <v>94</v>
      </c>
      <c r="AK2286" t="s">
        <v>95</v>
      </c>
      <c r="AL2286" t="s">
        <v>86</v>
      </c>
      <c r="AM2286">
        <v>18315</v>
      </c>
      <c r="AN2286">
        <f t="shared" si="71"/>
        <v>18040.274999999998</v>
      </c>
      <c r="AO2286" t="s">
        <v>66</v>
      </c>
      <c r="AP2286">
        <v>1.5</v>
      </c>
      <c r="AQ2286" t="s">
        <v>66</v>
      </c>
      <c r="AR2286">
        <v>0</v>
      </c>
      <c r="AS2286" t="s">
        <v>66</v>
      </c>
      <c r="AT2286">
        <v>0</v>
      </c>
      <c r="AU2286" t="s">
        <v>66</v>
      </c>
      <c r="AV2286">
        <v>0</v>
      </c>
      <c r="AW2286" t="s">
        <v>66</v>
      </c>
      <c r="AX2286">
        <v>0</v>
      </c>
      <c r="AY2286" t="s">
        <v>66</v>
      </c>
      <c r="AZ2286">
        <v>0</v>
      </c>
      <c r="BA2286" t="s">
        <v>66</v>
      </c>
      <c r="BB2286">
        <v>0</v>
      </c>
      <c r="BC2286">
        <v>0</v>
      </c>
      <c r="BD2286">
        <v>432966.6</v>
      </c>
      <c r="BE2286">
        <v>14923.68</v>
      </c>
      <c r="BF2286">
        <v>0</v>
      </c>
      <c r="BG2286" t="s">
        <v>87</v>
      </c>
      <c r="BH2286" t="s">
        <v>66</v>
      </c>
      <c r="BI2286">
        <v>0</v>
      </c>
      <c r="BJ2286" t="s">
        <v>66</v>
      </c>
      <c r="BK2286" t="s">
        <v>88</v>
      </c>
      <c r="BL2286" t="s">
        <v>66</v>
      </c>
      <c r="BM2286" t="s">
        <v>159</v>
      </c>
    </row>
    <row r="2287" spans="1:65" x14ac:dyDescent="0.25">
      <c r="A2287">
        <v>2285</v>
      </c>
      <c r="B2287" t="s">
        <v>2104</v>
      </c>
      <c r="C2287" t="s">
        <v>2105</v>
      </c>
      <c r="D2287" s="1">
        <v>46234</v>
      </c>
      <c r="E2287" t="s">
        <v>2106</v>
      </c>
      <c r="F2287" t="s">
        <v>2107</v>
      </c>
      <c r="G2287" t="s">
        <v>295</v>
      </c>
      <c r="H2287" t="s">
        <v>296</v>
      </c>
      <c r="I2287" t="s">
        <v>71</v>
      </c>
      <c r="J2287" t="s">
        <v>72</v>
      </c>
      <c r="K2287" t="s">
        <v>73</v>
      </c>
      <c r="L2287" t="s">
        <v>74</v>
      </c>
      <c r="M2287" t="s">
        <v>1134</v>
      </c>
      <c r="N2287" t="s">
        <v>111</v>
      </c>
      <c r="O2287" t="s">
        <v>1135</v>
      </c>
      <c r="P2287" t="s">
        <v>1136</v>
      </c>
      <c r="Q2287" t="s">
        <v>2108</v>
      </c>
      <c r="R2287" s="1">
        <v>46227</v>
      </c>
      <c r="S2287" t="s">
        <v>1138</v>
      </c>
      <c r="T2287" t="s">
        <v>1139</v>
      </c>
      <c r="U2287" t="s">
        <v>1140</v>
      </c>
      <c r="V2287" t="s">
        <v>66</v>
      </c>
      <c r="W2287" t="s">
        <v>66</v>
      </c>
      <c r="X2287">
        <v>7517520</v>
      </c>
      <c r="Y2287">
        <v>826927.2</v>
      </c>
      <c r="Z2287">
        <v>390060</v>
      </c>
      <c r="AA2287">
        <v>42906.6</v>
      </c>
      <c r="AB2287">
        <v>8344447.2000000002</v>
      </c>
      <c r="AC2287">
        <v>24</v>
      </c>
      <c r="AD2287" t="s">
        <v>82</v>
      </c>
      <c r="AE2287">
        <v>24</v>
      </c>
      <c r="AF2287" t="s">
        <v>205</v>
      </c>
      <c r="AG2287">
        <f>IFERROR(VLOOKUP(AF2287,[1]STOK!J:O,6,0),"")</f>
        <v>24</v>
      </c>
      <c r="AH2287" s="2">
        <f t="shared" si="70"/>
        <v>1</v>
      </c>
      <c r="AI2287" t="s">
        <v>205</v>
      </c>
      <c r="AJ2287" t="s">
        <v>206</v>
      </c>
      <c r="AK2287" t="s">
        <v>207</v>
      </c>
      <c r="AL2287" t="s">
        <v>86</v>
      </c>
      <c r="AM2287">
        <v>18315</v>
      </c>
      <c r="AN2287">
        <f t="shared" si="71"/>
        <v>18040.274999999998</v>
      </c>
      <c r="AO2287" t="s">
        <v>66</v>
      </c>
      <c r="AP2287">
        <v>1.5</v>
      </c>
      <c r="AQ2287" t="s">
        <v>66</v>
      </c>
      <c r="AR2287">
        <v>0</v>
      </c>
      <c r="AS2287" t="s">
        <v>66</v>
      </c>
      <c r="AT2287">
        <v>0</v>
      </c>
      <c r="AU2287" t="s">
        <v>66</v>
      </c>
      <c r="AV2287">
        <v>0</v>
      </c>
      <c r="AW2287" t="s">
        <v>66</v>
      </c>
      <c r="AX2287">
        <v>0</v>
      </c>
      <c r="AY2287" t="s">
        <v>66</v>
      </c>
      <c r="AZ2287">
        <v>0</v>
      </c>
      <c r="BA2287" t="s">
        <v>66</v>
      </c>
      <c r="BB2287">
        <v>0</v>
      </c>
      <c r="BC2287">
        <v>0</v>
      </c>
      <c r="BD2287">
        <v>432966.6</v>
      </c>
      <c r="BE2287">
        <v>14893.33</v>
      </c>
      <c r="BF2287">
        <v>0</v>
      </c>
      <c r="BG2287" t="s">
        <v>87</v>
      </c>
      <c r="BH2287" t="s">
        <v>66</v>
      </c>
      <c r="BI2287">
        <v>0</v>
      </c>
      <c r="BJ2287" t="s">
        <v>66</v>
      </c>
      <c r="BK2287" t="s">
        <v>88</v>
      </c>
      <c r="BL2287" t="s">
        <v>66</v>
      </c>
      <c r="BM2287" t="s">
        <v>159</v>
      </c>
    </row>
    <row r="2288" spans="1:65" x14ac:dyDescent="0.25">
      <c r="A2288">
        <v>2286</v>
      </c>
      <c r="B2288" t="s">
        <v>2104</v>
      </c>
      <c r="C2288" t="s">
        <v>2105</v>
      </c>
      <c r="D2288" s="1">
        <v>46234</v>
      </c>
      <c r="E2288" t="s">
        <v>2106</v>
      </c>
      <c r="F2288" t="s">
        <v>2107</v>
      </c>
      <c r="G2288" t="s">
        <v>295</v>
      </c>
      <c r="H2288" t="s">
        <v>296</v>
      </c>
      <c r="I2288" t="s">
        <v>71</v>
      </c>
      <c r="J2288" t="s">
        <v>72</v>
      </c>
      <c r="K2288" t="s">
        <v>73</v>
      </c>
      <c r="L2288" t="s">
        <v>74</v>
      </c>
      <c r="M2288" t="s">
        <v>1134</v>
      </c>
      <c r="N2288" t="s">
        <v>111</v>
      </c>
      <c r="O2288" t="s">
        <v>1135</v>
      </c>
      <c r="P2288" t="s">
        <v>1136</v>
      </c>
      <c r="Q2288" t="s">
        <v>2108</v>
      </c>
      <c r="R2288" s="1">
        <v>46227</v>
      </c>
      <c r="S2288" t="s">
        <v>1138</v>
      </c>
      <c r="T2288" t="s">
        <v>1139</v>
      </c>
      <c r="U2288" t="s">
        <v>1140</v>
      </c>
      <c r="V2288" t="s">
        <v>66</v>
      </c>
      <c r="W2288" t="s">
        <v>66</v>
      </c>
      <c r="X2288">
        <v>7517520</v>
      </c>
      <c r="Y2288">
        <v>826927.2</v>
      </c>
      <c r="Z2288">
        <v>645372</v>
      </c>
      <c r="AA2288">
        <v>70990.92</v>
      </c>
      <c r="AB2288">
        <v>8344447.2000000002</v>
      </c>
      <c r="AC2288">
        <v>24</v>
      </c>
      <c r="AD2288" t="s">
        <v>82</v>
      </c>
      <c r="AE2288">
        <v>24</v>
      </c>
      <c r="AF2288" t="s">
        <v>593</v>
      </c>
      <c r="AG2288">
        <f>IFERROR(VLOOKUP(AF2288,[1]STOK!J:O,6,0),"")</f>
        <v>12</v>
      </c>
      <c r="AH2288" s="2">
        <f t="shared" si="70"/>
        <v>2</v>
      </c>
      <c r="AI2288" t="s">
        <v>593</v>
      </c>
      <c r="AJ2288" t="s">
        <v>594</v>
      </c>
      <c r="AK2288" t="s">
        <v>595</v>
      </c>
      <c r="AL2288" t="s">
        <v>86</v>
      </c>
      <c r="AM2288">
        <v>30303</v>
      </c>
      <c r="AN2288">
        <f t="shared" si="71"/>
        <v>29848.455000000002</v>
      </c>
      <c r="AO2288" t="s">
        <v>66</v>
      </c>
      <c r="AP2288">
        <v>1.5</v>
      </c>
      <c r="AQ2288" t="s">
        <v>66</v>
      </c>
      <c r="AR2288">
        <v>0</v>
      </c>
      <c r="AS2288" t="s">
        <v>66</v>
      </c>
      <c r="AT2288">
        <v>0</v>
      </c>
      <c r="AU2288" t="s">
        <v>66</v>
      </c>
      <c r="AV2288">
        <v>0</v>
      </c>
      <c r="AW2288" t="s">
        <v>66</v>
      </c>
      <c r="AX2288">
        <v>0</v>
      </c>
      <c r="AY2288" t="s">
        <v>66</v>
      </c>
      <c r="AZ2288">
        <v>0</v>
      </c>
      <c r="BA2288" t="s">
        <v>66</v>
      </c>
      <c r="BB2288">
        <v>0</v>
      </c>
      <c r="BC2288">
        <v>0</v>
      </c>
      <c r="BD2288">
        <v>716362.92</v>
      </c>
      <c r="BE2288">
        <v>24583.23</v>
      </c>
      <c r="BF2288">
        <v>0</v>
      </c>
      <c r="BG2288" t="s">
        <v>87</v>
      </c>
      <c r="BH2288" t="s">
        <v>66</v>
      </c>
      <c r="BI2288">
        <v>0</v>
      </c>
      <c r="BJ2288" t="s">
        <v>66</v>
      </c>
      <c r="BK2288" t="s">
        <v>88</v>
      </c>
      <c r="BL2288" t="s">
        <v>66</v>
      </c>
      <c r="BM2288" t="s">
        <v>159</v>
      </c>
    </row>
    <row r="2289" spans="1:65" x14ac:dyDescent="0.25">
      <c r="A2289">
        <v>2287</v>
      </c>
      <c r="B2289" t="s">
        <v>2104</v>
      </c>
      <c r="C2289" t="s">
        <v>2105</v>
      </c>
      <c r="D2289" s="1">
        <v>46234</v>
      </c>
      <c r="E2289" t="s">
        <v>2106</v>
      </c>
      <c r="F2289" t="s">
        <v>2107</v>
      </c>
      <c r="G2289" t="s">
        <v>295</v>
      </c>
      <c r="H2289" t="s">
        <v>296</v>
      </c>
      <c r="I2289" t="s">
        <v>71</v>
      </c>
      <c r="J2289" t="s">
        <v>72</v>
      </c>
      <c r="K2289" t="s">
        <v>73</v>
      </c>
      <c r="L2289" t="s">
        <v>74</v>
      </c>
      <c r="M2289" t="s">
        <v>1134</v>
      </c>
      <c r="N2289" t="s">
        <v>111</v>
      </c>
      <c r="O2289" t="s">
        <v>1135</v>
      </c>
      <c r="P2289" t="s">
        <v>1136</v>
      </c>
      <c r="Q2289" t="s">
        <v>2108</v>
      </c>
      <c r="R2289" s="1">
        <v>46227</v>
      </c>
      <c r="S2289" t="s">
        <v>1138</v>
      </c>
      <c r="T2289" t="s">
        <v>1139</v>
      </c>
      <c r="U2289" t="s">
        <v>1140</v>
      </c>
      <c r="V2289" t="s">
        <v>66</v>
      </c>
      <c r="W2289" t="s">
        <v>66</v>
      </c>
      <c r="X2289">
        <v>7517520</v>
      </c>
      <c r="Y2289">
        <v>826927.2</v>
      </c>
      <c r="Z2289">
        <v>968058</v>
      </c>
      <c r="AA2289">
        <v>106486.38</v>
      </c>
      <c r="AB2289">
        <v>8344447.2000000002</v>
      </c>
      <c r="AC2289">
        <v>36</v>
      </c>
      <c r="AD2289" t="s">
        <v>82</v>
      </c>
      <c r="AE2289">
        <v>36</v>
      </c>
      <c r="AF2289" t="s">
        <v>303</v>
      </c>
      <c r="AG2289">
        <f>IFERROR(VLOOKUP(AF2289,[1]STOK!J:O,6,0),"")</f>
        <v>12</v>
      </c>
      <c r="AH2289" s="2">
        <f t="shared" si="70"/>
        <v>3</v>
      </c>
      <c r="AI2289" t="s">
        <v>303</v>
      </c>
      <c r="AJ2289" t="s">
        <v>304</v>
      </c>
      <c r="AK2289" t="s">
        <v>305</v>
      </c>
      <c r="AL2289" t="s">
        <v>86</v>
      </c>
      <c r="AM2289">
        <v>30303</v>
      </c>
      <c r="AN2289">
        <f t="shared" si="71"/>
        <v>29848.454999999998</v>
      </c>
      <c r="AO2289" t="s">
        <v>66</v>
      </c>
      <c r="AP2289">
        <v>1.5</v>
      </c>
      <c r="AQ2289" t="s">
        <v>66</v>
      </c>
      <c r="AR2289">
        <v>0</v>
      </c>
      <c r="AS2289" t="s">
        <v>66</v>
      </c>
      <c r="AT2289">
        <v>0</v>
      </c>
      <c r="AU2289" t="s">
        <v>66</v>
      </c>
      <c r="AV2289">
        <v>0</v>
      </c>
      <c r="AW2289" t="s">
        <v>66</v>
      </c>
      <c r="AX2289">
        <v>0</v>
      </c>
      <c r="AY2289" t="s">
        <v>66</v>
      </c>
      <c r="AZ2289">
        <v>0</v>
      </c>
      <c r="BA2289" t="s">
        <v>66</v>
      </c>
      <c r="BB2289">
        <v>0</v>
      </c>
      <c r="BC2289">
        <v>0</v>
      </c>
      <c r="BD2289">
        <v>1074544.3799999999</v>
      </c>
      <c r="BE2289">
        <v>24618.880000000001</v>
      </c>
      <c r="BF2289">
        <v>0</v>
      </c>
      <c r="BG2289" t="s">
        <v>87</v>
      </c>
      <c r="BH2289" t="s">
        <v>66</v>
      </c>
      <c r="BI2289">
        <v>0</v>
      </c>
      <c r="BJ2289" t="s">
        <v>66</v>
      </c>
      <c r="BK2289" t="s">
        <v>88</v>
      </c>
      <c r="BL2289" t="s">
        <v>66</v>
      </c>
      <c r="BM2289" t="s">
        <v>159</v>
      </c>
    </row>
    <row r="2290" spans="1:65" x14ac:dyDescent="0.25">
      <c r="A2290">
        <v>2288</v>
      </c>
      <c r="B2290" t="s">
        <v>2104</v>
      </c>
      <c r="C2290" t="s">
        <v>2105</v>
      </c>
      <c r="D2290" s="1">
        <v>46234</v>
      </c>
      <c r="E2290" t="s">
        <v>2106</v>
      </c>
      <c r="F2290" t="s">
        <v>2107</v>
      </c>
      <c r="G2290" t="s">
        <v>295</v>
      </c>
      <c r="H2290" t="s">
        <v>296</v>
      </c>
      <c r="I2290" t="s">
        <v>71</v>
      </c>
      <c r="J2290" t="s">
        <v>72</v>
      </c>
      <c r="K2290" t="s">
        <v>73</v>
      </c>
      <c r="L2290" t="s">
        <v>74</v>
      </c>
      <c r="M2290" t="s">
        <v>1134</v>
      </c>
      <c r="N2290" t="s">
        <v>111</v>
      </c>
      <c r="O2290" t="s">
        <v>1135</v>
      </c>
      <c r="P2290" t="s">
        <v>1136</v>
      </c>
      <c r="Q2290" t="s">
        <v>2108</v>
      </c>
      <c r="R2290" s="1">
        <v>46227</v>
      </c>
      <c r="S2290" t="s">
        <v>1138</v>
      </c>
      <c r="T2290" t="s">
        <v>1139</v>
      </c>
      <c r="U2290" t="s">
        <v>1140</v>
      </c>
      <c r="V2290" t="s">
        <v>66</v>
      </c>
      <c r="W2290" t="s">
        <v>66</v>
      </c>
      <c r="X2290">
        <v>7517520</v>
      </c>
      <c r="Y2290">
        <v>826927.2</v>
      </c>
      <c r="Z2290">
        <v>645372</v>
      </c>
      <c r="AA2290">
        <v>70990.92</v>
      </c>
      <c r="AB2290">
        <v>8344447.2000000002</v>
      </c>
      <c r="AC2290">
        <v>24</v>
      </c>
      <c r="AD2290" t="s">
        <v>82</v>
      </c>
      <c r="AE2290">
        <v>24</v>
      </c>
      <c r="AF2290" t="s">
        <v>306</v>
      </c>
      <c r="AG2290">
        <f>IFERROR(VLOOKUP(AF2290,[1]STOK!J:O,6,0),"")</f>
        <v>12</v>
      </c>
      <c r="AH2290" s="2">
        <f t="shared" si="70"/>
        <v>2</v>
      </c>
      <c r="AI2290" t="s">
        <v>306</v>
      </c>
      <c r="AJ2290" t="s">
        <v>307</v>
      </c>
      <c r="AK2290" t="s">
        <v>308</v>
      </c>
      <c r="AL2290" t="s">
        <v>86</v>
      </c>
      <c r="AM2290">
        <v>30303</v>
      </c>
      <c r="AN2290">
        <f t="shared" si="71"/>
        <v>29848.455000000002</v>
      </c>
      <c r="AO2290" t="s">
        <v>66</v>
      </c>
      <c r="AP2290">
        <v>1.5</v>
      </c>
      <c r="AQ2290" t="s">
        <v>66</v>
      </c>
      <c r="AR2290">
        <v>0</v>
      </c>
      <c r="AS2290" t="s">
        <v>66</v>
      </c>
      <c r="AT2290">
        <v>0</v>
      </c>
      <c r="AU2290" t="s">
        <v>66</v>
      </c>
      <c r="AV2290">
        <v>0</v>
      </c>
      <c r="AW2290" t="s">
        <v>66</v>
      </c>
      <c r="AX2290">
        <v>0</v>
      </c>
      <c r="AY2290" t="s">
        <v>66</v>
      </c>
      <c r="AZ2290">
        <v>0</v>
      </c>
      <c r="BA2290" t="s">
        <v>66</v>
      </c>
      <c r="BB2290">
        <v>0</v>
      </c>
      <c r="BC2290">
        <v>0</v>
      </c>
      <c r="BD2290">
        <v>716362.92</v>
      </c>
      <c r="BE2290">
        <v>24570.18</v>
      </c>
      <c r="BF2290">
        <v>0</v>
      </c>
      <c r="BG2290" t="s">
        <v>87</v>
      </c>
      <c r="BH2290" t="s">
        <v>66</v>
      </c>
      <c r="BI2290">
        <v>0</v>
      </c>
      <c r="BJ2290" t="s">
        <v>66</v>
      </c>
      <c r="BK2290" t="s">
        <v>88</v>
      </c>
      <c r="BL2290" t="s">
        <v>66</v>
      </c>
      <c r="BM2290" t="s">
        <v>159</v>
      </c>
    </row>
    <row r="2291" spans="1:65" x14ac:dyDescent="0.25">
      <c r="A2291">
        <v>2289</v>
      </c>
      <c r="B2291" t="s">
        <v>2104</v>
      </c>
      <c r="C2291" t="s">
        <v>2105</v>
      </c>
      <c r="D2291" s="1">
        <v>46234</v>
      </c>
      <c r="E2291" t="s">
        <v>2106</v>
      </c>
      <c r="F2291" t="s">
        <v>2107</v>
      </c>
      <c r="G2291" t="s">
        <v>295</v>
      </c>
      <c r="H2291" t="s">
        <v>296</v>
      </c>
      <c r="I2291" t="s">
        <v>71</v>
      </c>
      <c r="J2291" t="s">
        <v>72</v>
      </c>
      <c r="K2291" t="s">
        <v>73</v>
      </c>
      <c r="L2291" t="s">
        <v>74</v>
      </c>
      <c r="M2291" t="s">
        <v>1134</v>
      </c>
      <c r="N2291" t="s">
        <v>111</v>
      </c>
      <c r="O2291" t="s">
        <v>1135</v>
      </c>
      <c r="P2291" t="s">
        <v>1136</v>
      </c>
      <c r="Q2291" t="s">
        <v>2108</v>
      </c>
      <c r="R2291" s="1">
        <v>46227</v>
      </c>
      <c r="S2291" t="s">
        <v>1138</v>
      </c>
      <c r="T2291" t="s">
        <v>1139</v>
      </c>
      <c r="U2291" t="s">
        <v>1140</v>
      </c>
      <c r="V2291" t="s">
        <v>66</v>
      </c>
      <c r="W2291" t="s">
        <v>66</v>
      </c>
      <c r="X2291">
        <v>7517520</v>
      </c>
      <c r="Y2291">
        <v>826927.2</v>
      </c>
      <c r="Z2291">
        <v>645372</v>
      </c>
      <c r="AA2291">
        <v>70990.92</v>
      </c>
      <c r="AB2291">
        <v>8344447.2000000002</v>
      </c>
      <c r="AC2291">
        <v>24</v>
      </c>
      <c r="AD2291" t="s">
        <v>82</v>
      </c>
      <c r="AE2291">
        <v>24</v>
      </c>
      <c r="AF2291" t="s">
        <v>309</v>
      </c>
      <c r="AG2291">
        <f>IFERROR(VLOOKUP(AF2291,[1]STOK!J:O,6,0),"")</f>
        <v>12</v>
      </c>
      <c r="AH2291" s="2">
        <f t="shared" si="70"/>
        <v>2</v>
      </c>
      <c r="AI2291" t="s">
        <v>309</v>
      </c>
      <c r="AJ2291" t="s">
        <v>310</v>
      </c>
      <c r="AK2291" t="s">
        <v>311</v>
      </c>
      <c r="AL2291" t="s">
        <v>86</v>
      </c>
      <c r="AM2291">
        <v>30303</v>
      </c>
      <c r="AN2291">
        <f t="shared" si="71"/>
        <v>29848.455000000002</v>
      </c>
      <c r="AO2291" t="s">
        <v>66</v>
      </c>
      <c r="AP2291">
        <v>1.5</v>
      </c>
      <c r="AQ2291" t="s">
        <v>66</v>
      </c>
      <c r="AR2291">
        <v>0</v>
      </c>
      <c r="AS2291" t="s">
        <v>66</v>
      </c>
      <c r="AT2291">
        <v>0</v>
      </c>
      <c r="AU2291" t="s">
        <v>66</v>
      </c>
      <c r="AV2291">
        <v>0</v>
      </c>
      <c r="AW2291" t="s">
        <v>66</v>
      </c>
      <c r="AX2291">
        <v>0</v>
      </c>
      <c r="AY2291" t="s">
        <v>66</v>
      </c>
      <c r="AZ2291">
        <v>0</v>
      </c>
      <c r="BA2291" t="s">
        <v>66</v>
      </c>
      <c r="BB2291">
        <v>0</v>
      </c>
      <c r="BC2291">
        <v>0</v>
      </c>
      <c r="BD2291">
        <v>716362.92</v>
      </c>
      <c r="BE2291">
        <v>24620.85</v>
      </c>
      <c r="BF2291">
        <v>0</v>
      </c>
      <c r="BG2291" t="s">
        <v>87</v>
      </c>
      <c r="BH2291" t="s">
        <v>66</v>
      </c>
      <c r="BI2291">
        <v>0</v>
      </c>
      <c r="BJ2291" t="s">
        <v>66</v>
      </c>
      <c r="BK2291" t="s">
        <v>88</v>
      </c>
      <c r="BL2291" t="s">
        <v>66</v>
      </c>
      <c r="BM2291" t="s">
        <v>159</v>
      </c>
    </row>
    <row r="2292" spans="1:65" x14ac:dyDescent="0.25">
      <c r="A2292">
        <v>2290</v>
      </c>
      <c r="B2292" t="s">
        <v>2104</v>
      </c>
      <c r="C2292" t="s">
        <v>2105</v>
      </c>
      <c r="D2292" s="1">
        <v>46234</v>
      </c>
      <c r="E2292" t="s">
        <v>2106</v>
      </c>
      <c r="F2292" t="s">
        <v>2107</v>
      </c>
      <c r="G2292" t="s">
        <v>295</v>
      </c>
      <c r="H2292" t="s">
        <v>296</v>
      </c>
      <c r="I2292" t="s">
        <v>71</v>
      </c>
      <c r="J2292" t="s">
        <v>72</v>
      </c>
      <c r="K2292" t="s">
        <v>73</v>
      </c>
      <c r="L2292" t="s">
        <v>74</v>
      </c>
      <c r="M2292" t="s">
        <v>1134</v>
      </c>
      <c r="N2292" t="s">
        <v>111</v>
      </c>
      <c r="O2292" t="s">
        <v>1135</v>
      </c>
      <c r="P2292" t="s">
        <v>1136</v>
      </c>
      <c r="Q2292" t="s">
        <v>2108</v>
      </c>
      <c r="R2292" s="1">
        <v>46227</v>
      </c>
      <c r="S2292" t="s">
        <v>1138</v>
      </c>
      <c r="T2292" t="s">
        <v>1139</v>
      </c>
      <c r="U2292" t="s">
        <v>1140</v>
      </c>
      <c r="V2292" t="s">
        <v>66</v>
      </c>
      <c r="W2292" t="s">
        <v>66</v>
      </c>
      <c r="X2292">
        <v>7517520</v>
      </c>
      <c r="Y2292">
        <v>826927.2</v>
      </c>
      <c r="Z2292">
        <v>645372</v>
      </c>
      <c r="AA2292">
        <v>70990.92</v>
      </c>
      <c r="AB2292">
        <v>8344447.2000000002</v>
      </c>
      <c r="AC2292">
        <v>24</v>
      </c>
      <c r="AD2292" t="s">
        <v>82</v>
      </c>
      <c r="AE2292">
        <v>24</v>
      </c>
      <c r="AF2292" t="s">
        <v>563</v>
      </c>
      <c r="AG2292">
        <f>IFERROR(VLOOKUP(AF2292,[1]STOK!J:O,6,0),"")</f>
        <v>12</v>
      </c>
      <c r="AH2292" s="2">
        <f t="shared" si="70"/>
        <v>2</v>
      </c>
      <c r="AI2292" t="s">
        <v>563</v>
      </c>
      <c r="AJ2292" t="s">
        <v>564</v>
      </c>
      <c r="AK2292" t="s">
        <v>565</v>
      </c>
      <c r="AL2292" t="s">
        <v>86</v>
      </c>
      <c r="AM2292">
        <v>30303</v>
      </c>
      <c r="AN2292">
        <f t="shared" si="71"/>
        <v>29848.455000000002</v>
      </c>
      <c r="AO2292" t="s">
        <v>66</v>
      </c>
      <c r="AP2292">
        <v>1.5</v>
      </c>
      <c r="AQ2292" t="s">
        <v>66</v>
      </c>
      <c r="AR2292">
        <v>0</v>
      </c>
      <c r="AS2292" t="s">
        <v>66</v>
      </c>
      <c r="AT2292">
        <v>0</v>
      </c>
      <c r="AU2292" t="s">
        <v>66</v>
      </c>
      <c r="AV2292">
        <v>0</v>
      </c>
      <c r="AW2292" t="s">
        <v>66</v>
      </c>
      <c r="AX2292">
        <v>0</v>
      </c>
      <c r="AY2292" t="s">
        <v>66</v>
      </c>
      <c r="AZ2292">
        <v>0</v>
      </c>
      <c r="BA2292" t="s">
        <v>66</v>
      </c>
      <c r="BB2292">
        <v>0</v>
      </c>
      <c r="BC2292">
        <v>0</v>
      </c>
      <c r="BD2292">
        <v>716362.92</v>
      </c>
      <c r="BE2292">
        <v>24643.38</v>
      </c>
      <c r="BF2292">
        <v>0</v>
      </c>
      <c r="BG2292" t="s">
        <v>87</v>
      </c>
      <c r="BH2292" t="s">
        <v>66</v>
      </c>
      <c r="BI2292">
        <v>0</v>
      </c>
      <c r="BJ2292" t="s">
        <v>66</v>
      </c>
      <c r="BK2292" t="s">
        <v>88</v>
      </c>
      <c r="BL2292" t="s">
        <v>66</v>
      </c>
      <c r="BM2292" t="s">
        <v>159</v>
      </c>
    </row>
    <row r="2293" spans="1:65" x14ac:dyDescent="0.25">
      <c r="A2293">
        <v>2291</v>
      </c>
      <c r="B2293" t="s">
        <v>2104</v>
      </c>
      <c r="C2293" t="s">
        <v>2105</v>
      </c>
      <c r="D2293" s="1">
        <v>46234</v>
      </c>
      <c r="E2293" t="s">
        <v>2106</v>
      </c>
      <c r="F2293" t="s">
        <v>2107</v>
      </c>
      <c r="G2293" t="s">
        <v>295</v>
      </c>
      <c r="H2293" t="s">
        <v>296</v>
      </c>
      <c r="I2293" t="s">
        <v>71</v>
      </c>
      <c r="J2293" t="s">
        <v>72</v>
      </c>
      <c r="K2293" t="s">
        <v>73</v>
      </c>
      <c r="L2293" t="s">
        <v>74</v>
      </c>
      <c r="M2293" t="s">
        <v>1134</v>
      </c>
      <c r="N2293" t="s">
        <v>111</v>
      </c>
      <c r="O2293" t="s">
        <v>1135</v>
      </c>
      <c r="P2293" t="s">
        <v>1136</v>
      </c>
      <c r="Q2293" t="s">
        <v>2108</v>
      </c>
      <c r="R2293" s="1">
        <v>46227</v>
      </c>
      <c r="S2293" t="s">
        <v>1138</v>
      </c>
      <c r="T2293" t="s">
        <v>1139</v>
      </c>
      <c r="U2293" t="s">
        <v>1140</v>
      </c>
      <c r="V2293" t="s">
        <v>66</v>
      </c>
      <c r="W2293" t="s">
        <v>66</v>
      </c>
      <c r="X2293">
        <v>7517520</v>
      </c>
      <c r="Y2293">
        <v>826927.2</v>
      </c>
      <c r="Z2293">
        <v>458616</v>
      </c>
      <c r="AA2293">
        <v>50447.76</v>
      </c>
      <c r="AB2293">
        <v>8344447.2000000002</v>
      </c>
      <c r="AC2293">
        <v>24</v>
      </c>
      <c r="AD2293" t="s">
        <v>82</v>
      </c>
      <c r="AE2293">
        <v>24</v>
      </c>
      <c r="AF2293" t="s">
        <v>470</v>
      </c>
      <c r="AG2293">
        <f>IFERROR(VLOOKUP(AF2293,[1]STOK!J:O,6,0),"")</f>
        <v>24</v>
      </c>
      <c r="AH2293" s="2">
        <f t="shared" si="70"/>
        <v>1</v>
      </c>
      <c r="AI2293" t="s">
        <v>470</v>
      </c>
      <c r="AJ2293" t="s">
        <v>471</v>
      </c>
      <c r="AK2293" t="s">
        <v>472</v>
      </c>
      <c r="AL2293" t="s">
        <v>86</v>
      </c>
      <c r="AM2293">
        <v>21534</v>
      </c>
      <c r="AN2293">
        <f t="shared" si="71"/>
        <v>21210.99</v>
      </c>
      <c r="AO2293" t="s">
        <v>66</v>
      </c>
      <c r="AP2293">
        <v>1.5</v>
      </c>
      <c r="AQ2293" t="s">
        <v>66</v>
      </c>
      <c r="AR2293">
        <v>0</v>
      </c>
      <c r="AS2293" t="s">
        <v>66</v>
      </c>
      <c r="AT2293">
        <v>0</v>
      </c>
      <c r="AU2293" t="s">
        <v>66</v>
      </c>
      <c r="AV2293">
        <v>0</v>
      </c>
      <c r="AW2293" t="s">
        <v>66</v>
      </c>
      <c r="AX2293">
        <v>0</v>
      </c>
      <c r="AY2293" t="s">
        <v>66</v>
      </c>
      <c r="AZ2293">
        <v>0</v>
      </c>
      <c r="BA2293" t="s">
        <v>66</v>
      </c>
      <c r="BB2293">
        <v>0</v>
      </c>
      <c r="BC2293">
        <v>0</v>
      </c>
      <c r="BD2293">
        <v>509063.76</v>
      </c>
      <c r="BE2293">
        <v>17322.240000000002</v>
      </c>
      <c r="BF2293">
        <v>0</v>
      </c>
      <c r="BG2293" t="s">
        <v>87</v>
      </c>
      <c r="BH2293" t="s">
        <v>66</v>
      </c>
      <c r="BI2293">
        <v>0</v>
      </c>
      <c r="BJ2293" t="s">
        <v>66</v>
      </c>
      <c r="BK2293" t="s">
        <v>88</v>
      </c>
      <c r="BL2293" t="s">
        <v>66</v>
      </c>
      <c r="BM2293" t="s">
        <v>159</v>
      </c>
    </row>
    <row r="2294" spans="1:65" x14ac:dyDescent="0.25">
      <c r="A2294">
        <v>2292</v>
      </c>
      <c r="B2294" t="s">
        <v>2104</v>
      </c>
      <c r="C2294" t="s">
        <v>2105</v>
      </c>
      <c r="D2294" s="1">
        <v>46234</v>
      </c>
      <c r="E2294" t="s">
        <v>2106</v>
      </c>
      <c r="F2294" t="s">
        <v>2107</v>
      </c>
      <c r="G2294" t="s">
        <v>295</v>
      </c>
      <c r="H2294" t="s">
        <v>296</v>
      </c>
      <c r="I2294" t="s">
        <v>71</v>
      </c>
      <c r="J2294" t="s">
        <v>72</v>
      </c>
      <c r="K2294" t="s">
        <v>73</v>
      </c>
      <c r="L2294" t="s">
        <v>74</v>
      </c>
      <c r="M2294" t="s">
        <v>1134</v>
      </c>
      <c r="N2294" t="s">
        <v>111</v>
      </c>
      <c r="O2294" t="s">
        <v>1135</v>
      </c>
      <c r="P2294" t="s">
        <v>1136</v>
      </c>
      <c r="Q2294" t="s">
        <v>2108</v>
      </c>
      <c r="R2294" s="1">
        <v>46227</v>
      </c>
      <c r="S2294" t="s">
        <v>1138</v>
      </c>
      <c r="T2294" t="s">
        <v>1139</v>
      </c>
      <c r="U2294" t="s">
        <v>1140</v>
      </c>
      <c r="V2294" t="s">
        <v>66</v>
      </c>
      <c r="W2294" t="s">
        <v>66</v>
      </c>
      <c r="X2294">
        <v>7517520</v>
      </c>
      <c r="Y2294">
        <v>826927.2</v>
      </c>
      <c r="Z2294">
        <v>458616</v>
      </c>
      <c r="AA2294">
        <v>50447.76</v>
      </c>
      <c r="AB2294">
        <v>8344447.2000000002</v>
      </c>
      <c r="AC2294">
        <v>24</v>
      </c>
      <c r="AD2294" t="s">
        <v>82</v>
      </c>
      <c r="AE2294">
        <v>24</v>
      </c>
      <c r="AF2294" t="s">
        <v>287</v>
      </c>
      <c r="AG2294">
        <f>IFERROR(VLOOKUP(AF2294,[1]STOK!J:O,6,0),"")</f>
        <v>12</v>
      </c>
      <c r="AH2294" s="2">
        <f t="shared" si="70"/>
        <v>2</v>
      </c>
      <c r="AI2294" t="s">
        <v>287</v>
      </c>
      <c r="AJ2294" t="s">
        <v>288</v>
      </c>
      <c r="AK2294" t="s">
        <v>289</v>
      </c>
      <c r="AL2294" t="s">
        <v>86</v>
      </c>
      <c r="AM2294">
        <v>21534</v>
      </c>
      <c r="AN2294">
        <f t="shared" si="71"/>
        <v>21210.99</v>
      </c>
      <c r="AO2294" t="s">
        <v>66</v>
      </c>
      <c r="AP2294">
        <v>1.5</v>
      </c>
      <c r="AQ2294" t="s">
        <v>66</v>
      </c>
      <c r="AR2294">
        <v>0</v>
      </c>
      <c r="AS2294" t="s">
        <v>66</v>
      </c>
      <c r="AT2294">
        <v>0</v>
      </c>
      <c r="AU2294" t="s">
        <v>66</v>
      </c>
      <c r="AV2294">
        <v>0</v>
      </c>
      <c r="AW2294" t="s">
        <v>66</v>
      </c>
      <c r="AX2294">
        <v>0</v>
      </c>
      <c r="AY2294" t="s">
        <v>66</v>
      </c>
      <c r="AZ2294">
        <v>0</v>
      </c>
      <c r="BA2294" t="s">
        <v>66</v>
      </c>
      <c r="BB2294">
        <v>0</v>
      </c>
      <c r="BC2294">
        <v>0</v>
      </c>
      <c r="BD2294">
        <v>509063.76</v>
      </c>
      <c r="BE2294">
        <v>17377.759999999998</v>
      </c>
      <c r="BF2294">
        <v>0</v>
      </c>
      <c r="BG2294" t="s">
        <v>87</v>
      </c>
      <c r="BH2294" t="s">
        <v>66</v>
      </c>
      <c r="BI2294">
        <v>0</v>
      </c>
      <c r="BJ2294" t="s">
        <v>66</v>
      </c>
      <c r="BK2294" t="s">
        <v>88</v>
      </c>
      <c r="BL2294" t="s">
        <v>66</v>
      </c>
      <c r="BM2294" t="s">
        <v>159</v>
      </c>
    </row>
    <row r="2295" spans="1:65" x14ac:dyDescent="0.25">
      <c r="A2295">
        <v>2293</v>
      </c>
      <c r="B2295" t="s">
        <v>2104</v>
      </c>
      <c r="C2295" t="s">
        <v>2105</v>
      </c>
      <c r="D2295" s="1">
        <v>46234</v>
      </c>
      <c r="E2295" t="s">
        <v>2106</v>
      </c>
      <c r="F2295" t="s">
        <v>2107</v>
      </c>
      <c r="G2295" t="s">
        <v>295</v>
      </c>
      <c r="H2295" t="s">
        <v>296</v>
      </c>
      <c r="I2295" t="s">
        <v>71</v>
      </c>
      <c r="J2295" t="s">
        <v>72</v>
      </c>
      <c r="K2295" t="s">
        <v>73</v>
      </c>
      <c r="L2295" t="s">
        <v>74</v>
      </c>
      <c r="M2295" t="s">
        <v>1134</v>
      </c>
      <c r="N2295" t="s">
        <v>111</v>
      </c>
      <c r="O2295" t="s">
        <v>1135</v>
      </c>
      <c r="P2295" t="s">
        <v>1136</v>
      </c>
      <c r="Q2295" t="s">
        <v>2108</v>
      </c>
      <c r="R2295" s="1">
        <v>46227</v>
      </c>
      <c r="S2295" t="s">
        <v>1138</v>
      </c>
      <c r="T2295" t="s">
        <v>1139</v>
      </c>
      <c r="U2295" t="s">
        <v>1140</v>
      </c>
      <c r="V2295" t="s">
        <v>66</v>
      </c>
      <c r="W2295" t="s">
        <v>66</v>
      </c>
      <c r="X2295">
        <v>7517520</v>
      </c>
      <c r="Y2295">
        <v>826927.2</v>
      </c>
      <c r="Z2295">
        <v>99288</v>
      </c>
      <c r="AA2295">
        <v>10921.68</v>
      </c>
      <c r="AB2295">
        <v>8344447.2000000002</v>
      </c>
      <c r="AC2295">
        <v>24</v>
      </c>
      <c r="AD2295" t="s">
        <v>82</v>
      </c>
      <c r="AE2295">
        <v>24</v>
      </c>
      <c r="AF2295" t="s">
        <v>131</v>
      </c>
      <c r="AG2295">
        <f>IFERROR(VLOOKUP(AF2295,[1]STOK!J:O,6,0),"")</f>
        <v>24</v>
      </c>
      <c r="AH2295" s="2">
        <f t="shared" si="70"/>
        <v>1</v>
      </c>
      <c r="AI2295" t="s">
        <v>131</v>
      </c>
      <c r="AJ2295" t="s">
        <v>132</v>
      </c>
      <c r="AK2295" t="s">
        <v>133</v>
      </c>
      <c r="AL2295" t="s">
        <v>86</v>
      </c>
      <c r="AM2295">
        <v>4662</v>
      </c>
      <c r="AN2295">
        <f t="shared" si="71"/>
        <v>4592.07</v>
      </c>
      <c r="AO2295" t="s">
        <v>66</v>
      </c>
      <c r="AP2295">
        <v>1.5</v>
      </c>
      <c r="AQ2295" t="s">
        <v>66</v>
      </c>
      <c r="AR2295">
        <v>0</v>
      </c>
      <c r="AS2295" t="s">
        <v>66</v>
      </c>
      <c r="AT2295">
        <v>0</v>
      </c>
      <c r="AU2295" t="s">
        <v>66</v>
      </c>
      <c r="AV2295">
        <v>0</v>
      </c>
      <c r="AW2295" t="s">
        <v>66</v>
      </c>
      <c r="AX2295">
        <v>0</v>
      </c>
      <c r="AY2295" t="s">
        <v>66</v>
      </c>
      <c r="AZ2295">
        <v>0</v>
      </c>
      <c r="BA2295" t="s">
        <v>66</v>
      </c>
      <c r="BB2295">
        <v>0</v>
      </c>
      <c r="BC2295">
        <v>0</v>
      </c>
      <c r="BD2295">
        <v>110209.68</v>
      </c>
      <c r="BE2295">
        <v>3751.12</v>
      </c>
      <c r="BF2295">
        <v>0</v>
      </c>
      <c r="BG2295" t="s">
        <v>87</v>
      </c>
      <c r="BH2295" t="s">
        <v>66</v>
      </c>
      <c r="BI2295">
        <v>0</v>
      </c>
      <c r="BJ2295" t="s">
        <v>66</v>
      </c>
      <c r="BK2295" t="s">
        <v>88</v>
      </c>
      <c r="BL2295" t="s">
        <v>66</v>
      </c>
      <c r="BM2295" t="s">
        <v>159</v>
      </c>
    </row>
    <row r="2296" spans="1:65" x14ac:dyDescent="0.25">
      <c r="A2296">
        <v>2294</v>
      </c>
      <c r="B2296" t="s">
        <v>2104</v>
      </c>
      <c r="C2296" t="s">
        <v>2105</v>
      </c>
      <c r="D2296" s="1">
        <v>46234</v>
      </c>
      <c r="E2296" t="s">
        <v>2106</v>
      </c>
      <c r="F2296" t="s">
        <v>2107</v>
      </c>
      <c r="G2296" t="s">
        <v>295</v>
      </c>
      <c r="H2296" t="s">
        <v>296</v>
      </c>
      <c r="I2296" t="s">
        <v>71</v>
      </c>
      <c r="J2296" t="s">
        <v>72</v>
      </c>
      <c r="K2296" t="s">
        <v>73</v>
      </c>
      <c r="L2296" t="s">
        <v>74</v>
      </c>
      <c r="M2296" t="s">
        <v>1134</v>
      </c>
      <c r="N2296" t="s">
        <v>111</v>
      </c>
      <c r="O2296" t="s">
        <v>1135</v>
      </c>
      <c r="P2296" t="s">
        <v>1136</v>
      </c>
      <c r="Q2296" t="s">
        <v>2108</v>
      </c>
      <c r="R2296" s="1">
        <v>46227</v>
      </c>
      <c r="S2296" t="s">
        <v>1138</v>
      </c>
      <c r="T2296" t="s">
        <v>1139</v>
      </c>
      <c r="U2296" t="s">
        <v>1140</v>
      </c>
      <c r="V2296" t="s">
        <v>66</v>
      </c>
      <c r="W2296" t="s">
        <v>66</v>
      </c>
      <c r="X2296">
        <v>7517520</v>
      </c>
      <c r="Y2296">
        <v>826927.2</v>
      </c>
      <c r="Z2296">
        <v>317958</v>
      </c>
      <c r="AA2296">
        <v>34975.379999999997</v>
      </c>
      <c r="AB2296">
        <v>8344447.2000000002</v>
      </c>
      <c r="AC2296">
        <v>6</v>
      </c>
      <c r="AD2296" t="s">
        <v>82</v>
      </c>
      <c r="AE2296">
        <v>6</v>
      </c>
      <c r="AF2296" t="s">
        <v>525</v>
      </c>
      <c r="AG2296">
        <f>IFERROR(VLOOKUP(AF2296,[1]STOK!J:O,6,0),"")</f>
        <v>6</v>
      </c>
      <c r="AH2296" s="2">
        <f t="shared" si="70"/>
        <v>1</v>
      </c>
      <c r="AI2296" t="s">
        <v>525</v>
      </c>
      <c r="AJ2296" t="s">
        <v>526</v>
      </c>
      <c r="AK2296" t="s">
        <v>527</v>
      </c>
      <c r="AL2296" t="s">
        <v>86</v>
      </c>
      <c r="AM2296">
        <v>59718</v>
      </c>
      <c r="AN2296">
        <f t="shared" si="71"/>
        <v>58822.23</v>
      </c>
      <c r="AO2296" t="s">
        <v>66</v>
      </c>
      <c r="AP2296">
        <v>1.5</v>
      </c>
      <c r="AQ2296" t="s">
        <v>66</v>
      </c>
      <c r="AR2296">
        <v>0</v>
      </c>
      <c r="AS2296" t="s">
        <v>66</v>
      </c>
      <c r="AT2296">
        <v>0</v>
      </c>
      <c r="AU2296" t="s">
        <v>66</v>
      </c>
      <c r="AV2296">
        <v>0</v>
      </c>
      <c r="AW2296" t="s">
        <v>66</v>
      </c>
      <c r="AX2296">
        <v>0</v>
      </c>
      <c r="AY2296" t="s">
        <v>66</v>
      </c>
      <c r="AZ2296">
        <v>0</v>
      </c>
      <c r="BA2296" t="s">
        <v>66</v>
      </c>
      <c r="BB2296">
        <v>0</v>
      </c>
      <c r="BC2296">
        <v>0</v>
      </c>
      <c r="BD2296">
        <v>352933.38</v>
      </c>
      <c r="BE2296">
        <v>46997.73</v>
      </c>
      <c r="BF2296">
        <v>0</v>
      </c>
      <c r="BG2296" t="s">
        <v>87</v>
      </c>
      <c r="BH2296" t="s">
        <v>66</v>
      </c>
      <c r="BI2296">
        <v>0</v>
      </c>
      <c r="BJ2296" t="s">
        <v>66</v>
      </c>
      <c r="BK2296" t="s">
        <v>88</v>
      </c>
      <c r="BL2296" t="s">
        <v>66</v>
      </c>
      <c r="BM2296" t="s">
        <v>159</v>
      </c>
    </row>
    <row r="2297" spans="1:65" x14ac:dyDescent="0.25">
      <c r="A2297">
        <v>2295</v>
      </c>
      <c r="B2297" t="s">
        <v>2104</v>
      </c>
      <c r="C2297" t="s">
        <v>2105</v>
      </c>
      <c r="D2297" s="1">
        <v>46234</v>
      </c>
      <c r="E2297" t="s">
        <v>2106</v>
      </c>
      <c r="F2297" t="s">
        <v>2107</v>
      </c>
      <c r="G2297" t="s">
        <v>295</v>
      </c>
      <c r="H2297" t="s">
        <v>296</v>
      </c>
      <c r="I2297" t="s">
        <v>71</v>
      </c>
      <c r="J2297" t="s">
        <v>72</v>
      </c>
      <c r="K2297" t="s">
        <v>73</v>
      </c>
      <c r="L2297" t="s">
        <v>74</v>
      </c>
      <c r="M2297" t="s">
        <v>1134</v>
      </c>
      <c r="N2297" t="s">
        <v>111</v>
      </c>
      <c r="O2297" t="s">
        <v>1135</v>
      </c>
      <c r="P2297" t="s">
        <v>1136</v>
      </c>
      <c r="Q2297" t="s">
        <v>2108</v>
      </c>
      <c r="R2297" s="1">
        <v>46227</v>
      </c>
      <c r="S2297" t="s">
        <v>1138</v>
      </c>
      <c r="T2297" t="s">
        <v>1139</v>
      </c>
      <c r="U2297" t="s">
        <v>1140</v>
      </c>
      <c r="V2297" t="s">
        <v>66</v>
      </c>
      <c r="W2297" t="s">
        <v>66</v>
      </c>
      <c r="X2297">
        <v>7517520</v>
      </c>
      <c r="Y2297">
        <v>826927.2</v>
      </c>
      <c r="Z2297">
        <v>1122900</v>
      </c>
      <c r="AA2297">
        <v>123519</v>
      </c>
      <c r="AB2297">
        <v>8344447.2000000002</v>
      </c>
      <c r="AC2297">
        <v>60</v>
      </c>
      <c r="AD2297" t="s">
        <v>82</v>
      </c>
      <c r="AE2297">
        <v>60</v>
      </c>
      <c r="AF2297" t="s">
        <v>290</v>
      </c>
      <c r="AG2297">
        <f>IFERROR(VLOOKUP(AF2297,[1]STOK!J:O,6,0),"")</f>
        <v>12</v>
      </c>
      <c r="AH2297" s="2">
        <f t="shared" si="70"/>
        <v>5</v>
      </c>
      <c r="AI2297" t="s">
        <v>290</v>
      </c>
      <c r="AJ2297" t="s">
        <v>291</v>
      </c>
      <c r="AK2297" t="s">
        <v>292</v>
      </c>
      <c r="AL2297" t="s">
        <v>86</v>
      </c>
      <c r="AM2297">
        <v>22200</v>
      </c>
      <c r="AN2297">
        <f t="shared" si="71"/>
        <v>20773.650000000001</v>
      </c>
      <c r="AO2297" t="s">
        <v>66</v>
      </c>
      <c r="AP2297">
        <v>1.5</v>
      </c>
      <c r="AQ2297" t="s">
        <v>66</v>
      </c>
      <c r="AR2297">
        <v>0</v>
      </c>
      <c r="AS2297" t="s">
        <v>66</v>
      </c>
      <c r="AT2297">
        <v>0</v>
      </c>
      <c r="AU2297" t="s">
        <v>66</v>
      </c>
      <c r="AV2297">
        <v>5</v>
      </c>
      <c r="AW2297" t="s">
        <v>66</v>
      </c>
      <c r="AX2297">
        <v>0</v>
      </c>
      <c r="AY2297" t="s">
        <v>66</v>
      </c>
      <c r="AZ2297">
        <v>0</v>
      </c>
      <c r="BA2297" t="s">
        <v>66</v>
      </c>
      <c r="BB2297">
        <v>0</v>
      </c>
      <c r="BC2297">
        <v>0</v>
      </c>
      <c r="BD2297">
        <v>1246419</v>
      </c>
      <c r="BE2297">
        <v>18113.71</v>
      </c>
      <c r="BF2297">
        <v>0</v>
      </c>
      <c r="BG2297" t="s">
        <v>87</v>
      </c>
      <c r="BH2297" t="s">
        <v>66</v>
      </c>
      <c r="BI2297">
        <v>0</v>
      </c>
      <c r="BJ2297" t="s">
        <v>66</v>
      </c>
      <c r="BK2297" t="s">
        <v>88</v>
      </c>
      <c r="BL2297" t="s">
        <v>66</v>
      </c>
      <c r="BM2297" t="s">
        <v>159</v>
      </c>
    </row>
    <row r="2298" spans="1:65" x14ac:dyDescent="0.25">
      <c r="A2298">
        <v>2296</v>
      </c>
      <c r="B2298" t="s">
        <v>2104</v>
      </c>
      <c r="C2298" t="s">
        <v>2105</v>
      </c>
      <c r="D2298" s="1">
        <v>46234</v>
      </c>
      <c r="E2298" t="s">
        <v>2106</v>
      </c>
      <c r="F2298" t="s">
        <v>2107</v>
      </c>
      <c r="G2298" t="s">
        <v>295</v>
      </c>
      <c r="H2298" t="s">
        <v>296</v>
      </c>
      <c r="I2298" t="s">
        <v>71</v>
      </c>
      <c r="J2298" t="s">
        <v>72</v>
      </c>
      <c r="K2298" t="s">
        <v>73</v>
      </c>
      <c r="L2298" t="s">
        <v>74</v>
      </c>
      <c r="M2298" t="s">
        <v>1134</v>
      </c>
      <c r="N2298" t="s">
        <v>111</v>
      </c>
      <c r="O2298" t="s">
        <v>1135</v>
      </c>
      <c r="P2298" t="s">
        <v>1136</v>
      </c>
      <c r="Q2298" t="s">
        <v>2108</v>
      </c>
      <c r="R2298" s="1">
        <v>46227</v>
      </c>
      <c r="S2298" t="s">
        <v>1138</v>
      </c>
      <c r="T2298" t="s">
        <v>1139</v>
      </c>
      <c r="U2298" t="s">
        <v>1140</v>
      </c>
      <c r="V2298" t="s">
        <v>66</v>
      </c>
      <c r="W2298" t="s">
        <v>66</v>
      </c>
      <c r="X2298">
        <v>7517520</v>
      </c>
      <c r="Y2298">
        <v>826927.2</v>
      </c>
      <c r="Z2298">
        <v>340416</v>
      </c>
      <c r="AA2298">
        <v>37445.760000000002</v>
      </c>
      <c r="AB2298">
        <v>8344447.2000000002</v>
      </c>
      <c r="AC2298">
        <v>24</v>
      </c>
      <c r="AD2298" t="s">
        <v>82</v>
      </c>
      <c r="AE2298">
        <v>24</v>
      </c>
      <c r="AF2298" t="s">
        <v>141</v>
      </c>
      <c r="AG2298">
        <f>IFERROR(VLOOKUP(AF2298,[1]STOK!J:O,6,0),"")</f>
        <v>12</v>
      </c>
      <c r="AH2298" s="2">
        <f t="shared" si="70"/>
        <v>2</v>
      </c>
      <c r="AI2298" t="s">
        <v>141</v>
      </c>
      <c r="AJ2298" t="s">
        <v>142</v>
      </c>
      <c r="AK2298" t="s">
        <v>143</v>
      </c>
      <c r="AL2298" t="s">
        <v>86</v>
      </c>
      <c r="AM2298">
        <v>15984</v>
      </c>
      <c r="AN2298">
        <f t="shared" si="71"/>
        <v>15744.24</v>
      </c>
      <c r="AO2298" t="s">
        <v>66</v>
      </c>
      <c r="AP2298">
        <v>1.5</v>
      </c>
      <c r="AQ2298" t="s">
        <v>66</v>
      </c>
      <c r="AR2298">
        <v>0</v>
      </c>
      <c r="AS2298" t="s">
        <v>66</v>
      </c>
      <c r="AT2298">
        <v>0</v>
      </c>
      <c r="AU2298" t="s">
        <v>66</v>
      </c>
      <c r="AV2298">
        <v>0</v>
      </c>
      <c r="AW2298" t="s">
        <v>66</v>
      </c>
      <c r="AX2298">
        <v>0</v>
      </c>
      <c r="AY2298" t="s">
        <v>66</v>
      </c>
      <c r="AZ2298">
        <v>0</v>
      </c>
      <c r="BA2298" t="s">
        <v>66</v>
      </c>
      <c r="BB2298">
        <v>0</v>
      </c>
      <c r="BC2298">
        <v>0</v>
      </c>
      <c r="BD2298">
        <v>377861.76</v>
      </c>
      <c r="BE2298">
        <v>13029.29</v>
      </c>
      <c r="BF2298">
        <v>0</v>
      </c>
      <c r="BG2298" t="s">
        <v>87</v>
      </c>
      <c r="BH2298" t="s">
        <v>66</v>
      </c>
      <c r="BI2298">
        <v>0</v>
      </c>
      <c r="BJ2298" t="s">
        <v>66</v>
      </c>
      <c r="BK2298" t="s">
        <v>88</v>
      </c>
      <c r="BL2298" t="s">
        <v>66</v>
      </c>
      <c r="BM2298" t="s">
        <v>159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2026-08-10T01:49:11Z</dcterms:created>
  <dcterms:modified xsi:type="dcterms:W3CDTF">2026-08-10T01:49:38Z</dcterms:modified>
</cp:coreProperties>
</file>