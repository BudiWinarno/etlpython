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1\LK-000042\Agustus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88" i="1" l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H289" i="1" s="1"/>
</calcChain>
</file>

<file path=xl/sharedStrings.xml><?xml version="1.0" encoding="utf-8"?>
<sst xmlns="http://schemas.openxmlformats.org/spreadsheetml/2006/main" count="1429" uniqueCount="928">
  <si>
    <t>KODE</t>
  </si>
  <si>
    <t>KODE PRINCIPLE</t>
  </si>
  <si>
    <t>NAMA BARANG</t>
  </si>
  <si>
    <t>UKURAN</t>
  </si>
  <si>
    <t>QTY</t>
  </si>
  <si>
    <t>SAT</t>
  </si>
  <si>
    <t>ISI</t>
  </si>
  <si>
    <t>QTY IN CT</t>
  </si>
  <si>
    <t>BAB100HN</t>
  </si>
  <si>
    <t>DBD794192</t>
  </si>
  <si>
    <t>Baby Dee Baby Lotion Honey 100ml (12)</t>
  </si>
  <si>
    <t>12 X 100ML</t>
  </si>
  <si>
    <t>BTL</t>
  </si>
  <si>
    <t>BA200MLH</t>
  </si>
  <si>
    <t>DBD794292</t>
  </si>
  <si>
    <t>Baby Dee Baby Lotion Honey 200ml (12)</t>
  </si>
  <si>
    <t>12 X 200ML</t>
  </si>
  <si>
    <t>BAB50H</t>
  </si>
  <si>
    <t>DBD794092</t>
  </si>
  <si>
    <t>Baby Dee Baby Lotion Honey 50ml (24)</t>
  </si>
  <si>
    <t>24 X 50ML</t>
  </si>
  <si>
    <t>BAB100ML</t>
  </si>
  <si>
    <t>DBD794191</t>
  </si>
  <si>
    <t>Baby Dee Baby Lotion Milk 100ml (12)</t>
  </si>
  <si>
    <t>BA200MLM</t>
  </si>
  <si>
    <t>DBD794291</t>
  </si>
  <si>
    <t>Baby Dee Baby Lotion Milk 200ml (12)</t>
  </si>
  <si>
    <t>BAB50M</t>
  </si>
  <si>
    <t>DBD794091</t>
  </si>
  <si>
    <t>Baby Dee Baby Lotion Milk 50ml (24)</t>
  </si>
  <si>
    <t>BA100M</t>
  </si>
  <si>
    <t>DBD783191</t>
  </si>
  <si>
    <t>Baby Dee Baby Milk 100ml (12)</t>
  </si>
  <si>
    <t>BAB200M</t>
  </si>
  <si>
    <t>DBD783291</t>
  </si>
  <si>
    <t>Baby Dee Baby Milk 200ml (12)</t>
  </si>
  <si>
    <t>BA100H</t>
  </si>
  <si>
    <t>DBD783192</t>
  </si>
  <si>
    <t>Baby Dee Baby Oil Honey 100ml (12)</t>
  </si>
  <si>
    <t>BAB200H</t>
  </si>
  <si>
    <t>DBD783292</t>
  </si>
  <si>
    <t>Baby Dee Baby Oil Honey 200ml (12)</t>
  </si>
  <si>
    <t>BA50H</t>
  </si>
  <si>
    <t>DBD783092</t>
  </si>
  <si>
    <t>Baby Dee Baby Oil Honey 50ml (24)</t>
  </si>
  <si>
    <t>PCS</t>
  </si>
  <si>
    <t>BA200H</t>
  </si>
  <si>
    <t>DBD750292</t>
  </si>
  <si>
    <t>Baby Dee Body Wash &amp; Shp Honey 200ml (12)</t>
  </si>
  <si>
    <t>BABY50H</t>
  </si>
  <si>
    <t>DBD750092</t>
  </si>
  <si>
    <t>Baby Dee Body Wash &amp; Shp Honey 50ml (24)</t>
  </si>
  <si>
    <t>BABYDEE2</t>
  </si>
  <si>
    <t>DBD750932-Z0</t>
  </si>
  <si>
    <t>Baby Dee Body Wash &amp; SHP Honey 600ml (12)</t>
  </si>
  <si>
    <t>12 X 600 ML</t>
  </si>
  <si>
    <t>BAB100M</t>
  </si>
  <si>
    <t>DBD750191</t>
  </si>
  <si>
    <t>Baby Dee Body Wash &amp; Shp Milk 100ml (12)</t>
  </si>
  <si>
    <t>BA200M</t>
  </si>
  <si>
    <t>DBD750291</t>
  </si>
  <si>
    <t>Baby Dee Body Wash &amp; Shp Milk 200ml (12)</t>
  </si>
  <si>
    <t>BABY50M</t>
  </si>
  <si>
    <t>DBD750091</t>
  </si>
  <si>
    <t>Baby Dee Body Wash &amp; Shp Milk 50ml (24)</t>
  </si>
  <si>
    <t>BABYDEE1</t>
  </si>
  <si>
    <t>DBD750931-Z0</t>
  </si>
  <si>
    <t>Baby Dee Body Wash &amp; SHP Milk 600ml (12)</t>
  </si>
  <si>
    <t>13 X 600 ML</t>
  </si>
  <si>
    <t>BA100PPH</t>
  </si>
  <si>
    <t>DBD789192</t>
  </si>
  <si>
    <t>Baby Dee Cream Popok Honey 100gr (24)</t>
  </si>
  <si>
    <t>24 X 100GR</t>
  </si>
  <si>
    <t>BA50PPH</t>
  </si>
  <si>
    <t>DBD789092</t>
  </si>
  <si>
    <t>Baby Dee Cream Popok Honey 50gr (24)</t>
  </si>
  <si>
    <t>24 X 50GR</t>
  </si>
  <si>
    <t>BA100PPM</t>
  </si>
  <si>
    <t>DBD789191</t>
  </si>
  <si>
    <t>Baby Dee Cream Popok Milk 100gr (24)</t>
  </si>
  <si>
    <t>BA50PPM</t>
  </si>
  <si>
    <t>DBD789091</t>
  </si>
  <si>
    <t>Baby Dee Cream Popok Milk 50gr (24)</t>
  </si>
  <si>
    <t>BABY100H</t>
  </si>
  <si>
    <t>DBD761192</t>
  </si>
  <si>
    <t>Baby Dee Talcum Powder Honey 100gr (24)</t>
  </si>
  <si>
    <t>BABY200H</t>
  </si>
  <si>
    <t>DBD761292</t>
  </si>
  <si>
    <t>Baby Dee Talcum Powder Honey 200gr (12)</t>
  </si>
  <si>
    <t>12 X 200GR</t>
  </si>
  <si>
    <t>BABY100M</t>
  </si>
  <si>
    <t>DBD761191</t>
  </si>
  <si>
    <t>Baby Dee Talcum Powder Milk 100gr (24)</t>
  </si>
  <si>
    <t>BABY200M</t>
  </si>
  <si>
    <t>DBD761291</t>
  </si>
  <si>
    <t>Baby Dee Talcum Powder Milk 200gr (12)</t>
  </si>
  <si>
    <t>BAPKTH</t>
  </si>
  <si>
    <t>DBD750262</t>
  </si>
  <si>
    <t>Baby Dee Toiletries Pack Honey (6)</t>
  </si>
  <si>
    <t>6 PAKET</t>
  </si>
  <si>
    <t>PACK</t>
  </si>
  <si>
    <t>BAPKTM</t>
  </si>
  <si>
    <t>DBD750261</t>
  </si>
  <si>
    <t>Baby Dee Toiletries Pack Milk (6)</t>
  </si>
  <si>
    <t>BATRAH</t>
  </si>
  <si>
    <t>DBD761262</t>
  </si>
  <si>
    <t>Baby Dee Travel Pack Honey (12)</t>
  </si>
  <si>
    <t>12 PAKET</t>
  </si>
  <si>
    <t>BATRAPM</t>
  </si>
  <si>
    <t>DBD761261</t>
  </si>
  <si>
    <t>Baby Dee Travel Pack Milk (12)</t>
  </si>
  <si>
    <t>BABYSF</t>
  </si>
  <si>
    <t>BBS106390</t>
  </si>
  <si>
    <t>Baby Soft 1000ml (12)</t>
  </si>
  <si>
    <t>12 X 1000 ML</t>
  </si>
  <si>
    <t>BABSF3,7</t>
  </si>
  <si>
    <t>BBS106590</t>
  </si>
  <si>
    <t>Baby Soft 3,7Liter (4)</t>
  </si>
  <si>
    <t>4 X 3,7 LT</t>
  </si>
  <si>
    <t>JRG</t>
  </si>
  <si>
    <t>BABYSP</t>
  </si>
  <si>
    <t>BBS106990</t>
  </si>
  <si>
    <t>Baby Soft 410ml (24)</t>
  </si>
  <si>
    <t>24 X 410 ML</t>
  </si>
  <si>
    <t>DDSG05B</t>
  </si>
  <si>
    <t>Dd Sahmpoo Pouch - Grape 1 gratis 1(24)</t>
  </si>
  <si>
    <t>24 X 200 ML</t>
  </si>
  <si>
    <t>DDSS05B</t>
  </si>
  <si>
    <t>Dd Sahmpoo Pouch - Strawbery 1 gratis 1(24)</t>
  </si>
  <si>
    <t>DDSA05B</t>
  </si>
  <si>
    <t>Dd Shampoo Pouch - Appel 200ml 1 gratis (24)</t>
  </si>
  <si>
    <t>24 X 200ML</t>
  </si>
  <si>
    <t>DDSO05B</t>
  </si>
  <si>
    <t>Dd Shampoo Pouch - Orange 200ml 1 gratis (24)</t>
  </si>
  <si>
    <t>DBWA01</t>
  </si>
  <si>
    <t>DBW640291</t>
  </si>
  <si>
    <t>Dee Dee Body Wash 225ml Apple (12)</t>
  </si>
  <si>
    <t>12 X 225 ML</t>
  </si>
  <si>
    <t>DDBODYAP</t>
  </si>
  <si>
    <t>DBW640991</t>
  </si>
  <si>
    <t>Dee Dee Body Wash Apple 200ml (24)</t>
  </si>
  <si>
    <t>DDBODYGP</t>
  </si>
  <si>
    <t>DBW640992</t>
  </si>
  <si>
    <t>Dee Dee Body Wash Grape 200ml (24)</t>
  </si>
  <si>
    <t>DDWG01</t>
  </si>
  <si>
    <t>DBW640292</t>
  </si>
  <si>
    <t>Dee Dee Body Wash Grape 225ml (12)</t>
  </si>
  <si>
    <t>DDBODYOP</t>
  </si>
  <si>
    <t>DBW640993</t>
  </si>
  <si>
    <t>Dee Dee Body Wash Orange 200ml (24)</t>
  </si>
  <si>
    <t>DDWO01</t>
  </si>
  <si>
    <t>DBW640293</t>
  </si>
  <si>
    <t>Dee Dee Body Wash Orange 225ml (12)</t>
  </si>
  <si>
    <t>DDBODYSP</t>
  </si>
  <si>
    <t>DBW640994</t>
  </si>
  <si>
    <t>Dee Dee Body Wash Strawberry 200ml (24)</t>
  </si>
  <si>
    <t>DDWS01</t>
  </si>
  <si>
    <t>DBW640294</t>
  </si>
  <si>
    <t>Dee Dee Body Wash Strawberry 225ml (12)</t>
  </si>
  <si>
    <t>DFWG01</t>
  </si>
  <si>
    <t>DFW662092</t>
  </si>
  <si>
    <t>Dee Dee Facial Wash Grape 100gr (12)</t>
  </si>
  <si>
    <t>12 X 100 GR</t>
  </si>
  <si>
    <t>DFWG03</t>
  </si>
  <si>
    <t>DFW662192</t>
  </si>
  <si>
    <t>Dee Dee Facial Wash Grape Hanger 50gr (12x4)</t>
  </si>
  <si>
    <t>12 X 4'S X 50 GR</t>
  </si>
  <si>
    <t>DFWG02</t>
  </si>
  <si>
    <t>DFW662902</t>
  </si>
  <si>
    <t>Dee Dee Facial Wash Grape Tube 50gr (24)</t>
  </si>
  <si>
    <t>24 X 50 GR</t>
  </si>
  <si>
    <t>DFWO03</t>
  </si>
  <si>
    <t>DFW662193</t>
  </si>
  <si>
    <t>Dee Dee Facial Wash HGR Orange 50gr (12x4)</t>
  </si>
  <si>
    <t>DFWS03</t>
  </si>
  <si>
    <t>DFW662194</t>
  </si>
  <si>
    <t>Dee Dee Facial Wash HGR Strawberry 50gr (12x4)</t>
  </si>
  <si>
    <t>DFWO01</t>
  </si>
  <si>
    <t>DFW662093</t>
  </si>
  <si>
    <t>Dee Dee Facial Wash Orange 100gr (12)</t>
  </si>
  <si>
    <t>DFWO02</t>
  </si>
  <si>
    <t>DFW662903</t>
  </si>
  <si>
    <t>Dee Dee Facial Wash Orange Tube 50gr (24)</t>
  </si>
  <si>
    <t>DFWS01</t>
  </si>
  <si>
    <t>DFW662094</t>
  </si>
  <si>
    <t>Dee Dee Facial Wash Strawberry 100gr (12)</t>
  </si>
  <si>
    <t>DFWS02</t>
  </si>
  <si>
    <t>DFW662904</t>
  </si>
  <si>
    <t>Dee Dee Facial Wash Strawberry Tube 50gr (24)</t>
  </si>
  <si>
    <t>DDMOSRLG</t>
  </si>
  <si>
    <t>DDM597295</t>
  </si>
  <si>
    <t>Dee Dee Lotion Penolak Nyamuk Guava 20gr (48)</t>
  </si>
  <si>
    <t>48 X 20 GR</t>
  </si>
  <si>
    <t>DDLOT50G</t>
  </si>
  <si>
    <t>DDM497195</t>
  </si>
  <si>
    <t>Dee Dee Lotion Penolak Nyamuk Guava 50gr (24)</t>
  </si>
  <si>
    <t>DDLOT50O</t>
  </si>
  <si>
    <t>DDM497193</t>
  </si>
  <si>
    <t>Dee Dee Lotion Penolak Nyamuk Orange 50gr (24)</t>
  </si>
  <si>
    <t>DDLOT50S</t>
  </si>
  <si>
    <t>DDM497194</t>
  </si>
  <si>
    <t>Dee Dee Lotion Penolak Nyamuk Strawberry 50gr (24)</t>
  </si>
  <si>
    <t>DDSA03</t>
  </si>
  <si>
    <t>DDR356491</t>
  </si>
  <si>
    <t>Dee Dee Shampoo Apple 125ml (24)</t>
  </si>
  <si>
    <t>24 X 125 ML</t>
  </si>
  <si>
    <t>DDSA05</t>
  </si>
  <si>
    <t>DDR356991</t>
  </si>
  <si>
    <t>Dee Dee Shampoo Apple 200ml (24)</t>
  </si>
  <si>
    <t>DDSA04</t>
  </si>
  <si>
    <t>DDP356281</t>
  </si>
  <si>
    <t>Dee Dee Shampoo Apple 250ml Pump (12)</t>
  </si>
  <si>
    <t>12 X 250 ML</t>
  </si>
  <si>
    <t>DDSA06</t>
  </si>
  <si>
    <t>DDR356291</t>
  </si>
  <si>
    <t>Dee Dee Shampoo Apple 250ml Refill (12)</t>
  </si>
  <si>
    <t>DDSA02</t>
  </si>
  <si>
    <t>DDR356191A</t>
  </si>
  <si>
    <t>Dee Dee Shampoo Apple 45ml (72)</t>
  </si>
  <si>
    <t>72 X 45 ML</t>
  </si>
  <si>
    <t>DDSA01</t>
  </si>
  <si>
    <t>DDS356071</t>
  </si>
  <si>
    <t>Dee Dee Shampoo Apple 5ml (18x24)</t>
  </si>
  <si>
    <t>18 X 24 X 5 ML</t>
  </si>
  <si>
    <t>DDSG03</t>
  </si>
  <si>
    <t>DDR356492</t>
  </si>
  <si>
    <t>Dee Dee Shampoo Grape 125ml (24)</t>
  </si>
  <si>
    <t>DDSG05</t>
  </si>
  <si>
    <t>DDR356992</t>
  </si>
  <si>
    <t>Dee Dee Shampoo Grape 200ml (24)</t>
  </si>
  <si>
    <t>DDSG04</t>
  </si>
  <si>
    <t>DDP356282</t>
  </si>
  <si>
    <t>Dee Dee Shampoo Grape 250ml Pump (12)</t>
  </si>
  <si>
    <t>DDSG06</t>
  </si>
  <si>
    <t>DDR356292</t>
  </si>
  <si>
    <t>Dee Dee Shampoo Grape 250ml Refill (12)</t>
  </si>
  <si>
    <t>DDSG02</t>
  </si>
  <si>
    <t>DDR356192A</t>
  </si>
  <si>
    <t>Dee Dee Shampoo Grape 45ml (72)</t>
  </si>
  <si>
    <t>DDSG01</t>
  </si>
  <si>
    <t>DDS356072</t>
  </si>
  <si>
    <t>Dee Dee Shampoo Grape 5ml (18x24)</t>
  </si>
  <si>
    <t>DDLG01</t>
  </si>
  <si>
    <t>DDS992283A</t>
  </si>
  <si>
    <t>Dee Dee Shampoo Long Hair Green Tea 200ml (12)</t>
  </si>
  <si>
    <t>12 X 200 ML</t>
  </si>
  <si>
    <t>DDLR01</t>
  </si>
  <si>
    <t>DDS992284A</t>
  </si>
  <si>
    <t>Dee Dee Shampoo Long Hair Rose 200ml (12)</t>
  </si>
  <si>
    <t>DDSO03</t>
  </si>
  <si>
    <t>DDR356493</t>
  </si>
  <si>
    <t>Dee Dee Shampoo Orange 125ml (24)</t>
  </si>
  <si>
    <t>DDSO05</t>
  </si>
  <si>
    <t>DDR356993</t>
  </si>
  <si>
    <t>Dee Dee Shampoo Orange 200ml (24)</t>
  </si>
  <si>
    <t>DDSO04</t>
  </si>
  <si>
    <t>DDP356283</t>
  </si>
  <si>
    <t>Dee Dee Shampoo Orange 250ml Pump (12)</t>
  </si>
  <si>
    <t>DDSO06</t>
  </si>
  <si>
    <t>DDR356293</t>
  </si>
  <si>
    <t>Dee Dee Shampoo Orange 250ml Refill (12)</t>
  </si>
  <si>
    <t>DDSO02</t>
  </si>
  <si>
    <t>DDR356193A</t>
  </si>
  <si>
    <t>Dee Dee Shampoo Orange 45ml (72)</t>
  </si>
  <si>
    <t>DDSO01</t>
  </si>
  <si>
    <t>DDS356073</t>
  </si>
  <si>
    <t>Dee Dee Shampoo Orange 5ml (18x24)</t>
  </si>
  <si>
    <t>DDSS03</t>
  </si>
  <si>
    <t>DDR356494</t>
  </si>
  <si>
    <t>Dee Dee Shampoo Strawberry 125ml (24)</t>
  </si>
  <si>
    <t>DDSS05</t>
  </si>
  <si>
    <t>DDR356994</t>
  </si>
  <si>
    <t>Dee Dee Shampoo Strawberry 200ml (24)</t>
  </si>
  <si>
    <t>DDSS04</t>
  </si>
  <si>
    <t>DDP356284</t>
  </si>
  <si>
    <t>Dee Dee Shampoo Strawberry 250ml Pump (12)</t>
  </si>
  <si>
    <t>DDSS06</t>
  </si>
  <si>
    <t>DDR356294</t>
  </si>
  <si>
    <t>Dee Dee Shampoo Strawberry 250ml Refill (12)</t>
  </si>
  <si>
    <t>DDSS02</t>
  </si>
  <si>
    <t>DDR356194A</t>
  </si>
  <si>
    <t>Dee Dee Shampoo Strawberry 45ml (72)</t>
  </si>
  <si>
    <t>DDSS01</t>
  </si>
  <si>
    <t>DDS356074</t>
  </si>
  <si>
    <t>Dee Dee Shampoo Strawberry 5ml (18x24)</t>
  </si>
  <si>
    <t>DDFOAAP</t>
  </si>
  <si>
    <t>DSC650271</t>
  </si>
  <si>
    <t>Dee Dee Shower Foaming Apple 200ml (24)</t>
  </si>
  <si>
    <t>24X200ML</t>
  </si>
  <si>
    <t>DDSFA</t>
  </si>
  <si>
    <t>DSC650281</t>
  </si>
  <si>
    <t>Dee Dee Shower Foaming Apple 225ml (12)</t>
  </si>
  <si>
    <t>DDFOAGR</t>
  </si>
  <si>
    <t>DSC650272</t>
  </si>
  <si>
    <t>Dee Dee Shower Foaming Grape 200ml (24)</t>
  </si>
  <si>
    <t>DDSFG</t>
  </si>
  <si>
    <t>DSC650282</t>
  </si>
  <si>
    <t>Dee Dee Shower Foaming Grape 225ml (12)</t>
  </si>
  <si>
    <t>DDFOAOR</t>
  </si>
  <si>
    <t>DSC650273</t>
  </si>
  <si>
    <t>Dee Dee Shower Foaming Orange 200ml (24)</t>
  </si>
  <si>
    <t>DDSFO</t>
  </si>
  <si>
    <t>DSC650283</t>
  </si>
  <si>
    <t>Dee Dee Shower Foaming Orange 225ml (12)</t>
  </si>
  <si>
    <t>DDFOAST</t>
  </si>
  <si>
    <t>DSC650274</t>
  </si>
  <si>
    <t>Dee Dee Shower Foaming Strawberry 200ml (24)</t>
  </si>
  <si>
    <t>DDSFS</t>
  </si>
  <si>
    <t>DSC650264</t>
  </si>
  <si>
    <t>Dee Dee Shower Foaming Strawberry 225ml (12)</t>
  </si>
  <si>
    <t>DSG02</t>
  </si>
  <si>
    <t>DSG442482</t>
  </si>
  <si>
    <t>Dee Dee Sikat Gigi Hanger Mix (48)</t>
  </si>
  <si>
    <t>48 PCS</t>
  </si>
  <si>
    <t>DSG01</t>
  </si>
  <si>
    <t>DSG442492</t>
  </si>
  <si>
    <t>Dee Dee Sikat Gigi Tray Mix (48)</t>
  </si>
  <si>
    <t>DTPA02</t>
  </si>
  <si>
    <t>DTP464291</t>
  </si>
  <si>
    <t>Dee Dee Talcum Powder Apple 150gr (12)</t>
  </si>
  <si>
    <t>12 X 150 GR</t>
  </si>
  <si>
    <t>DTPA01</t>
  </si>
  <si>
    <t>DTP464191</t>
  </si>
  <si>
    <t>Dee Dee Talcum Powder Apple 45gr (24)</t>
  </si>
  <si>
    <t>24 X 45 GR</t>
  </si>
  <si>
    <t>DTPO02</t>
  </si>
  <si>
    <t>DTP464293</t>
  </si>
  <si>
    <t>Dee Dee Talcum Powder Orange 150gr (12)</t>
  </si>
  <si>
    <t>DTPO01</t>
  </si>
  <si>
    <t>DTP464193</t>
  </si>
  <si>
    <t>Dee Dee Talcum Powder Orange 45gr (24)</t>
  </si>
  <si>
    <t>DTPS02</t>
  </si>
  <si>
    <t>DTP464294</t>
  </si>
  <si>
    <t>Dee Dee Talcum Powder Strawberry 150gr (12)</t>
  </si>
  <si>
    <t>DTPS01</t>
  </si>
  <si>
    <t>DTP464194</t>
  </si>
  <si>
    <t>Dee Dee Talcum Powder Strawberry 45gr (24)</t>
  </si>
  <si>
    <t>DDTBTPPM</t>
  </si>
  <si>
    <t>DPS442267</t>
  </si>
  <si>
    <t>Dee Dee Toothbrush &amp; Toothpaste Pack (24)</t>
  </si>
  <si>
    <t>X 24</t>
  </si>
  <si>
    <t>DSG03</t>
  </si>
  <si>
    <t>DSG442590A</t>
  </si>
  <si>
    <t>Dee Dee Toothbrush Premium Box Besar (48)</t>
  </si>
  <si>
    <t>4 X 12</t>
  </si>
  <si>
    <t>DPKG01</t>
  </si>
  <si>
    <t>DPK442282A</t>
  </si>
  <si>
    <t>Dee Dee Toothpaste Grape 50gr (48)</t>
  </si>
  <si>
    <t>48 X 50 GR</t>
  </si>
  <si>
    <t>DPKO01</t>
  </si>
  <si>
    <t>DPK442283A</t>
  </si>
  <si>
    <t>Dee Dee Toothpaste Orange 50gr (48)</t>
  </si>
  <si>
    <t>DPKS01</t>
  </si>
  <si>
    <t>DPK442284A</t>
  </si>
  <si>
    <t>Dee Dee Toothpaste Strawberry 50gr (48)</t>
  </si>
  <si>
    <t>DDTRAP</t>
  </si>
  <si>
    <t>DPT464267</t>
  </si>
  <si>
    <t>Dee Dee Travel Pack (12)</t>
  </si>
  <si>
    <t>GLASFBP1</t>
  </si>
  <si>
    <t>GLA17890-Z01</t>
  </si>
  <si>
    <t>GLASS CLEANER-FRESH BLUE POUCH 410 PROMO(24)</t>
  </si>
  <si>
    <t>24 X 410ML</t>
  </si>
  <si>
    <t>GLASCL1</t>
  </si>
  <si>
    <t>GLA178993-Z01</t>
  </si>
  <si>
    <t>GLASS CLEANER-FRESH LILAC POUCH 410 PROMO (24)</t>
  </si>
  <si>
    <t>GLASLFP1</t>
  </si>
  <si>
    <t>GLA178992-Z01</t>
  </si>
  <si>
    <t>GLASS CLEANER-LEMON FRESH POUCH 410 PROMO (24)</t>
  </si>
  <si>
    <t>POR33208</t>
  </si>
  <si>
    <t>Porstex Ungu 1000Ml + Free Porstex 160Ml (12)</t>
  </si>
  <si>
    <t>12 X 1000ML</t>
  </si>
  <si>
    <t>AGAF03</t>
  </si>
  <si>
    <t>AGA101391A</t>
  </si>
  <si>
    <t>Yuri Aganol Floral 1000ml (12)</t>
  </si>
  <si>
    <t>AGAF04</t>
  </si>
  <si>
    <t>AGA101491A</t>
  </si>
  <si>
    <t>Yuri Aganol Floral 2000ml (6)</t>
  </si>
  <si>
    <t>6 X 2000 ML</t>
  </si>
  <si>
    <t>AGAF05</t>
  </si>
  <si>
    <t>AGA101591</t>
  </si>
  <si>
    <t>Yuri Aganol Floral 3,7Liter (4)</t>
  </si>
  <si>
    <t>AGAF07</t>
  </si>
  <si>
    <t>AGA101991B-Z01</t>
  </si>
  <si>
    <r>
      <t xml:space="preserve">Yuri Aganol Floral 600ml </t>
    </r>
    <r>
      <rPr>
        <b/>
        <sz val="9"/>
        <color rgb="FFFF0000"/>
        <rFont val="Century Gothic"/>
        <family val="2"/>
      </rPr>
      <t>PROMO</t>
    </r>
    <r>
      <rPr>
        <sz val="9"/>
        <color indexed="8"/>
        <rFont val="Century Gothic"/>
        <family val="2"/>
      </rPr>
      <t xml:space="preserve"> (12)</t>
    </r>
  </si>
  <si>
    <t>12X(2X600ML)</t>
  </si>
  <si>
    <t>AGAF02</t>
  </si>
  <si>
    <t>AGA101991B</t>
  </si>
  <si>
    <t>Yuri Aganol Floral 630ml (12)</t>
  </si>
  <si>
    <t>AGAF01</t>
  </si>
  <si>
    <t>AGA101061</t>
  </si>
  <si>
    <t>Yuri Aganol Floral 80ml (48)</t>
  </si>
  <si>
    <t>48 X 80 ML</t>
  </si>
  <si>
    <t>AGAL03</t>
  </si>
  <si>
    <t>AGA080391</t>
  </si>
  <si>
    <t>Yuri Aganol Lavender 1000ml (12)</t>
  </si>
  <si>
    <t>AGAL04</t>
  </si>
  <si>
    <t>AGA080491</t>
  </si>
  <si>
    <t>Yuri Aganol Lavender 2000ml (6)</t>
  </si>
  <si>
    <t>AGAL06</t>
  </si>
  <si>
    <t>AGA080791</t>
  </si>
  <si>
    <t>Yuri Aganol Lavender 20Liter (1)</t>
  </si>
  <si>
    <t>1 X 20 LITER</t>
  </si>
  <si>
    <t>AGAL05</t>
  </si>
  <si>
    <t>AGA080591</t>
  </si>
  <si>
    <t>Yuri Aganol Lavender 3,7Liter (4)</t>
  </si>
  <si>
    <t>AGAL07</t>
  </si>
  <si>
    <t>AGA080991-Z01</t>
  </si>
  <si>
    <r>
      <t xml:space="preserve">Yuri Aganol Lavender 600ml </t>
    </r>
    <r>
      <rPr>
        <b/>
        <sz val="9"/>
        <color rgb="FFFF0000"/>
        <rFont val="Century Gothic"/>
        <family val="2"/>
      </rPr>
      <t>PROMO</t>
    </r>
    <r>
      <rPr>
        <sz val="9"/>
        <color indexed="8"/>
        <rFont val="Century Gothic"/>
        <family val="2"/>
      </rPr>
      <t xml:space="preserve"> (12)</t>
    </r>
  </si>
  <si>
    <t>AGAL02</t>
  </si>
  <si>
    <t>AGA080991</t>
  </si>
  <si>
    <t>Yuri Aganol Lavender 630ml (12)</t>
  </si>
  <si>
    <t>AGALM06</t>
  </si>
  <si>
    <t>AGA101992-Z01</t>
  </si>
  <si>
    <r>
      <t xml:space="preserve">Yuri Aganol Lemon 600ml </t>
    </r>
    <r>
      <rPr>
        <b/>
        <sz val="9"/>
        <color rgb="FFFF0000"/>
        <rFont val="Century Gothic"/>
        <family val="2"/>
      </rPr>
      <t>PROMO</t>
    </r>
    <r>
      <rPr>
        <sz val="9"/>
        <color indexed="8"/>
        <rFont val="Century Gothic"/>
        <family val="2"/>
      </rPr>
      <t xml:space="preserve"> (12)</t>
    </r>
  </si>
  <si>
    <t>AGALM02</t>
  </si>
  <si>
    <t>AGA101392</t>
  </si>
  <si>
    <t>Yuri Aganol Lemon Fresh 1000ml (12)</t>
  </si>
  <si>
    <t>AGALM03</t>
  </si>
  <si>
    <t>AGA101492</t>
  </si>
  <si>
    <t>Yuri Aganol Lemon Fresh 2000ml (6)</t>
  </si>
  <si>
    <t>AGALM04</t>
  </si>
  <si>
    <t>AGA101592</t>
  </si>
  <si>
    <t>Yuri Aganol Lemon Fresh 3,7Liter (4)</t>
  </si>
  <si>
    <t>AGALM01</t>
  </si>
  <si>
    <t>AGA101992</t>
  </si>
  <si>
    <t>Yuri Aganol Lemon Fresh 630ml (12)</t>
  </si>
  <si>
    <t>AGAM02</t>
  </si>
  <si>
    <t>AGA101393</t>
  </si>
  <si>
    <t>Yuri Aganol Morning Fresh 1000ml (12)</t>
  </si>
  <si>
    <t>AGAM03</t>
  </si>
  <si>
    <t>AGA101493</t>
  </si>
  <si>
    <t>Yuri Aganol Morning Fresh 2000ml (6)</t>
  </si>
  <si>
    <t>AGAM05</t>
  </si>
  <si>
    <t>AGA101793</t>
  </si>
  <si>
    <t>Yuri Aganol Morning Fresh 20Liter (1)</t>
  </si>
  <si>
    <t>AGAM04</t>
  </si>
  <si>
    <t>AGA101593</t>
  </si>
  <si>
    <t>Yuri Aganol Morning Fresh 3,7Liter (4)</t>
  </si>
  <si>
    <t>AGAM06</t>
  </si>
  <si>
    <t>AGA101993-Z01</t>
  </si>
  <si>
    <r>
      <t xml:space="preserve">Yuri Aganol Morning Fresh 600ml </t>
    </r>
    <r>
      <rPr>
        <b/>
        <sz val="9"/>
        <color rgb="FFFF0000"/>
        <rFont val="Century Gothic"/>
        <family val="2"/>
      </rPr>
      <t>PROMO</t>
    </r>
    <r>
      <rPr>
        <sz val="9"/>
        <color indexed="8"/>
        <rFont val="Century Gothic"/>
        <family val="2"/>
      </rPr>
      <t xml:space="preserve"> (12)</t>
    </r>
  </si>
  <si>
    <t>AGAM01</t>
  </si>
  <si>
    <t>AGA101993</t>
  </si>
  <si>
    <t>Yuri Aganol Morning Fresh 630ml (12)</t>
  </si>
  <si>
    <t>BATHCP</t>
  </si>
  <si>
    <t>BCL100390</t>
  </si>
  <si>
    <t>Yuri Bathroom Cleaner 375ml (24)</t>
  </si>
  <si>
    <t>24 X 375 ML</t>
  </si>
  <si>
    <t>BATHCS</t>
  </si>
  <si>
    <t>BCL100280</t>
  </si>
  <si>
    <t>Yuri Bathroom Cleaner 500ml (12)</t>
  </si>
  <si>
    <t>12 X 500 ML</t>
  </si>
  <si>
    <t>BIOS02</t>
  </si>
  <si>
    <t>BIO112590</t>
  </si>
  <si>
    <t>Yuri Biosoft 3,7Liter (4)</t>
  </si>
  <si>
    <t>BIOS01</t>
  </si>
  <si>
    <t>BIO112290</t>
  </si>
  <si>
    <t>Yuri Biosoft 375ml (12)</t>
  </si>
  <si>
    <t>12 X 375 ML</t>
  </si>
  <si>
    <t>BIOH02</t>
  </si>
  <si>
    <t>BIO113091</t>
  </si>
  <si>
    <t>Yuri Biosoft Hijab Detergen + Softener Ocean Fresh 40ml (36x6)</t>
  </si>
  <si>
    <t>36HGRX6'SX40ML</t>
  </si>
  <si>
    <t>BIO06</t>
  </si>
  <si>
    <t>BIO113921</t>
  </si>
  <si>
    <t>Yuri Biosoft Hijab Detergen + Softener Ocean Fresh 630ml (12)</t>
  </si>
  <si>
    <t>12 X 630 ML</t>
  </si>
  <si>
    <t>BIOH08</t>
  </si>
  <si>
    <t>BIO113381</t>
  </si>
  <si>
    <t>Yuri Biosoft Hijab Detergen + Softener Ocean Fresh 900ml (12)</t>
  </si>
  <si>
    <t>12 X 900 ML</t>
  </si>
  <si>
    <t>BIOH03</t>
  </si>
  <si>
    <t>BIO115291</t>
  </si>
  <si>
    <t>Yuri Biosoft Hijab Pelicin Kain Halus 410ml (24)</t>
  </si>
  <si>
    <t>BIOH04</t>
  </si>
  <si>
    <t>BIO115281</t>
  </si>
  <si>
    <t>Yuri Biosoft Hijab Pelicin Kain Halus 500ml (12)</t>
  </si>
  <si>
    <t>BIOH01</t>
  </si>
  <si>
    <t>BIO114091</t>
  </si>
  <si>
    <t>Yuri Biosoft Hijab Pewangi + Softener Ocean Fresh 10ml (18x24)</t>
  </si>
  <si>
    <t>18HGRX24'SX10ML</t>
  </si>
  <si>
    <t>BIOH05</t>
  </si>
  <si>
    <t>BIO114921</t>
  </si>
  <si>
    <t>Yuri Biosoft Hijab Pewangi + Softener Ocean Fresh 630ml (12)</t>
  </si>
  <si>
    <t>BIOH07</t>
  </si>
  <si>
    <t>BIO114391</t>
  </si>
  <si>
    <t>Yuri Biosoft Hijab Pewangi + Softener Ocean Fresh 900ml (12)</t>
  </si>
  <si>
    <t>BIOH09</t>
  </si>
  <si>
    <t>BIO116261</t>
  </si>
  <si>
    <t>Yuri Biosoft Hijab Travel Pack (24)</t>
  </si>
  <si>
    <t>24 PACK X 100ML</t>
  </si>
  <si>
    <t>BLELMN</t>
  </si>
  <si>
    <t>BLE123392</t>
  </si>
  <si>
    <t>Yuri Bleach Lemon Fresh 1000ml (12)</t>
  </si>
  <si>
    <t>BLEAL3,7</t>
  </si>
  <si>
    <t>BLE123592</t>
  </si>
  <si>
    <t>Yuri Bleach Lemon Fresh 3,7Liter (4)</t>
  </si>
  <si>
    <t>BLEA1000</t>
  </si>
  <si>
    <t>BLE123390</t>
  </si>
  <si>
    <t>Yuri Bleach Morning Fresh 1000ml (12)</t>
  </si>
  <si>
    <t>BLEMR3,7</t>
  </si>
  <si>
    <t>BLE123590</t>
  </si>
  <si>
    <t>Yuri Bleach Morning Fresh 3,7Liter (4)</t>
  </si>
  <si>
    <t>YD20LT</t>
  </si>
  <si>
    <t>YDS370790</t>
  </si>
  <si>
    <t>Yuri Desinfektan Jrg 20 Liter (1)</t>
  </si>
  <si>
    <t>1X20LTR</t>
  </si>
  <si>
    <t>YDJRG</t>
  </si>
  <si>
    <t>YDS370590</t>
  </si>
  <si>
    <t>Yuri Desinfektan Jrg 3,7 Liter (4)</t>
  </si>
  <si>
    <t>4X3.7LTR</t>
  </si>
  <si>
    <t>YD410ML</t>
  </si>
  <si>
    <t>YDS370990</t>
  </si>
  <si>
    <t>Yuri Desinfektan Pouch 410ml (24)</t>
  </si>
  <si>
    <t>24X410ML</t>
  </si>
  <si>
    <t>YD500ML</t>
  </si>
  <si>
    <t>YDS370280</t>
  </si>
  <si>
    <t>Yuri Desinfektan Spray 500ml (12)</t>
  </si>
  <si>
    <t>12X500ML</t>
  </si>
  <si>
    <t>GLASFB</t>
  </si>
  <si>
    <t>GLA178590</t>
  </si>
  <si>
    <t>Yuri Glass Cleaner Fresh Blue 3,7Liter (4)</t>
  </si>
  <si>
    <t>GLASFBP</t>
  </si>
  <si>
    <t>GLA178990</t>
  </si>
  <si>
    <t>Yuri Glass Cleaner Fresh Blue 410ml (24)</t>
  </si>
  <si>
    <t>GLASCREF</t>
  </si>
  <si>
    <t>GLA178290</t>
  </si>
  <si>
    <t>Yuri Glass Cleaner Fresh Blue 500ml Refill (12)</t>
  </si>
  <si>
    <t>GLASCFBS</t>
  </si>
  <si>
    <t>GLA178280</t>
  </si>
  <si>
    <t>Yuri Glass Cleaner Fresh Blue 500ml Spray (12)</t>
  </si>
  <si>
    <t>GLASCLF</t>
  </si>
  <si>
    <t>GLA178593</t>
  </si>
  <si>
    <t>Yuri Glass Cleaner Fresh Lilac 3,7Liter (4)</t>
  </si>
  <si>
    <t>GLASCLFP</t>
  </si>
  <si>
    <t>GLA178993</t>
  </si>
  <si>
    <t>Yuri Glass Cleaner Fresh Lilac 410ml (24)</t>
  </si>
  <si>
    <t>GLASLIFS</t>
  </si>
  <si>
    <t>GLA178283</t>
  </si>
  <si>
    <t>Yuri Glass Cleaner Fresh Lilac 500ml Spray (12)</t>
  </si>
  <si>
    <t>GLASCBPL</t>
  </si>
  <si>
    <t>GLA178272</t>
  </si>
  <si>
    <t>Yuri Glass Cleaner Lemon Bundlepack Pump &amp; Refill 500ml (6)</t>
  </si>
  <si>
    <t>6 X 500 ML</t>
  </si>
  <si>
    <t>GLASCLEF</t>
  </si>
  <si>
    <t>GLA178592</t>
  </si>
  <si>
    <t>Yuri Glass Cleaner Lemon Fresh 3,7Liter (4)</t>
  </si>
  <si>
    <t>GLASLFP</t>
  </si>
  <si>
    <t>GLA178992</t>
  </si>
  <si>
    <t>Yuri Glass Cleaner Lemon Fresh 410ml (24)</t>
  </si>
  <si>
    <t>GLASCLFS</t>
  </si>
  <si>
    <t>GLA178282</t>
  </si>
  <si>
    <t>Yuri Glass Cleaner Lemon Fresh 500ml Spray (12)</t>
  </si>
  <si>
    <t>YURIHGAN</t>
  </si>
  <si>
    <t>YHG827380</t>
  </si>
  <si>
    <t>Yuri Hand Gel Antibacterial Greentea (24x2)</t>
  </si>
  <si>
    <t>24PAK(2X30ML)</t>
  </si>
  <si>
    <t>YHM40GR</t>
  </si>
  <si>
    <t>YHM828190</t>
  </si>
  <si>
    <t>Yuri Hand Moisturizer Tube 40gr (24)</t>
  </si>
  <si>
    <t>24X40GR</t>
  </si>
  <si>
    <t>YHG500ML</t>
  </si>
  <si>
    <t>YHG827283A</t>
  </si>
  <si>
    <t>Yuri Handgel Antibacterial Greentea 500ml (12)</t>
  </si>
  <si>
    <t>YHG50ML</t>
  </si>
  <si>
    <t>YHG827380B</t>
  </si>
  <si>
    <t>Yuri Handgel Antibacterial Greentea 50ml (48)</t>
  </si>
  <si>
    <t>48X50ML</t>
  </si>
  <si>
    <t>HANDSAP</t>
  </si>
  <si>
    <t>HSR222591</t>
  </si>
  <si>
    <t>Yuri Handsoap Apple 3,7Liter (4)</t>
  </si>
  <si>
    <t>HANDSAPO</t>
  </si>
  <si>
    <t>HSR222991</t>
  </si>
  <si>
    <t>Yuri Handsoap Apple 375ml (24)</t>
  </si>
  <si>
    <t>HSR01</t>
  </si>
  <si>
    <t>HSR222991-Z0</t>
  </si>
  <si>
    <r>
      <t xml:space="preserve">Yuri Handsoap Apple 375ml </t>
    </r>
    <r>
      <rPr>
        <b/>
        <sz val="9"/>
        <color rgb="FFFF0000"/>
        <rFont val="Century Gothic"/>
        <family val="2"/>
      </rPr>
      <t>PROMO</t>
    </r>
    <r>
      <rPr>
        <sz val="9"/>
        <color indexed="8"/>
        <rFont val="Century Gothic"/>
        <family val="2"/>
      </rPr>
      <t xml:space="preserve"> (24)</t>
    </r>
  </si>
  <si>
    <t>(2X24) X 375ML</t>
  </si>
  <si>
    <t>HANDSAPP</t>
  </si>
  <si>
    <t>HSP222381</t>
  </si>
  <si>
    <t>Yuri Handsoap Apple 410ml Pump (12)</t>
  </si>
  <si>
    <t>12 X 410 ML</t>
  </si>
  <si>
    <t>HSP01</t>
  </si>
  <si>
    <t>Yuri Handsoap Apple 410ml Pump FREE HS 375ml (12)</t>
  </si>
  <si>
    <t>12X410ML</t>
  </si>
  <si>
    <t>HSP05</t>
  </si>
  <si>
    <t>HSP222796</t>
  </si>
  <si>
    <t>Yuri Handsoap Apple 410ml Refill (12)</t>
  </si>
  <si>
    <t>HANDSFPG</t>
  </si>
  <si>
    <t>HSA981993</t>
  </si>
  <si>
    <t>Yuri Handsoap Foaming Premium Green Tea 375ml (12)</t>
  </si>
  <si>
    <t>HANDSFGP</t>
  </si>
  <si>
    <t>HSA981283</t>
  </si>
  <si>
    <t>Yuri Handsoap Foaming Premium Green Tea 410ml (12)</t>
  </si>
  <si>
    <t>HANDSFPL</t>
  </si>
  <si>
    <t>HSA981995</t>
  </si>
  <si>
    <t>Yuri Handsoap Foaming Premium Lavender 375ml (12)</t>
  </si>
  <si>
    <t>HANDSFL</t>
  </si>
  <si>
    <t>HSP223301</t>
  </si>
  <si>
    <t>Yuri Handsoap Foaming Premium Lavender 410ml (12)</t>
  </si>
  <si>
    <t>HANDSFPR</t>
  </si>
  <si>
    <t>HSA981994</t>
  </si>
  <si>
    <t>Yuri Handsoap Foaming Premium Rose 375ml (12)</t>
  </si>
  <si>
    <t>HANDSFRP</t>
  </si>
  <si>
    <t>HSA981284</t>
  </si>
  <si>
    <t>Yuri Handsoap Foaming Premium Rose 410ml (12)</t>
  </si>
  <si>
    <t>HANDSGR</t>
  </si>
  <si>
    <t>HSR222593</t>
  </si>
  <si>
    <t>Yuri Handsoap Grape 3,7Liter (4)</t>
  </si>
  <si>
    <t>HANDSG</t>
  </si>
  <si>
    <t>HSR222993</t>
  </si>
  <si>
    <t>Yuri Handsoap Grape 375ml (24)</t>
  </si>
  <si>
    <t>HSR02</t>
  </si>
  <si>
    <t>HSR222993-Z0</t>
  </si>
  <si>
    <r>
      <t xml:space="preserve">Yuri Handsoap Grape 375ml </t>
    </r>
    <r>
      <rPr>
        <b/>
        <sz val="9"/>
        <color rgb="FFFF0000"/>
        <rFont val="Century Gothic"/>
        <family val="2"/>
      </rPr>
      <t>PROMO</t>
    </r>
    <r>
      <rPr>
        <sz val="9"/>
        <color indexed="8"/>
        <rFont val="Century Gothic"/>
        <family val="2"/>
      </rPr>
      <t xml:space="preserve"> (24)</t>
    </r>
  </si>
  <si>
    <t>HANDSGRP</t>
  </si>
  <si>
    <t>HSP222383</t>
  </si>
  <si>
    <t>Yuri Handsoap Grape 410ml Pump (12)</t>
  </si>
  <si>
    <t>HSP02</t>
  </si>
  <si>
    <t>Yuri Handsoap Grape 410ml Pump FREE HS 375ml (12)</t>
  </si>
  <si>
    <t>HANDSL</t>
  </si>
  <si>
    <t>HSR222594</t>
  </si>
  <si>
    <t>Yuri Handsoap Lemon 3,7Liter (4)</t>
  </si>
  <si>
    <t>HANDSLMN</t>
  </si>
  <si>
    <t>HSR222994</t>
  </si>
  <si>
    <t>Yuri Handsoap Lemon 375ml (24)</t>
  </si>
  <si>
    <t>HSR03</t>
  </si>
  <si>
    <t>HSR222994-Z0</t>
  </si>
  <si>
    <r>
      <t xml:space="preserve">Yuri Handsoap Lemon 375ml </t>
    </r>
    <r>
      <rPr>
        <b/>
        <sz val="9"/>
        <color rgb="FFFF0000"/>
        <rFont val="Century Gothic"/>
        <family val="2"/>
      </rPr>
      <t>PROMO</t>
    </r>
    <r>
      <rPr>
        <sz val="9"/>
        <color indexed="8"/>
        <rFont val="Century Gothic"/>
        <family val="2"/>
      </rPr>
      <t xml:space="preserve"> (24)</t>
    </r>
  </si>
  <si>
    <t>HANDSLP</t>
  </si>
  <si>
    <t>HSP222384</t>
  </si>
  <si>
    <t>Yuri Handsoap Lemon 410ml Pump (12)</t>
  </si>
  <si>
    <t>HSP03</t>
  </si>
  <si>
    <t>Yuri Handsoap Lemon 410ml Pump FREE HS 375ml (12)</t>
  </si>
  <si>
    <t>HANDSOR</t>
  </si>
  <si>
    <t>HSR222595</t>
  </si>
  <si>
    <t>Yuri Handsoap Orange 3,7Liter (4)</t>
  </si>
  <si>
    <t>HANDSORG</t>
  </si>
  <si>
    <t>HSR222995</t>
  </si>
  <si>
    <t>Yuri Handsoap Orange 375ml (24)</t>
  </si>
  <si>
    <t>HSR04</t>
  </si>
  <si>
    <t>HSR222995-Z0</t>
  </si>
  <si>
    <r>
      <t xml:space="preserve">Yuri Handsoap Orange 375ml </t>
    </r>
    <r>
      <rPr>
        <b/>
        <sz val="9"/>
        <color rgb="FFFF0000"/>
        <rFont val="Century Gothic"/>
        <family val="2"/>
      </rPr>
      <t>PROMO</t>
    </r>
    <r>
      <rPr>
        <sz val="9"/>
        <color indexed="8"/>
        <rFont val="Century Gothic"/>
        <family val="2"/>
      </rPr>
      <t xml:space="preserve"> (24)</t>
    </r>
  </si>
  <si>
    <t>HANDSORP</t>
  </si>
  <si>
    <t>HSP222385</t>
  </si>
  <si>
    <t>Yuri Handsoap Orange 410ml Pump (12)</t>
  </si>
  <si>
    <t>HSP04</t>
  </si>
  <si>
    <t>Yuri Handsoap Orange 410ml Pump FREE HS 375ml (12)</t>
  </si>
  <si>
    <t>HANDSSTL</t>
  </si>
  <si>
    <t>HSR222596</t>
  </si>
  <si>
    <t>Yuri Handsoap Strawberry 3,7Liter (4)</t>
  </si>
  <si>
    <t>HANDSSTW</t>
  </si>
  <si>
    <t>HSR222996</t>
  </si>
  <si>
    <t>Yuri Handsoap Strawberry 375ml (24)</t>
  </si>
  <si>
    <t>HSR05</t>
  </si>
  <si>
    <t>HSR222996-Z0</t>
  </si>
  <si>
    <r>
      <t xml:space="preserve">Yuri Handsoap Strawberry 375ml </t>
    </r>
    <r>
      <rPr>
        <b/>
        <sz val="9"/>
        <color rgb="FFFF0000"/>
        <rFont val="Century Gothic"/>
        <family val="2"/>
      </rPr>
      <t>PROMO</t>
    </r>
    <r>
      <rPr>
        <sz val="9"/>
        <color indexed="8"/>
        <rFont val="Century Gothic"/>
        <family val="2"/>
      </rPr>
      <t xml:space="preserve"> (24)</t>
    </r>
  </si>
  <si>
    <t>HANDSSTP</t>
  </si>
  <si>
    <t>HSP222386</t>
  </si>
  <si>
    <t>Yuri Handsoap Strawberry 410ml Pump (12)</t>
  </si>
  <si>
    <t>YLD01</t>
  </si>
  <si>
    <t>YLD124990</t>
  </si>
  <si>
    <t>Yuri Laundry Desinfektan 1Liter (12)</t>
  </si>
  <si>
    <t>12X1LITER</t>
  </si>
  <si>
    <t>YLD02</t>
  </si>
  <si>
    <t>YLD124390</t>
  </si>
  <si>
    <t>Yuri Laundry Desinfektan 410ml (24)</t>
  </si>
  <si>
    <t>LIB25738</t>
  </si>
  <si>
    <t>LIB25799</t>
  </si>
  <si>
    <t>Yuri Ligent Baby Liquid Cleanser Botol 450ml (12)</t>
  </si>
  <si>
    <t>12X450ML</t>
  </si>
  <si>
    <t>Yuri Ligent Baby Liquid Cleanser Pouch 410ml (24)</t>
  </si>
  <si>
    <t>LIGGRA</t>
  </si>
  <si>
    <t>LIG252495</t>
  </si>
  <si>
    <t>Yuri Ligent Grapefruit 1000ml (12)</t>
  </si>
  <si>
    <t>LIG180GP</t>
  </si>
  <si>
    <t>LIG252915</t>
  </si>
  <si>
    <t>Yuri Ligent Grapefruit 180ml (24)</t>
  </si>
  <si>
    <t>24 X 180 ML</t>
  </si>
  <si>
    <t>LIG20GRA</t>
  </si>
  <si>
    <t>LIG252795</t>
  </si>
  <si>
    <t>Yuri Ligent Grapefruit 20Liter (1)</t>
  </si>
  <si>
    <t>LIGGR3,7</t>
  </si>
  <si>
    <t>LIG252595</t>
  </si>
  <si>
    <t>Yuri Ligent Grapefruit 3,7Liter (4)</t>
  </si>
  <si>
    <t>LIGP003</t>
  </si>
  <si>
    <r>
      <t xml:space="preserve">Yuri Ligent Grapefruit 600ml (12) </t>
    </r>
    <r>
      <rPr>
        <b/>
        <sz val="9"/>
        <color rgb="FFFF0000"/>
        <rFont val="Century Gothic"/>
        <family val="2"/>
      </rPr>
      <t>PROMO</t>
    </r>
  </si>
  <si>
    <t>LIGGRAP</t>
  </si>
  <si>
    <t>LIG252925</t>
  </si>
  <si>
    <t>Yuri Ligent Grapefruit 630ml (12)</t>
  </si>
  <si>
    <t>LIGGP</t>
  </si>
  <si>
    <t>LIG252115</t>
  </si>
  <si>
    <t>Yuri Ligent Grapefruit 80ml (48)</t>
  </si>
  <si>
    <t>LIGLEM</t>
  </si>
  <si>
    <t>LIG252482</t>
  </si>
  <si>
    <t>Yuri Ligent Lemon 1000ml (12)</t>
  </si>
  <si>
    <t>LIGL180P</t>
  </si>
  <si>
    <t>LIG252912</t>
  </si>
  <si>
    <t>Yuri Ligent Lemon 180ml (24)</t>
  </si>
  <si>
    <t>LIGLEMON</t>
  </si>
  <si>
    <t>LIG252792</t>
  </si>
  <si>
    <t>Yuri Ligent Lemon 20Liter (1)</t>
  </si>
  <si>
    <t>LIGLE3,7</t>
  </si>
  <si>
    <t>LIG252592</t>
  </si>
  <si>
    <t>Yuri Ligent Lemon 3,7Liter (4)</t>
  </si>
  <si>
    <t>LIGP002</t>
  </si>
  <si>
    <t>LIG252922C-Z0</t>
  </si>
  <si>
    <r>
      <t>Yuri Ligent Lemon 600ml (12)</t>
    </r>
    <r>
      <rPr>
        <b/>
        <sz val="9"/>
        <color rgb="FFFF0000"/>
        <rFont val="Century Gothic"/>
        <family val="2"/>
      </rPr>
      <t xml:space="preserve"> PROMO</t>
    </r>
  </si>
  <si>
    <t>LIGLEP</t>
  </si>
  <si>
    <t>LIG252922</t>
  </si>
  <si>
    <t>Yuri Ligent Lemon 630ml (12)</t>
  </si>
  <si>
    <t>LIGLMNP</t>
  </si>
  <si>
    <t>LIG252112</t>
  </si>
  <si>
    <t>Yuri Ligent Lemon 80ml (48)</t>
  </si>
  <si>
    <t>LIGLIM</t>
  </si>
  <si>
    <t>LIG252481</t>
  </si>
  <si>
    <t>Yuri Ligent Lime 1000ml (12)</t>
  </si>
  <si>
    <t>LIGLH</t>
  </si>
  <si>
    <t>LIG252451</t>
  </si>
  <si>
    <t>Yuri Ligent Lime 1000ml HADIAH (12)</t>
  </si>
  <si>
    <t>LIGLP</t>
  </si>
  <si>
    <t>LIG252911</t>
  </si>
  <si>
    <t>Yuri Ligent Lime 180ml (24)</t>
  </si>
  <si>
    <t>LIGLLT</t>
  </si>
  <si>
    <t>LIG252791</t>
  </si>
  <si>
    <t>Yuri Ligent Lime 20Liter (1)</t>
  </si>
  <si>
    <t>LIGLM3,7</t>
  </si>
  <si>
    <t>LIG252591</t>
  </si>
  <si>
    <t>Yuri Ligent Lime 3,7Liter (4)</t>
  </si>
  <si>
    <t>LIGP001</t>
  </si>
  <si>
    <t>LIG252921C-Z0</t>
  </si>
  <si>
    <r>
      <t xml:space="preserve">Yuri Ligent Lime 600ml (12) </t>
    </r>
    <r>
      <rPr>
        <b/>
        <sz val="9"/>
        <color rgb="FFFF0000"/>
        <rFont val="Century Gothic"/>
        <family val="2"/>
      </rPr>
      <t>PROMO</t>
    </r>
  </si>
  <si>
    <t>LIGLIMP</t>
  </si>
  <si>
    <t>LIG252921</t>
  </si>
  <si>
    <t>Yuri Ligent Lime 630ml (12)</t>
  </si>
  <si>
    <t>LIGLMP</t>
  </si>
  <si>
    <t>LIG252111</t>
  </si>
  <si>
    <t>Yuri Ligent Lime 80ml (48)</t>
  </si>
  <si>
    <t>LYSO1000</t>
  </si>
  <si>
    <t>LYS277390</t>
  </si>
  <si>
    <t>Yuri Lysorin 1000ml (12)</t>
  </si>
  <si>
    <t>LYSO3,7</t>
  </si>
  <si>
    <t>LYS277590</t>
  </si>
  <si>
    <t>Yuri Lysorin 3,7Liter (4)</t>
  </si>
  <si>
    <t>LYSO630</t>
  </si>
  <si>
    <t>LYS277280</t>
  </si>
  <si>
    <t>Yuri Lysorin 630ml (12)</t>
  </si>
  <si>
    <t>YURIMCKG</t>
  </si>
  <si>
    <t>MAT211942</t>
  </si>
  <si>
    <t>Yuri Matic Colour 1,6kg (6)</t>
  </si>
  <si>
    <t>6 X 1,6 KG</t>
  </si>
  <si>
    <t>YURIMCJ</t>
  </si>
  <si>
    <t>MAT211392</t>
  </si>
  <si>
    <t>Yuri Matic Colour 1kg (12)</t>
  </si>
  <si>
    <t>12 X 1 KG</t>
  </si>
  <si>
    <t>YURIMKG</t>
  </si>
  <si>
    <t>MAT211952</t>
  </si>
  <si>
    <t>Yuri Matic Colour 2,8kg (6)</t>
  </si>
  <si>
    <t>6 X 2,8 KG</t>
  </si>
  <si>
    <t>YURIMCLT</t>
  </si>
  <si>
    <t>MAT211592</t>
  </si>
  <si>
    <t>Yuri Matic Colour 3,7Liter (4)</t>
  </si>
  <si>
    <t>YURIMC</t>
  </si>
  <si>
    <t>MAT211992</t>
  </si>
  <si>
    <t>Yuri Matic Colour 630ml (12)</t>
  </si>
  <si>
    <t>YURIMLKG</t>
  </si>
  <si>
    <t>MAT211943</t>
  </si>
  <si>
    <t>Yuri Matic Low Suds 1,6kg (6)</t>
  </si>
  <si>
    <t>YURIMLOW</t>
  </si>
  <si>
    <t>MAT211393</t>
  </si>
  <si>
    <t>Yuri Matic Low Suds 1kg (12)</t>
  </si>
  <si>
    <t>YURIMLSP</t>
  </si>
  <si>
    <t>MAT211953</t>
  </si>
  <si>
    <t>Yuri Matic Low Suds 2,8kg (6)</t>
  </si>
  <si>
    <t>YURIMLLT</t>
  </si>
  <si>
    <t>MAT211593</t>
  </si>
  <si>
    <t>Yuri Matic Low Suds 3,7Liter (4)</t>
  </si>
  <si>
    <t>YURIMLS</t>
  </si>
  <si>
    <t>MAT211993</t>
  </si>
  <si>
    <t>Yuri Matic Low Suds 630ml (12)</t>
  </si>
  <si>
    <t>YURIMSKG</t>
  </si>
  <si>
    <t>MAT211941</t>
  </si>
  <si>
    <t>Yuri Matic Stough Stains 1,6kg (6)</t>
  </si>
  <si>
    <t>YURIMSS</t>
  </si>
  <si>
    <t>MAT211391</t>
  </si>
  <si>
    <t>Yuri Matic Stough Stains 1kg (12)</t>
  </si>
  <si>
    <t>YURIMTS</t>
  </si>
  <si>
    <t>MAT211951</t>
  </si>
  <si>
    <t>Yuri Matic Stough Stains 2,8kg (6)</t>
  </si>
  <si>
    <t>6 X 2.8 KG</t>
  </si>
  <si>
    <t>YURIMLT</t>
  </si>
  <si>
    <t>MAT211591</t>
  </si>
  <si>
    <t>Yuri Matic Stough Stains 3,7Liter (4)</t>
  </si>
  <si>
    <t>YURIMSB</t>
  </si>
  <si>
    <t>MAT211991</t>
  </si>
  <si>
    <t>Yuri Matic Stough Stains 630ml (12)</t>
  </si>
  <si>
    <t>YURIMS</t>
  </si>
  <si>
    <t>MAT211191</t>
  </si>
  <si>
    <t>Yuri Matic Stough Stains 80ml (48)</t>
  </si>
  <si>
    <t>PORSTBM</t>
  </si>
  <si>
    <t>POR332390</t>
  </si>
  <si>
    <t>Yuri Porstex Biru 1000ml (12)</t>
  </si>
  <si>
    <t>POR33209</t>
  </si>
  <si>
    <t>Yuri Porstex Biru 1000ml + Free Porstex 160ml (12)</t>
  </si>
  <si>
    <t>PORSTBB</t>
  </si>
  <si>
    <t>POR332490</t>
  </si>
  <si>
    <t>Yuri Porstex Biru 2000ml (6)</t>
  </si>
  <si>
    <t>PORSTBLJ</t>
  </si>
  <si>
    <t>POR332790</t>
  </si>
  <si>
    <t>Yuri Porstex Biru 20Liter (1)</t>
  </si>
  <si>
    <t>PORSTBR</t>
  </si>
  <si>
    <t>POR332590</t>
  </si>
  <si>
    <t>Yuri Porstex Biru 3,7Liter (4)</t>
  </si>
  <si>
    <t>PORSTBS</t>
  </si>
  <si>
    <t>POR332290</t>
  </si>
  <si>
    <t>Yuri Porstex Biru 500ml (12)</t>
  </si>
  <si>
    <t>PORSTRFL</t>
  </si>
  <si>
    <t>PSR563380</t>
  </si>
  <si>
    <t>Yuri Porstex Fresh Lilac 700ml (12)</t>
  </si>
  <si>
    <t>12 X 700 ML</t>
  </si>
  <si>
    <t>PORSTKL</t>
  </si>
  <si>
    <t>POR332270</t>
  </si>
  <si>
    <t>Yuri Porstex Kloset 500ml (12)</t>
  </si>
  <si>
    <t>PSR160</t>
  </si>
  <si>
    <t>Yuri Porstex Ocean Blue 160ml Extra 40ml (12)</t>
  </si>
  <si>
    <t>12 X 160 ML</t>
  </si>
  <si>
    <t>PORSTROB</t>
  </si>
  <si>
    <t>PSR563390</t>
  </si>
  <si>
    <t>Yuri Porstex Ocean Blue 700ml (12)</t>
  </si>
  <si>
    <t>PORSTUNM</t>
  </si>
  <si>
    <t>POU332380</t>
  </si>
  <si>
    <t>Yuri Porstex Ungu 1000ml (12)</t>
  </si>
  <si>
    <t>PORSTUNB</t>
  </si>
  <si>
    <t>POU332480</t>
  </si>
  <si>
    <t>Yuri Porstex Ungu 2000ml (6)</t>
  </si>
  <si>
    <t>PORSTUNJ</t>
  </si>
  <si>
    <t>POU332780</t>
  </si>
  <si>
    <t>Yuri Porstex Ungu 20Liter (1)</t>
  </si>
  <si>
    <t>PORSTUNK</t>
  </si>
  <si>
    <t>POU332580</t>
  </si>
  <si>
    <t>Yuri Porstex Ungu 3,7Liter (4)</t>
  </si>
  <si>
    <t>PORSTUNS</t>
  </si>
  <si>
    <t>POU332280</t>
  </si>
  <si>
    <t>Yuri Porstex Ungu 500ml (12)</t>
  </si>
  <si>
    <t>YURIMCKF</t>
  </si>
  <si>
    <t>Yuri Pouch Color 1.6KG BUY 1 GET 1 (6)</t>
  </si>
  <si>
    <t>6 X 1.6 KG</t>
  </si>
  <si>
    <t>YURIMLKF</t>
  </si>
  <si>
    <t>Yuri Pouch Lowsud 1.6KG BUY 1 GET 1 (6)</t>
  </si>
  <si>
    <t>YURISFLB</t>
  </si>
  <si>
    <t>YSO233595</t>
  </si>
  <si>
    <t>Yuri Soft Floral 1000ml (12)</t>
  </si>
  <si>
    <t>12X1000ML</t>
  </si>
  <si>
    <t>YURISFFP</t>
  </si>
  <si>
    <t>YSO233285</t>
  </si>
  <si>
    <t>Yuri Soft Floral 250ml (24)</t>
  </si>
  <si>
    <t>24 X 250ML</t>
  </si>
  <si>
    <t>YURISF</t>
  </si>
  <si>
    <t>YSO233565</t>
  </si>
  <si>
    <t>Yuri Soft Floral 630ml (12)</t>
  </si>
  <si>
    <t>12 X 630ML</t>
  </si>
  <si>
    <t>YURISFLV</t>
  </si>
  <si>
    <t>YSO233592</t>
  </si>
  <si>
    <t>Yuri Soft Lavender 1000ml (12)</t>
  </si>
  <si>
    <t>YURISFLP</t>
  </si>
  <si>
    <t>YSO233282</t>
  </si>
  <si>
    <t>Yuri Soft Lavender 250ml (24)</t>
  </si>
  <si>
    <t>YURIS630</t>
  </si>
  <si>
    <t>YSO233562</t>
  </si>
  <si>
    <t>Yuri Soft Lavender 630ml (12)</t>
  </si>
  <si>
    <t>YURISFRB</t>
  </si>
  <si>
    <t>YSO233591</t>
  </si>
  <si>
    <t>Yuri Soft Romantic Blue 1000ml (12)</t>
  </si>
  <si>
    <t>YURISRBP</t>
  </si>
  <si>
    <t>YSO233281</t>
  </si>
  <si>
    <t>Yuri Soft Romantic Blue 250ml (24)</t>
  </si>
  <si>
    <t>YURISRMB</t>
  </si>
  <si>
    <t>YSO233561</t>
  </si>
  <si>
    <t>Yuri Soft Romantic Blue 630ml (12)</t>
  </si>
  <si>
    <t>YURIS1</t>
  </si>
  <si>
    <t>SOL420390</t>
  </si>
  <si>
    <t>Yuri Sol 1000ml (12)</t>
  </si>
  <si>
    <t>YURIREF</t>
  </si>
  <si>
    <t>SOL420990</t>
  </si>
  <si>
    <t>Yuri Sol 630ml (12)</t>
  </si>
  <si>
    <t>TAFFBL</t>
  </si>
  <si>
    <t>TAF365590</t>
  </si>
  <si>
    <t>Yuri Taf Fresh Blue 3,7Liter (4)</t>
  </si>
  <si>
    <t>TAFFB</t>
  </si>
  <si>
    <t>TAF365390</t>
  </si>
  <si>
    <t>Yuri Taf Fresh Blue 500ml (12)</t>
  </si>
  <si>
    <t>TAFKCP</t>
  </si>
  <si>
    <t>TAF365490</t>
  </si>
  <si>
    <t>Yuri Taf Kitchen Cleaner 375ml (24)</t>
  </si>
  <si>
    <t>TAFKCS</t>
  </si>
  <si>
    <t>TAF365280</t>
  </si>
  <si>
    <t>Yuri Taf Kitchen Cleaner 500ml (12)</t>
  </si>
  <si>
    <t>TAFLNLL</t>
  </si>
  <si>
    <t>TAF365591</t>
  </si>
  <si>
    <t>Yuri Taf Lime &amp; Lemon 3,7Liter (4)</t>
  </si>
  <si>
    <t>TAFLNL</t>
  </si>
  <si>
    <t>TAF365391</t>
  </si>
  <si>
    <t>Yuri Taf Lime &amp; Lemon 500ml (12)</t>
  </si>
  <si>
    <t>TEAKOCP</t>
  </si>
  <si>
    <t>CTO376390</t>
  </si>
  <si>
    <t>Yuri Teak Oil Cap Pohon 1000ml (12)</t>
  </si>
  <si>
    <t>TEAKOCLT</t>
  </si>
  <si>
    <t>CTO376590</t>
  </si>
  <si>
    <t>Yuri Teak Oil Cap Pohon 3,7Liter (4)</t>
  </si>
  <si>
    <t>4X3,7LT</t>
  </si>
  <si>
    <t>TRILRFFL</t>
  </si>
  <si>
    <t>TRI431992</t>
  </si>
  <si>
    <t>Yuri Trill Floral Pouch 410ml (24)</t>
  </si>
  <si>
    <t>TRILLFRS</t>
  </si>
  <si>
    <t>TRI431282</t>
  </si>
  <si>
    <t>Yuri Trill Floral Spray 500ml (12)</t>
  </si>
  <si>
    <t>TRILRFLV</t>
  </si>
  <si>
    <t>TRI431993</t>
  </si>
  <si>
    <t>Yuri Trill Lavender Pouch 410ml (24)</t>
  </si>
  <si>
    <t>TRILSLVR</t>
  </si>
  <si>
    <t>TRI431283</t>
  </si>
  <si>
    <t>Yuri Trill Lavender Spray 500ml (12)</t>
  </si>
  <si>
    <t>TRILLRBP</t>
  </si>
  <si>
    <t>TRI431990</t>
  </si>
  <si>
    <t>Yuri Trill Romantic Blue Pouch 410ml (24)</t>
  </si>
  <si>
    <t>TRILLRB5</t>
  </si>
  <si>
    <t>TRI432291</t>
  </si>
  <si>
    <t>Yuri Trill Romantic Blue Spray 500ml (12)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</si>
</sst>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MS Sans Serif"/>
      <family val="2"/>
    </font>
    <font>
      <b/>
      <sz val="9"/>
      <color indexed="8"/>
      <name val="Century Gothic"/>
      <family val="2"/>
    </font>
    <font>
      <sz val="8"/>
      <color indexed="8"/>
      <name val="Tahoma"/>
      <family val="2"/>
    </font>
    <font>
      <sz val="9"/>
      <color theme="1"/>
      <name val="Century Gothic"/>
      <family val="2"/>
    </font>
    <font>
      <sz val="9"/>
      <color indexed="8"/>
      <name val="Century Gothic"/>
      <family val="2"/>
    </font>
    <font>
      <b/>
      <sz val="8"/>
      <color indexed="8"/>
      <name val="Tahoma"/>
      <family val="2"/>
    </font>
    <font>
      <b/>
      <sz val="9"/>
      <color rgb="FFFF0000"/>
      <name val="Century Gothic"/>
      <family val="2"/>
    </font>
    <font>
      <b/>
      <sz val="9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1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" fillId="0" borderId="0"/>
  </cellStyleXfs>
  <cellXfs count="26">
    <xf numFmtId="0" fontId="0" fillId="0" borderId="0" xfId="0"/>
    <xf numFmtId="0" fontId="3" fillId="0" borderId="0" xfId="2" applyFont="1" applyAlignment="1">
      <alignment horizontal="center" vertical="center"/>
    </xf>
    <xf numFmtId="3" fontId="3" fillId="0" borderId="0" xfId="2" applyNumberFormat="1" applyFont="1" applyAlignment="1">
      <alignment horizontal="center" vertical="center"/>
    </xf>
    <xf numFmtId="41" fontId="3" fillId="0" borderId="0" xfId="3" applyFont="1" applyFill="1" applyBorder="1" applyAlignment="1" applyProtection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3" fontId="6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43" fontId="6" fillId="0" borderId="0" xfId="4" applyFont="1" applyAlignment="1">
      <alignment vertical="center"/>
    </xf>
    <xf numFmtId="41" fontId="3" fillId="0" borderId="0" xfId="4" applyNumberFormat="1" applyFont="1" applyAlignment="1">
      <alignment vertical="center"/>
    </xf>
    <xf numFmtId="0" fontId="5" fillId="0" borderId="0" xfId="0" applyFont="1" applyAlignment="1">
      <alignment vertical="center"/>
    </xf>
    <xf numFmtId="43" fontId="5" fillId="0" borderId="0" xfId="1" applyFont="1" applyAlignment="1">
      <alignment vertical="center"/>
    </xf>
    <xf numFmtId="0" fontId="5" fillId="2" borderId="0" xfId="5" applyFont="1" applyFill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3" fontId="9" fillId="0" borderId="0" xfId="0" applyNumberFormat="1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41" fontId="9" fillId="0" borderId="0" xfId="0" applyNumberFormat="1" applyFont="1" applyAlignment="1">
      <alignment vertic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right"/>
    </xf>
    <xf numFmtId="41" fontId="5" fillId="0" borderId="0" xfId="0" applyNumberFormat="1" applyFont="1"/>
  </cellXfs>
  <cellStyles count="6">
    <cellStyle name="Comma" xfId="1" builtinId="3"/>
    <cellStyle name="Comma [0] 2" xfId="3"/>
    <cellStyle name="Comma 4" xfId="4"/>
    <cellStyle name="Normal" xfId="0" builtinId="0"/>
    <cellStyle name="Normal 2" xfId="2"/>
    <cellStyle name="Normal 2 2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9"/>
  <sheetViews>
    <sheetView tabSelected="1" workbookViewId="0">
      <selection sqref="A1:XFD1048576"/>
    </sheetView>
  </sheetViews>
  <sheetFormatPr defaultColWidth="9.140625" defaultRowHeight="14.25" x14ac:dyDescent="0.3"/>
  <cols>
    <col min="1" max="1" width="10.85546875" style="22" bestFit="1" customWidth="1"/>
    <col min="2" max="2" width="15.5703125" style="22" bestFit="1" customWidth="1"/>
    <col min="3" max="3" width="55.42578125" style="23" bestFit="1" customWidth="1"/>
    <col min="4" max="4" width="16.42578125" style="23" bestFit="1" customWidth="1"/>
    <col min="5" max="5" width="8.28515625" style="24" bestFit="1" customWidth="1"/>
    <col min="6" max="6" width="5.5703125" style="24" bestFit="1" customWidth="1"/>
    <col min="7" max="7" width="7.7109375" style="23" bestFit="1" customWidth="1"/>
    <col min="8" max="8" width="10.5703125" style="25" bestFit="1" customWidth="1"/>
    <col min="9" max="16384" width="9.140625" style="23"/>
  </cols>
  <sheetData>
    <row r="1" spans="1:8" s="4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3" t="s">
        <v>7</v>
      </c>
    </row>
    <row r="2" spans="1:8" s="11" customFormat="1" x14ac:dyDescent="0.25">
      <c r="A2" s="5" t="s">
        <v>8</v>
      </c>
      <c r="B2" s="5" t="s">
        <v>9</v>
      </c>
      <c r="C2" s="6" t="s">
        <v>10</v>
      </c>
      <c r="D2" s="5" t="s">
        <v>11</v>
      </c>
      <c r="E2" s="7">
        <v>57</v>
      </c>
      <c r="F2" s="8" t="s">
        <v>12</v>
      </c>
      <c r="G2" s="9">
        <v>12</v>
      </c>
      <c r="H2" s="10">
        <f t="shared" ref="H2:H65" si="0">E2/G2</f>
        <v>4.75</v>
      </c>
    </row>
    <row r="3" spans="1:8" s="11" customFormat="1" x14ac:dyDescent="0.25">
      <c r="A3" s="5" t="s">
        <v>13</v>
      </c>
      <c r="B3" s="5" t="s">
        <v>14</v>
      </c>
      <c r="C3" s="6" t="s">
        <v>15</v>
      </c>
      <c r="D3" s="5" t="s">
        <v>16</v>
      </c>
      <c r="E3" s="7">
        <v>0</v>
      </c>
      <c r="F3" s="8" t="s">
        <v>12</v>
      </c>
      <c r="G3" s="9">
        <v>12</v>
      </c>
      <c r="H3" s="10">
        <f t="shared" si="0"/>
        <v>0</v>
      </c>
    </row>
    <row r="4" spans="1:8" s="11" customFormat="1" x14ac:dyDescent="0.25">
      <c r="A4" s="5" t="s">
        <v>17</v>
      </c>
      <c r="B4" s="5" t="s">
        <v>18</v>
      </c>
      <c r="C4" s="6" t="s">
        <v>19</v>
      </c>
      <c r="D4" s="5" t="s">
        <v>20</v>
      </c>
      <c r="E4" s="7">
        <v>18</v>
      </c>
      <c r="F4" s="8" t="s">
        <v>12</v>
      </c>
      <c r="G4" s="9">
        <v>24</v>
      </c>
      <c r="H4" s="10">
        <f t="shared" si="0"/>
        <v>0.75</v>
      </c>
    </row>
    <row r="5" spans="1:8" s="11" customFormat="1" x14ac:dyDescent="0.25">
      <c r="A5" s="5" t="s">
        <v>21</v>
      </c>
      <c r="B5" s="5" t="s">
        <v>22</v>
      </c>
      <c r="C5" s="6" t="s">
        <v>23</v>
      </c>
      <c r="D5" s="5" t="s">
        <v>11</v>
      </c>
      <c r="E5" s="7">
        <v>57</v>
      </c>
      <c r="F5" s="8" t="s">
        <v>12</v>
      </c>
      <c r="G5" s="9">
        <v>12</v>
      </c>
      <c r="H5" s="10">
        <f t="shared" si="0"/>
        <v>4.75</v>
      </c>
    </row>
    <row r="6" spans="1:8" s="11" customFormat="1" x14ac:dyDescent="0.25">
      <c r="A6" s="5" t="s">
        <v>24</v>
      </c>
      <c r="B6" s="5" t="s">
        <v>25</v>
      </c>
      <c r="C6" s="6" t="s">
        <v>26</v>
      </c>
      <c r="D6" s="5" t="s">
        <v>16</v>
      </c>
      <c r="E6" s="7">
        <v>0</v>
      </c>
      <c r="F6" s="8" t="s">
        <v>12</v>
      </c>
      <c r="G6" s="9">
        <v>12</v>
      </c>
      <c r="H6" s="10">
        <f t="shared" si="0"/>
        <v>0</v>
      </c>
    </row>
    <row r="7" spans="1:8" s="11" customFormat="1" x14ac:dyDescent="0.25">
      <c r="A7" s="5" t="s">
        <v>27</v>
      </c>
      <c r="B7" s="5" t="s">
        <v>28</v>
      </c>
      <c r="C7" s="6" t="s">
        <v>29</v>
      </c>
      <c r="D7" s="5" t="s">
        <v>20</v>
      </c>
      <c r="E7" s="7">
        <v>6</v>
      </c>
      <c r="F7" s="8" t="s">
        <v>12</v>
      </c>
      <c r="G7" s="9">
        <v>24</v>
      </c>
      <c r="H7" s="10">
        <f t="shared" si="0"/>
        <v>0.25</v>
      </c>
    </row>
    <row r="8" spans="1:8" s="11" customFormat="1" x14ac:dyDescent="0.25">
      <c r="A8" s="5" t="s">
        <v>30</v>
      </c>
      <c r="B8" s="5" t="s">
        <v>31</v>
      </c>
      <c r="C8" s="6" t="s">
        <v>32</v>
      </c>
      <c r="D8" s="5" t="s">
        <v>11</v>
      </c>
      <c r="E8" s="7">
        <v>0</v>
      </c>
      <c r="F8" s="8" t="s">
        <v>12</v>
      </c>
      <c r="G8" s="9">
        <v>12</v>
      </c>
      <c r="H8" s="10">
        <f t="shared" si="0"/>
        <v>0</v>
      </c>
    </row>
    <row r="9" spans="1:8" s="11" customFormat="1" x14ac:dyDescent="0.25">
      <c r="A9" s="5" t="s">
        <v>33</v>
      </c>
      <c r="B9" s="5" t="s">
        <v>34</v>
      </c>
      <c r="C9" s="6" t="s">
        <v>35</v>
      </c>
      <c r="D9" s="5" t="s">
        <v>16</v>
      </c>
      <c r="E9" s="7">
        <v>0</v>
      </c>
      <c r="F9" s="8" t="s">
        <v>12</v>
      </c>
      <c r="G9" s="9">
        <v>12</v>
      </c>
      <c r="H9" s="10">
        <f t="shared" si="0"/>
        <v>0</v>
      </c>
    </row>
    <row r="10" spans="1:8" s="11" customFormat="1" x14ac:dyDescent="0.25">
      <c r="A10" s="5" t="s">
        <v>36</v>
      </c>
      <c r="B10" s="5" t="s">
        <v>37</v>
      </c>
      <c r="C10" s="6" t="s">
        <v>38</v>
      </c>
      <c r="D10" s="5" t="s">
        <v>11</v>
      </c>
      <c r="E10" s="7">
        <v>0</v>
      </c>
      <c r="F10" s="8" t="s">
        <v>12</v>
      </c>
      <c r="G10" s="9">
        <v>12</v>
      </c>
      <c r="H10" s="10">
        <f t="shared" si="0"/>
        <v>0</v>
      </c>
    </row>
    <row r="11" spans="1:8" s="11" customFormat="1" x14ac:dyDescent="0.25">
      <c r="A11" s="5" t="s">
        <v>39</v>
      </c>
      <c r="B11" s="5" t="s">
        <v>40</v>
      </c>
      <c r="C11" s="6" t="s">
        <v>41</v>
      </c>
      <c r="D11" s="5" t="s">
        <v>16</v>
      </c>
      <c r="E11" s="7">
        <v>0</v>
      </c>
      <c r="F11" s="8" t="s">
        <v>12</v>
      </c>
      <c r="G11" s="9">
        <v>12</v>
      </c>
      <c r="H11" s="10">
        <f t="shared" si="0"/>
        <v>0</v>
      </c>
    </row>
    <row r="12" spans="1:8" s="11" customFormat="1" x14ac:dyDescent="0.25">
      <c r="A12" s="5" t="s">
        <v>42</v>
      </c>
      <c r="B12" s="5" t="s">
        <v>43</v>
      </c>
      <c r="C12" s="6" t="s">
        <v>44</v>
      </c>
      <c r="D12" s="5" t="s">
        <v>20</v>
      </c>
      <c r="E12" s="7">
        <v>0</v>
      </c>
      <c r="F12" s="8" t="s">
        <v>45</v>
      </c>
      <c r="G12" s="9">
        <v>24</v>
      </c>
      <c r="H12" s="10">
        <f t="shared" si="0"/>
        <v>0</v>
      </c>
    </row>
    <row r="13" spans="1:8" s="11" customFormat="1" x14ac:dyDescent="0.25">
      <c r="A13" s="5" t="s">
        <v>46</v>
      </c>
      <c r="B13" s="5" t="s">
        <v>47</v>
      </c>
      <c r="C13" s="6" t="s">
        <v>48</v>
      </c>
      <c r="D13" s="5" t="s">
        <v>16</v>
      </c>
      <c r="E13" s="7">
        <v>20</v>
      </c>
      <c r="F13" s="8" t="s">
        <v>45</v>
      </c>
      <c r="G13" s="9">
        <v>12</v>
      </c>
      <c r="H13" s="10">
        <f t="shared" si="0"/>
        <v>1.6666666666666667</v>
      </c>
    </row>
    <row r="14" spans="1:8" s="11" customFormat="1" x14ac:dyDescent="0.25">
      <c r="A14" s="5" t="s">
        <v>49</v>
      </c>
      <c r="B14" s="5" t="s">
        <v>50</v>
      </c>
      <c r="C14" s="6" t="s">
        <v>51</v>
      </c>
      <c r="D14" s="5" t="s">
        <v>20</v>
      </c>
      <c r="E14" s="7">
        <v>0</v>
      </c>
      <c r="F14" s="8" t="s">
        <v>12</v>
      </c>
      <c r="G14" s="9">
        <v>24</v>
      </c>
      <c r="H14" s="10">
        <f t="shared" si="0"/>
        <v>0</v>
      </c>
    </row>
    <row r="15" spans="1:8" s="11" customFormat="1" x14ac:dyDescent="0.25">
      <c r="A15" s="5" t="s">
        <v>52</v>
      </c>
      <c r="B15" s="5" t="s">
        <v>53</v>
      </c>
      <c r="C15" s="6" t="s">
        <v>54</v>
      </c>
      <c r="D15" s="5" t="s">
        <v>55</v>
      </c>
      <c r="E15" s="7">
        <v>35</v>
      </c>
      <c r="F15" s="8" t="s">
        <v>45</v>
      </c>
      <c r="G15" s="9">
        <v>12</v>
      </c>
      <c r="H15" s="10">
        <f t="shared" si="0"/>
        <v>2.9166666666666665</v>
      </c>
    </row>
    <row r="16" spans="1:8" s="11" customFormat="1" x14ac:dyDescent="0.25">
      <c r="A16" s="5" t="s">
        <v>56</v>
      </c>
      <c r="B16" s="5" t="s">
        <v>57</v>
      </c>
      <c r="C16" s="6" t="s">
        <v>58</v>
      </c>
      <c r="D16" s="5" t="s">
        <v>11</v>
      </c>
      <c r="E16" s="7">
        <v>0</v>
      </c>
      <c r="F16" s="8" t="s">
        <v>12</v>
      </c>
      <c r="G16" s="9">
        <v>12</v>
      </c>
      <c r="H16" s="10">
        <f t="shared" si="0"/>
        <v>0</v>
      </c>
    </row>
    <row r="17" spans="1:8" s="11" customFormat="1" x14ac:dyDescent="0.25">
      <c r="A17" s="5" t="s">
        <v>59</v>
      </c>
      <c r="B17" s="5" t="s">
        <v>60</v>
      </c>
      <c r="C17" s="6" t="s">
        <v>61</v>
      </c>
      <c r="D17" s="5" t="s">
        <v>16</v>
      </c>
      <c r="E17" s="7">
        <v>3</v>
      </c>
      <c r="F17" s="8" t="s">
        <v>45</v>
      </c>
      <c r="G17" s="9">
        <v>12</v>
      </c>
      <c r="H17" s="10">
        <f t="shared" si="0"/>
        <v>0.25</v>
      </c>
    </row>
    <row r="18" spans="1:8" s="11" customFormat="1" x14ac:dyDescent="0.25">
      <c r="A18" s="5" t="s">
        <v>62</v>
      </c>
      <c r="B18" s="5" t="s">
        <v>63</v>
      </c>
      <c r="C18" s="6" t="s">
        <v>64</v>
      </c>
      <c r="D18" s="5" t="s">
        <v>20</v>
      </c>
      <c r="E18" s="7">
        <v>0</v>
      </c>
      <c r="F18" s="8" t="s">
        <v>12</v>
      </c>
      <c r="G18" s="9">
        <v>24</v>
      </c>
      <c r="H18" s="10">
        <f t="shared" si="0"/>
        <v>0</v>
      </c>
    </row>
    <row r="19" spans="1:8" s="11" customFormat="1" x14ac:dyDescent="0.25">
      <c r="A19" s="5" t="s">
        <v>65</v>
      </c>
      <c r="B19" s="5" t="s">
        <v>66</v>
      </c>
      <c r="C19" s="6" t="s">
        <v>67</v>
      </c>
      <c r="D19" s="5" t="s">
        <v>68</v>
      </c>
      <c r="E19" s="7">
        <v>31</v>
      </c>
      <c r="F19" s="8" t="s">
        <v>45</v>
      </c>
      <c r="G19" s="9">
        <v>12</v>
      </c>
      <c r="H19" s="10">
        <f t="shared" si="0"/>
        <v>2.5833333333333335</v>
      </c>
    </row>
    <row r="20" spans="1:8" s="11" customFormat="1" x14ac:dyDescent="0.25">
      <c r="A20" s="5" t="s">
        <v>69</v>
      </c>
      <c r="B20" s="5" t="s">
        <v>70</v>
      </c>
      <c r="C20" s="6" t="s">
        <v>71</v>
      </c>
      <c r="D20" s="5" t="s">
        <v>72</v>
      </c>
      <c r="E20" s="7">
        <v>34</v>
      </c>
      <c r="F20" s="8" t="s">
        <v>45</v>
      </c>
      <c r="G20" s="9">
        <v>24</v>
      </c>
      <c r="H20" s="10">
        <f t="shared" si="0"/>
        <v>1.4166666666666667</v>
      </c>
    </row>
    <row r="21" spans="1:8" s="11" customFormat="1" x14ac:dyDescent="0.25">
      <c r="A21" s="5" t="s">
        <v>73</v>
      </c>
      <c r="B21" s="5" t="s">
        <v>74</v>
      </c>
      <c r="C21" s="6" t="s">
        <v>75</v>
      </c>
      <c r="D21" s="5" t="s">
        <v>76</v>
      </c>
      <c r="E21" s="7">
        <v>27</v>
      </c>
      <c r="F21" s="8" t="s">
        <v>45</v>
      </c>
      <c r="G21" s="9">
        <v>24</v>
      </c>
      <c r="H21" s="10">
        <f t="shared" si="0"/>
        <v>1.125</v>
      </c>
    </row>
    <row r="22" spans="1:8" s="11" customFormat="1" x14ac:dyDescent="0.25">
      <c r="A22" s="5" t="s">
        <v>77</v>
      </c>
      <c r="B22" s="5" t="s">
        <v>78</v>
      </c>
      <c r="C22" s="6" t="s">
        <v>79</v>
      </c>
      <c r="D22" s="5" t="s">
        <v>72</v>
      </c>
      <c r="E22" s="7">
        <v>10</v>
      </c>
      <c r="F22" s="8" t="s">
        <v>45</v>
      </c>
      <c r="G22" s="9">
        <v>24</v>
      </c>
      <c r="H22" s="10">
        <f t="shared" si="0"/>
        <v>0.41666666666666669</v>
      </c>
    </row>
    <row r="23" spans="1:8" s="11" customFormat="1" x14ac:dyDescent="0.25">
      <c r="A23" s="5" t="s">
        <v>80</v>
      </c>
      <c r="B23" s="5" t="s">
        <v>81</v>
      </c>
      <c r="C23" s="6" t="s">
        <v>82</v>
      </c>
      <c r="D23" s="5" t="s">
        <v>76</v>
      </c>
      <c r="E23" s="7">
        <v>9</v>
      </c>
      <c r="F23" s="8" t="s">
        <v>45</v>
      </c>
      <c r="G23" s="9">
        <v>24</v>
      </c>
      <c r="H23" s="10">
        <f t="shared" si="0"/>
        <v>0.375</v>
      </c>
    </row>
    <row r="24" spans="1:8" s="11" customFormat="1" x14ac:dyDescent="0.25">
      <c r="A24" s="5" t="s">
        <v>83</v>
      </c>
      <c r="B24" s="5" t="s">
        <v>84</v>
      </c>
      <c r="C24" s="6" t="s">
        <v>85</v>
      </c>
      <c r="D24" s="5" t="s">
        <v>72</v>
      </c>
      <c r="E24" s="7">
        <v>0</v>
      </c>
      <c r="F24" s="8" t="s">
        <v>45</v>
      </c>
      <c r="G24" s="9">
        <v>24</v>
      </c>
      <c r="H24" s="10">
        <f t="shared" si="0"/>
        <v>0</v>
      </c>
    </row>
    <row r="25" spans="1:8" s="11" customFormat="1" x14ac:dyDescent="0.25">
      <c r="A25" s="5" t="s">
        <v>86</v>
      </c>
      <c r="B25" s="5" t="s">
        <v>87</v>
      </c>
      <c r="C25" s="6" t="s">
        <v>88</v>
      </c>
      <c r="D25" s="5" t="s">
        <v>89</v>
      </c>
      <c r="E25" s="7">
        <v>12</v>
      </c>
      <c r="F25" s="8" t="s">
        <v>45</v>
      </c>
      <c r="G25" s="9">
        <v>12</v>
      </c>
      <c r="H25" s="10">
        <f t="shared" si="0"/>
        <v>1</v>
      </c>
    </row>
    <row r="26" spans="1:8" s="11" customFormat="1" x14ac:dyDescent="0.25">
      <c r="A26" s="5" t="s">
        <v>90</v>
      </c>
      <c r="B26" s="5" t="s">
        <v>91</v>
      </c>
      <c r="C26" s="6" t="s">
        <v>92</v>
      </c>
      <c r="D26" s="5" t="s">
        <v>72</v>
      </c>
      <c r="E26" s="7">
        <v>0</v>
      </c>
      <c r="F26" s="8" t="s">
        <v>45</v>
      </c>
      <c r="G26" s="9">
        <v>24</v>
      </c>
      <c r="H26" s="10">
        <f t="shared" si="0"/>
        <v>0</v>
      </c>
    </row>
    <row r="27" spans="1:8" s="11" customFormat="1" x14ac:dyDescent="0.25">
      <c r="A27" s="5" t="s">
        <v>93</v>
      </c>
      <c r="B27" s="5" t="s">
        <v>94</v>
      </c>
      <c r="C27" s="6" t="s">
        <v>95</v>
      </c>
      <c r="D27" s="5" t="s">
        <v>89</v>
      </c>
      <c r="E27" s="7">
        <v>26</v>
      </c>
      <c r="F27" s="8" t="s">
        <v>45</v>
      </c>
      <c r="G27" s="9">
        <v>12</v>
      </c>
      <c r="H27" s="10">
        <f t="shared" si="0"/>
        <v>2.1666666666666665</v>
      </c>
    </row>
    <row r="28" spans="1:8" s="11" customFormat="1" x14ac:dyDescent="0.25">
      <c r="A28" s="5" t="s">
        <v>96</v>
      </c>
      <c r="B28" s="5" t="s">
        <v>97</v>
      </c>
      <c r="C28" s="6" t="s">
        <v>98</v>
      </c>
      <c r="D28" s="5" t="s">
        <v>99</v>
      </c>
      <c r="E28" s="7">
        <v>8</v>
      </c>
      <c r="F28" s="8" t="s">
        <v>100</v>
      </c>
      <c r="G28" s="9">
        <v>6</v>
      </c>
      <c r="H28" s="10">
        <f t="shared" si="0"/>
        <v>1.3333333333333333</v>
      </c>
    </row>
    <row r="29" spans="1:8" s="11" customFormat="1" x14ac:dyDescent="0.25">
      <c r="A29" s="5" t="s">
        <v>101</v>
      </c>
      <c r="B29" s="5" t="s">
        <v>102</v>
      </c>
      <c r="C29" s="6" t="s">
        <v>103</v>
      </c>
      <c r="D29" s="5" t="s">
        <v>99</v>
      </c>
      <c r="E29" s="7">
        <v>7</v>
      </c>
      <c r="F29" s="8" t="s">
        <v>100</v>
      </c>
      <c r="G29" s="9">
        <v>6</v>
      </c>
      <c r="H29" s="10">
        <f t="shared" si="0"/>
        <v>1.1666666666666667</v>
      </c>
    </row>
    <row r="30" spans="1:8" s="11" customFormat="1" x14ac:dyDescent="0.25">
      <c r="A30" s="5" t="s">
        <v>104</v>
      </c>
      <c r="B30" s="5" t="s">
        <v>105</v>
      </c>
      <c r="C30" s="6" t="s">
        <v>106</v>
      </c>
      <c r="D30" s="5" t="s">
        <v>107</v>
      </c>
      <c r="E30" s="7">
        <v>23</v>
      </c>
      <c r="F30" s="8" t="s">
        <v>100</v>
      </c>
      <c r="G30" s="9">
        <v>12</v>
      </c>
      <c r="H30" s="10">
        <f t="shared" si="0"/>
        <v>1.9166666666666667</v>
      </c>
    </row>
    <row r="31" spans="1:8" s="11" customFormat="1" x14ac:dyDescent="0.25">
      <c r="A31" s="5" t="s">
        <v>108</v>
      </c>
      <c r="B31" s="5" t="s">
        <v>109</v>
      </c>
      <c r="C31" s="6" t="s">
        <v>110</v>
      </c>
      <c r="D31" s="5" t="s">
        <v>107</v>
      </c>
      <c r="E31" s="7">
        <v>11</v>
      </c>
      <c r="F31" s="8" t="s">
        <v>100</v>
      </c>
      <c r="G31" s="9">
        <v>12</v>
      </c>
      <c r="H31" s="10">
        <f t="shared" si="0"/>
        <v>0.91666666666666663</v>
      </c>
    </row>
    <row r="32" spans="1:8" s="11" customFormat="1" x14ac:dyDescent="0.25">
      <c r="A32" s="5" t="s">
        <v>111</v>
      </c>
      <c r="B32" s="5" t="s">
        <v>112</v>
      </c>
      <c r="C32" s="6" t="s">
        <v>113</v>
      </c>
      <c r="D32" s="5" t="s">
        <v>114</v>
      </c>
      <c r="E32" s="7">
        <v>6</v>
      </c>
      <c r="F32" s="8" t="s">
        <v>12</v>
      </c>
      <c r="G32" s="9">
        <v>12</v>
      </c>
      <c r="H32" s="10">
        <f t="shared" si="0"/>
        <v>0.5</v>
      </c>
    </row>
    <row r="33" spans="1:8" s="11" customFormat="1" x14ac:dyDescent="0.25">
      <c r="A33" s="5" t="s">
        <v>115</v>
      </c>
      <c r="B33" s="5" t="s">
        <v>116</v>
      </c>
      <c r="C33" s="6" t="s">
        <v>117</v>
      </c>
      <c r="D33" s="5" t="s">
        <v>118</v>
      </c>
      <c r="E33" s="7">
        <v>4</v>
      </c>
      <c r="F33" s="8" t="s">
        <v>119</v>
      </c>
      <c r="G33" s="9">
        <v>4</v>
      </c>
      <c r="H33" s="10">
        <f t="shared" si="0"/>
        <v>1</v>
      </c>
    </row>
    <row r="34" spans="1:8" s="11" customFormat="1" x14ac:dyDescent="0.25">
      <c r="A34" s="5" t="s">
        <v>120</v>
      </c>
      <c r="B34" s="5" t="s">
        <v>121</v>
      </c>
      <c r="C34" s="6" t="s">
        <v>122</v>
      </c>
      <c r="D34" s="5" t="s">
        <v>123</v>
      </c>
      <c r="E34" s="7">
        <v>19</v>
      </c>
      <c r="F34" s="8" t="s">
        <v>45</v>
      </c>
      <c r="G34" s="9">
        <v>24</v>
      </c>
      <c r="H34" s="10">
        <f t="shared" si="0"/>
        <v>0.79166666666666663</v>
      </c>
    </row>
    <row r="35" spans="1:8" s="11" customFormat="1" x14ac:dyDescent="0.25">
      <c r="A35" s="4" t="s">
        <v>124</v>
      </c>
      <c r="B35" s="4"/>
      <c r="C35" s="11" t="s">
        <v>125</v>
      </c>
      <c r="D35" s="4" t="s">
        <v>126</v>
      </c>
      <c r="E35" s="7">
        <v>0</v>
      </c>
      <c r="F35" s="8" t="s">
        <v>12</v>
      </c>
      <c r="G35" s="12">
        <v>24</v>
      </c>
      <c r="H35" s="10">
        <f t="shared" si="0"/>
        <v>0</v>
      </c>
    </row>
    <row r="36" spans="1:8" s="11" customFormat="1" x14ac:dyDescent="0.25">
      <c r="A36" s="4" t="s">
        <v>127</v>
      </c>
      <c r="B36" s="4"/>
      <c r="C36" s="11" t="s">
        <v>128</v>
      </c>
      <c r="D36" s="4" t="s">
        <v>126</v>
      </c>
      <c r="E36" s="7">
        <v>0</v>
      </c>
      <c r="F36" s="8" t="s">
        <v>12</v>
      </c>
      <c r="G36" s="12">
        <v>24</v>
      </c>
      <c r="H36" s="10">
        <f t="shared" si="0"/>
        <v>0</v>
      </c>
    </row>
    <row r="37" spans="1:8" s="11" customFormat="1" x14ac:dyDescent="0.25">
      <c r="A37" s="4" t="s">
        <v>129</v>
      </c>
      <c r="C37" s="11" t="s">
        <v>130</v>
      </c>
      <c r="D37" s="4" t="s">
        <v>131</v>
      </c>
      <c r="E37" s="7">
        <v>0</v>
      </c>
      <c r="F37" s="8" t="s">
        <v>12</v>
      </c>
      <c r="G37" s="12">
        <v>24</v>
      </c>
      <c r="H37" s="10">
        <f t="shared" si="0"/>
        <v>0</v>
      </c>
    </row>
    <row r="38" spans="1:8" s="11" customFormat="1" x14ac:dyDescent="0.25">
      <c r="A38" s="4" t="s">
        <v>132</v>
      </c>
      <c r="B38" s="4"/>
      <c r="C38" s="11" t="s">
        <v>133</v>
      </c>
      <c r="D38" s="4" t="s">
        <v>126</v>
      </c>
      <c r="E38" s="7">
        <v>530</v>
      </c>
      <c r="F38" s="8" t="s">
        <v>12</v>
      </c>
      <c r="G38" s="12">
        <v>24</v>
      </c>
      <c r="H38" s="10">
        <f t="shared" si="0"/>
        <v>22.083333333333332</v>
      </c>
    </row>
    <row r="39" spans="1:8" s="11" customFormat="1" x14ac:dyDescent="0.25">
      <c r="A39" s="5" t="s">
        <v>134</v>
      </c>
      <c r="B39" s="5" t="s">
        <v>135</v>
      </c>
      <c r="C39" s="6" t="s">
        <v>136</v>
      </c>
      <c r="D39" s="5" t="s">
        <v>137</v>
      </c>
      <c r="E39" s="7">
        <v>0</v>
      </c>
      <c r="F39" s="8" t="s">
        <v>12</v>
      </c>
      <c r="G39" s="9">
        <v>12</v>
      </c>
      <c r="H39" s="10">
        <f t="shared" si="0"/>
        <v>0</v>
      </c>
    </row>
    <row r="40" spans="1:8" s="11" customFormat="1" x14ac:dyDescent="0.25">
      <c r="A40" s="5" t="s">
        <v>138</v>
      </c>
      <c r="B40" s="5" t="s">
        <v>139</v>
      </c>
      <c r="C40" s="6" t="s">
        <v>140</v>
      </c>
      <c r="D40" s="5" t="s">
        <v>126</v>
      </c>
      <c r="E40" s="7">
        <v>23</v>
      </c>
      <c r="F40" s="8" t="s">
        <v>45</v>
      </c>
      <c r="G40" s="9">
        <v>24</v>
      </c>
      <c r="H40" s="10">
        <f t="shared" si="0"/>
        <v>0.95833333333333337</v>
      </c>
    </row>
    <row r="41" spans="1:8" s="11" customFormat="1" x14ac:dyDescent="0.25">
      <c r="A41" s="5" t="s">
        <v>141</v>
      </c>
      <c r="B41" s="5" t="s">
        <v>142</v>
      </c>
      <c r="C41" s="6" t="s">
        <v>143</v>
      </c>
      <c r="D41" s="5" t="s">
        <v>126</v>
      </c>
      <c r="E41" s="7">
        <v>102</v>
      </c>
      <c r="F41" s="8" t="s">
        <v>45</v>
      </c>
      <c r="G41" s="9">
        <v>24</v>
      </c>
      <c r="H41" s="10">
        <f t="shared" si="0"/>
        <v>4.25</v>
      </c>
    </row>
    <row r="42" spans="1:8" s="11" customFormat="1" x14ac:dyDescent="0.25">
      <c r="A42" s="5" t="s">
        <v>144</v>
      </c>
      <c r="B42" s="5" t="s">
        <v>145</v>
      </c>
      <c r="C42" s="6" t="s">
        <v>146</v>
      </c>
      <c r="D42" s="5" t="s">
        <v>137</v>
      </c>
      <c r="E42" s="7">
        <v>0</v>
      </c>
      <c r="F42" s="8" t="s">
        <v>12</v>
      </c>
      <c r="G42" s="9">
        <v>12</v>
      </c>
      <c r="H42" s="10">
        <f t="shared" si="0"/>
        <v>0</v>
      </c>
    </row>
    <row r="43" spans="1:8" s="11" customFormat="1" x14ac:dyDescent="0.25">
      <c r="A43" s="5" t="s">
        <v>147</v>
      </c>
      <c r="B43" s="5" t="s">
        <v>148</v>
      </c>
      <c r="C43" s="6" t="s">
        <v>149</v>
      </c>
      <c r="D43" s="5" t="s">
        <v>126</v>
      </c>
      <c r="E43" s="7">
        <v>137</v>
      </c>
      <c r="F43" s="8" t="s">
        <v>45</v>
      </c>
      <c r="G43" s="9">
        <v>24</v>
      </c>
      <c r="H43" s="10">
        <f t="shared" si="0"/>
        <v>5.708333333333333</v>
      </c>
    </row>
    <row r="44" spans="1:8" s="11" customFormat="1" x14ac:dyDescent="0.25">
      <c r="A44" s="5" t="s">
        <v>150</v>
      </c>
      <c r="B44" s="5" t="s">
        <v>151</v>
      </c>
      <c r="C44" s="6" t="s">
        <v>152</v>
      </c>
      <c r="D44" s="5" t="s">
        <v>137</v>
      </c>
      <c r="E44" s="7">
        <v>0</v>
      </c>
      <c r="F44" s="8" t="s">
        <v>12</v>
      </c>
      <c r="G44" s="9">
        <v>12</v>
      </c>
      <c r="H44" s="10">
        <f t="shared" si="0"/>
        <v>0</v>
      </c>
    </row>
    <row r="45" spans="1:8" s="11" customFormat="1" x14ac:dyDescent="0.25">
      <c r="A45" s="5" t="s">
        <v>153</v>
      </c>
      <c r="B45" s="5" t="s">
        <v>154</v>
      </c>
      <c r="C45" s="6" t="s">
        <v>155</v>
      </c>
      <c r="D45" s="5" t="s">
        <v>126</v>
      </c>
      <c r="E45" s="7">
        <v>159</v>
      </c>
      <c r="F45" s="8" t="s">
        <v>45</v>
      </c>
      <c r="G45" s="9">
        <v>24</v>
      </c>
      <c r="H45" s="10">
        <f t="shared" si="0"/>
        <v>6.625</v>
      </c>
    </row>
    <row r="46" spans="1:8" s="11" customFormat="1" x14ac:dyDescent="0.25">
      <c r="A46" s="5" t="s">
        <v>156</v>
      </c>
      <c r="B46" s="5" t="s">
        <v>157</v>
      </c>
      <c r="C46" s="6" t="s">
        <v>158</v>
      </c>
      <c r="D46" s="5" t="s">
        <v>137</v>
      </c>
      <c r="E46" s="7">
        <v>35</v>
      </c>
      <c r="F46" s="8" t="s">
        <v>12</v>
      </c>
      <c r="G46" s="9">
        <v>12</v>
      </c>
      <c r="H46" s="10">
        <f t="shared" si="0"/>
        <v>2.9166666666666665</v>
      </c>
    </row>
    <row r="47" spans="1:8" s="11" customFormat="1" x14ac:dyDescent="0.25">
      <c r="A47" s="5" t="s">
        <v>159</v>
      </c>
      <c r="B47" s="5" t="s">
        <v>160</v>
      </c>
      <c r="C47" s="6" t="s">
        <v>161</v>
      </c>
      <c r="D47" s="5" t="s">
        <v>162</v>
      </c>
      <c r="E47" s="7">
        <v>6</v>
      </c>
      <c r="F47" s="8" t="s">
        <v>12</v>
      </c>
      <c r="G47" s="9">
        <v>12</v>
      </c>
      <c r="H47" s="10">
        <f t="shared" si="0"/>
        <v>0.5</v>
      </c>
    </row>
    <row r="48" spans="1:8" s="11" customFormat="1" x14ac:dyDescent="0.25">
      <c r="A48" s="5" t="s">
        <v>163</v>
      </c>
      <c r="B48" s="5" t="s">
        <v>164</v>
      </c>
      <c r="C48" s="6" t="s">
        <v>165</v>
      </c>
      <c r="D48" s="5" t="s">
        <v>166</v>
      </c>
      <c r="E48" s="7">
        <v>0</v>
      </c>
      <c r="F48" s="8" t="s">
        <v>45</v>
      </c>
      <c r="G48" s="9">
        <v>48</v>
      </c>
      <c r="H48" s="10">
        <f t="shared" si="0"/>
        <v>0</v>
      </c>
    </row>
    <row r="49" spans="1:8" s="11" customFormat="1" x14ac:dyDescent="0.25">
      <c r="A49" s="5" t="s">
        <v>167</v>
      </c>
      <c r="B49" s="5" t="s">
        <v>168</v>
      </c>
      <c r="C49" s="6" t="s">
        <v>169</v>
      </c>
      <c r="D49" s="5" t="s">
        <v>170</v>
      </c>
      <c r="E49" s="7">
        <v>0</v>
      </c>
      <c r="F49" s="8" t="s">
        <v>45</v>
      </c>
      <c r="G49" s="9">
        <v>24</v>
      </c>
      <c r="H49" s="10">
        <f t="shared" si="0"/>
        <v>0</v>
      </c>
    </row>
    <row r="50" spans="1:8" s="11" customFormat="1" x14ac:dyDescent="0.25">
      <c r="A50" s="5" t="s">
        <v>171</v>
      </c>
      <c r="B50" s="5" t="s">
        <v>172</v>
      </c>
      <c r="C50" s="6" t="s">
        <v>173</v>
      </c>
      <c r="D50" s="5" t="s">
        <v>166</v>
      </c>
      <c r="E50" s="7">
        <v>0</v>
      </c>
      <c r="F50" s="8" t="s">
        <v>45</v>
      </c>
      <c r="G50" s="9">
        <v>48</v>
      </c>
      <c r="H50" s="10">
        <f t="shared" si="0"/>
        <v>0</v>
      </c>
    </row>
    <row r="51" spans="1:8" s="11" customFormat="1" x14ac:dyDescent="0.25">
      <c r="A51" s="5" t="s">
        <v>174</v>
      </c>
      <c r="B51" s="5" t="s">
        <v>175</v>
      </c>
      <c r="C51" s="6" t="s">
        <v>176</v>
      </c>
      <c r="D51" s="5" t="s">
        <v>166</v>
      </c>
      <c r="E51" s="7">
        <v>0</v>
      </c>
      <c r="F51" s="8" t="s">
        <v>45</v>
      </c>
      <c r="G51" s="9">
        <v>48</v>
      </c>
      <c r="H51" s="10">
        <f t="shared" si="0"/>
        <v>0</v>
      </c>
    </row>
    <row r="52" spans="1:8" s="11" customFormat="1" x14ac:dyDescent="0.25">
      <c r="A52" s="5" t="s">
        <v>177</v>
      </c>
      <c r="B52" s="5" t="s">
        <v>178</v>
      </c>
      <c r="C52" s="6" t="s">
        <v>179</v>
      </c>
      <c r="D52" s="5" t="s">
        <v>162</v>
      </c>
      <c r="E52" s="7">
        <v>0</v>
      </c>
      <c r="F52" s="8" t="s">
        <v>12</v>
      </c>
      <c r="G52" s="9">
        <v>12</v>
      </c>
      <c r="H52" s="10">
        <f t="shared" si="0"/>
        <v>0</v>
      </c>
    </row>
    <row r="53" spans="1:8" s="11" customFormat="1" x14ac:dyDescent="0.25">
      <c r="A53" s="5" t="s">
        <v>180</v>
      </c>
      <c r="B53" s="5" t="s">
        <v>181</v>
      </c>
      <c r="C53" s="6" t="s">
        <v>182</v>
      </c>
      <c r="D53" s="5" t="s">
        <v>170</v>
      </c>
      <c r="E53" s="7">
        <v>18</v>
      </c>
      <c r="F53" s="8" t="s">
        <v>45</v>
      </c>
      <c r="G53" s="9">
        <v>24</v>
      </c>
      <c r="H53" s="10">
        <f t="shared" si="0"/>
        <v>0.75</v>
      </c>
    </row>
    <row r="54" spans="1:8" s="11" customFormat="1" x14ac:dyDescent="0.25">
      <c r="A54" s="5" t="s">
        <v>183</v>
      </c>
      <c r="B54" s="5" t="s">
        <v>184</v>
      </c>
      <c r="C54" s="6" t="s">
        <v>185</v>
      </c>
      <c r="D54" s="5" t="s">
        <v>162</v>
      </c>
      <c r="E54" s="7">
        <v>0</v>
      </c>
      <c r="F54" s="8" t="s">
        <v>12</v>
      </c>
      <c r="G54" s="9">
        <v>12</v>
      </c>
      <c r="H54" s="10">
        <f t="shared" si="0"/>
        <v>0</v>
      </c>
    </row>
    <row r="55" spans="1:8" s="11" customFormat="1" x14ac:dyDescent="0.25">
      <c r="A55" s="5" t="s">
        <v>186</v>
      </c>
      <c r="B55" s="5" t="s">
        <v>187</v>
      </c>
      <c r="C55" s="6" t="s">
        <v>188</v>
      </c>
      <c r="D55" s="5" t="s">
        <v>170</v>
      </c>
      <c r="E55" s="7">
        <v>14</v>
      </c>
      <c r="F55" s="8" t="s">
        <v>45</v>
      </c>
      <c r="G55" s="9">
        <v>24</v>
      </c>
      <c r="H55" s="10">
        <f t="shared" si="0"/>
        <v>0.58333333333333337</v>
      </c>
    </row>
    <row r="56" spans="1:8" s="11" customFormat="1" x14ac:dyDescent="0.25">
      <c r="A56" s="5" t="s">
        <v>189</v>
      </c>
      <c r="B56" s="5" t="s">
        <v>190</v>
      </c>
      <c r="C56" s="6" t="s">
        <v>191</v>
      </c>
      <c r="D56" s="5" t="s">
        <v>192</v>
      </c>
      <c r="E56" s="7">
        <v>0</v>
      </c>
      <c r="F56" s="8" t="s">
        <v>45</v>
      </c>
      <c r="G56" s="9">
        <v>48</v>
      </c>
      <c r="H56" s="10">
        <f t="shared" si="0"/>
        <v>0</v>
      </c>
    </row>
    <row r="57" spans="1:8" s="11" customFormat="1" x14ac:dyDescent="0.25">
      <c r="A57" s="5" t="s">
        <v>193</v>
      </c>
      <c r="B57" s="5" t="s">
        <v>194</v>
      </c>
      <c r="C57" s="6" t="s">
        <v>195</v>
      </c>
      <c r="D57" s="5" t="s">
        <v>170</v>
      </c>
      <c r="E57" s="7">
        <v>0</v>
      </c>
      <c r="F57" s="8" t="s">
        <v>45</v>
      </c>
      <c r="G57" s="9">
        <v>24</v>
      </c>
      <c r="H57" s="10">
        <f t="shared" si="0"/>
        <v>0</v>
      </c>
    </row>
    <row r="58" spans="1:8" s="11" customFormat="1" x14ac:dyDescent="0.25">
      <c r="A58" s="5" t="s">
        <v>196</v>
      </c>
      <c r="B58" s="5" t="s">
        <v>197</v>
      </c>
      <c r="C58" s="6" t="s">
        <v>198</v>
      </c>
      <c r="D58" s="5" t="s">
        <v>170</v>
      </c>
      <c r="E58" s="7">
        <v>24</v>
      </c>
      <c r="F58" s="8" t="s">
        <v>45</v>
      </c>
      <c r="G58" s="9">
        <v>24</v>
      </c>
      <c r="H58" s="10">
        <f t="shared" si="0"/>
        <v>1</v>
      </c>
    </row>
    <row r="59" spans="1:8" s="11" customFormat="1" x14ac:dyDescent="0.25">
      <c r="A59" s="5" t="s">
        <v>199</v>
      </c>
      <c r="B59" s="5" t="s">
        <v>200</v>
      </c>
      <c r="C59" s="6" t="s">
        <v>201</v>
      </c>
      <c r="D59" s="5" t="s">
        <v>170</v>
      </c>
      <c r="E59" s="7">
        <v>20</v>
      </c>
      <c r="F59" s="8" t="s">
        <v>45</v>
      </c>
      <c r="G59" s="9">
        <v>24</v>
      </c>
      <c r="H59" s="10">
        <f t="shared" si="0"/>
        <v>0.83333333333333337</v>
      </c>
    </row>
    <row r="60" spans="1:8" s="11" customFormat="1" x14ac:dyDescent="0.25">
      <c r="A60" s="5" t="s">
        <v>202</v>
      </c>
      <c r="B60" s="5" t="s">
        <v>203</v>
      </c>
      <c r="C60" s="6" t="s">
        <v>204</v>
      </c>
      <c r="D60" s="5" t="s">
        <v>205</v>
      </c>
      <c r="E60" s="7">
        <v>359</v>
      </c>
      <c r="F60" s="8" t="s">
        <v>12</v>
      </c>
      <c r="G60" s="9">
        <v>24</v>
      </c>
      <c r="H60" s="10">
        <f t="shared" si="0"/>
        <v>14.958333333333334</v>
      </c>
    </row>
    <row r="61" spans="1:8" s="11" customFormat="1" x14ac:dyDescent="0.25">
      <c r="A61" s="5" t="s">
        <v>206</v>
      </c>
      <c r="B61" s="5" t="s">
        <v>207</v>
      </c>
      <c r="C61" s="6" t="s">
        <v>208</v>
      </c>
      <c r="D61" s="5" t="s">
        <v>126</v>
      </c>
      <c r="E61" s="7">
        <v>49</v>
      </c>
      <c r="F61" s="8" t="s">
        <v>45</v>
      </c>
      <c r="G61" s="9">
        <v>24</v>
      </c>
      <c r="H61" s="10">
        <f t="shared" si="0"/>
        <v>2.0416666666666665</v>
      </c>
    </row>
    <row r="62" spans="1:8" s="11" customFormat="1" x14ac:dyDescent="0.25">
      <c r="A62" s="5" t="s">
        <v>209</v>
      </c>
      <c r="B62" s="5" t="s">
        <v>210</v>
      </c>
      <c r="C62" s="6" t="s">
        <v>211</v>
      </c>
      <c r="D62" s="5" t="s">
        <v>212</v>
      </c>
      <c r="E62" s="7">
        <v>64</v>
      </c>
      <c r="F62" s="8" t="s">
        <v>12</v>
      </c>
      <c r="G62" s="9">
        <v>12</v>
      </c>
      <c r="H62" s="10">
        <f t="shared" si="0"/>
        <v>5.333333333333333</v>
      </c>
    </row>
    <row r="63" spans="1:8" s="11" customFormat="1" x14ac:dyDescent="0.25">
      <c r="A63" s="5" t="s">
        <v>213</v>
      </c>
      <c r="B63" s="5" t="s">
        <v>214</v>
      </c>
      <c r="C63" s="6" t="s">
        <v>215</v>
      </c>
      <c r="D63" s="5" t="s">
        <v>212</v>
      </c>
      <c r="E63" s="7">
        <v>17</v>
      </c>
      <c r="F63" s="8" t="s">
        <v>12</v>
      </c>
      <c r="G63" s="9">
        <v>12</v>
      </c>
      <c r="H63" s="10">
        <f t="shared" si="0"/>
        <v>1.4166666666666667</v>
      </c>
    </row>
    <row r="64" spans="1:8" s="11" customFormat="1" x14ac:dyDescent="0.25">
      <c r="A64" s="5" t="s">
        <v>216</v>
      </c>
      <c r="B64" s="5" t="s">
        <v>217</v>
      </c>
      <c r="C64" s="6" t="s">
        <v>218</v>
      </c>
      <c r="D64" s="5" t="s">
        <v>219</v>
      </c>
      <c r="E64" s="7">
        <v>453</v>
      </c>
      <c r="F64" s="8" t="s">
        <v>12</v>
      </c>
      <c r="G64" s="9">
        <v>72</v>
      </c>
      <c r="H64" s="10">
        <f t="shared" si="0"/>
        <v>6.291666666666667</v>
      </c>
    </row>
    <row r="65" spans="1:8" s="11" customFormat="1" x14ac:dyDescent="0.25">
      <c r="A65" s="5" t="s">
        <v>220</v>
      </c>
      <c r="B65" s="5" t="s">
        <v>221</v>
      </c>
      <c r="C65" s="6" t="s">
        <v>222</v>
      </c>
      <c r="D65" s="5" t="s">
        <v>223</v>
      </c>
      <c r="E65" s="7">
        <v>0</v>
      </c>
      <c r="F65" s="8" t="s">
        <v>45</v>
      </c>
      <c r="G65" s="9">
        <v>432</v>
      </c>
      <c r="H65" s="10">
        <f t="shared" si="0"/>
        <v>0</v>
      </c>
    </row>
    <row r="66" spans="1:8" s="11" customFormat="1" x14ac:dyDescent="0.25">
      <c r="A66" s="5" t="s">
        <v>224</v>
      </c>
      <c r="B66" s="5" t="s">
        <v>225</v>
      </c>
      <c r="C66" s="6" t="s">
        <v>226</v>
      </c>
      <c r="D66" s="5" t="s">
        <v>205</v>
      </c>
      <c r="E66" s="7">
        <v>297</v>
      </c>
      <c r="F66" s="8" t="s">
        <v>12</v>
      </c>
      <c r="G66" s="9">
        <v>24</v>
      </c>
      <c r="H66" s="10">
        <f t="shared" ref="H66:H129" si="1">E66/G66</f>
        <v>12.375</v>
      </c>
    </row>
    <row r="67" spans="1:8" s="11" customFormat="1" x14ac:dyDescent="0.25">
      <c r="A67" s="5" t="s">
        <v>227</v>
      </c>
      <c r="B67" s="5" t="s">
        <v>228</v>
      </c>
      <c r="C67" s="6" t="s">
        <v>229</v>
      </c>
      <c r="D67" s="5" t="s">
        <v>126</v>
      </c>
      <c r="E67" s="7">
        <v>74</v>
      </c>
      <c r="F67" s="8" t="s">
        <v>45</v>
      </c>
      <c r="G67" s="9">
        <v>24</v>
      </c>
      <c r="H67" s="10">
        <f t="shared" si="1"/>
        <v>3.0833333333333335</v>
      </c>
    </row>
    <row r="68" spans="1:8" s="11" customFormat="1" x14ac:dyDescent="0.25">
      <c r="A68" s="5" t="s">
        <v>230</v>
      </c>
      <c r="B68" s="5" t="s">
        <v>231</v>
      </c>
      <c r="C68" s="6" t="s">
        <v>232</v>
      </c>
      <c r="D68" s="5" t="s">
        <v>212</v>
      </c>
      <c r="E68" s="7">
        <v>29</v>
      </c>
      <c r="F68" s="8" t="s">
        <v>12</v>
      </c>
      <c r="G68" s="9">
        <v>12</v>
      </c>
      <c r="H68" s="10">
        <f t="shared" si="1"/>
        <v>2.4166666666666665</v>
      </c>
    </row>
    <row r="69" spans="1:8" s="11" customFormat="1" x14ac:dyDescent="0.25">
      <c r="A69" s="5" t="s">
        <v>233</v>
      </c>
      <c r="B69" s="5" t="s">
        <v>234</v>
      </c>
      <c r="C69" s="6" t="s">
        <v>235</v>
      </c>
      <c r="D69" s="5" t="s">
        <v>212</v>
      </c>
      <c r="E69" s="7">
        <v>63</v>
      </c>
      <c r="F69" s="8" t="s">
        <v>12</v>
      </c>
      <c r="G69" s="9">
        <v>12</v>
      </c>
      <c r="H69" s="10">
        <f t="shared" si="1"/>
        <v>5.25</v>
      </c>
    </row>
    <row r="70" spans="1:8" s="11" customFormat="1" x14ac:dyDescent="0.25">
      <c r="A70" s="5" t="s">
        <v>236</v>
      </c>
      <c r="B70" s="5" t="s">
        <v>237</v>
      </c>
      <c r="C70" s="6" t="s">
        <v>238</v>
      </c>
      <c r="D70" s="5" t="s">
        <v>219</v>
      </c>
      <c r="E70" s="7">
        <v>544</v>
      </c>
      <c r="F70" s="8" t="s">
        <v>12</v>
      </c>
      <c r="G70" s="9">
        <v>72</v>
      </c>
      <c r="H70" s="10">
        <f t="shared" si="1"/>
        <v>7.5555555555555554</v>
      </c>
    </row>
    <row r="71" spans="1:8" s="11" customFormat="1" x14ac:dyDescent="0.25">
      <c r="A71" s="5" t="s">
        <v>239</v>
      </c>
      <c r="B71" s="5" t="s">
        <v>240</v>
      </c>
      <c r="C71" s="6" t="s">
        <v>241</v>
      </c>
      <c r="D71" s="5" t="s">
        <v>223</v>
      </c>
      <c r="E71" s="7">
        <v>0</v>
      </c>
      <c r="F71" s="8" t="s">
        <v>45</v>
      </c>
      <c r="G71" s="9">
        <v>432</v>
      </c>
      <c r="H71" s="10">
        <f t="shared" si="1"/>
        <v>0</v>
      </c>
    </row>
    <row r="72" spans="1:8" s="11" customFormat="1" x14ac:dyDescent="0.25">
      <c r="A72" s="5" t="s">
        <v>242</v>
      </c>
      <c r="B72" s="5" t="s">
        <v>243</v>
      </c>
      <c r="C72" s="6" t="s">
        <v>244</v>
      </c>
      <c r="D72" s="5" t="s">
        <v>245</v>
      </c>
      <c r="E72" s="7">
        <v>18</v>
      </c>
      <c r="F72" s="8" t="s">
        <v>12</v>
      </c>
      <c r="G72" s="9">
        <v>12</v>
      </c>
      <c r="H72" s="10">
        <f t="shared" si="1"/>
        <v>1.5</v>
      </c>
    </row>
    <row r="73" spans="1:8" s="11" customFormat="1" x14ac:dyDescent="0.25">
      <c r="A73" s="5" t="s">
        <v>246</v>
      </c>
      <c r="B73" s="5" t="s">
        <v>247</v>
      </c>
      <c r="C73" s="6" t="s">
        <v>248</v>
      </c>
      <c r="D73" s="5" t="s">
        <v>245</v>
      </c>
      <c r="E73" s="7">
        <v>12</v>
      </c>
      <c r="F73" s="8" t="s">
        <v>12</v>
      </c>
      <c r="G73" s="9">
        <v>12</v>
      </c>
      <c r="H73" s="10">
        <f t="shared" si="1"/>
        <v>1</v>
      </c>
    </row>
    <row r="74" spans="1:8" s="11" customFormat="1" x14ac:dyDescent="0.25">
      <c r="A74" s="5" t="s">
        <v>249</v>
      </c>
      <c r="B74" s="5" t="s">
        <v>250</v>
      </c>
      <c r="C74" s="6" t="s">
        <v>251</v>
      </c>
      <c r="D74" s="5" t="s">
        <v>205</v>
      </c>
      <c r="E74" s="7">
        <v>353</v>
      </c>
      <c r="F74" s="8" t="s">
        <v>12</v>
      </c>
      <c r="G74" s="9">
        <v>24</v>
      </c>
      <c r="H74" s="10">
        <f t="shared" si="1"/>
        <v>14.708333333333334</v>
      </c>
    </row>
    <row r="75" spans="1:8" s="11" customFormat="1" x14ac:dyDescent="0.25">
      <c r="A75" s="5" t="s">
        <v>252</v>
      </c>
      <c r="B75" s="5" t="s">
        <v>253</v>
      </c>
      <c r="C75" s="6" t="s">
        <v>254</v>
      </c>
      <c r="D75" s="5" t="s">
        <v>126</v>
      </c>
      <c r="E75" s="7">
        <v>152</v>
      </c>
      <c r="F75" s="8" t="s">
        <v>45</v>
      </c>
      <c r="G75" s="9">
        <v>24</v>
      </c>
      <c r="H75" s="10">
        <f t="shared" si="1"/>
        <v>6.333333333333333</v>
      </c>
    </row>
    <row r="76" spans="1:8" s="11" customFormat="1" x14ac:dyDescent="0.25">
      <c r="A76" s="5" t="s">
        <v>255</v>
      </c>
      <c r="B76" s="5" t="s">
        <v>256</v>
      </c>
      <c r="C76" s="6" t="s">
        <v>257</v>
      </c>
      <c r="D76" s="5" t="s">
        <v>212</v>
      </c>
      <c r="E76" s="7">
        <v>49</v>
      </c>
      <c r="F76" s="8" t="s">
        <v>12</v>
      </c>
      <c r="G76" s="9">
        <v>12</v>
      </c>
      <c r="H76" s="10">
        <f t="shared" si="1"/>
        <v>4.083333333333333</v>
      </c>
    </row>
    <row r="77" spans="1:8" s="11" customFormat="1" x14ac:dyDescent="0.25">
      <c r="A77" s="5" t="s">
        <v>258</v>
      </c>
      <c r="B77" s="5" t="s">
        <v>259</v>
      </c>
      <c r="C77" s="6" t="s">
        <v>260</v>
      </c>
      <c r="D77" s="5" t="s">
        <v>212</v>
      </c>
      <c r="E77" s="7">
        <v>106</v>
      </c>
      <c r="F77" s="8" t="s">
        <v>12</v>
      </c>
      <c r="G77" s="9">
        <v>12</v>
      </c>
      <c r="H77" s="10">
        <f t="shared" si="1"/>
        <v>8.8333333333333339</v>
      </c>
    </row>
    <row r="78" spans="1:8" s="11" customFormat="1" x14ac:dyDescent="0.25">
      <c r="A78" s="5" t="s">
        <v>261</v>
      </c>
      <c r="B78" s="5" t="s">
        <v>262</v>
      </c>
      <c r="C78" s="6" t="s">
        <v>263</v>
      </c>
      <c r="D78" s="5" t="s">
        <v>219</v>
      </c>
      <c r="E78" s="7">
        <v>431</v>
      </c>
      <c r="F78" s="8" t="s">
        <v>12</v>
      </c>
      <c r="G78" s="9">
        <v>72</v>
      </c>
      <c r="H78" s="10">
        <f t="shared" si="1"/>
        <v>5.9861111111111107</v>
      </c>
    </row>
    <row r="79" spans="1:8" s="11" customFormat="1" x14ac:dyDescent="0.25">
      <c r="A79" s="5" t="s">
        <v>264</v>
      </c>
      <c r="B79" s="5" t="s">
        <v>265</v>
      </c>
      <c r="C79" s="6" t="s">
        <v>266</v>
      </c>
      <c r="D79" s="5" t="s">
        <v>223</v>
      </c>
      <c r="E79" s="7">
        <v>0</v>
      </c>
      <c r="F79" s="8" t="s">
        <v>45</v>
      </c>
      <c r="G79" s="9">
        <v>432</v>
      </c>
      <c r="H79" s="10">
        <f t="shared" si="1"/>
        <v>0</v>
      </c>
    </row>
    <row r="80" spans="1:8" s="11" customFormat="1" x14ac:dyDescent="0.25">
      <c r="A80" s="5" t="s">
        <v>267</v>
      </c>
      <c r="B80" s="5" t="s">
        <v>268</v>
      </c>
      <c r="C80" s="6" t="s">
        <v>269</v>
      </c>
      <c r="D80" s="5" t="s">
        <v>205</v>
      </c>
      <c r="E80" s="7">
        <v>299</v>
      </c>
      <c r="F80" s="8" t="s">
        <v>12</v>
      </c>
      <c r="G80" s="9">
        <v>24</v>
      </c>
      <c r="H80" s="10">
        <f t="shared" si="1"/>
        <v>12.458333333333334</v>
      </c>
    </row>
    <row r="81" spans="1:8" s="11" customFormat="1" x14ac:dyDescent="0.25">
      <c r="A81" s="5" t="s">
        <v>270</v>
      </c>
      <c r="B81" s="5" t="s">
        <v>271</v>
      </c>
      <c r="C81" s="6" t="s">
        <v>272</v>
      </c>
      <c r="D81" s="5" t="s">
        <v>126</v>
      </c>
      <c r="E81" s="7">
        <v>21</v>
      </c>
      <c r="F81" s="8" t="s">
        <v>45</v>
      </c>
      <c r="G81" s="9">
        <v>24</v>
      </c>
      <c r="H81" s="10">
        <f t="shared" si="1"/>
        <v>0.875</v>
      </c>
    </row>
    <row r="82" spans="1:8" s="11" customFormat="1" x14ac:dyDescent="0.25">
      <c r="A82" s="5" t="s">
        <v>273</v>
      </c>
      <c r="B82" s="5" t="s">
        <v>274</v>
      </c>
      <c r="C82" s="6" t="s">
        <v>275</v>
      </c>
      <c r="D82" s="5" t="s">
        <v>212</v>
      </c>
      <c r="E82" s="7">
        <v>43</v>
      </c>
      <c r="F82" s="8" t="s">
        <v>12</v>
      </c>
      <c r="G82" s="9">
        <v>12</v>
      </c>
      <c r="H82" s="10">
        <f t="shared" si="1"/>
        <v>3.5833333333333335</v>
      </c>
    </row>
    <row r="83" spans="1:8" s="11" customFormat="1" x14ac:dyDescent="0.25">
      <c r="A83" s="5" t="s">
        <v>276</v>
      </c>
      <c r="B83" s="5" t="s">
        <v>277</v>
      </c>
      <c r="C83" s="6" t="s">
        <v>278</v>
      </c>
      <c r="D83" s="5" t="s">
        <v>212</v>
      </c>
      <c r="E83" s="7">
        <v>58</v>
      </c>
      <c r="F83" s="8" t="s">
        <v>12</v>
      </c>
      <c r="G83" s="9">
        <v>12</v>
      </c>
      <c r="H83" s="10">
        <f t="shared" si="1"/>
        <v>4.833333333333333</v>
      </c>
    </row>
    <row r="84" spans="1:8" s="11" customFormat="1" x14ac:dyDescent="0.25">
      <c r="A84" s="5" t="s">
        <v>279</v>
      </c>
      <c r="B84" s="5" t="s">
        <v>280</v>
      </c>
      <c r="C84" s="6" t="s">
        <v>281</v>
      </c>
      <c r="D84" s="5" t="s">
        <v>219</v>
      </c>
      <c r="E84" s="7">
        <v>0</v>
      </c>
      <c r="F84" s="8" t="s">
        <v>12</v>
      </c>
      <c r="G84" s="9">
        <v>72</v>
      </c>
      <c r="H84" s="10">
        <f t="shared" si="1"/>
        <v>0</v>
      </c>
    </row>
    <row r="85" spans="1:8" s="11" customFormat="1" x14ac:dyDescent="0.25">
      <c r="A85" s="5" t="s">
        <v>282</v>
      </c>
      <c r="B85" s="5" t="s">
        <v>283</v>
      </c>
      <c r="C85" s="6" t="s">
        <v>284</v>
      </c>
      <c r="D85" s="5" t="s">
        <v>223</v>
      </c>
      <c r="E85" s="7">
        <v>0</v>
      </c>
      <c r="F85" s="8" t="s">
        <v>45</v>
      </c>
      <c r="G85" s="9">
        <v>432</v>
      </c>
      <c r="H85" s="10">
        <f t="shared" si="1"/>
        <v>0</v>
      </c>
    </row>
    <row r="86" spans="1:8" s="11" customFormat="1" x14ac:dyDescent="0.25">
      <c r="A86" s="5" t="s">
        <v>285</v>
      </c>
      <c r="B86" s="5" t="s">
        <v>286</v>
      </c>
      <c r="C86" s="6" t="s">
        <v>287</v>
      </c>
      <c r="D86" s="5" t="s">
        <v>288</v>
      </c>
      <c r="E86" s="7">
        <v>9</v>
      </c>
      <c r="F86" s="8" t="s">
        <v>45</v>
      </c>
      <c r="G86" s="9">
        <v>24</v>
      </c>
      <c r="H86" s="10">
        <f t="shared" si="1"/>
        <v>0.375</v>
      </c>
    </row>
    <row r="87" spans="1:8" s="11" customFormat="1" x14ac:dyDescent="0.25">
      <c r="A87" s="5" t="s">
        <v>289</v>
      </c>
      <c r="B87" s="5" t="s">
        <v>290</v>
      </c>
      <c r="C87" s="6" t="s">
        <v>291</v>
      </c>
      <c r="D87" s="5" t="s">
        <v>137</v>
      </c>
      <c r="E87" s="7">
        <v>5</v>
      </c>
      <c r="F87" s="8" t="s">
        <v>45</v>
      </c>
      <c r="G87" s="9">
        <v>12</v>
      </c>
      <c r="H87" s="10">
        <f t="shared" si="1"/>
        <v>0.41666666666666669</v>
      </c>
    </row>
    <row r="88" spans="1:8" s="11" customFormat="1" x14ac:dyDescent="0.25">
      <c r="A88" s="5" t="s">
        <v>292</v>
      </c>
      <c r="B88" s="5" t="s">
        <v>293</v>
      </c>
      <c r="C88" s="6" t="s">
        <v>294</v>
      </c>
      <c r="D88" s="5" t="s">
        <v>288</v>
      </c>
      <c r="E88" s="7">
        <v>6</v>
      </c>
      <c r="F88" s="8" t="s">
        <v>45</v>
      </c>
      <c r="G88" s="9">
        <v>24</v>
      </c>
      <c r="H88" s="10">
        <f t="shared" si="1"/>
        <v>0.25</v>
      </c>
    </row>
    <row r="89" spans="1:8" s="11" customFormat="1" x14ac:dyDescent="0.25">
      <c r="A89" s="5" t="s">
        <v>295</v>
      </c>
      <c r="B89" s="5" t="s">
        <v>296</v>
      </c>
      <c r="C89" s="6" t="s">
        <v>297</v>
      </c>
      <c r="D89" s="5" t="s">
        <v>137</v>
      </c>
      <c r="E89" s="7">
        <v>2</v>
      </c>
      <c r="F89" s="8" t="s">
        <v>45</v>
      </c>
      <c r="G89" s="9">
        <v>12</v>
      </c>
      <c r="H89" s="10">
        <f t="shared" si="1"/>
        <v>0.16666666666666666</v>
      </c>
    </row>
    <row r="90" spans="1:8" s="11" customFormat="1" x14ac:dyDescent="0.25">
      <c r="A90" s="5" t="s">
        <v>298</v>
      </c>
      <c r="B90" s="5" t="s">
        <v>299</v>
      </c>
      <c r="C90" s="6" t="s">
        <v>300</v>
      </c>
      <c r="D90" s="5" t="s">
        <v>288</v>
      </c>
      <c r="E90" s="7">
        <v>2</v>
      </c>
      <c r="F90" s="8" t="s">
        <v>45</v>
      </c>
      <c r="G90" s="9">
        <v>24</v>
      </c>
      <c r="H90" s="10">
        <f t="shared" si="1"/>
        <v>8.3333333333333329E-2</v>
      </c>
    </row>
    <row r="91" spans="1:8" s="11" customFormat="1" x14ac:dyDescent="0.25">
      <c r="A91" s="5" t="s">
        <v>301</v>
      </c>
      <c r="B91" s="5" t="s">
        <v>302</v>
      </c>
      <c r="C91" s="6" t="s">
        <v>303</v>
      </c>
      <c r="D91" s="5" t="s">
        <v>137</v>
      </c>
      <c r="E91" s="7">
        <v>6</v>
      </c>
      <c r="F91" s="8" t="s">
        <v>45</v>
      </c>
      <c r="G91" s="9">
        <v>12</v>
      </c>
      <c r="H91" s="10">
        <f t="shared" si="1"/>
        <v>0.5</v>
      </c>
    </row>
    <row r="92" spans="1:8" s="11" customFormat="1" x14ac:dyDescent="0.25">
      <c r="A92" s="5" t="s">
        <v>304</v>
      </c>
      <c r="B92" s="5" t="s">
        <v>305</v>
      </c>
      <c r="C92" s="6" t="s">
        <v>306</v>
      </c>
      <c r="D92" s="5" t="s">
        <v>288</v>
      </c>
      <c r="E92" s="7">
        <v>0</v>
      </c>
      <c r="F92" s="8" t="s">
        <v>45</v>
      </c>
      <c r="G92" s="9">
        <v>24</v>
      </c>
      <c r="H92" s="10">
        <f t="shared" si="1"/>
        <v>0</v>
      </c>
    </row>
    <row r="93" spans="1:8" s="11" customFormat="1" x14ac:dyDescent="0.25">
      <c r="A93" s="5" t="s">
        <v>307</v>
      </c>
      <c r="B93" s="5" t="s">
        <v>308</v>
      </c>
      <c r="C93" s="6" t="s">
        <v>309</v>
      </c>
      <c r="D93" s="5" t="s">
        <v>137</v>
      </c>
      <c r="E93" s="7">
        <v>12</v>
      </c>
      <c r="F93" s="8" t="s">
        <v>45</v>
      </c>
      <c r="G93" s="9">
        <v>12</v>
      </c>
      <c r="H93" s="10">
        <f t="shared" si="1"/>
        <v>1</v>
      </c>
    </row>
    <row r="94" spans="1:8" s="11" customFormat="1" x14ac:dyDescent="0.25">
      <c r="A94" s="5" t="s">
        <v>310</v>
      </c>
      <c r="B94" s="5" t="s">
        <v>311</v>
      </c>
      <c r="C94" s="6" t="s">
        <v>312</v>
      </c>
      <c r="D94" s="5" t="s">
        <v>313</v>
      </c>
      <c r="E94" s="7">
        <v>0</v>
      </c>
      <c r="F94" s="8" t="s">
        <v>45</v>
      </c>
      <c r="G94" s="9">
        <v>48</v>
      </c>
      <c r="H94" s="10">
        <f t="shared" si="1"/>
        <v>0</v>
      </c>
    </row>
    <row r="95" spans="1:8" s="11" customFormat="1" x14ac:dyDescent="0.25">
      <c r="A95" s="5" t="s">
        <v>314</v>
      </c>
      <c r="B95" s="5" t="s">
        <v>315</v>
      </c>
      <c r="C95" s="6" t="s">
        <v>316</v>
      </c>
      <c r="D95" s="5" t="s">
        <v>313</v>
      </c>
      <c r="E95" s="7">
        <v>0</v>
      </c>
      <c r="F95" s="8" t="s">
        <v>45</v>
      </c>
      <c r="G95" s="9">
        <v>48</v>
      </c>
      <c r="H95" s="10">
        <f t="shared" si="1"/>
        <v>0</v>
      </c>
    </row>
    <row r="96" spans="1:8" s="11" customFormat="1" x14ac:dyDescent="0.25">
      <c r="A96" s="5" t="s">
        <v>317</v>
      </c>
      <c r="B96" s="5" t="s">
        <v>318</v>
      </c>
      <c r="C96" s="6" t="s">
        <v>319</v>
      </c>
      <c r="D96" s="5" t="s">
        <v>320</v>
      </c>
      <c r="E96" s="7">
        <v>0</v>
      </c>
      <c r="F96" s="8" t="s">
        <v>12</v>
      </c>
      <c r="G96" s="9">
        <v>12</v>
      </c>
      <c r="H96" s="10">
        <f t="shared" si="1"/>
        <v>0</v>
      </c>
    </row>
    <row r="97" spans="1:8" s="11" customFormat="1" x14ac:dyDescent="0.25">
      <c r="A97" s="5" t="s">
        <v>321</v>
      </c>
      <c r="B97" s="5" t="s">
        <v>322</v>
      </c>
      <c r="C97" s="6" t="s">
        <v>323</v>
      </c>
      <c r="D97" s="5" t="s">
        <v>324</v>
      </c>
      <c r="E97" s="7">
        <v>24</v>
      </c>
      <c r="F97" s="8" t="s">
        <v>12</v>
      </c>
      <c r="G97" s="9">
        <v>24</v>
      </c>
      <c r="H97" s="10">
        <f t="shared" si="1"/>
        <v>1</v>
      </c>
    </row>
    <row r="98" spans="1:8" s="11" customFormat="1" x14ac:dyDescent="0.25">
      <c r="A98" s="5" t="s">
        <v>325</v>
      </c>
      <c r="B98" s="5" t="s">
        <v>326</v>
      </c>
      <c r="C98" s="6" t="s">
        <v>327</v>
      </c>
      <c r="D98" s="5" t="s">
        <v>320</v>
      </c>
      <c r="E98" s="7">
        <v>2</v>
      </c>
      <c r="F98" s="8" t="s">
        <v>12</v>
      </c>
      <c r="G98" s="9">
        <v>12</v>
      </c>
      <c r="H98" s="10">
        <f t="shared" si="1"/>
        <v>0.16666666666666666</v>
      </c>
    </row>
    <row r="99" spans="1:8" s="11" customFormat="1" x14ac:dyDescent="0.25">
      <c r="A99" s="5" t="s">
        <v>328</v>
      </c>
      <c r="B99" s="5" t="s">
        <v>329</v>
      </c>
      <c r="C99" s="6" t="s">
        <v>330</v>
      </c>
      <c r="D99" s="5" t="s">
        <v>324</v>
      </c>
      <c r="E99" s="7">
        <v>26</v>
      </c>
      <c r="F99" s="8" t="s">
        <v>12</v>
      </c>
      <c r="G99" s="9">
        <v>24</v>
      </c>
      <c r="H99" s="10">
        <f t="shared" si="1"/>
        <v>1.0833333333333333</v>
      </c>
    </row>
    <row r="100" spans="1:8" s="11" customFormat="1" x14ac:dyDescent="0.25">
      <c r="A100" s="5" t="s">
        <v>331</v>
      </c>
      <c r="B100" s="5" t="s">
        <v>332</v>
      </c>
      <c r="C100" s="6" t="s">
        <v>333</v>
      </c>
      <c r="D100" s="5" t="s">
        <v>320</v>
      </c>
      <c r="E100" s="7">
        <v>24</v>
      </c>
      <c r="F100" s="8" t="s">
        <v>12</v>
      </c>
      <c r="G100" s="9">
        <v>12</v>
      </c>
      <c r="H100" s="10">
        <f t="shared" si="1"/>
        <v>2</v>
      </c>
    </row>
    <row r="101" spans="1:8" s="11" customFormat="1" x14ac:dyDescent="0.25">
      <c r="A101" s="5" t="s">
        <v>334</v>
      </c>
      <c r="B101" s="5" t="s">
        <v>335</v>
      </c>
      <c r="C101" s="6" t="s">
        <v>336</v>
      </c>
      <c r="D101" s="5" t="s">
        <v>324</v>
      </c>
      <c r="E101" s="7">
        <v>75</v>
      </c>
      <c r="F101" s="8" t="s">
        <v>12</v>
      </c>
      <c r="G101" s="9">
        <v>24</v>
      </c>
      <c r="H101" s="10">
        <f t="shared" si="1"/>
        <v>3.125</v>
      </c>
    </row>
    <row r="102" spans="1:8" s="11" customFormat="1" x14ac:dyDescent="0.25">
      <c r="A102" s="5" t="s">
        <v>337</v>
      </c>
      <c r="B102" s="5" t="s">
        <v>338</v>
      </c>
      <c r="C102" s="6" t="s">
        <v>339</v>
      </c>
      <c r="D102" s="5" t="s">
        <v>340</v>
      </c>
      <c r="E102" s="7">
        <v>36</v>
      </c>
      <c r="F102" s="8" t="s">
        <v>45</v>
      </c>
      <c r="G102" s="9">
        <v>24</v>
      </c>
      <c r="H102" s="10">
        <f t="shared" si="1"/>
        <v>1.5</v>
      </c>
    </row>
    <row r="103" spans="1:8" s="11" customFormat="1" x14ac:dyDescent="0.25">
      <c r="A103" s="5" t="s">
        <v>341</v>
      </c>
      <c r="B103" s="5" t="s">
        <v>342</v>
      </c>
      <c r="C103" s="6" t="s">
        <v>343</v>
      </c>
      <c r="D103" s="5" t="s">
        <v>344</v>
      </c>
      <c r="E103" s="7">
        <v>103</v>
      </c>
      <c r="F103" s="8" t="s">
        <v>45</v>
      </c>
      <c r="G103" s="9">
        <v>48</v>
      </c>
      <c r="H103" s="10">
        <f t="shared" si="1"/>
        <v>2.1458333333333335</v>
      </c>
    </row>
    <row r="104" spans="1:8" s="11" customFormat="1" x14ac:dyDescent="0.25">
      <c r="A104" s="5" t="s">
        <v>345</v>
      </c>
      <c r="B104" s="5" t="s">
        <v>346</v>
      </c>
      <c r="C104" s="6" t="s">
        <v>347</v>
      </c>
      <c r="D104" s="5" t="s">
        <v>348</v>
      </c>
      <c r="E104" s="7">
        <v>17</v>
      </c>
      <c r="F104" s="8" t="s">
        <v>45</v>
      </c>
      <c r="G104" s="9">
        <v>48</v>
      </c>
      <c r="H104" s="10">
        <f t="shared" si="1"/>
        <v>0.35416666666666669</v>
      </c>
    </row>
    <row r="105" spans="1:8" s="11" customFormat="1" x14ac:dyDescent="0.25">
      <c r="A105" s="5" t="s">
        <v>349</v>
      </c>
      <c r="B105" s="5" t="s">
        <v>350</v>
      </c>
      <c r="C105" s="6" t="s">
        <v>351</v>
      </c>
      <c r="D105" s="5" t="s">
        <v>348</v>
      </c>
      <c r="E105" s="7">
        <v>44</v>
      </c>
      <c r="F105" s="8" t="s">
        <v>45</v>
      </c>
      <c r="G105" s="9">
        <v>48</v>
      </c>
      <c r="H105" s="10">
        <f t="shared" si="1"/>
        <v>0.91666666666666663</v>
      </c>
    </row>
    <row r="106" spans="1:8" s="11" customFormat="1" x14ac:dyDescent="0.25">
      <c r="A106" s="5" t="s">
        <v>352</v>
      </c>
      <c r="B106" s="5" t="s">
        <v>353</v>
      </c>
      <c r="C106" s="6" t="s">
        <v>354</v>
      </c>
      <c r="D106" s="5" t="s">
        <v>348</v>
      </c>
      <c r="E106" s="7">
        <v>15</v>
      </c>
      <c r="F106" s="8" t="s">
        <v>45</v>
      </c>
      <c r="G106" s="9">
        <v>48</v>
      </c>
      <c r="H106" s="10">
        <f t="shared" si="1"/>
        <v>0.3125</v>
      </c>
    </row>
    <row r="107" spans="1:8" s="11" customFormat="1" x14ac:dyDescent="0.25">
      <c r="A107" s="5" t="s">
        <v>355</v>
      </c>
      <c r="B107" s="5" t="s">
        <v>356</v>
      </c>
      <c r="C107" s="6" t="s">
        <v>357</v>
      </c>
      <c r="D107" s="5" t="s">
        <v>107</v>
      </c>
      <c r="E107" s="7">
        <v>15</v>
      </c>
      <c r="F107" s="8" t="s">
        <v>100</v>
      </c>
      <c r="G107" s="9">
        <v>12</v>
      </c>
      <c r="H107" s="10">
        <f t="shared" si="1"/>
        <v>1.25</v>
      </c>
    </row>
    <row r="108" spans="1:8" s="11" customFormat="1" x14ac:dyDescent="0.25">
      <c r="A108" s="4" t="s">
        <v>358</v>
      </c>
      <c r="B108" s="13" t="s">
        <v>359</v>
      </c>
      <c r="C108" s="11" t="s">
        <v>360</v>
      </c>
      <c r="D108" s="4" t="s">
        <v>361</v>
      </c>
      <c r="E108" s="7">
        <v>0</v>
      </c>
      <c r="F108" s="14" t="s">
        <v>45</v>
      </c>
      <c r="G108" s="12">
        <v>24</v>
      </c>
      <c r="H108" s="10">
        <f t="shared" si="1"/>
        <v>0</v>
      </c>
    </row>
    <row r="109" spans="1:8" s="11" customFormat="1" x14ac:dyDescent="0.25">
      <c r="A109" s="4" t="s">
        <v>362</v>
      </c>
      <c r="B109" s="13" t="s">
        <v>363</v>
      </c>
      <c r="C109" s="11" t="s">
        <v>364</v>
      </c>
      <c r="D109" s="4" t="s">
        <v>361</v>
      </c>
      <c r="E109" s="7">
        <v>24</v>
      </c>
      <c r="F109" s="14" t="s">
        <v>45</v>
      </c>
      <c r="G109" s="12">
        <v>24</v>
      </c>
      <c r="H109" s="10">
        <f t="shared" si="1"/>
        <v>1</v>
      </c>
    </row>
    <row r="110" spans="1:8" s="11" customFormat="1" x14ac:dyDescent="0.25">
      <c r="A110" s="4" t="s">
        <v>365</v>
      </c>
      <c r="B110" s="13" t="s">
        <v>366</v>
      </c>
      <c r="C110" s="11" t="s">
        <v>367</v>
      </c>
      <c r="D110" s="4" t="s">
        <v>123</v>
      </c>
      <c r="E110" s="7">
        <v>0</v>
      </c>
      <c r="F110" s="14" t="s">
        <v>45</v>
      </c>
      <c r="G110" s="12">
        <v>24</v>
      </c>
      <c r="H110" s="10">
        <f t="shared" si="1"/>
        <v>0</v>
      </c>
    </row>
    <row r="111" spans="1:8" s="11" customFormat="1" x14ac:dyDescent="0.25">
      <c r="A111" s="4" t="s">
        <v>368</v>
      </c>
      <c r="B111" s="4"/>
      <c r="C111" s="11" t="s">
        <v>369</v>
      </c>
      <c r="D111" s="4" t="s">
        <v>370</v>
      </c>
      <c r="E111" s="7">
        <v>1</v>
      </c>
      <c r="F111" s="8" t="s">
        <v>12</v>
      </c>
      <c r="G111" s="12">
        <v>12</v>
      </c>
      <c r="H111" s="10">
        <f t="shared" si="1"/>
        <v>8.3333333333333329E-2</v>
      </c>
    </row>
    <row r="112" spans="1:8" s="11" customFormat="1" x14ac:dyDescent="0.25">
      <c r="A112" s="5" t="s">
        <v>371</v>
      </c>
      <c r="B112" s="5" t="s">
        <v>372</v>
      </c>
      <c r="C112" s="6" t="s">
        <v>373</v>
      </c>
      <c r="D112" s="5" t="s">
        <v>114</v>
      </c>
      <c r="E112" s="7">
        <v>0</v>
      </c>
      <c r="F112" s="8" t="s">
        <v>45</v>
      </c>
      <c r="G112" s="9">
        <v>12</v>
      </c>
      <c r="H112" s="10">
        <f t="shared" si="1"/>
        <v>0</v>
      </c>
    </row>
    <row r="113" spans="1:8" s="11" customFormat="1" x14ac:dyDescent="0.25">
      <c r="A113" s="5" t="s">
        <v>374</v>
      </c>
      <c r="B113" s="5" t="s">
        <v>375</v>
      </c>
      <c r="C113" s="6" t="s">
        <v>376</v>
      </c>
      <c r="D113" s="5" t="s">
        <v>377</v>
      </c>
      <c r="E113" s="7">
        <v>22</v>
      </c>
      <c r="F113" s="8" t="s">
        <v>45</v>
      </c>
      <c r="G113" s="9">
        <v>6</v>
      </c>
      <c r="H113" s="10">
        <f t="shared" si="1"/>
        <v>3.6666666666666665</v>
      </c>
    </row>
    <row r="114" spans="1:8" s="11" customFormat="1" x14ac:dyDescent="0.25">
      <c r="A114" s="5" t="s">
        <v>378</v>
      </c>
      <c r="B114" s="5" t="s">
        <v>379</v>
      </c>
      <c r="C114" s="6" t="s">
        <v>380</v>
      </c>
      <c r="D114" s="5" t="s">
        <v>118</v>
      </c>
      <c r="E114" s="7">
        <v>1</v>
      </c>
      <c r="F114" s="8" t="s">
        <v>119</v>
      </c>
      <c r="G114" s="9">
        <v>4</v>
      </c>
      <c r="H114" s="10">
        <f t="shared" si="1"/>
        <v>0.25</v>
      </c>
    </row>
    <row r="115" spans="1:8" s="11" customFormat="1" x14ac:dyDescent="0.25">
      <c r="A115" s="5" t="s">
        <v>381</v>
      </c>
      <c r="B115" s="5" t="s">
        <v>382</v>
      </c>
      <c r="C115" s="6" t="s">
        <v>383</v>
      </c>
      <c r="D115" s="5" t="s">
        <v>384</v>
      </c>
      <c r="E115" s="7">
        <v>0</v>
      </c>
      <c r="F115" s="8" t="s">
        <v>45</v>
      </c>
      <c r="G115" s="9">
        <v>12</v>
      </c>
      <c r="H115" s="10">
        <f t="shared" si="1"/>
        <v>0</v>
      </c>
    </row>
    <row r="116" spans="1:8" s="11" customFormat="1" x14ac:dyDescent="0.25">
      <c r="A116" s="5" t="s">
        <v>385</v>
      </c>
      <c r="B116" s="5" t="s">
        <v>386</v>
      </c>
      <c r="C116" s="6" t="s">
        <v>387</v>
      </c>
      <c r="D116" s="5" t="s">
        <v>55</v>
      </c>
      <c r="E116" s="7">
        <v>139</v>
      </c>
      <c r="F116" s="8" t="s">
        <v>45</v>
      </c>
      <c r="G116" s="9">
        <v>12</v>
      </c>
      <c r="H116" s="10">
        <f t="shared" si="1"/>
        <v>11.583333333333334</v>
      </c>
    </row>
    <row r="117" spans="1:8" s="11" customFormat="1" x14ac:dyDescent="0.25">
      <c r="A117" s="5" t="s">
        <v>388</v>
      </c>
      <c r="B117" s="5" t="s">
        <v>389</v>
      </c>
      <c r="C117" s="6" t="s">
        <v>390</v>
      </c>
      <c r="D117" s="5" t="s">
        <v>391</v>
      </c>
      <c r="E117" s="7">
        <v>0</v>
      </c>
      <c r="F117" s="8" t="s">
        <v>45</v>
      </c>
      <c r="G117" s="9">
        <v>48</v>
      </c>
      <c r="H117" s="10">
        <f t="shared" si="1"/>
        <v>0</v>
      </c>
    </row>
    <row r="118" spans="1:8" s="11" customFormat="1" x14ac:dyDescent="0.25">
      <c r="A118" s="5" t="s">
        <v>392</v>
      </c>
      <c r="B118" s="5" t="s">
        <v>393</v>
      </c>
      <c r="C118" s="6" t="s">
        <v>394</v>
      </c>
      <c r="D118" s="5" t="s">
        <v>114</v>
      </c>
      <c r="E118" s="7">
        <v>44</v>
      </c>
      <c r="F118" s="8" t="s">
        <v>45</v>
      </c>
      <c r="G118" s="9">
        <v>12</v>
      </c>
      <c r="H118" s="10">
        <f t="shared" si="1"/>
        <v>3.6666666666666665</v>
      </c>
    </row>
    <row r="119" spans="1:8" s="11" customFormat="1" x14ac:dyDescent="0.25">
      <c r="A119" s="5" t="s">
        <v>395</v>
      </c>
      <c r="B119" s="5" t="s">
        <v>396</v>
      </c>
      <c r="C119" s="6" t="s">
        <v>397</v>
      </c>
      <c r="D119" s="5" t="s">
        <v>377</v>
      </c>
      <c r="E119" s="7">
        <v>49</v>
      </c>
      <c r="F119" s="8" t="s">
        <v>45</v>
      </c>
      <c r="G119" s="9">
        <v>6</v>
      </c>
      <c r="H119" s="10">
        <f t="shared" si="1"/>
        <v>8.1666666666666661</v>
      </c>
    </row>
    <row r="120" spans="1:8" s="11" customFormat="1" x14ac:dyDescent="0.25">
      <c r="A120" s="5" t="s">
        <v>398</v>
      </c>
      <c r="B120" s="5" t="s">
        <v>399</v>
      </c>
      <c r="C120" s="6" t="s">
        <v>400</v>
      </c>
      <c r="D120" s="5" t="s">
        <v>401</v>
      </c>
      <c r="E120" s="7">
        <v>0</v>
      </c>
      <c r="F120" s="8" t="s">
        <v>119</v>
      </c>
      <c r="G120" s="9">
        <v>1</v>
      </c>
      <c r="H120" s="10">
        <f t="shared" si="1"/>
        <v>0</v>
      </c>
    </row>
    <row r="121" spans="1:8" s="11" customFormat="1" x14ac:dyDescent="0.25">
      <c r="A121" s="5" t="s">
        <v>402</v>
      </c>
      <c r="B121" s="5" t="s">
        <v>403</v>
      </c>
      <c r="C121" s="6" t="s">
        <v>404</v>
      </c>
      <c r="D121" s="5" t="s">
        <v>118</v>
      </c>
      <c r="E121" s="7">
        <v>30</v>
      </c>
      <c r="F121" s="8" t="s">
        <v>119</v>
      </c>
      <c r="G121" s="9">
        <v>4</v>
      </c>
      <c r="H121" s="10">
        <f t="shared" si="1"/>
        <v>7.5</v>
      </c>
    </row>
    <row r="122" spans="1:8" s="11" customFormat="1" x14ac:dyDescent="0.25">
      <c r="A122" s="5" t="s">
        <v>405</v>
      </c>
      <c r="B122" s="5" t="s">
        <v>406</v>
      </c>
      <c r="C122" s="6" t="s">
        <v>407</v>
      </c>
      <c r="D122" s="5" t="s">
        <v>384</v>
      </c>
      <c r="E122" s="7">
        <v>0</v>
      </c>
      <c r="F122" s="8" t="s">
        <v>45</v>
      </c>
      <c r="G122" s="9">
        <v>12</v>
      </c>
      <c r="H122" s="10">
        <f t="shared" si="1"/>
        <v>0</v>
      </c>
    </row>
    <row r="123" spans="1:8" s="11" customFormat="1" x14ac:dyDescent="0.25">
      <c r="A123" s="5" t="s">
        <v>408</v>
      </c>
      <c r="B123" s="5" t="s">
        <v>409</v>
      </c>
      <c r="C123" s="6" t="s">
        <v>410</v>
      </c>
      <c r="D123" s="5" t="s">
        <v>55</v>
      </c>
      <c r="E123" s="7">
        <v>40</v>
      </c>
      <c r="F123" s="8" t="s">
        <v>45</v>
      </c>
      <c r="G123" s="9">
        <v>12</v>
      </c>
      <c r="H123" s="10">
        <f t="shared" si="1"/>
        <v>3.3333333333333335</v>
      </c>
    </row>
    <row r="124" spans="1:8" s="11" customFormat="1" x14ac:dyDescent="0.25">
      <c r="A124" s="5" t="s">
        <v>411</v>
      </c>
      <c r="B124" s="5" t="s">
        <v>412</v>
      </c>
      <c r="C124" s="6" t="s">
        <v>413</v>
      </c>
      <c r="D124" s="5" t="s">
        <v>384</v>
      </c>
      <c r="E124" s="7">
        <v>8</v>
      </c>
      <c r="F124" s="8" t="s">
        <v>45</v>
      </c>
      <c r="G124" s="9">
        <v>12</v>
      </c>
      <c r="H124" s="10">
        <f t="shared" si="1"/>
        <v>0.66666666666666663</v>
      </c>
    </row>
    <row r="125" spans="1:8" s="11" customFormat="1" x14ac:dyDescent="0.25">
      <c r="A125" s="5" t="s">
        <v>414</v>
      </c>
      <c r="B125" s="5" t="s">
        <v>415</v>
      </c>
      <c r="C125" s="6" t="s">
        <v>416</v>
      </c>
      <c r="D125" s="5" t="s">
        <v>114</v>
      </c>
      <c r="E125" s="7">
        <v>10</v>
      </c>
      <c r="F125" s="8" t="s">
        <v>45</v>
      </c>
      <c r="G125" s="9">
        <v>12</v>
      </c>
      <c r="H125" s="10">
        <f t="shared" si="1"/>
        <v>0.83333333333333337</v>
      </c>
    </row>
    <row r="126" spans="1:8" s="11" customFormat="1" x14ac:dyDescent="0.25">
      <c r="A126" s="5" t="s">
        <v>417</v>
      </c>
      <c r="B126" s="5" t="s">
        <v>418</v>
      </c>
      <c r="C126" s="6" t="s">
        <v>419</v>
      </c>
      <c r="D126" s="5" t="s">
        <v>377</v>
      </c>
      <c r="E126" s="7">
        <v>31</v>
      </c>
      <c r="F126" s="8" t="s">
        <v>45</v>
      </c>
      <c r="G126" s="9">
        <v>6</v>
      </c>
      <c r="H126" s="10">
        <f t="shared" si="1"/>
        <v>5.166666666666667</v>
      </c>
    </row>
    <row r="127" spans="1:8" s="11" customFormat="1" x14ac:dyDescent="0.25">
      <c r="A127" s="5" t="s">
        <v>420</v>
      </c>
      <c r="B127" s="5" t="s">
        <v>421</v>
      </c>
      <c r="C127" s="6" t="s">
        <v>422</v>
      </c>
      <c r="D127" s="5" t="s">
        <v>118</v>
      </c>
      <c r="E127" s="7">
        <v>3</v>
      </c>
      <c r="F127" s="8" t="s">
        <v>119</v>
      </c>
      <c r="G127" s="9">
        <v>4</v>
      </c>
      <c r="H127" s="10">
        <f t="shared" si="1"/>
        <v>0.75</v>
      </c>
    </row>
    <row r="128" spans="1:8" s="11" customFormat="1" x14ac:dyDescent="0.25">
      <c r="A128" s="5" t="s">
        <v>423</v>
      </c>
      <c r="B128" s="5" t="s">
        <v>424</v>
      </c>
      <c r="C128" s="6" t="s">
        <v>425</v>
      </c>
      <c r="D128" s="5" t="s">
        <v>55</v>
      </c>
      <c r="E128" s="7">
        <v>0</v>
      </c>
      <c r="F128" s="8" t="s">
        <v>45</v>
      </c>
      <c r="G128" s="9">
        <v>12</v>
      </c>
      <c r="H128" s="10">
        <f t="shared" si="1"/>
        <v>0</v>
      </c>
    </row>
    <row r="129" spans="1:8" s="11" customFormat="1" x14ac:dyDescent="0.25">
      <c r="A129" s="5" t="s">
        <v>426</v>
      </c>
      <c r="B129" s="5" t="s">
        <v>427</v>
      </c>
      <c r="C129" s="6" t="s">
        <v>428</v>
      </c>
      <c r="D129" s="5" t="s">
        <v>114</v>
      </c>
      <c r="E129" s="7">
        <v>0</v>
      </c>
      <c r="F129" s="8" t="s">
        <v>45</v>
      </c>
      <c r="G129" s="9">
        <v>12</v>
      </c>
      <c r="H129" s="10">
        <f t="shared" si="1"/>
        <v>0</v>
      </c>
    </row>
    <row r="130" spans="1:8" s="11" customFormat="1" x14ac:dyDescent="0.25">
      <c r="A130" s="5" t="s">
        <v>429</v>
      </c>
      <c r="B130" s="5" t="s">
        <v>430</v>
      </c>
      <c r="C130" s="6" t="s">
        <v>431</v>
      </c>
      <c r="D130" s="5" t="s">
        <v>377</v>
      </c>
      <c r="E130" s="7">
        <v>2</v>
      </c>
      <c r="F130" s="8" t="s">
        <v>45</v>
      </c>
      <c r="G130" s="9">
        <v>6</v>
      </c>
      <c r="H130" s="10">
        <f t="shared" ref="H130:H193" si="2">E130/G130</f>
        <v>0.33333333333333331</v>
      </c>
    </row>
    <row r="131" spans="1:8" s="11" customFormat="1" x14ac:dyDescent="0.25">
      <c r="A131" s="5" t="s">
        <v>432</v>
      </c>
      <c r="B131" s="5" t="s">
        <v>433</v>
      </c>
      <c r="C131" s="6" t="s">
        <v>434</v>
      </c>
      <c r="D131" s="5" t="s">
        <v>401</v>
      </c>
      <c r="E131" s="7">
        <v>0</v>
      </c>
      <c r="F131" s="8" t="s">
        <v>119</v>
      </c>
      <c r="G131" s="9">
        <v>1</v>
      </c>
      <c r="H131" s="10">
        <f t="shared" si="2"/>
        <v>0</v>
      </c>
    </row>
    <row r="132" spans="1:8" s="11" customFormat="1" x14ac:dyDescent="0.25">
      <c r="A132" s="5" t="s">
        <v>435</v>
      </c>
      <c r="B132" s="5" t="s">
        <v>436</v>
      </c>
      <c r="C132" s="6" t="s">
        <v>437</v>
      </c>
      <c r="D132" s="5" t="s">
        <v>118</v>
      </c>
      <c r="E132" s="7">
        <v>22</v>
      </c>
      <c r="F132" s="8" t="s">
        <v>119</v>
      </c>
      <c r="G132" s="9">
        <v>4</v>
      </c>
      <c r="H132" s="10">
        <f t="shared" si="2"/>
        <v>5.5</v>
      </c>
    </row>
    <row r="133" spans="1:8" s="11" customFormat="1" x14ac:dyDescent="0.25">
      <c r="A133" s="5" t="s">
        <v>438</v>
      </c>
      <c r="B133" s="5" t="s">
        <v>439</v>
      </c>
      <c r="C133" s="6" t="s">
        <v>440</v>
      </c>
      <c r="D133" s="5" t="s">
        <v>384</v>
      </c>
      <c r="E133" s="7">
        <v>0</v>
      </c>
      <c r="F133" s="8" t="s">
        <v>45</v>
      </c>
      <c r="G133" s="9">
        <v>12</v>
      </c>
      <c r="H133" s="10">
        <f t="shared" si="2"/>
        <v>0</v>
      </c>
    </row>
    <row r="134" spans="1:8" s="11" customFormat="1" x14ac:dyDescent="0.25">
      <c r="A134" s="5" t="s">
        <v>441</v>
      </c>
      <c r="B134" s="5" t="s">
        <v>442</v>
      </c>
      <c r="C134" s="6" t="s">
        <v>443</v>
      </c>
      <c r="D134" s="5" t="s">
        <v>55</v>
      </c>
      <c r="E134" s="7">
        <v>484</v>
      </c>
      <c r="F134" s="8" t="s">
        <v>45</v>
      </c>
      <c r="G134" s="9">
        <v>12</v>
      </c>
      <c r="H134" s="10">
        <f t="shared" si="2"/>
        <v>40.333333333333336</v>
      </c>
    </row>
    <row r="135" spans="1:8" s="11" customFormat="1" x14ac:dyDescent="0.25">
      <c r="A135" s="5" t="s">
        <v>444</v>
      </c>
      <c r="B135" s="5" t="s">
        <v>445</v>
      </c>
      <c r="C135" s="6" t="s">
        <v>446</v>
      </c>
      <c r="D135" s="5" t="s">
        <v>447</v>
      </c>
      <c r="E135" s="7">
        <v>0</v>
      </c>
      <c r="F135" s="8" t="s">
        <v>45</v>
      </c>
      <c r="G135" s="9">
        <v>24</v>
      </c>
      <c r="H135" s="10">
        <f t="shared" si="2"/>
        <v>0</v>
      </c>
    </row>
    <row r="136" spans="1:8" s="11" customFormat="1" x14ac:dyDescent="0.25">
      <c r="A136" s="5" t="s">
        <v>448</v>
      </c>
      <c r="B136" s="5" t="s">
        <v>449</v>
      </c>
      <c r="C136" s="6" t="s">
        <v>450</v>
      </c>
      <c r="D136" s="5" t="s">
        <v>451</v>
      </c>
      <c r="E136" s="7">
        <v>1</v>
      </c>
      <c r="F136" s="8" t="s">
        <v>12</v>
      </c>
      <c r="G136" s="9">
        <v>12</v>
      </c>
      <c r="H136" s="10">
        <f t="shared" si="2"/>
        <v>8.3333333333333329E-2</v>
      </c>
    </row>
    <row r="137" spans="1:8" s="11" customFormat="1" x14ac:dyDescent="0.25">
      <c r="A137" s="5" t="s">
        <v>452</v>
      </c>
      <c r="B137" s="5" t="s">
        <v>453</v>
      </c>
      <c r="C137" s="6" t="s">
        <v>454</v>
      </c>
      <c r="D137" s="5" t="s">
        <v>118</v>
      </c>
      <c r="E137" s="7">
        <v>8</v>
      </c>
      <c r="F137" s="8" t="s">
        <v>119</v>
      </c>
      <c r="G137" s="9">
        <v>4</v>
      </c>
      <c r="H137" s="10">
        <f t="shared" si="2"/>
        <v>2</v>
      </c>
    </row>
    <row r="138" spans="1:8" s="11" customFormat="1" x14ac:dyDescent="0.25">
      <c r="A138" s="5" t="s">
        <v>455</v>
      </c>
      <c r="B138" s="5" t="s">
        <v>456</v>
      </c>
      <c r="C138" s="6" t="s">
        <v>457</v>
      </c>
      <c r="D138" s="5" t="s">
        <v>458</v>
      </c>
      <c r="E138" s="7">
        <v>0</v>
      </c>
      <c r="F138" s="8" t="s">
        <v>12</v>
      </c>
      <c r="G138" s="9">
        <v>12</v>
      </c>
      <c r="H138" s="10">
        <f t="shared" si="2"/>
        <v>0</v>
      </c>
    </row>
    <row r="139" spans="1:8" s="11" customFormat="1" x14ac:dyDescent="0.25">
      <c r="A139" s="5" t="s">
        <v>459</v>
      </c>
      <c r="B139" s="5" t="s">
        <v>460</v>
      </c>
      <c r="C139" s="6" t="s">
        <v>461</v>
      </c>
      <c r="D139" s="5" t="s">
        <v>462</v>
      </c>
      <c r="E139" s="7">
        <v>0</v>
      </c>
      <c r="F139" s="8" t="s">
        <v>45</v>
      </c>
      <c r="G139" s="9">
        <v>216</v>
      </c>
      <c r="H139" s="10">
        <f t="shared" si="2"/>
        <v>0</v>
      </c>
    </row>
    <row r="140" spans="1:8" s="11" customFormat="1" x14ac:dyDescent="0.25">
      <c r="A140" s="5" t="s">
        <v>463</v>
      </c>
      <c r="B140" s="5" t="s">
        <v>464</v>
      </c>
      <c r="C140" s="6" t="s">
        <v>465</v>
      </c>
      <c r="D140" s="5" t="s">
        <v>466</v>
      </c>
      <c r="E140" s="7">
        <v>9</v>
      </c>
      <c r="F140" s="8" t="s">
        <v>45</v>
      </c>
      <c r="G140" s="9">
        <v>12</v>
      </c>
      <c r="H140" s="10">
        <f t="shared" si="2"/>
        <v>0.75</v>
      </c>
    </row>
    <row r="141" spans="1:8" s="11" customFormat="1" x14ac:dyDescent="0.25">
      <c r="A141" s="5" t="s">
        <v>467</v>
      </c>
      <c r="B141" s="5" t="s">
        <v>468</v>
      </c>
      <c r="C141" s="6" t="s">
        <v>469</v>
      </c>
      <c r="D141" s="5" t="s">
        <v>470</v>
      </c>
      <c r="E141" s="7">
        <v>13</v>
      </c>
      <c r="F141" s="8" t="s">
        <v>12</v>
      </c>
      <c r="G141" s="9">
        <v>12</v>
      </c>
      <c r="H141" s="10">
        <f t="shared" si="2"/>
        <v>1.0833333333333333</v>
      </c>
    </row>
    <row r="142" spans="1:8" s="11" customFormat="1" x14ac:dyDescent="0.25">
      <c r="A142" s="5" t="s">
        <v>471</v>
      </c>
      <c r="B142" s="5" t="s">
        <v>472</v>
      </c>
      <c r="C142" s="6" t="s">
        <v>473</v>
      </c>
      <c r="D142" s="5" t="s">
        <v>123</v>
      </c>
      <c r="E142" s="7">
        <v>30</v>
      </c>
      <c r="F142" s="8" t="s">
        <v>45</v>
      </c>
      <c r="G142" s="9">
        <v>24</v>
      </c>
      <c r="H142" s="10">
        <f t="shared" si="2"/>
        <v>1.25</v>
      </c>
    </row>
    <row r="143" spans="1:8" s="11" customFormat="1" x14ac:dyDescent="0.25">
      <c r="A143" s="5" t="s">
        <v>474</v>
      </c>
      <c r="B143" s="5" t="s">
        <v>475</v>
      </c>
      <c r="C143" s="6" t="s">
        <v>476</v>
      </c>
      <c r="D143" s="5" t="s">
        <v>451</v>
      </c>
      <c r="E143" s="7">
        <v>0</v>
      </c>
      <c r="F143" s="8" t="s">
        <v>12</v>
      </c>
      <c r="G143" s="9">
        <v>12</v>
      </c>
      <c r="H143" s="10">
        <f t="shared" si="2"/>
        <v>0</v>
      </c>
    </row>
    <row r="144" spans="1:8" s="11" customFormat="1" x14ac:dyDescent="0.25">
      <c r="A144" s="5" t="s">
        <v>477</v>
      </c>
      <c r="B144" s="5" t="s">
        <v>478</v>
      </c>
      <c r="C144" s="6" t="s">
        <v>479</v>
      </c>
      <c r="D144" s="5" t="s">
        <v>480</v>
      </c>
      <c r="E144" s="7">
        <v>0</v>
      </c>
      <c r="F144" s="8" t="s">
        <v>45</v>
      </c>
      <c r="G144" s="9">
        <v>432</v>
      </c>
      <c r="H144" s="10">
        <f t="shared" si="2"/>
        <v>0</v>
      </c>
    </row>
    <row r="145" spans="1:8" s="11" customFormat="1" x14ac:dyDescent="0.25">
      <c r="A145" s="5" t="s">
        <v>481</v>
      </c>
      <c r="B145" s="5" t="s">
        <v>482</v>
      </c>
      <c r="C145" s="6" t="s">
        <v>483</v>
      </c>
      <c r="D145" s="5" t="s">
        <v>466</v>
      </c>
      <c r="E145" s="7">
        <v>9</v>
      </c>
      <c r="F145" s="8" t="s">
        <v>45</v>
      </c>
      <c r="G145" s="9">
        <v>12</v>
      </c>
      <c r="H145" s="10">
        <f t="shared" si="2"/>
        <v>0.75</v>
      </c>
    </row>
    <row r="146" spans="1:8" s="11" customFormat="1" x14ac:dyDescent="0.25">
      <c r="A146" s="5" t="s">
        <v>484</v>
      </c>
      <c r="B146" s="5" t="s">
        <v>485</v>
      </c>
      <c r="C146" s="6" t="s">
        <v>486</v>
      </c>
      <c r="D146" s="5" t="s">
        <v>470</v>
      </c>
      <c r="E146" s="7">
        <v>0</v>
      </c>
      <c r="F146" s="8" t="s">
        <v>12</v>
      </c>
      <c r="G146" s="9">
        <v>12</v>
      </c>
      <c r="H146" s="10">
        <f t="shared" si="2"/>
        <v>0</v>
      </c>
    </row>
    <row r="147" spans="1:8" s="11" customFormat="1" x14ac:dyDescent="0.25">
      <c r="A147" s="5" t="s">
        <v>487</v>
      </c>
      <c r="B147" s="5" t="s">
        <v>488</v>
      </c>
      <c r="C147" s="6" t="s">
        <v>489</v>
      </c>
      <c r="D147" s="5" t="s">
        <v>490</v>
      </c>
      <c r="E147" s="7">
        <v>0</v>
      </c>
      <c r="F147" s="8" t="s">
        <v>100</v>
      </c>
      <c r="G147" s="9">
        <v>24</v>
      </c>
      <c r="H147" s="10">
        <f t="shared" si="2"/>
        <v>0</v>
      </c>
    </row>
    <row r="148" spans="1:8" s="11" customFormat="1" x14ac:dyDescent="0.25">
      <c r="A148" s="5" t="s">
        <v>491</v>
      </c>
      <c r="B148" s="5" t="s">
        <v>492</v>
      </c>
      <c r="C148" s="6" t="s">
        <v>493</v>
      </c>
      <c r="D148" s="5" t="s">
        <v>114</v>
      </c>
      <c r="E148" s="7">
        <v>3</v>
      </c>
      <c r="F148" s="8" t="s">
        <v>12</v>
      </c>
      <c r="G148" s="9">
        <v>12</v>
      </c>
      <c r="H148" s="10">
        <f t="shared" si="2"/>
        <v>0.25</v>
      </c>
    </row>
    <row r="149" spans="1:8" s="11" customFormat="1" x14ac:dyDescent="0.25">
      <c r="A149" s="5" t="s">
        <v>494</v>
      </c>
      <c r="B149" s="5" t="s">
        <v>495</v>
      </c>
      <c r="C149" s="6" t="s">
        <v>496</v>
      </c>
      <c r="D149" s="5" t="s">
        <v>118</v>
      </c>
      <c r="E149" s="7">
        <v>7</v>
      </c>
      <c r="F149" s="8" t="s">
        <v>119</v>
      </c>
      <c r="G149" s="9">
        <v>4</v>
      </c>
      <c r="H149" s="10">
        <f t="shared" si="2"/>
        <v>1.75</v>
      </c>
    </row>
    <row r="150" spans="1:8" s="11" customFormat="1" x14ac:dyDescent="0.25">
      <c r="A150" s="5" t="s">
        <v>497</v>
      </c>
      <c r="B150" s="5" t="s">
        <v>498</v>
      </c>
      <c r="C150" s="6" t="s">
        <v>499</v>
      </c>
      <c r="D150" s="5" t="s">
        <v>114</v>
      </c>
      <c r="E150" s="7">
        <v>1</v>
      </c>
      <c r="F150" s="8" t="s">
        <v>12</v>
      </c>
      <c r="G150" s="9">
        <v>12</v>
      </c>
      <c r="H150" s="10">
        <f t="shared" si="2"/>
        <v>8.3333333333333329E-2</v>
      </c>
    </row>
    <row r="151" spans="1:8" s="11" customFormat="1" x14ac:dyDescent="0.25">
      <c r="A151" s="5" t="s">
        <v>500</v>
      </c>
      <c r="B151" s="5" t="s">
        <v>501</v>
      </c>
      <c r="C151" s="6" t="s">
        <v>502</v>
      </c>
      <c r="D151" s="5" t="s">
        <v>118</v>
      </c>
      <c r="E151" s="7">
        <v>2</v>
      </c>
      <c r="F151" s="8" t="s">
        <v>119</v>
      </c>
      <c r="G151" s="9">
        <v>4</v>
      </c>
      <c r="H151" s="10">
        <f t="shared" si="2"/>
        <v>0.5</v>
      </c>
    </row>
    <row r="152" spans="1:8" s="11" customFormat="1" x14ac:dyDescent="0.25">
      <c r="A152" s="5" t="s">
        <v>503</v>
      </c>
      <c r="B152" s="5" t="s">
        <v>504</v>
      </c>
      <c r="C152" s="6" t="s">
        <v>505</v>
      </c>
      <c r="D152" s="5" t="s">
        <v>506</v>
      </c>
      <c r="E152" s="7">
        <v>0</v>
      </c>
      <c r="F152" s="8" t="s">
        <v>45</v>
      </c>
      <c r="G152" s="9">
        <v>1</v>
      </c>
      <c r="H152" s="10">
        <f t="shared" si="2"/>
        <v>0</v>
      </c>
    </row>
    <row r="153" spans="1:8" s="11" customFormat="1" x14ac:dyDescent="0.25">
      <c r="A153" s="5" t="s">
        <v>507</v>
      </c>
      <c r="B153" s="5" t="s">
        <v>508</v>
      </c>
      <c r="C153" s="6" t="s">
        <v>509</v>
      </c>
      <c r="D153" s="5" t="s">
        <v>510</v>
      </c>
      <c r="E153" s="7">
        <v>0</v>
      </c>
      <c r="F153" s="8" t="s">
        <v>119</v>
      </c>
      <c r="G153" s="9">
        <v>4</v>
      </c>
      <c r="H153" s="10">
        <f t="shared" si="2"/>
        <v>0</v>
      </c>
    </row>
    <row r="154" spans="1:8" s="11" customFormat="1" x14ac:dyDescent="0.25">
      <c r="A154" s="5" t="s">
        <v>511</v>
      </c>
      <c r="B154" s="5" t="s">
        <v>512</v>
      </c>
      <c r="C154" s="6" t="s">
        <v>513</v>
      </c>
      <c r="D154" s="5" t="s">
        <v>514</v>
      </c>
      <c r="E154" s="7">
        <v>0</v>
      </c>
      <c r="F154" s="8" t="s">
        <v>45</v>
      </c>
      <c r="G154" s="9">
        <v>24</v>
      </c>
      <c r="H154" s="10">
        <f t="shared" si="2"/>
        <v>0</v>
      </c>
    </row>
    <row r="155" spans="1:8" s="11" customFormat="1" x14ac:dyDescent="0.25">
      <c r="A155" s="5" t="s">
        <v>515</v>
      </c>
      <c r="B155" s="5" t="s">
        <v>516</v>
      </c>
      <c r="C155" s="6" t="s">
        <v>517</v>
      </c>
      <c r="D155" s="5" t="s">
        <v>518</v>
      </c>
      <c r="E155" s="7">
        <v>0</v>
      </c>
      <c r="F155" s="8" t="s">
        <v>45</v>
      </c>
      <c r="G155" s="9">
        <v>12</v>
      </c>
      <c r="H155" s="10">
        <f t="shared" si="2"/>
        <v>0</v>
      </c>
    </row>
    <row r="156" spans="1:8" s="11" customFormat="1" x14ac:dyDescent="0.25">
      <c r="A156" s="5" t="s">
        <v>519</v>
      </c>
      <c r="B156" s="5" t="s">
        <v>520</v>
      </c>
      <c r="C156" s="6" t="s">
        <v>521</v>
      </c>
      <c r="D156" s="5" t="s">
        <v>118</v>
      </c>
      <c r="E156" s="7">
        <v>0</v>
      </c>
      <c r="F156" s="8" t="s">
        <v>119</v>
      </c>
      <c r="G156" s="9">
        <v>4</v>
      </c>
      <c r="H156" s="10">
        <f t="shared" si="2"/>
        <v>0</v>
      </c>
    </row>
    <row r="157" spans="1:8" s="11" customFormat="1" x14ac:dyDescent="0.25">
      <c r="A157" s="5" t="s">
        <v>522</v>
      </c>
      <c r="B157" s="5" t="s">
        <v>523</v>
      </c>
      <c r="C157" s="6" t="s">
        <v>524</v>
      </c>
      <c r="D157" s="5" t="s">
        <v>123</v>
      </c>
      <c r="E157" s="7">
        <v>0</v>
      </c>
      <c r="F157" s="8" t="s">
        <v>45</v>
      </c>
      <c r="G157" s="9">
        <v>24</v>
      </c>
      <c r="H157" s="10">
        <f t="shared" si="2"/>
        <v>0</v>
      </c>
    </row>
    <row r="158" spans="1:8" s="11" customFormat="1" x14ac:dyDescent="0.25">
      <c r="A158" s="5" t="s">
        <v>525</v>
      </c>
      <c r="B158" s="5" t="s">
        <v>526</v>
      </c>
      <c r="C158" s="6" t="s">
        <v>527</v>
      </c>
      <c r="D158" s="5" t="s">
        <v>451</v>
      </c>
      <c r="E158" s="7">
        <v>0</v>
      </c>
      <c r="F158" s="8" t="s">
        <v>12</v>
      </c>
      <c r="G158" s="9">
        <v>12</v>
      </c>
      <c r="H158" s="10">
        <f t="shared" si="2"/>
        <v>0</v>
      </c>
    </row>
    <row r="159" spans="1:8" s="11" customFormat="1" x14ac:dyDescent="0.25">
      <c r="A159" s="5" t="s">
        <v>528</v>
      </c>
      <c r="B159" s="5" t="s">
        <v>529</v>
      </c>
      <c r="C159" s="6" t="s">
        <v>530</v>
      </c>
      <c r="D159" s="5" t="s">
        <v>451</v>
      </c>
      <c r="E159" s="7">
        <v>36</v>
      </c>
      <c r="F159" s="8" t="s">
        <v>12</v>
      </c>
      <c r="G159" s="9">
        <v>12</v>
      </c>
      <c r="H159" s="10">
        <f t="shared" si="2"/>
        <v>3</v>
      </c>
    </row>
    <row r="160" spans="1:8" s="11" customFormat="1" x14ac:dyDescent="0.25">
      <c r="A160" s="5" t="s">
        <v>531</v>
      </c>
      <c r="B160" s="5" t="s">
        <v>532</v>
      </c>
      <c r="C160" s="6" t="s">
        <v>533</v>
      </c>
      <c r="D160" s="5" t="s">
        <v>118</v>
      </c>
      <c r="E160" s="7">
        <v>3</v>
      </c>
      <c r="F160" s="8" t="s">
        <v>119</v>
      </c>
      <c r="G160" s="9">
        <v>4</v>
      </c>
      <c r="H160" s="10">
        <f t="shared" si="2"/>
        <v>0.75</v>
      </c>
    </row>
    <row r="161" spans="1:8" s="11" customFormat="1" x14ac:dyDescent="0.25">
      <c r="A161" s="5" t="s">
        <v>534</v>
      </c>
      <c r="B161" s="5" t="s">
        <v>535</v>
      </c>
      <c r="C161" s="6" t="s">
        <v>536</v>
      </c>
      <c r="D161" s="5" t="s">
        <v>123</v>
      </c>
      <c r="E161" s="7">
        <v>93</v>
      </c>
      <c r="F161" s="8" t="s">
        <v>45</v>
      </c>
      <c r="G161" s="9">
        <v>24</v>
      </c>
      <c r="H161" s="10">
        <f t="shared" si="2"/>
        <v>3.875</v>
      </c>
    </row>
    <row r="162" spans="1:8" s="11" customFormat="1" x14ac:dyDescent="0.25">
      <c r="A162" s="5" t="s">
        <v>537</v>
      </c>
      <c r="B162" s="5" t="s">
        <v>538</v>
      </c>
      <c r="C162" s="6" t="s">
        <v>539</v>
      </c>
      <c r="D162" s="5" t="s">
        <v>451</v>
      </c>
      <c r="E162" s="7">
        <v>33</v>
      </c>
      <c r="F162" s="8" t="s">
        <v>12</v>
      </c>
      <c r="G162" s="9">
        <v>12</v>
      </c>
      <c r="H162" s="10">
        <f t="shared" si="2"/>
        <v>2.75</v>
      </c>
    </row>
    <row r="163" spans="1:8" s="11" customFormat="1" x14ac:dyDescent="0.25">
      <c r="A163" s="5" t="s">
        <v>540</v>
      </c>
      <c r="B163" s="5" t="s">
        <v>541</v>
      </c>
      <c r="C163" s="6" t="s">
        <v>542</v>
      </c>
      <c r="D163" s="5" t="s">
        <v>543</v>
      </c>
      <c r="E163" s="7">
        <v>0</v>
      </c>
      <c r="F163" s="8" t="s">
        <v>45</v>
      </c>
      <c r="G163" s="9">
        <v>6</v>
      </c>
      <c r="H163" s="10">
        <f t="shared" si="2"/>
        <v>0</v>
      </c>
    </row>
    <row r="164" spans="1:8" s="11" customFormat="1" x14ac:dyDescent="0.25">
      <c r="A164" s="5" t="s">
        <v>544</v>
      </c>
      <c r="B164" s="5" t="s">
        <v>545</v>
      </c>
      <c r="C164" s="6" t="s">
        <v>546</v>
      </c>
      <c r="D164" s="5" t="s">
        <v>118</v>
      </c>
      <c r="E164" s="7">
        <v>0</v>
      </c>
      <c r="F164" s="8" t="s">
        <v>119</v>
      </c>
      <c r="G164" s="9">
        <v>4</v>
      </c>
      <c r="H164" s="10">
        <f t="shared" si="2"/>
        <v>0</v>
      </c>
    </row>
    <row r="165" spans="1:8" s="11" customFormat="1" x14ac:dyDescent="0.25">
      <c r="A165" s="5" t="s">
        <v>547</v>
      </c>
      <c r="B165" s="5" t="s">
        <v>548</v>
      </c>
      <c r="C165" s="6" t="s">
        <v>549</v>
      </c>
      <c r="D165" s="5" t="s">
        <v>123</v>
      </c>
      <c r="E165" s="7">
        <v>0</v>
      </c>
      <c r="F165" s="8" t="s">
        <v>45</v>
      </c>
      <c r="G165" s="9">
        <v>24</v>
      </c>
      <c r="H165" s="10">
        <f t="shared" si="2"/>
        <v>0</v>
      </c>
    </row>
    <row r="166" spans="1:8" s="11" customFormat="1" x14ac:dyDescent="0.25">
      <c r="A166" s="5" t="s">
        <v>550</v>
      </c>
      <c r="B166" s="5" t="s">
        <v>551</v>
      </c>
      <c r="C166" s="6" t="s">
        <v>552</v>
      </c>
      <c r="D166" s="5" t="s">
        <v>451</v>
      </c>
      <c r="E166" s="7">
        <v>9</v>
      </c>
      <c r="F166" s="8" t="s">
        <v>12</v>
      </c>
      <c r="G166" s="9">
        <v>12</v>
      </c>
      <c r="H166" s="10">
        <f t="shared" si="2"/>
        <v>0.75</v>
      </c>
    </row>
    <row r="167" spans="1:8" s="11" customFormat="1" x14ac:dyDescent="0.25">
      <c r="A167" s="5" t="s">
        <v>553</v>
      </c>
      <c r="B167" s="5" t="s">
        <v>554</v>
      </c>
      <c r="C167" s="6" t="s">
        <v>555</v>
      </c>
      <c r="D167" s="5" t="s">
        <v>556</v>
      </c>
      <c r="E167" s="7">
        <v>0</v>
      </c>
      <c r="F167" s="8" t="s">
        <v>45</v>
      </c>
      <c r="G167" s="9">
        <v>24</v>
      </c>
      <c r="H167" s="10">
        <f t="shared" si="2"/>
        <v>0</v>
      </c>
    </row>
    <row r="168" spans="1:8" s="11" customFormat="1" x14ac:dyDescent="0.25">
      <c r="A168" s="5" t="s">
        <v>557</v>
      </c>
      <c r="B168" s="5" t="s">
        <v>558</v>
      </c>
      <c r="C168" s="6" t="s">
        <v>559</v>
      </c>
      <c r="D168" s="5" t="s">
        <v>560</v>
      </c>
      <c r="E168" s="7">
        <v>0</v>
      </c>
      <c r="F168" s="8" t="s">
        <v>45</v>
      </c>
      <c r="G168" s="9">
        <v>24</v>
      </c>
      <c r="H168" s="10">
        <f t="shared" si="2"/>
        <v>0</v>
      </c>
    </row>
    <row r="169" spans="1:8" s="11" customFormat="1" x14ac:dyDescent="0.25">
      <c r="A169" s="5" t="s">
        <v>561</v>
      </c>
      <c r="B169" s="5" t="s">
        <v>562</v>
      </c>
      <c r="C169" s="6" t="s">
        <v>563</v>
      </c>
      <c r="D169" s="5" t="s">
        <v>518</v>
      </c>
      <c r="E169" s="7">
        <v>0</v>
      </c>
      <c r="F169" s="8" t="s">
        <v>45</v>
      </c>
      <c r="G169" s="9">
        <v>12</v>
      </c>
      <c r="H169" s="10">
        <f t="shared" si="2"/>
        <v>0</v>
      </c>
    </row>
    <row r="170" spans="1:8" s="11" customFormat="1" x14ac:dyDescent="0.25">
      <c r="A170" s="5" t="s">
        <v>564</v>
      </c>
      <c r="B170" s="5" t="s">
        <v>565</v>
      </c>
      <c r="C170" s="6" t="s">
        <v>566</v>
      </c>
      <c r="D170" s="5" t="s">
        <v>567</v>
      </c>
      <c r="E170" s="7">
        <v>0</v>
      </c>
      <c r="F170" s="8" t="s">
        <v>45</v>
      </c>
      <c r="G170" s="9">
        <v>48</v>
      </c>
      <c r="H170" s="10">
        <f t="shared" si="2"/>
        <v>0</v>
      </c>
    </row>
    <row r="171" spans="1:8" s="11" customFormat="1" x14ac:dyDescent="0.25">
      <c r="A171" s="5" t="s">
        <v>568</v>
      </c>
      <c r="B171" s="5" t="s">
        <v>569</v>
      </c>
      <c r="C171" s="6" t="s">
        <v>570</v>
      </c>
      <c r="D171" s="5" t="s">
        <v>118</v>
      </c>
      <c r="E171" s="7">
        <v>26</v>
      </c>
      <c r="F171" s="8" t="s">
        <v>119</v>
      </c>
      <c r="G171" s="9">
        <v>4</v>
      </c>
      <c r="H171" s="10">
        <f t="shared" si="2"/>
        <v>6.5</v>
      </c>
    </row>
    <row r="172" spans="1:8" s="11" customFormat="1" x14ac:dyDescent="0.25">
      <c r="A172" s="5" t="s">
        <v>571</v>
      </c>
      <c r="B172" s="5" t="s">
        <v>572</v>
      </c>
      <c r="C172" s="6" t="s">
        <v>573</v>
      </c>
      <c r="D172" s="5" t="s">
        <v>447</v>
      </c>
      <c r="E172" s="7">
        <v>476</v>
      </c>
      <c r="F172" s="8" t="s">
        <v>45</v>
      </c>
      <c r="G172" s="9">
        <v>24</v>
      </c>
      <c r="H172" s="10">
        <f t="shared" si="2"/>
        <v>19.833333333333332</v>
      </c>
    </row>
    <row r="173" spans="1:8" s="11" customFormat="1" x14ac:dyDescent="0.25">
      <c r="A173" s="5" t="s">
        <v>574</v>
      </c>
      <c r="B173" s="5" t="s">
        <v>575</v>
      </c>
      <c r="C173" s="6" t="s">
        <v>576</v>
      </c>
      <c r="D173" s="5" t="s">
        <v>577</v>
      </c>
      <c r="E173" s="7">
        <v>376</v>
      </c>
      <c r="F173" s="8" t="s">
        <v>45</v>
      </c>
      <c r="G173" s="9">
        <v>24</v>
      </c>
      <c r="H173" s="10">
        <f t="shared" si="2"/>
        <v>15.666666666666666</v>
      </c>
    </row>
    <row r="174" spans="1:8" s="11" customFormat="1" x14ac:dyDescent="0.25">
      <c r="A174" s="5" t="s">
        <v>578</v>
      </c>
      <c r="B174" s="5" t="s">
        <v>579</v>
      </c>
      <c r="C174" s="6" t="s">
        <v>580</v>
      </c>
      <c r="D174" s="5" t="s">
        <v>581</v>
      </c>
      <c r="E174" s="7">
        <v>192</v>
      </c>
      <c r="F174" s="8" t="s">
        <v>12</v>
      </c>
      <c r="G174" s="9">
        <v>12</v>
      </c>
      <c r="H174" s="10">
        <f t="shared" si="2"/>
        <v>16</v>
      </c>
    </row>
    <row r="175" spans="1:8" s="11" customFormat="1" x14ac:dyDescent="0.25">
      <c r="A175" s="5" t="s">
        <v>582</v>
      </c>
      <c r="C175" s="15" t="s">
        <v>583</v>
      </c>
      <c r="D175" s="5" t="s">
        <v>584</v>
      </c>
      <c r="E175" s="7">
        <v>0</v>
      </c>
      <c r="F175" s="8" t="s">
        <v>45</v>
      </c>
      <c r="G175" s="9">
        <v>12</v>
      </c>
      <c r="H175" s="10">
        <f t="shared" si="2"/>
        <v>0</v>
      </c>
    </row>
    <row r="176" spans="1:8" s="11" customFormat="1" x14ac:dyDescent="0.25">
      <c r="A176" s="4" t="s">
        <v>585</v>
      </c>
      <c r="B176" s="4" t="s">
        <v>586</v>
      </c>
      <c r="C176" s="16" t="s">
        <v>587</v>
      </c>
      <c r="D176" s="4" t="s">
        <v>584</v>
      </c>
      <c r="E176" s="7">
        <v>0</v>
      </c>
      <c r="F176" s="14" t="s">
        <v>45</v>
      </c>
      <c r="G176" s="12">
        <v>12</v>
      </c>
      <c r="H176" s="10">
        <f t="shared" si="2"/>
        <v>0</v>
      </c>
    </row>
    <row r="177" spans="1:8" s="11" customFormat="1" x14ac:dyDescent="0.25">
      <c r="A177" s="5" t="s">
        <v>588</v>
      </c>
      <c r="B177" s="5" t="s">
        <v>589</v>
      </c>
      <c r="C177" s="6" t="s">
        <v>590</v>
      </c>
      <c r="D177" s="5" t="s">
        <v>447</v>
      </c>
      <c r="E177" s="7">
        <v>85</v>
      </c>
      <c r="F177" s="8" t="s">
        <v>45</v>
      </c>
      <c r="G177" s="9">
        <v>24</v>
      </c>
      <c r="H177" s="10">
        <f t="shared" si="2"/>
        <v>3.5416666666666665</v>
      </c>
    </row>
    <row r="178" spans="1:8" s="11" customFormat="1" x14ac:dyDescent="0.25">
      <c r="A178" s="5" t="s">
        <v>591</v>
      </c>
      <c r="B178" s="5" t="s">
        <v>592</v>
      </c>
      <c r="C178" s="6" t="s">
        <v>593</v>
      </c>
      <c r="D178" s="5" t="s">
        <v>581</v>
      </c>
      <c r="E178" s="7">
        <v>61</v>
      </c>
      <c r="F178" s="8" t="s">
        <v>12</v>
      </c>
      <c r="G178" s="9">
        <v>12</v>
      </c>
      <c r="H178" s="10">
        <f t="shared" si="2"/>
        <v>5.083333333333333</v>
      </c>
    </row>
    <row r="179" spans="1:8" s="11" customFormat="1" x14ac:dyDescent="0.25">
      <c r="A179" s="5" t="s">
        <v>594</v>
      </c>
      <c r="B179" s="5" t="s">
        <v>595</v>
      </c>
      <c r="C179" s="6" t="s">
        <v>596</v>
      </c>
      <c r="D179" s="5" t="s">
        <v>447</v>
      </c>
      <c r="E179" s="7">
        <v>221</v>
      </c>
      <c r="F179" s="8" t="s">
        <v>45</v>
      </c>
      <c r="G179" s="9">
        <v>24</v>
      </c>
      <c r="H179" s="10">
        <f t="shared" si="2"/>
        <v>9.2083333333333339</v>
      </c>
    </row>
    <row r="180" spans="1:8" s="11" customFormat="1" x14ac:dyDescent="0.25">
      <c r="A180" s="5" t="s">
        <v>597</v>
      </c>
      <c r="B180" s="5" t="s">
        <v>598</v>
      </c>
      <c r="C180" s="6" t="s">
        <v>599</v>
      </c>
      <c r="D180" s="5" t="s">
        <v>581</v>
      </c>
      <c r="E180" s="7">
        <v>110</v>
      </c>
      <c r="F180" s="8" t="s">
        <v>12</v>
      </c>
      <c r="G180" s="9">
        <v>12</v>
      </c>
      <c r="H180" s="10">
        <f t="shared" si="2"/>
        <v>9.1666666666666661</v>
      </c>
    </row>
    <row r="181" spans="1:8" s="11" customFormat="1" x14ac:dyDescent="0.25">
      <c r="A181" s="5" t="s">
        <v>600</v>
      </c>
      <c r="B181" s="5" t="s">
        <v>601</v>
      </c>
      <c r="C181" s="6" t="s">
        <v>602</v>
      </c>
      <c r="D181" s="5" t="s">
        <v>447</v>
      </c>
      <c r="E181" s="7">
        <v>398</v>
      </c>
      <c r="F181" s="8" t="s">
        <v>45</v>
      </c>
      <c r="G181" s="9">
        <v>24</v>
      </c>
      <c r="H181" s="10">
        <f t="shared" si="2"/>
        <v>16.583333333333332</v>
      </c>
    </row>
    <row r="182" spans="1:8" s="11" customFormat="1" x14ac:dyDescent="0.25">
      <c r="A182" s="5" t="s">
        <v>603</v>
      </c>
      <c r="B182" s="5" t="s">
        <v>604</v>
      </c>
      <c r="C182" s="6" t="s">
        <v>605</v>
      </c>
      <c r="D182" s="5" t="s">
        <v>581</v>
      </c>
      <c r="E182" s="7">
        <v>117</v>
      </c>
      <c r="F182" s="8" t="s">
        <v>12</v>
      </c>
      <c r="G182" s="9">
        <v>12</v>
      </c>
      <c r="H182" s="10">
        <f t="shared" si="2"/>
        <v>9.75</v>
      </c>
    </row>
    <row r="183" spans="1:8" s="11" customFormat="1" x14ac:dyDescent="0.25">
      <c r="A183" s="5" t="s">
        <v>606</v>
      </c>
      <c r="B183" s="5" t="s">
        <v>607</v>
      </c>
      <c r="C183" s="6" t="s">
        <v>608</v>
      </c>
      <c r="D183" s="5" t="s">
        <v>118</v>
      </c>
      <c r="E183" s="7">
        <v>28</v>
      </c>
      <c r="F183" s="8" t="s">
        <v>119</v>
      </c>
      <c r="G183" s="9">
        <v>4</v>
      </c>
      <c r="H183" s="10">
        <f t="shared" si="2"/>
        <v>7</v>
      </c>
    </row>
    <row r="184" spans="1:8" s="11" customFormat="1" x14ac:dyDescent="0.25">
      <c r="A184" s="5" t="s">
        <v>609</v>
      </c>
      <c r="B184" s="5" t="s">
        <v>610</v>
      </c>
      <c r="C184" s="6" t="s">
        <v>611</v>
      </c>
      <c r="D184" s="5" t="s">
        <v>447</v>
      </c>
      <c r="E184" s="7">
        <v>372</v>
      </c>
      <c r="F184" s="8" t="s">
        <v>45</v>
      </c>
      <c r="G184" s="9">
        <v>24</v>
      </c>
      <c r="H184" s="10">
        <f t="shared" si="2"/>
        <v>15.5</v>
      </c>
    </row>
    <row r="185" spans="1:8" s="11" customFormat="1" x14ac:dyDescent="0.25">
      <c r="A185" s="5" t="s">
        <v>612</v>
      </c>
      <c r="B185" s="5" t="s">
        <v>613</v>
      </c>
      <c r="C185" s="6" t="s">
        <v>614</v>
      </c>
      <c r="D185" s="5" t="s">
        <v>577</v>
      </c>
      <c r="E185" s="7">
        <v>58</v>
      </c>
      <c r="F185" s="8" t="s">
        <v>45</v>
      </c>
      <c r="G185" s="9">
        <v>24</v>
      </c>
      <c r="H185" s="10">
        <f t="shared" si="2"/>
        <v>2.4166666666666665</v>
      </c>
    </row>
    <row r="186" spans="1:8" s="11" customFormat="1" x14ac:dyDescent="0.25">
      <c r="A186" s="5" t="s">
        <v>615</v>
      </c>
      <c r="B186" s="5" t="s">
        <v>616</v>
      </c>
      <c r="C186" s="6" t="s">
        <v>617</v>
      </c>
      <c r="D186" s="5" t="s">
        <v>581</v>
      </c>
      <c r="E186" s="7">
        <v>136</v>
      </c>
      <c r="F186" s="8" t="s">
        <v>12</v>
      </c>
      <c r="G186" s="9">
        <v>12</v>
      </c>
      <c r="H186" s="10">
        <f t="shared" si="2"/>
        <v>11.333333333333334</v>
      </c>
    </row>
    <row r="187" spans="1:8" s="11" customFormat="1" x14ac:dyDescent="0.25">
      <c r="A187" s="5" t="s">
        <v>618</v>
      </c>
      <c r="C187" s="15" t="s">
        <v>619</v>
      </c>
      <c r="D187" s="5" t="s">
        <v>584</v>
      </c>
      <c r="E187" s="7">
        <v>0</v>
      </c>
      <c r="F187" s="8" t="s">
        <v>45</v>
      </c>
      <c r="G187" s="9">
        <v>12</v>
      </c>
      <c r="H187" s="10">
        <f t="shared" si="2"/>
        <v>0</v>
      </c>
    </row>
    <row r="188" spans="1:8" s="11" customFormat="1" x14ac:dyDescent="0.25">
      <c r="A188" s="5" t="s">
        <v>620</v>
      </c>
      <c r="B188" s="5" t="s">
        <v>621</v>
      </c>
      <c r="C188" s="6" t="s">
        <v>622</v>
      </c>
      <c r="D188" s="5" t="s">
        <v>118</v>
      </c>
      <c r="E188" s="7">
        <v>21</v>
      </c>
      <c r="F188" s="8" t="s">
        <v>119</v>
      </c>
      <c r="G188" s="9">
        <v>4</v>
      </c>
      <c r="H188" s="10">
        <f t="shared" si="2"/>
        <v>5.25</v>
      </c>
    </row>
    <row r="189" spans="1:8" s="11" customFormat="1" x14ac:dyDescent="0.25">
      <c r="A189" s="5" t="s">
        <v>623</v>
      </c>
      <c r="B189" s="5" t="s">
        <v>624</v>
      </c>
      <c r="C189" s="6" t="s">
        <v>625</v>
      </c>
      <c r="D189" s="5" t="s">
        <v>447</v>
      </c>
      <c r="E189" s="7">
        <v>377</v>
      </c>
      <c r="F189" s="8" t="s">
        <v>45</v>
      </c>
      <c r="G189" s="9">
        <v>24</v>
      </c>
      <c r="H189" s="10">
        <f t="shared" si="2"/>
        <v>15.708333333333334</v>
      </c>
    </row>
    <row r="190" spans="1:8" s="11" customFormat="1" x14ac:dyDescent="0.25">
      <c r="A190" s="5" t="s">
        <v>626</v>
      </c>
      <c r="B190" s="5" t="s">
        <v>627</v>
      </c>
      <c r="C190" s="6" t="s">
        <v>628</v>
      </c>
      <c r="D190" s="5" t="s">
        <v>577</v>
      </c>
      <c r="E190" s="7">
        <v>725</v>
      </c>
      <c r="F190" s="8" t="s">
        <v>45</v>
      </c>
      <c r="G190" s="9">
        <v>24</v>
      </c>
      <c r="H190" s="10">
        <f t="shared" si="2"/>
        <v>30.208333333333332</v>
      </c>
    </row>
    <row r="191" spans="1:8" s="11" customFormat="1" x14ac:dyDescent="0.25">
      <c r="A191" s="5" t="s">
        <v>629</v>
      </c>
      <c r="B191" s="5" t="s">
        <v>630</v>
      </c>
      <c r="C191" s="6" t="s">
        <v>631</v>
      </c>
      <c r="D191" s="5" t="s">
        <v>581</v>
      </c>
      <c r="E191" s="7">
        <v>211</v>
      </c>
      <c r="F191" s="8" t="s">
        <v>12</v>
      </c>
      <c r="G191" s="9">
        <v>12</v>
      </c>
      <c r="H191" s="10">
        <f t="shared" si="2"/>
        <v>17.583333333333332</v>
      </c>
    </row>
    <row r="192" spans="1:8" s="11" customFormat="1" x14ac:dyDescent="0.25">
      <c r="A192" s="5" t="s">
        <v>632</v>
      </c>
      <c r="C192" s="15" t="s">
        <v>633</v>
      </c>
      <c r="D192" s="5" t="s">
        <v>584</v>
      </c>
      <c r="E192" s="7">
        <v>1</v>
      </c>
      <c r="F192" s="8" t="s">
        <v>45</v>
      </c>
      <c r="G192" s="9">
        <v>12</v>
      </c>
      <c r="H192" s="10">
        <f t="shared" si="2"/>
        <v>8.3333333333333329E-2</v>
      </c>
    </row>
    <row r="193" spans="1:8" s="11" customFormat="1" x14ac:dyDescent="0.25">
      <c r="A193" s="5" t="s">
        <v>634</v>
      </c>
      <c r="B193" s="5" t="s">
        <v>635</v>
      </c>
      <c r="C193" s="6" t="s">
        <v>636</v>
      </c>
      <c r="D193" s="5" t="s">
        <v>118</v>
      </c>
      <c r="E193" s="7">
        <v>14</v>
      </c>
      <c r="F193" s="8" t="s">
        <v>119</v>
      </c>
      <c r="G193" s="9">
        <v>4</v>
      </c>
      <c r="H193" s="10">
        <f t="shared" si="2"/>
        <v>3.5</v>
      </c>
    </row>
    <row r="194" spans="1:8" s="11" customFormat="1" x14ac:dyDescent="0.25">
      <c r="A194" s="5" t="s">
        <v>637</v>
      </c>
      <c r="B194" s="5" t="s">
        <v>638</v>
      </c>
      <c r="C194" s="6" t="s">
        <v>639</v>
      </c>
      <c r="D194" s="5" t="s">
        <v>447</v>
      </c>
      <c r="E194" s="7">
        <v>419</v>
      </c>
      <c r="F194" s="8" t="s">
        <v>45</v>
      </c>
      <c r="G194" s="9">
        <v>24</v>
      </c>
      <c r="H194" s="10">
        <f t="shared" ref="H194:H257" si="3">E194/G194</f>
        <v>17.458333333333332</v>
      </c>
    </row>
    <row r="195" spans="1:8" s="11" customFormat="1" x14ac:dyDescent="0.25">
      <c r="A195" s="5" t="s">
        <v>640</v>
      </c>
      <c r="B195" s="5" t="s">
        <v>641</v>
      </c>
      <c r="C195" s="6" t="s">
        <v>642</v>
      </c>
      <c r="D195" s="5" t="s">
        <v>577</v>
      </c>
      <c r="E195" s="7">
        <v>577</v>
      </c>
      <c r="F195" s="8" t="s">
        <v>45</v>
      </c>
      <c r="G195" s="9">
        <v>24</v>
      </c>
      <c r="H195" s="10">
        <f t="shared" si="3"/>
        <v>24.041666666666668</v>
      </c>
    </row>
    <row r="196" spans="1:8" s="11" customFormat="1" x14ac:dyDescent="0.25">
      <c r="A196" s="5" t="s">
        <v>643</v>
      </c>
      <c r="B196" s="5" t="s">
        <v>644</v>
      </c>
      <c r="C196" s="6" t="s">
        <v>645</v>
      </c>
      <c r="D196" s="5" t="s">
        <v>581</v>
      </c>
      <c r="E196" s="7">
        <v>85</v>
      </c>
      <c r="F196" s="8" t="s">
        <v>12</v>
      </c>
      <c r="G196" s="9">
        <v>12</v>
      </c>
      <c r="H196" s="10">
        <f t="shared" si="3"/>
        <v>7.083333333333333</v>
      </c>
    </row>
    <row r="197" spans="1:8" s="11" customFormat="1" x14ac:dyDescent="0.25">
      <c r="A197" s="5" t="s">
        <v>646</v>
      </c>
      <c r="C197" s="15" t="s">
        <v>647</v>
      </c>
      <c r="D197" s="5" t="s">
        <v>584</v>
      </c>
      <c r="E197" s="7">
        <v>0</v>
      </c>
      <c r="F197" s="8" t="s">
        <v>45</v>
      </c>
      <c r="G197" s="9">
        <v>12</v>
      </c>
      <c r="H197" s="10">
        <f t="shared" si="3"/>
        <v>0</v>
      </c>
    </row>
    <row r="198" spans="1:8" s="11" customFormat="1" x14ac:dyDescent="0.25">
      <c r="A198" s="5" t="s">
        <v>648</v>
      </c>
      <c r="B198" s="5" t="s">
        <v>649</v>
      </c>
      <c r="C198" s="6" t="s">
        <v>650</v>
      </c>
      <c r="D198" s="5" t="s">
        <v>118</v>
      </c>
      <c r="E198" s="7">
        <v>43</v>
      </c>
      <c r="F198" s="8" t="s">
        <v>119</v>
      </c>
      <c r="G198" s="9">
        <v>4</v>
      </c>
      <c r="H198" s="10">
        <f t="shared" si="3"/>
        <v>10.75</v>
      </c>
    </row>
    <row r="199" spans="1:8" s="11" customFormat="1" x14ac:dyDescent="0.25">
      <c r="A199" s="5" t="s">
        <v>651</v>
      </c>
      <c r="B199" s="5" t="s">
        <v>652</v>
      </c>
      <c r="C199" s="6" t="s">
        <v>653</v>
      </c>
      <c r="D199" s="5" t="s">
        <v>447</v>
      </c>
      <c r="E199" s="7">
        <v>233</v>
      </c>
      <c r="F199" s="8" t="s">
        <v>45</v>
      </c>
      <c r="G199" s="9">
        <v>24</v>
      </c>
      <c r="H199" s="10">
        <f t="shared" si="3"/>
        <v>9.7083333333333339</v>
      </c>
    </row>
    <row r="200" spans="1:8" s="11" customFormat="1" x14ac:dyDescent="0.25">
      <c r="A200" s="5" t="s">
        <v>654</v>
      </c>
      <c r="B200" s="5" t="s">
        <v>655</v>
      </c>
      <c r="C200" s="6" t="s">
        <v>656</v>
      </c>
      <c r="D200" s="5" t="s">
        <v>577</v>
      </c>
      <c r="E200" s="7">
        <v>51</v>
      </c>
      <c r="F200" s="8" t="s">
        <v>45</v>
      </c>
      <c r="G200" s="9">
        <v>24</v>
      </c>
      <c r="H200" s="10">
        <f t="shared" si="3"/>
        <v>2.125</v>
      </c>
    </row>
    <row r="201" spans="1:8" s="11" customFormat="1" x14ac:dyDescent="0.25">
      <c r="A201" s="5" t="s">
        <v>657</v>
      </c>
      <c r="B201" s="5" t="s">
        <v>658</v>
      </c>
      <c r="C201" s="6" t="s">
        <v>659</v>
      </c>
      <c r="D201" s="5" t="s">
        <v>581</v>
      </c>
      <c r="E201" s="7">
        <v>306</v>
      </c>
      <c r="F201" s="8" t="s">
        <v>12</v>
      </c>
      <c r="G201" s="9">
        <v>12</v>
      </c>
      <c r="H201" s="10">
        <f t="shared" si="3"/>
        <v>25.5</v>
      </c>
    </row>
    <row r="202" spans="1:8" s="11" customFormat="1" x14ac:dyDescent="0.25">
      <c r="A202" s="5" t="s">
        <v>660</v>
      </c>
      <c r="B202" s="5" t="s">
        <v>661</v>
      </c>
      <c r="C202" s="6" t="s">
        <v>662</v>
      </c>
      <c r="D202" s="5" t="s">
        <v>663</v>
      </c>
      <c r="E202" s="7">
        <v>0</v>
      </c>
      <c r="F202" s="8" t="s">
        <v>45</v>
      </c>
      <c r="G202" s="9">
        <v>12</v>
      </c>
      <c r="H202" s="10">
        <f t="shared" si="3"/>
        <v>0</v>
      </c>
    </row>
    <row r="203" spans="1:8" s="11" customFormat="1" x14ac:dyDescent="0.25">
      <c r="A203" s="5" t="s">
        <v>664</v>
      </c>
      <c r="B203" s="5" t="s">
        <v>665</v>
      </c>
      <c r="C203" s="6" t="s">
        <v>666</v>
      </c>
      <c r="D203" s="5" t="s">
        <v>514</v>
      </c>
      <c r="E203" s="7">
        <v>0</v>
      </c>
      <c r="F203" s="8" t="s">
        <v>45</v>
      </c>
      <c r="G203" s="9">
        <v>24</v>
      </c>
      <c r="H203" s="10">
        <f t="shared" si="3"/>
        <v>0</v>
      </c>
    </row>
    <row r="204" spans="1:8" s="11" customFormat="1" x14ac:dyDescent="0.25">
      <c r="A204" s="5" t="s">
        <v>667</v>
      </c>
      <c r="B204" s="5" t="s">
        <v>668</v>
      </c>
      <c r="C204" s="6" t="s">
        <v>669</v>
      </c>
      <c r="D204" s="5" t="s">
        <v>670</v>
      </c>
      <c r="E204" s="7">
        <v>7</v>
      </c>
      <c r="F204" s="8" t="s">
        <v>12</v>
      </c>
      <c r="G204" s="9">
        <v>12</v>
      </c>
      <c r="H204" s="10">
        <f t="shared" si="3"/>
        <v>0.58333333333333337</v>
      </c>
    </row>
    <row r="205" spans="1:8" s="11" customFormat="1" x14ac:dyDescent="0.25">
      <c r="A205" s="5" t="s">
        <v>668</v>
      </c>
      <c r="B205" s="5" t="s">
        <v>667</v>
      </c>
      <c r="C205" s="6" t="s">
        <v>671</v>
      </c>
      <c r="D205" s="5" t="s">
        <v>514</v>
      </c>
      <c r="E205" s="7">
        <v>11</v>
      </c>
      <c r="F205" s="8" t="s">
        <v>45</v>
      </c>
      <c r="G205" s="9">
        <v>24</v>
      </c>
      <c r="H205" s="10">
        <f t="shared" si="3"/>
        <v>0.45833333333333331</v>
      </c>
    </row>
    <row r="206" spans="1:8" s="11" customFormat="1" x14ac:dyDescent="0.25">
      <c r="A206" s="5" t="s">
        <v>672</v>
      </c>
      <c r="B206" s="5" t="s">
        <v>673</v>
      </c>
      <c r="C206" s="6" t="s">
        <v>674</v>
      </c>
      <c r="D206" s="5" t="s">
        <v>114</v>
      </c>
      <c r="E206" s="7">
        <v>242</v>
      </c>
      <c r="F206" s="8" t="s">
        <v>12</v>
      </c>
      <c r="G206" s="9">
        <v>12</v>
      </c>
      <c r="H206" s="10">
        <f t="shared" si="3"/>
        <v>20.166666666666668</v>
      </c>
    </row>
    <row r="207" spans="1:8" s="11" customFormat="1" x14ac:dyDescent="0.25">
      <c r="A207" s="5" t="s">
        <v>675</v>
      </c>
      <c r="B207" s="5" t="s">
        <v>676</v>
      </c>
      <c r="C207" s="6" t="s">
        <v>677</v>
      </c>
      <c r="D207" s="5" t="s">
        <v>678</v>
      </c>
      <c r="E207" s="7">
        <v>8</v>
      </c>
      <c r="F207" s="8" t="s">
        <v>45</v>
      </c>
      <c r="G207" s="9">
        <v>24</v>
      </c>
      <c r="H207" s="10">
        <f t="shared" si="3"/>
        <v>0.33333333333333331</v>
      </c>
    </row>
    <row r="208" spans="1:8" s="11" customFormat="1" x14ac:dyDescent="0.25">
      <c r="A208" s="5" t="s">
        <v>679</v>
      </c>
      <c r="B208" s="5" t="s">
        <v>680</v>
      </c>
      <c r="C208" s="6" t="s">
        <v>681</v>
      </c>
      <c r="D208" s="5" t="s">
        <v>401</v>
      </c>
      <c r="E208" s="7">
        <v>2</v>
      </c>
      <c r="F208" s="8" t="s">
        <v>119</v>
      </c>
      <c r="G208" s="9">
        <v>1</v>
      </c>
      <c r="H208" s="10">
        <f t="shared" si="3"/>
        <v>2</v>
      </c>
    </row>
    <row r="209" spans="1:8" s="11" customFormat="1" x14ac:dyDescent="0.25">
      <c r="A209" s="5" t="s">
        <v>682</v>
      </c>
      <c r="B209" s="5" t="s">
        <v>683</v>
      </c>
      <c r="C209" s="6" t="s">
        <v>684</v>
      </c>
      <c r="D209" s="5" t="s">
        <v>118</v>
      </c>
      <c r="E209" s="7">
        <v>11</v>
      </c>
      <c r="F209" s="8" t="s">
        <v>119</v>
      </c>
      <c r="G209" s="9">
        <v>4</v>
      </c>
      <c r="H209" s="10">
        <f t="shared" si="3"/>
        <v>2.75</v>
      </c>
    </row>
    <row r="210" spans="1:8" s="11" customFormat="1" x14ac:dyDescent="0.25">
      <c r="A210" s="5" t="s">
        <v>685</v>
      </c>
      <c r="B210" s="5"/>
      <c r="C210" s="6" t="s">
        <v>686</v>
      </c>
      <c r="D210" s="5" t="s">
        <v>55</v>
      </c>
      <c r="E210" s="7">
        <v>1</v>
      </c>
      <c r="F210" s="8" t="s">
        <v>45</v>
      </c>
      <c r="G210" s="9">
        <v>12</v>
      </c>
      <c r="H210" s="10">
        <f t="shared" si="3"/>
        <v>8.3333333333333329E-2</v>
      </c>
    </row>
    <row r="211" spans="1:8" s="11" customFormat="1" x14ac:dyDescent="0.25">
      <c r="A211" s="5" t="s">
        <v>687</v>
      </c>
      <c r="B211" s="5" t="s">
        <v>688</v>
      </c>
      <c r="C211" s="6" t="s">
        <v>689</v>
      </c>
      <c r="D211" s="5" t="s">
        <v>55</v>
      </c>
      <c r="E211" s="7">
        <v>845</v>
      </c>
      <c r="F211" s="8" t="s">
        <v>45</v>
      </c>
      <c r="G211" s="9">
        <v>12</v>
      </c>
      <c r="H211" s="10">
        <f t="shared" si="3"/>
        <v>70.416666666666671</v>
      </c>
    </row>
    <row r="212" spans="1:8" s="11" customFormat="1" x14ac:dyDescent="0.25">
      <c r="A212" s="5" t="s">
        <v>690</v>
      </c>
      <c r="B212" s="5" t="s">
        <v>691</v>
      </c>
      <c r="C212" s="6" t="s">
        <v>692</v>
      </c>
      <c r="D212" s="5" t="s">
        <v>391</v>
      </c>
      <c r="E212" s="7">
        <v>0</v>
      </c>
      <c r="F212" s="8" t="s">
        <v>45</v>
      </c>
      <c r="G212" s="9">
        <v>48</v>
      </c>
      <c r="H212" s="10">
        <f t="shared" si="3"/>
        <v>0</v>
      </c>
    </row>
    <row r="213" spans="1:8" s="11" customFormat="1" x14ac:dyDescent="0.25">
      <c r="A213" s="5" t="s">
        <v>693</v>
      </c>
      <c r="B213" s="5" t="s">
        <v>694</v>
      </c>
      <c r="C213" s="6" t="s">
        <v>695</v>
      </c>
      <c r="D213" s="5" t="s">
        <v>114</v>
      </c>
      <c r="E213" s="7">
        <v>151</v>
      </c>
      <c r="F213" s="8" t="s">
        <v>12</v>
      </c>
      <c r="G213" s="9">
        <v>12</v>
      </c>
      <c r="H213" s="10">
        <f t="shared" si="3"/>
        <v>12.583333333333334</v>
      </c>
    </row>
    <row r="214" spans="1:8" s="11" customFormat="1" x14ac:dyDescent="0.25">
      <c r="A214" s="5" t="s">
        <v>696</v>
      </c>
      <c r="B214" s="5" t="s">
        <v>697</v>
      </c>
      <c r="C214" s="6" t="s">
        <v>698</v>
      </c>
      <c r="D214" s="5" t="s">
        <v>678</v>
      </c>
      <c r="E214" s="7">
        <v>89</v>
      </c>
      <c r="F214" s="8" t="s">
        <v>45</v>
      </c>
      <c r="G214" s="9">
        <v>24</v>
      </c>
      <c r="H214" s="10">
        <f t="shared" si="3"/>
        <v>3.7083333333333335</v>
      </c>
    </row>
    <row r="215" spans="1:8" s="11" customFormat="1" x14ac:dyDescent="0.25">
      <c r="A215" s="5" t="s">
        <v>699</v>
      </c>
      <c r="B215" s="5" t="s">
        <v>700</v>
      </c>
      <c r="C215" s="6" t="s">
        <v>701</v>
      </c>
      <c r="D215" s="5" t="s">
        <v>401</v>
      </c>
      <c r="E215" s="7">
        <v>1</v>
      </c>
      <c r="F215" s="8" t="s">
        <v>119</v>
      </c>
      <c r="G215" s="9">
        <v>1</v>
      </c>
      <c r="H215" s="10">
        <f t="shared" si="3"/>
        <v>1</v>
      </c>
    </row>
    <row r="216" spans="1:8" s="11" customFormat="1" x14ac:dyDescent="0.25">
      <c r="A216" s="5" t="s">
        <v>702</v>
      </c>
      <c r="B216" s="5" t="s">
        <v>703</v>
      </c>
      <c r="C216" s="6" t="s">
        <v>704</v>
      </c>
      <c r="D216" s="5" t="s">
        <v>118</v>
      </c>
      <c r="E216" s="7">
        <v>9</v>
      </c>
      <c r="F216" s="8" t="s">
        <v>119</v>
      </c>
      <c r="G216" s="9">
        <v>4</v>
      </c>
      <c r="H216" s="10">
        <f t="shared" si="3"/>
        <v>2.25</v>
      </c>
    </row>
    <row r="217" spans="1:8" s="11" customFormat="1" x14ac:dyDescent="0.25">
      <c r="A217" s="5" t="s">
        <v>705</v>
      </c>
      <c r="B217" s="5" t="s">
        <v>706</v>
      </c>
      <c r="C217" s="6" t="s">
        <v>707</v>
      </c>
      <c r="D217" s="5" t="s">
        <v>55</v>
      </c>
      <c r="E217" s="7">
        <v>4</v>
      </c>
      <c r="F217" s="8" t="s">
        <v>45</v>
      </c>
      <c r="G217" s="9">
        <v>12</v>
      </c>
      <c r="H217" s="10">
        <f t="shared" si="3"/>
        <v>0.33333333333333331</v>
      </c>
    </row>
    <row r="218" spans="1:8" s="11" customFormat="1" x14ac:dyDescent="0.25">
      <c r="A218" s="5" t="s">
        <v>708</v>
      </c>
      <c r="B218" s="5" t="s">
        <v>709</v>
      </c>
      <c r="C218" s="6" t="s">
        <v>710</v>
      </c>
      <c r="D218" s="5" t="s">
        <v>55</v>
      </c>
      <c r="E218" s="7">
        <v>746</v>
      </c>
      <c r="F218" s="8" t="s">
        <v>45</v>
      </c>
      <c r="G218" s="9">
        <v>12</v>
      </c>
      <c r="H218" s="10">
        <f t="shared" si="3"/>
        <v>62.166666666666664</v>
      </c>
    </row>
    <row r="219" spans="1:8" s="11" customFormat="1" x14ac:dyDescent="0.25">
      <c r="A219" s="5" t="s">
        <v>711</v>
      </c>
      <c r="B219" s="5" t="s">
        <v>712</v>
      </c>
      <c r="C219" s="6" t="s">
        <v>713</v>
      </c>
      <c r="D219" s="5" t="s">
        <v>391</v>
      </c>
      <c r="E219" s="7">
        <v>0</v>
      </c>
      <c r="F219" s="8" t="s">
        <v>45</v>
      </c>
      <c r="G219" s="9">
        <v>48</v>
      </c>
      <c r="H219" s="10">
        <f t="shared" si="3"/>
        <v>0</v>
      </c>
    </row>
    <row r="220" spans="1:8" s="11" customFormat="1" x14ac:dyDescent="0.25">
      <c r="A220" s="5" t="s">
        <v>714</v>
      </c>
      <c r="B220" s="5" t="s">
        <v>715</v>
      </c>
      <c r="C220" s="6" t="s">
        <v>716</v>
      </c>
      <c r="D220" s="5" t="s">
        <v>114</v>
      </c>
      <c r="E220" s="7">
        <v>117</v>
      </c>
      <c r="F220" s="8" t="s">
        <v>12</v>
      </c>
      <c r="G220" s="9">
        <v>12</v>
      </c>
      <c r="H220" s="10">
        <f t="shared" si="3"/>
        <v>9.75</v>
      </c>
    </row>
    <row r="221" spans="1:8" s="11" customFormat="1" x14ac:dyDescent="0.25">
      <c r="A221" s="5" t="s">
        <v>717</v>
      </c>
      <c r="B221" s="5" t="s">
        <v>718</v>
      </c>
      <c r="C221" s="6" t="s">
        <v>719</v>
      </c>
      <c r="D221" s="5" t="s">
        <v>114</v>
      </c>
      <c r="E221" s="7">
        <v>0</v>
      </c>
      <c r="F221" s="8" t="s">
        <v>12</v>
      </c>
      <c r="G221" s="9">
        <v>12</v>
      </c>
      <c r="H221" s="10">
        <f t="shared" si="3"/>
        <v>0</v>
      </c>
    </row>
    <row r="222" spans="1:8" s="11" customFormat="1" x14ac:dyDescent="0.25">
      <c r="A222" s="5" t="s">
        <v>720</v>
      </c>
      <c r="B222" s="5" t="s">
        <v>721</v>
      </c>
      <c r="C222" s="6" t="s">
        <v>722</v>
      </c>
      <c r="D222" s="5" t="s">
        <v>678</v>
      </c>
      <c r="E222" s="7">
        <v>0</v>
      </c>
      <c r="F222" s="8" t="s">
        <v>45</v>
      </c>
      <c r="G222" s="9">
        <v>24</v>
      </c>
      <c r="H222" s="10">
        <f t="shared" si="3"/>
        <v>0</v>
      </c>
    </row>
    <row r="223" spans="1:8" s="11" customFormat="1" x14ac:dyDescent="0.25">
      <c r="A223" s="5" t="s">
        <v>723</v>
      </c>
      <c r="B223" s="5" t="s">
        <v>724</v>
      </c>
      <c r="C223" s="6" t="s">
        <v>725</v>
      </c>
      <c r="D223" s="5" t="s">
        <v>401</v>
      </c>
      <c r="E223" s="7">
        <v>1</v>
      </c>
      <c r="F223" s="8" t="s">
        <v>119</v>
      </c>
      <c r="G223" s="9">
        <v>1</v>
      </c>
      <c r="H223" s="10">
        <f t="shared" si="3"/>
        <v>1</v>
      </c>
    </row>
    <row r="224" spans="1:8" s="11" customFormat="1" x14ac:dyDescent="0.25">
      <c r="A224" s="5" t="s">
        <v>726</v>
      </c>
      <c r="B224" s="5" t="s">
        <v>727</v>
      </c>
      <c r="C224" s="6" t="s">
        <v>728</v>
      </c>
      <c r="D224" s="5" t="s">
        <v>118</v>
      </c>
      <c r="E224" s="7">
        <v>0</v>
      </c>
      <c r="F224" s="8" t="s">
        <v>119</v>
      </c>
      <c r="G224" s="9">
        <v>4</v>
      </c>
      <c r="H224" s="10">
        <f t="shared" si="3"/>
        <v>0</v>
      </c>
    </row>
    <row r="225" spans="1:8" s="11" customFormat="1" x14ac:dyDescent="0.25">
      <c r="A225" s="5" t="s">
        <v>729</v>
      </c>
      <c r="B225" s="5" t="s">
        <v>730</v>
      </c>
      <c r="C225" s="6" t="s">
        <v>731</v>
      </c>
      <c r="D225" s="5" t="s">
        <v>55</v>
      </c>
      <c r="E225" s="7">
        <v>3</v>
      </c>
      <c r="F225" s="8" t="s">
        <v>45</v>
      </c>
      <c r="G225" s="9">
        <v>12</v>
      </c>
      <c r="H225" s="10">
        <f t="shared" si="3"/>
        <v>0.25</v>
      </c>
    </row>
    <row r="226" spans="1:8" s="11" customFormat="1" x14ac:dyDescent="0.25">
      <c r="A226" s="5" t="s">
        <v>732</v>
      </c>
      <c r="B226" s="5" t="s">
        <v>733</v>
      </c>
      <c r="C226" s="6" t="s">
        <v>734</v>
      </c>
      <c r="D226" s="5" t="s">
        <v>55</v>
      </c>
      <c r="E226" s="7">
        <v>757</v>
      </c>
      <c r="F226" s="8" t="s">
        <v>45</v>
      </c>
      <c r="G226" s="9">
        <v>12</v>
      </c>
      <c r="H226" s="10">
        <f t="shared" si="3"/>
        <v>63.083333333333336</v>
      </c>
    </row>
    <row r="227" spans="1:8" s="11" customFormat="1" x14ac:dyDescent="0.25">
      <c r="A227" s="5" t="s">
        <v>735</v>
      </c>
      <c r="B227" s="5" t="s">
        <v>736</v>
      </c>
      <c r="C227" s="6" t="s">
        <v>737</v>
      </c>
      <c r="D227" s="5" t="s">
        <v>391</v>
      </c>
      <c r="E227" s="7">
        <v>0</v>
      </c>
      <c r="F227" s="8" t="s">
        <v>45</v>
      </c>
      <c r="G227" s="9">
        <v>48</v>
      </c>
      <c r="H227" s="10">
        <f t="shared" si="3"/>
        <v>0</v>
      </c>
    </row>
    <row r="228" spans="1:8" s="11" customFormat="1" x14ac:dyDescent="0.25">
      <c r="A228" s="5" t="s">
        <v>738</v>
      </c>
      <c r="B228" s="5" t="s">
        <v>739</v>
      </c>
      <c r="C228" s="6" t="s">
        <v>740</v>
      </c>
      <c r="D228" s="5" t="s">
        <v>114</v>
      </c>
      <c r="E228" s="7">
        <v>12</v>
      </c>
      <c r="F228" s="8" t="s">
        <v>45</v>
      </c>
      <c r="G228" s="9">
        <v>12</v>
      </c>
      <c r="H228" s="10">
        <f t="shared" si="3"/>
        <v>1</v>
      </c>
    </row>
    <row r="229" spans="1:8" s="11" customFormat="1" x14ac:dyDescent="0.25">
      <c r="A229" s="5" t="s">
        <v>741</v>
      </c>
      <c r="B229" s="5" t="s">
        <v>742</v>
      </c>
      <c r="C229" s="6" t="s">
        <v>743</v>
      </c>
      <c r="D229" s="5" t="s">
        <v>118</v>
      </c>
      <c r="E229" s="7">
        <v>7</v>
      </c>
      <c r="F229" s="8" t="s">
        <v>119</v>
      </c>
      <c r="G229" s="9">
        <v>4</v>
      </c>
      <c r="H229" s="10">
        <f t="shared" si="3"/>
        <v>1.75</v>
      </c>
    </row>
    <row r="230" spans="1:8" s="11" customFormat="1" x14ac:dyDescent="0.25">
      <c r="A230" s="5" t="s">
        <v>744</v>
      </c>
      <c r="B230" s="5" t="s">
        <v>745</v>
      </c>
      <c r="C230" s="6" t="s">
        <v>746</v>
      </c>
      <c r="D230" s="5" t="s">
        <v>466</v>
      </c>
      <c r="E230" s="7">
        <v>12</v>
      </c>
      <c r="F230" s="8" t="s">
        <v>45</v>
      </c>
      <c r="G230" s="9">
        <v>12</v>
      </c>
      <c r="H230" s="10">
        <f t="shared" si="3"/>
        <v>1</v>
      </c>
    </row>
    <row r="231" spans="1:8" s="11" customFormat="1" x14ac:dyDescent="0.25">
      <c r="A231" s="5" t="s">
        <v>747</v>
      </c>
      <c r="B231" s="5" t="s">
        <v>748</v>
      </c>
      <c r="C231" s="6" t="s">
        <v>749</v>
      </c>
      <c r="D231" s="5" t="s">
        <v>750</v>
      </c>
      <c r="E231" s="7">
        <v>10</v>
      </c>
      <c r="F231" s="8" t="s">
        <v>45</v>
      </c>
      <c r="G231" s="9">
        <v>6</v>
      </c>
      <c r="H231" s="10">
        <f t="shared" si="3"/>
        <v>1.6666666666666667</v>
      </c>
    </row>
    <row r="232" spans="1:8" s="11" customFormat="1" x14ac:dyDescent="0.25">
      <c r="A232" s="5" t="s">
        <v>751</v>
      </c>
      <c r="B232" s="5" t="s">
        <v>752</v>
      </c>
      <c r="C232" s="6" t="s">
        <v>753</v>
      </c>
      <c r="D232" s="5" t="s">
        <v>754</v>
      </c>
      <c r="E232" s="7">
        <v>20</v>
      </c>
      <c r="F232" s="8" t="s">
        <v>12</v>
      </c>
      <c r="G232" s="9">
        <v>12</v>
      </c>
      <c r="H232" s="10">
        <f t="shared" si="3"/>
        <v>1.6666666666666667</v>
      </c>
    </row>
    <row r="233" spans="1:8" s="11" customFormat="1" x14ac:dyDescent="0.25">
      <c r="A233" s="5" t="s">
        <v>755</v>
      </c>
      <c r="B233" s="5" t="s">
        <v>756</v>
      </c>
      <c r="C233" s="6" t="s">
        <v>757</v>
      </c>
      <c r="D233" s="5" t="s">
        <v>758</v>
      </c>
      <c r="E233" s="7">
        <v>5</v>
      </c>
      <c r="F233" s="8" t="s">
        <v>12</v>
      </c>
      <c r="G233" s="9">
        <v>6</v>
      </c>
      <c r="H233" s="10">
        <f t="shared" si="3"/>
        <v>0.83333333333333337</v>
      </c>
    </row>
    <row r="234" spans="1:8" s="11" customFormat="1" x14ac:dyDescent="0.25">
      <c r="A234" s="5" t="s">
        <v>759</v>
      </c>
      <c r="B234" s="5" t="s">
        <v>760</v>
      </c>
      <c r="C234" s="6" t="s">
        <v>761</v>
      </c>
      <c r="D234" s="5" t="s">
        <v>118</v>
      </c>
      <c r="E234" s="7">
        <v>12</v>
      </c>
      <c r="F234" s="8" t="s">
        <v>119</v>
      </c>
      <c r="G234" s="9">
        <v>4</v>
      </c>
      <c r="H234" s="10">
        <f t="shared" si="3"/>
        <v>3</v>
      </c>
    </row>
    <row r="235" spans="1:8" s="11" customFormat="1" x14ac:dyDescent="0.25">
      <c r="A235" s="5" t="s">
        <v>762</v>
      </c>
      <c r="B235" s="5" t="s">
        <v>763</v>
      </c>
      <c r="C235" s="6" t="s">
        <v>764</v>
      </c>
      <c r="D235" s="5" t="s">
        <v>466</v>
      </c>
      <c r="E235" s="7">
        <v>0</v>
      </c>
      <c r="F235" s="8" t="s">
        <v>45</v>
      </c>
      <c r="G235" s="9">
        <v>12</v>
      </c>
      <c r="H235" s="10">
        <f t="shared" si="3"/>
        <v>0</v>
      </c>
    </row>
    <row r="236" spans="1:8" s="11" customFormat="1" x14ac:dyDescent="0.25">
      <c r="A236" s="5" t="s">
        <v>765</v>
      </c>
      <c r="B236" s="5" t="s">
        <v>766</v>
      </c>
      <c r="C236" s="6" t="s">
        <v>767</v>
      </c>
      <c r="D236" s="5" t="s">
        <v>750</v>
      </c>
      <c r="E236" s="7">
        <v>13</v>
      </c>
      <c r="F236" s="8" t="s">
        <v>45</v>
      </c>
      <c r="G236" s="9">
        <v>6</v>
      </c>
      <c r="H236" s="10">
        <f t="shared" si="3"/>
        <v>2.1666666666666665</v>
      </c>
    </row>
    <row r="237" spans="1:8" s="11" customFormat="1" x14ac:dyDescent="0.25">
      <c r="A237" s="5" t="s">
        <v>768</v>
      </c>
      <c r="B237" s="5" t="s">
        <v>769</v>
      </c>
      <c r="C237" s="6" t="s">
        <v>770</v>
      </c>
      <c r="D237" s="5" t="s">
        <v>754</v>
      </c>
      <c r="E237" s="7">
        <v>9</v>
      </c>
      <c r="F237" s="8" t="s">
        <v>12</v>
      </c>
      <c r="G237" s="9">
        <v>12</v>
      </c>
      <c r="H237" s="10">
        <f t="shared" si="3"/>
        <v>0.75</v>
      </c>
    </row>
    <row r="238" spans="1:8" s="11" customFormat="1" x14ac:dyDescent="0.25">
      <c r="A238" s="5" t="s">
        <v>771</v>
      </c>
      <c r="B238" s="5" t="s">
        <v>772</v>
      </c>
      <c r="C238" s="6" t="s">
        <v>773</v>
      </c>
      <c r="D238" s="5" t="s">
        <v>758</v>
      </c>
      <c r="E238" s="7">
        <v>11</v>
      </c>
      <c r="F238" s="8" t="s">
        <v>12</v>
      </c>
      <c r="G238" s="9">
        <v>6</v>
      </c>
      <c r="H238" s="10">
        <f t="shared" si="3"/>
        <v>1.8333333333333333</v>
      </c>
    </row>
    <row r="239" spans="1:8" s="11" customFormat="1" x14ac:dyDescent="0.25">
      <c r="A239" s="5" t="s">
        <v>774</v>
      </c>
      <c r="B239" s="5" t="s">
        <v>775</v>
      </c>
      <c r="C239" s="6" t="s">
        <v>776</v>
      </c>
      <c r="D239" s="5" t="s">
        <v>118</v>
      </c>
      <c r="E239" s="7">
        <v>12</v>
      </c>
      <c r="F239" s="8" t="s">
        <v>119</v>
      </c>
      <c r="G239" s="9">
        <v>4</v>
      </c>
      <c r="H239" s="10">
        <f t="shared" si="3"/>
        <v>3</v>
      </c>
    </row>
    <row r="240" spans="1:8" s="11" customFormat="1" x14ac:dyDescent="0.25">
      <c r="A240" s="5" t="s">
        <v>777</v>
      </c>
      <c r="B240" s="5" t="s">
        <v>778</v>
      </c>
      <c r="C240" s="6" t="s">
        <v>779</v>
      </c>
      <c r="D240" s="5" t="s">
        <v>466</v>
      </c>
      <c r="E240" s="7">
        <v>6</v>
      </c>
      <c r="F240" s="8" t="s">
        <v>45</v>
      </c>
      <c r="G240" s="9">
        <v>12</v>
      </c>
      <c r="H240" s="10">
        <f t="shared" si="3"/>
        <v>0.5</v>
      </c>
    </row>
    <row r="241" spans="1:8" s="11" customFormat="1" x14ac:dyDescent="0.25">
      <c r="A241" s="5" t="s">
        <v>780</v>
      </c>
      <c r="B241" s="5" t="s">
        <v>781</v>
      </c>
      <c r="C241" s="6" t="s">
        <v>782</v>
      </c>
      <c r="D241" s="5" t="s">
        <v>750</v>
      </c>
      <c r="E241" s="7">
        <v>0</v>
      </c>
      <c r="F241" s="8" t="s">
        <v>45</v>
      </c>
      <c r="G241" s="9">
        <v>6</v>
      </c>
      <c r="H241" s="10">
        <f t="shared" si="3"/>
        <v>0</v>
      </c>
    </row>
    <row r="242" spans="1:8" s="11" customFormat="1" x14ac:dyDescent="0.25">
      <c r="A242" s="5" t="s">
        <v>783</v>
      </c>
      <c r="B242" s="5" t="s">
        <v>784</v>
      </c>
      <c r="C242" s="6" t="s">
        <v>785</v>
      </c>
      <c r="D242" s="5" t="s">
        <v>754</v>
      </c>
      <c r="E242" s="7">
        <v>11</v>
      </c>
      <c r="F242" s="8" t="s">
        <v>12</v>
      </c>
      <c r="G242" s="9">
        <v>12</v>
      </c>
      <c r="H242" s="10">
        <f t="shared" si="3"/>
        <v>0.91666666666666663</v>
      </c>
    </row>
    <row r="243" spans="1:8" s="11" customFormat="1" x14ac:dyDescent="0.25">
      <c r="A243" s="5" t="s">
        <v>786</v>
      </c>
      <c r="B243" s="5" t="s">
        <v>787</v>
      </c>
      <c r="C243" s="6" t="s">
        <v>788</v>
      </c>
      <c r="D243" s="5" t="s">
        <v>789</v>
      </c>
      <c r="E243" s="7">
        <v>17</v>
      </c>
      <c r="F243" s="8" t="s">
        <v>12</v>
      </c>
      <c r="G243" s="9">
        <v>6</v>
      </c>
      <c r="H243" s="10">
        <f t="shared" si="3"/>
        <v>2.8333333333333335</v>
      </c>
    </row>
    <row r="244" spans="1:8" s="11" customFormat="1" x14ac:dyDescent="0.25">
      <c r="A244" s="5" t="s">
        <v>790</v>
      </c>
      <c r="B244" s="5" t="s">
        <v>791</v>
      </c>
      <c r="C244" s="6" t="s">
        <v>792</v>
      </c>
      <c r="D244" s="5" t="s">
        <v>118</v>
      </c>
      <c r="E244" s="7">
        <v>8</v>
      </c>
      <c r="F244" s="8" t="s">
        <v>119</v>
      </c>
      <c r="G244" s="9">
        <v>4</v>
      </c>
      <c r="H244" s="10">
        <f t="shared" si="3"/>
        <v>2</v>
      </c>
    </row>
    <row r="245" spans="1:8" s="11" customFormat="1" x14ac:dyDescent="0.25">
      <c r="A245" s="5" t="s">
        <v>793</v>
      </c>
      <c r="B245" s="5" t="s">
        <v>794</v>
      </c>
      <c r="C245" s="6" t="s">
        <v>795</v>
      </c>
      <c r="D245" s="5" t="s">
        <v>466</v>
      </c>
      <c r="E245" s="7">
        <v>11</v>
      </c>
      <c r="F245" s="8" t="s">
        <v>45</v>
      </c>
      <c r="G245" s="9">
        <v>12</v>
      </c>
      <c r="H245" s="10">
        <f t="shared" si="3"/>
        <v>0.91666666666666663</v>
      </c>
    </row>
    <row r="246" spans="1:8" s="11" customFormat="1" x14ac:dyDescent="0.25">
      <c r="A246" s="5" t="s">
        <v>796</v>
      </c>
      <c r="B246" s="5" t="s">
        <v>797</v>
      </c>
      <c r="C246" s="6" t="s">
        <v>798</v>
      </c>
      <c r="D246" s="5" t="s">
        <v>391</v>
      </c>
      <c r="E246" s="7">
        <v>0</v>
      </c>
      <c r="F246" s="8" t="s">
        <v>45</v>
      </c>
      <c r="G246" s="9">
        <v>48</v>
      </c>
      <c r="H246" s="10">
        <f t="shared" si="3"/>
        <v>0</v>
      </c>
    </row>
    <row r="247" spans="1:8" s="11" customFormat="1" x14ac:dyDescent="0.25">
      <c r="A247" s="5" t="s">
        <v>799</v>
      </c>
      <c r="B247" s="5" t="s">
        <v>800</v>
      </c>
      <c r="C247" s="6" t="s">
        <v>801</v>
      </c>
      <c r="D247" s="5" t="s">
        <v>114</v>
      </c>
      <c r="E247" s="7">
        <v>1372</v>
      </c>
      <c r="F247" s="8" t="s">
        <v>12</v>
      </c>
      <c r="G247" s="9">
        <v>12</v>
      </c>
      <c r="H247" s="10">
        <f t="shared" si="3"/>
        <v>114.33333333333333</v>
      </c>
    </row>
    <row r="248" spans="1:8" s="11" customFormat="1" x14ac:dyDescent="0.25">
      <c r="A248" s="4" t="s">
        <v>802</v>
      </c>
      <c r="B248" s="4"/>
      <c r="C248" s="11" t="s">
        <v>803</v>
      </c>
      <c r="D248" s="4" t="s">
        <v>114</v>
      </c>
      <c r="E248" s="7">
        <v>0</v>
      </c>
      <c r="F248" s="14" t="s">
        <v>12</v>
      </c>
      <c r="G248" s="12">
        <v>12</v>
      </c>
      <c r="H248" s="10">
        <f t="shared" si="3"/>
        <v>0</v>
      </c>
    </row>
    <row r="249" spans="1:8" s="11" customFormat="1" x14ac:dyDescent="0.25">
      <c r="A249" s="5" t="s">
        <v>804</v>
      </c>
      <c r="B249" s="5" t="s">
        <v>805</v>
      </c>
      <c r="C249" s="6" t="s">
        <v>806</v>
      </c>
      <c r="D249" s="5" t="s">
        <v>377</v>
      </c>
      <c r="E249" s="7">
        <v>28</v>
      </c>
      <c r="F249" s="8" t="s">
        <v>12</v>
      </c>
      <c r="G249" s="9">
        <v>6</v>
      </c>
      <c r="H249" s="10">
        <f t="shared" si="3"/>
        <v>4.666666666666667</v>
      </c>
    </row>
    <row r="250" spans="1:8" s="11" customFormat="1" x14ac:dyDescent="0.25">
      <c r="A250" s="5" t="s">
        <v>807</v>
      </c>
      <c r="B250" s="5" t="s">
        <v>808</v>
      </c>
      <c r="C250" s="6" t="s">
        <v>809</v>
      </c>
      <c r="D250" s="5" t="s">
        <v>401</v>
      </c>
      <c r="E250" s="7">
        <v>3</v>
      </c>
      <c r="F250" s="8" t="s">
        <v>119</v>
      </c>
      <c r="G250" s="9">
        <v>1</v>
      </c>
      <c r="H250" s="10">
        <f t="shared" si="3"/>
        <v>3</v>
      </c>
    </row>
    <row r="251" spans="1:8" s="11" customFormat="1" x14ac:dyDescent="0.25">
      <c r="A251" s="5" t="s">
        <v>810</v>
      </c>
      <c r="B251" s="5" t="s">
        <v>811</v>
      </c>
      <c r="C251" s="6" t="s">
        <v>812</v>
      </c>
      <c r="D251" s="5" t="s">
        <v>118</v>
      </c>
      <c r="E251" s="7">
        <v>262</v>
      </c>
      <c r="F251" s="8" t="s">
        <v>119</v>
      </c>
      <c r="G251" s="9">
        <v>4</v>
      </c>
      <c r="H251" s="10">
        <f t="shared" si="3"/>
        <v>65.5</v>
      </c>
    </row>
    <row r="252" spans="1:8" s="11" customFormat="1" x14ac:dyDescent="0.25">
      <c r="A252" s="5" t="s">
        <v>813</v>
      </c>
      <c r="B252" s="5" t="s">
        <v>814</v>
      </c>
      <c r="C252" s="6" t="s">
        <v>815</v>
      </c>
      <c r="D252" s="5" t="s">
        <v>451</v>
      </c>
      <c r="E252" s="7">
        <v>881</v>
      </c>
      <c r="F252" s="8" t="s">
        <v>12</v>
      </c>
      <c r="G252" s="9">
        <v>12</v>
      </c>
      <c r="H252" s="10">
        <f t="shared" si="3"/>
        <v>73.416666666666671</v>
      </c>
    </row>
    <row r="253" spans="1:8" s="11" customFormat="1" x14ac:dyDescent="0.25">
      <c r="A253" s="5" t="s">
        <v>816</v>
      </c>
      <c r="B253" s="5" t="s">
        <v>817</v>
      </c>
      <c r="C253" s="6" t="s">
        <v>818</v>
      </c>
      <c r="D253" s="5" t="s">
        <v>819</v>
      </c>
      <c r="E253" s="7">
        <v>648</v>
      </c>
      <c r="F253" s="8" t="s">
        <v>12</v>
      </c>
      <c r="G253" s="9">
        <v>12</v>
      </c>
      <c r="H253" s="10">
        <f t="shared" si="3"/>
        <v>54</v>
      </c>
    </row>
    <row r="254" spans="1:8" s="11" customFormat="1" x14ac:dyDescent="0.25">
      <c r="A254" s="5" t="s">
        <v>820</v>
      </c>
      <c r="B254" s="5" t="s">
        <v>821</v>
      </c>
      <c r="C254" s="6" t="s">
        <v>822</v>
      </c>
      <c r="D254" s="5" t="s">
        <v>451</v>
      </c>
      <c r="E254" s="7">
        <v>207</v>
      </c>
      <c r="F254" s="8" t="s">
        <v>12</v>
      </c>
      <c r="G254" s="9">
        <v>12</v>
      </c>
      <c r="H254" s="10">
        <f t="shared" si="3"/>
        <v>17.25</v>
      </c>
    </row>
    <row r="255" spans="1:8" s="11" customFormat="1" x14ac:dyDescent="0.25">
      <c r="A255" s="5" t="s">
        <v>823</v>
      </c>
      <c r="C255" s="6" t="s">
        <v>824</v>
      </c>
      <c r="D255" s="5" t="s">
        <v>825</v>
      </c>
      <c r="E255" s="7">
        <v>1163</v>
      </c>
      <c r="F255" s="8" t="s">
        <v>12</v>
      </c>
      <c r="G255" s="9">
        <v>12</v>
      </c>
      <c r="H255" s="10">
        <f t="shared" si="3"/>
        <v>96.916666666666671</v>
      </c>
    </row>
    <row r="256" spans="1:8" s="11" customFormat="1" x14ac:dyDescent="0.25">
      <c r="A256" s="5" t="s">
        <v>826</v>
      </c>
      <c r="B256" s="5" t="s">
        <v>827</v>
      </c>
      <c r="C256" s="6" t="s">
        <v>828</v>
      </c>
      <c r="D256" s="5" t="s">
        <v>819</v>
      </c>
      <c r="E256" s="7">
        <v>687</v>
      </c>
      <c r="F256" s="8" t="s">
        <v>12</v>
      </c>
      <c r="G256" s="9">
        <v>12</v>
      </c>
      <c r="H256" s="10">
        <f t="shared" si="3"/>
        <v>57.25</v>
      </c>
    </row>
    <row r="257" spans="1:8" s="11" customFormat="1" x14ac:dyDescent="0.25">
      <c r="A257" s="5" t="s">
        <v>829</v>
      </c>
      <c r="B257" s="5" t="s">
        <v>830</v>
      </c>
      <c r="C257" s="6" t="s">
        <v>831</v>
      </c>
      <c r="D257" s="5" t="s">
        <v>114</v>
      </c>
      <c r="E257" s="7">
        <v>375</v>
      </c>
      <c r="F257" s="8" t="s">
        <v>12</v>
      </c>
      <c r="G257" s="9">
        <v>12</v>
      </c>
      <c r="H257" s="10">
        <f t="shared" si="3"/>
        <v>31.25</v>
      </c>
    </row>
    <row r="258" spans="1:8" s="11" customFormat="1" x14ac:dyDescent="0.25">
      <c r="A258" s="5" t="s">
        <v>832</v>
      </c>
      <c r="B258" s="5" t="s">
        <v>833</v>
      </c>
      <c r="C258" s="6" t="s">
        <v>834</v>
      </c>
      <c r="D258" s="5" t="s">
        <v>377</v>
      </c>
      <c r="E258" s="7">
        <v>259</v>
      </c>
      <c r="F258" s="8" t="s">
        <v>12</v>
      </c>
      <c r="G258" s="9">
        <v>6</v>
      </c>
      <c r="H258" s="10">
        <f t="shared" ref="H258:H288" si="4">E258/G258</f>
        <v>43.166666666666664</v>
      </c>
    </row>
    <row r="259" spans="1:8" s="11" customFormat="1" x14ac:dyDescent="0.25">
      <c r="A259" s="5" t="s">
        <v>835</v>
      </c>
      <c r="B259" s="5" t="s">
        <v>836</v>
      </c>
      <c r="C259" s="6" t="s">
        <v>837</v>
      </c>
      <c r="D259" s="5" t="s">
        <v>401</v>
      </c>
      <c r="E259" s="7">
        <v>0</v>
      </c>
      <c r="F259" s="8" t="s">
        <v>119</v>
      </c>
      <c r="G259" s="9">
        <v>1</v>
      </c>
      <c r="H259" s="10">
        <f t="shared" si="4"/>
        <v>0</v>
      </c>
    </row>
    <row r="260" spans="1:8" s="11" customFormat="1" x14ac:dyDescent="0.25">
      <c r="A260" s="5" t="s">
        <v>838</v>
      </c>
      <c r="B260" s="5" t="s">
        <v>839</v>
      </c>
      <c r="C260" s="6" t="s">
        <v>840</v>
      </c>
      <c r="D260" s="5" t="s">
        <v>118</v>
      </c>
      <c r="E260" s="7">
        <v>108</v>
      </c>
      <c r="F260" s="8" t="s">
        <v>119</v>
      </c>
      <c r="G260" s="9">
        <v>4</v>
      </c>
      <c r="H260" s="10">
        <f t="shared" si="4"/>
        <v>27</v>
      </c>
    </row>
    <row r="261" spans="1:8" s="11" customFormat="1" x14ac:dyDescent="0.25">
      <c r="A261" s="5" t="s">
        <v>841</v>
      </c>
      <c r="B261" s="5" t="s">
        <v>842</v>
      </c>
      <c r="C261" s="6" t="s">
        <v>843</v>
      </c>
      <c r="D261" s="5" t="s">
        <v>451</v>
      </c>
      <c r="E261" s="7">
        <v>532</v>
      </c>
      <c r="F261" s="8" t="s">
        <v>12</v>
      </c>
      <c r="G261" s="9">
        <v>12</v>
      </c>
      <c r="H261" s="10">
        <f t="shared" si="4"/>
        <v>44.333333333333336</v>
      </c>
    </row>
    <row r="262" spans="1:8" s="11" customFormat="1" x14ac:dyDescent="0.25">
      <c r="A262" s="4" t="s">
        <v>844</v>
      </c>
      <c r="B262" s="4"/>
      <c r="C262" s="11" t="s">
        <v>845</v>
      </c>
      <c r="D262" s="4" t="s">
        <v>846</v>
      </c>
      <c r="E262" s="7">
        <v>6</v>
      </c>
      <c r="F262" s="8" t="s">
        <v>45</v>
      </c>
      <c r="G262" s="9">
        <v>6</v>
      </c>
      <c r="H262" s="10">
        <f t="shared" si="4"/>
        <v>1</v>
      </c>
    </row>
    <row r="263" spans="1:8" s="11" customFormat="1" x14ac:dyDescent="0.25">
      <c r="A263" s="4" t="s">
        <v>847</v>
      </c>
      <c r="B263" s="4"/>
      <c r="C263" s="11" t="s">
        <v>848</v>
      </c>
      <c r="D263" s="4" t="s">
        <v>846</v>
      </c>
      <c r="E263" s="7">
        <v>14</v>
      </c>
      <c r="F263" s="14" t="s">
        <v>45</v>
      </c>
      <c r="G263" s="12">
        <v>6</v>
      </c>
      <c r="H263" s="10">
        <f t="shared" si="4"/>
        <v>2.3333333333333335</v>
      </c>
    </row>
    <row r="264" spans="1:8" s="11" customFormat="1" x14ac:dyDescent="0.25">
      <c r="A264" s="5" t="s">
        <v>849</v>
      </c>
      <c r="B264" s="5" t="s">
        <v>850</v>
      </c>
      <c r="C264" s="6" t="s">
        <v>851</v>
      </c>
      <c r="D264" s="5" t="s">
        <v>852</v>
      </c>
      <c r="E264" s="7">
        <v>0</v>
      </c>
      <c r="F264" s="8" t="s">
        <v>12</v>
      </c>
      <c r="G264" s="9">
        <v>12</v>
      </c>
      <c r="H264" s="10">
        <f t="shared" si="4"/>
        <v>0</v>
      </c>
    </row>
    <row r="265" spans="1:8" s="11" customFormat="1" x14ac:dyDescent="0.25">
      <c r="A265" s="5" t="s">
        <v>853</v>
      </c>
      <c r="B265" s="5" t="s">
        <v>854</v>
      </c>
      <c r="C265" s="6" t="s">
        <v>855</v>
      </c>
      <c r="D265" s="5" t="s">
        <v>856</v>
      </c>
      <c r="E265" s="7">
        <v>0</v>
      </c>
      <c r="F265" s="8" t="s">
        <v>45</v>
      </c>
      <c r="G265" s="9">
        <v>24</v>
      </c>
      <c r="H265" s="10">
        <f t="shared" si="4"/>
        <v>0</v>
      </c>
    </row>
    <row r="266" spans="1:8" s="11" customFormat="1" x14ac:dyDescent="0.25">
      <c r="A266" s="5" t="s">
        <v>857</v>
      </c>
      <c r="B266" s="5" t="s">
        <v>858</v>
      </c>
      <c r="C266" s="6" t="s">
        <v>859</v>
      </c>
      <c r="D266" s="5" t="s">
        <v>860</v>
      </c>
      <c r="E266" s="7">
        <v>0</v>
      </c>
      <c r="F266" s="8" t="s">
        <v>45</v>
      </c>
      <c r="G266" s="9">
        <v>12</v>
      </c>
      <c r="H266" s="10">
        <f t="shared" si="4"/>
        <v>0</v>
      </c>
    </row>
    <row r="267" spans="1:8" s="11" customFormat="1" x14ac:dyDescent="0.25">
      <c r="A267" s="5" t="s">
        <v>861</v>
      </c>
      <c r="B267" s="5" t="s">
        <v>862</v>
      </c>
      <c r="C267" s="6" t="s">
        <v>863</v>
      </c>
      <c r="D267" s="5" t="s">
        <v>852</v>
      </c>
      <c r="E267" s="7">
        <v>0</v>
      </c>
      <c r="F267" s="8" t="s">
        <v>12</v>
      </c>
      <c r="G267" s="9">
        <v>12</v>
      </c>
      <c r="H267" s="10">
        <f t="shared" si="4"/>
        <v>0</v>
      </c>
    </row>
    <row r="268" spans="1:8" s="11" customFormat="1" x14ac:dyDescent="0.25">
      <c r="A268" s="5" t="s">
        <v>864</v>
      </c>
      <c r="B268" s="5" t="s">
        <v>865</v>
      </c>
      <c r="C268" s="6" t="s">
        <v>866</v>
      </c>
      <c r="D268" s="5" t="s">
        <v>856</v>
      </c>
      <c r="E268" s="7">
        <v>0</v>
      </c>
      <c r="F268" s="8" t="s">
        <v>45</v>
      </c>
      <c r="G268" s="9">
        <v>24</v>
      </c>
      <c r="H268" s="10">
        <f t="shared" si="4"/>
        <v>0</v>
      </c>
    </row>
    <row r="269" spans="1:8" s="11" customFormat="1" x14ac:dyDescent="0.25">
      <c r="A269" s="5" t="s">
        <v>867</v>
      </c>
      <c r="B269" s="5" t="s">
        <v>868</v>
      </c>
      <c r="C269" s="6" t="s">
        <v>869</v>
      </c>
      <c r="D269" s="5" t="s">
        <v>860</v>
      </c>
      <c r="E269" s="7">
        <v>0</v>
      </c>
      <c r="F269" s="8" t="s">
        <v>45</v>
      </c>
      <c r="G269" s="9">
        <v>12</v>
      </c>
      <c r="H269" s="10">
        <f t="shared" si="4"/>
        <v>0</v>
      </c>
    </row>
    <row r="270" spans="1:8" s="11" customFormat="1" x14ac:dyDescent="0.25">
      <c r="A270" s="5" t="s">
        <v>870</v>
      </c>
      <c r="B270" s="5" t="s">
        <v>871</v>
      </c>
      <c r="C270" s="6" t="s">
        <v>872</v>
      </c>
      <c r="D270" s="5" t="s">
        <v>852</v>
      </c>
      <c r="E270" s="7">
        <v>0</v>
      </c>
      <c r="F270" s="8" t="s">
        <v>12</v>
      </c>
      <c r="G270" s="9">
        <v>12</v>
      </c>
      <c r="H270" s="10">
        <f t="shared" si="4"/>
        <v>0</v>
      </c>
    </row>
    <row r="271" spans="1:8" s="11" customFormat="1" x14ac:dyDescent="0.25">
      <c r="A271" s="5" t="s">
        <v>873</v>
      </c>
      <c r="B271" s="5" t="s">
        <v>874</v>
      </c>
      <c r="C271" s="6" t="s">
        <v>875</v>
      </c>
      <c r="D271" s="5" t="s">
        <v>856</v>
      </c>
      <c r="E271" s="7">
        <v>0</v>
      </c>
      <c r="F271" s="8" t="s">
        <v>45</v>
      </c>
      <c r="G271" s="9">
        <v>24</v>
      </c>
      <c r="H271" s="10">
        <f t="shared" si="4"/>
        <v>0</v>
      </c>
    </row>
    <row r="272" spans="1:8" s="11" customFormat="1" x14ac:dyDescent="0.25">
      <c r="A272" s="5" t="s">
        <v>876</v>
      </c>
      <c r="B272" s="5" t="s">
        <v>877</v>
      </c>
      <c r="C272" s="6" t="s">
        <v>878</v>
      </c>
      <c r="D272" s="5" t="s">
        <v>860</v>
      </c>
      <c r="E272" s="7">
        <v>0</v>
      </c>
      <c r="F272" s="8" t="s">
        <v>45</v>
      </c>
      <c r="G272" s="9">
        <v>12</v>
      </c>
      <c r="H272" s="10">
        <f t="shared" si="4"/>
        <v>0</v>
      </c>
    </row>
    <row r="273" spans="1:9" s="11" customFormat="1" ht="18" customHeight="1" x14ac:dyDescent="0.25">
      <c r="A273" s="5" t="s">
        <v>879</v>
      </c>
      <c r="B273" s="5" t="s">
        <v>880</v>
      </c>
      <c r="C273" s="6" t="s">
        <v>881</v>
      </c>
      <c r="D273" s="5" t="s">
        <v>114</v>
      </c>
      <c r="E273" s="7">
        <v>25</v>
      </c>
      <c r="F273" s="8" t="s">
        <v>12</v>
      </c>
      <c r="G273" s="9">
        <v>12</v>
      </c>
      <c r="H273" s="10">
        <f t="shared" si="4"/>
        <v>2.0833333333333335</v>
      </c>
    </row>
    <row r="274" spans="1:9" s="11" customFormat="1" ht="18" customHeight="1" x14ac:dyDescent="0.25">
      <c r="A274" s="5" t="s">
        <v>882</v>
      </c>
      <c r="B274" s="5" t="s">
        <v>883</v>
      </c>
      <c r="C274" s="6" t="s">
        <v>884</v>
      </c>
      <c r="D274" s="5" t="s">
        <v>466</v>
      </c>
      <c r="E274" s="7">
        <v>2</v>
      </c>
      <c r="F274" s="8" t="s">
        <v>45</v>
      </c>
      <c r="G274" s="9">
        <v>12</v>
      </c>
      <c r="H274" s="10">
        <f t="shared" si="4"/>
        <v>0.16666666666666666</v>
      </c>
    </row>
    <row r="275" spans="1:9" s="11" customFormat="1" ht="18" customHeight="1" x14ac:dyDescent="0.25">
      <c r="A275" s="5" t="s">
        <v>885</v>
      </c>
      <c r="B275" s="5" t="s">
        <v>886</v>
      </c>
      <c r="C275" s="6" t="s">
        <v>887</v>
      </c>
      <c r="D275" s="5" t="s">
        <v>118</v>
      </c>
      <c r="E275" s="7">
        <v>0</v>
      </c>
      <c r="F275" s="8" t="s">
        <v>119</v>
      </c>
      <c r="G275" s="9">
        <v>4</v>
      </c>
      <c r="H275" s="10">
        <f t="shared" si="4"/>
        <v>0</v>
      </c>
    </row>
    <row r="276" spans="1:9" s="11" customFormat="1" ht="18" customHeight="1" x14ac:dyDescent="0.25">
      <c r="A276" s="5" t="s">
        <v>888</v>
      </c>
      <c r="B276" s="5" t="s">
        <v>889</v>
      </c>
      <c r="C276" s="6" t="s">
        <v>890</v>
      </c>
      <c r="D276" s="5" t="s">
        <v>451</v>
      </c>
      <c r="E276" s="7">
        <v>3</v>
      </c>
      <c r="F276" s="8" t="s">
        <v>12</v>
      </c>
      <c r="G276" s="9">
        <v>12</v>
      </c>
      <c r="H276" s="10">
        <f t="shared" si="4"/>
        <v>0.25</v>
      </c>
    </row>
    <row r="277" spans="1:9" s="17" customFormat="1" ht="18" customHeight="1" x14ac:dyDescent="0.25">
      <c r="A277" s="5" t="s">
        <v>891</v>
      </c>
      <c r="B277" s="5" t="s">
        <v>892</v>
      </c>
      <c r="C277" s="6" t="s">
        <v>893</v>
      </c>
      <c r="D277" s="5" t="s">
        <v>447</v>
      </c>
      <c r="E277" s="7">
        <v>0</v>
      </c>
      <c r="F277" s="8" t="s">
        <v>45</v>
      </c>
      <c r="G277" s="9">
        <v>24</v>
      </c>
      <c r="H277" s="10">
        <f t="shared" si="4"/>
        <v>0</v>
      </c>
      <c r="I277" s="11"/>
    </row>
    <row r="278" spans="1:9" s="11" customFormat="1" ht="18" customHeight="1" x14ac:dyDescent="0.25">
      <c r="A278" s="5" t="s">
        <v>894</v>
      </c>
      <c r="B278" s="5" t="s">
        <v>895</v>
      </c>
      <c r="C278" s="6" t="s">
        <v>896</v>
      </c>
      <c r="D278" s="5" t="s">
        <v>451</v>
      </c>
      <c r="E278" s="7">
        <v>22</v>
      </c>
      <c r="F278" s="8" t="s">
        <v>12</v>
      </c>
      <c r="G278" s="9">
        <v>12</v>
      </c>
      <c r="H278" s="10">
        <f t="shared" si="4"/>
        <v>1.8333333333333333</v>
      </c>
    </row>
    <row r="279" spans="1:9" s="11" customFormat="1" ht="18" customHeight="1" x14ac:dyDescent="0.25">
      <c r="A279" s="5" t="s">
        <v>897</v>
      </c>
      <c r="B279" s="5" t="s">
        <v>898</v>
      </c>
      <c r="C279" s="6" t="s">
        <v>899</v>
      </c>
      <c r="D279" s="5" t="s">
        <v>118</v>
      </c>
      <c r="E279" s="7">
        <v>3</v>
      </c>
      <c r="F279" s="8" t="s">
        <v>119</v>
      </c>
      <c r="G279" s="9">
        <v>4</v>
      </c>
      <c r="H279" s="10">
        <f t="shared" si="4"/>
        <v>0.75</v>
      </c>
    </row>
    <row r="280" spans="1:9" s="11" customFormat="1" ht="18" customHeight="1" x14ac:dyDescent="0.25">
      <c r="A280" s="5" t="s">
        <v>900</v>
      </c>
      <c r="B280" s="5" t="s">
        <v>901</v>
      </c>
      <c r="C280" s="6" t="s">
        <v>902</v>
      </c>
      <c r="D280" s="5" t="s">
        <v>451</v>
      </c>
      <c r="E280" s="7">
        <v>0</v>
      </c>
      <c r="F280" s="8" t="s">
        <v>12</v>
      </c>
      <c r="G280" s="9">
        <v>12</v>
      </c>
      <c r="H280" s="10">
        <f t="shared" si="4"/>
        <v>0</v>
      </c>
    </row>
    <row r="281" spans="1:9" s="11" customFormat="1" ht="18" customHeight="1" x14ac:dyDescent="0.25">
      <c r="A281" s="5" t="s">
        <v>903</v>
      </c>
      <c r="B281" s="5" t="s">
        <v>904</v>
      </c>
      <c r="C281" s="6" t="s">
        <v>905</v>
      </c>
      <c r="D281" s="5" t="s">
        <v>114</v>
      </c>
      <c r="E281" s="7">
        <v>0</v>
      </c>
      <c r="F281" s="8" t="s">
        <v>45</v>
      </c>
      <c r="G281" s="9">
        <v>12</v>
      </c>
      <c r="H281" s="10">
        <f t="shared" si="4"/>
        <v>0</v>
      </c>
    </row>
    <row r="282" spans="1:9" s="11" customFormat="1" ht="18" customHeight="1" x14ac:dyDescent="0.25">
      <c r="A282" s="5" t="s">
        <v>906</v>
      </c>
      <c r="B282" s="5" t="s">
        <v>907</v>
      </c>
      <c r="C282" s="6" t="s">
        <v>908</v>
      </c>
      <c r="D282" s="5" t="s">
        <v>909</v>
      </c>
      <c r="E282" s="7">
        <v>0</v>
      </c>
      <c r="F282" s="8" t="s">
        <v>119</v>
      </c>
      <c r="G282" s="9">
        <v>4</v>
      </c>
      <c r="H282" s="10">
        <f t="shared" si="4"/>
        <v>0</v>
      </c>
      <c r="I282" s="17"/>
    </row>
    <row r="283" spans="1:9" s="11" customFormat="1" ht="18" customHeight="1" x14ac:dyDescent="0.25">
      <c r="A283" s="5" t="s">
        <v>910</v>
      </c>
      <c r="B283" s="5" t="s">
        <v>911</v>
      </c>
      <c r="C283" s="6" t="s">
        <v>912</v>
      </c>
      <c r="D283" s="5" t="s">
        <v>123</v>
      </c>
      <c r="E283" s="7">
        <v>19</v>
      </c>
      <c r="F283" s="8" t="s">
        <v>45</v>
      </c>
      <c r="G283" s="9">
        <v>24</v>
      </c>
      <c r="H283" s="10">
        <f t="shared" si="4"/>
        <v>0.79166666666666663</v>
      </c>
    </row>
    <row r="284" spans="1:9" s="11" customFormat="1" ht="18" customHeight="1" x14ac:dyDescent="0.25">
      <c r="A284" s="5" t="s">
        <v>913</v>
      </c>
      <c r="B284" s="5" t="s">
        <v>914</v>
      </c>
      <c r="C284" s="6" t="s">
        <v>915</v>
      </c>
      <c r="D284" s="5" t="s">
        <v>451</v>
      </c>
      <c r="E284" s="7">
        <v>0</v>
      </c>
      <c r="F284" s="8" t="s">
        <v>12</v>
      </c>
      <c r="G284" s="9">
        <v>12</v>
      </c>
      <c r="H284" s="10">
        <f t="shared" si="4"/>
        <v>0</v>
      </c>
    </row>
    <row r="285" spans="1:9" s="11" customFormat="1" ht="18" customHeight="1" x14ac:dyDescent="0.25">
      <c r="A285" s="5" t="s">
        <v>916</v>
      </c>
      <c r="B285" s="5" t="s">
        <v>917</v>
      </c>
      <c r="C285" s="6" t="s">
        <v>918</v>
      </c>
      <c r="D285" s="5" t="s">
        <v>123</v>
      </c>
      <c r="E285" s="7">
        <v>39</v>
      </c>
      <c r="F285" s="8" t="s">
        <v>45</v>
      </c>
      <c r="G285" s="9">
        <v>24</v>
      </c>
      <c r="H285" s="10">
        <f t="shared" si="4"/>
        <v>1.625</v>
      </c>
    </row>
    <row r="286" spans="1:9" s="11" customFormat="1" ht="18" customHeight="1" x14ac:dyDescent="0.25">
      <c r="A286" s="5" t="s">
        <v>919</v>
      </c>
      <c r="B286" s="5" t="s">
        <v>920</v>
      </c>
      <c r="C286" s="6" t="s">
        <v>921</v>
      </c>
      <c r="D286" s="5" t="s">
        <v>451</v>
      </c>
      <c r="E286" s="7">
        <v>0</v>
      </c>
      <c r="F286" s="8" t="s">
        <v>12</v>
      </c>
      <c r="G286" s="9">
        <v>12</v>
      </c>
      <c r="H286" s="10">
        <f t="shared" si="4"/>
        <v>0</v>
      </c>
    </row>
    <row r="287" spans="1:9" s="11" customFormat="1" ht="18" customHeight="1" x14ac:dyDescent="0.25">
      <c r="A287" s="5" t="s">
        <v>922</v>
      </c>
      <c r="B287" s="5" t="s">
        <v>923</v>
      </c>
      <c r="C287" s="6" t="s">
        <v>924</v>
      </c>
      <c r="D287" s="5" t="s">
        <v>123</v>
      </c>
      <c r="E287" s="7">
        <v>27</v>
      </c>
      <c r="F287" s="8" t="s">
        <v>45</v>
      </c>
      <c r="G287" s="9">
        <v>24</v>
      </c>
      <c r="H287" s="10">
        <f t="shared" si="4"/>
        <v>1.125</v>
      </c>
    </row>
    <row r="288" spans="1:9" s="11" customFormat="1" ht="18" customHeight="1" x14ac:dyDescent="0.25">
      <c r="A288" s="5" t="s">
        <v>925</v>
      </c>
      <c r="B288" s="5" t="s">
        <v>926</v>
      </c>
      <c r="C288" s="6" t="s">
        <v>927</v>
      </c>
      <c r="D288" s="5" t="s">
        <v>451</v>
      </c>
      <c r="E288" s="7">
        <v>0</v>
      </c>
      <c r="F288" s="8" t="s">
        <v>12</v>
      </c>
      <c r="G288" s="9">
        <v>12</v>
      </c>
      <c r="H288" s="10">
        <f t="shared" si="4"/>
        <v>0</v>
      </c>
    </row>
    <row r="289" spans="1:8" s="17" customFormat="1" ht="13.5" x14ac:dyDescent="0.25">
      <c r="A289" s="18"/>
      <c r="B289" s="18"/>
      <c r="E289" s="19"/>
      <c r="F289" s="20"/>
      <c r="H289" s="21">
        <f>SUM(H2:H288)</f>
        <v>1571.6458333333337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2026-09-07T03:43:01Z</dcterms:created>
  <dcterms:modified xsi:type="dcterms:W3CDTF">2026-09-07T03:43:18Z</dcterms:modified>
</cp:coreProperties>
</file>